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5.xml" ContentType="application/vnd.openxmlformats-officedocument.spreadsheetml.table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/comment1.xml" ContentType="application/vnd.openxmlformats-officedocument.spreadsheetml.comments+xml"/>
  <Override PartName="/xl/worksheets/sheet11.xml" ContentType="application/vnd.openxmlformats-officedocument.spreadsheetml.worksheet+xml"/>
  <Override PartName="/xl/comments/comment2.xml" ContentType="application/vnd.openxmlformats-officedocument.spreadsheetml.comments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51840" windowHeight="21120" tabRatio="600" firstSheet="0" activeTab="5" autoFilterDateGrouping="1"/>
  </bookViews>
  <sheets>
    <sheet xmlns:r="http://schemas.openxmlformats.org/officeDocument/2006/relationships" name="00_README" sheetId="1" state="visible" r:id="rId1"/>
    <sheet xmlns:r="http://schemas.openxmlformats.org/officeDocument/2006/relationships" name="Dicionario_Dados" sheetId="2" state="visible" r:id="rId2"/>
    <sheet xmlns:r="http://schemas.openxmlformats.org/officeDocument/2006/relationships" name="Alteracoes_Modelo" sheetId="3" state="visible" r:id="rId3"/>
    <sheet xmlns:r="http://schemas.openxmlformats.org/officeDocument/2006/relationships" name="Parametros_Modelo" sheetId="4" state="visible" r:id="rId4"/>
    <sheet xmlns:r="http://schemas.openxmlformats.org/officeDocument/2006/relationships" name="Cenarios" sheetId="5" state="visible" r:id="rId5"/>
    <sheet xmlns:r="http://schemas.openxmlformats.org/officeDocument/2006/relationships" name="Oferta_Cenarios" sheetId="6" state="visible" r:id="rId6"/>
    <sheet xmlns:r="http://schemas.openxmlformats.org/officeDocument/2006/relationships" name="Demanda_Cenarios" sheetId="7" state="visible" r:id="rId7"/>
    <sheet xmlns:r="http://schemas.openxmlformats.org/officeDocument/2006/relationships" name="Listas" sheetId="8" state="visible" r:id="rId8"/>
    <sheet xmlns:r="http://schemas.openxmlformats.org/officeDocument/2006/relationships" name="Oferta" sheetId="9" state="visible" r:id="rId9"/>
    <sheet xmlns:r="http://schemas.openxmlformats.org/officeDocument/2006/relationships" name="Demanda" sheetId="10" state="visible" r:id="rId10"/>
    <sheet xmlns:r="http://schemas.openxmlformats.org/officeDocument/2006/relationships" name="Warehouses" sheetId="11" state="visible" r:id="rId11"/>
    <sheet xmlns:r="http://schemas.openxmlformats.org/officeDocument/2006/relationships" name="Frete" sheetId="12" state="visible" r:id="rId12"/>
    <sheet xmlns:r="http://schemas.openxmlformats.org/officeDocument/2006/relationships" name="Tarifa_Armz" sheetId="13" state="visible" r:id="rId13"/>
    <sheet xmlns:r="http://schemas.openxmlformats.org/officeDocument/2006/relationships" name="Custo_Invest" sheetId="14" state="visible" r:id="rId14"/>
  </sheets>
  <definedNames>
    <definedName name="_xlnm._FilterDatabase" localSheetId="1" hidden="1">'Dicionario_Dados'!$A$1:$G$11</definedName>
    <definedName name="_xlnm._FilterDatabase" localSheetId="2" hidden="1">'Alteracoes_Modelo'!$A$1:$D$8</definedName>
    <definedName name="_xlnm._FilterDatabase" localSheetId="3" hidden="1">'Parametros_Modelo'!$A$1:$E$13</definedName>
    <definedName name="_xlnm._FilterDatabase" localSheetId="4" hidden="1">'Cenarios'!$A$1:$H$4</definedName>
    <definedName name="_xlnm._FilterDatabase" localSheetId="5" hidden="1">'Oferta_Cenarios'!$A$1:$J$2</definedName>
    <definedName name="_xlnm._FilterDatabase" localSheetId="6" hidden="1">'Demanda_Cenarios'!$A$1:$M$2</definedName>
    <definedName name="_xlnm._FilterDatabase" localSheetId="9" hidden="1">'Demanda'!$A$1:$K$4441</definedName>
    <definedName name="_xlnm._FilterDatabase" localSheetId="10" hidden="1">'Warehouses'!$A$1:$Y$216</definedName>
    <definedName name="_xlnm._FilterDatabase" localSheetId="11" hidden="1">'Frete'!$A$1:$D$28</definedName>
    <definedName name="_xlnm._FilterDatabase" localSheetId="12" hidden="1">'Tarifa_Armz'!$A$1:$E$4</definedName>
    <definedName name="_xlnm._FilterDatabase" localSheetId="13" hidden="1">'Custo_Invest'!$A$1:$F$5</definedName>
  </definedNames>
  <calcPr calcId="19102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0.0000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b val="1"/>
      <color rgb="00FFFFFF"/>
    </font>
    <font>
      <b val="1"/>
      <color rgb="00FFFFFF"/>
      <sz val="14"/>
    </font>
    <font>
      <b val="1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0F766E"/>
      </patternFill>
    </fill>
    <fill>
      <patternFill patternType="solid">
        <fgColor rgb="00D9EAF7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3" fillId="3" borderId="0" applyAlignment="1" pivotButton="0" quotePrefix="0" xfId="0">
      <alignment horizontal="center" vertical="center"/>
    </xf>
    <xf numFmtId="0" fontId="4" fillId="4" borderId="2" applyAlignment="1" pivotButton="0" quotePrefix="0" xfId="0">
      <alignment vertical="top" wrapText="1"/>
    </xf>
    <xf numFmtId="0" fontId="0" fillId="0" borderId="2" applyAlignment="1" pivotButton="0" quotePrefix="0" xfId="0">
      <alignment vertical="top" wrapText="1"/>
    </xf>
    <xf numFmtId="0" fontId="2" fillId="2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  <xf numFmtId="0" fontId="0" fillId="0" borderId="2" pivotButton="0" quotePrefix="0" xfId="0"/>
    <xf numFmtId="4" fontId="0" fillId="0" borderId="2" applyAlignment="1" pivotButton="0" quotePrefix="0" xfId="0">
      <alignment vertical="top" wrapText="1"/>
    </xf>
    <xf numFmtId="4" fontId="0" fillId="0" borderId="0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comments/comment1.xml><?xml version="1.0" encoding="utf-8"?>
<comments xmlns="http://schemas.openxmlformats.org/spreadsheetml/2006/main">
  <authors>
    <author>ChatGPT</author>
  </authors>
  <commentList>
    <comment ref="G1" authorId="0" shapeId="0">
      <text>
        <t>Use DOMESTICA para demanda obrigatória; EXPORTACAO para mercado externo.</t>
      </text>
    </comment>
    <comment ref="H1" authorId="0" shapeId="0">
      <text>
        <t>AUTO_OFERTA_TOTAL_PRODUTO_PERIODO calcula Peso_Modelo como soma da oferta do produto no período.</t>
      </text>
    </comment>
    <comment ref="I1" authorId="0" shapeId="0">
      <text>
        <t>Coluna preferencial para leitura do modelo.</t>
      </text>
    </comment>
  </commentList>
</comments>
</file>

<file path=xl/comments/comment2.xml><?xml version="1.0" encoding="utf-8"?>
<comments xmlns="http://schemas.openxmlformats.org/spreadsheetml/2006/main">
  <authors>
    <author>ChatGPT</author>
  </authors>
  <commentList>
    <comment ref="O1" authorId="0" shapeId="0">
      <text>
        <t>Valor sintético: Custo de Abertura / Cap. Estática Máxima para candidatos.</t>
      </text>
    </comment>
    <comment ref="Q1" authorId="0" shapeId="0">
      <text>
        <t>Valor sintético inicial para expansão. Substituir por dado real quando disponível.</t>
      </text>
    </comment>
  </commentList>
</comments>
</file>

<file path=xl/tables/table1.xml><?xml version="1.0" encoding="utf-8"?>
<table xmlns="http://schemas.openxmlformats.org/spreadsheetml/2006/main" id="1" name="DicionarioDadosTable" displayName="DicionarioDadosTable" ref="A1:G11" headerRowCount="1">
  <autoFilter ref="A1:G11"/>
  <tableColumns count="7">
    <tableColumn id="1" name="Aba"/>
    <tableColumn id="2" name="Coluna"/>
    <tableColumn id="3" name="Obrigatoria"/>
    <tableColumn id="4" name="Tipo esperado"/>
    <tableColumn id="5" name="Descrição"/>
    <tableColumn id="6" name="Uso no modelo"/>
    <tableColumn id="7" name="Impacto se alterar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lteracoesModeloTable" displayName="AlteracoesModeloTable" ref="A1:D8" headerRowCount="1">
  <autoFilter ref="A1:D8"/>
  <tableColumns count="4">
    <tableColumn id="1" name="Melhoria/Ajuste"/>
    <tableColumn id="2" name="Classificação da alteração no Excel"/>
    <tableColumn id="3" name="Status no padrão ouro"/>
    <tableColumn id="4" name="Descri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ParametrosModeloTable" displayName="ParametrosModeloTable" ref="A1:E13" headerRowCount="1">
  <autoFilter ref="A1:E13"/>
  <tableColumns count="5">
    <tableColumn id="1" name="Parametro"/>
    <tableColumn id="2" name="Valor"/>
    <tableColumn id="3" name="Unidade"/>
    <tableColumn id="4" name="Fonte_Parametro"/>
    <tableColumn id="5" name="Observaca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CenariosTable" displayName="CenariosTable" ref="A1:H4" headerRowCount="1">
  <autoFilter ref="A1:H4"/>
  <tableColumns count="8">
    <tableColumn id="1" name="Cenario"/>
    <tableColumn id="2" name="Probabilidade"/>
    <tableColumn id="3" name="Ativo"/>
    <tableColumn id="4" name="Multiplicador_Oferta"/>
    <tableColumn id="5" name="Multiplicador_Demanda_Domestica"/>
    <tableColumn id="6" name="Descricao"/>
    <tableColumn id="7" name="Fonte_Parametro"/>
    <tableColumn id="8" name="Observaca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ListasTable" displayName="ListasTable" ref="A1:F6" headerRowCount="1">
  <autoFilter ref="A1:F6"/>
  <tableColumns count="6">
    <tableColumn id="1" name="Tipo_Demanda"/>
    <tableColumn id="2" name="Regra_Limite"/>
    <tableColumn id="3" name="Sim_Nao"/>
    <tableColumn id="4" name="Fonte_Parametro"/>
    <tableColumn id="5" name="Terminal_Inventory_Policy"/>
    <tableColumn id="6" name="Distance_Sour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20" customWidth="1" min="2" max="2"/>
  </cols>
  <sheetData>
    <row r="1" ht="30" customHeight="1">
      <c r="A1" s="2" t="inlineStr">
        <is>
          <t>Padrão ouro de entrada - model-agrologistic</t>
        </is>
      </c>
    </row>
    <row r="2">
      <c r="A2" s="3" t="inlineStr">
        <is>
          <t>Arquivo base</t>
        </is>
      </c>
      <c r="B2" s="4" t="inlineStr">
        <is>
          <t>Dados_Consolidados_Victor_Ajustado.xlsx</t>
        </is>
      </c>
    </row>
    <row r="3">
      <c r="A3" s="3" t="inlineStr">
        <is>
          <t>Gerado em</t>
        </is>
      </c>
      <c r="B3" s="4" t="inlineStr">
        <is>
          <t>2026-08-25 15:50</t>
        </is>
      </c>
    </row>
    <row r="4">
      <c r="A4" s="3" t="inlineStr">
        <is>
          <t>Objetivo</t>
        </is>
      </c>
      <c r="B4" s="4" t="inlineStr">
        <is>
          <t>Padronizar a leitura dos dados para os modelos determinístico e estocástico da tese do Artur. O solver não deve ler Excel diretamente; o loader transforma esta pasta em ModelData.</t>
        </is>
      </c>
    </row>
    <row r="5">
      <c r="A5" s="3" t="inlineStr">
        <is>
          <t>Fluxo</t>
        </is>
      </c>
      <c r="B5" s="4" t="inlineStr">
        <is>
          <t>Excel .xlsx → excel_loader.py → ModelData → model_validation.py → optimization.py → Gurobi ou Pyomo/SCIP.</t>
        </is>
      </c>
    </row>
    <row r="6">
      <c r="A6" s="3" t="inlineStr">
        <is>
          <t>Resumo</t>
        </is>
      </c>
      <c r="B6" s="4" t="inlineStr">
        <is>
          <t>Oferta: 6300 linhas; Demanda: 4440 linhas; Warehouses: 215; Existentes: 146; Candidatos: 69; Produtos: Milho, Soja; Períodos: 60.</t>
        </is>
      </c>
    </row>
    <row r="7">
      <c r="A7" s="3" t="inlineStr">
        <is>
          <t>Correção do ∞</t>
        </is>
      </c>
      <c r="B7" s="4" t="inlineStr">
        <is>
          <t>1200 linhas com ∞ foram convertidas para Tipo_Demanda=EXPORTACAO, Regra_Limite=AUTO_OFERTA_TOTAL_PRODUTO_PERIODO e Peso (ton) em branco.</t>
        </is>
      </c>
    </row>
    <row r="8">
      <c r="A8" s="3" t="inlineStr">
        <is>
          <t>Regra de exportação</t>
        </is>
      </c>
      <c r="B8" s="4" t="inlineStr">
        <is>
          <t>Peso_Modelo (ton) = soma da Oferta!Peso (ton) de todas as origens para o mesmo Produto e Data.</t>
        </is>
      </c>
    </row>
    <row r="9">
      <c r="A9" s="3" t="inlineStr">
        <is>
          <t>Dados sintéticos</t>
        </is>
      </c>
      <c r="B9" s="4" t="inlineStr">
        <is>
          <t>Parâmetros sintéticos foram criados com rastreabilidade em Fonte_Parametro; devem ser substituídos quando houver informação real.</t>
        </is>
      </c>
    </row>
    <row r="10">
      <c r="A10" s="3" t="inlineStr">
        <is>
          <t>Mudanças futuras</t>
        </is>
      </c>
      <c r="B10" s="4" t="inlineStr">
        <is>
          <t>Qualquer melhoria do modelo deve declarar se exige nenhuma alteração, alteração opcional ou alteração necessária no Excel.</t>
        </is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42" customWidth="1" min="2" max="2"/>
    <col width="16" customWidth="1" min="3" max="3"/>
    <col width="28" customWidth="1" min="4" max="4"/>
    <col width="70" customWidth="1" min="5" max="5"/>
    <col width="34" customWidth="1" min="6" max="6"/>
    <col width="60" customWidth="1" min="7" max="7"/>
  </cols>
  <sheetData>
    <row r="1" ht="28" customHeight="1">
      <c r="A1" s="5" t="inlineStr">
        <is>
          <t>Aba</t>
        </is>
      </c>
      <c r="B1" s="5" t="inlineStr">
        <is>
          <t>Coluna</t>
        </is>
      </c>
      <c r="C1" s="5" t="inlineStr">
        <is>
          <t>Obrigatoria</t>
        </is>
      </c>
      <c r="D1" s="5" t="inlineStr">
        <is>
          <t>Tipo esperado</t>
        </is>
      </c>
      <c r="E1" s="5" t="inlineStr">
        <is>
          <t>Descrição</t>
        </is>
      </c>
      <c r="F1" s="5" t="inlineStr">
        <is>
          <t>Uso no modelo</t>
        </is>
      </c>
      <c r="G1" s="5" t="inlineStr">
        <is>
          <t>Impacto se alterar</t>
        </is>
      </c>
    </row>
    <row r="2">
      <c r="A2" s="4" t="inlineStr">
        <is>
          <t>Oferta</t>
        </is>
      </c>
      <c r="B2" s="4" t="inlineStr">
        <is>
          <t>Produto/Cidade/Data/Peso (ton)</t>
        </is>
      </c>
      <c r="C2" s="4" t="inlineStr">
        <is>
          <t>SIM</t>
        </is>
      </c>
      <c r="D2" s="4" t="inlineStr">
        <is>
          <t>texto/texto AAAA-MM numérico</t>
        </is>
      </c>
      <c r="E2" s="4" t="inlineStr">
        <is>
          <t>Oferta por origem, produto e período.</t>
        </is>
      </c>
      <c r="F2" s="4" t="inlineStr">
        <is>
          <t>supply[o,p,t]</t>
        </is>
      </c>
      <c r="G2" s="4" t="inlineStr">
        <is>
          <t>Altera oferta disponível.</t>
        </is>
      </c>
    </row>
    <row r="3">
      <c r="A3" s="4" t="inlineStr">
        <is>
          <t>Demanda</t>
        </is>
      </c>
      <c r="B3" s="4" t="inlineStr">
        <is>
          <t>Tipo_Demanda</t>
        </is>
      </c>
      <c r="C3" s="4" t="inlineStr">
        <is>
          <t>SIM</t>
        </is>
      </c>
      <c r="D3" s="4" t="inlineStr">
        <is>
          <t>DOMESTICA ou EXPORTACAO</t>
        </is>
      </c>
      <c r="E3" s="4" t="inlineStr">
        <is>
          <t>Classifica demanda como obrigatória doméstica ou mercado externo.</t>
        </is>
      </c>
      <c r="F3" s="4" t="inlineStr">
        <is>
          <t>domestic_customers/export_customers</t>
        </is>
      </c>
      <c r="G3" s="4" t="inlineStr">
        <is>
          <t>Necessária para substituir ∞.</t>
        </is>
      </c>
    </row>
    <row r="4">
      <c r="A4" s="4" t="inlineStr">
        <is>
          <t>Demanda</t>
        </is>
      </c>
      <c r="B4" s="4" t="inlineStr">
        <is>
          <t>Regra_Limite</t>
        </is>
      </c>
      <c r="C4" s="4" t="inlineStr">
        <is>
          <t>SIM</t>
        </is>
      </c>
      <c r="D4" s="4" t="inlineStr">
        <is>
          <t>FIXO ou AUTO_OFERTA_TOTAL_PRODUTO_PERIODO</t>
        </is>
      </c>
      <c r="E4" s="4" t="inlineStr">
        <is>
          <t>Define se Peso_Modelo usa valor informado ou soma da oferta.</t>
        </is>
      </c>
      <c r="F4" s="4" t="inlineStr">
        <is>
          <t>demand_dom/demand_exp</t>
        </is>
      </c>
      <c r="G4" s="4" t="inlineStr">
        <is>
          <t>Necessária para mercado externo não vinculante.</t>
        </is>
      </c>
    </row>
    <row r="5">
      <c r="A5" s="4" t="inlineStr">
        <is>
          <t>Demanda</t>
        </is>
      </c>
      <c r="B5" s="4" t="inlineStr">
        <is>
          <t>Peso_Modelo (ton)</t>
        </is>
      </c>
      <c r="C5" s="4" t="inlineStr">
        <is>
          <t>SIM</t>
        </is>
      </c>
      <c r="D5" s="4" t="inlineStr">
        <is>
          <t>fórmula/numérico</t>
        </is>
      </c>
      <c r="E5" s="4" t="inlineStr">
        <is>
          <t>Valor efetivo lido pelo modelo.</t>
        </is>
      </c>
      <c r="F5" s="4" t="inlineStr">
        <is>
          <t>rhs/upper bound de demanda</t>
        </is>
      </c>
      <c r="G5" s="4" t="inlineStr">
        <is>
          <t>Não editar manualmente salvo caso excepcional.</t>
        </is>
      </c>
    </row>
    <row r="6">
      <c r="A6" s="4" t="inlineStr">
        <is>
          <t>Warehouses</t>
        </is>
      </c>
      <c r="B6" s="4" t="inlineStr">
        <is>
          <t>Cap. Estática/Recepção/Expedição</t>
        </is>
      </c>
      <c r="C6" s="4" t="inlineStr">
        <is>
          <t>SIM</t>
        </is>
      </c>
      <c r="D6" s="4" t="inlineStr">
        <is>
          <t>numérico</t>
        </is>
      </c>
      <c r="E6" s="4" t="inlineStr">
        <is>
          <t>Capacidades operacionais dos armazéns.</t>
        </is>
      </c>
      <c r="F6" s="4" t="inlineStr">
        <is>
          <t>restrições de capacidade</t>
        </is>
      </c>
      <c r="G6" s="4" t="inlineStr">
        <is>
          <t>Altera viabilidade e custo.</t>
        </is>
      </c>
    </row>
    <row r="7">
      <c r="A7" s="4" t="inlineStr">
        <is>
          <t>Warehouses</t>
        </is>
      </c>
      <c r="B7" s="4" t="inlineStr">
        <is>
          <t>Custo_Capacidade_Candidata_Modelo ($/t)</t>
        </is>
      </c>
      <c r="C7" s="4" t="inlineStr">
        <is>
          <t>SIM para candidatos</t>
        </is>
      </c>
      <c r="D7" s="4" t="inlineStr">
        <is>
          <t>numérico/fórmula</t>
        </is>
      </c>
      <c r="E7" s="4" t="inlineStr">
        <is>
          <t>Custo variável sintético ou informado para capacidade candidata escalável.</t>
        </is>
      </c>
      <c r="F7" s="4" t="inlineStr">
        <is>
          <t>objetivo investimento</t>
        </is>
      </c>
      <c r="G7" s="4" t="inlineStr">
        <is>
          <t>Melhoria do modelo; separa custo fixo de variável.</t>
        </is>
      </c>
    </row>
    <row r="8">
      <c r="A8" s="4" t="inlineStr">
        <is>
          <t>Warehouses</t>
        </is>
      </c>
      <c r="B8" s="4" t="inlineStr">
        <is>
          <t>Cap_Expansao_Maxima_Modelo (t)</t>
        </is>
      </c>
      <c r="C8" s="4" t="inlineStr">
        <is>
          <t>Opcional</t>
        </is>
      </c>
      <c r="D8" s="4" t="inlineStr">
        <is>
          <t>numérico/fórmula</t>
        </is>
      </c>
      <c r="E8" s="4" t="inlineStr">
        <is>
          <t>Limite sintético para expansão futura.</t>
        </is>
      </c>
      <c r="F8" s="4" t="inlineStr">
        <is>
          <t>decisão de expansão</t>
        </is>
      </c>
      <c r="G8" s="4" t="inlineStr">
        <is>
          <t>Necessária se expansão estiver ativa.</t>
        </is>
      </c>
    </row>
    <row r="9">
      <c r="A9" s="4" t="inlineStr">
        <is>
          <t>Warehouses</t>
        </is>
      </c>
      <c r="B9" s="4" t="inlineStr">
        <is>
          <t>Permite_Granelizacao</t>
        </is>
      </c>
      <c r="C9" s="4" t="inlineStr">
        <is>
          <t>Opcional</t>
        </is>
      </c>
      <c r="D9" s="4" t="inlineStr">
        <is>
          <t>SIM/NAO</t>
        </is>
      </c>
      <c r="E9" s="4" t="inlineStr">
        <is>
          <t>Indica armazéns elegíveis para granelização.</t>
        </is>
      </c>
      <c r="F9" s="4" t="inlineStr">
        <is>
          <t>decisão de bulkification</t>
        </is>
      </c>
      <c r="G9" s="4" t="inlineStr">
        <is>
          <t>Necessária se granelização estiver ativa.</t>
        </is>
      </c>
    </row>
    <row r="10">
      <c r="A10" s="4" t="inlineStr">
        <is>
          <t>Parametros_Modelo</t>
        </is>
      </c>
      <c r="B10" s="4" t="inlineStr">
        <is>
          <t>unmet/emergency penalties</t>
        </is>
      </c>
      <c r="C10" s="4" t="inlineStr">
        <is>
          <t>SIM</t>
        </is>
      </c>
      <c r="D10" s="4" t="inlineStr">
        <is>
          <t>numérico</t>
        </is>
      </c>
      <c r="E10" s="4" t="inlineStr">
        <is>
          <t>Penalidades globais sintéticas.</t>
        </is>
      </c>
      <c r="F10" s="4" t="inlineStr">
        <is>
          <t>objetivo</t>
        </is>
      </c>
      <c r="G10" s="4" t="inlineStr">
        <is>
          <t>Alteram comportamento em infeasibilidade.</t>
        </is>
      </c>
    </row>
    <row r="11">
      <c r="A11" s="4" t="inlineStr">
        <is>
          <t>Cenarios</t>
        </is>
      </c>
      <c r="B11" s="4" t="inlineStr">
        <is>
          <t>Cenario/Probabilidade/Ativo</t>
        </is>
      </c>
      <c r="C11" s="4" t="inlineStr">
        <is>
          <t>SIM para estocástico</t>
        </is>
      </c>
      <c r="D11" s="4" t="inlineStr">
        <is>
          <t>texto/numérico/SIM-NAO</t>
        </is>
      </c>
      <c r="E11" s="4" t="inlineStr">
        <is>
          <t>Cenários e probabilidades.</t>
        </is>
      </c>
      <c r="F11" s="4" t="inlineStr">
        <is>
          <t>modelo estocástico</t>
        </is>
      </c>
      <c r="G11" s="4" t="inlineStr">
        <is>
          <t>Necessária para dois estágios.</t>
        </is>
      </c>
    </row>
  </sheetData>
  <autoFilter ref="A1:G1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34" customWidth="1" min="2" max="2"/>
    <col width="28" customWidth="1" min="3" max="3"/>
    <col width="90" customWidth="1" min="4" max="4"/>
  </cols>
  <sheetData>
    <row r="1" ht="28" customHeight="1">
      <c r="A1" s="5" t="inlineStr">
        <is>
          <t>Melhoria/Ajuste</t>
        </is>
      </c>
      <c r="B1" s="5" t="inlineStr">
        <is>
          <t>Classificação da alteração no Excel</t>
        </is>
      </c>
      <c r="C1" s="5" t="inlineStr">
        <is>
          <t>Status no padrão ouro</t>
        </is>
      </c>
      <c r="D1" s="5" t="inlineStr">
        <is>
          <t>Descrição</t>
        </is>
      </c>
    </row>
    <row r="2">
      <c r="A2" s="4" t="inlineStr">
        <is>
          <t>Substituir ∞ por regra explícita de mercado externo</t>
        </is>
      </c>
      <c r="B2" s="4" t="inlineStr">
        <is>
          <t>Necessária</t>
        </is>
      </c>
      <c r="C2" s="4" t="inlineStr">
        <is>
          <t>Implementado</t>
        </is>
      </c>
      <c r="D2" s="4" t="inlineStr">
        <is>
          <t>Demanda agora tem Tipo_Demanda, Regra_Limite e Peso_Modelo calculado por SUMIFS da Oferta.</t>
        </is>
      </c>
    </row>
    <row r="3">
      <c r="A3" s="4" t="inlineStr">
        <is>
          <t>Separar custo fixo e custo variável de armazém candidato</t>
        </is>
      </c>
      <c r="B3" s="4" t="inlineStr">
        <is>
          <t>Opcional agora; recomendada</t>
        </is>
      </c>
      <c r="C3" s="4" t="inlineStr">
        <is>
          <t>Implementado por derivação</t>
        </is>
      </c>
      <c r="D3" s="4" t="inlineStr">
        <is>
          <t>Enquanto não houver valores explícitos, custo variável = Custo de Abertura / Cap. Estática Máxima.</t>
        </is>
      </c>
    </row>
    <row r="4">
      <c r="A4" s="4" t="inlineStr">
        <is>
          <t>Capacidade emergencial por tipo</t>
        </is>
      </c>
      <c r="B4" s="4" t="inlineStr">
        <is>
          <t>Opcional</t>
        </is>
      </c>
      <c r="C4" s="4" t="inlineStr">
        <is>
          <t>Implementado com default sintético</t>
        </is>
      </c>
      <c r="D4" s="4" t="inlineStr">
        <is>
          <t>Penalidades globais estão em Parametros_Modelo e replicadas em Warehouses.</t>
        </is>
      </c>
    </row>
    <row r="5">
      <c r="A5" s="4" t="inlineStr">
        <is>
          <t>Expansão de capacidade</t>
        </is>
      </c>
      <c r="B5" s="4" t="inlineStr">
        <is>
          <t>Necessária quando ativada</t>
        </is>
      </c>
      <c r="C5" s="4" t="inlineStr">
        <is>
          <t>Implementado com default sintético</t>
        </is>
      </c>
      <c r="D5" s="4" t="inlineStr">
        <is>
          <t>Expansão máxima inicial = 25% da capacidade estática; custo vem da média de Custo_Invest.</t>
        </is>
      </c>
    </row>
    <row r="6">
      <c r="A6" s="4" t="inlineStr">
        <is>
          <t>Granelização/bulkification</t>
        </is>
      </c>
      <c r="B6" s="4" t="inlineStr">
        <is>
          <t>Necessária quando ativada</t>
        </is>
      </c>
      <c r="C6" s="4" t="inlineStr">
        <is>
          <t>Implementado com default sintético</t>
        </is>
      </c>
      <c r="D6" s="4" t="inlineStr">
        <is>
          <t>Elegibilidade inicial derivada do Tipo; custo vem da média de Custo_Invest.</t>
        </is>
      </c>
    </row>
    <row r="7">
      <c r="A7" s="4" t="inlineStr">
        <is>
          <t>Cenários estocásticos</t>
        </is>
      </c>
      <c r="B7" s="4" t="inlineStr">
        <is>
          <t>Necessária para modelo estocástico</t>
        </is>
      </c>
      <c r="C7" s="4" t="inlineStr">
        <is>
          <t>Estrutura criada</t>
        </is>
      </c>
      <c r="D7" s="4" t="inlineStr">
        <is>
          <t>Aba Cenarios e templates Oferta_Cenarios/Demanda_Cenarios criados.</t>
        </is>
      </c>
    </row>
    <row r="8">
      <c r="A8" s="4" t="inlineStr">
        <is>
          <t>OSRM/distância rodoviária</t>
        </is>
      </c>
      <c r="B8" s="4" t="inlineStr">
        <is>
          <t>Sem alteração necessária</t>
        </is>
      </c>
      <c r="C8" s="4" t="inlineStr">
        <is>
          <t>Preparado</t>
        </is>
      </c>
      <c r="D8" s="4" t="inlineStr">
        <is>
          <t>Excel mantém coordenadas; distance_matrix/osrm pode gerar distâncias sem mudar planilha.</t>
        </is>
      </c>
    </row>
  </sheetData>
  <autoFilter ref="A1:D8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26" customWidth="1" min="2" max="2"/>
    <col width="16" customWidth="1" min="3" max="3"/>
    <col width="28" customWidth="1" min="4" max="4"/>
    <col width="80" customWidth="1" min="5" max="5"/>
  </cols>
  <sheetData>
    <row r="1" ht="28" customHeight="1">
      <c r="A1" s="5" t="inlineStr">
        <is>
          <t>Parametro</t>
        </is>
      </c>
      <c r="B1" s="5" t="inlineStr">
        <is>
          <t>Valor</t>
        </is>
      </c>
      <c r="C1" s="5" t="inlineStr">
        <is>
          <t>Unidade</t>
        </is>
      </c>
      <c r="D1" s="5" t="inlineStr">
        <is>
          <t>Fonte_Parametro</t>
        </is>
      </c>
      <c r="E1" s="5" t="inlineStr">
        <is>
          <t>Observacao</t>
        </is>
      </c>
    </row>
    <row r="2">
      <c r="A2" s="6" t="inlineStr">
        <is>
          <t>candidate_capacity_mode</t>
        </is>
      </c>
      <c r="B2" s="7" t="inlineStr">
        <is>
          <t>SCALABLE</t>
        </is>
      </c>
      <c r="C2" s="6" t="inlineStr"/>
      <c r="D2" s="6" t="inlineStr">
        <is>
          <t>Decisão de modelagem</t>
        </is>
      </c>
      <c r="E2" s="6" t="inlineStr">
        <is>
          <t>Candidatos podem escolher capacidade até Cap. Estática Máxima.</t>
        </is>
      </c>
    </row>
    <row r="3">
      <c r="A3" s="6" t="inlineStr">
        <is>
          <t>candidate_cost_policy</t>
        </is>
      </c>
      <c r="B3" s="7" t="inlineStr">
        <is>
          <t>DERIVED_VARIABLE_FROM_TOTAL</t>
        </is>
      </c>
      <c r="C3" s="6" t="inlineStr"/>
      <c r="D3" s="6" t="inlineStr">
        <is>
          <t>Decisão de transição</t>
        </is>
      </c>
      <c r="E3" s="6" t="inlineStr">
        <is>
          <t>Enquanto não houver custos separados, custo variável = Custo de Abertura / Cap. Estática Máxima.</t>
        </is>
      </c>
    </row>
    <row r="4">
      <c r="A4" s="6" t="inlineStr">
        <is>
          <t>unmet_demand_penalty</t>
        </is>
      </c>
      <c r="B4" s="7" t="n">
        <v>1000000</v>
      </c>
      <c r="C4" s="6" t="inlineStr">
        <is>
          <t>R$/t</t>
        </is>
      </c>
      <c r="D4" s="6" t="inlineStr">
        <is>
          <t>Sintético</t>
        </is>
      </c>
      <c r="E4" s="6" t="inlineStr">
        <is>
          <t>Penalidade alta para evitar demanda doméstica não atendida, salvo infeasibilidade.</t>
        </is>
      </c>
    </row>
    <row r="5">
      <c r="A5" s="6" t="inlineStr">
        <is>
          <t>emergency_static_capacity_penalty</t>
        </is>
      </c>
      <c r="B5" s="7" t="n">
        <v>1000000</v>
      </c>
      <c r="C5" s="6" t="inlineStr">
        <is>
          <t>R$/t</t>
        </is>
      </c>
      <c r="D5" s="6" t="inlineStr">
        <is>
          <t>Sintético</t>
        </is>
      </c>
      <c r="E5" s="6" t="inlineStr">
        <is>
          <t>Penalidade alta para capacidade estática emergencial.</t>
        </is>
      </c>
    </row>
    <row r="6">
      <c r="A6" s="6" t="inlineStr">
        <is>
          <t>emergency_reception_capacity_penalty</t>
        </is>
      </c>
      <c r="B6" s="7" t="n">
        <v>1000000</v>
      </c>
      <c r="C6" s="6" t="inlineStr">
        <is>
          <t>R$/t</t>
        </is>
      </c>
      <c r="D6" s="6" t="inlineStr">
        <is>
          <t>Sintético</t>
        </is>
      </c>
      <c r="E6" s="6" t="inlineStr">
        <is>
          <t>Penalidade alta para capacidade de recepção emergencial.</t>
        </is>
      </c>
    </row>
    <row r="7">
      <c r="A7" s="6" t="inlineStr">
        <is>
          <t>export_limit_rule</t>
        </is>
      </c>
      <c r="B7" s="7" t="inlineStr">
        <is>
          <t>AUTO_OFERTA_TOTAL_PRODUTO_PERIODO</t>
        </is>
      </c>
      <c r="C7" s="6" t="inlineStr"/>
      <c r="D7" s="6" t="inlineStr">
        <is>
          <t>Tese do Artur</t>
        </is>
      </c>
      <c r="E7" s="6" t="inlineStr">
        <is>
          <t>Mercado externo não vinculante: limite = soma da oferta de todas as origens do produto no período e cenário.</t>
        </is>
      </c>
    </row>
    <row r="8">
      <c r="A8" s="6" t="inlineStr">
        <is>
          <t>days_per_period</t>
        </is>
      </c>
      <c r="B8" s="7" t="n">
        <v>30</v>
      </c>
      <c r="C8" s="6" t="inlineStr">
        <is>
          <t>dias/período</t>
        </is>
      </c>
      <c r="D8" s="6" t="inlineStr">
        <is>
          <t>Sintético/A confirmar</t>
        </is>
      </c>
      <c r="E8" s="6" t="inlineStr">
        <is>
          <t>Parâmetro usado se capacidade de recepção/expedição for diária.</t>
        </is>
      </c>
    </row>
    <row r="9">
      <c r="A9" s="6" t="inlineStr">
        <is>
          <t>expansion_capacity_fraction_default</t>
        </is>
      </c>
      <c r="B9" s="7" t="n">
        <v>0.25</v>
      </c>
      <c r="C9" s="6" t="inlineStr">
        <is>
          <t>fração</t>
        </is>
      </c>
      <c r="D9" s="6" t="inlineStr">
        <is>
          <t>Sintético</t>
        </is>
      </c>
      <c r="E9" s="6" t="inlineStr">
        <is>
          <t>Valor inicial: expansão máxima = 25% da capacidade estática existente.</t>
        </is>
      </c>
    </row>
    <row r="10">
      <c r="A10" s="6" t="inlineStr">
        <is>
          <t>expansion_cost_default</t>
        </is>
      </c>
      <c r="B10" s="7">
        <f>AVERAGE(Custo_Invest!B4:C4)</f>
        <v/>
      </c>
      <c r="C10" s="6" t="inlineStr">
        <is>
          <t>R$/t</t>
        </is>
      </c>
      <c r="D10" s="6" t="inlineStr">
        <is>
          <t>Derivado_de_Custo_Invest</t>
        </is>
      </c>
      <c r="E10" s="6" t="inlineStr">
        <is>
          <t>Média entre custo baixo e alto de Expansão.</t>
        </is>
      </c>
    </row>
    <row r="11">
      <c r="A11" s="6" t="inlineStr">
        <is>
          <t>bulkification_cost_default</t>
        </is>
      </c>
      <c r="B11" s="7">
        <f>AVERAGE(Custo_Invest!B5:C5)</f>
        <v/>
      </c>
      <c r="C11" s="6" t="inlineStr">
        <is>
          <t>R$/t</t>
        </is>
      </c>
      <c r="D11" s="6" t="inlineStr">
        <is>
          <t>Derivado_de_Custo_Invest</t>
        </is>
      </c>
      <c r="E11" s="6" t="inlineStr">
        <is>
          <t>Média entre custo baixo e alto de Granelização.</t>
        </is>
      </c>
    </row>
    <row r="12">
      <c r="A12" s="6" t="inlineStr">
        <is>
          <t>distance_source_default</t>
        </is>
      </c>
      <c r="B12" s="7" t="inlineStr">
        <is>
          <t>HAVERSINE</t>
        </is>
      </c>
      <c r="C12" s="6" t="inlineStr"/>
      <c r="D12" s="6" t="inlineStr">
        <is>
          <t>Decisão operacional</t>
        </is>
      </c>
      <c r="E12" s="6" t="inlineStr">
        <is>
          <t>Para testes locais; OSRM pode substituir por distâncias rodoviárias.</t>
        </is>
      </c>
    </row>
    <row r="13">
      <c r="A13" s="6" t="inlineStr">
        <is>
          <t>route_filter_strategy</t>
        </is>
      </c>
      <c r="B13" s="7" t="inlineStr">
        <is>
          <t>NONE</t>
        </is>
      </c>
      <c r="C13" s="6" t="inlineStr"/>
      <c r="D13" s="6" t="inlineStr">
        <is>
          <t>Decisão operacional</t>
        </is>
      </c>
      <c r="E13" s="6" t="inlineStr">
        <is>
          <t>Sem filtragem inicial para preservar completude do modelo.</t>
        </is>
      </c>
    </row>
  </sheetData>
  <autoFilter ref="A1:E1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10" customWidth="1" min="3" max="3"/>
    <col width="20" customWidth="1" min="4" max="4"/>
    <col width="30" customWidth="1" min="5" max="5"/>
    <col width="42" customWidth="1" min="6" max="6"/>
    <col width="22" customWidth="1" min="7" max="7"/>
    <col width="70" customWidth="1" min="8" max="8"/>
  </cols>
  <sheetData>
    <row r="1" ht="28" customHeight="1">
      <c r="A1" s="5" t="inlineStr">
        <is>
          <t>Cenario</t>
        </is>
      </c>
      <c r="B1" s="5" t="inlineStr">
        <is>
          <t>Probabilidade</t>
        </is>
      </c>
      <c r="C1" s="5" t="inlineStr">
        <is>
          <t>Ativo</t>
        </is>
      </c>
      <c r="D1" s="5" t="inlineStr">
        <is>
          <t>Multiplicador_Oferta</t>
        </is>
      </c>
      <c r="E1" s="5" t="inlineStr">
        <is>
          <t>Multiplicador_Demanda_Domestica</t>
        </is>
      </c>
      <c r="F1" s="5" t="inlineStr">
        <is>
          <t>Descricao</t>
        </is>
      </c>
      <c r="G1" s="5" t="inlineStr">
        <is>
          <t>Fonte_Parametro</t>
        </is>
      </c>
      <c r="H1" s="5" t="inlineStr">
        <is>
          <t>Observacao</t>
        </is>
      </c>
    </row>
    <row r="2">
      <c r="A2" s="6" t="inlineStr">
        <is>
          <t>base</t>
        </is>
      </c>
      <c r="B2" s="8" t="n">
        <v>1</v>
      </c>
      <c r="C2" s="6" t="inlineStr">
        <is>
          <t>SIM</t>
        </is>
      </c>
      <c r="D2" s="8" t="n">
        <v>1</v>
      </c>
      <c r="E2" s="8" t="n">
        <v>1</v>
      </c>
      <c r="F2" s="6" t="inlineStr">
        <is>
          <t>Cenário determinístico/base</t>
        </is>
      </c>
      <c r="G2" s="6" t="inlineStr">
        <is>
          <t>Informado</t>
        </is>
      </c>
      <c r="H2" s="6" t="inlineStr">
        <is>
          <t>Padrão para leitura determinística e primeiro teste estocástico degenerado.</t>
        </is>
      </c>
    </row>
    <row r="3">
      <c r="A3" s="6" t="inlineStr">
        <is>
          <t>baixo</t>
        </is>
      </c>
      <c r="B3" s="8" t="n">
        <v>0.25</v>
      </c>
      <c r="C3" s="6" t="inlineStr">
        <is>
          <t>NAO</t>
        </is>
      </c>
      <c r="D3" s="8" t="n">
        <v>0.85</v>
      </c>
      <c r="E3" s="8" t="n">
        <v>0.95</v>
      </c>
      <c r="F3" s="6" t="inlineStr">
        <is>
          <t>Exemplo sintético: oferta baixa</t>
        </is>
      </c>
      <c r="G3" s="6" t="inlineStr">
        <is>
          <t>Sintético</t>
        </is>
      </c>
      <c r="H3" s="6" t="inlineStr">
        <is>
          <t>Ativar apenas quando for testar o modelo estocástico.</t>
        </is>
      </c>
    </row>
    <row r="4">
      <c r="A4" s="6" t="inlineStr">
        <is>
          <t>alto</t>
        </is>
      </c>
      <c r="B4" s="8" t="n">
        <v>0.25</v>
      </c>
      <c r="C4" s="6" t="inlineStr">
        <is>
          <t>NAO</t>
        </is>
      </c>
      <c r="D4" s="8" t="n">
        <v>1.15</v>
      </c>
      <c r="E4" s="8" t="n">
        <v>1.05</v>
      </c>
      <c r="F4" s="6" t="inlineStr">
        <is>
          <t>Exemplo sintético: oferta alta</t>
        </is>
      </c>
      <c r="G4" s="6" t="inlineStr">
        <is>
          <t>Sintético</t>
        </is>
      </c>
      <c r="H4" s="6" t="inlineStr">
        <is>
          <t>Ativar apenas quando for testar o modelo estocástico.</t>
        </is>
      </c>
    </row>
  </sheetData>
  <autoFilter ref="A1:H4"/>
  <dataValidations count="1">
    <dataValidation sqref="C2:C4" showDropDown="0" showInputMessage="0" showErrorMessage="0" allowBlank="0" type="list">
      <formula1>=Listas!$C$2:$C$3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32" customWidth="1" min="3" max="3"/>
    <col width="12" customWidth="1" min="4" max="4"/>
    <col width="12" customWidth="1" min="5" max="5"/>
    <col width="12" customWidth="1" min="6" max="6"/>
    <col width="16" customWidth="1" min="7" max="7"/>
    <col width="16" customWidth="1" min="8" max="8"/>
    <col width="24" customWidth="1" min="9" max="9"/>
    <col width="70" customWidth="1" min="10" max="10"/>
  </cols>
  <sheetData>
    <row r="1" ht="28" customHeight="1">
      <c r="A1" s="5" t="inlineStr">
        <is>
          <t>Cenario</t>
        </is>
      </c>
      <c r="B1" s="5" t="inlineStr">
        <is>
          <t>Produto</t>
        </is>
      </c>
      <c r="C1" s="5" t="inlineStr">
        <is>
          <t>Cidade</t>
        </is>
      </c>
      <c r="D1" s="5" t="inlineStr">
        <is>
          <t>Latitude</t>
        </is>
      </c>
      <c r="E1" s="5" t="inlineStr">
        <is>
          <t>Longitude</t>
        </is>
      </c>
      <c r="F1" s="5" t="inlineStr">
        <is>
          <t>Data</t>
        </is>
      </c>
      <c r="G1" s="5" t="inlineStr">
        <is>
          <t>Peso (ton)</t>
        </is>
      </c>
      <c r="H1" s="5" t="inlineStr">
        <is>
          <t>Multiplicador</t>
        </is>
      </c>
      <c r="I1" s="5" t="inlineStr">
        <is>
          <t>Fonte_Parametro</t>
        </is>
      </c>
      <c r="J1" s="5" t="inlineStr">
        <is>
          <t>Observacao</t>
        </is>
      </c>
    </row>
    <row r="2">
      <c r="A2" t="inlineStr">
        <is>
          <t>base</t>
        </is>
      </c>
      <c r="H2" t="n">
        <v>1</v>
      </c>
      <c r="I2" t="inlineStr">
        <is>
          <t>Informado</t>
        </is>
      </c>
      <c r="J2" t="inlineStr">
        <is>
          <t>Template opcional: preencher somente se houver oferta específica por cenário.</t>
        </is>
      </c>
    </row>
  </sheetData>
  <autoFilter ref="A1:J2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32" customWidth="1" min="3" max="3"/>
    <col width="12" customWidth="1" min="4" max="4"/>
    <col width="12" customWidth="1" min="5" max="5"/>
    <col width="12" customWidth="1" min="6" max="6"/>
    <col width="18" customWidth="1" min="7" max="7"/>
    <col width="38" customWidth="1" min="8" max="8"/>
    <col width="16" customWidth="1" min="9" max="9"/>
    <col width="18" customWidth="1" min="10" max="10"/>
    <col width="16" customWidth="1" min="11" max="11"/>
    <col width="24" customWidth="1" min="12" max="12"/>
    <col width="70" customWidth="1" min="13" max="13"/>
  </cols>
  <sheetData>
    <row r="1" ht="28" customHeight="1">
      <c r="A1" s="5" t="inlineStr">
        <is>
          <t>Cenario</t>
        </is>
      </c>
      <c r="B1" s="5" t="inlineStr">
        <is>
          <t>Produto</t>
        </is>
      </c>
      <c r="C1" s="5" t="inlineStr">
        <is>
          <t>Cidade</t>
        </is>
      </c>
      <c r="D1" s="5" t="inlineStr">
        <is>
          <t>Latitude</t>
        </is>
      </c>
      <c r="E1" s="5" t="inlineStr">
        <is>
          <t>Longitude</t>
        </is>
      </c>
      <c r="F1" s="5" t="inlineStr">
        <is>
          <t>Data</t>
        </is>
      </c>
      <c r="G1" s="5" t="inlineStr">
        <is>
          <t>Tipo_Demanda</t>
        </is>
      </c>
      <c r="H1" s="5" t="inlineStr">
        <is>
          <t>Regra_Limite</t>
        </is>
      </c>
      <c r="I1" s="5" t="inlineStr">
        <is>
          <t>Peso (ton)</t>
        </is>
      </c>
      <c r="J1" s="5" t="inlineStr">
        <is>
          <t>Peso_Modelo (ton)</t>
        </is>
      </c>
      <c r="K1" s="5" t="inlineStr">
        <is>
          <t>Multiplicador</t>
        </is>
      </c>
      <c r="L1" s="5" t="inlineStr">
        <is>
          <t>Fonte_Parametro</t>
        </is>
      </c>
      <c r="M1" s="5" t="inlineStr">
        <is>
          <t>Observacao</t>
        </is>
      </c>
    </row>
    <row r="2">
      <c r="A2" t="inlineStr">
        <is>
          <t>base</t>
        </is>
      </c>
      <c r="G2" t="inlineStr">
        <is>
          <t>DOMESTICA</t>
        </is>
      </c>
      <c r="H2" t="inlineStr">
        <is>
          <t>FIXO</t>
        </is>
      </c>
      <c r="K2" t="n">
        <v>1</v>
      </c>
      <c r="L2" t="inlineStr">
        <is>
          <t>Informado</t>
        </is>
      </c>
      <c r="M2" t="inlineStr">
        <is>
          <t>Template opcional: preencher somente se houver demanda específica por cenário.</t>
        </is>
      </c>
    </row>
  </sheetData>
  <autoFilter ref="A1:M2"/>
  <dataValidations count="2">
    <dataValidation sqref="G2:G5000" showDropDown="0" showInputMessage="0" showErrorMessage="0" allowBlank="0" type="list">
      <formula1>=Listas!$A$2:$A$3</formula1>
    </dataValidation>
    <dataValidation sqref="H2:H5000" showDropDown="0" showInputMessage="0" showErrorMessage="0" allowBlank="0" type="list">
      <formula1>=Listas!$B$2:$B$3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8" customWidth="1" min="2" max="2"/>
    <col width="12" customWidth="1" min="3" max="3"/>
    <col width="26" customWidth="1" min="4" max="4"/>
    <col width="28" customWidth="1" min="5" max="5"/>
    <col width="18" customWidth="1" min="6" max="6"/>
  </cols>
  <sheetData>
    <row r="1" ht="28" customHeight="1">
      <c r="A1" s="5" t="inlineStr">
        <is>
          <t>Tipo_Demanda</t>
        </is>
      </c>
      <c r="B1" s="5" t="inlineStr">
        <is>
          <t>Regra_Limite</t>
        </is>
      </c>
      <c r="C1" s="5" t="inlineStr">
        <is>
          <t>Sim_Nao</t>
        </is>
      </c>
      <c r="D1" s="5" t="inlineStr">
        <is>
          <t>Fonte_Parametro</t>
        </is>
      </c>
      <c r="E1" s="5" t="inlineStr">
        <is>
          <t>Terminal_Inventory_Policy</t>
        </is>
      </c>
      <c r="F1" s="5" t="inlineStr">
        <is>
          <t>Distance_Source</t>
        </is>
      </c>
    </row>
    <row r="2">
      <c r="A2" t="inlineStr">
        <is>
          <t>DOMESTICA</t>
        </is>
      </c>
      <c r="B2" t="inlineStr">
        <is>
          <t>FIXO</t>
        </is>
      </c>
      <c r="C2" t="inlineStr">
        <is>
          <t>SIM</t>
        </is>
      </c>
      <c r="D2" t="inlineStr">
        <is>
          <t>Informado</t>
        </is>
      </c>
      <c r="E2" t="inlineStr">
        <is>
          <t>FREE</t>
        </is>
      </c>
      <c r="F2" t="inlineStr">
        <is>
          <t>HAVERSINE</t>
        </is>
      </c>
    </row>
    <row r="3">
      <c r="A3" t="inlineStr">
        <is>
          <t>EXPORTACAO</t>
        </is>
      </c>
      <c r="B3" t="inlineStr">
        <is>
          <t>AUTO_OFERTA_TOTAL_PRODUTO_PERIODO</t>
        </is>
      </c>
      <c r="C3" t="inlineStr">
        <is>
          <t>NAO</t>
        </is>
      </c>
      <c r="D3" t="inlineStr">
        <is>
          <t>Derivado_da_Oferta</t>
        </is>
      </c>
      <c r="E3" t="inlineStr">
        <is>
          <t>ZERO</t>
        </is>
      </c>
      <c r="F3" t="inlineStr">
        <is>
          <t>OSRM</t>
        </is>
      </c>
    </row>
    <row r="4">
      <c r="D4" t="inlineStr">
        <is>
          <t>Derivado_de_Custo_Invest</t>
        </is>
      </c>
      <c r="E4" t="inlineStr">
        <is>
          <t>PENALIZED</t>
        </is>
      </c>
    </row>
    <row r="5">
      <c r="D5" t="inlineStr">
        <is>
          <t>Sintético</t>
        </is>
      </c>
      <c r="E5" t="inlineStr">
        <is>
          <t>TARGET</t>
        </is>
      </c>
    </row>
    <row r="6">
      <c r="D6" t="inlineStr">
        <is>
          <t>A_confirmar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6301"/>
  <sheetViews>
    <sheetView showGridLines="1" workbookViewId="0">
      <selection activeCell="A1" sqref="A1:XFD1048576"/>
    </sheetView>
  </sheetViews>
  <sheetFormatPr baseColWidth="8" defaultRowHeight="15"/>
  <sheetData>
    <row r="1">
      <c r="A1" s="9" t="inlineStr">
        <is>
          <t>Produto</t>
        </is>
      </c>
      <c r="B1" s="9" t="inlineStr">
        <is>
          <t>Cidade</t>
        </is>
      </c>
      <c r="C1" s="9" t="inlineStr">
        <is>
          <t>Latitude</t>
        </is>
      </c>
      <c r="D1" s="9" t="inlineStr">
        <is>
          <t>Longitude</t>
        </is>
      </c>
      <c r="E1" s="9" t="inlineStr">
        <is>
          <t>Data</t>
        </is>
      </c>
      <c r="F1" s="9" t="inlineStr">
        <is>
          <t>Peso (ton)</t>
        </is>
      </c>
    </row>
    <row r="2">
      <c r="A2" s="9" t="inlineStr">
        <is>
          <t>Milho</t>
        </is>
      </c>
      <c r="B2" s="9" t="inlineStr">
        <is>
          <t>Limoeiro de Anadia - AL</t>
        </is>
      </c>
      <c r="C2" s="9" t="n">
        <v>-9.74098</v>
      </c>
      <c r="D2" s="9" t="n">
        <v>-36.5121</v>
      </c>
      <c r="E2" s="9" t="inlineStr">
        <is>
          <t>2021-01</t>
        </is>
      </c>
      <c r="F2" s="9" t="n">
        <v>0</v>
      </c>
    </row>
    <row r="3">
      <c r="A3" t="inlineStr">
        <is>
          <t>Milho</t>
        </is>
      </c>
      <c r="B3" t="inlineStr">
        <is>
          <t>Limoeiro de Anadia - AL</t>
        </is>
      </c>
      <c r="C3" t="n">
        <v>-9.74098</v>
      </c>
      <c r="D3" t="n">
        <v>-36.5121</v>
      </c>
      <c r="E3" t="inlineStr">
        <is>
          <t>2021-02</t>
        </is>
      </c>
      <c r="F3" t="n">
        <v>0</v>
      </c>
    </row>
    <row r="4">
      <c r="A4" t="inlineStr">
        <is>
          <t>Milho</t>
        </is>
      </c>
      <c r="B4" t="inlineStr">
        <is>
          <t>Limoeiro de Anadia - AL</t>
        </is>
      </c>
      <c r="C4" t="n">
        <v>-9.74098</v>
      </c>
      <c r="D4" t="n">
        <v>-36.5121</v>
      </c>
      <c r="E4" t="inlineStr">
        <is>
          <t>2021-03</t>
        </is>
      </c>
      <c r="F4" t="n">
        <v>0</v>
      </c>
    </row>
    <row r="5">
      <c r="A5" t="inlineStr">
        <is>
          <t>Milho</t>
        </is>
      </c>
      <c r="B5" t="inlineStr">
        <is>
          <t>Limoeiro de Anadia - AL</t>
        </is>
      </c>
      <c r="C5" t="n">
        <v>-9.74098</v>
      </c>
      <c r="D5" t="n">
        <v>-36.5121</v>
      </c>
      <c r="E5" t="inlineStr">
        <is>
          <t>2021-04</t>
        </is>
      </c>
      <c r="F5" t="n">
        <v>0</v>
      </c>
    </row>
    <row r="6">
      <c r="A6" t="inlineStr">
        <is>
          <t>Milho</t>
        </is>
      </c>
      <c r="B6" t="inlineStr">
        <is>
          <t>Limoeiro de Anadia - AL</t>
        </is>
      </c>
      <c r="C6" t="n">
        <v>-9.74098</v>
      </c>
      <c r="D6" t="n">
        <v>-36.5121</v>
      </c>
      <c r="E6" t="inlineStr">
        <is>
          <t>2021-05</t>
        </is>
      </c>
      <c r="F6" t="n">
        <v>0</v>
      </c>
    </row>
    <row r="7">
      <c r="A7" t="inlineStr">
        <is>
          <t>Milho</t>
        </is>
      </c>
      <c r="B7" t="inlineStr">
        <is>
          <t>Limoeiro de Anadia - AL</t>
        </is>
      </c>
      <c r="C7" t="n">
        <v>-9.74098</v>
      </c>
      <c r="D7" t="n">
        <v>-36.5121</v>
      </c>
      <c r="E7" t="inlineStr">
        <is>
          <t>2021-06</t>
        </is>
      </c>
      <c r="F7" t="n">
        <v>0</v>
      </c>
    </row>
    <row r="8">
      <c r="A8" t="inlineStr">
        <is>
          <t>Milho</t>
        </is>
      </c>
      <c r="B8" t="inlineStr">
        <is>
          <t>Macapá - AP</t>
        </is>
      </c>
      <c r="C8" t="n">
        <v>0.034934</v>
      </c>
      <c r="D8" t="n">
        <v>-51.0694</v>
      </c>
      <c r="E8" t="inlineStr">
        <is>
          <t>2021-01</t>
        </is>
      </c>
      <c r="F8" t="n">
        <v>0</v>
      </c>
    </row>
    <row r="9">
      <c r="A9" t="inlineStr">
        <is>
          <t>Milho</t>
        </is>
      </c>
      <c r="B9" t="inlineStr">
        <is>
          <t>Macapá - AP</t>
        </is>
      </c>
      <c r="C9" t="n">
        <v>0.034934</v>
      </c>
      <c r="D9" t="n">
        <v>-51.0694</v>
      </c>
      <c r="E9" t="inlineStr">
        <is>
          <t>2021-02</t>
        </is>
      </c>
      <c r="F9" t="n">
        <v>0</v>
      </c>
    </row>
    <row r="10">
      <c r="A10" t="inlineStr">
        <is>
          <t>Milho</t>
        </is>
      </c>
      <c r="B10" t="inlineStr">
        <is>
          <t>Macapá - AP</t>
        </is>
      </c>
      <c r="C10" t="n">
        <v>0.034934</v>
      </c>
      <c r="D10" t="n">
        <v>-51.0694</v>
      </c>
      <c r="E10" t="inlineStr">
        <is>
          <t>2021-03</t>
        </is>
      </c>
      <c r="F10" t="n">
        <v>0</v>
      </c>
    </row>
    <row r="11">
      <c r="A11" t="inlineStr">
        <is>
          <t>Milho</t>
        </is>
      </c>
      <c r="B11" t="inlineStr">
        <is>
          <t>Macapá - AP</t>
        </is>
      </c>
      <c r="C11" t="n">
        <v>0.034934</v>
      </c>
      <c r="D11" t="n">
        <v>-51.0694</v>
      </c>
      <c r="E11" t="inlineStr">
        <is>
          <t>2021-04</t>
        </is>
      </c>
      <c r="F11" t="n">
        <v>0</v>
      </c>
    </row>
    <row r="12">
      <c r="A12" t="inlineStr">
        <is>
          <t>Milho</t>
        </is>
      </c>
      <c r="B12" t="inlineStr">
        <is>
          <t>Macapá - AP</t>
        </is>
      </c>
      <c r="C12" t="n">
        <v>0.034934</v>
      </c>
      <c r="D12" t="n">
        <v>-51.0694</v>
      </c>
      <c r="E12" t="inlineStr">
        <is>
          <t>2021-05</t>
        </is>
      </c>
      <c r="F12" t="n">
        <v>0</v>
      </c>
    </row>
    <row r="13">
      <c r="A13" t="inlineStr">
        <is>
          <t>Milho</t>
        </is>
      </c>
      <c r="B13" t="inlineStr">
        <is>
          <t>Macapá - AP</t>
        </is>
      </c>
      <c r="C13" t="n">
        <v>0.034934</v>
      </c>
      <c r="D13" t="n">
        <v>-51.0694</v>
      </c>
      <c r="E13" t="inlineStr">
        <is>
          <t>2021-06</t>
        </is>
      </c>
      <c r="F13" t="n">
        <v>0</v>
      </c>
    </row>
    <row r="14">
      <c r="A14" t="inlineStr">
        <is>
          <t>Milho</t>
        </is>
      </c>
      <c r="B14" t="inlineStr">
        <is>
          <t>Crateús - CE</t>
        </is>
      </c>
      <c r="C14" t="n">
        <v>-5.16768</v>
      </c>
      <c r="D14" t="n">
        <v>-40.6536</v>
      </c>
      <c r="E14" t="inlineStr">
        <is>
          <t>2021-01</t>
        </is>
      </c>
      <c r="F14" t="n">
        <v>0</v>
      </c>
    </row>
    <row r="15">
      <c r="A15" t="inlineStr">
        <is>
          <t>Milho</t>
        </is>
      </c>
      <c r="B15" t="inlineStr">
        <is>
          <t>Crateús - CE</t>
        </is>
      </c>
      <c r="C15" t="n">
        <v>-5.16768</v>
      </c>
      <c r="D15" t="n">
        <v>-40.6536</v>
      </c>
      <c r="E15" t="inlineStr">
        <is>
          <t>2021-02</t>
        </is>
      </c>
      <c r="F15" t="n">
        <v>0</v>
      </c>
    </row>
    <row r="16">
      <c r="A16" t="inlineStr">
        <is>
          <t>Milho</t>
        </is>
      </c>
      <c r="B16" t="inlineStr">
        <is>
          <t>Crateús - CE</t>
        </is>
      </c>
      <c r="C16" t="n">
        <v>-5.16768</v>
      </c>
      <c r="D16" t="n">
        <v>-40.6536</v>
      </c>
      <c r="E16" t="inlineStr">
        <is>
          <t>2021-03</t>
        </is>
      </c>
      <c r="F16" t="n">
        <v>0</v>
      </c>
    </row>
    <row r="17">
      <c r="A17" t="inlineStr">
        <is>
          <t>Milho</t>
        </is>
      </c>
      <c r="B17" t="inlineStr">
        <is>
          <t>Crateús - CE</t>
        </is>
      </c>
      <c r="C17" t="n">
        <v>-5.16768</v>
      </c>
      <c r="D17" t="n">
        <v>-40.6536</v>
      </c>
      <c r="E17" t="inlineStr">
        <is>
          <t>2021-04</t>
        </is>
      </c>
      <c r="F17" t="n">
        <v>0</v>
      </c>
    </row>
    <row r="18">
      <c r="A18" t="inlineStr">
        <is>
          <t>Milho</t>
        </is>
      </c>
      <c r="B18" t="inlineStr">
        <is>
          <t>Crateús - CE</t>
        </is>
      </c>
      <c r="C18" t="n">
        <v>-5.16768</v>
      </c>
      <c r="D18" t="n">
        <v>-40.6536</v>
      </c>
      <c r="E18" t="inlineStr">
        <is>
          <t>2021-05</t>
        </is>
      </c>
      <c r="F18" t="n">
        <v>0</v>
      </c>
    </row>
    <row r="19">
      <c r="A19" t="inlineStr">
        <is>
          <t>Milho</t>
        </is>
      </c>
      <c r="B19" t="inlineStr">
        <is>
          <t>Crateús - CE</t>
        </is>
      </c>
      <c r="C19" t="n">
        <v>-5.16768</v>
      </c>
      <c r="D19" t="n">
        <v>-40.6536</v>
      </c>
      <c r="E19" t="inlineStr">
        <is>
          <t>2021-06</t>
        </is>
      </c>
      <c r="F19" t="n">
        <v>0</v>
      </c>
    </row>
    <row r="20">
      <c r="A20" t="inlineStr">
        <is>
          <t>Milho</t>
        </is>
      </c>
      <c r="B20" t="inlineStr">
        <is>
          <t>Sousa - PB</t>
        </is>
      </c>
      <c r="C20" t="n">
        <v>-6.75148</v>
      </c>
      <c r="D20" t="n">
        <v>-38.2311</v>
      </c>
      <c r="E20" t="inlineStr">
        <is>
          <t>2021-01</t>
        </is>
      </c>
      <c r="F20" t="n">
        <v>0</v>
      </c>
    </row>
    <row r="21">
      <c r="A21" t="inlineStr">
        <is>
          <t>Milho</t>
        </is>
      </c>
      <c r="B21" t="inlineStr">
        <is>
          <t>Sousa - PB</t>
        </is>
      </c>
      <c r="C21" t="n">
        <v>-6.75148</v>
      </c>
      <c r="D21" t="n">
        <v>-38.2311</v>
      </c>
      <c r="E21" t="inlineStr">
        <is>
          <t>2021-02</t>
        </is>
      </c>
      <c r="F21" t="n">
        <v>0</v>
      </c>
    </row>
    <row r="22">
      <c r="A22" t="inlineStr">
        <is>
          <t>Milho</t>
        </is>
      </c>
      <c r="B22" t="inlineStr">
        <is>
          <t>Sousa - PB</t>
        </is>
      </c>
      <c r="C22" t="n">
        <v>-6.75148</v>
      </c>
      <c r="D22" t="n">
        <v>-38.2311</v>
      </c>
      <c r="E22" t="inlineStr">
        <is>
          <t>2021-03</t>
        </is>
      </c>
      <c r="F22" t="n">
        <v>0</v>
      </c>
    </row>
    <row r="23">
      <c r="A23" t="inlineStr">
        <is>
          <t>Milho</t>
        </is>
      </c>
      <c r="B23" t="inlineStr">
        <is>
          <t>Sousa - PB</t>
        </is>
      </c>
      <c r="C23" t="n">
        <v>-6.75148</v>
      </c>
      <c r="D23" t="n">
        <v>-38.2311</v>
      </c>
      <c r="E23" t="inlineStr">
        <is>
          <t>2021-04</t>
        </is>
      </c>
      <c r="F23" t="n">
        <v>0</v>
      </c>
    </row>
    <row r="24">
      <c r="A24" t="inlineStr">
        <is>
          <t>Milho</t>
        </is>
      </c>
      <c r="B24" t="inlineStr">
        <is>
          <t>Sousa - PB</t>
        </is>
      </c>
      <c r="C24" t="n">
        <v>-6.75148</v>
      </c>
      <c r="D24" t="n">
        <v>-38.2311</v>
      </c>
      <c r="E24" t="inlineStr">
        <is>
          <t>2021-05</t>
        </is>
      </c>
      <c r="F24" t="n">
        <v>0</v>
      </c>
    </row>
    <row r="25">
      <c r="A25" t="inlineStr">
        <is>
          <t>Milho</t>
        </is>
      </c>
      <c r="B25" t="inlineStr">
        <is>
          <t>Sousa - PB</t>
        </is>
      </c>
      <c r="C25" t="n">
        <v>-6.75148</v>
      </c>
      <c r="D25" t="n">
        <v>-38.2311</v>
      </c>
      <c r="E25" t="inlineStr">
        <is>
          <t>2021-06</t>
        </is>
      </c>
      <c r="F25" t="n">
        <v>0</v>
      </c>
    </row>
    <row r="26">
      <c r="A26" t="inlineStr">
        <is>
          <t>Milho</t>
        </is>
      </c>
      <c r="B26" t="inlineStr">
        <is>
          <t>Apodi - RN</t>
        </is>
      </c>
      <c r="C26" t="n">
        <v>-5.65349</v>
      </c>
      <c r="D26" t="n">
        <v>-37.7946</v>
      </c>
      <c r="E26" t="inlineStr">
        <is>
          <t>2021-01</t>
        </is>
      </c>
      <c r="F26" t="n">
        <v>0</v>
      </c>
    </row>
    <row r="27">
      <c r="A27" t="inlineStr">
        <is>
          <t>Milho</t>
        </is>
      </c>
      <c r="B27" t="inlineStr">
        <is>
          <t>Apodi - RN</t>
        </is>
      </c>
      <c r="C27" t="n">
        <v>-5.65349</v>
      </c>
      <c r="D27" t="n">
        <v>-37.7946</v>
      </c>
      <c r="E27" t="inlineStr">
        <is>
          <t>2021-02</t>
        </is>
      </c>
      <c r="F27" t="n">
        <v>0</v>
      </c>
    </row>
    <row r="28">
      <c r="A28" t="inlineStr">
        <is>
          <t>Milho</t>
        </is>
      </c>
      <c r="B28" t="inlineStr">
        <is>
          <t>Apodi - RN</t>
        </is>
      </c>
      <c r="C28" t="n">
        <v>-5.65349</v>
      </c>
      <c r="D28" t="n">
        <v>-37.7946</v>
      </c>
      <c r="E28" t="inlineStr">
        <is>
          <t>2021-03</t>
        </is>
      </c>
      <c r="F28" t="n">
        <v>0</v>
      </c>
    </row>
    <row r="29">
      <c r="A29" t="inlineStr">
        <is>
          <t>Milho</t>
        </is>
      </c>
      <c r="B29" t="inlineStr">
        <is>
          <t>Apodi - RN</t>
        </is>
      </c>
      <c r="C29" t="n">
        <v>-5.65349</v>
      </c>
      <c r="D29" t="n">
        <v>-37.7946</v>
      </c>
      <c r="E29" t="inlineStr">
        <is>
          <t>2021-04</t>
        </is>
      </c>
      <c r="F29" t="n">
        <v>0</v>
      </c>
    </row>
    <row r="30">
      <c r="A30" t="inlineStr">
        <is>
          <t>Milho</t>
        </is>
      </c>
      <c r="B30" t="inlineStr">
        <is>
          <t>Apodi - RN</t>
        </is>
      </c>
      <c r="C30" t="n">
        <v>-5.65349</v>
      </c>
      <c r="D30" t="n">
        <v>-37.7946</v>
      </c>
      <c r="E30" t="inlineStr">
        <is>
          <t>2021-05</t>
        </is>
      </c>
      <c r="F30" t="n">
        <v>0</v>
      </c>
    </row>
    <row r="31">
      <c r="A31" t="inlineStr">
        <is>
          <t>Milho</t>
        </is>
      </c>
      <c r="B31" t="inlineStr">
        <is>
          <t>Apodi - RN</t>
        </is>
      </c>
      <c r="C31" t="n">
        <v>-5.65349</v>
      </c>
      <c r="D31" t="n">
        <v>-37.7946</v>
      </c>
      <c r="E31" t="inlineStr">
        <is>
          <t>2021-06</t>
        </is>
      </c>
      <c r="F31" t="n">
        <v>0</v>
      </c>
    </row>
    <row r="32">
      <c r="A32" t="inlineStr">
        <is>
          <t>Milho</t>
        </is>
      </c>
      <c r="B32" t="inlineStr">
        <is>
          <t>Bonfim - RR</t>
        </is>
      </c>
      <c r="C32" t="n">
        <v>3.36161</v>
      </c>
      <c r="D32" t="n">
        <v>-59.8333</v>
      </c>
      <c r="E32" t="inlineStr">
        <is>
          <t>2021-01</t>
        </is>
      </c>
      <c r="F32" t="n">
        <v>0</v>
      </c>
    </row>
    <row r="33">
      <c r="A33" t="inlineStr">
        <is>
          <t>Milho</t>
        </is>
      </c>
      <c r="B33" t="inlineStr">
        <is>
          <t>Bonfim - RR</t>
        </is>
      </c>
      <c r="C33" t="n">
        <v>3.36161</v>
      </c>
      <c r="D33" t="n">
        <v>-59.8333</v>
      </c>
      <c r="E33" t="inlineStr">
        <is>
          <t>2021-02</t>
        </is>
      </c>
      <c r="F33" t="n">
        <v>0</v>
      </c>
    </row>
    <row r="34">
      <c r="A34" t="inlineStr">
        <is>
          <t>Milho</t>
        </is>
      </c>
      <c r="B34" t="inlineStr">
        <is>
          <t>Bonfim - RR</t>
        </is>
      </c>
      <c r="C34" t="n">
        <v>3.36161</v>
      </c>
      <c r="D34" t="n">
        <v>-59.8333</v>
      </c>
      <c r="E34" t="inlineStr">
        <is>
          <t>2021-03</t>
        </is>
      </c>
      <c r="F34" t="n">
        <v>0</v>
      </c>
    </row>
    <row r="35">
      <c r="A35" t="inlineStr">
        <is>
          <t>Milho</t>
        </is>
      </c>
      <c r="B35" t="inlineStr">
        <is>
          <t>Bonfim - RR</t>
        </is>
      </c>
      <c r="C35" t="n">
        <v>3.36161</v>
      </c>
      <c r="D35" t="n">
        <v>-59.8333</v>
      </c>
      <c r="E35" t="inlineStr">
        <is>
          <t>2021-04</t>
        </is>
      </c>
      <c r="F35" t="n">
        <v>0</v>
      </c>
    </row>
    <row r="36">
      <c r="A36" t="inlineStr">
        <is>
          <t>Milho</t>
        </is>
      </c>
      <c r="B36" t="inlineStr">
        <is>
          <t>Bonfim - RR</t>
        </is>
      </c>
      <c r="C36" t="n">
        <v>3.36161</v>
      </c>
      <c r="D36" t="n">
        <v>-59.8333</v>
      </c>
      <c r="E36" t="inlineStr">
        <is>
          <t>2021-05</t>
        </is>
      </c>
      <c r="F36" t="n">
        <v>0</v>
      </c>
    </row>
    <row r="37">
      <c r="A37" t="inlineStr">
        <is>
          <t>Milho</t>
        </is>
      </c>
      <c r="B37" t="inlineStr">
        <is>
          <t>Bonfim - RR</t>
        </is>
      </c>
      <c r="C37" t="n">
        <v>3.36161</v>
      </c>
      <c r="D37" t="n">
        <v>-59.8333</v>
      </c>
      <c r="E37" t="inlineStr">
        <is>
          <t>2021-06</t>
        </is>
      </c>
      <c r="F37" t="n">
        <v>0</v>
      </c>
    </row>
    <row r="38">
      <c r="A38" t="inlineStr">
        <is>
          <t>Milho</t>
        </is>
      </c>
      <c r="B38" t="inlineStr">
        <is>
          <t>Carira - SE</t>
        </is>
      </c>
      <c r="C38" t="n">
        <v>-10.3524</v>
      </c>
      <c r="D38" t="n">
        <v>-37.7002</v>
      </c>
      <c r="E38" t="inlineStr">
        <is>
          <t>2021-01</t>
        </is>
      </c>
      <c r="F38" t="n">
        <v>0</v>
      </c>
    </row>
    <row r="39">
      <c r="A39" t="inlineStr">
        <is>
          <t>Milho</t>
        </is>
      </c>
      <c r="B39" t="inlineStr">
        <is>
          <t>Carira - SE</t>
        </is>
      </c>
      <c r="C39" t="n">
        <v>-10.3524</v>
      </c>
      <c r="D39" t="n">
        <v>-37.7002</v>
      </c>
      <c r="E39" t="inlineStr">
        <is>
          <t>2021-02</t>
        </is>
      </c>
      <c r="F39" t="n">
        <v>0</v>
      </c>
    </row>
    <row r="40">
      <c r="A40" t="inlineStr">
        <is>
          <t>Milho</t>
        </is>
      </c>
      <c r="B40" t="inlineStr">
        <is>
          <t>Carira - SE</t>
        </is>
      </c>
      <c r="C40" t="n">
        <v>-10.3524</v>
      </c>
      <c r="D40" t="n">
        <v>-37.7002</v>
      </c>
      <c r="E40" t="inlineStr">
        <is>
          <t>2021-03</t>
        </is>
      </c>
      <c r="F40" t="n">
        <v>0</v>
      </c>
    </row>
    <row r="41">
      <c r="A41" t="inlineStr">
        <is>
          <t>Milho</t>
        </is>
      </c>
      <c r="B41" t="inlineStr">
        <is>
          <t>Carira - SE</t>
        </is>
      </c>
      <c r="C41" t="n">
        <v>-10.3524</v>
      </c>
      <c r="D41" t="n">
        <v>-37.7002</v>
      </c>
      <c r="E41" t="inlineStr">
        <is>
          <t>2021-04</t>
        </is>
      </c>
      <c r="F41" t="n">
        <v>0</v>
      </c>
    </row>
    <row r="42">
      <c r="A42" t="inlineStr">
        <is>
          <t>Milho</t>
        </is>
      </c>
      <c r="B42" t="inlineStr">
        <is>
          <t>Carira - SE</t>
        </is>
      </c>
      <c r="C42" t="n">
        <v>-10.3524</v>
      </c>
      <c r="D42" t="n">
        <v>-37.7002</v>
      </c>
      <c r="E42" t="inlineStr">
        <is>
          <t>2021-05</t>
        </is>
      </c>
      <c r="F42" t="n">
        <v>0</v>
      </c>
    </row>
    <row r="43">
      <c r="A43" t="inlineStr">
        <is>
          <t>Milho</t>
        </is>
      </c>
      <c r="B43" t="inlineStr">
        <is>
          <t>Carira - SE</t>
        </is>
      </c>
      <c r="C43" t="n">
        <v>-10.3524</v>
      </c>
      <c r="D43" t="n">
        <v>-37.7002</v>
      </c>
      <c r="E43" t="inlineStr">
        <is>
          <t>2021-06</t>
        </is>
      </c>
      <c r="F43" t="n">
        <v>0</v>
      </c>
    </row>
    <row r="44">
      <c r="A44" t="inlineStr">
        <is>
          <t>Milho</t>
        </is>
      </c>
      <c r="B44" t="inlineStr">
        <is>
          <t>Senador Guiomard - AC</t>
        </is>
      </c>
      <c r="C44" t="n">
        <v>-10.1497</v>
      </c>
      <c r="D44" t="n">
        <v>-67.7362</v>
      </c>
      <c r="E44" t="inlineStr">
        <is>
          <t>2021-01</t>
        </is>
      </c>
      <c r="F44" t="n">
        <v>29101.62951435521</v>
      </c>
    </row>
    <row r="45">
      <c r="A45" t="inlineStr">
        <is>
          <t>Milho</t>
        </is>
      </c>
      <c r="B45" t="inlineStr">
        <is>
          <t>Senador Guiomard - AC</t>
        </is>
      </c>
      <c r="C45" t="n">
        <v>-10.1497</v>
      </c>
      <c r="D45" t="n">
        <v>-67.7362</v>
      </c>
      <c r="E45" t="inlineStr">
        <is>
          <t>2021-02</t>
        </is>
      </c>
      <c r="F45" t="n">
        <v>34071.14969582343</v>
      </c>
    </row>
    <row r="46">
      <c r="A46" t="inlineStr">
        <is>
          <t>Milho</t>
        </is>
      </c>
      <c r="B46" t="inlineStr">
        <is>
          <t>Senador Guiomard - AC</t>
        </is>
      </c>
      <c r="C46" t="n">
        <v>-10.1497</v>
      </c>
      <c r="D46" t="n">
        <v>-67.7362</v>
      </c>
      <c r="E46" t="inlineStr">
        <is>
          <t>2021-03</t>
        </is>
      </c>
      <c r="F46" t="n">
        <v>48058.20610706231</v>
      </c>
    </row>
    <row r="47">
      <c r="A47" t="inlineStr">
        <is>
          <t>Milho</t>
        </is>
      </c>
      <c r="B47" t="inlineStr">
        <is>
          <t>Senador Guiomard - AC</t>
        </is>
      </c>
      <c r="C47" t="n">
        <v>-10.1497</v>
      </c>
      <c r="D47" t="n">
        <v>-67.7362</v>
      </c>
      <c r="E47" t="inlineStr">
        <is>
          <t>2021-04</t>
        </is>
      </c>
      <c r="F47" t="n">
        <v>16957.68446647629</v>
      </c>
    </row>
    <row r="48">
      <c r="A48" t="inlineStr">
        <is>
          <t>Milho</t>
        </is>
      </c>
      <c r="B48" t="inlineStr">
        <is>
          <t>Senador Guiomard - AC</t>
        </is>
      </c>
      <c r="C48" t="n">
        <v>-10.1497</v>
      </c>
      <c r="D48" t="n">
        <v>-67.7362</v>
      </c>
      <c r="E48" t="inlineStr">
        <is>
          <t>2021-05</t>
        </is>
      </c>
      <c r="F48" t="n">
        <v>5850.791328614105</v>
      </c>
    </row>
    <row r="49">
      <c r="A49" t="inlineStr">
        <is>
          <t>Milho</t>
        </is>
      </c>
      <c r="B49" t="inlineStr">
        <is>
          <t>Senador Guiomard - AC</t>
        </is>
      </c>
      <c r="C49" t="n">
        <v>-10.1497</v>
      </c>
      <c r="D49" t="n">
        <v>-67.7362</v>
      </c>
      <c r="E49" t="inlineStr">
        <is>
          <t>2021-06</t>
        </is>
      </c>
      <c r="F49" t="n">
        <v>0</v>
      </c>
    </row>
    <row r="50">
      <c r="A50" t="inlineStr">
        <is>
          <t>Milho</t>
        </is>
      </c>
      <c r="B50" t="inlineStr">
        <is>
          <t>Humaitá - AM</t>
        </is>
      </c>
      <c r="C50" t="n">
        <v>-7.51171</v>
      </c>
      <c r="D50" t="n">
        <v>-63.0327</v>
      </c>
      <c r="E50" t="inlineStr">
        <is>
          <t>2021-01</t>
        </is>
      </c>
      <c r="F50" t="n">
        <v>0</v>
      </c>
    </row>
    <row r="51">
      <c r="A51" t="inlineStr">
        <is>
          <t>Milho</t>
        </is>
      </c>
      <c r="B51" t="inlineStr">
        <is>
          <t>Humaitá - AM</t>
        </is>
      </c>
      <c r="C51" t="n">
        <v>-7.51171</v>
      </c>
      <c r="D51" t="n">
        <v>-63.0327</v>
      </c>
      <c r="E51" t="inlineStr">
        <is>
          <t>2021-02</t>
        </is>
      </c>
      <c r="F51" t="n">
        <v>8353.219912100565</v>
      </c>
    </row>
    <row r="52">
      <c r="A52" t="inlineStr">
        <is>
          <t>Milho</t>
        </is>
      </c>
      <c r="B52" t="inlineStr">
        <is>
          <t>Humaitá - AM</t>
        </is>
      </c>
      <c r="C52" t="n">
        <v>-7.51171</v>
      </c>
      <c r="D52" t="n">
        <v>-63.0327</v>
      </c>
      <c r="E52" t="inlineStr">
        <is>
          <t>2021-03</t>
        </is>
      </c>
      <c r="F52" t="n">
        <v>5049.610692128722</v>
      </c>
    </row>
    <row r="53">
      <c r="A53" t="inlineStr">
        <is>
          <t>Milho</t>
        </is>
      </c>
      <c r="B53" t="inlineStr">
        <is>
          <t>Humaitá - AM</t>
        </is>
      </c>
      <c r="C53" t="n">
        <v>-7.51171</v>
      </c>
      <c r="D53" t="n">
        <v>-63.0327</v>
      </c>
      <c r="E53" t="inlineStr">
        <is>
          <t>2021-04</t>
        </is>
      </c>
      <c r="F53" t="n">
        <v>9700.865020129437</v>
      </c>
    </row>
    <row r="54">
      <c r="A54" t="inlineStr">
        <is>
          <t>Milho</t>
        </is>
      </c>
      <c r="B54" t="inlineStr">
        <is>
          <t>Humaitá - AM</t>
        </is>
      </c>
      <c r="C54" t="n">
        <v>-7.51171</v>
      </c>
      <c r="D54" t="n">
        <v>-63.0327</v>
      </c>
      <c r="E54" t="inlineStr">
        <is>
          <t>2021-05</t>
        </is>
      </c>
      <c r="F54" t="n">
        <v>2868.875694776787</v>
      </c>
    </row>
    <row r="55">
      <c r="A55" t="inlineStr">
        <is>
          <t>Milho</t>
        </is>
      </c>
      <c r="B55" t="inlineStr">
        <is>
          <t>Humaitá - AM</t>
        </is>
      </c>
      <c r="C55" t="n">
        <v>-7.51171</v>
      </c>
      <c r="D55" t="n">
        <v>-63.0327</v>
      </c>
      <c r="E55" t="inlineStr">
        <is>
          <t>2021-06</t>
        </is>
      </c>
      <c r="F55" t="n">
        <v>2569.409605061629</v>
      </c>
    </row>
    <row r="56">
      <c r="A56" t="inlineStr">
        <is>
          <t>Milho</t>
        </is>
      </c>
      <c r="B56" t="inlineStr">
        <is>
          <t>Correntina - BA</t>
        </is>
      </c>
      <c r="C56" t="n">
        <v>-13.3477</v>
      </c>
      <c r="D56" t="n">
        <v>-44.6333</v>
      </c>
      <c r="E56" t="inlineStr">
        <is>
          <t>2021-01</t>
        </is>
      </c>
      <c r="F56" t="n">
        <v>0</v>
      </c>
    </row>
    <row r="57">
      <c r="A57" t="inlineStr">
        <is>
          <t>Milho</t>
        </is>
      </c>
      <c r="B57" t="inlineStr">
        <is>
          <t>Correntina - BA</t>
        </is>
      </c>
      <c r="C57" t="n">
        <v>-13.3477</v>
      </c>
      <c r="D57" t="n">
        <v>-44.6333</v>
      </c>
      <c r="E57" t="inlineStr">
        <is>
          <t>2021-02</t>
        </is>
      </c>
      <c r="F57" t="n">
        <v>336354.4593145619</v>
      </c>
    </row>
    <row r="58">
      <c r="A58" t="inlineStr">
        <is>
          <t>Milho</t>
        </is>
      </c>
      <c r="B58" t="inlineStr">
        <is>
          <t>Correntina - BA</t>
        </is>
      </c>
      <c r="C58" t="n">
        <v>-13.3477</v>
      </c>
      <c r="D58" t="n">
        <v>-44.6333</v>
      </c>
      <c r="E58" t="inlineStr">
        <is>
          <t>2021-03</t>
        </is>
      </c>
      <c r="F58" t="n">
        <v>406659.7292954256</v>
      </c>
    </row>
    <row r="59">
      <c r="A59" t="inlineStr">
        <is>
          <t>Milho</t>
        </is>
      </c>
      <c r="B59" t="inlineStr">
        <is>
          <t>Correntina - BA</t>
        </is>
      </c>
      <c r="C59" t="n">
        <v>-13.3477</v>
      </c>
      <c r="D59" t="n">
        <v>-44.6333</v>
      </c>
      <c r="E59" t="inlineStr">
        <is>
          <t>2021-04</t>
        </is>
      </c>
      <c r="F59" t="n">
        <v>558027.6216946262</v>
      </c>
    </row>
    <row r="60">
      <c r="A60" t="inlineStr">
        <is>
          <t>Milho</t>
        </is>
      </c>
      <c r="B60" t="inlineStr">
        <is>
          <t>Correntina - BA</t>
        </is>
      </c>
      <c r="C60" t="n">
        <v>-13.3477</v>
      </c>
      <c r="D60" t="n">
        <v>-44.6333</v>
      </c>
      <c r="E60" t="inlineStr">
        <is>
          <t>2021-05</t>
        </is>
      </c>
      <c r="F60" t="n">
        <v>539090.634364551</v>
      </c>
    </row>
    <row r="61">
      <c r="A61" t="inlineStr">
        <is>
          <t>Milho</t>
        </is>
      </c>
      <c r="B61" t="inlineStr">
        <is>
          <t>Correntina - BA</t>
        </is>
      </c>
      <c r="C61" t="n">
        <v>-13.3477</v>
      </c>
      <c r="D61" t="n">
        <v>-44.6333</v>
      </c>
      <c r="E61" t="inlineStr">
        <is>
          <t>2021-06</t>
        </is>
      </c>
      <c r="F61" t="n">
        <v>206921.9744152096</v>
      </c>
    </row>
    <row r="62">
      <c r="A62" t="inlineStr">
        <is>
          <t>Milho</t>
        </is>
      </c>
      <c r="B62" t="inlineStr">
        <is>
          <t>Brasília - DF</t>
        </is>
      </c>
      <c r="C62" t="n">
        <v>-15.7795</v>
      </c>
      <c r="D62" t="n">
        <v>-47.9297</v>
      </c>
      <c r="E62" t="inlineStr">
        <is>
          <t>2021-01</t>
        </is>
      </c>
      <c r="F62" t="n">
        <v>0</v>
      </c>
    </row>
    <row r="63">
      <c r="A63" t="inlineStr">
        <is>
          <t>Milho</t>
        </is>
      </c>
      <c r="B63" t="inlineStr">
        <is>
          <t>Brasília - DF</t>
        </is>
      </c>
      <c r="C63" t="n">
        <v>-15.7795</v>
      </c>
      <c r="D63" t="n">
        <v>-47.9297</v>
      </c>
      <c r="E63" t="inlineStr">
        <is>
          <t>2021-02</t>
        </is>
      </c>
      <c r="F63" t="n">
        <v>43990.59834144291</v>
      </c>
    </row>
    <row r="64">
      <c r="A64" t="inlineStr">
        <is>
          <t>Milho</t>
        </is>
      </c>
      <c r="B64" t="inlineStr">
        <is>
          <t>Brasília - DF</t>
        </is>
      </c>
      <c r="C64" t="n">
        <v>-15.7795</v>
      </c>
      <c r="D64" t="n">
        <v>-47.9297</v>
      </c>
      <c r="E64" t="inlineStr">
        <is>
          <t>2021-03</t>
        </is>
      </c>
      <c r="F64" t="n">
        <v>53185.57348557348</v>
      </c>
    </row>
    <row r="65">
      <c r="A65" t="inlineStr">
        <is>
          <t>Milho</t>
        </is>
      </c>
      <c r="B65" t="inlineStr">
        <is>
          <t>Brasília - DF</t>
        </is>
      </c>
      <c r="C65" t="n">
        <v>-15.7795</v>
      </c>
      <c r="D65" t="n">
        <v>-47.9297</v>
      </c>
      <c r="E65" t="inlineStr">
        <is>
          <t>2021-04</t>
        </is>
      </c>
      <c r="F65" t="n">
        <v>102175.4152663635</v>
      </c>
    </row>
    <row r="66">
      <c r="A66" t="inlineStr">
        <is>
          <t>Milho</t>
        </is>
      </c>
      <c r="B66" t="inlineStr">
        <is>
          <t>Brasília - DF</t>
        </is>
      </c>
      <c r="C66" t="n">
        <v>-15.7795</v>
      </c>
      <c r="D66" t="n">
        <v>-47.9297</v>
      </c>
      <c r="E66" t="inlineStr">
        <is>
          <t>2021-05</t>
        </is>
      </c>
      <c r="F66" t="n">
        <v>30216.74508955133</v>
      </c>
    </row>
    <row r="67">
      <c r="A67" t="inlineStr">
        <is>
          <t>Milho</t>
        </is>
      </c>
      <c r="B67" t="inlineStr">
        <is>
          <t>Brasília - DF</t>
        </is>
      </c>
      <c r="C67" t="n">
        <v>-15.7795</v>
      </c>
      <c r="D67" t="n">
        <v>-47.9297</v>
      </c>
      <c r="E67" t="inlineStr">
        <is>
          <t>2021-06</t>
        </is>
      </c>
      <c r="F67" t="n">
        <v>13531.29297448224</v>
      </c>
    </row>
    <row r="68">
      <c r="A68" t="inlineStr">
        <is>
          <t>Milho</t>
        </is>
      </c>
      <c r="B68" t="inlineStr">
        <is>
          <t>Pinheiros - ES</t>
        </is>
      </c>
      <c r="C68" t="n">
        <v>-18.4141</v>
      </c>
      <c r="D68" t="n">
        <v>-40.2171</v>
      </c>
      <c r="E68" t="inlineStr">
        <is>
          <t>2021-01</t>
        </is>
      </c>
      <c r="F68" t="n">
        <v>12156.37688574332</v>
      </c>
    </row>
    <row r="69">
      <c r="A69" t="inlineStr">
        <is>
          <t>Milho</t>
        </is>
      </c>
      <c r="B69" t="inlineStr">
        <is>
          <t>Pinheiros - ES</t>
        </is>
      </c>
      <c r="C69" t="n">
        <v>-18.4141</v>
      </c>
      <c r="D69" t="n">
        <v>-40.2171</v>
      </c>
      <c r="E69" t="inlineStr">
        <is>
          <t>2021-02</t>
        </is>
      </c>
      <c r="F69" t="n">
        <v>14232.25240458447</v>
      </c>
    </row>
    <row r="70">
      <c r="A70" t="inlineStr">
        <is>
          <t>Milho</t>
        </is>
      </c>
      <c r="B70" t="inlineStr">
        <is>
          <t>Pinheiros - ES</t>
        </is>
      </c>
      <c r="C70" t="n">
        <v>-18.4141</v>
      </c>
      <c r="D70" t="n">
        <v>-40.2171</v>
      </c>
      <c r="E70" t="inlineStr">
        <is>
          <t>2021-03</t>
        </is>
      </c>
      <c r="F70" t="n">
        <v>20074.94685484881</v>
      </c>
    </row>
    <row r="71">
      <c r="A71" t="inlineStr">
        <is>
          <t>Milho</t>
        </is>
      </c>
      <c r="B71" t="inlineStr">
        <is>
          <t>Pinheiros - ES</t>
        </is>
      </c>
      <c r="C71" t="n">
        <v>-18.4141</v>
      </c>
      <c r="D71" t="n">
        <v>-40.2171</v>
      </c>
      <c r="E71" t="inlineStr">
        <is>
          <t>2021-04</t>
        </is>
      </c>
      <c r="F71" t="n">
        <v>7083.589713844527</v>
      </c>
    </row>
    <row r="72">
      <c r="A72" t="inlineStr">
        <is>
          <t>Milho</t>
        </is>
      </c>
      <c r="B72" t="inlineStr">
        <is>
          <t>Pinheiros - ES</t>
        </is>
      </c>
      <c r="C72" t="n">
        <v>-18.4141</v>
      </c>
      <c r="D72" t="n">
        <v>-40.2171</v>
      </c>
      <c r="E72" t="inlineStr">
        <is>
          <t>2021-05</t>
        </is>
      </c>
      <c r="F72" t="n">
        <v>2444.001441066651</v>
      </c>
    </row>
    <row r="73">
      <c r="A73" t="inlineStr">
        <is>
          <t>Milho</t>
        </is>
      </c>
      <c r="B73" t="inlineStr">
        <is>
          <t>Pinheiros - ES</t>
        </is>
      </c>
      <c r="C73" t="n">
        <v>-18.4141</v>
      </c>
      <c r="D73" t="n">
        <v>-40.2171</v>
      </c>
      <c r="E73" t="inlineStr">
        <is>
          <t>2021-06</t>
        </is>
      </c>
      <c r="F73" t="n">
        <v>0</v>
      </c>
    </row>
    <row r="74">
      <c r="A74" t="inlineStr">
        <is>
          <t>Milho</t>
        </is>
      </c>
      <c r="B74" t="inlineStr">
        <is>
          <t>Rio Verde - GO</t>
        </is>
      </c>
      <c r="C74" t="n">
        <v>-17.7923</v>
      </c>
      <c r="D74" t="n">
        <v>-50.9192</v>
      </c>
      <c r="E74" t="inlineStr">
        <is>
          <t>2021-01</t>
        </is>
      </c>
      <c r="F74" t="n">
        <v>0</v>
      </c>
    </row>
    <row r="75">
      <c r="A75" t="inlineStr">
        <is>
          <t>Milho</t>
        </is>
      </c>
      <c r="B75" t="inlineStr">
        <is>
          <t>Rio Verde - GO</t>
        </is>
      </c>
      <c r="C75" t="n">
        <v>-17.7923</v>
      </c>
      <c r="D75" t="n">
        <v>-50.9192</v>
      </c>
      <c r="E75" t="inlineStr">
        <is>
          <t>2021-02</t>
        </is>
      </c>
      <c r="F75" t="n">
        <v>353434.268047181</v>
      </c>
    </row>
    <row r="76">
      <c r="A76" t="inlineStr">
        <is>
          <t>Milho</t>
        </is>
      </c>
      <c r="B76" t="inlineStr">
        <is>
          <t>Rio Verde - GO</t>
        </is>
      </c>
      <c r="C76" t="n">
        <v>-17.7923</v>
      </c>
      <c r="D76" t="n">
        <v>-50.9192</v>
      </c>
      <c r="E76" t="inlineStr">
        <is>
          <t>2021-03</t>
        </is>
      </c>
      <c r="F76" t="n">
        <v>427309.5830532105</v>
      </c>
    </row>
    <row r="77">
      <c r="A77" t="inlineStr">
        <is>
          <t>Milho</t>
        </is>
      </c>
      <c r="B77" t="inlineStr">
        <is>
          <t>Rio Verde - GO</t>
        </is>
      </c>
      <c r="C77" t="n">
        <v>-17.7923</v>
      </c>
      <c r="D77" t="n">
        <v>-50.9192</v>
      </c>
      <c r="E77" t="inlineStr">
        <is>
          <t>2021-04</t>
        </is>
      </c>
      <c r="F77" t="n">
        <v>820909.3412822047</v>
      </c>
    </row>
    <row r="78">
      <c r="A78" t="inlineStr">
        <is>
          <t>Milho</t>
        </is>
      </c>
      <c r="B78" t="inlineStr">
        <is>
          <t>Rio Verde - GO</t>
        </is>
      </c>
      <c r="C78" t="n">
        <v>-17.7923</v>
      </c>
      <c r="D78" t="n">
        <v>-50.9192</v>
      </c>
      <c r="E78" t="inlineStr">
        <is>
          <t>2021-05</t>
        </is>
      </c>
      <c r="F78" t="n">
        <v>242770.8098126207</v>
      </c>
    </row>
    <row r="79">
      <c r="A79" t="inlineStr">
        <is>
          <t>Milho</t>
        </is>
      </c>
      <c r="B79" t="inlineStr">
        <is>
          <t>Rio Verde - GO</t>
        </is>
      </c>
      <c r="C79" t="n">
        <v>-17.7923</v>
      </c>
      <c r="D79" t="n">
        <v>-50.9192</v>
      </c>
      <c r="E79" t="inlineStr">
        <is>
          <t>2021-06</t>
        </is>
      </c>
      <c r="F79" t="n">
        <v>108714.6528685118</v>
      </c>
    </row>
    <row r="80">
      <c r="A80" t="inlineStr">
        <is>
          <t>Milho</t>
        </is>
      </c>
      <c r="B80" t="inlineStr">
        <is>
          <t>Balsas - MA</t>
        </is>
      </c>
      <c r="C80" t="n">
        <v>-7.53214</v>
      </c>
      <c r="D80" t="n">
        <v>-46.0372</v>
      </c>
      <c r="E80" t="inlineStr">
        <is>
          <t>2021-01</t>
        </is>
      </c>
      <c r="F80" t="n">
        <v>0</v>
      </c>
    </row>
    <row r="81">
      <c r="A81" t="inlineStr">
        <is>
          <t>Milho</t>
        </is>
      </c>
      <c r="B81" t="inlineStr">
        <is>
          <t>Balsas - MA</t>
        </is>
      </c>
      <c r="C81" t="n">
        <v>-7.53214</v>
      </c>
      <c r="D81" t="n">
        <v>-46.0372</v>
      </c>
      <c r="E81" t="inlineStr">
        <is>
          <t>2021-02</t>
        </is>
      </c>
      <c r="F81" t="n">
        <v>261824.1550585375</v>
      </c>
    </row>
    <row r="82">
      <c r="A82" t="inlineStr">
        <is>
          <t>Milho</t>
        </is>
      </c>
      <c r="B82" t="inlineStr">
        <is>
          <t>Balsas - MA</t>
        </is>
      </c>
      <c r="C82" t="n">
        <v>-7.53214</v>
      </c>
      <c r="D82" t="n">
        <v>-46.0372</v>
      </c>
      <c r="E82" t="inlineStr">
        <is>
          <t>2021-03</t>
        </is>
      </c>
      <c r="F82" t="n">
        <v>316550.9987174973</v>
      </c>
    </row>
    <row r="83">
      <c r="A83" t="inlineStr">
        <is>
          <t>Milho</t>
        </is>
      </c>
      <c r="B83" t="inlineStr">
        <is>
          <t>Balsas - MA</t>
        </is>
      </c>
      <c r="C83" t="n">
        <v>-7.53214</v>
      </c>
      <c r="D83" t="n">
        <v>-46.0372</v>
      </c>
      <c r="E83" t="inlineStr">
        <is>
          <t>2021-04</t>
        </is>
      </c>
      <c r="F83" t="n">
        <v>608129.7545041152</v>
      </c>
    </row>
    <row r="84">
      <c r="A84" t="inlineStr">
        <is>
          <t>Milho</t>
        </is>
      </c>
      <c r="B84" t="inlineStr">
        <is>
          <t>Balsas - MA</t>
        </is>
      </c>
      <c r="C84" t="n">
        <v>-7.53214</v>
      </c>
      <c r="D84" t="n">
        <v>-46.0372</v>
      </c>
      <c r="E84" t="inlineStr">
        <is>
          <t>2021-05</t>
        </is>
      </c>
      <c r="F84" t="n">
        <v>179844.6497654865</v>
      </c>
    </row>
    <row r="85">
      <c r="A85" t="inlineStr">
        <is>
          <t>Milho</t>
        </is>
      </c>
      <c r="B85" t="inlineStr">
        <is>
          <t>Balsas - MA</t>
        </is>
      </c>
      <c r="C85" t="n">
        <v>-7.53214</v>
      </c>
      <c r="D85" t="n">
        <v>-46.0372</v>
      </c>
      <c r="E85" t="inlineStr">
        <is>
          <t>2021-06</t>
        </is>
      </c>
      <c r="F85" t="n">
        <v>161071.6600122122</v>
      </c>
    </row>
    <row r="86">
      <c r="A86" t="inlineStr">
        <is>
          <t>Milho</t>
        </is>
      </c>
      <c r="B86" t="inlineStr">
        <is>
          <t>Unaí - MG</t>
        </is>
      </c>
      <c r="C86" t="n">
        <v>-16.3592</v>
      </c>
      <c r="D86" t="n">
        <v>-46.9022</v>
      </c>
      <c r="E86" t="inlineStr">
        <is>
          <t>2021-01</t>
        </is>
      </c>
      <c r="F86" t="n">
        <v>0</v>
      </c>
    </row>
    <row r="87">
      <c r="A87" t="inlineStr">
        <is>
          <t>Milho</t>
        </is>
      </c>
      <c r="B87" t="inlineStr">
        <is>
          <t>Unaí - MG</t>
        </is>
      </c>
      <c r="C87" t="n">
        <v>-16.3592</v>
      </c>
      <c r="D87" t="n">
        <v>-46.9022</v>
      </c>
      <c r="E87" t="inlineStr">
        <is>
          <t>2021-02</t>
        </is>
      </c>
      <c r="F87" t="n">
        <v>996824.4939578054</v>
      </c>
    </row>
    <row r="88">
      <c r="A88" t="inlineStr">
        <is>
          <t>Milho</t>
        </is>
      </c>
      <c r="B88" t="inlineStr">
        <is>
          <t>Unaí - MG</t>
        </is>
      </c>
      <c r="C88" t="n">
        <v>-16.3592</v>
      </c>
      <c r="D88" t="n">
        <v>-46.9022</v>
      </c>
      <c r="E88" t="inlineStr">
        <is>
          <t>2021-03</t>
        </is>
      </c>
      <c r="F88" t="n">
        <v>1205182.115599146</v>
      </c>
    </row>
    <row r="89">
      <c r="A89" t="inlineStr">
        <is>
          <t>Milho</t>
        </is>
      </c>
      <c r="B89" t="inlineStr">
        <is>
          <t>Unaí - MG</t>
        </is>
      </c>
      <c r="C89" t="n">
        <v>-16.3592</v>
      </c>
      <c r="D89" t="n">
        <v>-46.9022</v>
      </c>
      <c r="E89" t="inlineStr">
        <is>
          <t>2021-04</t>
        </is>
      </c>
      <c r="F89" t="n">
        <v>1653777.989873497</v>
      </c>
    </row>
    <row r="90">
      <c r="A90" t="inlineStr">
        <is>
          <t>Milho</t>
        </is>
      </c>
      <c r="B90" t="inlineStr">
        <is>
          <t>Unaí - MG</t>
        </is>
      </c>
      <c r="C90" t="n">
        <v>-16.3592</v>
      </c>
      <c r="D90" t="n">
        <v>-46.9022</v>
      </c>
      <c r="E90" t="inlineStr">
        <is>
          <t>2021-05</t>
        </is>
      </c>
      <c r="F90" t="n">
        <v>1141182.918190636</v>
      </c>
    </row>
    <row r="91">
      <c r="A91" t="inlineStr">
        <is>
          <t>Milho</t>
        </is>
      </c>
      <c r="B91" t="inlineStr">
        <is>
          <t>Unaí - MG</t>
        </is>
      </c>
      <c r="C91" t="n">
        <v>-16.3592</v>
      </c>
      <c r="D91" t="n">
        <v>-46.9022</v>
      </c>
      <c r="E91" t="inlineStr">
        <is>
          <t>2021-06</t>
        </is>
      </c>
      <c r="F91" t="n">
        <v>613236.6814922777</v>
      </c>
    </row>
    <row r="92">
      <c r="A92" t="inlineStr">
        <is>
          <t>Milho</t>
        </is>
      </c>
      <c r="B92" t="inlineStr">
        <is>
          <t>Maracaju - MS</t>
        </is>
      </c>
      <c r="C92" t="n">
        <v>-21.6105</v>
      </c>
      <c r="D92" t="n">
        <v>-55.1678</v>
      </c>
      <c r="E92" t="inlineStr">
        <is>
          <t>2021-01</t>
        </is>
      </c>
      <c r="F92" t="n">
        <v>38991.08297152159</v>
      </c>
    </row>
    <row r="93">
      <c r="A93" t="inlineStr">
        <is>
          <t>Milho</t>
        </is>
      </c>
      <c r="B93" t="inlineStr">
        <is>
          <t>Maracaju - MS</t>
        </is>
      </c>
      <c r="C93" t="n">
        <v>-21.6105</v>
      </c>
      <c r="D93" t="n">
        <v>-55.1678</v>
      </c>
      <c r="E93" t="inlineStr">
        <is>
          <t>2021-02</t>
        </is>
      </c>
      <c r="F93" t="n">
        <v>45649.36901796803</v>
      </c>
    </row>
    <row r="94">
      <c r="A94" t="inlineStr">
        <is>
          <t>Milho</t>
        </is>
      </c>
      <c r="B94" t="inlineStr">
        <is>
          <t>Maracaju - MS</t>
        </is>
      </c>
      <c r="C94" t="n">
        <v>-21.6105</v>
      </c>
      <c r="D94" t="n">
        <v>-55.1678</v>
      </c>
      <c r="E94" t="inlineStr">
        <is>
          <t>2021-03</t>
        </is>
      </c>
      <c r="F94" t="n">
        <v>64389.57312883907</v>
      </c>
    </row>
    <row r="95">
      <c r="A95" t="inlineStr">
        <is>
          <t>Milho</t>
        </is>
      </c>
      <c r="B95" t="inlineStr">
        <is>
          <t>Maracaju - MS</t>
        </is>
      </c>
      <c r="C95" t="n">
        <v>-21.6105</v>
      </c>
      <c r="D95" t="n">
        <v>-55.1678</v>
      </c>
      <c r="E95" t="inlineStr">
        <is>
          <t>2021-04</t>
        </is>
      </c>
      <c r="F95" t="n">
        <v>37867.20841588996</v>
      </c>
    </row>
    <row r="96">
      <c r="A96" t="inlineStr">
        <is>
          <t>Milho</t>
        </is>
      </c>
      <c r="B96" t="inlineStr">
        <is>
          <t>Maracaju - MS</t>
        </is>
      </c>
      <c r="C96" t="n">
        <v>-21.6105</v>
      </c>
      <c r="D96" t="n">
        <v>-55.1678</v>
      </c>
      <c r="E96" t="inlineStr">
        <is>
          <t>2021-05</t>
        </is>
      </c>
      <c r="F96" t="n">
        <v>15678.06985038565</v>
      </c>
    </row>
    <row r="97">
      <c r="A97" t="inlineStr">
        <is>
          <t>Milho</t>
        </is>
      </c>
      <c r="B97" t="inlineStr">
        <is>
          <t>Maracaju - MS</t>
        </is>
      </c>
      <c r="C97" t="n">
        <v>-21.6105</v>
      </c>
      <c r="D97" t="n">
        <v>-55.1678</v>
      </c>
      <c r="E97" t="inlineStr">
        <is>
          <t>2021-06</t>
        </is>
      </c>
      <c r="F97" t="n">
        <v>0</v>
      </c>
    </row>
    <row r="98">
      <c r="A98" t="inlineStr">
        <is>
          <t>Milho</t>
        </is>
      </c>
      <c r="B98" t="inlineStr">
        <is>
          <t>Sorriso - MT</t>
        </is>
      </c>
      <c r="C98" t="n">
        <v>-12.5425</v>
      </c>
      <c r="D98" t="n">
        <v>-55.7211</v>
      </c>
      <c r="E98" t="inlineStr">
        <is>
          <t>2021-01</t>
        </is>
      </c>
      <c r="F98" t="n">
        <v>0</v>
      </c>
    </row>
    <row r="99">
      <c r="A99" t="inlineStr">
        <is>
          <t>Milho</t>
        </is>
      </c>
      <c r="B99" t="inlineStr">
        <is>
          <t>Sorriso - MT</t>
        </is>
      </c>
      <c r="C99" t="n">
        <v>-12.5425</v>
      </c>
      <c r="D99" t="n">
        <v>-55.7211</v>
      </c>
      <c r="E99" t="inlineStr">
        <is>
          <t>2021-02</t>
        </is>
      </c>
      <c r="F99" t="n">
        <v>159074.3618043508</v>
      </c>
    </row>
    <row r="100">
      <c r="A100" t="inlineStr">
        <is>
          <t>Milho</t>
        </is>
      </c>
      <c r="B100" t="inlineStr">
        <is>
          <t>Sorriso - MT</t>
        </is>
      </c>
      <c r="C100" t="n">
        <v>-12.5425</v>
      </c>
      <c r="D100" t="n">
        <v>-55.7211</v>
      </c>
      <c r="E100" t="inlineStr">
        <is>
          <t>2021-03</t>
        </is>
      </c>
      <c r="F100" t="n">
        <v>160270.2524023473</v>
      </c>
    </row>
    <row r="101">
      <c r="A101" t="inlineStr">
        <is>
          <t>Milho</t>
        </is>
      </c>
      <c r="B101" t="inlineStr">
        <is>
          <t>Sorriso - MT</t>
        </is>
      </c>
      <c r="C101" t="n">
        <v>-12.5425</v>
      </c>
      <c r="D101" t="n">
        <v>-55.7211</v>
      </c>
      <c r="E101" t="inlineStr">
        <is>
          <t>2021-04</t>
        </is>
      </c>
      <c r="F101" t="n">
        <v>131955.8658017608</v>
      </c>
    </row>
    <row r="102">
      <c r="A102" t="inlineStr">
        <is>
          <t>Milho</t>
        </is>
      </c>
      <c r="B102" t="inlineStr">
        <is>
          <t>Sorriso - MT</t>
        </is>
      </c>
      <c r="C102" t="n">
        <v>-12.5425</v>
      </c>
      <c r="D102" t="n">
        <v>-55.7211</v>
      </c>
      <c r="E102" t="inlineStr">
        <is>
          <t>2021-05</t>
        </is>
      </c>
      <c r="F102" t="n">
        <v>54633.37192661912</v>
      </c>
    </row>
    <row r="103">
      <c r="A103" t="inlineStr">
        <is>
          <t>Milho</t>
        </is>
      </c>
      <c r="B103" t="inlineStr">
        <is>
          <t>Sorriso - MT</t>
        </is>
      </c>
      <c r="C103" t="n">
        <v>-12.5425</v>
      </c>
      <c r="D103" t="n">
        <v>-55.7211</v>
      </c>
      <c r="E103" t="inlineStr">
        <is>
          <t>2021-06</t>
        </is>
      </c>
      <c r="F103" t="n">
        <v>48930.49595726086</v>
      </c>
    </row>
    <row r="104">
      <c r="A104" t="inlineStr">
        <is>
          <t>Milho</t>
        </is>
      </c>
      <c r="B104" t="inlineStr">
        <is>
          <t>Santana do Araguaia - PA</t>
        </is>
      </c>
      <c r="C104" t="n">
        <v>-9.328099999999999</v>
      </c>
      <c r="D104" t="n">
        <v>-50.35</v>
      </c>
      <c r="E104" t="inlineStr">
        <is>
          <t>2021-01</t>
        </is>
      </c>
      <c r="F104" t="n">
        <v>0</v>
      </c>
    </row>
    <row r="105">
      <c r="A105" t="inlineStr">
        <is>
          <t>Milho</t>
        </is>
      </c>
      <c r="B105" t="inlineStr">
        <is>
          <t>Santana do Araguaia - PA</t>
        </is>
      </c>
      <c r="C105" t="n">
        <v>-9.328099999999999</v>
      </c>
      <c r="D105" t="n">
        <v>-50.35</v>
      </c>
      <c r="E105" t="inlineStr">
        <is>
          <t>2021-02</t>
        </is>
      </c>
      <c r="F105" t="n">
        <v>193939.9753505099</v>
      </c>
    </row>
    <row r="106">
      <c r="A106" t="inlineStr">
        <is>
          <t>Milho</t>
        </is>
      </c>
      <c r="B106" t="inlineStr">
        <is>
          <t>Santana do Araguaia - PA</t>
        </is>
      </c>
      <c r="C106" t="n">
        <v>-9.328099999999999</v>
      </c>
      <c r="D106" t="n">
        <v>-50.35</v>
      </c>
      <c r="E106" t="inlineStr">
        <is>
          <t>2021-03</t>
        </is>
      </c>
      <c r="F106" t="n">
        <v>117238.7873737719</v>
      </c>
    </row>
    <row r="107">
      <c r="A107" t="inlineStr">
        <is>
          <t>Milho</t>
        </is>
      </c>
      <c r="B107" t="inlineStr">
        <is>
          <t>Santana do Araguaia - PA</t>
        </is>
      </c>
      <c r="C107" t="n">
        <v>-9.328099999999999</v>
      </c>
      <c r="D107" t="n">
        <v>-50.35</v>
      </c>
      <c r="E107" t="inlineStr">
        <is>
          <t>2021-04</t>
        </is>
      </c>
      <c r="F107" t="n">
        <v>160877.6994021469</v>
      </c>
    </row>
    <row r="108">
      <c r="A108" t="inlineStr">
        <is>
          <t>Milho</t>
        </is>
      </c>
      <c r="B108" t="inlineStr">
        <is>
          <t>Santana do Araguaia - PA</t>
        </is>
      </c>
      <c r="C108" t="n">
        <v>-9.328099999999999</v>
      </c>
      <c r="D108" t="n">
        <v>-50.35</v>
      </c>
      <c r="E108" t="inlineStr">
        <is>
          <t>2021-05</t>
        </is>
      </c>
      <c r="F108" t="n">
        <v>111013.0160152763</v>
      </c>
    </row>
    <row r="109">
      <c r="A109" t="inlineStr">
        <is>
          <t>Milho</t>
        </is>
      </c>
      <c r="B109" t="inlineStr">
        <is>
          <t>Santana do Araguaia - PA</t>
        </is>
      </c>
      <c r="C109" t="n">
        <v>-9.328099999999999</v>
      </c>
      <c r="D109" t="n">
        <v>-50.35</v>
      </c>
      <c r="E109" t="inlineStr">
        <is>
          <t>2021-06</t>
        </is>
      </c>
      <c r="F109" t="n">
        <v>59654.98822186598</v>
      </c>
    </row>
    <row r="110">
      <c r="A110" t="inlineStr">
        <is>
          <t>Milho</t>
        </is>
      </c>
      <c r="B110" t="inlineStr">
        <is>
          <t>Exu - PE</t>
        </is>
      </c>
      <c r="C110" t="n">
        <v>-7.50364</v>
      </c>
      <c r="D110" t="n">
        <v>-39.7238</v>
      </c>
      <c r="E110" t="inlineStr">
        <is>
          <t>2021-01</t>
        </is>
      </c>
      <c r="F110" t="n">
        <v>0</v>
      </c>
    </row>
    <row r="111">
      <c r="A111" t="inlineStr">
        <is>
          <t>Milho</t>
        </is>
      </c>
      <c r="B111" t="inlineStr">
        <is>
          <t>Exu - PE</t>
        </is>
      </c>
      <c r="C111" t="n">
        <v>-7.50364</v>
      </c>
      <c r="D111" t="n">
        <v>-39.7238</v>
      </c>
      <c r="E111" t="inlineStr">
        <is>
          <t>2021-02</t>
        </is>
      </c>
      <c r="F111" t="n">
        <v>0</v>
      </c>
    </row>
    <row r="112">
      <c r="A112" t="inlineStr">
        <is>
          <t>Milho</t>
        </is>
      </c>
      <c r="B112" t="inlineStr">
        <is>
          <t>Exu - PE</t>
        </is>
      </c>
      <c r="C112" t="n">
        <v>-7.50364</v>
      </c>
      <c r="D112" t="n">
        <v>-39.7238</v>
      </c>
      <c r="E112" t="inlineStr">
        <is>
          <t>2021-03</t>
        </is>
      </c>
      <c r="F112" t="n">
        <v>0</v>
      </c>
    </row>
    <row r="113">
      <c r="A113" t="inlineStr">
        <is>
          <t>Milho</t>
        </is>
      </c>
      <c r="B113" t="inlineStr">
        <is>
          <t>Exu - PE</t>
        </is>
      </c>
      <c r="C113" t="n">
        <v>-7.50364</v>
      </c>
      <c r="D113" t="n">
        <v>-39.7238</v>
      </c>
      <c r="E113" t="inlineStr">
        <is>
          <t>2021-04</t>
        </is>
      </c>
      <c r="F113" t="n">
        <v>0</v>
      </c>
    </row>
    <row r="114">
      <c r="A114" t="inlineStr">
        <is>
          <t>Milho</t>
        </is>
      </c>
      <c r="B114" t="inlineStr">
        <is>
          <t>Exu - PE</t>
        </is>
      </c>
      <c r="C114" t="n">
        <v>-7.50364</v>
      </c>
      <c r="D114" t="n">
        <v>-39.7238</v>
      </c>
      <c r="E114" t="inlineStr">
        <is>
          <t>2021-05</t>
        </is>
      </c>
      <c r="F114" t="n">
        <v>0</v>
      </c>
    </row>
    <row r="115">
      <c r="A115" t="inlineStr">
        <is>
          <t>Milho</t>
        </is>
      </c>
      <c r="B115" t="inlineStr">
        <is>
          <t>Exu - PE</t>
        </is>
      </c>
      <c r="C115" t="n">
        <v>-7.50364</v>
      </c>
      <c r="D115" t="n">
        <v>-39.7238</v>
      </c>
      <c r="E115" t="inlineStr">
        <is>
          <t>2021-06</t>
        </is>
      </c>
      <c r="F115" t="n">
        <v>0</v>
      </c>
    </row>
    <row r="116">
      <c r="A116" t="inlineStr">
        <is>
          <t>Milho</t>
        </is>
      </c>
      <c r="B116" t="inlineStr">
        <is>
          <t>Baixa Grande do Ribeiro - PI</t>
        </is>
      </c>
      <c r="C116" t="n">
        <v>-7.84903</v>
      </c>
      <c r="D116" t="n">
        <v>-45.219</v>
      </c>
      <c r="E116" t="inlineStr">
        <is>
          <t>2021-01</t>
        </is>
      </c>
      <c r="F116" t="n">
        <v>0</v>
      </c>
    </row>
    <row r="117">
      <c r="A117" t="inlineStr">
        <is>
          <t>Milho</t>
        </is>
      </c>
      <c r="B117" t="inlineStr">
        <is>
          <t>Baixa Grande do Ribeiro - PI</t>
        </is>
      </c>
      <c r="C117" t="n">
        <v>-7.84903</v>
      </c>
      <c r="D117" t="n">
        <v>-45.219</v>
      </c>
      <c r="E117" t="inlineStr">
        <is>
          <t>2021-02</t>
        </is>
      </c>
      <c r="F117" t="n">
        <v>356853.7053132174</v>
      </c>
    </row>
    <row r="118">
      <c r="A118" t="inlineStr">
        <is>
          <t>Milho</t>
        </is>
      </c>
      <c r="B118" t="inlineStr">
        <is>
          <t>Baixa Grande do Ribeiro - PI</t>
        </is>
      </c>
      <c r="C118" t="n">
        <v>-7.84903</v>
      </c>
      <c r="D118" t="n">
        <v>-45.219</v>
      </c>
      <c r="E118" t="inlineStr">
        <is>
          <t>2021-03</t>
        </is>
      </c>
      <c r="F118" t="n">
        <v>431443.7557821311</v>
      </c>
    </row>
    <row r="119">
      <c r="A119" t="inlineStr">
        <is>
          <t>Milho</t>
        </is>
      </c>
      <c r="B119" t="inlineStr">
        <is>
          <t>Baixa Grande do Ribeiro - PI</t>
        </is>
      </c>
      <c r="C119" t="n">
        <v>-7.84903</v>
      </c>
      <c r="D119" t="n">
        <v>-45.219</v>
      </c>
      <c r="E119" t="inlineStr">
        <is>
          <t>2021-04</t>
        </is>
      </c>
      <c r="F119" t="n">
        <v>592036.8199507575</v>
      </c>
    </row>
    <row r="120">
      <c r="A120" t="inlineStr">
        <is>
          <t>Milho</t>
        </is>
      </c>
      <c r="B120" t="inlineStr">
        <is>
          <t>Baixa Grande do Ribeiro - PI</t>
        </is>
      </c>
      <c r="C120" t="n">
        <v>-7.84903</v>
      </c>
      <c r="D120" t="n">
        <v>-45.219</v>
      </c>
      <c r="E120" t="inlineStr">
        <is>
          <t>2021-05</t>
        </is>
      </c>
      <c r="F120" t="n">
        <v>408532.6506972018</v>
      </c>
    </row>
    <row r="121">
      <c r="A121" t="inlineStr">
        <is>
          <t>Milho</t>
        </is>
      </c>
      <c r="B121" t="inlineStr">
        <is>
          <t>Baixa Grande do Ribeiro - PI</t>
        </is>
      </c>
      <c r="C121" t="n">
        <v>-7.84903</v>
      </c>
      <c r="D121" t="n">
        <v>-45.219</v>
      </c>
      <c r="E121" t="inlineStr">
        <is>
          <t>2021-06</t>
        </is>
      </c>
      <c r="F121" t="n">
        <v>219532.9101070061</v>
      </c>
    </row>
    <row r="122">
      <c r="A122" t="inlineStr">
        <is>
          <t>Milho</t>
        </is>
      </c>
      <c r="B122" t="inlineStr">
        <is>
          <t>Toledo - PR</t>
        </is>
      </c>
      <c r="C122" t="n">
        <v>-24.7246</v>
      </c>
      <c r="D122" t="n">
        <v>-53.7412</v>
      </c>
      <c r="E122" t="inlineStr">
        <is>
          <t>2021-01</t>
        </is>
      </c>
      <c r="F122" t="n">
        <v>1673896.25966114</v>
      </c>
    </row>
    <row r="123">
      <c r="A123" t="inlineStr">
        <is>
          <t>Milho</t>
        </is>
      </c>
      <c r="B123" t="inlineStr">
        <is>
          <t>Toledo - PR</t>
        </is>
      </c>
      <c r="C123" t="n">
        <v>-24.7246</v>
      </c>
      <c r="D123" t="n">
        <v>-53.7412</v>
      </c>
      <c r="E123" t="inlineStr">
        <is>
          <t>2021-02</t>
        </is>
      </c>
      <c r="F123" t="n">
        <v>979869.0140368456</v>
      </c>
    </row>
    <row r="124">
      <c r="A124" t="inlineStr">
        <is>
          <t>Milho</t>
        </is>
      </c>
      <c r="B124" t="inlineStr">
        <is>
          <t>Toledo - PR</t>
        </is>
      </c>
      <c r="C124" t="n">
        <v>-24.7246</v>
      </c>
      <c r="D124" t="n">
        <v>-53.7412</v>
      </c>
      <c r="E124" t="inlineStr">
        <is>
          <t>2021-03</t>
        </is>
      </c>
      <c r="F124" t="n">
        <v>987235.4816929979</v>
      </c>
    </row>
    <row r="125">
      <c r="A125" t="inlineStr">
        <is>
          <t>Milho</t>
        </is>
      </c>
      <c r="B125" t="inlineStr">
        <is>
          <t>Toledo - PR</t>
        </is>
      </c>
      <c r="C125" t="n">
        <v>-24.7246</v>
      </c>
      <c r="D125" t="n">
        <v>-53.7412</v>
      </c>
      <c r="E125" t="inlineStr">
        <is>
          <t>2021-04</t>
        </is>
      </c>
      <c r="F125" t="n">
        <v>812824.0318108468</v>
      </c>
    </row>
    <row r="126">
      <c r="A126" t="inlineStr">
        <is>
          <t>Milho</t>
        </is>
      </c>
      <c r="B126" t="inlineStr">
        <is>
          <t>Toledo - PR</t>
        </is>
      </c>
      <c r="C126" t="n">
        <v>-24.7246</v>
      </c>
      <c r="D126" t="n">
        <v>-53.7412</v>
      </c>
      <c r="E126" t="inlineStr">
        <is>
          <t>2021-05</t>
        </is>
      </c>
      <c r="F126" t="n">
        <v>336531.5923699049</v>
      </c>
    </row>
    <row r="127">
      <c r="A127" t="inlineStr">
        <is>
          <t>Milho</t>
        </is>
      </c>
      <c r="B127" t="inlineStr">
        <is>
          <t>Toledo - PR</t>
        </is>
      </c>
      <c r="C127" t="n">
        <v>-24.7246</v>
      </c>
      <c r="D127" t="n">
        <v>-53.7412</v>
      </c>
      <c r="E127" t="inlineStr">
        <is>
          <t>2021-06</t>
        </is>
      </c>
      <c r="F127" t="n">
        <v>150701.4590099199</v>
      </c>
    </row>
    <row r="128">
      <c r="A128" t="inlineStr">
        <is>
          <t>Milho</t>
        </is>
      </c>
      <c r="B128" t="inlineStr">
        <is>
          <t>Macaé - RJ</t>
        </is>
      </c>
      <c r="C128" t="n">
        <v>-22.3768</v>
      </c>
      <c r="D128" t="n">
        <v>-41.7848</v>
      </c>
      <c r="E128" t="inlineStr">
        <is>
          <t>2021-01</t>
        </is>
      </c>
      <c r="F128" t="n">
        <v>0</v>
      </c>
    </row>
    <row r="129">
      <c r="A129" t="inlineStr">
        <is>
          <t>Milho</t>
        </is>
      </c>
      <c r="B129" t="inlineStr">
        <is>
          <t>Macaé - RJ</t>
        </is>
      </c>
      <c r="C129" t="n">
        <v>-22.3768</v>
      </c>
      <c r="D129" t="n">
        <v>-41.7848</v>
      </c>
      <c r="E129" t="inlineStr">
        <is>
          <t>2021-02</t>
        </is>
      </c>
      <c r="F129" t="n">
        <v>1293.841127689497</v>
      </c>
    </row>
    <row r="130">
      <c r="A130" t="inlineStr">
        <is>
          <t>Milho</t>
        </is>
      </c>
      <c r="B130" t="inlineStr">
        <is>
          <t>Macaé - RJ</t>
        </is>
      </c>
      <c r="C130" t="n">
        <v>-22.3768</v>
      </c>
      <c r="D130" t="n">
        <v>-41.7848</v>
      </c>
      <c r="E130" t="inlineStr">
        <is>
          <t>2021-03</t>
        </is>
      </c>
      <c r="F130" t="n">
        <v>1303.567977587585</v>
      </c>
    </row>
    <row r="131">
      <c r="A131" t="inlineStr">
        <is>
          <t>Milho</t>
        </is>
      </c>
      <c r="B131" t="inlineStr">
        <is>
          <t>Macaé - RJ</t>
        </is>
      </c>
      <c r="C131" t="n">
        <v>-22.3768</v>
      </c>
      <c r="D131" t="n">
        <v>-41.7848</v>
      </c>
      <c r="E131" t="inlineStr">
        <is>
          <t>2021-04</t>
        </is>
      </c>
      <c r="F131" t="n">
        <v>1073.271168764322</v>
      </c>
    </row>
    <row r="132">
      <c r="A132" t="inlineStr">
        <is>
          <t>Milho</t>
        </is>
      </c>
      <c r="B132" t="inlineStr">
        <is>
          <t>Macaé - RJ</t>
        </is>
      </c>
      <c r="C132" t="n">
        <v>-22.3768</v>
      </c>
      <c r="D132" t="n">
        <v>-41.7848</v>
      </c>
      <c r="E132" t="inlineStr">
        <is>
          <t>2021-05</t>
        </is>
      </c>
      <c r="F132" t="n">
        <v>444.3638983757548</v>
      </c>
    </row>
    <row r="133">
      <c r="A133" t="inlineStr">
        <is>
          <t>Milho</t>
        </is>
      </c>
      <c r="B133" t="inlineStr">
        <is>
          <t>Macaé - RJ</t>
        </is>
      </c>
      <c r="C133" t="n">
        <v>-22.3768</v>
      </c>
      <c r="D133" t="n">
        <v>-41.7848</v>
      </c>
      <c r="E133" t="inlineStr">
        <is>
          <t>2021-06</t>
        </is>
      </c>
      <c r="F133" t="n">
        <v>0</v>
      </c>
    </row>
    <row r="134">
      <c r="A134" t="inlineStr">
        <is>
          <t>Milho</t>
        </is>
      </c>
      <c r="B134" t="inlineStr">
        <is>
          <t>Pimenteiras do Oeste - RO</t>
        </is>
      </c>
      <c r="C134" t="n">
        <v>-13.4823</v>
      </c>
      <c r="D134" t="n">
        <v>-61.0471</v>
      </c>
      <c r="E134" t="inlineStr">
        <is>
          <t>2021-01</t>
        </is>
      </c>
      <c r="F134" t="n">
        <v>25437.26710382008</v>
      </c>
    </row>
    <row r="135">
      <c r="A135" t="inlineStr">
        <is>
          <t>Milho</t>
        </is>
      </c>
      <c r="B135" t="inlineStr">
        <is>
          <t>Pimenteiras do Oeste - RO</t>
        </is>
      </c>
      <c r="C135" t="n">
        <v>-13.4823</v>
      </c>
      <c r="D135" t="n">
        <v>-61.0471</v>
      </c>
      <c r="E135" t="inlineStr">
        <is>
          <t>2021-02</t>
        </is>
      </c>
      <c r="F135" t="n">
        <v>34744.55238801261</v>
      </c>
    </row>
    <row r="136">
      <c r="A136" t="inlineStr">
        <is>
          <t>Milho</t>
        </is>
      </c>
      <c r="B136" t="inlineStr">
        <is>
          <t>Pimenteiras do Oeste - RO</t>
        </is>
      </c>
      <c r="C136" t="n">
        <v>-13.4823</v>
      </c>
      <c r="D136" t="n">
        <v>-61.0471</v>
      </c>
      <c r="E136" t="inlineStr">
        <is>
          <t>2021-03</t>
        </is>
      </c>
      <c r="F136" t="n">
        <v>9001.479929446883</v>
      </c>
    </row>
    <row r="137">
      <c r="A137" t="inlineStr">
        <is>
          <t>Milho</t>
        </is>
      </c>
      <c r="B137" t="inlineStr">
        <is>
          <t>Pimenteiras do Oeste - RO</t>
        </is>
      </c>
      <c r="C137" t="n">
        <v>-13.4823</v>
      </c>
      <c r="D137" t="n">
        <v>-61.0471</v>
      </c>
      <c r="E137" t="inlineStr">
        <is>
          <t>2021-04</t>
        </is>
      </c>
      <c r="F137" t="n">
        <v>7411.219860098881</v>
      </c>
    </row>
    <row r="138">
      <c r="A138" t="inlineStr">
        <is>
          <t>Milho</t>
        </is>
      </c>
      <c r="B138" t="inlineStr">
        <is>
          <t>Pimenteiras do Oeste - RO</t>
        </is>
      </c>
      <c r="C138" t="n">
        <v>-13.4823</v>
      </c>
      <c r="D138" t="n">
        <v>-61.0471</v>
      </c>
      <c r="E138" t="inlineStr">
        <is>
          <t>2021-05</t>
        </is>
      </c>
      <c r="F138" t="n">
        <v>0</v>
      </c>
    </row>
    <row r="139">
      <c r="A139" t="inlineStr">
        <is>
          <t>Milho</t>
        </is>
      </c>
      <c r="B139" t="inlineStr">
        <is>
          <t>Pimenteiras do Oeste - RO</t>
        </is>
      </c>
      <c r="C139" t="n">
        <v>-13.4823</v>
      </c>
      <c r="D139" t="n">
        <v>-61.0471</v>
      </c>
      <c r="E139" t="inlineStr">
        <is>
          <t>2021-06</t>
        </is>
      </c>
      <c r="F139" t="n">
        <v>0</v>
      </c>
    </row>
    <row r="140">
      <c r="A140" t="inlineStr">
        <is>
          <t>Milho</t>
        </is>
      </c>
      <c r="B140" t="inlineStr">
        <is>
          <t>Palmeira das Missões - RS</t>
        </is>
      </c>
      <c r="C140" t="n">
        <v>-27.9007</v>
      </c>
      <c r="D140" t="n">
        <v>-53.3134</v>
      </c>
      <c r="E140" t="inlineStr">
        <is>
          <t>2021-01</t>
        </is>
      </c>
      <c r="F140" t="n">
        <v>1881793.746456442</v>
      </c>
    </row>
    <row r="141">
      <c r="A141" t="inlineStr">
        <is>
          <t>Milho</t>
        </is>
      </c>
      <c r="B141" t="inlineStr">
        <is>
          <t>Palmeira das Missões - RS</t>
        </is>
      </c>
      <c r="C141" t="n">
        <v>-27.9007</v>
      </c>
      <c r="D141" t="n">
        <v>-53.3134</v>
      </c>
      <c r="E141" t="inlineStr">
        <is>
          <t>2021-02</t>
        </is>
      </c>
      <c r="F141" t="n">
        <v>1101568.494653458</v>
      </c>
    </row>
    <row r="142">
      <c r="A142" t="inlineStr">
        <is>
          <t>Milho</t>
        </is>
      </c>
      <c r="B142" t="inlineStr">
        <is>
          <t>Palmeira das Missões - RS</t>
        </is>
      </c>
      <c r="C142" t="n">
        <v>-27.9007</v>
      </c>
      <c r="D142" t="n">
        <v>-53.3134</v>
      </c>
      <c r="E142" t="inlineStr">
        <is>
          <t>2021-03</t>
        </is>
      </c>
      <c r="F142" t="n">
        <v>1553789.825988518</v>
      </c>
    </row>
    <row r="143">
      <c r="A143" t="inlineStr">
        <is>
          <t>Milho</t>
        </is>
      </c>
      <c r="B143" t="inlineStr">
        <is>
          <t>Palmeira das Missões - RS</t>
        </is>
      </c>
      <c r="C143" t="n">
        <v>-27.9007</v>
      </c>
      <c r="D143" t="n">
        <v>-53.3134</v>
      </c>
      <c r="E143" t="inlineStr">
        <is>
          <t>2021-04</t>
        </is>
      </c>
      <c r="F143" t="n">
        <v>1279287.195777071</v>
      </c>
    </row>
    <row r="144">
      <c r="A144" t="inlineStr">
        <is>
          <t>Milho</t>
        </is>
      </c>
      <c r="B144" t="inlineStr">
        <is>
          <t>Palmeira das Missões - RS</t>
        </is>
      </c>
      <c r="C144" t="n">
        <v>-27.9007</v>
      </c>
      <c r="D144" t="n">
        <v>-53.3134</v>
      </c>
      <c r="E144" t="inlineStr">
        <is>
          <t>2021-05</t>
        </is>
      </c>
      <c r="F144" t="n">
        <v>378328.729962582</v>
      </c>
    </row>
    <row r="145">
      <c r="A145" t="inlineStr">
        <is>
          <t>Milho</t>
        </is>
      </c>
      <c r="B145" t="inlineStr">
        <is>
          <t>Palmeira das Missões - RS</t>
        </is>
      </c>
      <c r="C145" t="n">
        <v>-27.9007</v>
      </c>
      <c r="D145" t="n">
        <v>-53.3134</v>
      </c>
      <c r="E145" t="inlineStr">
        <is>
          <t>2021-06</t>
        </is>
      </c>
      <c r="F145" t="n">
        <v>338837.083254058</v>
      </c>
    </row>
    <row r="146">
      <c r="A146" t="inlineStr">
        <is>
          <t>Milho</t>
        </is>
      </c>
      <c r="B146" t="inlineStr">
        <is>
          <t>Campos Novos - SC</t>
        </is>
      </c>
      <c r="C146" t="n">
        <v>-27.4002</v>
      </c>
      <c r="D146" t="n">
        <v>-51.2276</v>
      </c>
      <c r="E146" t="inlineStr">
        <is>
          <t>2021-01</t>
        </is>
      </c>
      <c r="F146" t="n">
        <v>848736.1316591696</v>
      </c>
    </row>
    <row r="147">
      <c r="A147" t="inlineStr">
        <is>
          <t>Milho</t>
        </is>
      </c>
      <c r="B147" t="inlineStr">
        <is>
          <t>Campos Novos - SC</t>
        </is>
      </c>
      <c r="C147" t="n">
        <v>-27.4002</v>
      </c>
      <c r="D147" t="n">
        <v>-51.2276</v>
      </c>
      <c r="E147" t="inlineStr">
        <is>
          <t>2021-02</t>
        </is>
      </c>
      <c r="F147" t="n">
        <v>496834.993032767</v>
      </c>
    </row>
    <row r="148">
      <c r="A148" t="inlineStr">
        <is>
          <t>Milho</t>
        </is>
      </c>
      <c r="B148" t="inlineStr">
        <is>
          <t>Campos Novos - SC</t>
        </is>
      </c>
      <c r="C148" t="n">
        <v>-27.4002</v>
      </c>
      <c r="D148" t="n">
        <v>-51.2276</v>
      </c>
      <c r="E148" t="inlineStr">
        <is>
          <t>2021-03</t>
        </is>
      </c>
      <c r="F148" t="n">
        <v>700798.1447510857</v>
      </c>
    </row>
    <row r="149">
      <c r="A149" t="inlineStr">
        <is>
          <t>Milho</t>
        </is>
      </c>
      <c r="B149" t="inlineStr">
        <is>
          <t>Campos Novos - SC</t>
        </is>
      </c>
      <c r="C149" t="n">
        <v>-27.4002</v>
      </c>
      <c r="D149" t="n">
        <v>-51.2276</v>
      </c>
      <c r="E149" t="inlineStr">
        <is>
          <t>2021-04</t>
        </is>
      </c>
      <c r="F149" t="n">
        <v>576990.5803276995</v>
      </c>
    </row>
    <row r="150">
      <c r="A150" t="inlineStr">
        <is>
          <t>Milho</t>
        </is>
      </c>
      <c r="B150" t="inlineStr">
        <is>
          <t>Campos Novos - SC</t>
        </is>
      </c>
      <c r="C150" t="n">
        <v>-27.4002</v>
      </c>
      <c r="D150" t="n">
        <v>-51.2276</v>
      </c>
      <c r="E150" t="inlineStr">
        <is>
          <t>2021-05</t>
        </is>
      </c>
      <c r="F150" t="n">
        <v>170635.7369762899</v>
      </c>
    </row>
    <row r="151">
      <c r="A151" t="inlineStr">
        <is>
          <t>Milho</t>
        </is>
      </c>
      <c r="B151" t="inlineStr">
        <is>
          <t>Campos Novos - SC</t>
        </is>
      </c>
      <c r="C151" t="n">
        <v>-27.4002</v>
      </c>
      <c r="D151" t="n">
        <v>-51.2276</v>
      </c>
      <c r="E151" t="inlineStr">
        <is>
          <t>2021-06</t>
        </is>
      </c>
      <c r="F151" t="n">
        <v>152824.014770623</v>
      </c>
    </row>
    <row r="152">
      <c r="A152" t="inlineStr">
        <is>
          <t>Milho</t>
        </is>
      </c>
      <c r="B152" t="inlineStr">
        <is>
          <t>Itapeva - SP</t>
        </is>
      </c>
      <c r="C152" t="n">
        <v>-23.9788</v>
      </c>
      <c r="D152" t="n">
        <v>-48.8764</v>
      </c>
      <c r="E152" t="inlineStr">
        <is>
          <t>2021-01</t>
        </is>
      </c>
      <c r="F152" t="n">
        <v>986441.4257478099</v>
      </c>
    </row>
    <row r="153">
      <c r="A153" t="inlineStr">
        <is>
          <t>Milho</t>
        </is>
      </c>
      <c r="B153" t="inlineStr">
        <is>
          <t>Itapeva - SP</t>
        </is>
      </c>
      <c r="C153" t="n">
        <v>-23.9788</v>
      </c>
      <c r="D153" t="n">
        <v>-48.8764</v>
      </c>
      <c r="E153" t="inlineStr">
        <is>
          <t>2021-02</t>
        </is>
      </c>
      <c r="F153" t="n">
        <v>577445.2160185125</v>
      </c>
    </row>
    <row r="154">
      <c r="A154" t="inlineStr">
        <is>
          <t>Milho</t>
        </is>
      </c>
      <c r="B154" t="inlineStr">
        <is>
          <t>Itapeva - SP</t>
        </is>
      </c>
      <c r="C154" t="n">
        <v>-23.9788</v>
      </c>
      <c r="D154" t="n">
        <v>-48.8764</v>
      </c>
      <c r="E154" t="inlineStr">
        <is>
          <t>2021-03</t>
        </is>
      </c>
      <c r="F154" t="n">
        <v>581786.3386033319</v>
      </c>
    </row>
    <row r="155">
      <c r="A155" t="inlineStr">
        <is>
          <t>Milho</t>
        </is>
      </c>
      <c r="B155" t="inlineStr">
        <is>
          <t>Itapeva - SP</t>
        </is>
      </c>
      <c r="C155" t="n">
        <v>-23.9788</v>
      </c>
      <c r="D155" t="n">
        <v>-48.8764</v>
      </c>
      <c r="E155" t="inlineStr">
        <is>
          <t>2021-04</t>
        </is>
      </c>
      <c r="F155" t="n">
        <v>479004.1749563921</v>
      </c>
    </row>
    <row r="156">
      <c r="A156" t="inlineStr">
        <is>
          <t>Milho</t>
        </is>
      </c>
      <c r="B156" t="inlineStr">
        <is>
          <t>Itapeva - SP</t>
        </is>
      </c>
      <c r="C156" t="n">
        <v>-23.9788</v>
      </c>
      <c r="D156" t="n">
        <v>-48.8764</v>
      </c>
      <c r="E156" t="inlineStr">
        <is>
          <t>2021-05</t>
        </is>
      </c>
      <c r="F156" t="n">
        <v>198320.9544023671</v>
      </c>
    </row>
    <row r="157">
      <c r="A157" t="inlineStr">
        <is>
          <t>Milho</t>
        </is>
      </c>
      <c r="B157" t="inlineStr">
        <is>
          <t>Itapeva - SP</t>
        </is>
      </c>
      <c r="C157" t="n">
        <v>-23.9788</v>
      </c>
      <c r="D157" t="n">
        <v>-48.8764</v>
      </c>
      <c r="E157" t="inlineStr">
        <is>
          <t>2021-06</t>
        </is>
      </c>
      <c r="F157" t="n">
        <v>177619.3252479273</v>
      </c>
    </row>
    <row r="158">
      <c r="A158" t="inlineStr">
        <is>
          <t>Milho</t>
        </is>
      </c>
      <c r="B158" t="inlineStr">
        <is>
          <t>Campos Lindos - TO</t>
        </is>
      </c>
      <c r="C158" t="n">
        <v>-7.98956</v>
      </c>
      <c r="D158" t="n">
        <v>-46.8645</v>
      </c>
      <c r="E158" t="inlineStr">
        <is>
          <t>2021-01</t>
        </is>
      </c>
      <c r="F158" t="n">
        <v>0</v>
      </c>
    </row>
    <row r="159">
      <c r="A159" t="inlineStr">
        <is>
          <t>Milho</t>
        </is>
      </c>
      <c r="B159" t="inlineStr">
        <is>
          <t>Campos Lindos - TO</t>
        </is>
      </c>
      <c r="C159" t="n">
        <v>-7.98956</v>
      </c>
      <c r="D159" t="n">
        <v>-46.8645</v>
      </c>
      <c r="E159" t="inlineStr">
        <is>
          <t>2021-02</t>
        </is>
      </c>
      <c r="F159" t="n">
        <v>37656.93796399153</v>
      </c>
    </row>
    <row r="160">
      <c r="A160" t="inlineStr">
        <is>
          <t>Milho</t>
        </is>
      </c>
      <c r="B160" t="inlineStr">
        <is>
          <t>Campos Lindos - TO</t>
        </is>
      </c>
      <c r="C160" t="n">
        <v>-7.98956</v>
      </c>
      <c r="D160" t="n">
        <v>-46.8645</v>
      </c>
      <c r="E160" t="inlineStr">
        <is>
          <t>2021-03</t>
        </is>
      </c>
      <c r="F160" t="n">
        <v>45528.04273723035</v>
      </c>
    </row>
    <row r="161">
      <c r="A161" t="inlineStr">
        <is>
          <t>Milho</t>
        </is>
      </c>
      <c r="B161" t="inlineStr">
        <is>
          <t>Campos Lindos - TO</t>
        </is>
      </c>
      <c r="C161" t="n">
        <v>-7.98956</v>
      </c>
      <c r="D161" t="n">
        <v>-46.8645</v>
      </c>
      <c r="E161" t="inlineStr">
        <is>
          <t>2021-04</t>
        </is>
      </c>
      <c r="F161" t="n">
        <v>62474.6036522623</v>
      </c>
    </row>
    <row r="162">
      <c r="A162" t="inlineStr">
        <is>
          <t>Milho</t>
        </is>
      </c>
      <c r="B162" t="inlineStr">
        <is>
          <t>Campos Lindos - TO</t>
        </is>
      </c>
      <c r="C162" t="n">
        <v>-7.98956</v>
      </c>
      <c r="D162" t="n">
        <v>-46.8645</v>
      </c>
      <c r="E162" t="inlineStr">
        <is>
          <t>2021-05</t>
        </is>
      </c>
      <c r="F162" t="n">
        <v>43110.35153766056</v>
      </c>
    </row>
    <row r="163">
      <c r="A163" t="inlineStr">
        <is>
          <t>Milho</t>
        </is>
      </c>
      <c r="B163" t="inlineStr">
        <is>
          <t>Campos Lindos - TO</t>
        </is>
      </c>
      <c r="C163" t="n">
        <v>-7.98956</v>
      </c>
      <c r="D163" t="n">
        <v>-46.8645</v>
      </c>
      <c r="E163" t="inlineStr">
        <is>
          <t>2021-06</t>
        </is>
      </c>
      <c r="F163" t="n">
        <v>23166.18001681663</v>
      </c>
    </row>
    <row r="164">
      <c r="A164" t="inlineStr">
        <is>
          <t>Milho</t>
        </is>
      </c>
      <c r="B164" t="inlineStr">
        <is>
          <t>Senador Guiomard - AC</t>
        </is>
      </c>
      <c r="C164" t="n">
        <v>-10.1497</v>
      </c>
      <c r="D164" t="n">
        <v>-67.7362</v>
      </c>
      <c r="E164" t="inlineStr">
        <is>
          <t>2021-01</t>
        </is>
      </c>
      <c r="F164" t="n">
        <v>0</v>
      </c>
    </row>
    <row r="165">
      <c r="A165" t="inlineStr">
        <is>
          <t>Milho</t>
        </is>
      </c>
      <c r="B165" t="inlineStr">
        <is>
          <t>Senador Guiomard - AC</t>
        </is>
      </c>
      <c r="C165" t="n">
        <v>-10.1497</v>
      </c>
      <c r="D165" t="n">
        <v>-67.7362</v>
      </c>
      <c r="E165" t="inlineStr">
        <is>
          <t>2021-02</t>
        </is>
      </c>
      <c r="F165" t="n">
        <v>0</v>
      </c>
    </row>
    <row r="166">
      <c r="A166" t="inlineStr">
        <is>
          <t>Milho</t>
        </is>
      </c>
      <c r="B166" t="inlineStr">
        <is>
          <t>Senador Guiomard - AC</t>
        </is>
      </c>
      <c r="C166" t="n">
        <v>-10.1497</v>
      </c>
      <c r="D166" t="n">
        <v>-67.7362</v>
      </c>
      <c r="E166" t="inlineStr">
        <is>
          <t>2021-03</t>
        </is>
      </c>
      <c r="F166" t="n">
        <v>0</v>
      </c>
    </row>
    <row r="167">
      <c r="A167" t="inlineStr">
        <is>
          <t>Milho</t>
        </is>
      </c>
      <c r="B167" t="inlineStr">
        <is>
          <t>Senador Guiomard - AC</t>
        </is>
      </c>
      <c r="C167" t="n">
        <v>-10.1497</v>
      </c>
      <c r="D167" t="n">
        <v>-67.7362</v>
      </c>
      <c r="E167" t="inlineStr">
        <is>
          <t>2021-04</t>
        </is>
      </c>
      <c r="F167" t="n">
        <v>0</v>
      </c>
    </row>
    <row r="168">
      <c r="A168" t="inlineStr">
        <is>
          <t>Milho</t>
        </is>
      </c>
      <c r="B168" t="inlineStr">
        <is>
          <t>Senador Guiomard - AC</t>
        </is>
      </c>
      <c r="C168" t="n">
        <v>-10.1497</v>
      </c>
      <c r="D168" t="n">
        <v>-67.7362</v>
      </c>
      <c r="E168" t="inlineStr">
        <is>
          <t>2021-05</t>
        </is>
      </c>
      <c r="F168" t="n">
        <v>0</v>
      </c>
    </row>
    <row r="169">
      <c r="A169" t="inlineStr">
        <is>
          <t>Milho</t>
        </is>
      </c>
      <c r="B169" t="inlineStr">
        <is>
          <t>Senador Guiomard - AC</t>
        </is>
      </c>
      <c r="C169" t="n">
        <v>-10.1497</v>
      </c>
      <c r="D169" t="n">
        <v>-67.7362</v>
      </c>
      <c r="E169" t="inlineStr">
        <is>
          <t>2021-06</t>
        </is>
      </c>
      <c r="F169" t="n">
        <v>0</v>
      </c>
    </row>
    <row r="170">
      <c r="A170" t="inlineStr">
        <is>
          <t>Milho</t>
        </is>
      </c>
      <c r="B170" t="inlineStr">
        <is>
          <t>Humaitá - AM</t>
        </is>
      </c>
      <c r="C170" t="n">
        <v>-7.51171</v>
      </c>
      <c r="D170" t="n">
        <v>-63.0327</v>
      </c>
      <c r="E170" t="inlineStr">
        <is>
          <t>2021-01</t>
        </is>
      </c>
      <c r="F170" t="n">
        <v>0</v>
      </c>
    </row>
    <row r="171">
      <c r="A171" t="inlineStr">
        <is>
          <t>Milho</t>
        </is>
      </c>
      <c r="B171" t="inlineStr">
        <is>
          <t>Humaitá - AM</t>
        </is>
      </c>
      <c r="C171" t="n">
        <v>-7.51171</v>
      </c>
      <c r="D171" t="n">
        <v>-63.0327</v>
      </c>
      <c r="E171" t="inlineStr">
        <is>
          <t>2021-02</t>
        </is>
      </c>
      <c r="F171" t="n">
        <v>0</v>
      </c>
    </row>
    <row r="172">
      <c r="A172" t="inlineStr">
        <is>
          <t>Milho</t>
        </is>
      </c>
      <c r="B172" t="inlineStr">
        <is>
          <t>Humaitá - AM</t>
        </is>
      </c>
      <c r="C172" t="n">
        <v>-7.51171</v>
      </c>
      <c r="D172" t="n">
        <v>-63.0327</v>
      </c>
      <c r="E172" t="inlineStr">
        <is>
          <t>2021-03</t>
        </is>
      </c>
      <c r="F172" t="n">
        <v>0</v>
      </c>
    </row>
    <row r="173">
      <c r="A173" t="inlineStr">
        <is>
          <t>Milho</t>
        </is>
      </c>
      <c r="B173" t="inlineStr">
        <is>
          <t>Humaitá - AM</t>
        </is>
      </c>
      <c r="C173" t="n">
        <v>-7.51171</v>
      </c>
      <c r="D173" t="n">
        <v>-63.0327</v>
      </c>
      <c r="E173" t="inlineStr">
        <is>
          <t>2021-04</t>
        </is>
      </c>
      <c r="F173" t="n">
        <v>0</v>
      </c>
    </row>
    <row r="174">
      <c r="A174" t="inlineStr">
        <is>
          <t>Milho</t>
        </is>
      </c>
      <c r="B174" t="inlineStr">
        <is>
          <t>Humaitá - AM</t>
        </is>
      </c>
      <c r="C174" t="n">
        <v>-7.51171</v>
      </c>
      <c r="D174" t="n">
        <v>-63.0327</v>
      </c>
      <c r="E174" t="inlineStr">
        <is>
          <t>2021-05</t>
        </is>
      </c>
      <c r="F174" t="n">
        <v>0</v>
      </c>
    </row>
    <row r="175">
      <c r="A175" t="inlineStr">
        <is>
          <t>Milho</t>
        </is>
      </c>
      <c r="B175" t="inlineStr">
        <is>
          <t>Humaitá - AM</t>
        </is>
      </c>
      <c r="C175" t="n">
        <v>-7.51171</v>
      </c>
      <c r="D175" t="n">
        <v>-63.0327</v>
      </c>
      <c r="E175" t="inlineStr">
        <is>
          <t>2021-06</t>
        </is>
      </c>
      <c r="F175" t="n">
        <v>0</v>
      </c>
    </row>
    <row r="176">
      <c r="A176" t="inlineStr">
        <is>
          <t>Milho</t>
        </is>
      </c>
      <c r="B176" t="inlineStr">
        <is>
          <t>Palmeira das Missões - RS</t>
        </is>
      </c>
      <c r="C176" t="n">
        <v>-27.9007</v>
      </c>
      <c r="D176" t="n">
        <v>-53.3134</v>
      </c>
      <c r="E176" t="inlineStr">
        <is>
          <t>2021-01</t>
        </is>
      </c>
      <c r="F176" t="n">
        <v>0</v>
      </c>
    </row>
    <row r="177">
      <c r="A177" t="inlineStr">
        <is>
          <t>Milho</t>
        </is>
      </c>
      <c r="B177" t="inlineStr">
        <is>
          <t>Palmeira das Missões - RS</t>
        </is>
      </c>
      <c r="C177" t="n">
        <v>-27.9007</v>
      </c>
      <c r="D177" t="n">
        <v>-53.3134</v>
      </c>
      <c r="E177" t="inlineStr">
        <is>
          <t>2021-02</t>
        </is>
      </c>
      <c r="F177" t="n">
        <v>0</v>
      </c>
    </row>
    <row r="178">
      <c r="A178" t="inlineStr">
        <is>
          <t>Milho</t>
        </is>
      </c>
      <c r="B178" t="inlineStr">
        <is>
          <t>Palmeira das Missões - RS</t>
        </is>
      </c>
      <c r="C178" t="n">
        <v>-27.9007</v>
      </c>
      <c r="D178" t="n">
        <v>-53.3134</v>
      </c>
      <c r="E178" t="inlineStr">
        <is>
          <t>2021-03</t>
        </is>
      </c>
      <c r="F178" t="n">
        <v>0</v>
      </c>
    </row>
    <row r="179">
      <c r="A179" t="inlineStr">
        <is>
          <t>Milho</t>
        </is>
      </c>
      <c r="B179" t="inlineStr">
        <is>
          <t>Palmeira das Missões - RS</t>
        </is>
      </c>
      <c r="C179" t="n">
        <v>-27.9007</v>
      </c>
      <c r="D179" t="n">
        <v>-53.3134</v>
      </c>
      <c r="E179" t="inlineStr">
        <is>
          <t>2021-04</t>
        </is>
      </c>
      <c r="F179" t="n">
        <v>0</v>
      </c>
    </row>
    <row r="180">
      <c r="A180" t="inlineStr">
        <is>
          <t>Milho</t>
        </is>
      </c>
      <c r="B180" t="inlineStr">
        <is>
          <t>Palmeira das Missões - RS</t>
        </is>
      </c>
      <c r="C180" t="n">
        <v>-27.9007</v>
      </c>
      <c r="D180" t="n">
        <v>-53.3134</v>
      </c>
      <c r="E180" t="inlineStr">
        <is>
          <t>2021-05</t>
        </is>
      </c>
      <c r="F180" t="n">
        <v>0</v>
      </c>
    </row>
    <row r="181">
      <c r="A181" t="inlineStr">
        <is>
          <t>Milho</t>
        </is>
      </c>
      <c r="B181" t="inlineStr">
        <is>
          <t>Palmeira das Missões - RS</t>
        </is>
      </c>
      <c r="C181" t="n">
        <v>-27.9007</v>
      </c>
      <c r="D181" t="n">
        <v>-53.3134</v>
      </c>
      <c r="E181" t="inlineStr">
        <is>
          <t>2021-06</t>
        </is>
      </c>
      <c r="F181" t="n">
        <v>0</v>
      </c>
    </row>
    <row r="182">
      <c r="A182" t="inlineStr">
        <is>
          <t>Milho</t>
        </is>
      </c>
      <c r="B182" t="inlineStr">
        <is>
          <t>Limoeiro de Anadia - AL</t>
        </is>
      </c>
      <c r="C182" t="n">
        <v>-9.74098</v>
      </c>
      <c r="D182" t="n">
        <v>-36.5121</v>
      </c>
      <c r="E182" t="inlineStr">
        <is>
          <t>2021-01</t>
        </is>
      </c>
      <c r="F182" t="n">
        <v>0</v>
      </c>
    </row>
    <row r="183">
      <c r="A183" t="inlineStr">
        <is>
          <t>Milho</t>
        </is>
      </c>
      <c r="B183" t="inlineStr">
        <is>
          <t>Limoeiro de Anadia - AL</t>
        </is>
      </c>
      <c r="C183" t="n">
        <v>-9.74098</v>
      </c>
      <c r="D183" t="n">
        <v>-36.5121</v>
      </c>
      <c r="E183" t="inlineStr">
        <is>
          <t>2021-02</t>
        </is>
      </c>
      <c r="F183" t="n">
        <v>0</v>
      </c>
    </row>
    <row r="184">
      <c r="A184" t="inlineStr">
        <is>
          <t>Milho</t>
        </is>
      </c>
      <c r="B184" t="inlineStr">
        <is>
          <t>Limoeiro de Anadia - AL</t>
        </is>
      </c>
      <c r="C184" t="n">
        <v>-9.74098</v>
      </c>
      <c r="D184" t="n">
        <v>-36.5121</v>
      </c>
      <c r="E184" t="inlineStr">
        <is>
          <t>2021-03</t>
        </is>
      </c>
      <c r="F184" t="n">
        <v>0</v>
      </c>
    </row>
    <row r="185">
      <c r="A185" t="inlineStr">
        <is>
          <t>Milho</t>
        </is>
      </c>
      <c r="B185" t="inlineStr">
        <is>
          <t>Limoeiro de Anadia - AL</t>
        </is>
      </c>
      <c r="C185" t="n">
        <v>-9.74098</v>
      </c>
      <c r="D185" t="n">
        <v>-36.5121</v>
      </c>
      <c r="E185" t="inlineStr">
        <is>
          <t>2021-04</t>
        </is>
      </c>
      <c r="F185" t="n">
        <v>0</v>
      </c>
    </row>
    <row r="186">
      <c r="A186" t="inlineStr">
        <is>
          <t>Milho</t>
        </is>
      </c>
      <c r="B186" t="inlineStr">
        <is>
          <t>Limoeiro de Anadia - AL</t>
        </is>
      </c>
      <c r="C186" t="n">
        <v>-9.74098</v>
      </c>
      <c r="D186" t="n">
        <v>-36.5121</v>
      </c>
      <c r="E186" t="inlineStr">
        <is>
          <t>2021-05</t>
        </is>
      </c>
      <c r="F186" t="n">
        <v>0</v>
      </c>
    </row>
    <row r="187">
      <c r="A187" t="inlineStr">
        <is>
          <t>Milho</t>
        </is>
      </c>
      <c r="B187" t="inlineStr">
        <is>
          <t>Limoeiro de Anadia - AL</t>
        </is>
      </c>
      <c r="C187" t="n">
        <v>-9.74098</v>
      </c>
      <c r="D187" t="n">
        <v>-36.5121</v>
      </c>
      <c r="E187" t="inlineStr">
        <is>
          <t>2021-06</t>
        </is>
      </c>
      <c r="F187" t="n">
        <v>0</v>
      </c>
    </row>
    <row r="188">
      <c r="A188" t="inlineStr">
        <is>
          <t>Milho</t>
        </is>
      </c>
      <c r="B188" t="inlineStr">
        <is>
          <t>Macapá - AP</t>
        </is>
      </c>
      <c r="C188" t="n">
        <v>0.034934</v>
      </c>
      <c r="D188" t="n">
        <v>-51.0694</v>
      </c>
      <c r="E188" t="inlineStr">
        <is>
          <t>2021-01</t>
        </is>
      </c>
      <c r="F188" t="n">
        <v>0</v>
      </c>
    </row>
    <row r="189">
      <c r="A189" t="inlineStr">
        <is>
          <t>Milho</t>
        </is>
      </c>
      <c r="B189" t="inlineStr">
        <is>
          <t>Macapá - AP</t>
        </is>
      </c>
      <c r="C189" t="n">
        <v>0.034934</v>
      </c>
      <c r="D189" t="n">
        <v>-51.0694</v>
      </c>
      <c r="E189" t="inlineStr">
        <is>
          <t>2021-02</t>
        </is>
      </c>
      <c r="F189" t="n">
        <v>0</v>
      </c>
    </row>
    <row r="190">
      <c r="A190" t="inlineStr">
        <is>
          <t>Milho</t>
        </is>
      </c>
      <c r="B190" t="inlineStr">
        <is>
          <t>Macapá - AP</t>
        </is>
      </c>
      <c r="C190" t="n">
        <v>0.034934</v>
      </c>
      <c r="D190" t="n">
        <v>-51.0694</v>
      </c>
      <c r="E190" t="inlineStr">
        <is>
          <t>2021-03</t>
        </is>
      </c>
      <c r="F190" t="n">
        <v>0</v>
      </c>
    </row>
    <row r="191">
      <c r="A191" t="inlineStr">
        <is>
          <t>Milho</t>
        </is>
      </c>
      <c r="B191" t="inlineStr">
        <is>
          <t>Macapá - AP</t>
        </is>
      </c>
      <c r="C191" t="n">
        <v>0.034934</v>
      </c>
      <c r="D191" t="n">
        <v>-51.0694</v>
      </c>
      <c r="E191" t="inlineStr">
        <is>
          <t>2021-04</t>
        </is>
      </c>
      <c r="F191" t="n">
        <v>0</v>
      </c>
    </row>
    <row r="192">
      <c r="A192" t="inlineStr">
        <is>
          <t>Milho</t>
        </is>
      </c>
      <c r="B192" t="inlineStr">
        <is>
          <t>Macapá - AP</t>
        </is>
      </c>
      <c r="C192" t="n">
        <v>0.034934</v>
      </c>
      <c r="D192" t="n">
        <v>-51.0694</v>
      </c>
      <c r="E192" t="inlineStr">
        <is>
          <t>2021-05</t>
        </is>
      </c>
      <c r="F192" t="n">
        <v>0</v>
      </c>
    </row>
    <row r="193">
      <c r="A193" t="inlineStr">
        <is>
          <t>Milho</t>
        </is>
      </c>
      <c r="B193" t="inlineStr">
        <is>
          <t>Macapá - AP</t>
        </is>
      </c>
      <c r="C193" t="n">
        <v>0.034934</v>
      </c>
      <c r="D193" t="n">
        <v>-51.0694</v>
      </c>
      <c r="E193" t="inlineStr">
        <is>
          <t>2021-06</t>
        </is>
      </c>
      <c r="F193" t="n">
        <v>0</v>
      </c>
    </row>
    <row r="194">
      <c r="A194" t="inlineStr">
        <is>
          <t>Milho</t>
        </is>
      </c>
      <c r="B194" t="inlineStr">
        <is>
          <t>Correntina - BA</t>
        </is>
      </c>
      <c r="C194" t="n">
        <v>-13.3477</v>
      </c>
      <c r="D194" t="n">
        <v>-44.6333</v>
      </c>
      <c r="E194" t="inlineStr">
        <is>
          <t>2021-01</t>
        </is>
      </c>
      <c r="F194" t="n">
        <v>0</v>
      </c>
    </row>
    <row r="195">
      <c r="A195" t="inlineStr">
        <is>
          <t>Milho</t>
        </is>
      </c>
      <c r="B195" t="inlineStr">
        <is>
          <t>Correntina - BA</t>
        </is>
      </c>
      <c r="C195" t="n">
        <v>-13.3477</v>
      </c>
      <c r="D195" t="n">
        <v>-44.6333</v>
      </c>
      <c r="E195" t="inlineStr">
        <is>
          <t>2021-02</t>
        </is>
      </c>
      <c r="F195" t="n">
        <v>0</v>
      </c>
    </row>
    <row r="196">
      <c r="A196" t="inlineStr">
        <is>
          <t>Milho</t>
        </is>
      </c>
      <c r="B196" t="inlineStr">
        <is>
          <t>Correntina - BA</t>
        </is>
      </c>
      <c r="C196" t="n">
        <v>-13.3477</v>
      </c>
      <c r="D196" t="n">
        <v>-44.6333</v>
      </c>
      <c r="E196" t="inlineStr">
        <is>
          <t>2021-03</t>
        </is>
      </c>
      <c r="F196" t="n">
        <v>0</v>
      </c>
    </row>
    <row r="197">
      <c r="A197" t="inlineStr">
        <is>
          <t>Milho</t>
        </is>
      </c>
      <c r="B197" t="inlineStr">
        <is>
          <t>Correntina - BA</t>
        </is>
      </c>
      <c r="C197" t="n">
        <v>-13.3477</v>
      </c>
      <c r="D197" t="n">
        <v>-44.6333</v>
      </c>
      <c r="E197" t="inlineStr">
        <is>
          <t>2021-04</t>
        </is>
      </c>
      <c r="F197" t="n">
        <v>0</v>
      </c>
    </row>
    <row r="198">
      <c r="A198" t="inlineStr">
        <is>
          <t>Milho</t>
        </is>
      </c>
      <c r="B198" t="inlineStr">
        <is>
          <t>Correntina - BA</t>
        </is>
      </c>
      <c r="C198" t="n">
        <v>-13.3477</v>
      </c>
      <c r="D198" t="n">
        <v>-44.6333</v>
      </c>
      <c r="E198" t="inlineStr">
        <is>
          <t>2021-05</t>
        </is>
      </c>
      <c r="F198" t="n">
        <v>0</v>
      </c>
    </row>
    <row r="199">
      <c r="A199" t="inlineStr">
        <is>
          <t>Milho</t>
        </is>
      </c>
      <c r="B199" t="inlineStr">
        <is>
          <t>Correntina - BA</t>
        </is>
      </c>
      <c r="C199" t="n">
        <v>-13.3477</v>
      </c>
      <c r="D199" t="n">
        <v>-44.6333</v>
      </c>
      <c r="E199" t="inlineStr">
        <is>
          <t>2021-06</t>
        </is>
      </c>
      <c r="F199" t="n">
        <v>0</v>
      </c>
    </row>
    <row r="200">
      <c r="A200" t="inlineStr">
        <is>
          <t>Milho</t>
        </is>
      </c>
      <c r="B200" t="inlineStr">
        <is>
          <t>Crateús - CE</t>
        </is>
      </c>
      <c r="C200" t="n">
        <v>-5.16768</v>
      </c>
      <c r="D200" t="n">
        <v>-40.6536</v>
      </c>
      <c r="E200" t="inlineStr">
        <is>
          <t>2021-01</t>
        </is>
      </c>
      <c r="F200" t="n">
        <v>0</v>
      </c>
    </row>
    <row r="201">
      <c r="A201" t="inlineStr">
        <is>
          <t>Milho</t>
        </is>
      </c>
      <c r="B201" t="inlineStr">
        <is>
          <t>Crateús - CE</t>
        </is>
      </c>
      <c r="C201" t="n">
        <v>-5.16768</v>
      </c>
      <c r="D201" t="n">
        <v>-40.6536</v>
      </c>
      <c r="E201" t="inlineStr">
        <is>
          <t>2021-02</t>
        </is>
      </c>
      <c r="F201" t="n">
        <v>0</v>
      </c>
    </row>
    <row r="202">
      <c r="A202" t="inlineStr">
        <is>
          <t>Milho</t>
        </is>
      </c>
      <c r="B202" t="inlineStr">
        <is>
          <t>Crateús - CE</t>
        </is>
      </c>
      <c r="C202" t="n">
        <v>-5.16768</v>
      </c>
      <c r="D202" t="n">
        <v>-40.6536</v>
      </c>
      <c r="E202" t="inlineStr">
        <is>
          <t>2021-03</t>
        </is>
      </c>
      <c r="F202" t="n">
        <v>0</v>
      </c>
    </row>
    <row r="203">
      <c r="A203" t="inlineStr">
        <is>
          <t>Milho</t>
        </is>
      </c>
      <c r="B203" t="inlineStr">
        <is>
          <t>Crateús - CE</t>
        </is>
      </c>
      <c r="C203" t="n">
        <v>-5.16768</v>
      </c>
      <c r="D203" t="n">
        <v>-40.6536</v>
      </c>
      <c r="E203" t="inlineStr">
        <is>
          <t>2021-04</t>
        </is>
      </c>
      <c r="F203" t="n">
        <v>0</v>
      </c>
    </row>
    <row r="204">
      <c r="A204" t="inlineStr">
        <is>
          <t>Milho</t>
        </is>
      </c>
      <c r="B204" t="inlineStr">
        <is>
          <t>Crateús - CE</t>
        </is>
      </c>
      <c r="C204" t="n">
        <v>-5.16768</v>
      </c>
      <c r="D204" t="n">
        <v>-40.6536</v>
      </c>
      <c r="E204" t="inlineStr">
        <is>
          <t>2021-05</t>
        </is>
      </c>
      <c r="F204" t="n">
        <v>62038.01351175182</v>
      </c>
    </row>
    <row r="205">
      <c r="A205" t="inlineStr">
        <is>
          <t>Milho</t>
        </is>
      </c>
      <c r="B205" t="inlineStr">
        <is>
          <t>Crateús - CE</t>
        </is>
      </c>
      <c r="C205" t="n">
        <v>-5.16768</v>
      </c>
      <c r="D205" t="n">
        <v>-40.6536</v>
      </c>
      <c r="E205" t="inlineStr">
        <is>
          <t>2021-06</t>
        </is>
      </c>
      <c r="F205" t="n">
        <v>55562.20790125258</v>
      </c>
    </row>
    <row r="206">
      <c r="A206" t="inlineStr">
        <is>
          <t>Milho</t>
        </is>
      </c>
      <c r="B206" t="inlineStr">
        <is>
          <t>Brasília - DF</t>
        </is>
      </c>
      <c r="C206" t="n">
        <v>-15.7795</v>
      </c>
      <c r="D206" t="n">
        <v>-47.9297</v>
      </c>
      <c r="E206" t="inlineStr">
        <is>
          <t>2021-01</t>
        </is>
      </c>
      <c r="F206" t="n">
        <v>0</v>
      </c>
    </row>
    <row r="207">
      <c r="A207" t="inlineStr">
        <is>
          <t>Milho</t>
        </is>
      </c>
      <c r="B207" t="inlineStr">
        <is>
          <t>Brasília - DF</t>
        </is>
      </c>
      <c r="C207" t="n">
        <v>-15.7795</v>
      </c>
      <c r="D207" t="n">
        <v>-47.9297</v>
      </c>
      <c r="E207" t="inlineStr">
        <is>
          <t>2021-02</t>
        </is>
      </c>
      <c r="F207" t="n">
        <v>0</v>
      </c>
    </row>
    <row r="208">
      <c r="A208" t="inlineStr">
        <is>
          <t>Milho</t>
        </is>
      </c>
      <c r="B208" t="inlineStr">
        <is>
          <t>Brasília - DF</t>
        </is>
      </c>
      <c r="C208" t="n">
        <v>-15.7795</v>
      </c>
      <c r="D208" t="n">
        <v>-47.9297</v>
      </c>
      <c r="E208" t="inlineStr">
        <is>
          <t>2021-03</t>
        </is>
      </c>
      <c r="F208" t="n">
        <v>0</v>
      </c>
    </row>
    <row r="209">
      <c r="A209" t="inlineStr">
        <is>
          <t>Milho</t>
        </is>
      </c>
      <c r="B209" t="inlineStr">
        <is>
          <t>Brasília - DF</t>
        </is>
      </c>
      <c r="C209" t="n">
        <v>-15.7795</v>
      </c>
      <c r="D209" t="n">
        <v>-47.9297</v>
      </c>
      <c r="E209" t="inlineStr">
        <is>
          <t>2021-04</t>
        </is>
      </c>
      <c r="F209" t="n">
        <v>0</v>
      </c>
    </row>
    <row r="210">
      <c r="A210" t="inlineStr">
        <is>
          <t>Milho</t>
        </is>
      </c>
      <c r="B210" t="inlineStr">
        <is>
          <t>Brasília - DF</t>
        </is>
      </c>
      <c r="C210" t="n">
        <v>-15.7795</v>
      </c>
      <c r="D210" t="n">
        <v>-47.9297</v>
      </c>
      <c r="E210" t="inlineStr">
        <is>
          <t>2021-05</t>
        </is>
      </c>
      <c r="F210" t="n">
        <v>24148.94016679477</v>
      </c>
    </row>
    <row r="211">
      <c r="A211" t="inlineStr">
        <is>
          <t>Milho</t>
        </is>
      </c>
      <c r="B211" t="inlineStr">
        <is>
          <t>Brasília - DF</t>
        </is>
      </c>
      <c r="C211" t="n">
        <v>-15.7795</v>
      </c>
      <c r="D211" t="n">
        <v>-47.9297</v>
      </c>
      <c r="E211" t="inlineStr">
        <is>
          <t>2021-06</t>
        </is>
      </c>
      <c r="F211" t="n">
        <v>36046.94278528083</v>
      </c>
    </row>
    <row r="212">
      <c r="A212" t="inlineStr">
        <is>
          <t>Milho</t>
        </is>
      </c>
      <c r="B212" t="inlineStr">
        <is>
          <t>Pinheiros - ES</t>
        </is>
      </c>
      <c r="C212" t="n">
        <v>-18.4141</v>
      </c>
      <c r="D212" t="n">
        <v>-40.2171</v>
      </c>
      <c r="E212" t="inlineStr">
        <is>
          <t>2021-01</t>
        </is>
      </c>
      <c r="F212" t="n">
        <v>0</v>
      </c>
    </row>
    <row r="213">
      <c r="A213" t="inlineStr">
        <is>
          <t>Milho</t>
        </is>
      </c>
      <c r="B213" t="inlineStr">
        <is>
          <t>Pinheiros - ES</t>
        </is>
      </c>
      <c r="C213" t="n">
        <v>-18.4141</v>
      </c>
      <c r="D213" t="n">
        <v>-40.2171</v>
      </c>
      <c r="E213" t="inlineStr">
        <is>
          <t>2021-02</t>
        </is>
      </c>
      <c r="F213" t="n">
        <v>0</v>
      </c>
    </row>
    <row r="214">
      <c r="A214" t="inlineStr">
        <is>
          <t>Milho</t>
        </is>
      </c>
      <c r="B214" t="inlineStr">
        <is>
          <t>Pinheiros - ES</t>
        </is>
      </c>
      <c r="C214" t="n">
        <v>-18.4141</v>
      </c>
      <c r="D214" t="n">
        <v>-40.2171</v>
      </c>
      <c r="E214" t="inlineStr">
        <is>
          <t>2021-03</t>
        </is>
      </c>
      <c r="F214" t="n">
        <v>0</v>
      </c>
    </row>
    <row r="215">
      <c r="A215" t="inlineStr">
        <is>
          <t>Milho</t>
        </is>
      </c>
      <c r="B215" t="inlineStr">
        <is>
          <t>Pinheiros - ES</t>
        </is>
      </c>
      <c r="C215" t="n">
        <v>-18.4141</v>
      </c>
      <c r="D215" t="n">
        <v>-40.2171</v>
      </c>
      <c r="E215" t="inlineStr">
        <is>
          <t>2021-04</t>
        </is>
      </c>
      <c r="F215" t="n">
        <v>0</v>
      </c>
    </row>
    <row r="216">
      <c r="A216" t="inlineStr">
        <is>
          <t>Milho</t>
        </is>
      </c>
      <c r="B216" t="inlineStr">
        <is>
          <t>Pinheiros - ES</t>
        </is>
      </c>
      <c r="C216" t="n">
        <v>-18.4141</v>
      </c>
      <c r="D216" t="n">
        <v>-40.2171</v>
      </c>
      <c r="E216" t="inlineStr">
        <is>
          <t>2021-05</t>
        </is>
      </c>
      <c r="F216" t="n">
        <v>0</v>
      </c>
    </row>
    <row r="217">
      <c r="A217" t="inlineStr">
        <is>
          <t>Milho</t>
        </is>
      </c>
      <c r="B217" t="inlineStr">
        <is>
          <t>Pinheiros - ES</t>
        </is>
      </c>
      <c r="C217" t="n">
        <v>-18.4141</v>
      </c>
      <c r="D217" t="n">
        <v>-40.2171</v>
      </c>
      <c r="E217" t="inlineStr">
        <is>
          <t>2021-06</t>
        </is>
      </c>
      <c r="F217" t="n">
        <v>0</v>
      </c>
    </row>
    <row r="218">
      <c r="A218" t="inlineStr">
        <is>
          <t>Milho</t>
        </is>
      </c>
      <c r="B218" t="inlineStr">
        <is>
          <t>Rio Verde - GO</t>
        </is>
      </c>
      <c r="C218" t="n">
        <v>-17.7923</v>
      </c>
      <c r="D218" t="n">
        <v>-50.9192</v>
      </c>
      <c r="E218" t="inlineStr">
        <is>
          <t>2021-01</t>
        </is>
      </c>
      <c r="F218" t="n">
        <v>0</v>
      </c>
    </row>
    <row r="219">
      <c r="A219" t="inlineStr">
        <is>
          <t>Milho</t>
        </is>
      </c>
      <c r="B219" t="inlineStr">
        <is>
          <t>Rio Verde - GO</t>
        </is>
      </c>
      <c r="C219" t="n">
        <v>-17.7923</v>
      </c>
      <c r="D219" t="n">
        <v>-50.9192</v>
      </c>
      <c r="E219" t="inlineStr">
        <is>
          <t>2021-02</t>
        </is>
      </c>
      <c r="F219" t="n">
        <v>0</v>
      </c>
    </row>
    <row r="220">
      <c r="A220" t="inlineStr">
        <is>
          <t>Milho</t>
        </is>
      </c>
      <c r="B220" t="inlineStr">
        <is>
          <t>Rio Verde - GO</t>
        </is>
      </c>
      <c r="C220" t="n">
        <v>-17.7923</v>
      </c>
      <c r="D220" t="n">
        <v>-50.9192</v>
      </c>
      <c r="E220" t="inlineStr">
        <is>
          <t>2021-03</t>
        </is>
      </c>
      <c r="F220" t="n">
        <v>0</v>
      </c>
    </row>
    <row r="221">
      <c r="A221" t="inlineStr">
        <is>
          <t>Milho</t>
        </is>
      </c>
      <c r="B221" t="inlineStr">
        <is>
          <t>Rio Verde - GO</t>
        </is>
      </c>
      <c r="C221" t="n">
        <v>-17.7923</v>
      </c>
      <c r="D221" t="n">
        <v>-50.9192</v>
      </c>
      <c r="E221" t="inlineStr">
        <is>
          <t>2021-04</t>
        </is>
      </c>
      <c r="F221" t="n">
        <v>0</v>
      </c>
    </row>
    <row r="222">
      <c r="A222" t="inlineStr">
        <is>
          <t>Milho</t>
        </is>
      </c>
      <c r="B222" t="inlineStr">
        <is>
          <t>Rio Verde - GO</t>
        </is>
      </c>
      <c r="C222" t="n">
        <v>-17.7923</v>
      </c>
      <c r="D222" t="n">
        <v>-50.9192</v>
      </c>
      <c r="E222" t="inlineStr">
        <is>
          <t>2021-05</t>
        </is>
      </c>
      <c r="F222" t="n">
        <v>920004.7767943628</v>
      </c>
    </row>
    <row r="223">
      <c r="A223" t="inlineStr">
        <is>
          <t>Milho</t>
        </is>
      </c>
      <c r="B223" t="inlineStr">
        <is>
          <t>Rio Verde - GO</t>
        </is>
      </c>
      <c r="C223" t="n">
        <v>-17.7923</v>
      </c>
      <c r="D223" t="n">
        <v>-50.9192</v>
      </c>
      <c r="E223" t="inlineStr">
        <is>
          <t>2021-06</t>
        </is>
      </c>
      <c r="F223" t="n">
        <v>1373284.265157596</v>
      </c>
    </row>
    <row r="224">
      <c r="A224" t="inlineStr">
        <is>
          <t>Milho</t>
        </is>
      </c>
      <c r="B224" t="inlineStr">
        <is>
          <t>Balsas - MA</t>
        </is>
      </c>
      <c r="C224" t="n">
        <v>-7.53214</v>
      </c>
      <c r="D224" t="n">
        <v>-46.0372</v>
      </c>
      <c r="E224" t="inlineStr">
        <is>
          <t>2021-01</t>
        </is>
      </c>
      <c r="F224" t="n">
        <v>0</v>
      </c>
    </row>
    <row r="225">
      <c r="A225" t="inlineStr">
        <is>
          <t>Milho</t>
        </is>
      </c>
      <c r="B225" t="inlineStr">
        <is>
          <t>Balsas - MA</t>
        </is>
      </c>
      <c r="C225" t="n">
        <v>-7.53214</v>
      </c>
      <c r="D225" t="n">
        <v>-46.0372</v>
      </c>
      <c r="E225" t="inlineStr">
        <is>
          <t>2021-02</t>
        </is>
      </c>
      <c r="F225" t="n">
        <v>0</v>
      </c>
    </row>
    <row r="226">
      <c r="A226" t="inlineStr">
        <is>
          <t>Milho</t>
        </is>
      </c>
      <c r="B226" t="inlineStr">
        <is>
          <t>Balsas - MA</t>
        </is>
      </c>
      <c r="C226" t="n">
        <v>-7.53214</v>
      </c>
      <c r="D226" t="n">
        <v>-46.0372</v>
      </c>
      <c r="E226" t="inlineStr">
        <is>
          <t>2021-03</t>
        </is>
      </c>
      <c r="F226" t="n">
        <v>0</v>
      </c>
    </row>
    <row r="227">
      <c r="A227" t="inlineStr">
        <is>
          <t>Milho</t>
        </is>
      </c>
      <c r="B227" t="inlineStr">
        <is>
          <t>Balsas - MA</t>
        </is>
      </c>
      <c r="C227" t="n">
        <v>-7.53214</v>
      </c>
      <c r="D227" t="n">
        <v>-46.0372</v>
      </c>
      <c r="E227" t="inlineStr">
        <is>
          <t>2021-04</t>
        </is>
      </c>
      <c r="F227" t="n">
        <v>0</v>
      </c>
    </row>
    <row r="228">
      <c r="A228" t="inlineStr">
        <is>
          <t>Milho</t>
        </is>
      </c>
      <c r="B228" t="inlineStr">
        <is>
          <t>Balsas - MA</t>
        </is>
      </c>
      <c r="C228" t="n">
        <v>-7.53214</v>
      </c>
      <c r="D228" t="n">
        <v>-46.0372</v>
      </c>
      <c r="E228" t="inlineStr">
        <is>
          <t>2021-05</t>
        </is>
      </c>
      <c r="F228" t="n">
        <v>159412.635702277</v>
      </c>
    </row>
    <row r="229">
      <c r="A229" t="inlineStr">
        <is>
          <t>Milho</t>
        </is>
      </c>
      <c r="B229" t="inlineStr">
        <is>
          <t>Balsas - MA</t>
        </is>
      </c>
      <c r="C229" t="n">
        <v>-7.53214</v>
      </c>
      <c r="D229" t="n">
        <v>-46.0372</v>
      </c>
      <c r="E229" t="inlineStr">
        <is>
          <t>2021-06</t>
        </is>
      </c>
      <c r="F229" t="n">
        <v>237954.0517605043</v>
      </c>
    </row>
    <row r="230">
      <c r="A230" t="inlineStr">
        <is>
          <t>Milho</t>
        </is>
      </c>
      <c r="B230" t="inlineStr">
        <is>
          <t>Unaí - MG</t>
        </is>
      </c>
      <c r="C230" t="n">
        <v>-16.3592</v>
      </c>
      <c r="D230" t="n">
        <v>-46.9022</v>
      </c>
      <c r="E230" t="inlineStr">
        <is>
          <t>2021-01</t>
        </is>
      </c>
      <c r="F230" t="n">
        <v>0</v>
      </c>
    </row>
    <row r="231">
      <c r="A231" t="inlineStr">
        <is>
          <t>Milho</t>
        </is>
      </c>
      <c r="B231" t="inlineStr">
        <is>
          <t>Unaí - MG</t>
        </is>
      </c>
      <c r="C231" t="n">
        <v>-16.3592</v>
      </c>
      <c r="D231" t="n">
        <v>-46.9022</v>
      </c>
      <c r="E231" t="inlineStr">
        <is>
          <t>2021-02</t>
        </is>
      </c>
      <c r="F231" t="n">
        <v>0</v>
      </c>
    </row>
    <row r="232">
      <c r="A232" t="inlineStr">
        <is>
          <t>Milho</t>
        </is>
      </c>
      <c r="B232" t="inlineStr">
        <is>
          <t>Unaí - MG</t>
        </is>
      </c>
      <c r="C232" t="n">
        <v>-16.3592</v>
      </c>
      <c r="D232" t="n">
        <v>-46.9022</v>
      </c>
      <c r="E232" t="inlineStr">
        <is>
          <t>2021-03</t>
        </is>
      </c>
      <c r="F232" t="n">
        <v>0</v>
      </c>
    </row>
    <row r="233">
      <c r="A233" t="inlineStr">
        <is>
          <t>Milho</t>
        </is>
      </c>
      <c r="B233" t="inlineStr">
        <is>
          <t>Unaí - MG</t>
        </is>
      </c>
      <c r="C233" t="n">
        <v>-16.3592</v>
      </c>
      <c r="D233" t="n">
        <v>-46.9022</v>
      </c>
      <c r="E233" t="inlineStr">
        <is>
          <t>2021-04</t>
        </is>
      </c>
      <c r="F233" t="n">
        <v>0</v>
      </c>
    </row>
    <row r="234">
      <c r="A234" t="inlineStr">
        <is>
          <t>Milho</t>
        </is>
      </c>
      <c r="B234" t="inlineStr">
        <is>
          <t>Unaí - MG</t>
        </is>
      </c>
      <c r="C234" t="n">
        <v>-16.3592</v>
      </c>
      <c r="D234" t="n">
        <v>-46.9022</v>
      </c>
      <c r="E234" t="inlineStr">
        <is>
          <t>2021-05</t>
        </is>
      </c>
      <c r="F234" t="n">
        <v>145856.6355472971</v>
      </c>
    </row>
    <row r="235">
      <c r="A235" t="inlineStr">
        <is>
          <t>Milho</t>
        </is>
      </c>
      <c r="B235" t="inlineStr">
        <is>
          <t>Unaí - MG</t>
        </is>
      </c>
      <c r="C235" t="n">
        <v>-16.3592</v>
      </c>
      <c r="D235" t="n">
        <v>-46.9022</v>
      </c>
      <c r="E235" t="inlineStr">
        <is>
          <t>2021-06</t>
        </is>
      </c>
      <c r="F235" t="n">
        <v>261262.9337823976</v>
      </c>
    </row>
    <row r="236">
      <c r="A236" t="inlineStr">
        <is>
          <t>Milho</t>
        </is>
      </c>
      <c r="B236" t="inlineStr">
        <is>
          <t>Maracaju - MS</t>
        </is>
      </c>
      <c r="C236" t="n">
        <v>-21.6105</v>
      </c>
      <c r="D236" t="n">
        <v>-55.1678</v>
      </c>
      <c r="E236" t="inlineStr">
        <is>
          <t>2021-01</t>
        </is>
      </c>
      <c r="F236" t="n">
        <v>0</v>
      </c>
    </row>
    <row r="237">
      <c r="A237" t="inlineStr">
        <is>
          <t>Milho</t>
        </is>
      </c>
      <c r="B237" t="inlineStr">
        <is>
          <t>Maracaju - MS</t>
        </is>
      </c>
      <c r="C237" t="n">
        <v>-21.6105</v>
      </c>
      <c r="D237" t="n">
        <v>-55.1678</v>
      </c>
      <c r="E237" t="inlineStr">
        <is>
          <t>2021-02</t>
        </is>
      </c>
      <c r="F237" t="n">
        <v>0</v>
      </c>
    </row>
    <row r="238">
      <c r="A238" t="inlineStr">
        <is>
          <t>Milho</t>
        </is>
      </c>
      <c r="B238" t="inlineStr">
        <is>
          <t>Maracaju - MS</t>
        </is>
      </c>
      <c r="C238" t="n">
        <v>-21.6105</v>
      </c>
      <c r="D238" t="n">
        <v>-55.1678</v>
      </c>
      <c r="E238" t="inlineStr">
        <is>
          <t>2021-03</t>
        </is>
      </c>
      <c r="F238" t="n">
        <v>0</v>
      </c>
    </row>
    <row r="239">
      <c r="A239" t="inlineStr">
        <is>
          <t>Milho</t>
        </is>
      </c>
      <c r="B239" t="inlineStr">
        <is>
          <t>Maracaju - MS</t>
        </is>
      </c>
      <c r="C239" t="n">
        <v>-21.6105</v>
      </c>
      <c r="D239" t="n">
        <v>-55.1678</v>
      </c>
      <c r="E239" t="inlineStr">
        <is>
          <t>2021-04</t>
        </is>
      </c>
      <c r="F239" t="n">
        <v>0</v>
      </c>
    </row>
    <row r="240">
      <c r="A240" t="inlineStr">
        <is>
          <t>Milho</t>
        </is>
      </c>
      <c r="B240" t="inlineStr">
        <is>
          <t>Maracaju - MS</t>
        </is>
      </c>
      <c r="C240" t="n">
        <v>-21.6105</v>
      </c>
      <c r="D240" t="n">
        <v>-55.1678</v>
      </c>
      <c r="E240" t="inlineStr">
        <is>
          <t>2021-05</t>
        </is>
      </c>
      <c r="F240" t="n">
        <v>426680.6606157601</v>
      </c>
    </row>
    <row r="241">
      <c r="A241" t="inlineStr">
        <is>
          <t>Milho</t>
        </is>
      </c>
      <c r="B241" t="inlineStr">
        <is>
          <t>Maracaju - MS</t>
        </is>
      </c>
      <c r="C241" t="n">
        <v>-21.6105</v>
      </c>
      <c r="D241" t="n">
        <v>-55.1678</v>
      </c>
      <c r="E241" t="inlineStr">
        <is>
          <t>2021-06</t>
        </is>
      </c>
      <c r="F241" t="n">
        <v>764283.6458032557</v>
      </c>
    </row>
    <row r="242">
      <c r="A242" t="inlineStr">
        <is>
          <t>Milho</t>
        </is>
      </c>
      <c r="B242" t="inlineStr">
        <is>
          <t>Sorriso - MT</t>
        </is>
      </c>
      <c r="C242" t="n">
        <v>-12.5425</v>
      </c>
      <c r="D242" t="n">
        <v>-55.7211</v>
      </c>
      <c r="E242" t="inlineStr">
        <is>
          <t>2021-01</t>
        </is>
      </c>
      <c r="F242" t="n">
        <v>0</v>
      </c>
    </row>
    <row r="243">
      <c r="A243" t="inlineStr">
        <is>
          <t>Milho</t>
        </is>
      </c>
      <c r="B243" t="inlineStr">
        <is>
          <t>Sorriso - MT</t>
        </is>
      </c>
      <c r="C243" t="n">
        <v>-12.5425</v>
      </c>
      <c r="D243" t="n">
        <v>-55.7211</v>
      </c>
      <c r="E243" t="inlineStr">
        <is>
          <t>2021-02</t>
        </is>
      </c>
      <c r="F243" t="n">
        <v>0</v>
      </c>
    </row>
    <row r="244">
      <c r="A244" t="inlineStr">
        <is>
          <t>Milho</t>
        </is>
      </c>
      <c r="B244" t="inlineStr">
        <is>
          <t>Sorriso - MT</t>
        </is>
      </c>
      <c r="C244" t="n">
        <v>-12.5425</v>
      </c>
      <c r="D244" t="n">
        <v>-55.7211</v>
      </c>
      <c r="E244" t="inlineStr">
        <is>
          <t>2021-03</t>
        </is>
      </c>
      <c r="F244" t="n">
        <v>0</v>
      </c>
    </row>
    <row r="245">
      <c r="A245" t="inlineStr">
        <is>
          <t>Milho</t>
        </is>
      </c>
      <c r="B245" t="inlineStr">
        <is>
          <t>Sorriso - MT</t>
        </is>
      </c>
      <c r="C245" t="n">
        <v>-12.5425</v>
      </c>
      <c r="D245" t="n">
        <v>-55.7211</v>
      </c>
      <c r="E245" t="inlineStr">
        <is>
          <t>2021-04</t>
        </is>
      </c>
      <c r="F245" t="n">
        <v>0</v>
      </c>
    </row>
    <row r="246">
      <c r="A246" t="inlineStr">
        <is>
          <t>Milho</t>
        </is>
      </c>
      <c r="B246" t="inlineStr">
        <is>
          <t>Sorriso - MT</t>
        </is>
      </c>
      <c r="C246" t="n">
        <v>-12.5425</v>
      </c>
      <c r="D246" t="n">
        <v>-55.7211</v>
      </c>
      <c r="E246" t="inlineStr">
        <is>
          <t>2021-05</t>
        </is>
      </c>
      <c r="F246" t="n">
        <v>4443709.762590675</v>
      </c>
    </row>
    <row r="247">
      <c r="A247" t="inlineStr">
        <is>
          <t>Milho</t>
        </is>
      </c>
      <c r="B247" t="inlineStr">
        <is>
          <t>Sorriso - MT</t>
        </is>
      </c>
      <c r="C247" t="n">
        <v>-12.5425</v>
      </c>
      <c r="D247" t="n">
        <v>-55.7211</v>
      </c>
      <c r="E247" t="inlineStr">
        <is>
          <t>2021-06</t>
        </is>
      </c>
      <c r="F247" t="n">
        <v>6633092.403233225</v>
      </c>
    </row>
    <row r="248">
      <c r="A248" t="inlineStr">
        <is>
          <t>Milho</t>
        </is>
      </c>
      <c r="B248" t="inlineStr">
        <is>
          <t>Santana do Araguaia - PA</t>
        </is>
      </c>
      <c r="C248" t="n">
        <v>-9.328099999999999</v>
      </c>
      <c r="D248" t="n">
        <v>-50.35</v>
      </c>
      <c r="E248" t="inlineStr">
        <is>
          <t>2021-01</t>
        </is>
      </c>
      <c r="F248" t="n">
        <v>0</v>
      </c>
    </row>
    <row r="249">
      <c r="A249" t="inlineStr">
        <is>
          <t>Milho</t>
        </is>
      </c>
      <c r="B249" t="inlineStr">
        <is>
          <t>Santana do Araguaia - PA</t>
        </is>
      </c>
      <c r="C249" t="n">
        <v>-9.328099999999999</v>
      </c>
      <c r="D249" t="n">
        <v>-50.35</v>
      </c>
      <c r="E249" t="inlineStr">
        <is>
          <t>2021-02</t>
        </is>
      </c>
      <c r="F249" t="n">
        <v>0</v>
      </c>
    </row>
    <row r="250">
      <c r="A250" t="inlineStr">
        <is>
          <t>Milho</t>
        </is>
      </c>
      <c r="B250" t="inlineStr">
        <is>
          <t>Santana do Araguaia - PA</t>
        </is>
      </c>
      <c r="C250" t="n">
        <v>-9.328099999999999</v>
      </c>
      <c r="D250" t="n">
        <v>-50.35</v>
      </c>
      <c r="E250" t="inlineStr">
        <is>
          <t>2021-03</t>
        </is>
      </c>
      <c r="F250" t="n">
        <v>0</v>
      </c>
    </row>
    <row r="251">
      <c r="A251" t="inlineStr">
        <is>
          <t>Milho</t>
        </is>
      </c>
      <c r="B251" t="inlineStr">
        <is>
          <t>Santana do Araguaia - PA</t>
        </is>
      </c>
      <c r="C251" t="n">
        <v>-9.328099999999999</v>
      </c>
      <c r="D251" t="n">
        <v>-50.35</v>
      </c>
      <c r="E251" t="inlineStr">
        <is>
          <t>2021-04</t>
        </is>
      </c>
      <c r="F251" t="n">
        <v>0</v>
      </c>
    </row>
    <row r="252">
      <c r="A252" t="inlineStr">
        <is>
          <t>Milho</t>
        </is>
      </c>
      <c r="B252" t="inlineStr">
        <is>
          <t>Santana do Araguaia - PA</t>
        </is>
      </c>
      <c r="C252" t="n">
        <v>-9.328099999999999</v>
      </c>
      <c r="D252" t="n">
        <v>-50.35</v>
      </c>
      <c r="E252" t="inlineStr">
        <is>
          <t>2021-05</t>
        </is>
      </c>
      <c r="F252" t="n">
        <v>133408.819885861</v>
      </c>
    </row>
    <row r="253">
      <c r="A253" t="inlineStr">
        <is>
          <t>Milho</t>
        </is>
      </c>
      <c r="B253" t="inlineStr">
        <is>
          <t>Santana do Araguaia - PA</t>
        </is>
      </c>
      <c r="C253" t="n">
        <v>-9.328099999999999</v>
      </c>
      <c r="D253" t="n">
        <v>-50.35</v>
      </c>
      <c r="E253" t="inlineStr">
        <is>
          <t>2021-06</t>
        </is>
      </c>
      <c r="F253" t="n">
        <v>51207.00426881809</v>
      </c>
    </row>
    <row r="254">
      <c r="A254" t="inlineStr">
        <is>
          <t>Milho</t>
        </is>
      </c>
      <c r="B254" t="inlineStr">
        <is>
          <t>Sousa - PB</t>
        </is>
      </c>
      <c r="C254" t="n">
        <v>-6.75148</v>
      </c>
      <c r="D254" t="n">
        <v>-38.2311</v>
      </c>
      <c r="E254" t="inlineStr">
        <is>
          <t>2021-01</t>
        </is>
      </c>
      <c r="F254" t="n">
        <v>0</v>
      </c>
    </row>
    <row r="255">
      <c r="A255" t="inlineStr">
        <is>
          <t>Milho</t>
        </is>
      </c>
      <c r="B255" t="inlineStr">
        <is>
          <t>Sousa - PB</t>
        </is>
      </c>
      <c r="C255" t="n">
        <v>-6.75148</v>
      </c>
      <c r="D255" t="n">
        <v>-38.2311</v>
      </c>
      <c r="E255" t="inlineStr">
        <is>
          <t>2021-02</t>
        </is>
      </c>
      <c r="F255" t="n">
        <v>0</v>
      </c>
    </row>
    <row r="256">
      <c r="A256" t="inlineStr">
        <is>
          <t>Milho</t>
        </is>
      </c>
      <c r="B256" t="inlineStr">
        <is>
          <t>Sousa - PB</t>
        </is>
      </c>
      <c r="C256" t="n">
        <v>-6.75148</v>
      </c>
      <c r="D256" t="n">
        <v>-38.2311</v>
      </c>
      <c r="E256" t="inlineStr">
        <is>
          <t>2021-03</t>
        </is>
      </c>
      <c r="F256" t="n">
        <v>0</v>
      </c>
    </row>
    <row r="257">
      <c r="A257" t="inlineStr">
        <is>
          <t>Milho</t>
        </is>
      </c>
      <c r="B257" t="inlineStr">
        <is>
          <t>Sousa - PB</t>
        </is>
      </c>
      <c r="C257" t="n">
        <v>-6.75148</v>
      </c>
      <c r="D257" t="n">
        <v>-38.2311</v>
      </c>
      <c r="E257" t="inlineStr">
        <is>
          <t>2021-04</t>
        </is>
      </c>
      <c r="F257" t="n">
        <v>0</v>
      </c>
    </row>
    <row r="258">
      <c r="A258" t="inlineStr">
        <is>
          <t>Milho</t>
        </is>
      </c>
      <c r="B258" t="inlineStr">
        <is>
          <t>Sousa - PB</t>
        </is>
      </c>
      <c r="C258" t="n">
        <v>-6.75148</v>
      </c>
      <c r="D258" t="n">
        <v>-38.2311</v>
      </c>
      <c r="E258" t="inlineStr">
        <is>
          <t>2021-05</t>
        </is>
      </c>
      <c r="F258" t="n">
        <v>5043.506626663836</v>
      </c>
    </row>
    <row r="259">
      <c r="A259" t="inlineStr">
        <is>
          <t>Milho</t>
        </is>
      </c>
      <c r="B259" t="inlineStr">
        <is>
          <t>Sousa - PB</t>
        </is>
      </c>
      <c r="C259" t="n">
        <v>-6.75148</v>
      </c>
      <c r="D259" t="n">
        <v>-38.2311</v>
      </c>
      <c r="E259" t="inlineStr">
        <is>
          <t>2021-06</t>
        </is>
      </c>
      <c r="F259" t="n">
        <v>4517.042823896313</v>
      </c>
    </row>
    <row r="260">
      <c r="A260" t="inlineStr">
        <is>
          <t>Milho</t>
        </is>
      </c>
      <c r="B260" t="inlineStr">
        <is>
          <t>Exu - PE</t>
        </is>
      </c>
      <c r="C260" t="n">
        <v>-7.50364</v>
      </c>
      <c r="D260" t="n">
        <v>-39.7238</v>
      </c>
      <c r="E260" t="inlineStr">
        <is>
          <t>2021-01</t>
        </is>
      </c>
      <c r="F260" t="n">
        <v>0</v>
      </c>
    </row>
    <row r="261">
      <c r="A261" t="inlineStr">
        <is>
          <t>Milho</t>
        </is>
      </c>
      <c r="B261" t="inlineStr">
        <is>
          <t>Exu - PE</t>
        </is>
      </c>
      <c r="C261" t="n">
        <v>-7.50364</v>
      </c>
      <c r="D261" t="n">
        <v>-39.7238</v>
      </c>
      <c r="E261" t="inlineStr">
        <is>
          <t>2021-02</t>
        </is>
      </c>
      <c r="F261" t="n">
        <v>0</v>
      </c>
    </row>
    <row r="262">
      <c r="A262" t="inlineStr">
        <is>
          <t>Milho</t>
        </is>
      </c>
      <c r="B262" t="inlineStr">
        <is>
          <t>Exu - PE</t>
        </is>
      </c>
      <c r="C262" t="n">
        <v>-7.50364</v>
      </c>
      <c r="D262" t="n">
        <v>-39.7238</v>
      </c>
      <c r="E262" t="inlineStr">
        <is>
          <t>2021-03</t>
        </is>
      </c>
      <c r="F262" t="n">
        <v>0</v>
      </c>
    </row>
    <row r="263">
      <c r="A263" t="inlineStr">
        <is>
          <t>Milho</t>
        </is>
      </c>
      <c r="B263" t="inlineStr">
        <is>
          <t>Exu - PE</t>
        </is>
      </c>
      <c r="C263" t="n">
        <v>-7.50364</v>
      </c>
      <c r="D263" t="n">
        <v>-39.7238</v>
      </c>
      <c r="E263" t="inlineStr">
        <is>
          <t>2021-04</t>
        </is>
      </c>
      <c r="F263" t="n">
        <v>0</v>
      </c>
    </row>
    <row r="264">
      <c r="A264" t="inlineStr">
        <is>
          <t>Milho</t>
        </is>
      </c>
      <c r="B264" t="inlineStr">
        <is>
          <t>Exu - PE</t>
        </is>
      </c>
      <c r="C264" t="n">
        <v>-7.50364</v>
      </c>
      <c r="D264" t="n">
        <v>-39.7238</v>
      </c>
      <c r="E264" t="inlineStr">
        <is>
          <t>2021-05</t>
        </is>
      </c>
      <c r="F264" t="n">
        <v>5973.529248620654</v>
      </c>
    </row>
    <row r="265">
      <c r="A265" t="inlineStr">
        <is>
          <t>Milho</t>
        </is>
      </c>
      <c r="B265" t="inlineStr">
        <is>
          <t>Exu - PE</t>
        </is>
      </c>
      <c r="C265" t="n">
        <v>-7.50364</v>
      </c>
      <c r="D265" t="n">
        <v>-39.7238</v>
      </c>
      <c r="E265" t="inlineStr">
        <is>
          <t>2021-06</t>
        </is>
      </c>
      <c r="F265" t="n">
        <v>5349.9855206228</v>
      </c>
    </row>
    <row r="266">
      <c r="A266" t="inlineStr">
        <is>
          <t>Milho</t>
        </is>
      </c>
      <c r="B266" t="inlineStr">
        <is>
          <t>Baixa Grande do Ribeiro - PI</t>
        </is>
      </c>
      <c r="C266" t="n">
        <v>-7.84903</v>
      </c>
      <c r="D266" t="n">
        <v>-45.219</v>
      </c>
      <c r="E266" t="inlineStr">
        <is>
          <t>2021-01</t>
        </is>
      </c>
      <c r="F266" t="n">
        <v>0</v>
      </c>
    </row>
    <row r="267">
      <c r="A267" t="inlineStr">
        <is>
          <t>Milho</t>
        </is>
      </c>
      <c r="B267" t="inlineStr">
        <is>
          <t>Baixa Grande do Ribeiro - PI</t>
        </is>
      </c>
      <c r="C267" t="n">
        <v>-7.84903</v>
      </c>
      <c r="D267" t="n">
        <v>-45.219</v>
      </c>
      <c r="E267" t="inlineStr">
        <is>
          <t>2021-02</t>
        </is>
      </c>
      <c r="F267" t="n">
        <v>0</v>
      </c>
    </row>
    <row r="268">
      <c r="A268" t="inlineStr">
        <is>
          <t>Milho</t>
        </is>
      </c>
      <c r="B268" t="inlineStr">
        <is>
          <t>Baixa Grande do Ribeiro - PI</t>
        </is>
      </c>
      <c r="C268" t="n">
        <v>-7.84903</v>
      </c>
      <c r="D268" t="n">
        <v>-45.219</v>
      </c>
      <c r="E268" t="inlineStr">
        <is>
          <t>2021-03</t>
        </is>
      </c>
      <c r="F268" t="n">
        <v>0</v>
      </c>
    </row>
    <row r="269">
      <c r="A269" t="inlineStr">
        <is>
          <t>Milho</t>
        </is>
      </c>
      <c r="B269" t="inlineStr">
        <is>
          <t>Baixa Grande do Ribeiro - PI</t>
        </is>
      </c>
      <c r="C269" t="n">
        <v>-7.84903</v>
      </c>
      <c r="D269" t="n">
        <v>-45.219</v>
      </c>
      <c r="E269" t="inlineStr">
        <is>
          <t>2021-04</t>
        </is>
      </c>
      <c r="F269" t="n">
        <v>0</v>
      </c>
    </row>
    <row r="270">
      <c r="A270" t="inlineStr">
        <is>
          <t>Milho</t>
        </is>
      </c>
      <c r="B270" t="inlineStr">
        <is>
          <t>Baixa Grande do Ribeiro - PI</t>
        </is>
      </c>
      <c r="C270" t="n">
        <v>-7.84903</v>
      </c>
      <c r="D270" t="n">
        <v>-45.219</v>
      </c>
      <c r="E270" t="inlineStr">
        <is>
          <t>2021-05</t>
        </is>
      </c>
      <c r="F270" t="n">
        <v>42371.76004725948</v>
      </c>
    </row>
    <row r="271">
      <c r="A271" t="inlineStr">
        <is>
          <t>Milho</t>
        </is>
      </c>
      <c r="B271" t="inlineStr">
        <is>
          <t>Baixa Grande do Ribeiro - PI</t>
        </is>
      </c>
      <c r="C271" t="n">
        <v>-7.84903</v>
      </c>
      <c r="D271" t="n">
        <v>-45.219</v>
      </c>
      <c r="E271" t="inlineStr">
        <is>
          <t>2021-06</t>
        </is>
      </c>
      <c r="F271" t="n">
        <v>63248.01004043145</v>
      </c>
    </row>
    <row r="272">
      <c r="A272" t="inlineStr">
        <is>
          <t>Milho</t>
        </is>
      </c>
      <c r="B272" t="inlineStr">
        <is>
          <t>Toledo - PR</t>
        </is>
      </c>
      <c r="C272" t="n">
        <v>-24.7246</v>
      </c>
      <c r="D272" t="n">
        <v>-53.7412</v>
      </c>
      <c r="E272" t="inlineStr">
        <is>
          <t>2021-01</t>
        </is>
      </c>
      <c r="F272" t="n">
        <v>0</v>
      </c>
    </row>
    <row r="273">
      <c r="A273" t="inlineStr">
        <is>
          <t>Milho</t>
        </is>
      </c>
      <c r="B273" t="inlineStr">
        <is>
          <t>Toledo - PR</t>
        </is>
      </c>
      <c r="C273" t="n">
        <v>-24.7246</v>
      </c>
      <c r="D273" t="n">
        <v>-53.7412</v>
      </c>
      <c r="E273" t="inlineStr">
        <is>
          <t>2021-02</t>
        </is>
      </c>
      <c r="F273" t="n">
        <v>0</v>
      </c>
    </row>
    <row r="274">
      <c r="A274" t="inlineStr">
        <is>
          <t>Milho</t>
        </is>
      </c>
      <c r="B274" t="inlineStr">
        <is>
          <t>Toledo - PR</t>
        </is>
      </c>
      <c r="C274" t="n">
        <v>-24.7246</v>
      </c>
      <c r="D274" t="n">
        <v>-53.7412</v>
      </c>
      <c r="E274" t="inlineStr">
        <is>
          <t>2021-03</t>
        </is>
      </c>
      <c r="F274" t="n">
        <v>0</v>
      </c>
    </row>
    <row r="275">
      <c r="A275" t="inlineStr">
        <is>
          <t>Milho</t>
        </is>
      </c>
      <c r="B275" t="inlineStr">
        <is>
          <t>Toledo - PR</t>
        </is>
      </c>
      <c r="C275" t="n">
        <v>-24.7246</v>
      </c>
      <c r="D275" t="n">
        <v>-53.7412</v>
      </c>
      <c r="E275" t="inlineStr">
        <is>
          <t>2021-04</t>
        </is>
      </c>
      <c r="F275" t="n">
        <v>0</v>
      </c>
    </row>
    <row r="276">
      <c r="A276" t="inlineStr">
        <is>
          <t>Milho</t>
        </is>
      </c>
      <c r="B276" t="inlineStr">
        <is>
          <t>Toledo - PR</t>
        </is>
      </c>
      <c r="C276" t="n">
        <v>-24.7246</v>
      </c>
      <c r="D276" t="n">
        <v>-53.7412</v>
      </c>
      <c r="E276" t="inlineStr">
        <is>
          <t>2021-05</t>
        </is>
      </c>
      <c r="F276" t="n">
        <v>404847.5858766495</v>
      </c>
    </row>
    <row r="277">
      <c r="A277" t="inlineStr">
        <is>
          <t>Milho</t>
        </is>
      </c>
      <c r="B277" t="inlineStr">
        <is>
          <t>Toledo - PR</t>
        </is>
      </c>
      <c r="C277" t="n">
        <v>-24.7246</v>
      </c>
      <c r="D277" t="n">
        <v>-53.7412</v>
      </c>
      <c r="E277" t="inlineStr">
        <is>
          <t>2021-06</t>
        </is>
      </c>
      <c r="F277" t="n">
        <v>725175.5645121535</v>
      </c>
    </row>
    <row r="278">
      <c r="A278" t="inlineStr">
        <is>
          <t>Milho</t>
        </is>
      </c>
      <c r="B278" t="inlineStr">
        <is>
          <t>Macaé - RJ</t>
        </is>
      </c>
      <c r="C278" t="n">
        <v>-22.3768</v>
      </c>
      <c r="D278" t="n">
        <v>-41.7848</v>
      </c>
      <c r="E278" t="inlineStr">
        <is>
          <t>2021-01</t>
        </is>
      </c>
      <c r="F278" t="n">
        <v>0</v>
      </c>
    </row>
    <row r="279">
      <c r="A279" t="inlineStr">
        <is>
          <t>Milho</t>
        </is>
      </c>
      <c r="B279" t="inlineStr">
        <is>
          <t>Macaé - RJ</t>
        </is>
      </c>
      <c r="C279" t="n">
        <v>-22.3768</v>
      </c>
      <c r="D279" t="n">
        <v>-41.7848</v>
      </c>
      <c r="E279" t="inlineStr">
        <is>
          <t>2021-02</t>
        </is>
      </c>
      <c r="F279" t="n">
        <v>0</v>
      </c>
    </row>
    <row r="280">
      <c r="A280" t="inlineStr">
        <is>
          <t>Milho</t>
        </is>
      </c>
      <c r="B280" t="inlineStr">
        <is>
          <t>Macaé - RJ</t>
        </is>
      </c>
      <c r="C280" t="n">
        <v>-22.3768</v>
      </c>
      <c r="D280" t="n">
        <v>-41.7848</v>
      </c>
      <c r="E280" t="inlineStr">
        <is>
          <t>2021-03</t>
        </is>
      </c>
      <c r="F280" t="n">
        <v>0</v>
      </c>
    </row>
    <row r="281">
      <c r="A281" t="inlineStr">
        <is>
          <t>Milho</t>
        </is>
      </c>
      <c r="B281" t="inlineStr">
        <is>
          <t>Macaé - RJ</t>
        </is>
      </c>
      <c r="C281" t="n">
        <v>-22.3768</v>
      </c>
      <c r="D281" t="n">
        <v>-41.7848</v>
      </c>
      <c r="E281" t="inlineStr">
        <is>
          <t>2021-04</t>
        </is>
      </c>
      <c r="F281" t="n">
        <v>0</v>
      </c>
    </row>
    <row r="282">
      <c r="A282" t="inlineStr">
        <is>
          <t>Milho</t>
        </is>
      </c>
      <c r="B282" t="inlineStr">
        <is>
          <t>Macaé - RJ</t>
        </is>
      </c>
      <c r="C282" t="n">
        <v>-22.3768</v>
      </c>
      <c r="D282" t="n">
        <v>-41.7848</v>
      </c>
      <c r="E282" t="inlineStr">
        <is>
          <t>2021-05</t>
        </is>
      </c>
      <c r="F282" t="n">
        <v>0</v>
      </c>
    </row>
    <row r="283">
      <c r="A283" t="inlineStr">
        <is>
          <t>Milho</t>
        </is>
      </c>
      <c r="B283" t="inlineStr">
        <is>
          <t>Macaé - RJ</t>
        </is>
      </c>
      <c r="C283" t="n">
        <v>-22.3768</v>
      </c>
      <c r="D283" t="n">
        <v>-41.7848</v>
      </c>
      <c r="E283" t="inlineStr">
        <is>
          <t>2021-06</t>
        </is>
      </c>
      <c r="F283" t="n">
        <v>0</v>
      </c>
    </row>
    <row r="284">
      <c r="A284" t="inlineStr">
        <is>
          <t>Milho</t>
        </is>
      </c>
      <c r="B284" t="inlineStr">
        <is>
          <t>Apodi - RN</t>
        </is>
      </c>
      <c r="C284" t="n">
        <v>-5.65349</v>
      </c>
      <c r="D284" t="n">
        <v>-37.7946</v>
      </c>
      <c r="E284" t="inlineStr">
        <is>
          <t>2021-01</t>
        </is>
      </c>
      <c r="F284" t="n">
        <v>0</v>
      </c>
    </row>
    <row r="285">
      <c r="A285" t="inlineStr">
        <is>
          <t>Milho</t>
        </is>
      </c>
      <c r="B285" t="inlineStr">
        <is>
          <t>Apodi - RN</t>
        </is>
      </c>
      <c r="C285" t="n">
        <v>-5.65349</v>
      </c>
      <c r="D285" t="n">
        <v>-37.7946</v>
      </c>
      <c r="E285" t="inlineStr">
        <is>
          <t>2021-02</t>
        </is>
      </c>
      <c r="F285" t="n">
        <v>0</v>
      </c>
    </row>
    <row r="286">
      <c r="A286" t="inlineStr">
        <is>
          <t>Milho</t>
        </is>
      </c>
      <c r="B286" t="inlineStr">
        <is>
          <t>Apodi - RN</t>
        </is>
      </c>
      <c r="C286" t="n">
        <v>-5.65349</v>
      </c>
      <c r="D286" t="n">
        <v>-37.7946</v>
      </c>
      <c r="E286" t="inlineStr">
        <is>
          <t>2021-03</t>
        </is>
      </c>
      <c r="F286" t="n">
        <v>0</v>
      </c>
    </row>
    <row r="287">
      <c r="A287" t="inlineStr">
        <is>
          <t>Milho</t>
        </is>
      </c>
      <c r="B287" t="inlineStr">
        <is>
          <t>Apodi - RN</t>
        </is>
      </c>
      <c r="C287" t="n">
        <v>-5.65349</v>
      </c>
      <c r="D287" t="n">
        <v>-37.7946</v>
      </c>
      <c r="E287" t="inlineStr">
        <is>
          <t>2021-04</t>
        </is>
      </c>
      <c r="F287" t="n">
        <v>0</v>
      </c>
    </row>
    <row r="288">
      <c r="A288" t="inlineStr">
        <is>
          <t>Milho</t>
        </is>
      </c>
      <c r="B288" t="inlineStr">
        <is>
          <t>Apodi - RN</t>
        </is>
      </c>
      <c r="C288" t="n">
        <v>-5.65349</v>
      </c>
      <c r="D288" t="n">
        <v>-37.7946</v>
      </c>
      <c r="E288" t="inlineStr">
        <is>
          <t>2021-05</t>
        </is>
      </c>
      <c r="F288" t="n">
        <v>3493.291958257697</v>
      </c>
    </row>
    <row r="289">
      <c r="A289" t="inlineStr">
        <is>
          <t>Milho</t>
        </is>
      </c>
      <c r="B289" t="inlineStr">
        <is>
          <t>Apodi - RN</t>
        </is>
      </c>
      <c r="C289" t="n">
        <v>-5.65349</v>
      </c>
      <c r="D289" t="n">
        <v>-37.7946</v>
      </c>
      <c r="E289" t="inlineStr">
        <is>
          <t>2021-06</t>
        </is>
      </c>
      <c r="F289" t="n">
        <v>3128.646503288192</v>
      </c>
    </row>
    <row r="290">
      <c r="A290" t="inlineStr">
        <is>
          <t>Milho</t>
        </is>
      </c>
      <c r="B290" t="inlineStr">
        <is>
          <t>Pimenteiras do Oeste - RO</t>
        </is>
      </c>
      <c r="C290" t="n">
        <v>-13.4823</v>
      </c>
      <c r="D290" t="n">
        <v>-61.0471</v>
      </c>
      <c r="E290" t="inlineStr">
        <is>
          <t>2021-01</t>
        </is>
      </c>
      <c r="F290" t="n">
        <v>0</v>
      </c>
    </row>
    <row r="291">
      <c r="A291" t="inlineStr">
        <is>
          <t>Milho</t>
        </is>
      </c>
      <c r="B291" t="inlineStr">
        <is>
          <t>Pimenteiras do Oeste - RO</t>
        </is>
      </c>
      <c r="C291" t="n">
        <v>-13.4823</v>
      </c>
      <c r="D291" t="n">
        <v>-61.0471</v>
      </c>
      <c r="E291" t="inlineStr">
        <is>
          <t>2021-02</t>
        </is>
      </c>
      <c r="F291" t="n">
        <v>0</v>
      </c>
    </row>
    <row r="292">
      <c r="A292" t="inlineStr">
        <is>
          <t>Milho</t>
        </is>
      </c>
      <c r="B292" t="inlineStr">
        <is>
          <t>Pimenteiras do Oeste - RO</t>
        </is>
      </c>
      <c r="C292" t="n">
        <v>-13.4823</v>
      </c>
      <c r="D292" t="n">
        <v>-61.0471</v>
      </c>
      <c r="E292" t="inlineStr">
        <is>
          <t>2021-03</t>
        </is>
      </c>
      <c r="F292" t="n">
        <v>0</v>
      </c>
    </row>
    <row r="293">
      <c r="A293" t="inlineStr">
        <is>
          <t>Milho</t>
        </is>
      </c>
      <c r="B293" t="inlineStr">
        <is>
          <t>Pimenteiras do Oeste - RO</t>
        </is>
      </c>
      <c r="C293" t="n">
        <v>-13.4823</v>
      </c>
      <c r="D293" t="n">
        <v>-61.0471</v>
      </c>
      <c r="E293" t="inlineStr">
        <is>
          <t>2021-04</t>
        </is>
      </c>
      <c r="F293" t="n">
        <v>0</v>
      </c>
    </row>
    <row r="294">
      <c r="A294" t="inlineStr">
        <is>
          <t>Milho</t>
        </is>
      </c>
      <c r="B294" t="inlineStr">
        <is>
          <t>Pimenteiras do Oeste - RO</t>
        </is>
      </c>
      <c r="C294" t="n">
        <v>-13.4823</v>
      </c>
      <c r="D294" t="n">
        <v>-61.0471</v>
      </c>
      <c r="E294" t="inlineStr">
        <is>
          <t>2021-05</t>
        </is>
      </c>
      <c r="F294" t="n">
        <v>64750.6616548478</v>
      </c>
    </row>
    <row r="295">
      <c r="A295" t="inlineStr">
        <is>
          <t>Milho</t>
        </is>
      </c>
      <c r="B295" t="inlineStr">
        <is>
          <t>Pimenteiras do Oeste - RO</t>
        </is>
      </c>
      <c r="C295" t="n">
        <v>-13.4823</v>
      </c>
      <c r="D295" t="n">
        <v>-61.0471</v>
      </c>
      <c r="E295" t="inlineStr">
        <is>
          <t>2021-06</t>
        </is>
      </c>
      <c r="F295" t="n">
        <v>115983.3953718975</v>
      </c>
    </row>
    <row r="296">
      <c r="A296" t="inlineStr">
        <is>
          <t>Milho</t>
        </is>
      </c>
      <c r="B296" t="inlineStr">
        <is>
          <t>Bonfim - RR</t>
        </is>
      </c>
      <c r="C296" t="n">
        <v>3.36161</v>
      </c>
      <c r="D296" t="n">
        <v>-59.8333</v>
      </c>
      <c r="E296" t="inlineStr">
        <is>
          <t>2021-01</t>
        </is>
      </c>
      <c r="F296" t="n">
        <v>0</v>
      </c>
    </row>
    <row r="297">
      <c r="A297" t="inlineStr">
        <is>
          <t>Milho</t>
        </is>
      </c>
      <c r="B297" t="inlineStr">
        <is>
          <t>Bonfim - RR</t>
        </is>
      </c>
      <c r="C297" t="n">
        <v>3.36161</v>
      </c>
      <c r="D297" t="n">
        <v>-59.8333</v>
      </c>
      <c r="E297" t="inlineStr">
        <is>
          <t>2021-02</t>
        </is>
      </c>
      <c r="F297" t="n">
        <v>0</v>
      </c>
    </row>
    <row r="298">
      <c r="A298" t="inlineStr">
        <is>
          <t>Milho</t>
        </is>
      </c>
      <c r="B298" t="inlineStr">
        <is>
          <t>Bonfim - RR</t>
        </is>
      </c>
      <c r="C298" t="n">
        <v>3.36161</v>
      </c>
      <c r="D298" t="n">
        <v>-59.8333</v>
      </c>
      <c r="E298" t="inlineStr">
        <is>
          <t>2021-03</t>
        </is>
      </c>
      <c r="F298" t="n">
        <v>0</v>
      </c>
    </row>
    <row r="299">
      <c r="A299" t="inlineStr">
        <is>
          <t>Milho</t>
        </is>
      </c>
      <c r="B299" t="inlineStr">
        <is>
          <t>Bonfim - RR</t>
        </is>
      </c>
      <c r="C299" t="n">
        <v>3.36161</v>
      </c>
      <c r="D299" t="n">
        <v>-59.8333</v>
      </c>
      <c r="E299" t="inlineStr">
        <is>
          <t>2021-04</t>
        </is>
      </c>
      <c r="F299" t="n">
        <v>0</v>
      </c>
    </row>
    <row r="300">
      <c r="A300" t="inlineStr">
        <is>
          <t>Milho</t>
        </is>
      </c>
      <c r="B300" t="inlineStr">
        <is>
          <t>Bonfim - RR</t>
        </is>
      </c>
      <c r="C300" t="n">
        <v>3.36161</v>
      </c>
      <c r="D300" t="n">
        <v>-59.8333</v>
      </c>
      <c r="E300" t="inlineStr">
        <is>
          <t>2021-05</t>
        </is>
      </c>
      <c r="F300" t="n">
        <v>0</v>
      </c>
    </row>
    <row r="301">
      <c r="A301" t="inlineStr">
        <is>
          <t>Milho</t>
        </is>
      </c>
      <c r="B301" t="inlineStr">
        <is>
          <t>Bonfim - RR</t>
        </is>
      </c>
      <c r="C301" t="n">
        <v>3.36161</v>
      </c>
      <c r="D301" t="n">
        <v>-59.8333</v>
      </c>
      <c r="E301" t="inlineStr">
        <is>
          <t>2021-06</t>
        </is>
      </c>
      <c r="F301" t="n">
        <v>0</v>
      </c>
    </row>
    <row r="302">
      <c r="A302" t="inlineStr">
        <is>
          <t>Milho</t>
        </is>
      </c>
      <c r="B302" t="inlineStr">
        <is>
          <t>Campos Novos - SC</t>
        </is>
      </c>
      <c r="C302" t="n">
        <v>-27.4002</v>
      </c>
      <c r="D302" t="n">
        <v>-51.2276</v>
      </c>
      <c r="E302" t="inlineStr">
        <is>
          <t>2021-01</t>
        </is>
      </c>
      <c r="F302" t="n">
        <v>0</v>
      </c>
    </row>
    <row r="303">
      <c r="A303" t="inlineStr">
        <is>
          <t>Milho</t>
        </is>
      </c>
      <c r="B303" t="inlineStr">
        <is>
          <t>Campos Novos - SC</t>
        </is>
      </c>
      <c r="C303" t="n">
        <v>-27.4002</v>
      </c>
      <c r="D303" t="n">
        <v>-51.2276</v>
      </c>
      <c r="E303" t="inlineStr">
        <is>
          <t>2021-02</t>
        </is>
      </c>
      <c r="F303" t="n">
        <v>0</v>
      </c>
    </row>
    <row r="304">
      <c r="A304" t="inlineStr">
        <is>
          <t>Milho</t>
        </is>
      </c>
      <c r="B304" t="inlineStr">
        <is>
          <t>Campos Novos - SC</t>
        </is>
      </c>
      <c r="C304" t="n">
        <v>-27.4002</v>
      </c>
      <c r="D304" t="n">
        <v>-51.2276</v>
      </c>
      <c r="E304" t="inlineStr">
        <is>
          <t>2021-03</t>
        </is>
      </c>
      <c r="F304" t="n">
        <v>0</v>
      </c>
    </row>
    <row r="305">
      <c r="A305" t="inlineStr">
        <is>
          <t>Milho</t>
        </is>
      </c>
      <c r="B305" t="inlineStr">
        <is>
          <t>Campos Novos - SC</t>
        </is>
      </c>
      <c r="C305" t="n">
        <v>-27.4002</v>
      </c>
      <c r="D305" t="n">
        <v>-51.2276</v>
      </c>
      <c r="E305" t="inlineStr">
        <is>
          <t>2021-04</t>
        </is>
      </c>
      <c r="F305" t="n">
        <v>0</v>
      </c>
    </row>
    <row r="306">
      <c r="A306" t="inlineStr">
        <is>
          <t>Milho</t>
        </is>
      </c>
      <c r="B306" t="inlineStr">
        <is>
          <t>Campos Novos - SC</t>
        </is>
      </c>
      <c r="C306" t="n">
        <v>-27.4002</v>
      </c>
      <c r="D306" t="n">
        <v>-51.2276</v>
      </c>
      <c r="E306" t="inlineStr">
        <is>
          <t>2021-05</t>
        </is>
      </c>
      <c r="F306" t="n">
        <v>0</v>
      </c>
    </row>
    <row r="307">
      <c r="A307" t="inlineStr">
        <is>
          <t>Milho</t>
        </is>
      </c>
      <c r="B307" t="inlineStr">
        <is>
          <t>Campos Novos - SC</t>
        </is>
      </c>
      <c r="C307" t="n">
        <v>-27.4002</v>
      </c>
      <c r="D307" t="n">
        <v>-51.2276</v>
      </c>
      <c r="E307" t="inlineStr">
        <is>
          <t>2021-06</t>
        </is>
      </c>
      <c r="F307" t="n">
        <v>0</v>
      </c>
    </row>
    <row r="308">
      <c r="A308" t="inlineStr">
        <is>
          <t>Milho</t>
        </is>
      </c>
      <c r="B308" t="inlineStr">
        <is>
          <t>Carira - SE</t>
        </is>
      </c>
      <c r="C308" t="n">
        <v>-10.3524</v>
      </c>
      <c r="D308" t="n">
        <v>-37.7002</v>
      </c>
      <c r="E308" t="inlineStr">
        <is>
          <t>2021-01</t>
        </is>
      </c>
      <c r="F308" t="n">
        <v>0</v>
      </c>
    </row>
    <row r="309">
      <c r="A309" t="inlineStr">
        <is>
          <t>Milho</t>
        </is>
      </c>
      <c r="B309" t="inlineStr">
        <is>
          <t>Carira - SE</t>
        </is>
      </c>
      <c r="C309" t="n">
        <v>-10.3524</v>
      </c>
      <c r="D309" t="n">
        <v>-37.7002</v>
      </c>
      <c r="E309" t="inlineStr">
        <is>
          <t>2021-02</t>
        </is>
      </c>
      <c r="F309" t="n">
        <v>0</v>
      </c>
    </row>
    <row r="310">
      <c r="A310" t="inlineStr">
        <is>
          <t>Milho</t>
        </is>
      </c>
      <c r="B310" t="inlineStr">
        <is>
          <t>Carira - SE</t>
        </is>
      </c>
      <c r="C310" t="n">
        <v>-10.3524</v>
      </c>
      <c r="D310" t="n">
        <v>-37.7002</v>
      </c>
      <c r="E310" t="inlineStr">
        <is>
          <t>2021-03</t>
        </is>
      </c>
      <c r="F310" t="n">
        <v>0</v>
      </c>
    </row>
    <row r="311">
      <c r="A311" t="inlineStr">
        <is>
          <t>Milho</t>
        </is>
      </c>
      <c r="B311" t="inlineStr">
        <is>
          <t>Carira - SE</t>
        </is>
      </c>
      <c r="C311" t="n">
        <v>-10.3524</v>
      </c>
      <c r="D311" t="n">
        <v>-37.7002</v>
      </c>
      <c r="E311" t="inlineStr">
        <is>
          <t>2021-04</t>
        </is>
      </c>
      <c r="F311" t="n">
        <v>0</v>
      </c>
    </row>
    <row r="312">
      <c r="A312" t="inlineStr">
        <is>
          <t>Milho</t>
        </is>
      </c>
      <c r="B312" t="inlineStr">
        <is>
          <t>Carira - SE</t>
        </is>
      </c>
      <c r="C312" t="n">
        <v>-10.3524</v>
      </c>
      <c r="D312" t="n">
        <v>-37.7002</v>
      </c>
      <c r="E312" t="inlineStr">
        <is>
          <t>2021-05</t>
        </is>
      </c>
      <c r="F312" t="n">
        <v>0</v>
      </c>
    </row>
    <row r="313">
      <c r="A313" t="inlineStr">
        <is>
          <t>Milho</t>
        </is>
      </c>
      <c r="B313" t="inlineStr">
        <is>
          <t>Carira - SE</t>
        </is>
      </c>
      <c r="C313" t="n">
        <v>-10.3524</v>
      </c>
      <c r="D313" t="n">
        <v>-37.7002</v>
      </c>
      <c r="E313" t="inlineStr">
        <is>
          <t>2021-06</t>
        </is>
      </c>
      <c r="F313" t="n">
        <v>0</v>
      </c>
    </row>
    <row r="314">
      <c r="A314" t="inlineStr">
        <is>
          <t>Milho</t>
        </is>
      </c>
      <c r="B314" t="inlineStr">
        <is>
          <t>Itapeva - SP</t>
        </is>
      </c>
      <c r="C314" t="n">
        <v>-23.9788</v>
      </c>
      <c r="D314" t="n">
        <v>-48.8764</v>
      </c>
      <c r="E314" t="inlineStr">
        <is>
          <t>2021-01</t>
        </is>
      </c>
      <c r="F314" t="n">
        <v>0</v>
      </c>
    </row>
    <row r="315">
      <c r="A315" t="inlineStr">
        <is>
          <t>Milho</t>
        </is>
      </c>
      <c r="B315" t="inlineStr">
        <is>
          <t>Itapeva - SP</t>
        </is>
      </c>
      <c r="C315" t="n">
        <v>-23.9788</v>
      </c>
      <c r="D315" t="n">
        <v>-48.8764</v>
      </c>
      <c r="E315" t="inlineStr">
        <is>
          <t>2021-02</t>
        </is>
      </c>
      <c r="F315" t="n">
        <v>0</v>
      </c>
    </row>
    <row r="316">
      <c r="A316" t="inlineStr">
        <is>
          <t>Milho</t>
        </is>
      </c>
      <c r="B316" t="inlineStr">
        <is>
          <t>Itapeva - SP</t>
        </is>
      </c>
      <c r="C316" t="n">
        <v>-23.9788</v>
      </c>
      <c r="D316" t="n">
        <v>-48.8764</v>
      </c>
      <c r="E316" t="inlineStr">
        <is>
          <t>2021-03</t>
        </is>
      </c>
      <c r="F316" t="n">
        <v>0</v>
      </c>
    </row>
    <row r="317">
      <c r="A317" t="inlineStr">
        <is>
          <t>Milho</t>
        </is>
      </c>
      <c r="B317" t="inlineStr">
        <is>
          <t>Itapeva - SP</t>
        </is>
      </c>
      <c r="C317" t="n">
        <v>-23.9788</v>
      </c>
      <c r="D317" t="n">
        <v>-48.8764</v>
      </c>
      <c r="E317" t="inlineStr">
        <is>
          <t>2021-04</t>
        </is>
      </c>
      <c r="F317" t="n">
        <v>0</v>
      </c>
    </row>
    <row r="318">
      <c r="A318" t="inlineStr">
        <is>
          <t>Milho</t>
        </is>
      </c>
      <c r="B318" t="inlineStr">
        <is>
          <t>Itapeva - SP</t>
        </is>
      </c>
      <c r="C318" t="n">
        <v>-23.9788</v>
      </c>
      <c r="D318" t="n">
        <v>-48.8764</v>
      </c>
      <c r="E318" t="inlineStr">
        <is>
          <t>2021-05</t>
        </is>
      </c>
      <c r="F318" t="n">
        <v>161416.2287514648</v>
      </c>
    </row>
    <row r="319">
      <c r="A319" t="inlineStr">
        <is>
          <t>Milho</t>
        </is>
      </c>
      <c r="B319" t="inlineStr">
        <is>
          <t>Itapeva - SP</t>
        </is>
      </c>
      <c r="C319" t="n">
        <v>-23.9788</v>
      </c>
      <c r="D319" t="n">
        <v>-48.8764</v>
      </c>
      <c r="E319" t="inlineStr">
        <is>
          <t>2021-06</t>
        </is>
      </c>
      <c r="F319" t="n">
        <v>144566.8800924147</v>
      </c>
    </row>
    <row r="320">
      <c r="A320" t="inlineStr">
        <is>
          <t>Milho</t>
        </is>
      </c>
      <c r="B320" t="inlineStr">
        <is>
          <t>Campos Lindos - TO</t>
        </is>
      </c>
      <c r="C320" t="n">
        <v>-7.98956</v>
      </c>
      <c r="D320" t="n">
        <v>-46.8645</v>
      </c>
      <c r="E320" t="inlineStr">
        <is>
          <t>2021-01</t>
        </is>
      </c>
      <c r="F320" t="n">
        <v>0</v>
      </c>
    </row>
    <row r="321">
      <c r="A321" t="inlineStr">
        <is>
          <t>Milho</t>
        </is>
      </c>
      <c r="B321" t="inlineStr">
        <is>
          <t>Campos Lindos - TO</t>
        </is>
      </c>
      <c r="C321" t="n">
        <v>-7.98956</v>
      </c>
      <c r="D321" t="n">
        <v>-46.8645</v>
      </c>
      <c r="E321" t="inlineStr">
        <is>
          <t>2021-02</t>
        </is>
      </c>
      <c r="F321" t="n">
        <v>0</v>
      </c>
    </row>
    <row r="322">
      <c r="A322" t="inlineStr">
        <is>
          <t>Milho</t>
        </is>
      </c>
      <c r="B322" t="inlineStr">
        <is>
          <t>Campos Lindos - TO</t>
        </is>
      </c>
      <c r="C322" t="n">
        <v>-7.98956</v>
      </c>
      <c r="D322" t="n">
        <v>-46.8645</v>
      </c>
      <c r="E322" t="inlineStr">
        <is>
          <t>2021-03</t>
        </is>
      </c>
      <c r="F322" t="n">
        <v>0</v>
      </c>
    </row>
    <row r="323">
      <c r="A323" t="inlineStr">
        <is>
          <t>Milho</t>
        </is>
      </c>
      <c r="B323" t="inlineStr">
        <is>
          <t>Campos Lindos - TO</t>
        </is>
      </c>
      <c r="C323" t="n">
        <v>-7.98956</v>
      </c>
      <c r="D323" t="n">
        <v>-46.8645</v>
      </c>
      <c r="E323" t="inlineStr">
        <is>
          <t>2021-04</t>
        </is>
      </c>
      <c r="F323" t="n">
        <v>0</v>
      </c>
    </row>
    <row r="324">
      <c r="A324" t="inlineStr">
        <is>
          <t>Milho</t>
        </is>
      </c>
      <c r="B324" t="inlineStr">
        <is>
          <t>Campos Lindos - TO</t>
        </is>
      </c>
      <c r="C324" t="n">
        <v>-7.98956</v>
      </c>
      <c r="D324" t="n">
        <v>-46.8645</v>
      </c>
      <c r="E324" t="inlineStr">
        <is>
          <t>2021-05</t>
        </is>
      </c>
      <c r="F324" t="n">
        <v>115403.3950495842</v>
      </c>
    </row>
    <row r="325">
      <c r="A325" t="inlineStr">
        <is>
          <t>Milho</t>
        </is>
      </c>
      <c r="B325" t="inlineStr">
        <is>
          <t>Campos Lindos - TO</t>
        </is>
      </c>
      <c r="C325" t="n">
        <v>-7.98956</v>
      </c>
      <c r="D325" t="n">
        <v>-46.8645</v>
      </c>
      <c r="E325" t="inlineStr">
        <is>
          <t>2021-06</t>
        </is>
      </c>
      <c r="F325" t="n">
        <v>103357.0719836274</v>
      </c>
    </row>
    <row r="326">
      <c r="A326" t="inlineStr">
        <is>
          <t>Milho</t>
        </is>
      </c>
      <c r="B326" t="inlineStr">
        <is>
          <t>Senador Guiomard - AC</t>
        </is>
      </c>
      <c r="C326" t="n">
        <v>-10.1497</v>
      </c>
      <c r="D326" t="n">
        <v>-67.7362</v>
      </c>
      <c r="E326" t="inlineStr">
        <is>
          <t>2021-01</t>
        </is>
      </c>
      <c r="F326" t="n">
        <v>0</v>
      </c>
    </row>
    <row r="327">
      <c r="A327" t="inlineStr">
        <is>
          <t>Milho</t>
        </is>
      </c>
      <c r="B327" t="inlineStr">
        <is>
          <t>Senador Guiomard - AC</t>
        </is>
      </c>
      <c r="C327" t="n">
        <v>-10.1497</v>
      </c>
      <c r="D327" t="n">
        <v>-67.7362</v>
      </c>
      <c r="E327" t="inlineStr">
        <is>
          <t>2021-02</t>
        </is>
      </c>
      <c r="F327" t="n">
        <v>0</v>
      </c>
    </row>
    <row r="328">
      <c r="A328" t="inlineStr">
        <is>
          <t>Milho</t>
        </is>
      </c>
      <c r="B328" t="inlineStr">
        <is>
          <t>Senador Guiomard - AC</t>
        </is>
      </c>
      <c r="C328" t="n">
        <v>-10.1497</v>
      </c>
      <c r="D328" t="n">
        <v>-67.7362</v>
      </c>
      <c r="E328" t="inlineStr">
        <is>
          <t>2021-03</t>
        </is>
      </c>
      <c r="F328" t="n">
        <v>0</v>
      </c>
    </row>
    <row r="329">
      <c r="A329" t="inlineStr">
        <is>
          <t>Milho</t>
        </is>
      </c>
      <c r="B329" t="inlineStr">
        <is>
          <t>Senador Guiomard - AC</t>
        </is>
      </c>
      <c r="C329" t="n">
        <v>-10.1497</v>
      </c>
      <c r="D329" t="n">
        <v>-67.7362</v>
      </c>
      <c r="E329" t="inlineStr">
        <is>
          <t>2021-04</t>
        </is>
      </c>
      <c r="F329" t="n">
        <v>0</v>
      </c>
    </row>
    <row r="330">
      <c r="A330" t="inlineStr">
        <is>
          <t>Milho</t>
        </is>
      </c>
      <c r="B330" t="inlineStr">
        <is>
          <t>Senador Guiomard - AC</t>
        </is>
      </c>
      <c r="C330" t="n">
        <v>-10.1497</v>
      </c>
      <c r="D330" t="n">
        <v>-67.7362</v>
      </c>
      <c r="E330" t="inlineStr">
        <is>
          <t>2021-05</t>
        </is>
      </c>
      <c r="F330" t="n">
        <v>0</v>
      </c>
    </row>
    <row r="331">
      <c r="A331" t="inlineStr">
        <is>
          <t>Milho</t>
        </is>
      </c>
      <c r="B331" t="inlineStr">
        <is>
          <t>Senador Guiomard - AC</t>
        </is>
      </c>
      <c r="C331" t="n">
        <v>-10.1497</v>
      </c>
      <c r="D331" t="n">
        <v>-67.7362</v>
      </c>
      <c r="E331" t="inlineStr">
        <is>
          <t>2021-06</t>
        </is>
      </c>
      <c r="F331" t="n">
        <v>0</v>
      </c>
    </row>
    <row r="332">
      <c r="A332" t="inlineStr">
        <is>
          <t>Milho</t>
        </is>
      </c>
      <c r="B332" t="inlineStr">
        <is>
          <t>Humaitá - AM</t>
        </is>
      </c>
      <c r="C332" t="n">
        <v>-7.51171</v>
      </c>
      <c r="D332" t="n">
        <v>-63.0327</v>
      </c>
      <c r="E332" t="inlineStr">
        <is>
          <t>2021-01</t>
        </is>
      </c>
      <c r="F332" t="n">
        <v>0</v>
      </c>
    </row>
    <row r="333">
      <c r="A333" t="inlineStr">
        <is>
          <t>Milho</t>
        </is>
      </c>
      <c r="B333" t="inlineStr">
        <is>
          <t>Humaitá - AM</t>
        </is>
      </c>
      <c r="C333" t="n">
        <v>-7.51171</v>
      </c>
      <c r="D333" t="n">
        <v>-63.0327</v>
      </c>
      <c r="E333" t="inlineStr">
        <is>
          <t>2021-02</t>
        </is>
      </c>
      <c r="F333" t="n">
        <v>0</v>
      </c>
    </row>
    <row r="334">
      <c r="A334" t="inlineStr">
        <is>
          <t>Milho</t>
        </is>
      </c>
      <c r="B334" t="inlineStr">
        <is>
          <t>Humaitá - AM</t>
        </is>
      </c>
      <c r="C334" t="n">
        <v>-7.51171</v>
      </c>
      <c r="D334" t="n">
        <v>-63.0327</v>
      </c>
      <c r="E334" t="inlineStr">
        <is>
          <t>2021-03</t>
        </is>
      </c>
      <c r="F334" t="n">
        <v>0</v>
      </c>
    </row>
    <row r="335">
      <c r="A335" t="inlineStr">
        <is>
          <t>Milho</t>
        </is>
      </c>
      <c r="B335" t="inlineStr">
        <is>
          <t>Humaitá - AM</t>
        </is>
      </c>
      <c r="C335" t="n">
        <v>-7.51171</v>
      </c>
      <c r="D335" t="n">
        <v>-63.0327</v>
      </c>
      <c r="E335" t="inlineStr">
        <is>
          <t>2021-04</t>
        </is>
      </c>
      <c r="F335" t="n">
        <v>0</v>
      </c>
    </row>
    <row r="336">
      <c r="A336" t="inlineStr">
        <is>
          <t>Milho</t>
        </is>
      </c>
      <c r="B336" t="inlineStr">
        <is>
          <t>Humaitá - AM</t>
        </is>
      </c>
      <c r="C336" t="n">
        <v>-7.51171</v>
      </c>
      <c r="D336" t="n">
        <v>-63.0327</v>
      </c>
      <c r="E336" t="inlineStr">
        <is>
          <t>2021-05</t>
        </is>
      </c>
      <c r="F336" t="n">
        <v>0</v>
      </c>
    </row>
    <row r="337">
      <c r="A337" t="inlineStr">
        <is>
          <t>Milho</t>
        </is>
      </c>
      <c r="B337" t="inlineStr">
        <is>
          <t>Humaitá - AM</t>
        </is>
      </c>
      <c r="C337" t="n">
        <v>-7.51171</v>
      </c>
      <c r="D337" t="n">
        <v>-63.0327</v>
      </c>
      <c r="E337" t="inlineStr">
        <is>
          <t>2021-06</t>
        </is>
      </c>
      <c r="F337" t="n">
        <v>0</v>
      </c>
    </row>
    <row r="338">
      <c r="A338" t="inlineStr">
        <is>
          <t>Milho</t>
        </is>
      </c>
      <c r="B338" t="inlineStr">
        <is>
          <t>Palmeira das Missões - RS</t>
        </is>
      </c>
      <c r="C338" t="n">
        <v>-27.9007</v>
      </c>
      <c r="D338" t="n">
        <v>-53.3134</v>
      </c>
      <c r="E338" t="inlineStr">
        <is>
          <t>2021-01</t>
        </is>
      </c>
      <c r="F338" t="n">
        <v>0</v>
      </c>
    </row>
    <row r="339">
      <c r="A339" t="inlineStr">
        <is>
          <t>Milho</t>
        </is>
      </c>
      <c r="B339" t="inlineStr">
        <is>
          <t>Palmeira das Missões - RS</t>
        </is>
      </c>
      <c r="C339" t="n">
        <v>-27.9007</v>
      </c>
      <c r="D339" t="n">
        <v>-53.3134</v>
      </c>
      <c r="E339" t="inlineStr">
        <is>
          <t>2021-02</t>
        </is>
      </c>
      <c r="F339" t="n">
        <v>0</v>
      </c>
    </row>
    <row r="340">
      <c r="A340" t="inlineStr">
        <is>
          <t>Milho</t>
        </is>
      </c>
      <c r="B340" t="inlineStr">
        <is>
          <t>Palmeira das Missões - RS</t>
        </is>
      </c>
      <c r="C340" t="n">
        <v>-27.9007</v>
      </c>
      <c r="D340" t="n">
        <v>-53.3134</v>
      </c>
      <c r="E340" t="inlineStr">
        <is>
          <t>2021-03</t>
        </is>
      </c>
      <c r="F340" t="n">
        <v>0</v>
      </c>
    </row>
    <row r="341">
      <c r="A341" t="inlineStr">
        <is>
          <t>Milho</t>
        </is>
      </c>
      <c r="B341" t="inlineStr">
        <is>
          <t>Palmeira das Missões - RS</t>
        </is>
      </c>
      <c r="C341" t="n">
        <v>-27.9007</v>
      </c>
      <c r="D341" t="n">
        <v>-53.3134</v>
      </c>
      <c r="E341" t="inlineStr">
        <is>
          <t>2021-04</t>
        </is>
      </c>
      <c r="F341" t="n">
        <v>0</v>
      </c>
    </row>
    <row r="342">
      <c r="A342" t="inlineStr">
        <is>
          <t>Milho</t>
        </is>
      </c>
      <c r="B342" t="inlineStr">
        <is>
          <t>Palmeira das Missões - RS</t>
        </is>
      </c>
      <c r="C342" t="n">
        <v>-27.9007</v>
      </c>
      <c r="D342" t="n">
        <v>-53.3134</v>
      </c>
      <c r="E342" t="inlineStr">
        <is>
          <t>2021-05</t>
        </is>
      </c>
      <c r="F342" t="n">
        <v>0</v>
      </c>
    </row>
    <row r="343">
      <c r="A343" t="inlineStr">
        <is>
          <t>Milho</t>
        </is>
      </c>
      <c r="B343" t="inlineStr">
        <is>
          <t>Palmeira das Missões - RS</t>
        </is>
      </c>
      <c r="C343" t="n">
        <v>-27.9007</v>
      </c>
      <c r="D343" t="n">
        <v>-53.3134</v>
      </c>
      <c r="E343" t="inlineStr">
        <is>
          <t>2021-06</t>
        </is>
      </c>
      <c r="F343" t="n">
        <v>0</v>
      </c>
    </row>
    <row r="344">
      <c r="A344" t="inlineStr">
        <is>
          <t>Milho</t>
        </is>
      </c>
      <c r="B344" t="inlineStr">
        <is>
          <t>Limoeiro de Anadia - AL</t>
        </is>
      </c>
      <c r="C344" t="n">
        <v>-9.74098</v>
      </c>
      <c r="D344" t="n">
        <v>-36.5121</v>
      </c>
      <c r="E344" t="inlineStr">
        <is>
          <t>2021-01</t>
        </is>
      </c>
      <c r="F344" t="n">
        <v>0</v>
      </c>
    </row>
    <row r="345">
      <c r="A345" t="inlineStr">
        <is>
          <t>Milho</t>
        </is>
      </c>
      <c r="B345" t="inlineStr">
        <is>
          <t>Limoeiro de Anadia - AL</t>
        </is>
      </c>
      <c r="C345" t="n">
        <v>-9.74098</v>
      </c>
      <c r="D345" t="n">
        <v>-36.5121</v>
      </c>
      <c r="E345" t="inlineStr">
        <is>
          <t>2021-02</t>
        </is>
      </c>
      <c r="F345" t="n">
        <v>0</v>
      </c>
    </row>
    <row r="346">
      <c r="A346" t="inlineStr">
        <is>
          <t>Milho</t>
        </is>
      </c>
      <c r="B346" t="inlineStr">
        <is>
          <t>Limoeiro de Anadia - AL</t>
        </is>
      </c>
      <c r="C346" t="n">
        <v>-9.74098</v>
      </c>
      <c r="D346" t="n">
        <v>-36.5121</v>
      </c>
      <c r="E346" t="inlineStr">
        <is>
          <t>2021-03</t>
        </is>
      </c>
      <c r="F346" t="n">
        <v>0</v>
      </c>
    </row>
    <row r="347">
      <c r="A347" t="inlineStr">
        <is>
          <t>Milho</t>
        </is>
      </c>
      <c r="B347" t="inlineStr">
        <is>
          <t>Limoeiro de Anadia - AL</t>
        </is>
      </c>
      <c r="C347" t="n">
        <v>-9.74098</v>
      </c>
      <c r="D347" t="n">
        <v>-36.5121</v>
      </c>
      <c r="E347" t="inlineStr">
        <is>
          <t>2021-04</t>
        </is>
      </c>
      <c r="F347" t="n">
        <v>0</v>
      </c>
    </row>
    <row r="348">
      <c r="A348" t="inlineStr">
        <is>
          <t>Milho</t>
        </is>
      </c>
      <c r="B348" t="inlineStr">
        <is>
          <t>Limoeiro de Anadia - AL</t>
        </is>
      </c>
      <c r="C348" t="n">
        <v>-9.74098</v>
      </c>
      <c r="D348" t="n">
        <v>-36.5121</v>
      </c>
      <c r="E348" t="inlineStr">
        <is>
          <t>2021-05</t>
        </is>
      </c>
      <c r="F348" t="n">
        <v>0</v>
      </c>
    </row>
    <row r="349">
      <c r="A349" t="inlineStr">
        <is>
          <t>Milho</t>
        </is>
      </c>
      <c r="B349" t="inlineStr">
        <is>
          <t>Limoeiro de Anadia - AL</t>
        </is>
      </c>
      <c r="C349" t="n">
        <v>-9.74098</v>
      </c>
      <c r="D349" t="n">
        <v>-36.5121</v>
      </c>
      <c r="E349" t="inlineStr">
        <is>
          <t>2021-06</t>
        </is>
      </c>
      <c r="F349" t="n">
        <v>0</v>
      </c>
    </row>
    <row r="350">
      <c r="A350" t="inlineStr">
        <is>
          <t>Milho</t>
        </is>
      </c>
      <c r="B350" t="inlineStr">
        <is>
          <t>Macapá - AP</t>
        </is>
      </c>
      <c r="C350" t="n">
        <v>0.034934</v>
      </c>
      <c r="D350" t="n">
        <v>-51.0694</v>
      </c>
      <c r="E350" t="inlineStr">
        <is>
          <t>2021-01</t>
        </is>
      </c>
      <c r="F350" t="n">
        <v>0</v>
      </c>
    </row>
    <row r="351">
      <c r="A351" t="inlineStr">
        <is>
          <t>Milho</t>
        </is>
      </c>
      <c r="B351" t="inlineStr">
        <is>
          <t>Macapá - AP</t>
        </is>
      </c>
      <c r="C351" t="n">
        <v>0.034934</v>
      </c>
      <c r="D351" t="n">
        <v>-51.0694</v>
      </c>
      <c r="E351" t="inlineStr">
        <is>
          <t>2021-02</t>
        </is>
      </c>
      <c r="F351" t="n">
        <v>0</v>
      </c>
    </row>
    <row r="352">
      <c r="A352" t="inlineStr">
        <is>
          <t>Milho</t>
        </is>
      </c>
      <c r="B352" t="inlineStr">
        <is>
          <t>Macapá - AP</t>
        </is>
      </c>
      <c r="C352" t="n">
        <v>0.034934</v>
      </c>
      <c r="D352" t="n">
        <v>-51.0694</v>
      </c>
      <c r="E352" t="inlineStr">
        <is>
          <t>2021-03</t>
        </is>
      </c>
      <c r="F352" t="n">
        <v>0</v>
      </c>
    </row>
    <row r="353">
      <c r="A353" t="inlineStr">
        <is>
          <t>Milho</t>
        </is>
      </c>
      <c r="B353" t="inlineStr">
        <is>
          <t>Macapá - AP</t>
        </is>
      </c>
      <c r="C353" t="n">
        <v>0.034934</v>
      </c>
      <c r="D353" t="n">
        <v>-51.0694</v>
      </c>
      <c r="E353" t="inlineStr">
        <is>
          <t>2021-04</t>
        </is>
      </c>
      <c r="F353" t="n">
        <v>107.3271168764322</v>
      </c>
    </row>
    <row r="354">
      <c r="A354" t="inlineStr">
        <is>
          <t>Milho</t>
        </is>
      </c>
      <c r="B354" t="inlineStr">
        <is>
          <t>Macapá - AP</t>
        </is>
      </c>
      <c r="C354" t="n">
        <v>0.034934</v>
      </c>
      <c r="D354" t="n">
        <v>-51.0694</v>
      </c>
      <c r="E354" t="inlineStr">
        <is>
          <t>2021-05</t>
        </is>
      </c>
      <c r="F354" t="n">
        <v>246.8688324309749</v>
      </c>
    </row>
    <row r="355">
      <c r="A355" t="inlineStr">
        <is>
          <t>Milho</t>
        </is>
      </c>
      <c r="B355" t="inlineStr">
        <is>
          <t>Macapá - AP</t>
        </is>
      </c>
      <c r="C355" t="n">
        <v>0.034934</v>
      </c>
      <c r="D355" t="n">
        <v>-51.0694</v>
      </c>
      <c r="E355" t="inlineStr">
        <is>
          <t>2021-06</t>
        </is>
      </c>
      <c r="F355" t="n">
        <v>221.0995584065726</v>
      </c>
    </row>
    <row r="356">
      <c r="A356" t="inlineStr">
        <is>
          <t>Milho</t>
        </is>
      </c>
      <c r="B356" t="inlineStr">
        <is>
          <t>Correntina - BA</t>
        </is>
      </c>
      <c r="C356" t="n">
        <v>-13.3477</v>
      </c>
      <c r="D356" t="n">
        <v>-44.6333</v>
      </c>
      <c r="E356" t="inlineStr">
        <is>
          <t>2021-01</t>
        </is>
      </c>
      <c r="F356" t="n">
        <v>0</v>
      </c>
    </row>
    <row r="357">
      <c r="A357" t="inlineStr">
        <is>
          <t>Milho</t>
        </is>
      </c>
      <c r="B357" t="inlineStr">
        <is>
          <t>Correntina - BA</t>
        </is>
      </c>
      <c r="C357" t="n">
        <v>-13.3477</v>
      </c>
      <c r="D357" t="n">
        <v>-44.6333</v>
      </c>
      <c r="E357" t="inlineStr">
        <is>
          <t>2021-02</t>
        </is>
      </c>
      <c r="F357" t="n">
        <v>0</v>
      </c>
    </row>
    <row r="358">
      <c r="A358" t="inlineStr">
        <is>
          <t>Milho</t>
        </is>
      </c>
      <c r="B358" t="inlineStr">
        <is>
          <t>Correntina - BA</t>
        </is>
      </c>
      <c r="C358" t="n">
        <v>-13.3477</v>
      </c>
      <c r="D358" t="n">
        <v>-44.6333</v>
      </c>
      <c r="E358" t="inlineStr">
        <is>
          <t>2021-03</t>
        </is>
      </c>
      <c r="F358" t="n">
        <v>0</v>
      </c>
    </row>
    <row r="359">
      <c r="A359" t="inlineStr">
        <is>
          <t>Milho</t>
        </is>
      </c>
      <c r="B359" t="inlineStr">
        <is>
          <t>Correntina - BA</t>
        </is>
      </c>
      <c r="C359" t="n">
        <v>-13.3477</v>
      </c>
      <c r="D359" t="n">
        <v>-44.6333</v>
      </c>
      <c r="E359" t="inlineStr">
        <is>
          <t>2021-04</t>
        </is>
      </c>
      <c r="F359" t="n">
        <v>0</v>
      </c>
    </row>
    <row r="360">
      <c r="A360" t="inlineStr">
        <is>
          <t>Milho</t>
        </is>
      </c>
      <c r="B360" t="inlineStr">
        <is>
          <t>Correntina - BA</t>
        </is>
      </c>
      <c r="C360" t="n">
        <v>-13.3477</v>
      </c>
      <c r="D360" t="n">
        <v>-44.6333</v>
      </c>
      <c r="E360" t="inlineStr">
        <is>
          <t>2021-05</t>
        </is>
      </c>
      <c r="F360" t="n">
        <v>0</v>
      </c>
    </row>
    <row r="361">
      <c r="A361" t="inlineStr">
        <is>
          <t>Milho</t>
        </is>
      </c>
      <c r="B361" t="inlineStr">
        <is>
          <t>Correntina - BA</t>
        </is>
      </c>
      <c r="C361" t="n">
        <v>-13.3477</v>
      </c>
      <c r="D361" t="n">
        <v>-44.6333</v>
      </c>
      <c r="E361" t="inlineStr">
        <is>
          <t>2021-06</t>
        </is>
      </c>
      <c r="F361" t="n">
        <v>0</v>
      </c>
    </row>
    <row r="362">
      <c r="A362" t="inlineStr">
        <is>
          <t>Milho</t>
        </is>
      </c>
      <c r="B362" t="inlineStr">
        <is>
          <t>Crateús - CE</t>
        </is>
      </c>
      <c r="C362" t="n">
        <v>-5.16768</v>
      </c>
      <c r="D362" t="n">
        <v>-40.6536</v>
      </c>
      <c r="E362" t="inlineStr">
        <is>
          <t>2021-01</t>
        </is>
      </c>
      <c r="F362" t="n">
        <v>0</v>
      </c>
    </row>
    <row r="363">
      <c r="A363" t="inlineStr">
        <is>
          <t>Milho</t>
        </is>
      </c>
      <c r="B363" t="inlineStr">
        <is>
          <t>Crateús - CE</t>
        </is>
      </c>
      <c r="C363" t="n">
        <v>-5.16768</v>
      </c>
      <c r="D363" t="n">
        <v>-40.6536</v>
      </c>
      <c r="E363" t="inlineStr">
        <is>
          <t>2021-02</t>
        </is>
      </c>
      <c r="F363" t="n">
        <v>0</v>
      </c>
    </row>
    <row r="364">
      <c r="A364" t="inlineStr">
        <is>
          <t>Milho</t>
        </is>
      </c>
      <c r="B364" t="inlineStr">
        <is>
          <t>Crateús - CE</t>
        </is>
      </c>
      <c r="C364" t="n">
        <v>-5.16768</v>
      </c>
      <c r="D364" t="n">
        <v>-40.6536</v>
      </c>
      <c r="E364" t="inlineStr">
        <is>
          <t>2021-03</t>
        </is>
      </c>
      <c r="F364" t="n">
        <v>0</v>
      </c>
    </row>
    <row r="365">
      <c r="A365" t="inlineStr">
        <is>
          <t>Milho</t>
        </is>
      </c>
      <c r="B365" t="inlineStr">
        <is>
          <t>Crateús - CE</t>
        </is>
      </c>
      <c r="C365" t="n">
        <v>-5.16768</v>
      </c>
      <c r="D365" t="n">
        <v>-40.6536</v>
      </c>
      <c r="E365" t="inlineStr">
        <is>
          <t>2021-04</t>
        </is>
      </c>
      <c r="F365" t="n">
        <v>0</v>
      </c>
    </row>
    <row r="366">
      <c r="A366" t="inlineStr">
        <is>
          <t>Milho</t>
        </is>
      </c>
      <c r="B366" t="inlineStr">
        <is>
          <t>Crateús - CE</t>
        </is>
      </c>
      <c r="C366" t="n">
        <v>-5.16768</v>
      </c>
      <c r="D366" t="n">
        <v>-40.6536</v>
      </c>
      <c r="E366" t="inlineStr">
        <is>
          <t>2021-05</t>
        </is>
      </c>
      <c r="F366" t="n">
        <v>0</v>
      </c>
    </row>
    <row r="367">
      <c r="A367" t="inlineStr">
        <is>
          <t>Milho</t>
        </is>
      </c>
      <c r="B367" t="inlineStr">
        <is>
          <t>Crateús - CE</t>
        </is>
      </c>
      <c r="C367" t="n">
        <v>-5.16768</v>
      </c>
      <c r="D367" t="n">
        <v>-40.6536</v>
      </c>
      <c r="E367" t="inlineStr">
        <is>
          <t>2021-06</t>
        </is>
      </c>
      <c r="F367" t="n">
        <v>0</v>
      </c>
    </row>
    <row r="368">
      <c r="A368" t="inlineStr">
        <is>
          <t>Milho</t>
        </is>
      </c>
      <c r="B368" t="inlineStr">
        <is>
          <t>Brasília - DF</t>
        </is>
      </c>
      <c r="C368" t="n">
        <v>-15.7795</v>
      </c>
      <c r="D368" t="n">
        <v>-47.9297</v>
      </c>
      <c r="E368" t="inlineStr">
        <is>
          <t>2021-01</t>
        </is>
      </c>
      <c r="F368" t="n">
        <v>0</v>
      </c>
    </row>
    <row r="369">
      <c r="A369" t="inlineStr">
        <is>
          <t>Milho</t>
        </is>
      </c>
      <c r="B369" t="inlineStr">
        <is>
          <t>Brasília - DF</t>
        </is>
      </c>
      <c r="C369" t="n">
        <v>-15.7795</v>
      </c>
      <c r="D369" t="n">
        <v>-47.9297</v>
      </c>
      <c r="E369" t="inlineStr">
        <is>
          <t>2021-02</t>
        </is>
      </c>
      <c r="F369" t="n">
        <v>0</v>
      </c>
    </row>
    <row r="370">
      <c r="A370" t="inlineStr">
        <is>
          <t>Milho</t>
        </is>
      </c>
      <c r="B370" t="inlineStr">
        <is>
          <t>Brasília - DF</t>
        </is>
      </c>
      <c r="C370" t="n">
        <v>-15.7795</v>
      </c>
      <c r="D370" t="n">
        <v>-47.9297</v>
      </c>
      <c r="E370" t="inlineStr">
        <is>
          <t>2021-03</t>
        </is>
      </c>
      <c r="F370" t="n">
        <v>0</v>
      </c>
    </row>
    <row r="371">
      <c r="A371" t="inlineStr">
        <is>
          <t>Milho</t>
        </is>
      </c>
      <c r="B371" t="inlineStr">
        <is>
          <t>Brasília - DF</t>
        </is>
      </c>
      <c r="C371" t="n">
        <v>-15.7795</v>
      </c>
      <c r="D371" t="n">
        <v>-47.9297</v>
      </c>
      <c r="E371" t="inlineStr">
        <is>
          <t>2021-04</t>
        </is>
      </c>
      <c r="F371" t="n">
        <v>0</v>
      </c>
    </row>
    <row r="372">
      <c r="A372" t="inlineStr">
        <is>
          <t>Milho</t>
        </is>
      </c>
      <c r="B372" t="inlineStr">
        <is>
          <t>Brasília - DF</t>
        </is>
      </c>
      <c r="C372" t="n">
        <v>-15.7795</v>
      </c>
      <c r="D372" t="n">
        <v>-47.9297</v>
      </c>
      <c r="E372" t="inlineStr">
        <is>
          <t>2021-05</t>
        </is>
      </c>
      <c r="F372" t="n">
        <v>0</v>
      </c>
    </row>
    <row r="373">
      <c r="A373" t="inlineStr">
        <is>
          <t>Milho</t>
        </is>
      </c>
      <c r="B373" t="inlineStr">
        <is>
          <t>Brasília - DF</t>
        </is>
      </c>
      <c r="C373" t="n">
        <v>-15.7795</v>
      </c>
      <c r="D373" t="n">
        <v>-47.9297</v>
      </c>
      <c r="E373" t="inlineStr">
        <is>
          <t>2021-06</t>
        </is>
      </c>
      <c r="F373" t="n">
        <v>0</v>
      </c>
    </row>
    <row r="374">
      <c r="A374" t="inlineStr">
        <is>
          <t>Milho</t>
        </is>
      </c>
      <c r="B374" t="inlineStr">
        <is>
          <t>Pinheiros - ES</t>
        </is>
      </c>
      <c r="C374" t="n">
        <v>-18.4141</v>
      </c>
      <c r="D374" t="n">
        <v>-40.2171</v>
      </c>
      <c r="E374" t="inlineStr">
        <is>
          <t>2021-01</t>
        </is>
      </c>
      <c r="F374" t="n">
        <v>0</v>
      </c>
    </row>
    <row r="375">
      <c r="A375" t="inlineStr">
        <is>
          <t>Milho</t>
        </is>
      </c>
      <c r="B375" t="inlineStr">
        <is>
          <t>Pinheiros - ES</t>
        </is>
      </c>
      <c r="C375" t="n">
        <v>-18.4141</v>
      </c>
      <c r="D375" t="n">
        <v>-40.2171</v>
      </c>
      <c r="E375" t="inlineStr">
        <is>
          <t>2021-02</t>
        </is>
      </c>
      <c r="F375" t="n">
        <v>0</v>
      </c>
    </row>
    <row r="376">
      <c r="A376" t="inlineStr">
        <is>
          <t>Milho</t>
        </is>
      </c>
      <c r="B376" t="inlineStr">
        <is>
          <t>Pinheiros - ES</t>
        </is>
      </c>
      <c r="C376" t="n">
        <v>-18.4141</v>
      </c>
      <c r="D376" t="n">
        <v>-40.2171</v>
      </c>
      <c r="E376" t="inlineStr">
        <is>
          <t>2021-03</t>
        </is>
      </c>
      <c r="F376" t="n">
        <v>0</v>
      </c>
    </row>
    <row r="377">
      <c r="A377" t="inlineStr">
        <is>
          <t>Milho</t>
        </is>
      </c>
      <c r="B377" t="inlineStr">
        <is>
          <t>Pinheiros - ES</t>
        </is>
      </c>
      <c r="C377" t="n">
        <v>-18.4141</v>
      </c>
      <c r="D377" t="n">
        <v>-40.2171</v>
      </c>
      <c r="E377" t="inlineStr">
        <is>
          <t>2021-04</t>
        </is>
      </c>
      <c r="F377" t="n">
        <v>0</v>
      </c>
    </row>
    <row r="378">
      <c r="A378" t="inlineStr">
        <is>
          <t>Milho</t>
        </is>
      </c>
      <c r="B378" t="inlineStr">
        <is>
          <t>Pinheiros - ES</t>
        </is>
      </c>
      <c r="C378" t="n">
        <v>-18.4141</v>
      </c>
      <c r="D378" t="n">
        <v>-40.2171</v>
      </c>
      <c r="E378" t="inlineStr">
        <is>
          <t>2021-05</t>
        </is>
      </c>
      <c r="F378" t="n">
        <v>0</v>
      </c>
    </row>
    <row r="379">
      <c r="A379" t="inlineStr">
        <is>
          <t>Milho</t>
        </is>
      </c>
      <c r="B379" t="inlineStr">
        <is>
          <t>Pinheiros - ES</t>
        </is>
      </c>
      <c r="C379" t="n">
        <v>-18.4141</v>
      </c>
      <c r="D379" t="n">
        <v>-40.2171</v>
      </c>
      <c r="E379" t="inlineStr">
        <is>
          <t>2021-06</t>
        </is>
      </c>
      <c r="F379" t="n">
        <v>0</v>
      </c>
    </row>
    <row r="380">
      <c r="A380" t="inlineStr">
        <is>
          <t>Milho</t>
        </is>
      </c>
      <c r="B380" t="inlineStr">
        <is>
          <t>Rio Verde - GO</t>
        </is>
      </c>
      <c r="C380" t="n">
        <v>-17.7923</v>
      </c>
      <c r="D380" t="n">
        <v>-50.9192</v>
      </c>
      <c r="E380" t="inlineStr">
        <is>
          <t>2021-01</t>
        </is>
      </c>
      <c r="F380" t="n">
        <v>0</v>
      </c>
    </row>
    <row r="381">
      <c r="A381" t="inlineStr">
        <is>
          <t>Milho</t>
        </is>
      </c>
      <c r="B381" t="inlineStr">
        <is>
          <t>Rio Verde - GO</t>
        </is>
      </c>
      <c r="C381" t="n">
        <v>-17.7923</v>
      </c>
      <c r="D381" t="n">
        <v>-50.9192</v>
      </c>
      <c r="E381" t="inlineStr">
        <is>
          <t>2021-02</t>
        </is>
      </c>
      <c r="F381" t="n">
        <v>0</v>
      </c>
    </row>
    <row r="382">
      <c r="A382" t="inlineStr">
        <is>
          <t>Milho</t>
        </is>
      </c>
      <c r="B382" t="inlineStr">
        <is>
          <t>Rio Verde - GO</t>
        </is>
      </c>
      <c r="C382" t="n">
        <v>-17.7923</v>
      </c>
      <c r="D382" t="n">
        <v>-50.9192</v>
      </c>
      <c r="E382" t="inlineStr">
        <is>
          <t>2021-03</t>
        </is>
      </c>
      <c r="F382" t="n">
        <v>0</v>
      </c>
    </row>
    <row r="383">
      <c r="A383" t="inlineStr">
        <is>
          <t>Milho</t>
        </is>
      </c>
      <c r="B383" t="inlineStr">
        <is>
          <t>Rio Verde - GO</t>
        </is>
      </c>
      <c r="C383" t="n">
        <v>-17.7923</v>
      </c>
      <c r="D383" t="n">
        <v>-50.9192</v>
      </c>
      <c r="E383" t="inlineStr">
        <is>
          <t>2021-04</t>
        </is>
      </c>
      <c r="F383" t="n">
        <v>0</v>
      </c>
    </row>
    <row r="384">
      <c r="A384" t="inlineStr">
        <is>
          <t>Milho</t>
        </is>
      </c>
      <c r="B384" t="inlineStr">
        <is>
          <t>Rio Verde - GO</t>
        </is>
      </c>
      <c r="C384" t="n">
        <v>-17.7923</v>
      </c>
      <c r="D384" t="n">
        <v>-50.9192</v>
      </c>
      <c r="E384" t="inlineStr">
        <is>
          <t>2021-05</t>
        </is>
      </c>
      <c r="F384" t="n">
        <v>0</v>
      </c>
    </row>
    <row r="385">
      <c r="A385" t="inlineStr">
        <is>
          <t>Milho</t>
        </is>
      </c>
      <c r="B385" t="inlineStr">
        <is>
          <t>Rio Verde - GO</t>
        </is>
      </c>
      <c r="C385" t="n">
        <v>-17.7923</v>
      </c>
      <c r="D385" t="n">
        <v>-50.9192</v>
      </c>
      <c r="E385" t="inlineStr">
        <is>
          <t>2021-06</t>
        </is>
      </c>
      <c r="F385" t="n">
        <v>0</v>
      </c>
    </row>
    <row r="386">
      <c r="A386" t="inlineStr">
        <is>
          <t>Milho</t>
        </is>
      </c>
      <c r="B386" t="inlineStr">
        <is>
          <t>Balsas - MA</t>
        </is>
      </c>
      <c r="C386" t="n">
        <v>-7.53214</v>
      </c>
      <c r="D386" t="n">
        <v>-46.0372</v>
      </c>
      <c r="E386" t="inlineStr">
        <is>
          <t>2021-01</t>
        </is>
      </c>
      <c r="F386" t="n">
        <v>0</v>
      </c>
    </row>
    <row r="387">
      <c r="A387" t="inlineStr">
        <is>
          <t>Milho</t>
        </is>
      </c>
      <c r="B387" t="inlineStr">
        <is>
          <t>Balsas - MA</t>
        </is>
      </c>
      <c r="C387" t="n">
        <v>-7.53214</v>
      </c>
      <c r="D387" t="n">
        <v>-46.0372</v>
      </c>
      <c r="E387" t="inlineStr">
        <is>
          <t>2021-02</t>
        </is>
      </c>
      <c r="F387" t="n">
        <v>0</v>
      </c>
    </row>
    <row r="388">
      <c r="A388" t="inlineStr">
        <is>
          <t>Milho</t>
        </is>
      </c>
      <c r="B388" t="inlineStr">
        <is>
          <t>Balsas - MA</t>
        </is>
      </c>
      <c r="C388" t="n">
        <v>-7.53214</v>
      </c>
      <c r="D388" t="n">
        <v>-46.0372</v>
      </c>
      <c r="E388" t="inlineStr">
        <is>
          <t>2021-03</t>
        </is>
      </c>
      <c r="F388" t="n">
        <v>0</v>
      </c>
    </row>
    <row r="389">
      <c r="A389" t="inlineStr">
        <is>
          <t>Milho</t>
        </is>
      </c>
      <c r="B389" t="inlineStr">
        <is>
          <t>Balsas - MA</t>
        </is>
      </c>
      <c r="C389" t="n">
        <v>-7.53214</v>
      </c>
      <c r="D389" t="n">
        <v>-46.0372</v>
      </c>
      <c r="E389" t="inlineStr">
        <is>
          <t>2021-04</t>
        </is>
      </c>
      <c r="F389" t="n">
        <v>0</v>
      </c>
    </row>
    <row r="390">
      <c r="A390" t="inlineStr">
        <is>
          <t>Milho</t>
        </is>
      </c>
      <c r="B390" t="inlineStr">
        <is>
          <t>Balsas - MA</t>
        </is>
      </c>
      <c r="C390" t="n">
        <v>-7.53214</v>
      </c>
      <c r="D390" t="n">
        <v>-46.0372</v>
      </c>
      <c r="E390" t="inlineStr">
        <is>
          <t>2021-05</t>
        </is>
      </c>
      <c r="F390" t="n">
        <v>0</v>
      </c>
    </row>
    <row r="391">
      <c r="A391" t="inlineStr">
        <is>
          <t>Milho</t>
        </is>
      </c>
      <c r="B391" t="inlineStr">
        <is>
          <t>Balsas - MA</t>
        </is>
      </c>
      <c r="C391" t="n">
        <v>-7.53214</v>
      </c>
      <c r="D391" t="n">
        <v>-46.0372</v>
      </c>
      <c r="E391" t="inlineStr">
        <is>
          <t>2021-06</t>
        </is>
      </c>
      <c r="F391" t="n">
        <v>0</v>
      </c>
    </row>
    <row r="392">
      <c r="A392" t="inlineStr">
        <is>
          <t>Milho</t>
        </is>
      </c>
      <c r="B392" t="inlineStr">
        <is>
          <t>Unaí - MG</t>
        </is>
      </c>
      <c r="C392" t="n">
        <v>-16.3592</v>
      </c>
      <c r="D392" t="n">
        <v>-46.9022</v>
      </c>
      <c r="E392" t="inlineStr">
        <is>
          <t>2021-01</t>
        </is>
      </c>
      <c r="F392" t="n">
        <v>0</v>
      </c>
    </row>
    <row r="393">
      <c r="A393" t="inlineStr">
        <is>
          <t>Milho</t>
        </is>
      </c>
      <c r="B393" t="inlineStr">
        <is>
          <t>Unaí - MG</t>
        </is>
      </c>
      <c r="C393" t="n">
        <v>-16.3592</v>
      </c>
      <c r="D393" t="n">
        <v>-46.9022</v>
      </c>
      <c r="E393" t="inlineStr">
        <is>
          <t>2021-02</t>
        </is>
      </c>
      <c r="F393" t="n">
        <v>0</v>
      </c>
    </row>
    <row r="394">
      <c r="A394" t="inlineStr">
        <is>
          <t>Milho</t>
        </is>
      </c>
      <c r="B394" t="inlineStr">
        <is>
          <t>Unaí - MG</t>
        </is>
      </c>
      <c r="C394" t="n">
        <v>-16.3592</v>
      </c>
      <c r="D394" t="n">
        <v>-46.9022</v>
      </c>
      <c r="E394" t="inlineStr">
        <is>
          <t>2021-03</t>
        </is>
      </c>
      <c r="F394" t="n">
        <v>0</v>
      </c>
    </row>
    <row r="395">
      <c r="A395" t="inlineStr">
        <is>
          <t>Milho</t>
        </is>
      </c>
      <c r="B395" t="inlineStr">
        <is>
          <t>Unaí - MG</t>
        </is>
      </c>
      <c r="C395" t="n">
        <v>-16.3592</v>
      </c>
      <c r="D395" t="n">
        <v>-46.9022</v>
      </c>
      <c r="E395" t="inlineStr">
        <is>
          <t>2021-04</t>
        </is>
      </c>
      <c r="F395" t="n">
        <v>0</v>
      </c>
    </row>
    <row r="396">
      <c r="A396" t="inlineStr">
        <is>
          <t>Milho</t>
        </is>
      </c>
      <c r="B396" t="inlineStr">
        <is>
          <t>Unaí - MG</t>
        </is>
      </c>
      <c r="C396" t="n">
        <v>-16.3592</v>
      </c>
      <c r="D396" t="n">
        <v>-46.9022</v>
      </c>
      <c r="E396" t="inlineStr">
        <is>
          <t>2021-05</t>
        </is>
      </c>
      <c r="F396" t="n">
        <v>0</v>
      </c>
    </row>
    <row r="397">
      <c r="A397" t="inlineStr">
        <is>
          <t>Milho</t>
        </is>
      </c>
      <c r="B397" t="inlineStr">
        <is>
          <t>Unaí - MG</t>
        </is>
      </c>
      <c r="C397" t="n">
        <v>-16.3592</v>
      </c>
      <c r="D397" t="n">
        <v>-46.9022</v>
      </c>
      <c r="E397" t="inlineStr">
        <is>
          <t>2021-06</t>
        </is>
      </c>
      <c r="F397" t="n">
        <v>0</v>
      </c>
    </row>
    <row r="398">
      <c r="A398" t="inlineStr">
        <is>
          <t>Milho</t>
        </is>
      </c>
      <c r="B398" t="inlineStr">
        <is>
          <t>Maracaju - MS</t>
        </is>
      </c>
      <c r="C398" t="n">
        <v>-21.6105</v>
      </c>
      <c r="D398" t="n">
        <v>-55.1678</v>
      </c>
      <c r="E398" t="inlineStr">
        <is>
          <t>2021-01</t>
        </is>
      </c>
      <c r="F398" t="n">
        <v>0</v>
      </c>
    </row>
    <row r="399">
      <c r="A399" t="inlineStr">
        <is>
          <t>Milho</t>
        </is>
      </c>
      <c r="B399" t="inlineStr">
        <is>
          <t>Maracaju - MS</t>
        </is>
      </c>
      <c r="C399" t="n">
        <v>-21.6105</v>
      </c>
      <c r="D399" t="n">
        <v>-55.1678</v>
      </c>
      <c r="E399" t="inlineStr">
        <is>
          <t>2021-02</t>
        </is>
      </c>
      <c r="F399" t="n">
        <v>0</v>
      </c>
    </row>
    <row r="400">
      <c r="A400" t="inlineStr">
        <is>
          <t>Milho</t>
        </is>
      </c>
      <c r="B400" t="inlineStr">
        <is>
          <t>Maracaju - MS</t>
        </is>
      </c>
      <c r="C400" t="n">
        <v>-21.6105</v>
      </c>
      <c r="D400" t="n">
        <v>-55.1678</v>
      </c>
      <c r="E400" t="inlineStr">
        <is>
          <t>2021-03</t>
        </is>
      </c>
      <c r="F400" t="n">
        <v>0</v>
      </c>
    </row>
    <row r="401">
      <c r="A401" t="inlineStr">
        <is>
          <t>Milho</t>
        </is>
      </c>
      <c r="B401" t="inlineStr">
        <is>
          <t>Maracaju - MS</t>
        </is>
      </c>
      <c r="C401" t="n">
        <v>-21.6105</v>
      </c>
      <c r="D401" t="n">
        <v>-55.1678</v>
      </c>
      <c r="E401" t="inlineStr">
        <is>
          <t>2021-04</t>
        </is>
      </c>
      <c r="F401" t="n">
        <v>0</v>
      </c>
    </row>
    <row r="402">
      <c r="A402" t="inlineStr">
        <is>
          <t>Milho</t>
        </is>
      </c>
      <c r="B402" t="inlineStr">
        <is>
          <t>Maracaju - MS</t>
        </is>
      </c>
      <c r="C402" t="n">
        <v>-21.6105</v>
      </c>
      <c r="D402" t="n">
        <v>-55.1678</v>
      </c>
      <c r="E402" t="inlineStr">
        <is>
          <t>2021-05</t>
        </is>
      </c>
      <c r="F402" t="n">
        <v>0</v>
      </c>
    </row>
    <row r="403">
      <c r="A403" t="inlineStr">
        <is>
          <t>Milho</t>
        </is>
      </c>
      <c r="B403" t="inlineStr">
        <is>
          <t>Maracaju - MS</t>
        </is>
      </c>
      <c r="C403" t="n">
        <v>-21.6105</v>
      </c>
      <c r="D403" t="n">
        <v>-55.1678</v>
      </c>
      <c r="E403" t="inlineStr">
        <is>
          <t>2021-06</t>
        </is>
      </c>
      <c r="F403" t="n">
        <v>0</v>
      </c>
    </row>
    <row r="404">
      <c r="A404" t="inlineStr">
        <is>
          <t>Milho</t>
        </is>
      </c>
      <c r="B404" t="inlineStr">
        <is>
          <t>Sorriso - MT</t>
        </is>
      </c>
      <c r="C404" t="n">
        <v>-12.5425</v>
      </c>
      <c r="D404" t="n">
        <v>-55.7211</v>
      </c>
      <c r="E404" t="inlineStr">
        <is>
          <t>2021-01</t>
        </is>
      </c>
      <c r="F404" t="n">
        <v>0</v>
      </c>
    </row>
    <row r="405">
      <c r="A405" t="inlineStr">
        <is>
          <t>Milho</t>
        </is>
      </c>
      <c r="B405" t="inlineStr">
        <is>
          <t>Sorriso - MT</t>
        </is>
      </c>
      <c r="C405" t="n">
        <v>-12.5425</v>
      </c>
      <c r="D405" t="n">
        <v>-55.7211</v>
      </c>
      <c r="E405" t="inlineStr">
        <is>
          <t>2021-02</t>
        </is>
      </c>
      <c r="F405" t="n">
        <v>0</v>
      </c>
    </row>
    <row r="406">
      <c r="A406" t="inlineStr">
        <is>
          <t>Milho</t>
        </is>
      </c>
      <c r="B406" t="inlineStr">
        <is>
          <t>Sorriso - MT</t>
        </is>
      </c>
      <c r="C406" t="n">
        <v>-12.5425</v>
      </c>
      <c r="D406" t="n">
        <v>-55.7211</v>
      </c>
      <c r="E406" t="inlineStr">
        <is>
          <t>2021-03</t>
        </is>
      </c>
      <c r="F406" t="n">
        <v>0</v>
      </c>
    </row>
    <row r="407">
      <c r="A407" t="inlineStr">
        <is>
          <t>Milho</t>
        </is>
      </c>
      <c r="B407" t="inlineStr">
        <is>
          <t>Sorriso - MT</t>
        </is>
      </c>
      <c r="C407" t="n">
        <v>-12.5425</v>
      </c>
      <c r="D407" t="n">
        <v>-55.7211</v>
      </c>
      <c r="E407" t="inlineStr">
        <is>
          <t>2021-04</t>
        </is>
      </c>
      <c r="F407" t="n">
        <v>0</v>
      </c>
    </row>
    <row r="408">
      <c r="A408" t="inlineStr">
        <is>
          <t>Milho</t>
        </is>
      </c>
      <c r="B408" t="inlineStr">
        <is>
          <t>Sorriso - MT</t>
        </is>
      </c>
      <c r="C408" t="n">
        <v>-12.5425</v>
      </c>
      <c r="D408" t="n">
        <v>-55.7211</v>
      </c>
      <c r="E408" t="inlineStr">
        <is>
          <t>2021-05</t>
        </is>
      </c>
      <c r="F408" t="n">
        <v>0</v>
      </c>
    </row>
    <row r="409">
      <c r="A409" t="inlineStr">
        <is>
          <t>Milho</t>
        </is>
      </c>
      <c r="B409" t="inlineStr">
        <is>
          <t>Sorriso - MT</t>
        </is>
      </c>
      <c r="C409" t="n">
        <v>-12.5425</v>
      </c>
      <c r="D409" t="n">
        <v>-55.7211</v>
      </c>
      <c r="E409" t="inlineStr">
        <is>
          <t>2021-06</t>
        </is>
      </c>
      <c r="F409" t="n">
        <v>0</v>
      </c>
    </row>
    <row r="410">
      <c r="A410" t="inlineStr">
        <is>
          <t>Milho</t>
        </is>
      </c>
      <c r="B410" t="inlineStr">
        <is>
          <t>Santana do Araguaia - PA</t>
        </is>
      </c>
      <c r="C410" t="n">
        <v>-9.328099999999999</v>
      </c>
      <c r="D410" t="n">
        <v>-50.35</v>
      </c>
      <c r="E410" t="inlineStr">
        <is>
          <t>2021-01</t>
        </is>
      </c>
      <c r="F410" t="n">
        <v>0</v>
      </c>
    </row>
    <row r="411">
      <c r="A411" t="inlineStr">
        <is>
          <t>Milho</t>
        </is>
      </c>
      <c r="B411" t="inlineStr">
        <is>
          <t>Santana do Araguaia - PA</t>
        </is>
      </c>
      <c r="C411" t="n">
        <v>-9.328099999999999</v>
      </c>
      <c r="D411" t="n">
        <v>-50.35</v>
      </c>
      <c r="E411" t="inlineStr">
        <is>
          <t>2021-02</t>
        </is>
      </c>
      <c r="F411" t="n">
        <v>0</v>
      </c>
    </row>
    <row r="412">
      <c r="A412" t="inlineStr">
        <is>
          <t>Milho</t>
        </is>
      </c>
      <c r="B412" t="inlineStr">
        <is>
          <t>Santana do Araguaia - PA</t>
        </is>
      </c>
      <c r="C412" t="n">
        <v>-9.328099999999999</v>
      </c>
      <c r="D412" t="n">
        <v>-50.35</v>
      </c>
      <c r="E412" t="inlineStr">
        <is>
          <t>2021-03</t>
        </is>
      </c>
      <c r="F412" t="n">
        <v>0</v>
      </c>
    </row>
    <row r="413">
      <c r="A413" t="inlineStr">
        <is>
          <t>Milho</t>
        </is>
      </c>
      <c r="B413" t="inlineStr">
        <is>
          <t>Santana do Araguaia - PA</t>
        </is>
      </c>
      <c r="C413" t="n">
        <v>-9.328099999999999</v>
      </c>
      <c r="D413" t="n">
        <v>-50.35</v>
      </c>
      <c r="E413" t="inlineStr">
        <is>
          <t>2021-04</t>
        </is>
      </c>
      <c r="F413" t="n">
        <v>0</v>
      </c>
    </row>
    <row r="414">
      <c r="A414" t="inlineStr">
        <is>
          <t>Milho</t>
        </is>
      </c>
      <c r="B414" t="inlineStr">
        <is>
          <t>Santana do Araguaia - PA</t>
        </is>
      </c>
      <c r="C414" t="n">
        <v>-9.328099999999999</v>
      </c>
      <c r="D414" t="n">
        <v>-50.35</v>
      </c>
      <c r="E414" t="inlineStr">
        <is>
          <t>2021-05</t>
        </is>
      </c>
      <c r="F414" t="n">
        <v>0</v>
      </c>
    </row>
    <row r="415">
      <c r="A415" t="inlineStr">
        <is>
          <t>Milho</t>
        </is>
      </c>
      <c r="B415" t="inlineStr">
        <is>
          <t>Santana do Araguaia - PA</t>
        </is>
      </c>
      <c r="C415" t="n">
        <v>-9.328099999999999</v>
      </c>
      <c r="D415" t="n">
        <v>-50.35</v>
      </c>
      <c r="E415" t="inlineStr">
        <is>
          <t>2021-06</t>
        </is>
      </c>
      <c r="F415" t="n">
        <v>0</v>
      </c>
    </row>
    <row r="416">
      <c r="A416" t="inlineStr">
        <is>
          <t>Milho</t>
        </is>
      </c>
      <c r="B416" t="inlineStr">
        <is>
          <t>Sousa - PB</t>
        </is>
      </c>
      <c r="C416" t="n">
        <v>-6.75148</v>
      </c>
      <c r="D416" t="n">
        <v>-38.2311</v>
      </c>
      <c r="E416" t="inlineStr">
        <is>
          <t>2021-01</t>
        </is>
      </c>
      <c r="F416" t="n">
        <v>0</v>
      </c>
    </row>
    <row r="417">
      <c r="A417" t="inlineStr">
        <is>
          <t>Milho</t>
        </is>
      </c>
      <c r="B417" t="inlineStr">
        <is>
          <t>Sousa - PB</t>
        </is>
      </c>
      <c r="C417" t="n">
        <v>-6.75148</v>
      </c>
      <c r="D417" t="n">
        <v>-38.2311</v>
      </c>
      <c r="E417" t="inlineStr">
        <is>
          <t>2021-02</t>
        </is>
      </c>
      <c r="F417" t="n">
        <v>0</v>
      </c>
    </row>
    <row r="418">
      <c r="A418" t="inlineStr">
        <is>
          <t>Milho</t>
        </is>
      </c>
      <c r="B418" t="inlineStr">
        <is>
          <t>Sousa - PB</t>
        </is>
      </c>
      <c r="C418" t="n">
        <v>-6.75148</v>
      </c>
      <c r="D418" t="n">
        <v>-38.2311</v>
      </c>
      <c r="E418" t="inlineStr">
        <is>
          <t>2021-03</t>
        </is>
      </c>
      <c r="F418" t="n">
        <v>0</v>
      </c>
    </row>
    <row r="419">
      <c r="A419" t="inlineStr">
        <is>
          <t>Milho</t>
        </is>
      </c>
      <c r="B419" t="inlineStr">
        <is>
          <t>Sousa - PB</t>
        </is>
      </c>
      <c r="C419" t="n">
        <v>-6.75148</v>
      </c>
      <c r="D419" t="n">
        <v>-38.2311</v>
      </c>
      <c r="E419" t="inlineStr">
        <is>
          <t>2021-04</t>
        </is>
      </c>
      <c r="F419" t="n">
        <v>0</v>
      </c>
    </row>
    <row r="420">
      <c r="A420" t="inlineStr">
        <is>
          <t>Milho</t>
        </is>
      </c>
      <c r="B420" t="inlineStr">
        <is>
          <t>Sousa - PB</t>
        </is>
      </c>
      <c r="C420" t="n">
        <v>-6.75148</v>
      </c>
      <c r="D420" t="n">
        <v>-38.2311</v>
      </c>
      <c r="E420" t="inlineStr">
        <is>
          <t>2021-05</t>
        </is>
      </c>
      <c r="F420" t="n">
        <v>0</v>
      </c>
    </row>
    <row r="421">
      <c r="A421" t="inlineStr">
        <is>
          <t>Milho</t>
        </is>
      </c>
      <c r="B421" t="inlineStr">
        <is>
          <t>Sousa - PB</t>
        </is>
      </c>
      <c r="C421" t="n">
        <v>-6.75148</v>
      </c>
      <c r="D421" t="n">
        <v>-38.2311</v>
      </c>
      <c r="E421" t="inlineStr">
        <is>
          <t>2021-06</t>
        </is>
      </c>
      <c r="F421" t="n">
        <v>0</v>
      </c>
    </row>
    <row r="422">
      <c r="A422" t="inlineStr">
        <is>
          <t>Milho</t>
        </is>
      </c>
      <c r="B422" t="inlineStr">
        <is>
          <t>Exu - PE</t>
        </is>
      </c>
      <c r="C422" t="n">
        <v>-7.50364</v>
      </c>
      <c r="D422" t="n">
        <v>-39.7238</v>
      </c>
      <c r="E422" t="inlineStr">
        <is>
          <t>2021-01</t>
        </is>
      </c>
      <c r="F422" t="n">
        <v>0</v>
      </c>
    </row>
    <row r="423">
      <c r="A423" t="inlineStr">
        <is>
          <t>Milho</t>
        </is>
      </c>
      <c r="B423" t="inlineStr">
        <is>
          <t>Exu - PE</t>
        </is>
      </c>
      <c r="C423" t="n">
        <v>-7.50364</v>
      </c>
      <c r="D423" t="n">
        <v>-39.7238</v>
      </c>
      <c r="E423" t="inlineStr">
        <is>
          <t>2021-02</t>
        </is>
      </c>
      <c r="F423" t="n">
        <v>0</v>
      </c>
    </row>
    <row r="424">
      <c r="A424" t="inlineStr">
        <is>
          <t>Milho</t>
        </is>
      </c>
      <c r="B424" t="inlineStr">
        <is>
          <t>Exu - PE</t>
        </is>
      </c>
      <c r="C424" t="n">
        <v>-7.50364</v>
      </c>
      <c r="D424" t="n">
        <v>-39.7238</v>
      </c>
      <c r="E424" t="inlineStr">
        <is>
          <t>2021-03</t>
        </is>
      </c>
      <c r="F424" t="n">
        <v>0</v>
      </c>
    </row>
    <row r="425">
      <c r="A425" t="inlineStr">
        <is>
          <t>Milho</t>
        </is>
      </c>
      <c r="B425" t="inlineStr">
        <is>
          <t>Exu - PE</t>
        </is>
      </c>
      <c r="C425" t="n">
        <v>-7.50364</v>
      </c>
      <c r="D425" t="n">
        <v>-39.7238</v>
      </c>
      <c r="E425" t="inlineStr">
        <is>
          <t>2021-04</t>
        </is>
      </c>
      <c r="F425" t="n">
        <v>0</v>
      </c>
    </row>
    <row r="426">
      <c r="A426" t="inlineStr">
        <is>
          <t>Milho</t>
        </is>
      </c>
      <c r="B426" t="inlineStr">
        <is>
          <t>Exu - PE</t>
        </is>
      </c>
      <c r="C426" t="n">
        <v>-7.50364</v>
      </c>
      <c r="D426" t="n">
        <v>-39.7238</v>
      </c>
      <c r="E426" t="inlineStr">
        <is>
          <t>2021-05</t>
        </is>
      </c>
      <c r="F426" t="n">
        <v>7394.21526897256</v>
      </c>
    </row>
    <row r="427">
      <c r="A427" t="inlineStr">
        <is>
          <t>Milho</t>
        </is>
      </c>
      <c r="B427" t="inlineStr">
        <is>
          <t>Exu - PE</t>
        </is>
      </c>
      <c r="C427" t="n">
        <v>-7.50364</v>
      </c>
      <c r="D427" t="n">
        <v>-39.7238</v>
      </c>
      <c r="E427" t="inlineStr">
        <is>
          <t>2021-06</t>
        </is>
      </c>
      <c r="F427" t="n">
        <v>6622.373973393663</v>
      </c>
    </row>
    <row r="428">
      <c r="A428" t="inlineStr">
        <is>
          <t>Milho</t>
        </is>
      </c>
      <c r="B428" t="inlineStr">
        <is>
          <t>Baixa Grande do Ribeiro - PI</t>
        </is>
      </c>
      <c r="C428" t="n">
        <v>-7.84903</v>
      </c>
      <c r="D428" t="n">
        <v>-45.219</v>
      </c>
      <c r="E428" t="inlineStr">
        <is>
          <t>2021-01</t>
        </is>
      </c>
      <c r="F428" t="n">
        <v>0</v>
      </c>
    </row>
    <row r="429">
      <c r="A429" t="inlineStr">
        <is>
          <t>Milho</t>
        </is>
      </c>
      <c r="B429" t="inlineStr">
        <is>
          <t>Baixa Grande do Ribeiro - PI</t>
        </is>
      </c>
      <c r="C429" t="n">
        <v>-7.84903</v>
      </c>
      <c r="D429" t="n">
        <v>-45.219</v>
      </c>
      <c r="E429" t="inlineStr">
        <is>
          <t>2021-02</t>
        </is>
      </c>
      <c r="F429" t="n">
        <v>0</v>
      </c>
    </row>
    <row r="430">
      <c r="A430" t="inlineStr">
        <is>
          <t>Milho</t>
        </is>
      </c>
      <c r="B430" t="inlineStr">
        <is>
          <t>Baixa Grande do Ribeiro - PI</t>
        </is>
      </c>
      <c r="C430" t="n">
        <v>-7.84903</v>
      </c>
      <c r="D430" t="n">
        <v>-45.219</v>
      </c>
      <c r="E430" t="inlineStr">
        <is>
          <t>2021-03</t>
        </is>
      </c>
      <c r="F430" t="n">
        <v>0</v>
      </c>
    </row>
    <row r="431">
      <c r="A431" t="inlineStr">
        <is>
          <t>Milho</t>
        </is>
      </c>
      <c r="B431" t="inlineStr">
        <is>
          <t>Baixa Grande do Ribeiro - PI</t>
        </is>
      </c>
      <c r="C431" t="n">
        <v>-7.84903</v>
      </c>
      <c r="D431" t="n">
        <v>-45.219</v>
      </c>
      <c r="E431" t="inlineStr">
        <is>
          <t>2021-04</t>
        </is>
      </c>
      <c r="F431" t="n">
        <v>0</v>
      </c>
    </row>
    <row r="432">
      <c r="A432" t="inlineStr">
        <is>
          <t>Milho</t>
        </is>
      </c>
      <c r="B432" t="inlineStr">
        <is>
          <t>Baixa Grande do Ribeiro - PI</t>
        </is>
      </c>
      <c r="C432" t="n">
        <v>-7.84903</v>
      </c>
      <c r="D432" t="n">
        <v>-45.219</v>
      </c>
      <c r="E432" t="inlineStr">
        <is>
          <t>2021-05</t>
        </is>
      </c>
      <c r="F432" t="n">
        <v>0</v>
      </c>
    </row>
    <row r="433">
      <c r="A433" t="inlineStr">
        <is>
          <t>Milho</t>
        </is>
      </c>
      <c r="B433" t="inlineStr">
        <is>
          <t>Baixa Grande do Ribeiro - PI</t>
        </is>
      </c>
      <c r="C433" t="n">
        <v>-7.84903</v>
      </c>
      <c r="D433" t="n">
        <v>-45.219</v>
      </c>
      <c r="E433" t="inlineStr">
        <is>
          <t>2021-06</t>
        </is>
      </c>
      <c r="F433" t="n">
        <v>0</v>
      </c>
    </row>
    <row r="434">
      <c r="A434" t="inlineStr">
        <is>
          <t>Milho</t>
        </is>
      </c>
      <c r="B434" t="inlineStr">
        <is>
          <t>Toledo - PR</t>
        </is>
      </c>
      <c r="C434" t="n">
        <v>-24.7246</v>
      </c>
      <c r="D434" t="n">
        <v>-53.7412</v>
      </c>
      <c r="E434" t="inlineStr">
        <is>
          <t>2021-01</t>
        </is>
      </c>
      <c r="F434" t="n">
        <v>0</v>
      </c>
    </row>
    <row r="435">
      <c r="A435" t="inlineStr">
        <is>
          <t>Milho</t>
        </is>
      </c>
      <c r="B435" t="inlineStr">
        <is>
          <t>Toledo - PR</t>
        </is>
      </c>
      <c r="C435" t="n">
        <v>-24.7246</v>
      </c>
      <c r="D435" t="n">
        <v>-53.7412</v>
      </c>
      <c r="E435" t="inlineStr">
        <is>
          <t>2021-02</t>
        </is>
      </c>
      <c r="F435" t="n">
        <v>0</v>
      </c>
    </row>
    <row r="436">
      <c r="A436" t="inlineStr">
        <is>
          <t>Milho</t>
        </is>
      </c>
      <c r="B436" t="inlineStr">
        <is>
          <t>Toledo - PR</t>
        </is>
      </c>
      <c r="C436" t="n">
        <v>-24.7246</v>
      </c>
      <c r="D436" t="n">
        <v>-53.7412</v>
      </c>
      <c r="E436" t="inlineStr">
        <is>
          <t>2021-03</t>
        </is>
      </c>
      <c r="F436" t="n">
        <v>0</v>
      </c>
    </row>
    <row r="437">
      <c r="A437" t="inlineStr">
        <is>
          <t>Milho</t>
        </is>
      </c>
      <c r="B437" t="inlineStr">
        <is>
          <t>Toledo - PR</t>
        </is>
      </c>
      <c r="C437" t="n">
        <v>-24.7246</v>
      </c>
      <c r="D437" t="n">
        <v>-53.7412</v>
      </c>
      <c r="E437" t="inlineStr">
        <is>
          <t>2021-04</t>
        </is>
      </c>
      <c r="F437" t="n">
        <v>0</v>
      </c>
    </row>
    <row r="438">
      <c r="A438" t="inlineStr">
        <is>
          <t>Milho</t>
        </is>
      </c>
      <c r="B438" t="inlineStr">
        <is>
          <t>Toledo - PR</t>
        </is>
      </c>
      <c r="C438" t="n">
        <v>-24.7246</v>
      </c>
      <c r="D438" t="n">
        <v>-53.7412</v>
      </c>
      <c r="E438" t="inlineStr">
        <is>
          <t>2021-05</t>
        </is>
      </c>
      <c r="F438" t="n">
        <v>0</v>
      </c>
    </row>
    <row r="439">
      <c r="A439" t="inlineStr">
        <is>
          <t>Milho</t>
        </is>
      </c>
      <c r="B439" t="inlineStr">
        <is>
          <t>Toledo - PR</t>
        </is>
      </c>
      <c r="C439" t="n">
        <v>-24.7246</v>
      </c>
      <c r="D439" t="n">
        <v>-53.7412</v>
      </c>
      <c r="E439" t="inlineStr">
        <is>
          <t>2021-06</t>
        </is>
      </c>
      <c r="F439" t="n">
        <v>0</v>
      </c>
    </row>
    <row r="440">
      <c r="A440" t="inlineStr">
        <is>
          <t>Milho</t>
        </is>
      </c>
      <c r="B440" t="inlineStr">
        <is>
          <t>Macaé - RJ</t>
        </is>
      </c>
      <c r="C440" t="n">
        <v>-22.3768</v>
      </c>
      <c r="D440" t="n">
        <v>-41.7848</v>
      </c>
      <c r="E440" t="inlineStr">
        <is>
          <t>2021-01</t>
        </is>
      </c>
      <c r="F440" t="n">
        <v>0</v>
      </c>
    </row>
    <row r="441">
      <c r="A441" t="inlineStr">
        <is>
          <t>Milho</t>
        </is>
      </c>
      <c r="B441" t="inlineStr">
        <is>
          <t>Macaé - RJ</t>
        </is>
      </c>
      <c r="C441" t="n">
        <v>-22.3768</v>
      </c>
      <c r="D441" t="n">
        <v>-41.7848</v>
      </c>
      <c r="E441" t="inlineStr">
        <is>
          <t>2021-02</t>
        </is>
      </c>
      <c r="F441" t="n">
        <v>0</v>
      </c>
    </row>
    <row r="442">
      <c r="A442" t="inlineStr">
        <is>
          <t>Milho</t>
        </is>
      </c>
      <c r="B442" t="inlineStr">
        <is>
          <t>Macaé - RJ</t>
        </is>
      </c>
      <c r="C442" t="n">
        <v>-22.3768</v>
      </c>
      <c r="D442" t="n">
        <v>-41.7848</v>
      </c>
      <c r="E442" t="inlineStr">
        <is>
          <t>2021-03</t>
        </is>
      </c>
      <c r="F442" t="n">
        <v>0</v>
      </c>
    </row>
    <row r="443">
      <c r="A443" t="inlineStr">
        <is>
          <t>Milho</t>
        </is>
      </c>
      <c r="B443" t="inlineStr">
        <is>
          <t>Macaé - RJ</t>
        </is>
      </c>
      <c r="C443" t="n">
        <v>-22.3768</v>
      </c>
      <c r="D443" t="n">
        <v>-41.7848</v>
      </c>
      <c r="E443" t="inlineStr">
        <is>
          <t>2021-04</t>
        </is>
      </c>
      <c r="F443" t="n">
        <v>0</v>
      </c>
    </row>
    <row r="444">
      <c r="A444" t="inlineStr">
        <is>
          <t>Milho</t>
        </is>
      </c>
      <c r="B444" t="inlineStr">
        <is>
          <t>Macaé - RJ</t>
        </is>
      </c>
      <c r="C444" t="n">
        <v>-22.3768</v>
      </c>
      <c r="D444" t="n">
        <v>-41.7848</v>
      </c>
      <c r="E444" t="inlineStr">
        <is>
          <t>2021-05</t>
        </is>
      </c>
      <c r="F444" t="n">
        <v>0</v>
      </c>
    </row>
    <row r="445">
      <c r="A445" t="inlineStr">
        <is>
          <t>Milho</t>
        </is>
      </c>
      <c r="B445" t="inlineStr">
        <is>
          <t>Macaé - RJ</t>
        </is>
      </c>
      <c r="C445" t="n">
        <v>-22.3768</v>
      </c>
      <c r="D445" t="n">
        <v>-41.7848</v>
      </c>
      <c r="E445" t="inlineStr">
        <is>
          <t>2021-06</t>
        </is>
      </c>
      <c r="F445" t="n">
        <v>0</v>
      </c>
    </row>
    <row r="446">
      <c r="A446" t="inlineStr">
        <is>
          <t>Milho</t>
        </is>
      </c>
      <c r="B446" t="inlineStr">
        <is>
          <t>Apodi - RN</t>
        </is>
      </c>
      <c r="C446" t="n">
        <v>-5.65349</v>
      </c>
      <c r="D446" t="n">
        <v>-37.7946</v>
      </c>
      <c r="E446" t="inlineStr">
        <is>
          <t>2021-01</t>
        </is>
      </c>
      <c r="F446" t="n">
        <v>0</v>
      </c>
    </row>
    <row r="447">
      <c r="A447" t="inlineStr">
        <is>
          <t>Milho</t>
        </is>
      </c>
      <c r="B447" t="inlineStr">
        <is>
          <t>Apodi - RN</t>
        </is>
      </c>
      <c r="C447" t="n">
        <v>-5.65349</v>
      </c>
      <c r="D447" t="n">
        <v>-37.7946</v>
      </c>
      <c r="E447" t="inlineStr">
        <is>
          <t>2021-02</t>
        </is>
      </c>
      <c r="F447" t="n">
        <v>0</v>
      </c>
    </row>
    <row r="448">
      <c r="A448" t="inlineStr">
        <is>
          <t>Milho</t>
        </is>
      </c>
      <c r="B448" t="inlineStr">
        <is>
          <t>Apodi - RN</t>
        </is>
      </c>
      <c r="C448" t="n">
        <v>-5.65349</v>
      </c>
      <c r="D448" t="n">
        <v>-37.7946</v>
      </c>
      <c r="E448" t="inlineStr">
        <is>
          <t>2021-03</t>
        </is>
      </c>
      <c r="F448" t="n">
        <v>0</v>
      </c>
    </row>
    <row r="449">
      <c r="A449" t="inlineStr">
        <is>
          <t>Milho</t>
        </is>
      </c>
      <c r="B449" t="inlineStr">
        <is>
          <t>Apodi - RN</t>
        </is>
      </c>
      <c r="C449" t="n">
        <v>-5.65349</v>
      </c>
      <c r="D449" t="n">
        <v>-37.7946</v>
      </c>
      <c r="E449" t="inlineStr">
        <is>
          <t>2021-04</t>
        </is>
      </c>
      <c r="F449" t="n">
        <v>0</v>
      </c>
    </row>
    <row r="450">
      <c r="A450" t="inlineStr">
        <is>
          <t>Milho</t>
        </is>
      </c>
      <c r="B450" t="inlineStr">
        <is>
          <t>Apodi - RN</t>
        </is>
      </c>
      <c r="C450" t="n">
        <v>-5.65349</v>
      </c>
      <c r="D450" t="n">
        <v>-37.7946</v>
      </c>
      <c r="E450" t="inlineStr">
        <is>
          <t>2021-05</t>
        </is>
      </c>
      <c r="F450" t="n">
        <v>0</v>
      </c>
    </row>
    <row r="451">
      <c r="A451" t="inlineStr">
        <is>
          <t>Milho</t>
        </is>
      </c>
      <c r="B451" t="inlineStr">
        <is>
          <t>Apodi - RN</t>
        </is>
      </c>
      <c r="C451" t="n">
        <v>-5.65349</v>
      </c>
      <c r="D451" t="n">
        <v>-37.7946</v>
      </c>
      <c r="E451" t="inlineStr">
        <is>
          <t>2021-06</t>
        </is>
      </c>
      <c r="F451" t="n">
        <v>0</v>
      </c>
    </row>
    <row r="452">
      <c r="A452" t="inlineStr">
        <is>
          <t>Milho</t>
        </is>
      </c>
      <c r="B452" t="inlineStr">
        <is>
          <t>Pimenteiras do Oeste - RO</t>
        </is>
      </c>
      <c r="C452" t="n">
        <v>-13.4823</v>
      </c>
      <c r="D452" t="n">
        <v>-61.0471</v>
      </c>
      <c r="E452" t="inlineStr">
        <is>
          <t>2021-01</t>
        </is>
      </c>
      <c r="F452" t="n">
        <v>0</v>
      </c>
    </row>
    <row r="453">
      <c r="A453" t="inlineStr">
        <is>
          <t>Milho</t>
        </is>
      </c>
      <c r="B453" t="inlineStr">
        <is>
          <t>Pimenteiras do Oeste - RO</t>
        </is>
      </c>
      <c r="C453" t="n">
        <v>-13.4823</v>
      </c>
      <c r="D453" t="n">
        <v>-61.0471</v>
      </c>
      <c r="E453" t="inlineStr">
        <is>
          <t>2021-02</t>
        </is>
      </c>
      <c r="F453" t="n">
        <v>0</v>
      </c>
    </row>
    <row r="454">
      <c r="A454" t="inlineStr">
        <is>
          <t>Milho</t>
        </is>
      </c>
      <c r="B454" t="inlineStr">
        <is>
          <t>Pimenteiras do Oeste - RO</t>
        </is>
      </c>
      <c r="C454" t="n">
        <v>-13.4823</v>
      </c>
      <c r="D454" t="n">
        <v>-61.0471</v>
      </c>
      <c r="E454" t="inlineStr">
        <is>
          <t>2021-03</t>
        </is>
      </c>
      <c r="F454" t="n">
        <v>0</v>
      </c>
    </row>
    <row r="455">
      <c r="A455" t="inlineStr">
        <is>
          <t>Milho</t>
        </is>
      </c>
      <c r="B455" t="inlineStr">
        <is>
          <t>Pimenteiras do Oeste - RO</t>
        </is>
      </c>
      <c r="C455" t="n">
        <v>-13.4823</v>
      </c>
      <c r="D455" t="n">
        <v>-61.0471</v>
      </c>
      <c r="E455" t="inlineStr">
        <is>
          <t>2021-04</t>
        </is>
      </c>
      <c r="F455" t="n">
        <v>0</v>
      </c>
    </row>
    <row r="456">
      <c r="A456" t="inlineStr">
        <is>
          <t>Milho</t>
        </is>
      </c>
      <c r="B456" t="inlineStr">
        <is>
          <t>Pimenteiras do Oeste - RO</t>
        </is>
      </c>
      <c r="C456" t="n">
        <v>-13.4823</v>
      </c>
      <c r="D456" t="n">
        <v>-61.0471</v>
      </c>
      <c r="E456" t="inlineStr">
        <is>
          <t>2021-05</t>
        </is>
      </c>
      <c r="F456" t="n">
        <v>0</v>
      </c>
    </row>
    <row r="457">
      <c r="A457" t="inlineStr">
        <is>
          <t>Milho</t>
        </is>
      </c>
      <c r="B457" t="inlineStr">
        <is>
          <t>Pimenteiras do Oeste - RO</t>
        </is>
      </c>
      <c r="C457" t="n">
        <v>-13.4823</v>
      </c>
      <c r="D457" t="n">
        <v>-61.0471</v>
      </c>
      <c r="E457" t="inlineStr">
        <is>
          <t>2021-06</t>
        </is>
      </c>
      <c r="F457" t="n">
        <v>0</v>
      </c>
    </row>
    <row r="458">
      <c r="A458" t="inlineStr">
        <is>
          <t>Milho</t>
        </is>
      </c>
      <c r="B458" t="inlineStr">
        <is>
          <t>Bonfim - RR</t>
        </is>
      </c>
      <c r="C458" t="n">
        <v>3.36161</v>
      </c>
      <c r="D458" t="n">
        <v>-59.8333</v>
      </c>
      <c r="E458" t="inlineStr">
        <is>
          <t>2021-01</t>
        </is>
      </c>
      <c r="F458" t="n">
        <v>0</v>
      </c>
    </row>
    <row r="459">
      <c r="A459" t="inlineStr">
        <is>
          <t>Milho</t>
        </is>
      </c>
      <c r="B459" t="inlineStr">
        <is>
          <t>Bonfim - RR</t>
        </is>
      </c>
      <c r="C459" t="n">
        <v>3.36161</v>
      </c>
      <c r="D459" t="n">
        <v>-59.8333</v>
      </c>
      <c r="E459" t="inlineStr">
        <is>
          <t>2021-02</t>
        </is>
      </c>
      <c r="F459" t="n">
        <v>0</v>
      </c>
    </row>
    <row r="460">
      <c r="A460" t="inlineStr">
        <is>
          <t>Milho</t>
        </is>
      </c>
      <c r="B460" t="inlineStr">
        <is>
          <t>Bonfim - RR</t>
        </is>
      </c>
      <c r="C460" t="n">
        <v>3.36161</v>
      </c>
      <c r="D460" t="n">
        <v>-59.8333</v>
      </c>
      <c r="E460" t="inlineStr">
        <is>
          <t>2021-03</t>
        </is>
      </c>
      <c r="F460" t="n">
        <v>0</v>
      </c>
    </row>
    <row r="461">
      <c r="A461" t="inlineStr">
        <is>
          <t>Milho</t>
        </is>
      </c>
      <c r="B461" t="inlineStr">
        <is>
          <t>Bonfim - RR</t>
        </is>
      </c>
      <c r="C461" t="n">
        <v>3.36161</v>
      </c>
      <c r="D461" t="n">
        <v>-59.8333</v>
      </c>
      <c r="E461" t="inlineStr">
        <is>
          <t>2021-04</t>
        </is>
      </c>
      <c r="F461" t="n">
        <v>0</v>
      </c>
    </row>
    <row r="462">
      <c r="A462" t="inlineStr">
        <is>
          <t>Milho</t>
        </is>
      </c>
      <c r="B462" t="inlineStr">
        <is>
          <t>Bonfim - RR</t>
        </is>
      </c>
      <c r="C462" t="n">
        <v>3.36161</v>
      </c>
      <c r="D462" t="n">
        <v>-59.8333</v>
      </c>
      <c r="E462" t="inlineStr">
        <is>
          <t>2021-05</t>
        </is>
      </c>
      <c r="F462" t="n">
        <v>0</v>
      </c>
    </row>
    <row r="463">
      <c r="A463" t="inlineStr">
        <is>
          <t>Milho</t>
        </is>
      </c>
      <c r="B463" t="inlineStr">
        <is>
          <t>Bonfim - RR</t>
        </is>
      </c>
      <c r="C463" t="n">
        <v>3.36161</v>
      </c>
      <c r="D463" t="n">
        <v>-59.8333</v>
      </c>
      <c r="E463" t="inlineStr">
        <is>
          <t>2021-06</t>
        </is>
      </c>
      <c r="F463" t="n">
        <v>0</v>
      </c>
    </row>
    <row r="464">
      <c r="A464" t="inlineStr">
        <is>
          <t>Milho</t>
        </is>
      </c>
      <c r="B464" t="inlineStr">
        <is>
          <t>Campos Novos - SC</t>
        </is>
      </c>
      <c r="C464" t="n">
        <v>-27.4002</v>
      </c>
      <c r="D464" t="n">
        <v>-51.2276</v>
      </c>
      <c r="E464" t="inlineStr">
        <is>
          <t>2021-01</t>
        </is>
      </c>
      <c r="F464" t="n">
        <v>0</v>
      </c>
    </row>
    <row r="465">
      <c r="A465" t="inlineStr">
        <is>
          <t>Milho</t>
        </is>
      </c>
      <c r="B465" t="inlineStr">
        <is>
          <t>Campos Novos - SC</t>
        </is>
      </c>
      <c r="C465" t="n">
        <v>-27.4002</v>
      </c>
      <c r="D465" t="n">
        <v>-51.2276</v>
      </c>
      <c r="E465" t="inlineStr">
        <is>
          <t>2021-02</t>
        </is>
      </c>
      <c r="F465" t="n">
        <v>0</v>
      </c>
    </row>
    <row r="466">
      <c r="A466" t="inlineStr">
        <is>
          <t>Milho</t>
        </is>
      </c>
      <c r="B466" t="inlineStr">
        <is>
          <t>Campos Novos - SC</t>
        </is>
      </c>
      <c r="C466" t="n">
        <v>-27.4002</v>
      </c>
      <c r="D466" t="n">
        <v>-51.2276</v>
      </c>
      <c r="E466" t="inlineStr">
        <is>
          <t>2021-03</t>
        </is>
      </c>
      <c r="F466" t="n">
        <v>0</v>
      </c>
    </row>
    <row r="467">
      <c r="A467" t="inlineStr">
        <is>
          <t>Milho</t>
        </is>
      </c>
      <c r="B467" t="inlineStr">
        <is>
          <t>Campos Novos - SC</t>
        </is>
      </c>
      <c r="C467" t="n">
        <v>-27.4002</v>
      </c>
      <c r="D467" t="n">
        <v>-51.2276</v>
      </c>
      <c r="E467" t="inlineStr">
        <is>
          <t>2021-04</t>
        </is>
      </c>
      <c r="F467" t="n">
        <v>0</v>
      </c>
    </row>
    <row r="468">
      <c r="A468" t="inlineStr">
        <is>
          <t>Milho</t>
        </is>
      </c>
      <c r="B468" t="inlineStr">
        <is>
          <t>Campos Novos - SC</t>
        </is>
      </c>
      <c r="C468" t="n">
        <v>-27.4002</v>
      </c>
      <c r="D468" t="n">
        <v>-51.2276</v>
      </c>
      <c r="E468" t="inlineStr">
        <is>
          <t>2021-05</t>
        </is>
      </c>
      <c r="F468" t="n">
        <v>0</v>
      </c>
    </row>
    <row r="469">
      <c r="A469" t="inlineStr">
        <is>
          <t>Milho</t>
        </is>
      </c>
      <c r="B469" t="inlineStr">
        <is>
          <t>Campos Novos - SC</t>
        </is>
      </c>
      <c r="C469" t="n">
        <v>-27.4002</v>
      </c>
      <c r="D469" t="n">
        <v>-51.2276</v>
      </c>
      <c r="E469" t="inlineStr">
        <is>
          <t>2021-06</t>
        </is>
      </c>
      <c r="F469" t="n">
        <v>0</v>
      </c>
    </row>
    <row r="470">
      <c r="A470" t="inlineStr">
        <is>
          <t>Milho</t>
        </is>
      </c>
      <c r="B470" t="inlineStr">
        <is>
          <t>Carira - SE</t>
        </is>
      </c>
      <c r="C470" t="n">
        <v>-10.3524</v>
      </c>
      <c r="D470" t="n">
        <v>-37.7002</v>
      </c>
      <c r="E470" t="inlineStr">
        <is>
          <t>2021-01</t>
        </is>
      </c>
      <c r="F470" t="n">
        <v>0</v>
      </c>
    </row>
    <row r="471">
      <c r="A471" t="inlineStr">
        <is>
          <t>Milho</t>
        </is>
      </c>
      <c r="B471" t="inlineStr">
        <is>
          <t>Carira - SE</t>
        </is>
      </c>
      <c r="C471" t="n">
        <v>-10.3524</v>
      </c>
      <c r="D471" t="n">
        <v>-37.7002</v>
      </c>
      <c r="E471" t="inlineStr">
        <is>
          <t>2021-02</t>
        </is>
      </c>
      <c r="F471" t="n">
        <v>0</v>
      </c>
    </row>
    <row r="472">
      <c r="A472" t="inlineStr">
        <is>
          <t>Milho</t>
        </is>
      </c>
      <c r="B472" t="inlineStr">
        <is>
          <t>Carira - SE</t>
        </is>
      </c>
      <c r="C472" t="n">
        <v>-10.3524</v>
      </c>
      <c r="D472" t="n">
        <v>-37.7002</v>
      </c>
      <c r="E472" t="inlineStr">
        <is>
          <t>2021-03</t>
        </is>
      </c>
      <c r="F472" t="n">
        <v>0</v>
      </c>
    </row>
    <row r="473">
      <c r="A473" t="inlineStr">
        <is>
          <t>Milho</t>
        </is>
      </c>
      <c r="B473" t="inlineStr">
        <is>
          <t>Carira - SE</t>
        </is>
      </c>
      <c r="C473" t="n">
        <v>-10.3524</v>
      </c>
      <c r="D473" t="n">
        <v>-37.7002</v>
      </c>
      <c r="E473" t="inlineStr">
        <is>
          <t>2021-04</t>
        </is>
      </c>
      <c r="F473" t="n">
        <v>0</v>
      </c>
    </row>
    <row r="474">
      <c r="A474" t="inlineStr">
        <is>
          <t>Milho</t>
        </is>
      </c>
      <c r="B474" t="inlineStr">
        <is>
          <t>Carira - SE</t>
        </is>
      </c>
      <c r="C474" t="n">
        <v>-10.3524</v>
      </c>
      <c r="D474" t="n">
        <v>-37.7002</v>
      </c>
      <c r="E474" t="inlineStr">
        <is>
          <t>2021-05</t>
        </is>
      </c>
      <c r="F474" t="n">
        <v>0</v>
      </c>
    </row>
    <row r="475">
      <c r="A475" t="inlineStr">
        <is>
          <t>Milho</t>
        </is>
      </c>
      <c r="B475" t="inlineStr">
        <is>
          <t>Carira - SE</t>
        </is>
      </c>
      <c r="C475" t="n">
        <v>-10.3524</v>
      </c>
      <c r="D475" t="n">
        <v>-37.7002</v>
      </c>
      <c r="E475" t="inlineStr">
        <is>
          <t>2021-06</t>
        </is>
      </c>
      <c r="F475" t="n">
        <v>0</v>
      </c>
    </row>
    <row r="476">
      <c r="A476" t="inlineStr">
        <is>
          <t>Milho</t>
        </is>
      </c>
      <c r="B476" t="inlineStr">
        <is>
          <t>Itapeva - SP</t>
        </is>
      </c>
      <c r="C476" t="n">
        <v>-23.9788</v>
      </c>
      <c r="D476" t="n">
        <v>-48.8764</v>
      </c>
      <c r="E476" t="inlineStr">
        <is>
          <t>2021-01</t>
        </is>
      </c>
      <c r="F476" t="n">
        <v>0</v>
      </c>
    </row>
    <row r="477">
      <c r="A477" t="inlineStr">
        <is>
          <t>Milho</t>
        </is>
      </c>
      <c r="B477" t="inlineStr">
        <is>
          <t>Itapeva - SP</t>
        </is>
      </c>
      <c r="C477" t="n">
        <v>-23.9788</v>
      </c>
      <c r="D477" t="n">
        <v>-48.8764</v>
      </c>
      <c r="E477" t="inlineStr">
        <is>
          <t>2021-02</t>
        </is>
      </c>
      <c r="F477" t="n">
        <v>0</v>
      </c>
    </row>
    <row r="478">
      <c r="A478" t="inlineStr">
        <is>
          <t>Milho</t>
        </is>
      </c>
      <c r="B478" t="inlineStr">
        <is>
          <t>Itapeva - SP</t>
        </is>
      </c>
      <c r="C478" t="n">
        <v>-23.9788</v>
      </c>
      <c r="D478" t="n">
        <v>-48.8764</v>
      </c>
      <c r="E478" t="inlineStr">
        <is>
          <t>2021-03</t>
        </is>
      </c>
      <c r="F478" t="n">
        <v>0</v>
      </c>
    </row>
    <row r="479">
      <c r="A479" t="inlineStr">
        <is>
          <t>Milho</t>
        </is>
      </c>
      <c r="B479" t="inlineStr">
        <is>
          <t>Itapeva - SP</t>
        </is>
      </c>
      <c r="C479" t="n">
        <v>-23.9788</v>
      </c>
      <c r="D479" t="n">
        <v>-48.8764</v>
      </c>
      <c r="E479" t="inlineStr">
        <is>
          <t>2021-04</t>
        </is>
      </c>
      <c r="F479" t="n">
        <v>0</v>
      </c>
    </row>
    <row r="480">
      <c r="A480" t="inlineStr">
        <is>
          <t>Milho</t>
        </is>
      </c>
      <c r="B480" t="inlineStr">
        <is>
          <t>Itapeva - SP</t>
        </is>
      </c>
      <c r="C480" t="n">
        <v>-23.9788</v>
      </c>
      <c r="D480" t="n">
        <v>-48.8764</v>
      </c>
      <c r="E480" t="inlineStr">
        <is>
          <t>2021-05</t>
        </is>
      </c>
      <c r="F480" t="n">
        <v>0</v>
      </c>
    </row>
    <row r="481">
      <c r="A481" t="inlineStr">
        <is>
          <t>Milho</t>
        </is>
      </c>
      <c r="B481" t="inlineStr">
        <is>
          <t>Itapeva - SP</t>
        </is>
      </c>
      <c r="C481" t="n">
        <v>-23.9788</v>
      </c>
      <c r="D481" t="n">
        <v>-48.8764</v>
      </c>
      <c r="E481" t="inlineStr">
        <is>
          <t>2021-06</t>
        </is>
      </c>
      <c r="F481" t="n">
        <v>0</v>
      </c>
    </row>
    <row r="482">
      <c r="A482" t="inlineStr">
        <is>
          <t>Milho</t>
        </is>
      </c>
      <c r="B482" t="inlineStr">
        <is>
          <t>Campos Lindos - TO</t>
        </is>
      </c>
      <c r="C482" t="n">
        <v>-7.98956</v>
      </c>
      <c r="D482" t="n">
        <v>-46.8645</v>
      </c>
      <c r="E482" t="inlineStr">
        <is>
          <t>2021-01</t>
        </is>
      </c>
      <c r="F482" t="n">
        <v>0</v>
      </c>
    </row>
    <row r="483">
      <c r="A483" t="inlineStr">
        <is>
          <t>Milho</t>
        </is>
      </c>
      <c r="B483" t="inlineStr">
        <is>
          <t>Campos Lindos - TO</t>
        </is>
      </c>
      <c r="C483" t="n">
        <v>-7.98956</v>
      </c>
      <c r="D483" t="n">
        <v>-46.8645</v>
      </c>
      <c r="E483" t="inlineStr">
        <is>
          <t>2021-02</t>
        </is>
      </c>
      <c r="F483" t="n">
        <v>0</v>
      </c>
    </row>
    <row r="484">
      <c r="A484" t="inlineStr">
        <is>
          <t>Milho</t>
        </is>
      </c>
      <c r="B484" t="inlineStr">
        <is>
          <t>Campos Lindos - TO</t>
        </is>
      </c>
      <c r="C484" t="n">
        <v>-7.98956</v>
      </c>
      <c r="D484" t="n">
        <v>-46.8645</v>
      </c>
      <c r="E484" t="inlineStr">
        <is>
          <t>2021-03</t>
        </is>
      </c>
      <c r="F484" t="n">
        <v>0</v>
      </c>
    </row>
    <row r="485">
      <c r="A485" t="inlineStr">
        <is>
          <t>Milho</t>
        </is>
      </c>
      <c r="B485" t="inlineStr">
        <is>
          <t>Campos Lindos - TO</t>
        </is>
      </c>
      <c r="C485" t="n">
        <v>-7.98956</v>
      </c>
      <c r="D485" t="n">
        <v>-46.8645</v>
      </c>
      <c r="E485" t="inlineStr">
        <is>
          <t>2021-04</t>
        </is>
      </c>
      <c r="F485" t="n">
        <v>0</v>
      </c>
    </row>
    <row r="486">
      <c r="A486" t="inlineStr">
        <is>
          <t>Milho</t>
        </is>
      </c>
      <c r="B486" t="inlineStr">
        <is>
          <t>Campos Lindos - TO</t>
        </is>
      </c>
      <c r="C486" t="n">
        <v>-7.98956</v>
      </c>
      <c r="D486" t="n">
        <v>-46.8645</v>
      </c>
      <c r="E486" t="inlineStr">
        <is>
          <t>2021-05</t>
        </is>
      </c>
      <c r="F486" t="n">
        <v>0</v>
      </c>
    </row>
    <row r="487">
      <c r="A487" t="inlineStr">
        <is>
          <t>Milho</t>
        </is>
      </c>
      <c r="B487" t="inlineStr">
        <is>
          <t>Campos Lindos - TO</t>
        </is>
      </c>
      <c r="C487" t="n">
        <v>-7.98956</v>
      </c>
      <c r="D487" t="n">
        <v>-46.8645</v>
      </c>
      <c r="E487" t="inlineStr">
        <is>
          <t>2021-06</t>
        </is>
      </c>
      <c r="F487" t="n">
        <v>0</v>
      </c>
    </row>
    <row r="488">
      <c r="A488" t="inlineStr">
        <is>
          <t>Soja</t>
        </is>
      </c>
      <c r="B488" t="inlineStr">
        <is>
          <t>Plácido de Castro - AC</t>
        </is>
      </c>
      <c r="C488" t="n">
        <v>-10.2806</v>
      </c>
      <c r="D488" t="n">
        <v>-67.1371</v>
      </c>
      <c r="E488" t="inlineStr">
        <is>
          <t>2021-01</t>
        </is>
      </c>
      <c r="F488" t="n">
        <v>0</v>
      </c>
    </row>
    <row r="489">
      <c r="A489" t="inlineStr">
        <is>
          <t>Soja</t>
        </is>
      </c>
      <c r="B489" t="inlineStr">
        <is>
          <t>Plácido de Castro - AC</t>
        </is>
      </c>
      <c r="C489" t="n">
        <v>-10.2806</v>
      </c>
      <c r="D489" t="n">
        <v>-67.1371</v>
      </c>
      <c r="E489" t="inlineStr">
        <is>
          <t>2021-02</t>
        </is>
      </c>
      <c r="F489" t="n">
        <v>0</v>
      </c>
    </row>
    <row r="490">
      <c r="A490" t="inlineStr">
        <is>
          <t>Soja</t>
        </is>
      </c>
      <c r="B490" t="inlineStr">
        <is>
          <t>Plácido de Castro - AC</t>
        </is>
      </c>
      <c r="C490" t="n">
        <v>-10.2806</v>
      </c>
      <c r="D490" t="n">
        <v>-67.1371</v>
      </c>
      <c r="E490" t="inlineStr">
        <is>
          <t>2021-03</t>
        </is>
      </c>
      <c r="F490" t="n">
        <v>0</v>
      </c>
    </row>
    <row r="491">
      <c r="A491" t="inlineStr">
        <is>
          <t>Soja</t>
        </is>
      </c>
      <c r="B491" t="inlineStr">
        <is>
          <t>Plácido de Castro - AC</t>
        </is>
      </c>
      <c r="C491" t="n">
        <v>-10.2806</v>
      </c>
      <c r="D491" t="n">
        <v>-67.1371</v>
      </c>
      <c r="E491" t="inlineStr">
        <is>
          <t>2021-04</t>
        </is>
      </c>
      <c r="F491" t="n">
        <v>0</v>
      </c>
    </row>
    <row r="492">
      <c r="A492" t="inlineStr">
        <is>
          <t>Soja</t>
        </is>
      </c>
      <c r="B492" t="inlineStr">
        <is>
          <t>Plácido de Castro - AC</t>
        </is>
      </c>
      <c r="C492" t="n">
        <v>-10.2806</v>
      </c>
      <c r="D492" t="n">
        <v>-67.1371</v>
      </c>
      <c r="E492" t="inlineStr">
        <is>
          <t>2021-05</t>
        </is>
      </c>
      <c r="F492" t="n">
        <v>0</v>
      </c>
    </row>
    <row r="493">
      <c r="A493" t="inlineStr">
        <is>
          <t>Soja</t>
        </is>
      </c>
      <c r="B493" t="inlineStr">
        <is>
          <t>Plácido de Castro - AC</t>
        </is>
      </c>
      <c r="C493" t="n">
        <v>-10.2806</v>
      </c>
      <c r="D493" t="n">
        <v>-67.1371</v>
      </c>
      <c r="E493" t="inlineStr">
        <is>
          <t>2021-06</t>
        </is>
      </c>
      <c r="F493" t="n">
        <v>0</v>
      </c>
    </row>
    <row r="494">
      <c r="A494" t="inlineStr">
        <is>
          <t>Soja</t>
        </is>
      </c>
      <c r="B494" t="inlineStr">
        <is>
          <t>Anadia - AL</t>
        </is>
      </c>
      <c r="C494" t="n">
        <v>-9.684889999999999</v>
      </c>
      <c r="D494" t="n">
        <v>-36.3078</v>
      </c>
      <c r="E494" t="inlineStr">
        <is>
          <t>2021-01</t>
        </is>
      </c>
      <c r="F494" t="n">
        <v>0</v>
      </c>
    </row>
    <row r="495">
      <c r="A495" t="inlineStr">
        <is>
          <t>Soja</t>
        </is>
      </c>
      <c r="B495" t="inlineStr">
        <is>
          <t>Anadia - AL</t>
        </is>
      </c>
      <c r="C495" t="n">
        <v>-9.684889999999999</v>
      </c>
      <c r="D495" t="n">
        <v>-36.3078</v>
      </c>
      <c r="E495" t="inlineStr">
        <is>
          <t>2021-02</t>
        </is>
      </c>
      <c r="F495" t="n">
        <v>0</v>
      </c>
    </row>
    <row r="496">
      <c r="A496" t="inlineStr">
        <is>
          <t>Soja</t>
        </is>
      </c>
      <c r="B496" t="inlineStr">
        <is>
          <t>Anadia - AL</t>
        </is>
      </c>
      <c r="C496" t="n">
        <v>-9.684889999999999</v>
      </c>
      <c r="D496" t="n">
        <v>-36.3078</v>
      </c>
      <c r="E496" t="inlineStr">
        <is>
          <t>2021-03</t>
        </is>
      </c>
      <c r="F496" t="n">
        <v>0</v>
      </c>
    </row>
    <row r="497">
      <c r="A497" t="inlineStr">
        <is>
          <t>Soja</t>
        </is>
      </c>
      <c r="B497" t="inlineStr">
        <is>
          <t>Anadia - AL</t>
        </is>
      </c>
      <c r="C497" t="n">
        <v>-9.684889999999999</v>
      </c>
      <c r="D497" t="n">
        <v>-36.3078</v>
      </c>
      <c r="E497" t="inlineStr">
        <is>
          <t>2021-04</t>
        </is>
      </c>
      <c r="F497" t="n">
        <v>0</v>
      </c>
    </row>
    <row r="498">
      <c r="A498" t="inlineStr">
        <is>
          <t>Soja</t>
        </is>
      </c>
      <c r="B498" t="inlineStr">
        <is>
          <t>Anadia - AL</t>
        </is>
      </c>
      <c r="C498" t="n">
        <v>-9.684889999999999</v>
      </c>
      <c r="D498" t="n">
        <v>-36.3078</v>
      </c>
      <c r="E498" t="inlineStr">
        <is>
          <t>2021-05</t>
        </is>
      </c>
      <c r="F498" t="n">
        <v>0</v>
      </c>
    </row>
    <row r="499">
      <c r="A499" t="inlineStr">
        <is>
          <t>Soja</t>
        </is>
      </c>
      <c r="B499" t="inlineStr">
        <is>
          <t>Anadia - AL</t>
        </is>
      </c>
      <c r="C499" t="n">
        <v>-9.684889999999999</v>
      </c>
      <c r="D499" t="n">
        <v>-36.3078</v>
      </c>
      <c r="E499" t="inlineStr">
        <is>
          <t>2021-06</t>
        </is>
      </c>
      <c r="F499" t="n">
        <v>0</v>
      </c>
    </row>
    <row r="500">
      <c r="A500" t="inlineStr">
        <is>
          <t>Soja</t>
        </is>
      </c>
      <c r="B500" t="inlineStr">
        <is>
          <t>Macapá - AP</t>
        </is>
      </c>
      <c r="C500" t="n">
        <v>0.034934</v>
      </c>
      <c r="D500" t="n">
        <v>-51.0694</v>
      </c>
      <c r="E500" t="inlineStr">
        <is>
          <t>2021-01</t>
        </is>
      </c>
      <c r="F500" t="n">
        <v>0</v>
      </c>
    </row>
    <row r="501">
      <c r="A501" t="inlineStr">
        <is>
          <t>Soja</t>
        </is>
      </c>
      <c r="B501" t="inlineStr">
        <is>
          <t>Macapá - AP</t>
        </is>
      </c>
      <c r="C501" t="n">
        <v>0.034934</v>
      </c>
      <c r="D501" t="n">
        <v>-51.0694</v>
      </c>
      <c r="E501" t="inlineStr">
        <is>
          <t>2021-02</t>
        </is>
      </c>
      <c r="F501" t="n">
        <v>0</v>
      </c>
    </row>
    <row r="502">
      <c r="A502" t="inlineStr">
        <is>
          <t>Soja</t>
        </is>
      </c>
      <c r="B502" t="inlineStr">
        <is>
          <t>Macapá - AP</t>
        </is>
      </c>
      <c r="C502" t="n">
        <v>0.034934</v>
      </c>
      <c r="D502" t="n">
        <v>-51.0694</v>
      </c>
      <c r="E502" t="inlineStr">
        <is>
          <t>2021-03</t>
        </is>
      </c>
      <c r="F502" t="n">
        <v>0</v>
      </c>
    </row>
    <row r="503">
      <c r="A503" t="inlineStr">
        <is>
          <t>Soja</t>
        </is>
      </c>
      <c r="B503" t="inlineStr">
        <is>
          <t>Macapá - AP</t>
        </is>
      </c>
      <c r="C503" t="n">
        <v>0.034934</v>
      </c>
      <c r="D503" t="n">
        <v>-51.0694</v>
      </c>
      <c r="E503" t="inlineStr">
        <is>
          <t>2021-04</t>
        </is>
      </c>
      <c r="F503" t="n">
        <v>0</v>
      </c>
    </row>
    <row r="504">
      <c r="A504" t="inlineStr">
        <is>
          <t>Soja</t>
        </is>
      </c>
      <c r="B504" t="inlineStr">
        <is>
          <t>Macapá - AP</t>
        </is>
      </c>
      <c r="C504" t="n">
        <v>0.034934</v>
      </c>
      <c r="D504" t="n">
        <v>-51.0694</v>
      </c>
      <c r="E504" t="inlineStr">
        <is>
          <t>2021-05</t>
        </is>
      </c>
      <c r="F504" t="n">
        <v>0</v>
      </c>
    </row>
    <row r="505">
      <c r="A505" t="inlineStr">
        <is>
          <t>Soja</t>
        </is>
      </c>
      <c r="B505" t="inlineStr">
        <is>
          <t>Macapá - AP</t>
        </is>
      </c>
      <c r="C505" t="n">
        <v>0.034934</v>
      </c>
      <c r="D505" t="n">
        <v>-51.0694</v>
      </c>
      <c r="E505" t="inlineStr">
        <is>
          <t>2021-06</t>
        </is>
      </c>
      <c r="F505" t="n">
        <v>0</v>
      </c>
    </row>
    <row r="506">
      <c r="A506" t="inlineStr">
        <is>
          <t>Soja</t>
        </is>
      </c>
      <c r="B506" t="inlineStr">
        <is>
          <t>Limoeiro do Norte - CE</t>
        </is>
      </c>
      <c r="C506" t="n">
        <v>-5.14392</v>
      </c>
      <c r="D506" t="n">
        <v>-38.0847</v>
      </c>
      <c r="E506" t="inlineStr">
        <is>
          <t>2021-01</t>
        </is>
      </c>
      <c r="F506" t="n">
        <v>0</v>
      </c>
    </row>
    <row r="507">
      <c r="A507" t="inlineStr">
        <is>
          <t>Soja</t>
        </is>
      </c>
      <c r="B507" t="inlineStr">
        <is>
          <t>Limoeiro do Norte - CE</t>
        </is>
      </c>
      <c r="C507" t="n">
        <v>-5.14392</v>
      </c>
      <c r="D507" t="n">
        <v>-38.0847</v>
      </c>
      <c r="E507" t="inlineStr">
        <is>
          <t>2021-02</t>
        </is>
      </c>
      <c r="F507" t="n">
        <v>0</v>
      </c>
    </row>
    <row r="508">
      <c r="A508" t="inlineStr">
        <is>
          <t>Soja</t>
        </is>
      </c>
      <c r="B508" t="inlineStr">
        <is>
          <t>Limoeiro do Norte - CE</t>
        </is>
      </c>
      <c r="C508" t="n">
        <v>-5.14392</v>
      </c>
      <c r="D508" t="n">
        <v>-38.0847</v>
      </c>
      <c r="E508" t="inlineStr">
        <is>
          <t>2021-03</t>
        </is>
      </c>
      <c r="F508" t="n">
        <v>0</v>
      </c>
    </row>
    <row r="509">
      <c r="A509" t="inlineStr">
        <is>
          <t>Soja</t>
        </is>
      </c>
      <c r="B509" t="inlineStr">
        <is>
          <t>Limoeiro do Norte - CE</t>
        </is>
      </c>
      <c r="C509" t="n">
        <v>-5.14392</v>
      </c>
      <c r="D509" t="n">
        <v>-38.0847</v>
      </c>
      <c r="E509" t="inlineStr">
        <is>
          <t>2021-04</t>
        </is>
      </c>
      <c r="F509" t="n">
        <v>0</v>
      </c>
    </row>
    <row r="510">
      <c r="A510" t="inlineStr">
        <is>
          <t>Soja</t>
        </is>
      </c>
      <c r="B510" t="inlineStr">
        <is>
          <t>Limoeiro do Norte - CE</t>
        </is>
      </c>
      <c r="C510" t="n">
        <v>-5.14392</v>
      </c>
      <c r="D510" t="n">
        <v>-38.0847</v>
      </c>
      <c r="E510" t="inlineStr">
        <is>
          <t>2021-05</t>
        </is>
      </c>
      <c r="F510" t="n">
        <v>0</v>
      </c>
    </row>
    <row r="511">
      <c r="A511" t="inlineStr">
        <is>
          <t>Soja</t>
        </is>
      </c>
      <c r="B511" t="inlineStr">
        <is>
          <t>Limoeiro do Norte - CE</t>
        </is>
      </c>
      <c r="C511" t="n">
        <v>-5.14392</v>
      </c>
      <c r="D511" t="n">
        <v>-38.0847</v>
      </c>
      <c r="E511" t="inlineStr">
        <is>
          <t>2021-06</t>
        </is>
      </c>
      <c r="F511" t="n">
        <v>0</v>
      </c>
    </row>
    <row r="512">
      <c r="A512" t="inlineStr">
        <is>
          <t>Soja</t>
        </is>
      </c>
      <c r="B512" t="inlineStr">
        <is>
          <t>Pinheiros - ES</t>
        </is>
      </c>
      <c r="C512" t="n">
        <v>-18.4141</v>
      </c>
      <c r="D512" t="n">
        <v>-40.2171</v>
      </c>
      <c r="E512" t="inlineStr">
        <is>
          <t>2021-01</t>
        </is>
      </c>
      <c r="F512" t="n">
        <v>0</v>
      </c>
    </row>
    <row r="513">
      <c r="A513" t="inlineStr">
        <is>
          <t>Soja</t>
        </is>
      </c>
      <c r="B513" t="inlineStr">
        <is>
          <t>Pinheiros - ES</t>
        </is>
      </c>
      <c r="C513" t="n">
        <v>-18.4141</v>
      </c>
      <c r="D513" t="n">
        <v>-40.2171</v>
      </c>
      <c r="E513" t="inlineStr">
        <is>
          <t>2021-02</t>
        </is>
      </c>
      <c r="F513" t="n">
        <v>0</v>
      </c>
    </row>
    <row r="514">
      <c r="A514" t="inlineStr">
        <is>
          <t>Soja</t>
        </is>
      </c>
      <c r="B514" t="inlineStr">
        <is>
          <t>Pinheiros - ES</t>
        </is>
      </c>
      <c r="C514" t="n">
        <v>-18.4141</v>
      </c>
      <c r="D514" t="n">
        <v>-40.2171</v>
      </c>
      <c r="E514" t="inlineStr">
        <is>
          <t>2021-03</t>
        </is>
      </c>
      <c r="F514" t="n">
        <v>0</v>
      </c>
    </row>
    <row r="515">
      <c r="A515" t="inlineStr">
        <is>
          <t>Soja</t>
        </is>
      </c>
      <c r="B515" t="inlineStr">
        <is>
          <t>Pinheiros - ES</t>
        </is>
      </c>
      <c r="C515" t="n">
        <v>-18.4141</v>
      </c>
      <c r="D515" t="n">
        <v>-40.2171</v>
      </c>
      <c r="E515" t="inlineStr">
        <is>
          <t>2021-04</t>
        </is>
      </c>
      <c r="F515" t="n">
        <v>0</v>
      </c>
    </row>
    <row r="516">
      <c r="A516" t="inlineStr">
        <is>
          <t>Soja</t>
        </is>
      </c>
      <c r="B516" t="inlineStr">
        <is>
          <t>Pinheiros - ES</t>
        </is>
      </c>
      <c r="C516" t="n">
        <v>-18.4141</v>
      </c>
      <c r="D516" t="n">
        <v>-40.2171</v>
      </c>
      <c r="E516" t="inlineStr">
        <is>
          <t>2021-05</t>
        </is>
      </c>
      <c r="F516" t="n">
        <v>0</v>
      </c>
    </row>
    <row r="517">
      <c r="A517" t="inlineStr">
        <is>
          <t>Soja</t>
        </is>
      </c>
      <c r="B517" t="inlineStr">
        <is>
          <t>Pinheiros - ES</t>
        </is>
      </c>
      <c r="C517" t="n">
        <v>-18.4141</v>
      </c>
      <c r="D517" t="n">
        <v>-40.2171</v>
      </c>
      <c r="E517" t="inlineStr">
        <is>
          <t>2021-06</t>
        </is>
      </c>
      <c r="F517" t="n">
        <v>0</v>
      </c>
    </row>
    <row r="518">
      <c r="A518" t="inlineStr">
        <is>
          <t>Soja</t>
        </is>
      </c>
      <c r="B518" t="inlineStr">
        <is>
          <t>Campos dos Goytacazes - RJ</t>
        </is>
      </c>
      <c r="C518" t="n">
        <v>-21.7622</v>
      </c>
      <c r="D518" t="n">
        <v>-41.3181</v>
      </c>
      <c r="E518" t="inlineStr">
        <is>
          <t>2021-01</t>
        </is>
      </c>
      <c r="F518" t="n">
        <v>0</v>
      </c>
    </row>
    <row r="519">
      <c r="A519" t="inlineStr">
        <is>
          <t>Soja</t>
        </is>
      </c>
      <c r="B519" t="inlineStr">
        <is>
          <t>Campos dos Goytacazes - RJ</t>
        </is>
      </c>
      <c r="C519" t="n">
        <v>-21.7622</v>
      </c>
      <c r="D519" t="n">
        <v>-41.3181</v>
      </c>
      <c r="E519" t="inlineStr">
        <is>
          <t>2021-02</t>
        </is>
      </c>
      <c r="F519" t="n">
        <v>0</v>
      </c>
    </row>
    <row r="520">
      <c r="A520" t="inlineStr">
        <is>
          <t>Soja</t>
        </is>
      </c>
      <c r="B520" t="inlineStr">
        <is>
          <t>Campos dos Goytacazes - RJ</t>
        </is>
      </c>
      <c r="C520" t="n">
        <v>-21.7622</v>
      </c>
      <c r="D520" t="n">
        <v>-41.3181</v>
      </c>
      <c r="E520" t="inlineStr">
        <is>
          <t>2021-03</t>
        </is>
      </c>
      <c r="F520" t="n">
        <v>0</v>
      </c>
    </row>
    <row r="521">
      <c r="A521" t="inlineStr">
        <is>
          <t>Soja</t>
        </is>
      </c>
      <c r="B521" t="inlineStr">
        <is>
          <t>Campos dos Goytacazes - RJ</t>
        </is>
      </c>
      <c r="C521" t="n">
        <v>-21.7622</v>
      </c>
      <c r="D521" t="n">
        <v>-41.3181</v>
      </c>
      <c r="E521" t="inlineStr">
        <is>
          <t>2021-04</t>
        </is>
      </c>
      <c r="F521" t="n">
        <v>0</v>
      </c>
    </row>
    <row r="522">
      <c r="A522" t="inlineStr">
        <is>
          <t>Soja</t>
        </is>
      </c>
      <c r="B522" t="inlineStr">
        <is>
          <t>Campos dos Goytacazes - RJ</t>
        </is>
      </c>
      <c r="C522" t="n">
        <v>-21.7622</v>
      </c>
      <c r="D522" t="n">
        <v>-41.3181</v>
      </c>
      <c r="E522" t="inlineStr">
        <is>
          <t>2021-05</t>
        </is>
      </c>
      <c r="F522" t="n">
        <v>0</v>
      </c>
    </row>
    <row r="523">
      <c r="A523" t="inlineStr">
        <is>
          <t>Soja</t>
        </is>
      </c>
      <c r="B523" t="inlineStr">
        <is>
          <t>Campos dos Goytacazes - RJ</t>
        </is>
      </c>
      <c r="C523" t="n">
        <v>-21.7622</v>
      </c>
      <c r="D523" t="n">
        <v>-41.3181</v>
      </c>
      <c r="E523" t="inlineStr">
        <is>
          <t>2021-06</t>
        </is>
      </c>
      <c r="F523" t="n">
        <v>0</v>
      </c>
    </row>
    <row r="524">
      <c r="A524" t="inlineStr">
        <is>
          <t>Soja</t>
        </is>
      </c>
      <c r="B524" t="inlineStr">
        <is>
          <t>Alto do Rodrigues - RN</t>
        </is>
      </c>
      <c r="C524" t="n">
        <v>-5.28186</v>
      </c>
      <c r="D524" t="n">
        <v>-36.75</v>
      </c>
      <c r="E524" t="inlineStr">
        <is>
          <t>2021-01</t>
        </is>
      </c>
      <c r="F524" t="n">
        <v>0</v>
      </c>
    </row>
    <row r="525">
      <c r="A525" t="inlineStr">
        <is>
          <t>Soja</t>
        </is>
      </c>
      <c r="B525" t="inlineStr">
        <is>
          <t>Alto do Rodrigues - RN</t>
        </is>
      </c>
      <c r="C525" t="n">
        <v>-5.28186</v>
      </c>
      <c r="D525" t="n">
        <v>-36.75</v>
      </c>
      <c r="E525" t="inlineStr">
        <is>
          <t>2021-02</t>
        </is>
      </c>
      <c r="F525" t="n">
        <v>0</v>
      </c>
    </row>
    <row r="526">
      <c r="A526" t="inlineStr">
        <is>
          <t>Soja</t>
        </is>
      </c>
      <c r="B526" t="inlineStr">
        <is>
          <t>Alto do Rodrigues - RN</t>
        </is>
      </c>
      <c r="C526" t="n">
        <v>-5.28186</v>
      </c>
      <c r="D526" t="n">
        <v>-36.75</v>
      </c>
      <c r="E526" t="inlineStr">
        <is>
          <t>2021-03</t>
        </is>
      </c>
      <c r="F526" t="n">
        <v>0</v>
      </c>
    </row>
    <row r="527">
      <c r="A527" t="inlineStr">
        <is>
          <t>Soja</t>
        </is>
      </c>
      <c r="B527" t="inlineStr">
        <is>
          <t>Alto do Rodrigues - RN</t>
        </is>
      </c>
      <c r="C527" t="n">
        <v>-5.28186</v>
      </c>
      <c r="D527" t="n">
        <v>-36.75</v>
      </c>
      <c r="E527" t="inlineStr">
        <is>
          <t>2021-04</t>
        </is>
      </c>
      <c r="F527" t="n">
        <v>0</v>
      </c>
    </row>
    <row r="528">
      <c r="A528" t="inlineStr">
        <is>
          <t>Soja</t>
        </is>
      </c>
      <c r="B528" t="inlineStr">
        <is>
          <t>Alto do Rodrigues - RN</t>
        </is>
      </c>
      <c r="C528" t="n">
        <v>-5.28186</v>
      </c>
      <c r="D528" t="n">
        <v>-36.75</v>
      </c>
      <c r="E528" t="inlineStr">
        <is>
          <t>2021-05</t>
        </is>
      </c>
      <c r="F528" t="n">
        <v>0</v>
      </c>
    </row>
    <row r="529">
      <c r="A529" t="inlineStr">
        <is>
          <t>Soja</t>
        </is>
      </c>
      <c r="B529" t="inlineStr">
        <is>
          <t>Alto do Rodrigues - RN</t>
        </is>
      </c>
      <c r="C529" t="n">
        <v>-5.28186</v>
      </c>
      <c r="D529" t="n">
        <v>-36.75</v>
      </c>
      <c r="E529" t="inlineStr">
        <is>
          <t>2021-06</t>
        </is>
      </c>
      <c r="F529" t="n">
        <v>0</v>
      </c>
    </row>
    <row r="530">
      <c r="A530" t="inlineStr">
        <is>
          <t>Soja</t>
        </is>
      </c>
      <c r="B530" t="inlineStr">
        <is>
          <t>Humaitá - AM</t>
        </is>
      </c>
      <c r="C530" t="n">
        <v>-7.51171</v>
      </c>
      <c r="D530" t="n">
        <v>-63.0327</v>
      </c>
      <c r="E530" t="inlineStr">
        <is>
          <t>2021-01</t>
        </is>
      </c>
      <c r="F530" t="n">
        <v>4449.4889066185</v>
      </c>
    </row>
    <row r="531">
      <c r="A531" t="inlineStr">
        <is>
          <t>Soja</t>
        </is>
      </c>
      <c r="B531" t="inlineStr">
        <is>
          <t>Humaitá - AM</t>
        </is>
      </c>
      <c r="C531" t="n">
        <v>-7.51171</v>
      </c>
      <c r="D531" t="n">
        <v>-63.0327</v>
      </c>
      <c r="E531" t="inlineStr">
        <is>
          <t>2021-02</t>
        </is>
      </c>
      <c r="F531" t="n">
        <v>4449.4889066185</v>
      </c>
    </row>
    <row r="532">
      <c r="A532" t="inlineStr">
        <is>
          <t>Soja</t>
        </is>
      </c>
      <c r="B532" t="inlineStr">
        <is>
          <t>Humaitá - AM</t>
        </is>
      </c>
      <c r="C532" t="n">
        <v>-7.51171</v>
      </c>
      <c r="D532" t="n">
        <v>-63.0327</v>
      </c>
      <c r="E532" t="inlineStr">
        <is>
          <t>2021-03</t>
        </is>
      </c>
      <c r="F532" t="n">
        <v>2669.6933439711</v>
      </c>
    </row>
    <row r="533">
      <c r="A533" t="inlineStr">
        <is>
          <t>Soja</t>
        </is>
      </c>
      <c r="B533" t="inlineStr">
        <is>
          <t>Humaitá - AM</t>
        </is>
      </c>
      <c r="C533" t="n">
        <v>-7.51171</v>
      </c>
      <c r="D533" t="n">
        <v>-63.0327</v>
      </c>
      <c r="E533" t="inlineStr">
        <is>
          <t>2021-04</t>
        </is>
      </c>
      <c r="F533" t="n">
        <v>0</v>
      </c>
    </row>
    <row r="534">
      <c r="A534" t="inlineStr">
        <is>
          <t>Soja</t>
        </is>
      </c>
      <c r="B534" t="inlineStr">
        <is>
          <t>Humaitá - AM</t>
        </is>
      </c>
      <c r="C534" t="n">
        <v>-7.51171</v>
      </c>
      <c r="D534" t="n">
        <v>-63.0327</v>
      </c>
      <c r="E534" t="inlineStr">
        <is>
          <t>2021-05</t>
        </is>
      </c>
      <c r="F534" t="n">
        <v>0</v>
      </c>
    </row>
    <row r="535">
      <c r="A535" t="inlineStr">
        <is>
          <t>Soja</t>
        </is>
      </c>
      <c r="B535" t="inlineStr">
        <is>
          <t>Humaitá - AM</t>
        </is>
      </c>
      <c r="C535" t="n">
        <v>-7.51171</v>
      </c>
      <c r="D535" t="n">
        <v>-63.0327</v>
      </c>
      <c r="E535" t="inlineStr">
        <is>
          <t>2021-06</t>
        </is>
      </c>
      <c r="F535" t="n">
        <v>0</v>
      </c>
    </row>
    <row r="536">
      <c r="A536" t="inlineStr">
        <is>
          <t>Soja</t>
        </is>
      </c>
      <c r="B536" t="inlineStr">
        <is>
          <t>São Desidério - BA</t>
        </is>
      </c>
      <c r="C536" t="n">
        <v>-12.3572</v>
      </c>
      <c r="D536" t="n">
        <v>-44.9769</v>
      </c>
      <c r="E536" t="inlineStr">
        <is>
          <t>2021-01</t>
        </is>
      </c>
      <c r="F536" t="n">
        <v>0</v>
      </c>
    </row>
    <row r="537">
      <c r="A537" t="inlineStr">
        <is>
          <t>Soja</t>
        </is>
      </c>
      <c r="B537" t="inlineStr">
        <is>
          <t>São Desidério - BA</t>
        </is>
      </c>
      <c r="C537" t="n">
        <v>-12.3572</v>
      </c>
      <c r="D537" t="n">
        <v>-44.9769</v>
      </c>
      <c r="E537" t="inlineStr">
        <is>
          <t>2021-02</t>
        </is>
      </c>
      <c r="F537" t="n">
        <v>1415144.425277087</v>
      </c>
    </row>
    <row r="538">
      <c r="A538" t="inlineStr">
        <is>
          <t>Soja</t>
        </is>
      </c>
      <c r="B538" t="inlineStr">
        <is>
          <t>São Desidério - BA</t>
        </is>
      </c>
      <c r="C538" t="n">
        <v>-12.3572</v>
      </c>
      <c r="D538" t="n">
        <v>-44.9769</v>
      </c>
      <c r="E538" t="inlineStr">
        <is>
          <t>2021-03</t>
        </is>
      </c>
      <c r="F538" t="n">
        <v>2358574.042128478</v>
      </c>
    </row>
    <row r="539">
      <c r="A539" t="inlineStr">
        <is>
          <t>Soja</t>
        </is>
      </c>
      <c r="B539" t="inlineStr">
        <is>
          <t>São Desidério - BA</t>
        </is>
      </c>
      <c r="C539" t="n">
        <v>-12.3572</v>
      </c>
      <c r="D539" t="n">
        <v>-44.9769</v>
      </c>
      <c r="E539" t="inlineStr">
        <is>
          <t>2021-04</t>
        </is>
      </c>
      <c r="F539" t="n">
        <v>2358574.042128478</v>
      </c>
    </row>
    <row r="540">
      <c r="A540" t="inlineStr">
        <is>
          <t>Soja</t>
        </is>
      </c>
      <c r="B540" t="inlineStr">
        <is>
          <t>São Desidério - BA</t>
        </is>
      </c>
      <c r="C540" t="n">
        <v>-12.3572</v>
      </c>
      <c r="D540" t="n">
        <v>-44.9769</v>
      </c>
      <c r="E540" t="inlineStr">
        <is>
          <t>2021-05</t>
        </is>
      </c>
      <c r="F540" t="n">
        <v>707572.2126385433</v>
      </c>
    </row>
    <row r="541">
      <c r="A541" t="inlineStr">
        <is>
          <t>Soja</t>
        </is>
      </c>
      <c r="B541" t="inlineStr">
        <is>
          <t>São Desidério - BA</t>
        </is>
      </c>
      <c r="C541" t="n">
        <v>-12.3572</v>
      </c>
      <c r="D541" t="n">
        <v>-44.9769</v>
      </c>
      <c r="E541" t="inlineStr">
        <is>
          <t>2021-06</t>
        </is>
      </c>
      <c r="F541" t="n">
        <v>0</v>
      </c>
    </row>
    <row r="542">
      <c r="A542" t="inlineStr">
        <is>
          <t>Soja</t>
        </is>
      </c>
      <c r="B542" t="inlineStr">
        <is>
          <t>Brasília - DF</t>
        </is>
      </c>
      <c r="C542" t="n">
        <v>-15.7795</v>
      </c>
      <c r="D542" t="n">
        <v>-47.9297</v>
      </c>
      <c r="E542" t="inlineStr">
        <is>
          <t>2021-01</t>
        </is>
      </c>
      <c r="F542" t="n">
        <v>0</v>
      </c>
    </row>
    <row r="543">
      <c r="A543" t="inlineStr">
        <is>
          <t>Soja</t>
        </is>
      </c>
      <c r="B543" t="inlineStr">
        <is>
          <t>Brasília - DF</t>
        </is>
      </c>
      <c r="C543" t="n">
        <v>-15.7795</v>
      </c>
      <c r="D543" t="n">
        <v>-47.9297</v>
      </c>
      <c r="E543" t="inlineStr">
        <is>
          <t>2021-02</t>
        </is>
      </c>
      <c r="F543" t="n">
        <v>54764.9303215778</v>
      </c>
    </row>
    <row r="544">
      <c r="A544" t="inlineStr">
        <is>
          <t>Soja</t>
        </is>
      </c>
      <c r="B544" t="inlineStr">
        <is>
          <t>Brasília - DF</t>
        </is>
      </c>
      <c r="C544" t="n">
        <v>-15.7795</v>
      </c>
      <c r="D544" t="n">
        <v>-47.9297</v>
      </c>
      <c r="E544" t="inlineStr">
        <is>
          <t>2021-03</t>
        </is>
      </c>
      <c r="F544" t="n">
        <v>54764.9303215778</v>
      </c>
    </row>
    <row r="545">
      <c r="A545" t="inlineStr">
        <is>
          <t>Soja</t>
        </is>
      </c>
      <c r="B545" t="inlineStr">
        <is>
          <t>Brasília - DF</t>
        </is>
      </c>
      <c r="C545" t="n">
        <v>-15.7795</v>
      </c>
      <c r="D545" t="n">
        <v>-47.9297</v>
      </c>
      <c r="E545" t="inlineStr">
        <is>
          <t>2021-04</t>
        </is>
      </c>
      <c r="F545" t="n">
        <v>127784.8374170149</v>
      </c>
    </row>
    <row r="546">
      <c r="A546" t="inlineStr">
        <is>
          <t>Soja</t>
        </is>
      </c>
      <c r="B546" t="inlineStr">
        <is>
          <t>Brasília - DF</t>
        </is>
      </c>
      <c r="C546" t="n">
        <v>-15.7795</v>
      </c>
      <c r="D546" t="n">
        <v>-47.9297</v>
      </c>
      <c r="E546" t="inlineStr">
        <is>
          <t>2021-05</t>
        </is>
      </c>
      <c r="F546" t="n">
        <v>54764.9303215778</v>
      </c>
    </row>
    <row r="547">
      <c r="A547" t="inlineStr">
        <is>
          <t>Soja</t>
        </is>
      </c>
      <c r="B547" t="inlineStr">
        <is>
          <t>Brasília - DF</t>
        </is>
      </c>
      <c r="C547" t="n">
        <v>-15.7795</v>
      </c>
      <c r="D547" t="n">
        <v>-47.9297</v>
      </c>
      <c r="E547" t="inlineStr">
        <is>
          <t>2021-06</t>
        </is>
      </c>
      <c r="F547" t="n">
        <v>0</v>
      </c>
    </row>
    <row r="548">
      <c r="A548" t="inlineStr">
        <is>
          <t>Soja</t>
        </is>
      </c>
      <c r="B548" t="inlineStr">
        <is>
          <t>Rio Verde - GO</t>
        </is>
      </c>
      <c r="C548" t="n">
        <v>-17.7923</v>
      </c>
      <c r="D548" t="n">
        <v>-50.9192</v>
      </c>
      <c r="E548" t="inlineStr">
        <is>
          <t>2021-01</t>
        </is>
      </c>
      <c r="F548" t="n">
        <v>0</v>
      </c>
    </row>
    <row r="549">
      <c r="A549" t="inlineStr">
        <is>
          <t>Soja</t>
        </is>
      </c>
      <c r="B549" t="inlineStr">
        <is>
          <t>Rio Verde - GO</t>
        </is>
      </c>
      <c r="C549" t="n">
        <v>-17.7923</v>
      </c>
      <c r="D549" t="n">
        <v>-50.9192</v>
      </c>
      <c r="E549" t="inlineStr">
        <is>
          <t>2021-02</t>
        </is>
      </c>
      <c r="F549" t="n">
        <v>3643893.418602298</v>
      </c>
    </row>
    <row r="550">
      <c r="A550" t="inlineStr">
        <is>
          <t>Soja</t>
        </is>
      </c>
      <c r="B550" t="inlineStr">
        <is>
          <t>Rio Verde - GO</t>
        </is>
      </c>
      <c r="C550" t="n">
        <v>-17.7923</v>
      </c>
      <c r="D550" t="n">
        <v>-50.9192</v>
      </c>
      <c r="E550" t="inlineStr">
        <is>
          <t>2021-03</t>
        </is>
      </c>
      <c r="F550" t="n">
        <v>8502417.976738697</v>
      </c>
    </row>
    <row r="551">
      <c r="A551" t="inlineStr">
        <is>
          <t>Soja</t>
        </is>
      </c>
      <c r="B551" t="inlineStr">
        <is>
          <t>Rio Verde - GO</t>
        </is>
      </c>
      <c r="C551" t="n">
        <v>-17.7923</v>
      </c>
      <c r="D551" t="n">
        <v>-50.9192</v>
      </c>
      <c r="E551" t="inlineStr">
        <is>
          <t>2021-04</t>
        </is>
      </c>
      <c r="F551" t="n">
        <v>3643893.418602298</v>
      </c>
    </row>
    <row r="552">
      <c r="A552" t="inlineStr">
        <is>
          <t>Soja</t>
        </is>
      </c>
      <c r="B552" t="inlineStr">
        <is>
          <t>Rio Verde - GO</t>
        </is>
      </c>
      <c r="C552" t="n">
        <v>-17.7923</v>
      </c>
      <c r="D552" t="n">
        <v>-50.9192</v>
      </c>
      <c r="E552" t="inlineStr">
        <is>
          <t>2021-05</t>
        </is>
      </c>
      <c r="F552" t="n">
        <v>0</v>
      </c>
    </row>
    <row r="553">
      <c r="A553" t="inlineStr">
        <is>
          <t>Soja</t>
        </is>
      </c>
      <c r="B553" t="inlineStr">
        <is>
          <t>Rio Verde - GO</t>
        </is>
      </c>
      <c r="C553" t="n">
        <v>-17.7923</v>
      </c>
      <c r="D553" t="n">
        <v>-50.9192</v>
      </c>
      <c r="E553" t="inlineStr">
        <is>
          <t>2021-06</t>
        </is>
      </c>
      <c r="F553" t="n">
        <v>0</v>
      </c>
    </row>
    <row r="554">
      <c r="A554" t="inlineStr">
        <is>
          <t>Soja</t>
        </is>
      </c>
      <c r="B554" t="inlineStr">
        <is>
          <t>Balsas - MA</t>
        </is>
      </c>
      <c r="C554" t="n">
        <v>-7.53214</v>
      </c>
      <c r="D554" t="n">
        <v>-46.0372</v>
      </c>
      <c r="E554" t="inlineStr">
        <is>
          <t>2021-01</t>
        </is>
      </c>
      <c r="F554" t="n">
        <v>0</v>
      </c>
    </row>
    <row r="555">
      <c r="A555" t="inlineStr">
        <is>
          <t>Soja</t>
        </is>
      </c>
      <c r="B555" t="inlineStr">
        <is>
          <t>Balsas - MA</t>
        </is>
      </c>
      <c r="C555" t="n">
        <v>-7.53214</v>
      </c>
      <c r="D555" t="n">
        <v>-46.0372</v>
      </c>
      <c r="E555" t="inlineStr">
        <is>
          <t>2021-02</t>
        </is>
      </c>
      <c r="F555" t="n">
        <v>339982.3430601343</v>
      </c>
    </row>
    <row r="556">
      <c r="A556" t="inlineStr">
        <is>
          <t>Soja</t>
        </is>
      </c>
      <c r="B556" t="inlineStr">
        <is>
          <t>Balsas - MA</t>
        </is>
      </c>
      <c r="C556" t="n">
        <v>-7.53214</v>
      </c>
      <c r="D556" t="n">
        <v>-46.0372</v>
      </c>
      <c r="E556" t="inlineStr">
        <is>
          <t>2021-03</t>
        </is>
      </c>
      <c r="F556" t="n">
        <v>1133274.476867114</v>
      </c>
    </row>
    <row r="557">
      <c r="A557" t="inlineStr">
        <is>
          <t>Soja</t>
        </is>
      </c>
      <c r="B557" t="inlineStr">
        <is>
          <t>Balsas - MA</t>
        </is>
      </c>
      <c r="C557" t="n">
        <v>-7.53214</v>
      </c>
      <c r="D557" t="n">
        <v>-46.0372</v>
      </c>
      <c r="E557" t="inlineStr">
        <is>
          <t>2021-04</t>
        </is>
      </c>
      <c r="F557" t="n">
        <v>1133274.476867114</v>
      </c>
    </row>
    <row r="558">
      <c r="A558" t="inlineStr">
        <is>
          <t>Soja</t>
        </is>
      </c>
      <c r="B558" t="inlineStr">
        <is>
          <t>Balsas - MA</t>
        </is>
      </c>
      <c r="C558" t="n">
        <v>-7.53214</v>
      </c>
      <c r="D558" t="n">
        <v>-46.0372</v>
      </c>
      <c r="E558" t="inlineStr">
        <is>
          <t>2021-05</t>
        </is>
      </c>
      <c r="F558" t="n">
        <v>679964.6861202685</v>
      </c>
    </row>
    <row r="559">
      <c r="A559" t="inlineStr">
        <is>
          <t>Soja</t>
        </is>
      </c>
      <c r="B559" t="inlineStr">
        <is>
          <t>Balsas - MA</t>
        </is>
      </c>
      <c r="C559" t="n">
        <v>-7.53214</v>
      </c>
      <c r="D559" t="n">
        <v>-46.0372</v>
      </c>
      <c r="E559" t="inlineStr">
        <is>
          <t>2021-06</t>
        </is>
      </c>
      <c r="F559" t="n">
        <v>0</v>
      </c>
    </row>
    <row r="560">
      <c r="A560" t="inlineStr">
        <is>
          <t>Soja</t>
        </is>
      </c>
      <c r="B560" t="inlineStr">
        <is>
          <t>Unaí - MG</t>
        </is>
      </c>
      <c r="C560" t="n">
        <v>-16.3592</v>
      </c>
      <c r="D560" t="n">
        <v>-46.9022</v>
      </c>
      <c r="E560" t="inlineStr">
        <is>
          <t>2021-01</t>
        </is>
      </c>
      <c r="F560" t="n">
        <v>0</v>
      </c>
    </row>
    <row r="561">
      <c r="A561" t="inlineStr">
        <is>
          <t>Soja</t>
        </is>
      </c>
      <c r="B561" t="inlineStr">
        <is>
          <t>Unaí - MG</t>
        </is>
      </c>
      <c r="C561" t="n">
        <v>-16.3592</v>
      </c>
      <c r="D561" t="n">
        <v>-46.9022</v>
      </c>
      <c r="E561" t="inlineStr">
        <is>
          <t>2021-02</t>
        </is>
      </c>
      <c r="F561" t="n">
        <v>810417.0942866658</v>
      </c>
    </row>
    <row r="562">
      <c r="A562" t="inlineStr">
        <is>
          <t>Soja</t>
        </is>
      </c>
      <c r="B562" t="inlineStr">
        <is>
          <t>Unaí - MG</t>
        </is>
      </c>
      <c r="C562" t="n">
        <v>-16.3592</v>
      </c>
      <c r="D562" t="n">
        <v>-46.9022</v>
      </c>
      <c r="E562" t="inlineStr">
        <is>
          <t>2021-03</t>
        </is>
      </c>
      <c r="F562" t="n">
        <v>1620834.188573332</v>
      </c>
    </row>
    <row r="563">
      <c r="A563" t="inlineStr">
        <is>
          <t>Soja</t>
        </is>
      </c>
      <c r="B563" t="inlineStr">
        <is>
          <t>Unaí - MG</t>
        </is>
      </c>
      <c r="C563" t="n">
        <v>-16.3592</v>
      </c>
      <c r="D563" t="n">
        <v>-46.9022</v>
      </c>
      <c r="E563" t="inlineStr">
        <is>
          <t>2021-04</t>
        </is>
      </c>
      <c r="F563" t="n">
        <v>3781946.440004441</v>
      </c>
    </row>
    <row r="564">
      <c r="A564" t="inlineStr">
        <is>
          <t>Soja</t>
        </is>
      </c>
      <c r="B564" t="inlineStr">
        <is>
          <t>Unaí - MG</t>
        </is>
      </c>
      <c r="C564" t="n">
        <v>-16.3592</v>
      </c>
      <c r="D564" t="n">
        <v>-46.9022</v>
      </c>
      <c r="E564" t="inlineStr">
        <is>
          <t>2021-05</t>
        </is>
      </c>
      <c r="F564" t="n">
        <v>810417.0942866658</v>
      </c>
    </row>
    <row r="565">
      <c r="A565" t="inlineStr">
        <is>
          <t>Soja</t>
        </is>
      </c>
      <c r="B565" t="inlineStr">
        <is>
          <t>Unaí - MG</t>
        </is>
      </c>
      <c r="C565" t="n">
        <v>-16.3592</v>
      </c>
      <c r="D565" t="n">
        <v>-46.9022</v>
      </c>
      <c r="E565" t="inlineStr">
        <is>
          <t>2021-06</t>
        </is>
      </c>
      <c r="F565" t="n">
        <v>0</v>
      </c>
    </row>
    <row r="566">
      <c r="A566" t="inlineStr">
        <is>
          <t>Soja</t>
        </is>
      </c>
      <c r="B566" t="inlineStr">
        <is>
          <t>Ponta Porã - MS</t>
        </is>
      </c>
      <c r="C566" t="n">
        <v>-22.5296</v>
      </c>
      <c r="D566" t="n">
        <v>-55.7203</v>
      </c>
      <c r="E566" t="inlineStr">
        <is>
          <t>2021-01</t>
        </is>
      </c>
      <c r="F566" t="n">
        <v>0</v>
      </c>
    </row>
    <row r="567">
      <c r="A567" t="inlineStr">
        <is>
          <t>Soja</t>
        </is>
      </c>
      <c r="B567" t="inlineStr">
        <is>
          <t>Ponta Porã - MS</t>
        </is>
      </c>
      <c r="C567" t="n">
        <v>-22.5296</v>
      </c>
      <c r="D567" t="n">
        <v>-55.7203</v>
      </c>
      <c r="E567" t="inlineStr">
        <is>
          <t>2021-02</t>
        </is>
      </c>
      <c r="F567" t="n">
        <v>2815413.707676376</v>
      </c>
    </row>
    <row r="568">
      <c r="A568" t="inlineStr">
        <is>
          <t>Soja</t>
        </is>
      </c>
      <c r="B568" t="inlineStr">
        <is>
          <t>Ponta Porã - MS</t>
        </is>
      </c>
      <c r="C568" t="n">
        <v>-22.5296</v>
      </c>
      <c r="D568" t="n">
        <v>-55.7203</v>
      </c>
      <c r="E568" t="inlineStr">
        <is>
          <t>2021-03</t>
        </is>
      </c>
      <c r="F568" t="n">
        <v>6569298.651244879</v>
      </c>
    </row>
    <row r="569">
      <c r="A569" t="inlineStr">
        <is>
          <t>Soja</t>
        </is>
      </c>
      <c r="B569" t="inlineStr">
        <is>
          <t>Ponta Porã - MS</t>
        </is>
      </c>
      <c r="C569" t="n">
        <v>-22.5296</v>
      </c>
      <c r="D569" t="n">
        <v>-55.7203</v>
      </c>
      <c r="E569" t="inlineStr">
        <is>
          <t>2021-04</t>
        </is>
      </c>
      <c r="F569" t="n">
        <v>2815413.707676376</v>
      </c>
    </row>
    <row r="570">
      <c r="A570" t="inlineStr">
        <is>
          <t>Soja</t>
        </is>
      </c>
      <c r="B570" t="inlineStr">
        <is>
          <t>Ponta Porã - MS</t>
        </is>
      </c>
      <c r="C570" t="n">
        <v>-22.5296</v>
      </c>
      <c r="D570" t="n">
        <v>-55.7203</v>
      </c>
      <c r="E570" t="inlineStr">
        <is>
          <t>2021-05</t>
        </is>
      </c>
      <c r="F570" t="n">
        <v>0</v>
      </c>
    </row>
    <row r="571">
      <c r="A571" t="inlineStr">
        <is>
          <t>Soja</t>
        </is>
      </c>
      <c r="B571" t="inlineStr">
        <is>
          <t>Ponta Porã - MS</t>
        </is>
      </c>
      <c r="C571" t="n">
        <v>-22.5296</v>
      </c>
      <c r="D571" t="n">
        <v>-55.7203</v>
      </c>
      <c r="E571" t="inlineStr">
        <is>
          <t>2021-06</t>
        </is>
      </c>
      <c r="F571" t="n">
        <v>0</v>
      </c>
    </row>
    <row r="572">
      <c r="A572" t="inlineStr">
        <is>
          <t>Soja</t>
        </is>
      </c>
      <c r="B572" t="inlineStr">
        <is>
          <t>Sorriso - MT</t>
        </is>
      </c>
      <c r="C572" t="n">
        <v>-12.5425</v>
      </c>
      <c r="D572" t="n">
        <v>-55.7211</v>
      </c>
      <c r="E572" t="inlineStr">
        <is>
          <t>2021-01</t>
        </is>
      </c>
      <c r="F572" t="n">
        <v>6849704.90485822</v>
      </c>
    </row>
    <row r="573">
      <c r="A573" t="inlineStr">
        <is>
          <t>Soja</t>
        </is>
      </c>
      <c r="B573" t="inlineStr">
        <is>
          <t>Sorriso - MT</t>
        </is>
      </c>
      <c r="C573" t="n">
        <v>-12.5425</v>
      </c>
      <c r="D573" t="n">
        <v>-55.7211</v>
      </c>
      <c r="E573" t="inlineStr">
        <is>
          <t>2021-02</t>
        </is>
      </c>
      <c r="F573" t="n">
        <v>11416174.84143037</v>
      </c>
    </row>
    <row r="574">
      <c r="A574" t="inlineStr">
        <is>
          <t>Soja</t>
        </is>
      </c>
      <c r="B574" t="inlineStr">
        <is>
          <t>Sorriso - MT</t>
        </is>
      </c>
      <c r="C574" t="n">
        <v>-12.5425</v>
      </c>
      <c r="D574" t="n">
        <v>-55.7211</v>
      </c>
      <c r="E574" t="inlineStr">
        <is>
          <t>2021-03</t>
        </is>
      </c>
      <c r="F574" t="n">
        <v>11416174.84143037</v>
      </c>
    </row>
    <row r="575">
      <c r="A575" t="inlineStr">
        <is>
          <t>Soja</t>
        </is>
      </c>
      <c r="B575" t="inlineStr">
        <is>
          <t>Sorriso - MT</t>
        </is>
      </c>
      <c r="C575" t="n">
        <v>-12.5425</v>
      </c>
      <c r="D575" t="n">
        <v>-55.7211</v>
      </c>
      <c r="E575" t="inlineStr">
        <is>
          <t>2021-04</t>
        </is>
      </c>
      <c r="F575" t="n">
        <v>6849704.90485822</v>
      </c>
    </row>
    <row r="576">
      <c r="A576" t="inlineStr">
        <is>
          <t>Soja</t>
        </is>
      </c>
      <c r="B576" t="inlineStr">
        <is>
          <t>Sorriso - MT</t>
        </is>
      </c>
      <c r="C576" t="n">
        <v>-12.5425</v>
      </c>
      <c r="D576" t="n">
        <v>-55.7211</v>
      </c>
      <c r="E576" t="inlineStr">
        <is>
          <t>2021-05</t>
        </is>
      </c>
      <c r="F576" t="n">
        <v>0</v>
      </c>
    </row>
    <row r="577">
      <c r="A577" t="inlineStr">
        <is>
          <t>Soja</t>
        </is>
      </c>
      <c r="B577" t="inlineStr">
        <is>
          <t>Sorriso - MT</t>
        </is>
      </c>
      <c r="C577" t="n">
        <v>-12.5425</v>
      </c>
      <c r="D577" t="n">
        <v>-55.7211</v>
      </c>
      <c r="E577" t="inlineStr">
        <is>
          <t>2021-06</t>
        </is>
      </c>
      <c r="F577" t="n">
        <v>0</v>
      </c>
    </row>
    <row r="578">
      <c r="A578" t="inlineStr">
        <is>
          <t>Soja</t>
        </is>
      </c>
      <c r="B578" t="inlineStr">
        <is>
          <t>Paragominas - PA</t>
        </is>
      </c>
      <c r="C578" t="n">
        <v>-3.00212</v>
      </c>
      <c r="D578" t="n">
        <v>-47.3527</v>
      </c>
      <c r="E578" t="inlineStr">
        <is>
          <t>2021-01</t>
        </is>
      </c>
      <c r="F578" t="n">
        <v>0</v>
      </c>
    </row>
    <row r="579">
      <c r="A579" t="inlineStr">
        <is>
          <t>Soja</t>
        </is>
      </c>
      <c r="B579" t="inlineStr">
        <is>
          <t>Paragominas - PA</t>
        </is>
      </c>
      <c r="C579" t="n">
        <v>-3.00212</v>
      </c>
      <c r="D579" t="n">
        <v>-47.3527</v>
      </c>
      <c r="E579" t="inlineStr">
        <is>
          <t>2021-02</t>
        </is>
      </c>
      <c r="F579" t="n">
        <v>0</v>
      </c>
    </row>
    <row r="580">
      <c r="A580" t="inlineStr">
        <is>
          <t>Soja</t>
        </is>
      </c>
      <c r="B580" t="inlineStr">
        <is>
          <t>Paragominas - PA</t>
        </is>
      </c>
      <c r="C580" t="n">
        <v>-3.00212</v>
      </c>
      <c r="D580" t="n">
        <v>-47.3527</v>
      </c>
      <c r="E580" t="inlineStr">
        <is>
          <t>2021-03</t>
        </is>
      </c>
      <c r="F580" t="n">
        <v>0</v>
      </c>
    </row>
    <row r="581">
      <c r="A581" t="inlineStr">
        <is>
          <t>Soja</t>
        </is>
      </c>
      <c r="B581" t="inlineStr">
        <is>
          <t>Paragominas - PA</t>
        </is>
      </c>
      <c r="C581" t="n">
        <v>-3.00212</v>
      </c>
      <c r="D581" t="n">
        <v>-47.3527</v>
      </c>
      <c r="E581" t="inlineStr">
        <is>
          <t>2021-04</t>
        </is>
      </c>
      <c r="F581" t="n">
        <v>0</v>
      </c>
    </row>
    <row r="582">
      <c r="A582" t="inlineStr">
        <is>
          <t>Soja</t>
        </is>
      </c>
      <c r="B582" t="inlineStr">
        <is>
          <t>Paragominas - PA</t>
        </is>
      </c>
      <c r="C582" t="n">
        <v>-3.00212</v>
      </c>
      <c r="D582" t="n">
        <v>-47.3527</v>
      </c>
      <c r="E582" t="inlineStr">
        <is>
          <t>2021-05</t>
        </is>
      </c>
      <c r="F582" t="n">
        <v>0</v>
      </c>
    </row>
    <row r="583">
      <c r="A583" t="inlineStr">
        <is>
          <t>Soja</t>
        </is>
      </c>
      <c r="B583" t="inlineStr">
        <is>
          <t>Paragominas - PA</t>
        </is>
      </c>
      <c r="C583" t="n">
        <v>-3.00212</v>
      </c>
      <c r="D583" t="n">
        <v>-47.3527</v>
      </c>
      <c r="E583" t="inlineStr">
        <is>
          <t>2021-06</t>
        </is>
      </c>
      <c r="F583" t="n">
        <v>514940.3859278221</v>
      </c>
    </row>
    <row r="584">
      <c r="A584" t="inlineStr">
        <is>
          <t>Soja</t>
        </is>
      </c>
      <c r="B584" t="inlineStr">
        <is>
          <t>Baixa Grande do Ribeiro - PI</t>
        </is>
      </c>
      <c r="C584" t="n">
        <v>-7.84903</v>
      </c>
      <c r="D584" t="n">
        <v>-45.219</v>
      </c>
      <c r="E584" t="inlineStr">
        <is>
          <t>2021-01</t>
        </is>
      </c>
      <c r="F584" t="n">
        <v>0</v>
      </c>
    </row>
    <row r="585">
      <c r="A585" t="inlineStr">
        <is>
          <t>Soja</t>
        </is>
      </c>
      <c r="B585" t="inlineStr">
        <is>
          <t>Baixa Grande do Ribeiro - PI</t>
        </is>
      </c>
      <c r="C585" t="n">
        <v>-7.84903</v>
      </c>
      <c r="D585" t="n">
        <v>-45.219</v>
      </c>
      <c r="E585" t="inlineStr">
        <is>
          <t>2021-02</t>
        </is>
      </c>
      <c r="F585" t="n">
        <v>510101.5667418744</v>
      </c>
    </row>
    <row r="586">
      <c r="A586" t="inlineStr">
        <is>
          <t>Soja</t>
        </is>
      </c>
      <c r="B586" t="inlineStr">
        <is>
          <t>Baixa Grande do Ribeiro - PI</t>
        </is>
      </c>
      <c r="C586" t="n">
        <v>-7.84903</v>
      </c>
      <c r="D586" t="n">
        <v>-45.219</v>
      </c>
      <c r="E586" t="inlineStr">
        <is>
          <t>2021-03</t>
        </is>
      </c>
      <c r="F586" t="n">
        <v>510101.5667418744</v>
      </c>
    </row>
    <row r="587">
      <c r="A587" t="inlineStr">
        <is>
          <t>Soja</t>
        </is>
      </c>
      <c r="B587" t="inlineStr">
        <is>
          <t>Baixa Grande do Ribeiro - PI</t>
        </is>
      </c>
      <c r="C587" t="n">
        <v>-7.84903</v>
      </c>
      <c r="D587" t="n">
        <v>-45.219</v>
      </c>
      <c r="E587" t="inlineStr">
        <is>
          <t>2021-04</t>
        </is>
      </c>
      <c r="F587" t="n">
        <v>1190236.989064374</v>
      </c>
    </row>
    <row r="588">
      <c r="A588" t="inlineStr">
        <is>
          <t>Soja</t>
        </is>
      </c>
      <c r="B588" t="inlineStr">
        <is>
          <t>Baixa Grande do Ribeiro - PI</t>
        </is>
      </c>
      <c r="C588" t="n">
        <v>-7.84903</v>
      </c>
      <c r="D588" t="n">
        <v>-45.219</v>
      </c>
      <c r="E588" t="inlineStr">
        <is>
          <t>2021-05</t>
        </is>
      </c>
      <c r="F588" t="n">
        <v>510101.5667418744</v>
      </c>
    </row>
    <row r="589">
      <c r="A589" t="inlineStr">
        <is>
          <t>Soja</t>
        </is>
      </c>
      <c r="B589" t="inlineStr">
        <is>
          <t>Baixa Grande do Ribeiro - PI</t>
        </is>
      </c>
      <c r="C589" t="n">
        <v>-7.84903</v>
      </c>
      <c r="D589" t="n">
        <v>-45.219</v>
      </c>
      <c r="E589" t="inlineStr">
        <is>
          <t>2021-06</t>
        </is>
      </c>
      <c r="F589" t="n">
        <v>0</v>
      </c>
    </row>
    <row r="590">
      <c r="A590" t="inlineStr">
        <is>
          <t>Soja</t>
        </is>
      </c>
      <c r="B590" t="inlineStr">
        <is>
          <t>Tibagi - PR</t>
        </is>
      </c>
      <c r="C590" t="n">
        <v>-24.5153</v>
      </c>
      <c r="D590" t="n">
        <v>-50.4176</v>
      </c>
      <c r="E590" t="inlineStr">
        <is>
          <t>2021-01</t>
        </is>
      </c>
      <c r="F590" t="n">
        <v>2386262.556243285</v>
      </c>
    </row>
    <row r="591">
      <c r="A591" t="inlineStr">
        <is>
          <t>Soja</t>
        </is>
      </c>
      <c r="B591" t="inlineStr">
        <is>
          <t>Tibagi - PR</t>
        </is>
      </c>
      <c r="C591" t="n">
        <v>-24.5153</v>
      </c>
      <c r="D591" t="n">
        <v>-50.4176</v>
      </c>
      <c r="E591" t="inlineStr">
        <is>
          <t>2021-02</t>
        </is>
      </c>
      <c r="F591" t="n">
        <v>4772525.11248657</v>
      </c>
    </row>
    <row r="592">
      <c r="A592" t="inlineStr">
        <is>
          <t>Soja</t>
        </is>
      </c>
      <c r="B592" t="inlineStr">
        <is>
          <t>Tibagi - PR</t>
        </is>
      </c>
      <c r="C592" t="n">
        <v>-24.5153</v>
      </c>
      <c r="D592" t="n">
        <v>-50.4176</v>
      </c>
      <c r="E592" t="inlineStr">
        <is>
          <t>2021-03</t>
        </is>
      </c>
      <c r="F592" t="n">
        <v>7954208.520810951</v>
      </c>
    </row>
    <row r="593">
      <c r="A593" t="inlineStr">
        <is>
          <t>Soja</t>
        </is>
      </c>
      <c r="B593" t="inlineStr">
        <is>
          <t>Tibagi - PR</t>
        </is>
      </c>
      <c r="C593" t="n">
        <v>-24.5153</v>
      </c>
      <c r="D593" t="n">
        <v>-50.4176</v>
      </c>
      <c r="E593" t="inlineStr">
        <is>
          <t>2021-04</t>
        </is>
      </c>
      <c r="F593" t="n">
        <v>4772525.11248657</v>
      </c>
    </row>
    <row r="594">
      <c r="A594" t="inlineStr">
        <is>
          <t>Soja</t>
        </is>
      </c>
      <c r="B594" t="inlineStr">
        <is>
          <t>Tibagi - PR</t>
        </is>
      </c>
      <c r="C594" t="n">
        <v>-24.5153</v>
      </c>
      <c r="D594" t="n">
        <v>-50.4176</v>
      </c>
      <c r="E594" t="inlineStr">
        <is>
          <t>2021-05</t>
        </is>
      </c>
      <c r="F594" t="n">
        <v>0</v>
      </c>
    </row>
    <row r="595">
      <c r="A595" t="inlineStr">
        <is>
          <t>Soja</t>
        </is>
      </c>
      <c r="B595" t="inlineStr">
        <is>
          <t>Tibagi - PR</t>
        </is>
      </c>
      <c r="C595" t="n">
        <v>-24.5153</v>
      </c>
      <c r="D595" t="n">
        <v>-50.4176</v>
      </c>
      <c r="E595" t="inlineStr">
        <is>
          <t>2021-06</t>
        </is>
      </c>
      <c r="F595" t="n">
        <v>0</v>
      </c>
    </row>
    <row r="596">
      <c r="A596" t="inlineStr">
        <is>
          <t>Soja</t>
        </is>
      </c>
      <c r="B596" t="inlineStr">
        <is>
          <t>Pimenteiras do Oeste - RO</t>
        </is>
      </c>
      <c r="C596" t="n">
        <v>-13.4823</v>
      </c>
      <c r="D596" t="n">
        <v>-61.0471</v>
      </c>
      <c r="E596" t="inlineStr">
        <is>
          <t>2021-01</t>
        </is>
      </c>
      <c r="F596" t="n">
        <v>0</v>
      </c>
    </row>
    <row r="597">
      <c r="A597" t="inlineStr">
        <is>
          <t>Soja</t>
        </is>
      </c>
      <c r="B597" t="inlineStr">
        <is>
          <t>Pimenteiras do Oeste - RO</t>
        </is>
      </c>
      <c r="C597" t="n">
        <v>-13.4823</v>
      </c>
      <c r="D597" t="n">
        <v>-61.0471</v>
      </c>
      <c r="E597" t="inlineStr">
        <is>
          <t>2021-02</t>
        </is>
      </c>
      <c r="F597" t="n">
        <v>179409.7812631367</v>
      </c>
    </row>
    <row r="598">
      <c r="A598" t="inlineStr">
        <is>
          <t>Soja</t>
        </is>
      </c>
      <c r="B598" t="inlineStr">
        <is>
          <t>Pimenteiras do Oeste - RO</t>
        </is>
      </c>
      <c r="C598" t="n">
        <v>-13.4823</v>
      </c>
      <c r="D598" t="n">
        <v>-61.0471</v>
      </c>
      <c r="E598" t="inlineStr">
        <is>
          <t>2021-03</t>
        </is>
      </c>
      <c r="F598" t="n">
        <v>837245.6458946381</v>
      </c>
    </row>
    <row r="599">
      <c r="A599" t="inlineStr">
        <is>
          <t>Soja</t>
        </is>
      </c>
      <c r="B599" t="inlineStr">
        <is>
          <t>Pimenteiras do Oeste - RO</t>
        </is>
      </c>
      <c r="C599" t="n">
        <v>-13.4823</v>
      </c>
      <c r="D599" t="n">
        <v>-61.0471</v>
      </c>
      <c r="E599" t="inlineStr">
        <is>
          <t>2021-04</t>
        </is>
      </c>
      <c r="F599" t="n">
        <v>358819.5625262735</v>
      </c>
    </row>
    <row r="600">
      <c r="A600" t="inlineStr">
        <is>
          <t>Soja</t>
        </is>
      </c>
      <c r="B600" t="inlineStr">
        <is>
          <t>Pimenteiras do Oeste - RO</t>
        </is>
      </c>
      <c r="C600" t="n">
        <v>-13.4823</v>
      </c>
      <c r="D600" t="n">
        <v>-61.0471</v>
      </c>
      <c r="E600" t="inlineStr">
        <is>
          <t>2021-05</t>
        </is>
      </c>
      <c r="F600" t="n">
        <v>0</v>
      </c>
    </row>
    <row r="601">
      <c r="A601" t="inlineStr">
        <is>
          <t>Soja</t>
        </is>
      </c>
      <c r="B601" t="inlineStr">
        <is>
          <t>Pimenteiras do Oeste - RO</t>
        </is>
      </c>
      <c r="C601" t="n">
        <v>-13.4823</v>
      </c>
      <c r="D601" t="n">
        <v>-61.0471</v>
      </c>
      <c r="E601" t="inlineStr">
        <is>
          <t>2021-06</t>
        </is>
      </c>
      <c r="F601" t="n">
        <v>0</v>
      </c>
    </row>
    <row r="602">
      <c r="A602" t="inlineStr">
        <is>
          <t>Soja</t>
        </is>
      </c>
      <c r="B602" t="inlineStr">
        <is>
          <t>Bonfim - RR</t>
        </is>
      </c>
      <c r="C602" t="n">
        <v>3.36161</v>
      </c>
      <c r="D602" t="n">
        <v>-59.8333</v>
      </c>
      <c r="E602" t="inlineStr">
        <is>
          <t>2021-01</t>
        </is>
      </c>
      <c r="F602" t="n">
        <v>0</v>
      </c>
    </row>
    <row r="603">
      <c r="A603" t="inlineStr">
        <is>
          <t>Soja</t>
        </is>
      </c>
      <c r="B603" t="inlineStr">
        <is>
          <t>Bonfim - RR</t>
        </is>
      </c>
      <c r="C603" t="n">
        <v>3.36161</v>
      </c>
      <c r="D603" t="n">
        <v>-59.8333</v>
      </c>
      <c r="E603" t="inlineStr">
        <is>
          <t>2021-02</t>
        </is>
      </c>
      <c r="F603" t="n">
        <v>0</v>
      </c>
    </row>
    <row r="604">
      <c r="A604" t="inlineStr">
        <is>
          <t>Soja</t>
        </is>
      </c>
      <c r="B604" t="inlineStr">
        <is>
          <t>Bonfim - RR</t>
        </is>
      </c>
      <c r="C604" t="n">
        <v>3.36161</v>
      </c>
      <c r="D604" t="n">
        <v>-59.8333</v>
      </c>
      <c r="E604" t="inlineStr">
        <is>
          <t>2021-03</t>
        </is>
      </c>
      <c r="F604" t="n">
        <v>0</v>
      </c>
    </row>
    <row r="605">
      <c r="A605" t="inlineStr">
        <is>
          <t>Soja</t>
        </is>
      </c>
      <c r="B605" t="inlineStr">
        <is>
          <t>Bonfim - RR</t>
        </is>
      </c>
      <c r="C605" t="n">
        <v>3.36161</v>
      </c>
      <c r="D605" t="n">
        <v>-59.8333</v>
      </c>
      <c r="E605" t="inlineStr">
        <is>
          <t>2021-04</t>
        </is>
      </c>
      <c r="F605" t="n">
        <v>0</v>
      </c>
    </row>
    <row r="606">
      <c r="A606" t="inlineStr">
        <is>
          <t>Soja</t>
        </is>
      </c>
      <c r="B606" t="inlineStr">
        <is>
          <t>Bonfim - RR</t>
        </is>
      </c>
      <c r="C606" t="n">
        <v>3.36161</v>
      </c>
      <c r="D606" t="n">
        <v>-59.8333</v>
      </c>
      <c r="E606" t="inlineStr">
        <is>
          <t>2021-05</t>
        </is>
      </c>
      <c r="F606" t="n">
        <v>0</v>
      </c>
    </row>
    <row r="607">
      <c r="A607" t="inlineStr">
        <is>
          <t>Soja</t>
        </is>
      </c>
      <c r="B607" t="inlineStr">
        <is>
          <t>Bonfim - RR</t>
        </is>
      </c>
      <c r="C607" t="n">
        <v>3.36161</v>
      </c>
      <c r="D607" t="n">
        <v>-59.8333</v>
      </c>
      <c r="E607" t="inlineStr">
        <is>
          <t>2021-06</t>
        </is>
      </c>
      <c r="F607" t="n">
        <v>0</v>
      </c>
    </row>
    <row r="608">
      <c r="A608" t="inlineStr">
        <is>
          <t>Soja</t>
        </is>
      </c>
      <c r="B608" t="inlineStr">
        <is>
          <t>Tupanciretã - RS</t>
        </is>
      </c>
      <c r="C608" t="n">
        <v>-29.0858</v>
      </c>
      <c r="D608" t="n">
        <v>-53.8445</v>
      </c>
      <c r="E608" t="inlineStr">
        <is>
          <t>2021-01</t>
        </is>
      </c>
      <c r="F608" t="n">
        <v>1949359.570307875</v>
      </c>
    </row>
    <row r="609">
      <c r="A609" t="inlineStr">
        <is>
          <t>Soja</t>
        </is>
      </c>
      <c r="B609" t="inlineStr">
        <is>
          <t>Tupanciretã - RS</t>
        </is>
      </c>
      <c r="C609" t="n">
        <v>-29.0858</v>
      </c>
      <c r="D609" t="n">
        <v>-53.8445</v>
      </c>
      <c r="E609" t="inlineStr">
        <is>
          <t>2021-02</t>
        </is>
      </c>
      <c r="F609" t="n">
        <v>3898719.140615749</v>
      </c>
    </row>
    <row r="610">
      <c r="A610" t="inlineStr">
        <is>
          <t>Soja</t>
        </is>
      </c>
      <c r="B610" t="inlineStr">
        <is>
          <t>Tupanciretã - RS</t>
        </is>
      </c>
      <c r="C610" t="n">
        <v>-29.0858</v>
      </c>
      <c r="D610" t="n">
        <v>-53.8445</v>
      </c>
      <c r="E610" t="inlineStr">
        <is>
          <t>2021-03</t>
        </is>
      </c>
      <c r="F610" t="n">
        <v>9097011.328103416</v>
      </c>
    </row>
    <row r="611">
      <c r="A611" t="inlineStr">
        <is>
          <t>Soja</t>
        </is>
      </c>
      <c r="B611" t="inlineStr">
        <is>
          <t>Tupanciretã - RS</t>
        </is>
      </c>
      <c r="C611" t="n">
        <v>-29.0858</v>
      </c>
      <c r="D611" t="n">
        <v>-53.8445</v>
      </c>
      <c r="E611" t="inlineStr">
        <is>
          <t>2021-04</t>
        </is>
      </c>
      <c r="F611" t="n">
        <v>3898719.140615749</v>
      </c>
    </row>
    <row r="612">
      <c r="A612" t="inlineStr">
        <is>
          <t>Soja</t>
        </is>
      </c>
      <c r="B612" t="inlineStr">
        <is>
          <t>Tupanciretã - RS</t>
        </is>
      </c>
      <c r="C612" t="n">
        <v>-29.0858</v>
      </c>
      <c r="D612" t="n">
        <v>-53.8445</v>
      </c>
      <c r="E612" t="inlineStr">
        <is>
          <t>2021-05</t>
        </is>
      </c>
      <c r="F612" t="n">
        <v>1949359.570307875</v>
      </c>
    </row>
    <row r="613">
      <c r="A613" t="inlineStr">
        <is>
          <t>Soja</t>
        </is>
      </c>
      <c r="B613" t="inlineStr">
        <is>
          <t>Tupanciretã - RS</t>
        </is>
      </c>
      <c r="C613" t="n">
        <v>-29.0858</v>
      </c>
      <c r="D613" t="n">
        <v>-53.8445</v>
      </c>
      <c r="E613" t="inlineStr">
        <is>
          <t>2021-06</t>
        </is>
      </c>
      <c r="F613" t="n">
        <v>0</v>
      </c>
    </row>
    <row r="614">
      <c r="A614" t="inlineStr">
        <is>
          <t>Soja</t>
        </is>
      </c>
      <c r="B614" t="inlineStr">
        <is>
          <t>Campos Novos - SC</t>
        </is>
      </c>
      <c r="C614" t="n">
        <v>-27.4002</v>
      </c>
      <c r="D614" t="n">
        <v>-51.2276</v>
      </c>
      <c r="E614" t="inlineStr">
        <is>
          <t>2021-01</t>
        </is>
      </c>
      <c r="F614" t="n">
        <v>0</v>
      </c>
    </row>
    <row r="615">
      <c r="A615" t="inlineStr">
        <is>
          <t>Soja</t>
        </is>
      </c>
      <c r="B615" t="inlineStr">
        <is>
          <t>Campos Novos - SC</t>
        </is>
      </c>
      <c r="C615" t="n">
        <v>-27.4002</v>
      </c>
      <c r="D615" t="n">
        <v>-51.2276</v>
      </c>
      <c r="E615" t="inlineStr">
        <is>
          <t>2021-02</t>
        </is>
      </c>
      <c r="F615" t="n">
        <v>443352.1191341704</v>
      </c>
    </row>
    <row r="616">
      <c r="A616" t="inlineStr">
        <is>
          <t>Soja</t>
        </is>
      </c>
      <c r="B616" t="inlineStr">
        <is>
          <t>Campos Novos - SC</t>
        </is>
      </c>
      <c r="C616" t="n">
        <v>-27.4002</v>
      </c>
      <c r="D616" t="n">
        <v>-51.2276</v>
      </c>
      <c r="E616" t="inlineStr">
        <is>
          <t>2021-03</t>
        </is>
      </c>
      <c r="F616" t="n">
        <v>738920.1985569508</v>
      </c>
    </row>
    <row r="617">
      <c r="A617" t="inlineStr">
        <is>
          <t>Soja</t>
        </is>
      </c>
      <c r="B617" t="inlineStr">
        <is>
          <t>Campos Novos - SC</t>
        </is>
      </c>
      <c r="C617" t="n">
        <v>-27.4002</v>
      </c>
      <c r="D617" t="n">
        <v>-51.2276</v>
      </c>
      <c r="E617" t="inlineStr">
        <is>
          <t>2021-04</t>
        </is>
      </c>
      <c r="F617" t="n">
        <v>738920.1985569508</v>
      </c>
    </row>
    <row r="618">
      <c r="A618" t="inlineStr">
        <is>
          <t>Soja</t>
        </is>
      </c>
      <c r="B618" t="inlineStr">
        <is>
          <t>Campos Novos - SC</t>
        </is>
      </c>
      <c r="C618" t="n">
        <v>-27.4002</v>
      </c>
      <c r="D618" t="n">
        <v>-51.2276</v>
      </c>
      <c r="E618" t="inlineStr">
        <is>
          <t>2021-05</t>
        </is>
      </c>
      <c r="F618" t="n">
        <v>443352.1191341704</v>
      </c>
    </row>
    <row r="619">
      <c r="A619" t="inlineStr">
        <is>
          <t>Soja</t>
        </is>
      </c>
      <c r="B619" t="inlineStr">
        <is>
          <t>Campos Novos - SC</t>
        </is>
      </c>
      <c r="C619" t="n">
        <v>-27.4002</v>
      </c>
      <c r="D619" t="n">
        <v>-51.2276</v>
      </c>
      <c r="E619" t="inlineStr">
        <is>
          <t>2021-06</t>
        </is>
      </c>
      <c r="F619" t="n">
        <v>0</v>
      </c>
    </row>
    <row r="620">
      <c r="A620" t="inlineStr">
        <is>
          <t>Soja</t>
        </is>
      </c>
      <c r="B620" t="inlineStr">
        <is>
          <t>Itapeva - SP</t>
        </is>
      </c>
      <c r="C620" t="n">
        <v>-23.9788</v>
      </c>
      <c r="D620" t="n">
        <v>-48.8764</v>
      </c>
      <c r="E620" t="inlineStr">
        <is>
          <t>2021-01</t>
        </is>
      </c>
      <c r="F620" t="n">
        <v>806357.3336458618</v>
      </c>
    </row>
    <row r="621">
      <c r="A621" t="inlineStr">
        <is>
          <t>Soja</t>
        </is>
      </c>
      <c r="B621" t="inlineStr">
        <is>
          <t>Itapeva - SP</t>
        </is>
      </c>
      <c r="C621" t="n">
        <v>-23.9788</v>
      </c>
      <c r="D621" t="n">
        <v>-48.8764</v>
      </c>
      <c r="E621" t="inlineStr">
        <is>
          <t>2021-02</t>
        </is>
      </c>
      <c r="F621" t="n">
        <v>806357.3336458618</v>
      </c>
    </row>
    <row r="622">
      <c r="A622" t="inlineStr">
        <is>
          <t>Soja</t>
        </is>
      </c>
      <c r="B622" t="inlineStr">
        <is>
          <t>Itapeva - SP</t>
        </is>
      </c>
      <c r="C622" t="n">
        <v>-23.9788</v>
      </c>
      <c r="D622" t="n">
        <v>-48.8764</v>
      </c>
      <c r="E622" t="inlineStr">
        <is>
          <t>2021-03</t>
        </is>
      </c>
      <c r="F622" t="n">
        <v>1881500.445173678</v>
      </c>
    </row>
    <row r="623">
      <c r="A623" t="inlineStr">
        <is>
          <t>Soja</t>
        </is>
      </c>
      <c r="B623" t="inlineStr">
        <is>
          <t>Itapeva - SP</t>
        </is>
      </c>
      <c r="C623" t="n">
        <v>-23.9788</v>
      </c>
      <c r="D623" t="n">
        <v>-48.8764</v>
      </c>
      <c r="E623" t="inlineStr">
        <is>
          <t>2021-04</t>
        </is>
      </c>
      <c r="F623" t="n">
        <v>806357.3336458618</v>
      </c>
    </row>
    <row r="624">
      <c r="A624" t="inlineStr">
        <is>
          <t>Soja</t>
        </is>
      </c>
      <c r="B624" t="inlineStr">
        <is>
          <t>Itapeva - SP</t>
        </is>
      </c>
      <c r="C624" t="n">
        <v>-23.9788</v>
      </c>
      <c r="D624" t="n">
        <v>-48.8764</v>
      </c>
      <c r="E624" t="inlineStr">
        <is>
          <t>2021-05</t>
        </is>
      </c>
      <c r="F624" t="n">
        <v>0</v>
      </c>
    </row>
    <row r="625">
      <c r="A625" t="inlineStr">
        <is>
          <t>Soja</t>
        </is>
      </c>
      <c r="B625" t="inlineStr">
        <is>
          <t>Itapeva - SP</t>
        </is>
      </c>
      <c r="C625" t="n">
        <v>-23.9788</v>
      </c>
      <c r="D625" t="n">
        <v>-48.8764</v>
      </c>
      <c r="E625" t="inlineStr">
        <is>
          <t>2021-06</t>
        </is>
      </c>
      <c r="F625" t="n">
        <v>0</v>
      </c>
    </row>
    <row r="626">
      <c r="A626" t="inlineStr">
        <is>
          <t>Soja</t>
        </is>
      </c>
      <c r="B626" t="inlineStr">
        <is>
          <t>Campos Lindos - TO</t>
        </is>
      </c>
      <c r="C626" t="n">
        <v>-7.98956</v>
      </c>
      <c r="D626" t="n">
        <v>-46.8645</v>
      </c>
      <c r="E626" t="inlineStr">
        <is>
          <t>2021-01</t>
        </is>
      </c>
      <c r="F626" t="n">
        <v>0</v>
      </c>
    </row>
    <row r="627">
      <c r="A627" t="inlineStr">
        <is>
          <t>Soja</t>
        </is>
      </c>
      <c r="B627" t="inlineStr">
        <is>
          <t>Campos Lindos - TO</t>
        </is>
      </c>
      <c r="C627" t="n">
        <v>-7.98956</v>
      </c>
      <c r="D627" t="n">
        <v>-46.8645</v>
      </c>
      <c r="E627" t="inlineStr">
        <is>
          <t>2021-02</t>
        </is>
      </c>
      <c r="F627" t="n">
        <v>661305.2887461757</v>
      </c>
    </row>
    <row r="628">
      <c r="A628" t="inlineStr">
        <is>
          <t>Soja</t>
        </is>
      </c>
      <c r="B628" t="inlineStr">
        <is>
          <t>Campos Lindos - TO</t>
        </is>
      </c>
      <c r="C628" t="n">
        <v>-7.98956</v>
      </c>
      <c r="D628" t="n">
        <v>-46.8645</v>
      </c>
      <c r="E628" t="inlineStr">
        <is>
          <t>2021-03</t>
        </is>
      </c>
      <c r="F628" t="n">
        <v>1102175.481243626</v>
      </c>
    </row>
    <row r="629">
      <c r="A629" t="inlineStr">
        <is>
          <t>Soja</t>
        </is>
      </c>
      <c r="B629" t="inlineStr">
        <is>
          <t>Campos Lindos - TO</t>
        </is>
      </c>
      <c r="C629" t="n">
        <v>-7.98956</v>
      </c>
      <c r="D629" t="n">
        <v>-46.8645</v>
      </c>
      <c r="E629" t="inlineStr">
        <is>
          <t>2021-04</t>
        </is>
      </c>
      <c r="F629" t="n">
        <v>1102175.481243626</v>
      </c>
    </row>
    <row r="630">
      <c r="A630" t="inlineStr">
        <is>
          <t>Soja</t>
        </is>
      </c>
      <c r="B630" t="inlineStr">
        <is>
          <t>Campos Lindos - TO</t>
        </is>
      </c>
      <c r="C630" t="n">
        <v>-7.98956</v>
      </c>
      <c r="D630" t="n">
        <v>-46.8645</v>
      </c>
      <c r="E630" t="inlineStr">
        <is>
          <t>2021-05</t>
        </is>
      </c>
      <c r="F630" t="n">
        <v>661305.2887461757</v>
      </c>
    </row>
    <row r="631">
      <c r="A631" t="inlineStr">
        <is>
          <t>Soja</t>
        </is>
      </c>
      <c r="B631" t="inlineStr">
        <is>
          <t>Campos Lindos - TO</t>
        </is>
      </c>
      <c r="C631" t="n">
        <v>-7.98956</v>
      </c>
      <c r="D631" t="n">
        <v>-46.8645</v>
      </c>
      <c r="E631" t="inlineStr">
        <is>
          <t>2021-06</t>
        </is>
      </c>
      <c r="F631" t="n">
        <v>0</v>
      </c>
    </row>
    <row r="632">
      <c r="A632" t="inlineStr">
        <is>
          <t>Milho</t>
        </is>
      </c>
      <c r="B632" t="inlineStr">
        <is>
          <t>Limoeiro de Anadia - AL</t>
        </is>
      </c>
      <c r="C632" t="n">
        <v>-9.74098</v>
      </c>
      <c r="D632" t="n">
        <v>-36.5121</v>
      </c>
      <c r="E632" t="inlineStr">
        <is>
          <t>2022-01</t>
        </is>
      </c>
      <c r="F632" t="n">
        <v>0</v>
      </c>
    </row>
    <row r="633">
      <c r="A633" t="inlineStr">
        <is>
          <t>Milho</t>
        </is>
      </c>
      <c r="B633" t="inlineStr">
        <is>
          <t>Limoeiro de Anadia - AL</t>
        </is>
      </c>
      <c r="C633" t="n">
        <v>-9.74098</v>
      </c>
      <c r="D633" t="n">
        <v>-36.5121</v>
      </c>
      <c r="E633" t="inlineStr">
        <is>
          <t>2022-02</t>
        </is>
      </c>
      <c r="F633" t="n">
        <v>0</v>
      </c>
    </row>
    <row r="634">
      <c r="A634" t="inlineStr">
        <is>
          <t>Milho</t>
        </is>
      </c>
      <c r="B634" t="inlineStr">
        <is>
          <t>Limoeiro de Anadia - AL</t>
        </is>
      </c>
      <c r="C634" t="n">
        <v>-9.74098</v>
      </c>
      <c r="D634" t="n">
        <v>-36.5121</v>
      </c>
      <c r="E634" t="inlineStr">
        <is>
          <t>2022-03</t>
        </is>
      </c>
      <c r="F634" t="n">
        <v>0</v>
      </c>
    </row>
    <row r="635">
      <c r="A635" t="inlineStr">
        <is>
          <t>Milho</t>
        </is>
      </c>
      <c r="B635" t="inlineStr">
        <is>
          <t>Limoeiro de Anadia - AL</t>
        </is>
      </c>
      <c r="C635" t="n">
        <v>-9.74098</v>
      </c>
      <c r="D635" t="n">
        <v>-36.5121</v>
      </c>
      <c r="E635" t="inlineStr">
        <is>
          <t>2022-04</t>
        </is>
      </c>
      <c r="F635" t="n">
        <v>0</v>
      </c>
    </row>
    <row r="636">
      <c r="A636" t="inlineStr">
        <is>
          <t>Milho</t>
        </is>
      </c>
      <c r="B636" t="inlineStr">
        <is>
          <t>Limoeiro de Anadia - AL</t>
        </is>
      </c>
      <c r="C636" t="n">
        <v>-9.74098</v>
      </c>
      <c r="D636" t="n">
        <v>-36.5121</v>
      </c>
      <c r="E636" t="inlineStr">
        <is>
          <t>2022-05</t>
        </is>
      </c>
      <c r="F636" t="n">
        <v>0</v>
      </c>
    </row>
    <row r="637">
      <c r="A637" t="inlineStr">
        <is>
          <t>Milho</t>
        </is>
      </c>
      <c r="B637" t="inlineStr">
        <is>
          <t>Limoeiro de Anadia - AL</t>
        </is>
      </c>
      <c r="C637" t="n">
        <v>-9.74098</v>
      </c>
      <c r="D637" t="n">
        <v>-36.5121</v>
      </c>
      <c r="E637" t="inlineStr">
        <is>
          <t>2022-06</t>
        </is>
      </c>
      <c r="F637" t="n">
        <v>0</v>
      </c>
    </row>
    <row r="638">
      <c r="A638" t="inlineStr">
        <is>
          <t>Milho</t>
        </is>
      </c>
      <c r="B638" t="inlineStr">
        <is>
          <t>Limoeiro de Anadia - AL</t>
        </is>
      </c>
      <c r="C638" t="n">
        <v>-9.74098</v>
      </c>
      <c r="D638" t="n">
        <v>-36.5121</v>
      </c>
      <c r="E638" t="inlineStr">
        <is>
          <t>2021-07</t>
        </is>
      </c>
      <c r="F638" t="n">
        <v>0</v>
      </c>
    </row>
    <row r="639">
      <c r="A639" t="inlineStr">
        <is>
          <t>Milho</t>
        </is>
      </c>
      <c r="B639" t="inlineStr">
        <is>
          <t>Limoeiro de Anadia - AL</t>
        </is>
      </c>
      <c r="C639" t="n">
        <v>-9.74098</v>
      </c>
      <c r="D639" t="n">
        <v>-36.5121</v>
      </c>
      <c r="E639" t="inlineStr">
        <is>
          <t>2021-08</t>
        </is>
      </c>
      <c r="F639" t="n">
        <v>0</v>
      </c>
    </row>
    <row r="640">
      <c r="A640" t="inlineStr">
        <is>
          <t>Milho</t>
        </is>
      </c>
      <c r="B640" t="inlineStr">
        <is>
          <t>Limoeiro de Anadia - AL</t>
        </is>
      </c>
      <c r="C640" t="n">
        <v>-9.74098</v>
      </c>
      <c r="D640" t="n">
        <v>-36.5121</v>
      </c>
      <c r="E640" t="inlineStr">
        <is>
          <t>2021-09</t>
        </is>
      </c>
      <c r="F640" t="n">
        <v>0</v>
      </c>
    </row>
    <row r="641">
      <c r="A641" t="inlineStr">
        <is>
          <t>Milho</t>
        </is>
      </c>
      <c r="B641" t="inlineStr">
        <is>
          <t>Limoeiro de Anadia - AL</t>
        </is>
      </c>
      <c r="C641" t="n">
        <v>-9.74098</v>
      </c>
      <c r="D641" t="n">
        <v>-36.5121</v>
      </c>
      <c r="E641" t="inlineStr">
        <is>
          <t>2021-10</t>
        </is>
      </c>
      <c r="F641" t="n">
        <v>0</v>
      </c>
    </row>
    <row r="642">
      <c r="A642" t="inlineStr">
        <is>
          <t>Milho</t>
        </is>
      </c>
      <c r="B642" t="inlineStr">
        <is>
          <t>Limoeiro de Anadia - AL</t>
        </is>
      </c>
      <c r="C642" t="n">
        <v>-9.74098</v>
      </c>
      <c r="D642" t="n">
        <v>-36.5121</v>
      </c>
      <c r="E642" t="inlineStr">
        <is>
          <t>2021-11</t>
        </is>
      </c>
      <c r="F642" t="n">
        <v>0</v>
      </c>
    </row>
    <row r="643">
      <c r="A643" t="inlineStr">
        <is>
          <t>Milho</t>
        </is>
      </c>
      <c r="B643" t="inlineStr">
        <is>
          <t>Limoeiro de Anadia - AL</t>
        </is>
      </c>
      <c r="C643" t="n">
        <v>-9.74098</v>
      </c>
      <c r="D643" t="n">
        <v>-36.5121</v>
      </c>
      <c r="E643" t="inlineStr">
        <is>
          <t>2021-12</t>
        </is>
      </c>
      <c r="F643" t="n">
        <v>0</v>
      </c>
    </row>
    <row r="644">
      <c r="A644" t="inlineStr">
        <is>
          <t>Milho</t>
        </is>
      </c>
      <c r="B644" t="inlineStr">
        <is>
          <t>Macapá - AP</t>
        </is>
      </c>
      <c r="C644" t="n">
        <v>0.034934</v>
      </c>
      <c r="D644" t="n">
        <v>-51.0694</v>
      </c>
      <c r="E644" t="inlineStr">
        <is>
          <t>2022-01</t>
        </is>
      </c>
      <c r="F644" t="n">
        <v>0</v>
      </c>
    </row>
    <row r="645">
      <c r="A645" t="inlineStr">
        <is>
          <t>Milho</t>
        </is>
      </c>
      <c r="B645" t="inlineStr">
        <is>
          <t>Macapá - AP</t>
        </is>
      </c>
      <c r="C645" t="n">
        <v>0.034934</v>
      </c>
      <c r="D645" t="n">
        <v>-51.0694</v>
      </c>
      <c r="E645" t="inlineStr">
        <is>
          <t>2022-02</t>
        </is>
      </c>
      <c r="F645" t="n">
        <v>0</v>
      </c>
    </row>
    <row r="646">
      <c r="A646" t="inlineStr">
        <is>
          <t>Milho</t>
        </is>
      </c>
      <c r="B646" t="inlineStr">
        <is>
          <t>Macapá - AP</t>
        </is>
      </c>
      <c r="C646" t="n">
        <v>0.034934</v>
      </c>
      <c r="D646" t="n">
        <v>-51.0694</v>
      </c>
      <c r="E646" t="inlineStr">
        <is>
          <t>2022-03</t>
        </is>
      </c>
      <c r="F646" t="n">
        <v>0</v>
      </c>
    </row>
    <row r="647">
      <c r="A647" t="inlineStr">
        <is>
          <t>Milho</t>
        </is>
      </c>
      <c r="B647" t="inlineStr">
        <is>
          <t>Macapá - AP</t>
        </is>
      </c>
      <c r="C647" t="n">
        <v>0.034934</v>
      </c>
      <c r="D647" t="n">
        <v>-51.0694</v>
      </c>
      <c r="E647" t="inlineStr">
        <is>
          <t>2022-04</t>
        </is>
      </c>
      <c r="F647" t="n">
        <v>0</v>
      </c>
    </row>
    <row r="648">
      <c r="A648" t="inlineStr">
        <is>
          <t>Milho</t>
        </is>
      </c>
      <c r="B648" t="inlineStr">
        <is>
          <t>Macapá - AP</t>
        </is>
      </c>
      <c r="C648" t="n">
        <v>0.034934</v>
      </c>
      <c r="D648" t="n">
        <v>-51.0694</v>
      </c>
      <c r="E648" t="inlineStr">
        <is>
          <t>2022-05</t>
        </is>
      </c>
      <c r="F648" t="n">
        <v>0</v>
      </c>
    </row>
    <row r="649">
      <c r="A649" t="inlineStr">
        <is>
          <t>Milho</t>
        </is>
      </c>
      <c r="B649" t="inlineStr">
        <is>
          <t>Macapá - AP</t>
        </is>
      </c>
      <c r="C649" t="n">
        <v>0.034934</v>
      </c>
      <c r="D649" t="n">
        <v>-51.0694</v>
      </c>
      <c r="E649" t="inlineStr">
        <is>
          <t>2022-06</t>
        </is>
      </c>
      <c r="F649" t="n">
        <v>0</v>
      </c>
    </row>
    <row r="650">
      <c r="A650" t="inlineStr">
        <is>
          <t>Milho</t>
        </is>
      </c>
      <c r="B650" t="inlineStr">
        <is>
          <t>Macapá - AP</t>
        </is>
      </c>
      <c r="C650" t="n">
        <v>0.034934</v>
      </c>
      <c r="D650" t="n">
        <v>-51.0694</v>
      </c>
      <c r="E650" t="inlineStr">
        <is>
          <t>2021-07</t>
        </is>
      </c>
      <c r="F650" t="n">
        <v>0</v>
      </c>
    </row>
    <row r="651">
      <c r="A651" t="inlineStr">
        <is>
          <t>Milho</t>
        </is>
      </c>
      <c r="B651" t="inlineStr">
        <is>
          <t>Macapá - AP</t>
        </is>
      </c>
      <c r="C651" t="n">
        <v>0.034934</v>
      </c>
      <c r="D651" t="n">
        <v>-51.0694</v>
      </c>
      <c r="E651" t="inlineStr">
        <is>
          <t>2021-08</t>
        </is>
      </c>
      <c r="F651" t="n">
        <v>0</v>
      </c>
    </row>
    <row r="652">
      <c r="A652" t="inlineStr">
        <is>
          <t>Milho</t>
        </is>
      </c>
      <c r="B652" t="inlineStr">
        <is>
          <t>Macapá - AP</t>
        </is>
      </c>
      <c r="C652" t="n">
        <v>0.034934</v>
      </c>
      <c r="D652" t="n">
        <v>-51.0694</v>
      </c>
      <c r="E652" t="inlineStr">
        <is>
          <t>2021-09</t>
        </is>
      </c>
      <c r="F652" t="n">
        <v>0</v>
      </c>
    </row>
    <row r="653">
      <c r="A653" t="inlineStr">
        <is>
          <t>Milho</t>
        </is>
      </c>
      <c r="B653" t="inlineStr">
        <is>
          <t>Macapá - AP</t>
        </is>
      </c>
      <c r="C653" t="n">
        <v>0.034934</v>
      </c>
      <c r="D653" t="n">
        <v>-51.0694</v>
      </c>
      <c r="E653" t="inlineStr">
        <is>
          <t>2021-10</t>
        </is>
      </c>
      <c r="F653" t="n">
        <v>0</v>
      </c>
    </row>
    <row r="654">
      <c r="A654" t="inlineStr">
        <is>
          <t>Milho</t>
        </is>
      </c>
      <c r="B654" t="inlineStr">
        <is>
          <t>Macapá - AP</t>
        </is>
      </c>
      <c r="C654" t="n">
        <v>0.034934</v>
      </c>
      <c r="D654" t="n">
        <v>-51.0694</v>
      </c>
      <c r="E654" t="inlineStr">
        <is>
          <t>2021-11</t>
        </is>
      </c>
      <c r="F654" t="n">
        <v>0</v>
      </c>
    </row>
    <row r="655">
      <c r="A655" t="inlineStr">
        <is>
          <t>Milho</t>
        </is>
      </c>
      <c r="B655" t="inlineStr">
        <is>
          <t>Macapá - AP</t>
        </is>
      </c>
      <c r="C655" t="n">
        <v>0.034934</v>
      </c>
      <c r="D655" t="n">
        <v>-51.0694</v>
      </c>
      <c r="E655" t="inlineStr">
        <is>
          <t>2021-12</t>
        </is>
      </c>
      <c r="F655" t="n">
        <v>0</v>
      </c>
    </row>
    <row r="656">
      <c r="A656" t="inlineStr">
        <is>
          <t>Milho</t>
        </is>
      </c>
      <c r="B656" t="inlineStr">
        <is>
          <t>Crateús - CE</t>
        </is>
      </c>
      <c r="C656" t="n">
        <v>-5.16768</v>
      </c>
      <c r="D656" t="n">
        <v>-40.6536</v>
      </c>
      <c r="E656" t="inlineStr">
        <is>
          <t>2022-01</t>
        </is>
      </c>
      <c r="F656" t="n">
        <v>0</v>
      </c>
    </row>
    <row r="657">
      <c r="A657" t="inlineStr">
        <is>
          <t>Milho</t>
        </is>
      </c>
      <c r="B657" t="inlineStr">
        <is>
          <t>Crateús - CE</t>
        </is>
      </c>
      <c r="C657" t="n">
        <v>-5.16768</v>
      </c>
      <c r="D657" t="n">
        <v>-40.6536</v>
      </c>
      <c r="E657" t="inlineStr">
        <is>
          <t>2022-02</t>
        </is>
      </c>
      <c r="F657" t="n">
        <v>0</v>
      </c>
    </row>
    <row r="658">
      <c r="A658" t="inlineStr">
        <is>
          <t>Milho</t>
        </is>
      </c>
      <c r="B658" t="inlineStr">
        <is>
          <t>Crateús - CE</t>
        </is>
      </c>
      <c r="C658" t="n">
        <v>-5.16768</v>
      </c>
      <c r="D658" t="n">
        <v>-40.6536</v>
      </c>
      <c r="E658" t="inlineStr">
        <is>
          <t>2022-03</t>
        </is>
      </c>
      <c r="F658" t="n">
        <v>0</v>
      </c>
    </row>
    <row r="659">
      <c r="A659" t="inlineStr">
        <is>
          <t>Milho</t>
        </is>
      </c>
      <c r="B659" t="inlineStr">
        <is>
          <t>Crateús - CE</t>
        </is>
      </c>
      <c r="C659" t="n">
        <v>-5.16768</v>
      </c>
      <c r="D659" t="n">
        <v>-40.6536</v>
      </c>
      <c r="E659" t="inlineStr">
        <is>
          <t>2022-04</t>
        </is>
      </c>
      <c r="F659" t="n">
        <v>0</v>
      </c>
    </row>
    <row r="660">
      <c r="A660" t="inlineStr">
        <is>
          <t>Milho</t>
        </is>
      </c>
      <c r="B660" t="inlineStr">
        <is>
          <t>Crateús - CE</t>
        </is>
      </c>
      <c r="C660" t="n">
        <v>-5.16768</v>
      </c>
      <c r="D660" t="n">
        <v>-40.6536</v>
      </c>
      <c r="E660" t="inlineStr">
        <is>
          <t>2022-05</t>
        </is>
      </c>
      <c r="F660" t="n">
        <v>0</v>
      </c>
    </row>
    <row r="661">
      <c r="A661" t="inlineStr">
        <is>
          <t>Milho</t>
        </is>
      </c>
      <c r="B661" t="inlineStr">
        <is>
          <t>Crateús - CE</t>
        </is>
      </c>
      <c r="C661" t="n">
        <v>-5.16768</v>
      </c>
      <c r="D661" t="n">
        <v>-40.6536</v>
      </c>
      <c r="E661" t="inlineStr">
        <is>
          <t>2022-06</t>
        </is>
      </c>
      <c r="F661" t="n">
        <v>0</v>
      </c>
    </row>
    <row r="662">
      <c r="A662" t="inlineStr">
        <is>
          <t>Milho</t>
        </is>
      </c>
      <c r="B662" t="inlineStr">
        <is>
          <t>Crateús - CE</t>
        </is>
      </c>
      <c r="C662" t="n">
        <v>-5.16768</v>
      </c>
      <c r="D662" t="n">
        <v>-40.6536</v>
      </c>
      <c r="E662" t="inlineStr">
        <is>
          <t>2021-07</t>
        </is>
      </c>
      <c r="F662" t="n">
        <v>0</v>
      </c>
    </row>
    <row r="663">
      <c r="A663" t="inlineStr">
        <is>
          <t>Milho</t>
        </is>
      </c>
      <c r="B663" t="inlineStr">
        <is>
          <t>Crateús - CE</t>
        </is>
      </c>
      <c r="C663" t="n">
        <v>-5.16768</v>
      </c>
      <c r="D663" t="n">
        <v>-40.6536</v>
      </c>
      <c r="E663" t="inlineStr">
        <is>
          <t>2021-08</t>
        </is>
      </c>
      <c r="F663" t="n">
        <v>0</v>
      </c>
    </row>
    <row r="664">
      <c r="A664" t="inlineStr">
        <is>
          <t>Milho</t>
        </is>
      </c>
      <c r="B664" t="inlineStr">
        <is>
          <t>Crateús - CE</t>
        </is>
      </c>
      <c r="C664" t="n">
        <v>-5.16768</v>
      </c>
      <c r="D664" t="n">
        <v>-40.6536</v>
      </c>
      <c r="E664" t="inlineStr">
        <is>
          <t>2021-09</t>
        </is>
      </c>
      <c r="F664" t="n">
        <v>0</v>
      </c>
    </row>
    <row r="665">
      <c r="A665" t="inlineStr">
        <is>
          <t>Milho</t>
        </is>
      </c>
      <c r="B665" t="inlineStr">
        <is>
          <t>Crateús - CE</t>
        </is>
      </c>
      <c r="C665" t="n">
        <v>-5.16768</v>
      </c>
      <c r="D665" t="n">
        <v>-40.6536</v>
      </c>
      <c r="E665" t="inlineStr">
        <is>
          <t>2021-10</t>
        </is>
      </c>
      <c r="F665" t="n">
        <v>0</v>
      </c>
    </row>
    <row r="666">
      <c r="A666" t="inlineStr">
        <is>
          <t>Milho</t>
        </is>
      </c>
      <c r="B666" t="inlineStr">
        <is>
          <t>Crateús - CE</t>
        </is>
      </c>
      <c r="C666" t="n">
        <v>-5.16768</v>
      </c>
      <c r="D666" t="n">
        <v>-40.6536</v>
      </c>
      <c r="E666" t="inlineStr">
        <is>
          <t>2021-11</t>
        </is>
      </c>
      <c r="F666" t="n">
        <v>0</v>
      </c>
    </row>
    <row r="667">
      <c r="A667" t="inlineStr">
        <is>
          <t>Milho</t>
        </is>
      </c>
      <c r="B667" t="inlineStr">
        <is>
          <t>Crateús - CE</t>
        </is>
      </c>
      <c r="C667" t="n">
        <v>-5.16768</v>
      </c>
      <c r="D667" t="n">
        <v>-40.6536</v>
      </c>
      <c r="E667" t="inlineStr">
        <is>
          <t>2021-12</t>
        </is>
      </c>
      <c r="F667" t="n">
        <v>0</v>
      </c>
    </row>
    <row r="668">
      <c r="A668" t="inlineStr">
        <is>
          <t>Milho</t>
        </is>
      </c>
      <c r="B668" t="inlineStr">
        <is>
          <t>Sousa - PB</t>
        </is>
      </c>
      <c r="C668" t="n">
        <v>-6.75148</v>
      </c>
      <c r="D668" t="n">
        <v>-38.2311</v>
      </c>
      <c r="E668" t="inlineStr">
        <is>
          <t>2022-01</t>
        </is>
      </c>
      <c r="F668" t="n">
        <v>0</v>
      </c>
    </row>
    <row r="669">
      <c r="A669" t="inlineStr">
        <is>
          <t>Milho</t>
        </is>
      </c>
      <c r="B669" t="inlineStr">
        <is>
          <t>Sousa - PB</t>
        </is>
      </c>
      <c r="C669" t="n">
        <v>-6.75148</v>
      </c>
      <c r="D669" t="n">
        <v>-38.2311</v>
      </c>
      <c r="E669" t="inlineStr">
        <is>
          <t>2022-02</t>
        </is>
      </c>
      <c r="F669" t="n">
        <v>0</v>
      </c>
    </row>
    <row r="670">
      <c r="A670" t="inlineStr">
        <is>
          <t>Milho</t>
        </is>
      </c>
      <c r="B670" t="inlineStr">
        <is>
          <t>Sousa - PB</t>
        </is>
      </c>
      <c r="C670" t="n">
        <v>-6.75148</v>
      </c>
      <c r="D670" t="n">
        <v>-38.2311</v>
      </c>
      <c r="E670" t="inlineStr">
        <is>
          <t>2022-03</t>
        </is>
      </c>
      <c r="F670" t="n">
        <v>0</v>
      </c>
    </row>
    <row r="671">
      <c r="A671" t="inlineStr">
        <is>
          <t>Milho</t>
        </is>
      </c>
      <c r="B671" t="inlineStr">
        <is>
          <t>Sousa - PB</t>
        </is>
      </c>
      <c r="C671" t="n">
        <v>-6.75148</v>
      </c>
      <c r="D671" t="n">
        <v>-38.2311</v>
      </c>
      <c r="E671" t="inlineStr">
        <is>
          <t>2022-04</t>
        </is>
      </c>
      <c r="F671" t="n">
        <v>0</v>
      </c>
    </row>
    <row r="672">
      <c r="A672" t="inlineStr">
        <is>
          <t>Milho</t>
        </is>
      </c>
      <c r="B672" t="inlineStr">
        <is>
          <t>Sousa - PB</t>
        </is>
      </c>
      <c r="C672" t="n">
        <v>-6.75148</v>
      </c>
      <c r="D672" t="n">
        <v>-38.2311</v>
      </c>
      <c r="E672" t="inlineStr">
        <is>
          <t>2022-05</t>
        </is>
      </c>
      <c r="F672" t="n">
        <v>0</v>
      </c>
    </row>
    <row r="673">
      <c r="A673" t="inlineStr">
        <is>
          <t>Milho</t>
        </is>
      </c>
      <c r="B673" t="inlineStr">
        <is>
          <t>Sousa - PB</t>
        </is>
      </c>
      <c r="C673" t="n">
        <v>-6.75148</v>
      </c>
      <c r="D673" t="n">
        <v>-38.2311</v>
      </c>
      <c r="E673" t="inlineStr">
        <is>
          <t>2022-06</t>
        </is>
      </c>
      <c r="F673" t="n">
        <v>0</v>
      </c>
    </row>
    <row r="674">
      <c r="A674" t="inlineStr">
        <is>
          <t>Milho</t>
        </is>
      </c>
      <c r="B674" t="inlineStr">
        <is>
          <t>Sousa - PB</t>
        </is>
      </c>
      <c r="C674" t="n">
        <v>-6.75148</v>
      </c>
      <c r="D674" t="n">
        <v>-38.2311</v>
      </c>
      <c r="E674" t="inlineStr">
        <is>
          <t>2021-07</t>
        </is>
      </c>
      <c r="F674" t="n">
        <v>0</v>
      </c>
    </row>
    <row r="675">
      <c r="A675" t="inlineStr">
        <is>
          <t>Milho</t>
        </is>
      </c>
      <c r="B675" t="inlineStr">
        <is>
          <t>Sousa - PB</t>
        </is>
      </c>
      <c r="C675" t="n">
        <v>-6.75148</v>
      </c>
      <c r="D675" t="n">
        <v>-38.2311</v>
      </c>
      <c r="E675" t="inlineStr">
        <is>
          <t>2021-08</t>
        </is>
      </c>
      <c r="F675" t="n">
        <v>0</v>
      </c>
    </row>
    <row r="676">
      <c r="A676" t="inlineStr">
        <is>
          <t>Milho</t>
        </is>
      </c>
      <c r="B676" t="inlineStr">
        <is>
          <t>Sousa - PB</t>
        </is>
      </c>
      <c r="C676" t="n">
        <v>-6.75148</v>
      </c>
      <c r="D676" t="n">
        <v>-38.2311</v>
      </c>
      <c r="E676" t="inlineStr">
        <is>
          <t>2021-09</t>
        </is>
      </c>
      <c r="F676" t="n">
        <v>0</v>
      </c>
    </row>
    <row r="677">
      <c r="A677" t="inlineStr">
        <is>
          <t>Milho</t>
        </is>
      </c>
      <c r="B677" t="inlineStr">
        <is>
          <t>Sousa - PB</t>
        </is>
      </c>
      <c r="C677" t="n">
        <v>-6.75148</v>
      </c>
      <c r="D677" t="n">
        <v>-38.2311</v>
      </c>
      <c r="E677" t="inlineStr">
        <is>
          <t>2021-10</t>
        </is>
      </c>
      <c r="F677" t="n">
        <v>0</v>
      </c>
    </row>
    <row r="678">
      <c r="A678" t="inlineStr">
        <is>
          <t>Milho</t>
        </is>
      </c>
      <c r="B678" t="inlineStr">
        <is>
          <t>Sousa - PB</t>
        </is>
      </c>
      <c r="C678" t="n">
        <v>-6.75148</v>
      </c>
      <c r="D678" t="n">
        <v>-38.2311</v>
      </c>
      <c r="E678" t="inlineStr">
        <is>
          <t>2021-11</t>
        </is>
      </c>
      <c r="F678" t="n">
        <v>0</v>
      </c>
    </row>
    <row r="679">
      <c r="A679" t="inlineStr">
        <is>
          <t>Milho</t>
        </is>
      </c>
      <c r="B679" t="inlineStr">
        <is>
          <t>Sousa - PB</t>
        </is>
      </c>
      <c r="C679" t="n">
        <v>-6.75148</v>
      </c>
      <c r="D679" t="n">
        <v>-38.2311</v>
      </c>
      <c r="E679" t="inlineStr">
        <is>
          <t>2021-12</t>
        </is>
      </c>
      <c r="F679" t="n">
        <v>0</v>
      </c>
    </row>
    <row r="680">
      <c r="A680" t="inlineStr">
        <is>
          <t>Milho</t>
        </is>
      </c>
      <c r="B680" t="inlineStr">
        <is>
          <t>Apodi - RN</t>
        </is>
      </c>
      <c r="C680" t="n">
        <v>-5.65349</v>
      </c>
      <c r="D680" t="n">
        <v>-37.7946</v>
      </c>
      <c r="E680" t="inlineStr">
        <is>
          <t>2022-01</t>
        </is>
      </c>
      <c r="F680" t="n">
        <v>0</v>
      </c>
    </row>
    <row r="681">
      <c r="A681" t="inlineStr">
        <is>
          <t>Milho</t>
        </is>
      </c>
      <c r="B681" t="inlineStr">
        <is>
          <t>Apodi - RN</t>
        </is>
      </c>
      <c r="C681" t="n">
        <v>-5.65349</v>
      </c>
      <c r="D681" t="n">
        <v>-37.7946</v>
      </c>
      <c r="E681" t="inlineStr">
        <is>
          <t>2022-02</t>
        </is>
      </c>
      <c r="F681" t="n">
        <v>0</v>
      </c>
    </row>
    <row r="682">
      <c r="A682" t="inlineStr">
        <is>
          <t>Milho</t>
        </is>
      </c>
      <c r="B682" t="inlineStr">
        <is>
          <t>Apodi - RN</t>
        </is>
      </c>
      <c r="C682" t="n">
        <v>-5.65349</v>
      </c>
      <c r="D682" t="n">
        <v>-37.7946</v>
      </c>
      <c r="E682" t="inlineStr">
        <is>
          <t>2022-03</t>
        </is>
      </c>
      <c r="F682" t="n">
        <v>0</v>
      </c>
    </row>
    <row r="683">
      <c r="A683" t="inlineStr">
        <is>
          <t>Milho</t>
        </is>
      </c>
      <c r="B683" t="inlineStr">
        <is>
          <t>Apodi - RN</t>
        </is>
      </c>
      <c r="C683" t="n">
        <v>-5.65349</v>
      </c>
      <c r="D683" t="n">
        <v>-37.7946</v>
      </c>
      <c r="E683" t="inlineStr">
        <is>
          <t>2022-04</t>
        </is>
      </c>
      <c r="F683" t="n">
        <v>0</v>
      </c>
    </row>
    <row r="684">
      <c r="A684" t="inlineStr">
        <is>
          <t>Milho</t>
        </is>
      </c>
      <c r="B684" t="inlineStr">
        <is>
          <t>Apodi - RN</t>
        </is>
      </c>
      <c r="C684" t="n">
        <v>-5.65349</v>
      </c>
      <c r="D684" t="n">
        <v>-37.7946</v>
      </c>
      <c r="E684" t="inlineStr">
        <is>
          <t>2022-05</t>
        </is>
      </c>
      <c r="F684" t="n">
        <v>0</v>
      </c>
    </row>
    <row r="685">
      <c r="A685" t="inlineStr">
        <is>
          <t>Milho</t>
        </is>
      </c>
      <c r="B685" t="inlineStr">
        <is>
          <t>Apodi - RN</t>
        </is>
      </c>
      <c r="C685" t="n">
        <v>-5.65349</v>
      </c>
      <c r="D685" t="n">
        <v>-37.7946</v>
      </c>
      <c r="E685" t="inlineStr">
        <is>
          <t>2022-06</t>
        </is>
      </c>
      <c r="F685" t="n">
        <v>0</v>
      </c>
    </row>
    <row r="686">
      <c r="A686" t="inlineStr">
        <is>
          <t>Milho</t>
        </is>
      </c>
      <c r="B686" t="inlineStr">
        <is>
          <t>Apodi - RN</t>
        </is>
      </c>
      <c r="C686" t="n">
        <v>-5.65349</v>
      </c>
      <c r="D686" t="n">
        <v>-37.7946</v>
      </c>
      <c r="E686" t="inlineStr">
        <is>
          <t>2021-07</t>
        </is>
      </c>
      <c r="F686" t="n">
        <v>0</v>
      </c>
    </row>
    <row r="687">
      <c r="A687" t="inlineStr">
        <is>
          <t>Milho</t>
        </is>
      </c>
      <c r="B687" t="inlineStr">
        <is>
          <t>Apodi - RN</t>
        </is>
      </c>
      <c r="C687" t="n">
        <v>-5.65349</v>
      </c>
      <c r="D687" t="n">
        <v>-37.7946</v>
      </c>
      <c r="E687" t="inlineStr">
        <is>
          <t>2021-08</t>
        </is>
      </c>
      <c r="F687" t="n">
        <v>0</v>
      </c>
    </row>
    <row r="688">
      <c r="A688" t="inlineStr">
        <is>
          <t>Milho</t>
        </is>
      </c>
      <c r="B688" t="inlineStr">
        <is>
          <t>Apodi - RN</t>
        </is>
      </c>
      <c r="C688" t="n">
        <v>-5.65349</v>
      </c>
      <c r="D688" t="n">
        <v>-37.7946</v>
      </c>
      <c r="E688" t="inlineStr">
        <is>
          <t>2021-09</t>
        </is>
      </c>
      <c r="F688" t="n">
        <v>0</v>
      </c>
    </row>
    <row r="689">
      <c r="A689" t="inlineStr">
        <is>
          <t>Milho</t>
        </is>
      </c>
      <c r="B689" t="inlineStr">
        <is>
          <t>Apodi - RN</t>
        </is>
      </c>
      <c r="C689" t="n">
        <v>-5.65349</v>
      </c>
      <c r="D689" t="n">
        <v>-37.7946</v>
      </c>
      <c r="E689" t="inlineStr">
        <is>
          <t>2021-10</t>
        </is>
      </c>
      <c r="F689" t="n">
        <v>0</v>
      </c>
    </row>
    <row r="690">
      <c r="A690" t="inlineStr">
        <is>
          <t>Milho</t>
        </is>
      </c>
      <c r="B690" t="inlineStr">
        <is>
          <t>Apodi - RN</t>
        </is>
      </c>
      <c r="C690" t="n">
        <v>-5.65349</v>
      </c>
      <c r="D690" t="n">
        <v>-37.7946</v>
      </c>
      <c r="E690" t="inlineStr">
        <is>
          <t>2021-11</t>
        </is>
      </c>
      <c r="F690" t="n">
        <v>0</v>
      </c>
    </row>
    <row r="691">
      <c r="A691" t="inlineStr">
        <is>
          <t>Milho</t>
        </is>
      </c>
      <c r="B691" t="inlineStr">
        <is>
          <t>Apodi - RN</t>
        </is>
      </c>
      <c r="C691" t="n">
        <v>-5.65349</v>
      </c>
      <c r="D691" t="n">
        <v>-37.7946</v>
      </c>
      <c r="E691" t="inlineStr">
        <is>
          <t>2021-12</t>
        </is>
      </c>
      <c r="F691" t="n">
        <v>0</v>
      </c>
    </row>
    <row r="692">
      <c r="A692" t="inlineStr">
        <is>
          <t>Milho</t>
        </is>
      </c>
      <c r="B692" t="inlineStr">
        <is>
          <t>Bonfim - RR</t>
        </is>
      </c>
      <c r="C692" t="n">
        <v>3.36161</v>
      </c>
      <c r="D692" t="n">
        <v>-59.8333</v>
      </c>
      <c r="E692" t="inlineStr">
        <is>
          <t>2022-01</t>
        </is>
      </c>
      <c r="F692" t="n">
        <v>0</v>
      </c>
    </row>
    <row r="693">
      <c r="A693" t="inlineStr">
        <is>
          <t>Milho</t>
        </is>
      </c>
      <c r="B693" t="inlineStr">
        <is>
          <t>Bonfim - RR</t>
        </is>
      </c>
      <c r="C693" t="n">
        <v>3.36161</v>
      </c>
      <c r="D693" t="n">
        <v>-59.8333</v>
      </c>
      <c r="E693" t="inlineStr">
        <is>
          <t>2022-02</t>
        </is>
      </c>
      <c r="F693" t="n">
        <v>0</v>
      </c>
    </row>
    <row r="694">
      <c r="A694" t="inlineStr">
        <is>
          <t>Milho</t>
        </is>
      </c>
      <c r="B694" t="inlineStr">
        <is>
          <t>Bonfim - RR</t>
        </is>
      </c>
      <c r="C694" t="n">
        <v>3.36161</v>
      </c>
      <c r="D694" t="n">
        <v>-59.8333</v>
      </c>
      <c r="E694" t="inlineStr">
        <is>
          <t>2022-03</t>
        </is>
      </c>
      <c r="F694" t="n">
        <v>0</v>
      </c>
    </row>
    <row r="695">
      <c r="A695" t="inlineStr">
        <is>
          <t>Milho</t>
        </is>
      </c>
      <c r="B695" t="inlineStr">
        <is>
          <t>Bonfim - RR</t>
        </is>
      </c>
      <c r="C695" t="n">
        <v>3.36161</v>
      </c>
      <c r="D695" t="n">
        <v>-59.8333</v>
      </c>
      <c r="E695" t="inlineStr">
        <is>
          <t>2022-04</t>
        </is>
      </c>
      <c r="F695" t="n">
        <v>0</v>
      </c>
    </row>
    <row r="696">
      <c r="A696" t="inlineStr">
        <is>
          <t>Milho</t>
        </is>
      </c>
      <c r="B696" t="inlineStr">
        <is>
          <t>Bonfim - RR</t>
        </is>
      </c>
      <c r="C696" t="n">
        <v>3.36161</v>
      </c>
      <c r="D696" t="n">
        <v>-59.8333</v>
      </c>
      <c r="E696" t="inlineStr">
        <is>
          <t>2022-05</t>
        </is>
      </c>
      <c r="F696" t="n">
        <v>0</v>
      </c>
    </row>
    <row r="697">
      <c r="A697" t="inlineStr">
        <is>
          <t>Milho</t>
        </is>
      </c>
      <c r="B697" t="inlineStr">
        <is>
          <t>Bonfim - RR</t>
        </is>
      </c>
      <c r="C697" t="n">
        <v>3.36161</v>
      </c>
      <c r="D697" t="n">
        <v>-59.8333</v>
      </c>
      <c r="E697" t="inlineStr">
        <is>
          <t>2022-06</t>
        </is>
      </c>
      <c r="F697" t="n">
        <v>0</v>
      </c>
    </row>
    <row r="698">
      <c r="A698" t="inlineStr">
        <is>
          <t>Milho</t>
        </is>
      </c>
      <c r="B698" t="inlineStr">
        <is>
          <t>Bonfim - RR</t>
        </is>
      </c>
      <c r="C698" t="n">
        <v>3.36161</v>
      </c>
      <c r="D698" t="n">
        <v>-59.8333</v>
      </c>
      <c r="E698" t="inlineStr">
        <is>
          <t>2021-07</t>
        </is>
      </c>
      <c r="F698" t="n">
        <v>0</v>
      </c>
    </row>
    <row r="699">
      <c r="A699" t="inlineStr">
        <is>
          <t>Milho</t>
        </is>
      </c>
      <c r="B699" t="inlineStr">
        <is>
          <t>Bonfim - RR</t>
        </is>
      </c>
      <c r="C699" t="n">
        <v>3.36161</v>
      </c>
      <c r="D699" t="n">
        <v>-59.8333</v>
      </c>
      <c r="E699" t="inlineStr">
        <is>
          <t>2021-08</t>
        </is>
      </c>
      <c r="F699" t="n">
        <v>0</v>
      </c>
    </row>
    <row r="700">
      <c r="A700" t="inlineStr">
        <is>
          <t>Milho</t>
        </is>
      </c>
      <c r="B700" t="inlineStr">
        <is>
          <t>Bonfim - RR</t>
        </is>
      </c>
      <c r="C700" t="n">
        <v>3.36161</v>
      </c>
      <c r="D700" t="n">
        <v>-59.8333</v>
      </c>
      <c r="E700" t="inlineStr">
        <is>
          <t>2021-09</t>
        </is>
      </c>
      <c r="F700" t="n">
        <v>0</v>
      </c>
    </row>
    <row r="701">
      <c r="A701" t="inlineStr">
        <is>
          <t>Milho</t>
        </is>
      </c>
      <c r="B701" t="inlineStr">
        <is>
          <t>Bonfim - RR</t>
        </is>
      </c>
      <c r="C701" t="n">
        <v>3.36161</v>
      </c>
      <c r="D701" t="n">
        <v>-59.8333</v>
      </c>
      <c r="E701" t="inlineStr">
        <is>
          <t>2021-10</t>
        </is>
      </c>
      <c r="F701" t="n">
        <v>0</v>
      </c>
    </row>
    <row r="702">
      <c r="A702" t="inlineStr">
        <is>
          <t>Milho</t>
        </is>
      </c>
      <c r="B702" t="inlineStr">
        <is>
          <t>Bonfim - RR</t>
        </is>
      </c>
      <c r="C702" t="n">
        <v>3.36161</v>
      </c>
      <c r="D702" t="n">
        <v>-59.8333</v>
      </c>
      <c r="E702" t="inlineStr">
        <is>
          <t>2021-11</t>
        </is>
      </c>
      <c r="F702" t="n">
        <v>0</v>
      </c>
    </row>
    <row r="703">
      <c r="A703" t="inlineStr">
        <is>
          <t>Milho</t>
        </is>
      </c>
      <c r="B703" t="inlineStr">
        <is>
          <t>Bonfim - RR</t>
        </is>
      </c>
      <c r="C703" t="n">
        <v>3.36161</v>
      </c>
      <c r="D703" t="n">
        <v>-59.8333</v>
      </c>
      <c r="E703" t="inlineStr">
        <is>
          <t>2021-12</t>
        </is>
      </c>
      <c r="F703" t="n">
        <v>0</v>
      </c>
    </row>
    <row r="704">
      <c r="A704" t="inlineStr">
        <is>
          <t>Milho</t>
        </is>
      </c>
      <c r="B704" t="inlineStr">
        <is>
          <t>Carira - SE</t>
        </is>
      </c>
      <c r="C704" t="n">
        <v>-10.3524</v>
      </c>
      <c r="D704" t="n">
        <v>-37.7002</v>
      </c>
      <c r="E704" t="inlineStr">
        <is>
          <t>2022-01</t>
        </is>
      </c>
      <c r="F704" t="n">
        <v>0</v>
      </c>
    </row>
    <row r="705">
      <c r="A705" t="inlineStr">
        <is>
          <t>Milho</t>
        </is>
      </c>
      <c r="B705" t="inlineStr">
        <is>
          <t>Carira - SE</t>
        </is>
      </c>
      <c r="C705" t="n">
        <v>-10.3524</v>
      </c>
      <c r="D705" t="n">
        <v>-37.7002</v>
      </c>
      <c r="E705" t="inlineStr">
        <is>
          <t>2022-02</t>
        </is>
      </c>
      <c r="F705" t="n">
        <v>0</v>
      </c>
    </row>
    <row r="706">
      <c r="A706" t="inlineStr">
        <is>
          <t>Milho</t>
        </is>
      </c>
      <c r="B706" t="inlineStr">
        <is>
          <t>Carira - SE</t>
        </is>
      </c>
      <c r="C706" t="n">
        <v>-10.3524</v>
      </c>
      <c r="D706" t="n">
        <v>-37.7002</v>
      </c>
      <c r="E706" t="inlineStr">
        <is>
          <t>2022-03</t>
        </is>
      </c>
      <c r="F706" t="n">
        <v>0</v>
      </c>
    </row>
    <row r="707">
      <c r="A707" t="inlineStr">
        <is>
          <t>Milho</t>
        </is>
      </c>
      <c r="B707" t="inlineStr">
        <is>
          <t>Carira - SE</t>
        </is>
      </c>
      <c r="C707" t="n">
        <v>-10.3524</v>
      </c>
      <c r="D707" t="n">
        <v>-37.7002</v>
      </c>
      <c r="E707" t="inlineStr">
        <is>
          <t>2022-04</t>
        </is>
      </c>
      <c r="F707" t="n">
        <v>0</v>
      </c>
    </row>
    <row r="708">
      <c r="A708" t="inlineStr">
        <is>
          <t>Milho</t>
        </is>
      </c>
      <c r="B708" t="inlineStr">
        <is>
          <t>Carira - SE</t>
        </is>
      </c>
      <c r="C708" t="n">
        <v>-10.3524</v>
      </c>
      <c r="D708" t="n">
        <v>-37.7002</v>
      </c>
      <c r="E708" t="inlineStr">
        <is>
          <t>2022-05</t>
        </is>
      </c>
      <c r="F708" t="n">
        <v>0</v>
      </c>
    </row>
    <row r="709">
      <c r="A709" t="inlineStr">
        <is>
          <t>Milho</t>
        </is>
      </c>
      <c r="B709" t="inlineStr">
        <is>
          <t>Carira - SE</t>
        </is>
      </c>
      <c r="C709" t="n">
        <v>-10.3524</v>
      </c>
      <c r="D709" t="n">
        <v>-37.7002</v>
      </c>
      <c r="E709" t="inlineStr">
        <is>
          <t>2022-06</t>
        </is>
      </c>
      <c r="F709" t="n">
        <v>0</v>
      </c>
    </row>
    <row r="710">
      <c r="A710" t="inlineStr">
        <is>
          <t>Milho</t>
        </is>
      </c>
      <c r="B710" t="inlineStr">
        <is>
          <t>Carira - SE</t>
        </is>
      </c>
      <c r="C710" t="n">
        <v>-10.3524</v>
      </c>
      <c r="D710" t="n">
        <v>-37.7002</v>
      </c>
      <c r="E710" t="inlineStr">
        <is>
          <t>2021-07</t>
        </is>
      </c>
      <c r="F710" t="n">
        <v>0</v>
      </c>
    </row>
    <row r="711">
      <c r="A711" t="inlineStr">
        <is>
          <t>Milho</t>
        </is>
      </c>
      <c r="B711" t="inlineStr">
        <is>
          <t>Carira - SE</t>
        </is>
      </c>
      <c r="C711" t="n">
        <v>-10.3524</v>
      </c>
      <c r="D711" t="n">
        <v>-37.7002</v>
      </c>
      <c r="E711" t="inlineStr">
        <is>
          <t>2021-08</t>
        </is>
      </c>
      <c r="F711" t="n">
        <v>0</v>
      </c>
    </row>
    <row r="712">
      <c r="A712" t="inlineStr">
        <is>
          <t>Milho</t>
        </is>
      </c>
      <c r="B712" t="inlineStr">
        <is>
          <t>Carira - SE</t>
        </is>
      </c>
      <c r="C712" t="n">
        <v>-10.3524</v>
      </c>
      <c r="D712" t="n">
        <v>-37.7002</v>
      </c>
      <c r="E712" t="inlineStr">
        <is>
          <t>2021-09</t>
        </is>
      </c>
      <c r="F712" t="n">
        <v>0</v>
      </c>
    </row>
    <row r="713">
      <c r="A713" t="inlineStr">
        <is>
          <t>Milho</t>
        </is>
      </c>
      <c r="B713" t="inlineStr">
        <is>
          <t>Carira - SE</t>
        </is>
      </c>
      <c r="C713" t="n">
        <v>-10.3524</v>
      </c>
      <c r="D713" t="n">
        <v>-37.7002</v>
      </c>
      <c r="E713" t="inlineStr">
        <is>
          <t>2021-10</t>
        </is>
      </c>
      <c r="F713" t="n">
        <v>0</v>
      </c>
    </row>
    <row r="714">
      <c r="A714" t="inlineStr">
        <is>
          <t>Milho</t>
        </is>
      </c>
      <c r="B714" t="inlineStr">
        <is>
          <t>Carira - SE</t>
        </is>
      </c>
      <c r="C714" t="n">
        <v>-10.3524</v>
      </c>
      <c r="D714" t="n">
        <v>-37.7002</v>
      </c>
      <c r="E714" t="inlineStr">
        <is>
          <t>2021-11</t>
        </is>
      </c>
      <c r="F714" t="n">
        <v>0</v>
      </c>
    </row>
    <row r="715">
      <c r="A715" t="inlineStr">
        <is>
          <t>Milho</t>
        </is>
      </c>
      <c r="B715" t="inlineStr">
        <is>
          <t>Carira - SE</t>
        </is>
      </c>
      <c r="C715" t="n">
        <v>-10.3524</v>
      </c>
      <c r="D715" t="n">
        <v>-37.7002</v>
      </c>
      <c r="E715" t="inlineStr">
        <is>
          <t>2021-12</t>
        </is>
      </c>
      <c r="F715" t="n">
        <v>0</v>
      </c>
    </row>
    <row r="716">
      <c r="A716" t="inlineStr">
        <is>
          <t>Milho</t>
        </is>
      </c>
      <c r="B716" t="inlineStr">
        <is>
          <t>Senador Guiomard - AC</t>
        </is>
      </c>
      <c r="C716" t="n">
        <v>-10.1497</v>
      </c>
      <c r="D716" t="n">
        <v>-67.7362</v>
      </c>
      <c r="E716" t="inlineStr">
        <is>
          <t>2022-01</t>
        </is>
      </c>
      <c r="F716" t="n">
        <v>42710.97578652528</v>
      </c>
    </row>
    <row r="717">
      <c r="A717" t="inlineStr">
        <is>
          <t>Milho</t>
        </is>
      </c>
      <c r="B717" t="inlineStr">
        <is>
          <t>Senador Guiomard - AC</t>
        </is>
      </c>
      <c r="C717" t="n">
        <v>-10.1497</v>
      </c>
      <c r="D717" t="n">
        <v>-67.7362</v>
      </c>
      <c r="E717" t="inlineStr">
        <is>
          <t>2022-02</t>
        </is>
      </c>
      <c r="F717" t="n">
        <v>45065.40894885181</v>
      </c>
    </row>
    <row r="718">
      <c r="A718" t="inlineStr">
        <is>
          <t>Milho</t>
        </is>
      </c>
      <c r="B718" t="inlineStr">
        <is>
          <t>Senador Guiomard - AC</t>
        </is>
      </c>
      <c r="C718" t="n">
        <v>-10.1497</v>
      </c>
      <c r="D718" t="n">
        <v>-67.7362</v>
      </c>
      <c r="E718" t="inlineStr">
        <is>
          <t>2022-03</t>
        </is>
      </c>
      <c r="F718" t="n">
        <v>62809.54504411291</v>
      </c>
    </row>
    <row r="719">
      <c r="A719" t="inlineStr">
        <is>
          <t>Milho</t>
        </is>
      </c>
      <c r="B719" t="inlineStr">
        <is>
          <t>Senador Guiomard - AC</t>
        </is>
      </c>
      <c r="C719" t="n">
        <v>-10.1497</v>
      </c>
      <c r="D719" t="n">
        <v>-67.7362</v>
      </c>
      <c r="E719" t="inlineStr">
        <is>
          <t>2022-04</t>
        </is>
      </c>
      <c r="F719" t="n">
        <v>21505.22085863318</v>
      </c>
    </row>
    <row r="720">
      <c r="A720" t="inlineStr">
        <is>
          <t>Milho</t>
        </is>
      </c>
      <c r="B720" t="inlineStr">
        <is>
          <t>Senador Guiomard - AC</t>
        </is>
      </c>
      <c r="C720" t="n">
        <v>-10.1497</v>
      </c>
      <c r="D720" t="n">
        <v>-67.7362</v>
      </c>
      <c r="E720" t="inlineStr">
        <is>
          <t>2022-05</t>
        </is>
      </c>
      <c r="F720" t="n">
        <v>6620.946580883897</v>
      </c>
    </row>
    <row r="721">
      <c r="A721" t="inlineStr">
        <is>
          <t>Milho</t>
        </is>
      </c>
      <c r="B721" t="inlineStr">
        <is>
          <t>Senador Guiomard - AC</t>
        </is>
      </c>
      <c r="C721" t="n">
        <v>-10.1497</v>
      </c>
      <c r="D721" t="n">
        <v>-67.7362</v>
      </c>
      <c r="E721" t="inlineStr">
        <is>
          <t>2022-06</t>
        </is>
      </c>
      <c r="F721" t="n">
        <v>0</v>
      </c>
    </row>
    <row r="722">
      <c r="A722" t="inlineStr">
        <is>
          <t>Milho</t>
        </is>
      </c>
      <c r="B722" t="inlineStr">
        <is>
          <t>Senador Guiomard - AC</t>
        </is>
      </c>
      <c r="C722" t="n">
        <v>-10.1497</v>
      </c>
      <c r="D722" t="n">
        <v>-67.7362</v>
      </c>
      <c r="E722" t="inlineStr">
        <is>
          <t>2021-07</t>
        </is>
      </c>
      <c r="F722" t="n">
        <v>0</v>
      </c>
    </row>
    <row r="723">
      <c r="A723" t="inlineStr">
        <is>
          <t>Milho</t>
        </is>
      </c>
      <c r="B723" t="inlineStr">
        <is>
          <t>Senador Guiomard - AC</t>
        </is>
      </c>
      <c r="C723" t="n">
        <v>-10.1497</v>
      </c>
      <c r="D723" t="n">
        <v>-67.7362</v>
      </c>
      <c r="E723" t="inlineStr">
        <is>
          <t>2021-08</t>
        </is>
      </c>
      <c r="F723" t="n">
        <v>0</v>
      </c>
    </row>
    <row r="724">
      <c r="A724" t="inlineStr">
        <is>
          <t>Milho</t>
        </is>
      </c>
      <c r="B724" t="inlineStr">
        <is>
          <t>Senador Guiomard - AC</t>
        </is>
      </c>
      <c r="C724" t="n">
        <v>-10.1497</v>
      </c>
      <c r="D724" t="n">
        <v>-67.7362</v>
      </c>
      <c r="E724" t="inlineStr">
        <is>
          <t>2021-09</t>
        </is>
      </c>
      <c r="F724" t="n">
        <v>0</v>
      </c>
    </row>
    <row r="725">
      <c r="A725" t="inlineStr">
        <is>
          <t>Milho</t>
        </is>
      </c>
      <c r="B725" t="inlineStr">
        <is>
          <t>Senador Guiomard - AC</t>
        </is>
      </c>
      <c r="C725" t="n">
        <v>-10.1497</v>
      </c>
      <c r="D725" t="n">
        <v>-67.7362</v>
      </c>
      <c r="E725" t="inlineStr">
        <is>
          <t>2021-10</t>
        </is>
      </c>
      <c r="F725" t="n">
        <v>0</v>
      </c>
    </row>
    <row r="726">
      <c r="A726" t="inlineStr">
        <is>
          <t>Milho</t>
        </is>
      </c>
      <c r="B726" t="inlineStr">
        <is>
          <t>Senador Guiomard - AC</t>
        </is>
      </c>
      <c r="C726" t="n">
        <v>-10.1497</v>
      </c>
      <c r="D726" t="n">
        <v>-67.7362</v>
      </c>
      <c r="E726" t="inlineStr">
        <is>
          <t>2021-11</t>
        </is>
      </c>
      <c r="F726" t="n">
        <v>0</v>
      </c>
    </row>
    <row r="727">
      <c r="A727" t="inlineStr">
        <is>
          <t>Milho</t>
        </is>
      </c>
      <c r="B727" t="inlineStr">
        <is>
          <t>Senador Guiomard - AC</t>
        </is>
      </c>
      <c r="C727" t="n">
        <v>-10.1497</v>
      </c>
      <c r="D727" t="n">
        <v>-67.7362</v>
      </c>
      <c r="E727" t="inlineStr">
        <is>
          <t>2021-12</t>
        </is>
      </c>
      <c r="F727" t="n">
        <v>0</v>
      </c>
    </row>
    <row r="728">
      <c r="A728" t="inlineStr">
        <is>
          <t>Milho</t>
        </is>
      </c>
      <c r="B728" t="inlineStr">
        <is>
          <t>Humaitá - AM</t>
        </is>
      </c>
      <c r="C728" t="n">
        <v>-7.51171</v>
      </c>
      <c r="D728" t="n">
        <v>-63.0327</v>
      </c>
      <c r="E728" t="inlineStr">
        <is>
          <t>2022-01</t>
        </is>
      </c>
      <c r="F728" t="n">
        <v>0</v>
      </c>
    </row>
    <row r="729">
      <c r="A729" t="inlineStr">
        <is>
          <t>Milho</t>
        </is>
      </c>
      <c r="B729" t="inlineStr">
        <is>
          <t>Humaitá - AM</t>
        </is>
      </c>
      <c r="C729" t="n">
        <v>-7.51171</v>
      </c>
      <c r="D729" t="n">
        <v>-63.0327</v>
      </c>
      <c r="E729" t="inlineStr">
        <is>
          <t>2022-02</t>
        </is>
      </c>
      <c r="F729" t="n">
        <v>9860.323906988477</v>
      </c>
    </row>
    <row r="730">
      <c r="A730" t="inlineStr">
        <is>
          <t>Milho</t>
        </is>
      </c>
      <c r="B730" t="inlineStr">
        <is>
          <t>Humaitá - AM</t>
        </is>
      </c>
      <c r="C730" t="n">
        <v>-7.51171</v>
      </c>
      <c r="D730" t="n">
        <v>-63.0327</v>
      </c>
      <c r="E730" t="inlineStr">
        <is>
          <t>2022-03</t>
        </is>
      </c>
      <c r="F730" t="n">
        <v>5889.748190760291</v>
      </c>
    </row>
    <row r="731">
      <c r="A731" t="inlineStr">
        <is>
          <t>Milho</t>
        </is>
      </c>
      <c r="B731" t="inlineStr">
        <is>
          <t>Humaitá - AM</t>
        </is>
      </c>
      <c r="C731" t="n">
        <v>-7.51171</v>
      </c>
      <c r="D731" t="n">
        <v>-63.0327</v>
      </c>
      <c r="E731" t="inlineStr">
        <is>
          <t>2022-04</t>
        </is>
      </c>
      <c r="F731" t="n">
        <v>10979.14592828713</v>
      </c>
    </row>
    <row r="732">
      <c r="A732" t="inlineStr">
        <is>
          <t>Milho</t>
        </is>
      </c>
      <c r="B732" t="inlineStr">
        <is>
          <t>Humaitá - AM</t>
        </is>
      </c>
      <c r="C732" t="n">
        <v>-7.51171</v>
      </c>
      <c r="D732" t="n">
        <v>-63.0327</v>
      </c>
      <c r="E732" t="inlineStr">
        <is>
          <t>2022-05</t>
        </is>
      </c>
      <c r="F732" t="n">
        <v>2897.329875891272</v>
      </c>
    </row>
    <row r="733">
      <c r="A733" t="inlineStr">
        <is>
          <t>Milho</t>
        </is>
      </c>
      <c r="B733" t="inlineStr">
        <is>
          <t>Humaitá - AM</t>
        </is>
      </c>
      <c r="C733" t="n">
        <v>-7.51171</v>
      </c>
      <c r="D733" t="n">
        <v>-63.0327</v>
      </c>
      <c r="E733" t="inlineStr">
        <is>
          <t>2022-06</t>
        </is>
      </c>
      <c r="F733" t="n">
        <v>2560.46464783976</v>
      </c>
    </row>
    <row r="734">
      <c r="A734" t="inlineStr">
        <is>
          <t>Milho</t>
        </is>
      </c>
      <c r="B734" t="inlineStr">
        <is>
          <t>Humaitá - AM</t>
        </is>
      </c>
      <c r="C734" t="n">
        <v>-7.51171</v>
      </c>
      <c r="D734" t="n">
        <v>-63.0327</v>
      </c>
      <c r="E734" t="inlineStr">
        <is>
          <t>2021-07</t>
        </is>
      </c>
      <c r="F734" t="n">
        <v>0</v>
      </c>
    </row>
    <row r="735">
      <c r="A735" t="inlineStr">
        <is>
          <t>Milho</t>
        </is>
      </c>
      <c r="B735" t="inlineStr">
        <is>
          <t>Humaitá - AM</t>
        </is>
      </c>
      <c r="C735" t="n">
        <v>-7.51171</v>
      </c>
      <c r="D735" t="n">
        <v>-63.0327</v>
      </c>
      <c r="E735" t="inlineStr">
        <is>
          <t>2021-08</t>
        </is>
      </c>
      <c r="F735" t="n">
        <v>0</v>
      </c>
    </row>
    <row r="736">
      <c r="A736" t="inlineStr">
        <is>
          <t>Milho</t>
        </is>
      </c>
      <c r="B736" t="inlineStr">
        <is>
          <t>Humaitá - AM</t>
        </is>
      </c>
      <c r="C736" t="n">
        <v>-7.51171</v>
      </c>
      <c r="D736" t="n">
        <v>-63.0327</v>
      </c>
      <c r="E736" t="inlineStr">
        <is>
          <t>2021-09</t>
        </is>
      </c>
      <c r="F736" t="n">
        <v>0</v>
      </c>
    </row>
    <row r="737">
      <c r="A737" t="inlineStr">
        <is>
          <t>Milho</t>
        </is>
      </c>
      <c r="B737" t="inlineStr">
        <is>
          <t>Humaitá - AM</t>
        </is>
      </c>
      <c r="C737" t="n">
        <v>-7.51171</v>
      </c>
      <c r="D737" t="n">
        <v>-63.0327</v>
      </c>
      <c r="E737" t="inlineStr">
        <is>
          <t>2021-10</t>
        </is>
      </c>
      <c r="F737" t="n">
        <v>0</v>
      </c>
    </row>
    <row r="738">
      <c r="A738" t="inlineStr">
        <is>
          <t>Milho</t>
        </is>
      </c>
      <c r="B738" t="inlineStr">
        <is>
          <t>Humaitá - AM</t>
        </is>
      </c>
      <c r="C738" t="n">
        <v>-7.51171</v>
      </c>
      <c r="D738" t="n">
        <v>-63.0327</v>
      </c>
      <c r="E738" t="inlineStr">
        <is>
          <t>2021-11</t>
        </is>
      </c>
      <c r="F738" t="n">
        <v>0</v>
      </c>
    </row>
    <row r="739">
      <c r="A739" t="inlineStr">
        <is>
          <t>Milho</t>
        </is>
      </c>
      <c r="B739" t="inlineStr">
        <is>
          <t>Humaitá - AM</t>
        </is>
      </c>
      <c r="C739" t="n">
        <v>-7.51171</v>
      </c>
      <c r="D739" t="n">
        <v>-63.0327</v>
      </c>
      <c r="E739" t="inlineStr">
        <is>
          <t>2021-12</t>
        </is>
      </c>
      <c r="F739" t="n">
        <v>0</v>
      </c>
    </row>
    <row r="740">
      <c r="A740" t="inlineStr">
        <is>
          <t>Milho</t>
        </is>
      </c>
      <c r="B740" t="inlineStr">
        <is>
          <t>Correntina - BA</t>
        </is>
      </c>
      <c r="C740" t="n">
        <v>-13.3477</v>
      </c>
      <c r="D740" t="n">
        <v>-44.6333</v>
      </c>
      <c r="E740" t="inlineStr">
        <is>
          <t>2022-01</t>
        </is>
      </c>
      <c r="F740" t="n">
        <v>0</v>
      </c>
    </row>
    <row r="741">
      <c r="A741" t="inlineStr">
        <is>
          <t>Milho</t>
        </is>
      </c>
      <c r="B741" t="inlineStr">
        <is>
          <t>Correntina - BA</t>
        </is>
      </c>
      <c r="C741" t="n">
        <v>-13.3477</v>
      </c>
      <c r="D741" t="n">
        <v>-44.6333</v>
      </c>
      <c r="E741" t="inlineStr">
        <is>
          <t>2022-02</t>
        </is>
      </c>
      <c r="F741" t="n">
        <v>421660.0418096353</v>
      </c>
    </row>
    <row r="742">
      <c r="A742" t="inlineStr">
        <is>
          <t>Milho</t>
        </is>
      </c>
      <c r="B742" t="inlineStr">
        <is>
          <t>Correntina - BA</t>
        </is>
      </c>
      <c r="C742" t="n">
        <v>-13.3477</v>
      </c>
      <c r="D742" t="n">
        <v>-44.6333</v>
      </c>
      <c r="E742" t="inlineStr">
        <is>
          <t>2022-03</t>
        </is>
      </c>
      <c r="F742" t="n">
        <v>503730.2003038774</v>
      </c>
    </row>
    <row r="743">
      <c r="A743" t="inlineStr">
        <is>
          <t>Milho</t>
        </is>
      </c>
      <c r="B743" t="inlineStr">
        <is>
          <t>Correntina - BA</t>
        </is>
      </c>
      <c r="C743" t="n">
        <v>-13.3477</v>
      </c>
      <c r="D743" t="n">
        <v>-44.6333</v>
      </c>
      <c r="E743" t="inlineStr">
        <is>
          <t>2022-04</t>
        </is>
      </c>
      <c r="F743" t="n">
        <v>670720.8135822129</v>
      </c>
    </row>
    <row r="744">
      <c r="A744" t="inlineStr">
        <is>
          <t>Milho</t>
        </is>
      </c>
      <c r="B744" t="inlineStr">
        <is>
          <t>Correntina - BA</t>
        </is>
      </c>
      <c r="C744" t="n">
        <v>-13.3477</v>
      </c>
      <c r="D744" t="n">
        <v>-44.6333</v>
      </c>
      <c r="E744" t="inlineStr">
        <is>
          <t>2022-05</t>
        </is>
      </c>
      <c r="F744" t="n">
        <v>578197.2098077668</v>
      </c>
    </row>
    <row r="745">
      <c r="A745" t="inlineStr">
        <is>
          <t>Milho</t>
        </is>
      </c>
      <c r="B745" t="inlineStr">
        <is>
          <t>Correntina - BA</t>
        </is>
      </c>
      <c r="C745" t="n">
        <v>-13.3477</v>
      </c>
      <c r="D745" t="n">
        <v>-44.6333</v>
      </c>
      <c r="E745" t="inlineStr">
        <is>
          <t>2022-06</t>
        </is>
      </c>
      <c r="F745" t="n">
        <v>218987.8630041779</v>
      </c>
    </row>
    <row r="746">
      <c r="A746" t="inlineStr">
        <is>
          <t>Milho</t>
        </is>
      </c>
      <c r="B746" t="inlineStr">
        <is>
          <t>Correntina - BA</t>
        </is>
      </c>
      <c r="C746" t="n">
        <v>-13.3477</v>
      </c>
      <c r="D746" t="n">
        <v>-44.6333</v>
      </c>
      <c r="E746" t="inlineStr">
        <is>
          <t>2021-07</t>
        </is>
      </c>
      <c r="F746" t="n">
        <v>0</v>
      </c>
    </row>
    <row r="747">
      <c r="A747" t="inlineStr">
        <is>
          <t>Milho</t>
        </is>
      </c>
      <c r="B747" t="inlineStr">
        <is>
          <t>Correntina - BA</t>
        </is>
      </c>
      <c r="C747" t="n">
        <v>-13.3477</v>
      </c>
      <c r="D747" t="n">
        <v>-44.6333</v>
      </c>
      <c r="E747" t="inlineStr">
        <is>
          <t>2021-08</t>
        </is>
      </c>
      <c r="F747" t="n">
        <v>0</v>
      </c>
    </row>
    <row r="748">
      <c r="A748" t="inlineStr">
        <is>
          <t>Milho</t>
        </is>
      </c>
      <c r="B748" t="inlineStr">
        <is>
          <t>Correntina - BA</t>
        </is>
      </c>
      <c r="C748" t="n">
        <v>-13.3477</v>
      </c>
      <c r="D748" t="n">
        <v>-44.6333</v>
      </c>
      <c r="E748" t="inlineStr">
        <is>
          <t>2021-09</t>
        </is>
      </c>
      <c r="F748" t="n">
        <v>0</v>
      </c>
    </row>
    <row r="749">
      <c r="A749" t="inlineStr">
        <is>
          <t>Milho</t>
        </is>
      </c>
      <c r="B749" t="inlineStr">
        <is>
          <t>Correntina - BA</t>
        </is>
      </c>
      <c r="C749" t="n">
        <v>-13.3477</v>
      </c>
      <c r="D749" t="n">
        <v>-44.6333</v>
      </c>
      <c r="E749" t="inlineStr">
        <is>
          <t>2021-10</t>
        </is>
      </c>
      <c r="F749" t="n">
        <v>0</v>
      </c>
    </row>
    <row r="750">
      <c r="A750" t="inlineStr">
        <is>
          <t>Milho</t>
        </is>
      </c>
      <c r="B750" t="inlineStr">
        <is>
          <t>Correntina - BA</t>
        </is>
      </c>
      <c r="C750" t="n">
        <v>-13.3477</v>
      </c>
      <c r="D750" t="n">
        <v>-44.6333</v>
      </c>
      <c r="E750" t="inlineStr">
        <is>
          <t>2021-11</t>
        </is>
      </c>
      <c r="F750" t="n">
        <v>0</v>
      </c>
    </row>
    <row r="751">
      <c r="A751" t="inlineStr">
        <is>
          <t>Milho</t>
        </is>
      </c>
      <c r="B751" t="inlineStr">
        <is>
          <t>Correntina - BA</t>
        </is>
      </c>
      <c r="C751" t="n">
        <v>-13.3477</v>
      </c>
      <c r="D751" t="n">
        <v>-44.6333</v>
      </c>
      <c r="E751" t="inlineStr">
        <is>
          <t>2021-12</t>
        </is>
      </c>
      <c r="F751" t="n">
        <v>0</v>
      </c>
    </row>
    <row r="752">
      <c r="A752" t="inlineStr">
        <is>
          <t>Milho</t>
        </is>
      </c>
      <c r="B752" t="inlineStr">
        <is>
          <t>Brasília - DF</t>
        </is>
      </c>
      <c r="C752" t="n">
        <v>-15.7795</v>
      </c>
      <c r="D752" t="n">
        <v>-47.9297</v>
      </c>
      <c r="E752" t="inlineStr">
        <is>
          <t>2022-01</t>
        </is>
      </c>
      <c r="F752" t="n">
        <v>0</v>
      </c>
    </row>
    <row r="753">
      <c r="A753" t="inlineStr">
        <is>
          <t>Milho</t>
        </is>
      </c>
      <c r="B753" t="inlineStr">
        <is>
          <t>Brasília - DF</t>
        </is>
      </c>
      <c r="C753" t="n">
        <v>-15.7795</v>
      </c>
      <c r="D753" t="n">
        <v>-47.9297</v>
      </c>
      <c r="E753" t="inlineStr">
        <is>
          <t>2022-02</t>
        </is>
      </c>
      <c r="F753" t="n">
        <v>37907.09344442175</v>
      </c>
    </row>
    <row r="754">
      <c r="A754" t="inlineStr">
        <is>
          <t>Milho</t>
        </is>
      </c>
      <c r="B754" t="inlineStr">
        <is>
          <t>Brasília - DF</t>
        </is>
      </c>
      <c r="C754" t="n">
        <v>-15.7795</v>
      </c>
      <c r="D754" t="n">
        <v>-47.9297</v>
      </c>
      <c r="E754" t="inlineStr">
        <is>
          <t>2022-03</t>
        </is>
      </c>
      <c r="F754" t="n">
        <v>45285.17260432532</v>
      </c>
    </row>
    <row r="755">
      <c r="A755" t="inlineStr">
        <is>
          <t>Milho</t>
        </is>
      </c>
      <c r="B755" t="inlineStr">
        <is>
          <t>Brasília - DF</t>
        </is>
      </c>
      <c r="C755" t="n">
        <v>-15.7795</v>
      </c>
      <c r="D755" t="n">
        <v>-47.9297</v>
      </c>
      <c r="E755" t="inlineStr">
        <is>
          <t>2022-04</t>
        </is>
      </c>
      <c r="F755" t="n">
        <v>84416.6002190961</v>
      </c>
    </row>
    <row r="756">
      <c r="A756" t="inlineStr">
        <is>
          <t>Milho</t>
        </is>
      </c>
      <c r="B756" t="inlineStr">
        <is>
          <t>Brasília - DF</t>
        </is>
      </c>
      <c r="C756" t="n">
        <v>-15.7795</v>
      </c>
      <c r="D756" t="n">
        <v>-47.9297</v>
      </c>
      <c r="E756" t="inlineStr">
        <is>
          <t>2022-05</t>
        </is>
      </c>
      <c r="F756" t="n">
        <v>22277.02768808316</v>
      </c>
    </row>
    <row r="757">
      <c r="A757" t="inlineStr">
        <is>
          <t>Milho</t>
        </is>
      </c>
      <c r="B757" t="inlineStr">
        <is>
          <t>Brasília - DF</t>
        </is>
      </c>
      <c r="C757" t="n">
        <v>-15.7795</v>
      </c>
      <c r="D757" t="n">
        <v>-47.9297</v>
      </c>
      <c r="E757" t="inlineStr">
        <is>
          <t>2022-06</t>
        </is>
      </c>
      <c r="F757" t="n">
        <v>9843.466967450162</v>
      </c>
    </row>
    <row r="758">
      <c r="A758" t="inlineStr">
        <is>
          <t>Milho</t>
        </is>
      </c>
      <c r="B758" t="inlineStr">
        <is>
          <t>Brasília - DF</t>
        </is>
      </c>
      <c r="C758" t="n">
        <v>-15.7795</v>
      </c>
      <c r="D758" t="n">
        <v>-47.9297</v>
      </c>
      <c r="E758" t="inlineStr">
        <is>
          <t>2021-07</t>
        </is>
      </c>
      <c r="F758" t="n">
        <v>0</v>
      </c>
    </row>
    <row r="759">
      <c r="A759" t="inlineStr">
        <is>
          <t>Milho</t>
        </is>
      </c>
      <c r="B759" t="inlineStr">
        <is>
          <t>Brasília - DF</t>
        </is>
      </c>
      <c r="C759" t="n">
        <v>-15.7795</v>
      </c>
      <c r="D759" t="n">
        <v>-47.9297</v>
      </c>
      <c r="E759" t="inlineStr">
        <is>
          <t>2021-08</t>
        </is>
      </c>
      <c r="F759" t="n">
        <v>0</v>
      </c>
    </row>
    <row r="760">
      <c r="A760" t="inlineStr">
        <is>
          <t>Milho</t>
        </is>
      </c>
      <c r="B760" t="inlineStr">
        <is>
          <t>Brasília - DF</t>
        </is>
      </c>
      <c r="C760" t="n">
        <v>-15.7795</v>
      </c>
      <c r="D760" t="n">
        <v>-47.9297</v>
      </c>
      <c r="E760" t="inlineStr">
        <is>
          <t>2021-09</t>
        </is>
      </c>
      <c r="F760" t="n">
        <v>0</v>
      </c>
    </row>
    <row r="761">
      <c r="A761" t="inlineStr">
        <is>
          <t>Milho</t>
        </is>
      </c>
      <c r="B761" t="inlineStr">
        <is>
          <t>Brasília - DF</t>
        </is>
      </c>
      <c r="C761" t="n">
        <v>-15.7795</v>
      </c>
      <c r="D761" t="n">
        <v>-47.9297</v>
      </c>
      <c r="E761" t="inlineStr">
        <is>
          <t>2021-10</t>
        </is>
      </c>
      <c r="F761" t="n">
        <v>0</v>
      </c>
    </row>
    <row r="762">
      <c r="A762" t="inlineStr">
        <is>
          <t>Milho</t>
        </is>
      </c>
      <c r="B762" t="inlineStr">
        <is>
          <t>Brasília - DF</t>
        </is>
      </c>
      <c r="C762" t="n">
        <v>-15.7795</v>
      </c>
      <c r="D762" t="n">
        <v>-47.9297</v>
      </c>
      <c r="E762" t="inlineStr">
        <is>
          <t>2021-11</t>
        </is>
      </c>
      <c r="F762" t="n">
        <v>0</v>
      </c>
    </row>
    <row r="763">
      <c r="A763" t="inlineStr">
        <is>
          <t>Milho</t>
        </is>
      </c>
      <c r="B763" t="inlineStr">
        <is>
          <t>Brasília - DF</t>
        </is>
      </c>
      <c r="C763" t="n">
        <v>-15.7795</v>
      </c>
      <c r="D763" t="n">
        <v>-47.9297</v>
      </c>
      <c r="E763" t="inlineStr">
        <is>
          <t>2021-12</t>
        </is>
      </c>
      <c r="F763" t="n">
        <v>0</v>
      </c>
    </row>
    <row r="764">
      <c r="A764" t="inlineStr">
        <is>
          <t>Milho</t>
        </is>
      </c>
      <c r="B764" t="inlineStr">
        <is>
          <t>Pinheiros - ES</t>
        </is>
      </c>
      <c r="C764" t="n">
        <v>-18.4141</v>
      </c>
      <c r="D764" t="n">
        <v>-40.2171</v>
      </c>
      <c r="E764" t="inlineStr">
        <is>
          <t>2022-01</t>
        </is>
      </c>
      <c r="F764" t="n">
        <v>18464.57031819215</v>
      </c>
    </row>
    <row r="765">
      <c r="A765" t="inlineStr">
        <is>
          <t>Milho</t>
        </is>
      </c>
      <c r="B765" t="inlineStr">
        <is>
          <t>Pinheiros - ES</t>
        </is>
      </c>
      <c r="C765" t="n">
        <v>-18.4141</v>
      </c>
      <c r="D765" t="n">
        <v>-40.2171</v>
      </c>
      <c r="E765" t="inlineStr">
        <is>
          <t>2022-02</t>
        </is>
      </c>
      <c r="F765" t="n">
        <v>19482.42570277873</v>
      </c>
    </row>
    <row r="766">
      <c r="A766" t="inlineStr">
        <is>
          <t>Milho</t>
        </is>
      </c>
      <c r="B766" t="inlineStr">
        <is>
          <t>Pinheiros - ES</t>
        </is>
      </c>
      <c r="C766" t="n">
        <v>-18.4141</v>
      </c>
      <c r="D766" t="n">
        <v>-40.2171</v>
      </c>
      <c r="E766" t="inlineStr">
        <is>
          <t>2022-03</t>
        </is>
      </c>
      <c r="F766" t="n">
        <v>27153.47143828462</v>
      </c>
    </row>
    <row r="767">
      <c r="A767" t="inlineStr">
        <is>
          <t>Milho</t>
        </is>
      </c>
      <c r="B767" t="inlineStr">
        <is>
          <t>Pinheiros - ES</t>
        </is>
      </c>
      <c r="C767" t="n">
        <v>-18.4141</v>
      </c>
      <c r="D767" t="n">
        <v>-40.2171</v>
      </c>
      <c r="E767" t="inlineStr">
        <is>
          <t>2022-04</t>
        </is>
      </c>
      <c r="F767" t="n">
        <v>9297.016877749715</v>
      </c>
    </row>
    <row r="768">
      <c r="A768" t="inlineStr">
        <is>
          <t>Milho</t>
        </is>
      </c>
      <c r="B768" t="inlineStr">
        <is>
          <t>Pinheiros - ES</t>
        </is>
      </c>
      <c r="C768" t="n">
        <v>-18.4141</v>
      </c>
      <c r="D768" t="n">
        <v>-40.2171</v>
      </c>
      <c r="E768" t="inlineStr">
        <is>
          <t>2022-05</t>
        </is>
      </c>
      <c r="F768" t="n">
        <v>2862.330617936706</v>
      </c>
    </row>
    <row r="769">
      <c r="A769" t="inlineStr">
        <is>
          <t>Milho</t>
        </is>
      </c>
      <c r="B769" t="inlineStr">
        <is>
          <t>Pinheiros - ES</t>
        </is>
      </c>
      <c r="C769" t="n">
        <v>-18.4141</v>
      </c>
      <c r="D769" t="n">
        <v>-40.2171</v>
      </c>
      <c r="E769" t="inlineStr">
        <is>
          <t>2022-06</t>
        </is>
      </c>
      <c r="F769" t="n">
        <v>0</v>
      </c>
    </row>
    <row r="770">
      <c r="A770" t="inlineStr">
        <is>
          <t>Milho</t>
        </is>
      </c>
      <c r="B770" t="inlineStr">
        <is>
          <t>Pinheiros - ES</t>
        </is>
      </c>
      <c r="C770" t="n">
        <v>-18.4141</v>
      </c>
      <c r="D770" t="n">
        <v>-40.2171</v>
      </c>
      <c r="E770" t="inlineStr">
        <is>
          <t>2021-07</t>
        </is>
      </c>
      <c r="F770" t="n">
        <v>0</v>
      </c>
    </row>
    <row r="771">
      <c r="A771" t="inlineStr">
        <is>
          <t>Milho</t>
        </is>
      </c>
      <c r="B771" t="inlineStr">
        <is>
          <t>Pinheiros - ES</t>
        </is>
      </c>
      <c r="C771" t="n">
        <v>-18.4141</v>
      </c>
      <c r="D771" t="n">
        <v>-40.2171</v>
      </c>
      <c r="E771" t="inlineStr">
        <is>
          <t>2021-08</t>
        </is>
      </c>
      <c r="F771" t="n">
        <v>0</v>
      </c>
    </row>
    <row r="772">
      <c r="A772" t="inlineStr">
        <is>
          <t>Milho</t>
        </is>
      </c>
      <c r="B772" t="inlineStr">
        <is>
          <t>Pinheiros - ES</t>
        </is>
      </c>
      <c r="C772" t="n">
        <v>-18.4141</v>
      </c>
      <c r="D772" t="n">
        <v>-40.2171</v>
      </c>
      <c r="E772" t="inlineStr">
        <is>
          <t>2021-09</t>
        </is>
      </c>
      <c r="F772" t="n">
        <v>0</v>
      </c>
    </row>
    <row r="773">
      <c r="A773" t="inlineStr">
        <is>
          <t>Milho</t>
        </is>
      </c>
      <c r="B773" t="inlineStr">
        <is>
          <t>Pinheiros - ES</t>
        </is>
      </c>
      <c r="C773" t="n">
        <v>-18.4141</v>
      </c>
      <c r="D773" t="n">
        <v>-40.2171</v>
      </c>
      <c r="E773" t="inlineStr">
        <is>
          <t>2021-10</t>
        </is>
      </c>
      <c r="F773" t="n">
        <v>0</v>
      </c>
    </row>
    <row r="774">
      <c r="A774" t="inlineStr">
        <is>
          <t>Milho</t>
        </is>
      </c>
      <c r="B774" t="inlineStr">
        <is>
          <t>Pinheiros - ES</t>
        </is>
      </c>
      <c r="C774" t="n">
        <v>-18.4141</v>
      </c>
      <c r="D774" t="n">
        <v>-40.2171</v>
      </c>
      <c r="E774" t="inlineStr">
        <is>
          <t>2021-11</t>
        </is>
      </c>
      <c r="F774" t="n">
        <v>0</v>
      </c>
    </row>
    <row r="775">
      <c r="A775" t="inlineStr">
        <is>
          <t>Milho</t>
        </is>
      </c>
      <c r="B775" t="inlineStr">
        <is>
          <t>Pinheiros - ES</t>
        </is>
      </c>
      <c r="C775" t="n">
        <v>-18.4141</v>
      </c>
      <c r="D775" t="n">
        <v>-40.2171</v>
      </c>
      <c r="E775" t="inlineStr">
        <is>
          <t>2021-12</t>
        </is>
      </c>
      <c r="F775" t="n">
        <v>0</v>
      </c>
    </row>
    <row r="776">
      <c r="A776" t="inlineStr">
        <is>
          <t>Milho</t>
        </is>
      </c>
      <c r="B776" t="inlineStr">
        <is>
          <t>Rio Verde - GO</t>
        </is>
      </c>
      <c r="C776" t="n">
        <v>-17.7923</v>
      </c>
      <c r="D776" t="n">
        <v>-50.9192</v>
      </c>
      <c r="E776" t="inlineStr">
        <is>
          <t>2022-01</t>
        </is>
      </c>
      <c r="F776" t="n">
        <v>0</v>
      </c>
    </row>
    <row r="777">
      <c r="A777" t="inlineStr">
        <is>
          <t>Milho</t>
        </is>
      </c>
      <c r="B777" t="inlineStr">
        <is>
          <t>Rio Verde - GO</t>
        </is>
      </c>
      <c r="C777" t="n">
        <v>-17.7923</v>
      </c>
      <c r="D777" t="n">
        <v>-50.9192</v>
      </c>
      <c r="E777" t="inlineStr">
        <is>
          <t>2022-02</t>
        </is>
      </c>
      <c r="F777" t="n">
        <v>450850.8816673341</v>
      </c>
    </row>
    <row r="778">
      <c r="A778" t="inlineStr">
        <is>
          <t>Milho</t>
        </is>
      </c>
      <c r="B778" t="inlineStr">
        <is>
          <t>Rio Verde - GO</t>
        </is>
      </c>
      <c r="C778" t="n">
        <v>-17.7923</v>
      </c>
      <c r="D778" t="n">
        <v>-50.9192</v>
      </c>
      <c r="E778" t="inlineStr">
        <is>
          <t>2022-03</t>
        </is>
      </c>
      <c r="F778" t="n">
        <v>538602.6239403469</v>
      </c>
    </row>
    <row r="779">
      <c r="A779" t="inlineStr">
        <is>
          <t>Milho</t>
        </is>
      </c>
      <c r="B779" t="inlineStr">
        <is>
          <t>Rio Verde - GO</t>
        </is>
      </c>
      <c r="C779" t="n">
        <v>-17.7923</v>
      </c>
      <c r="D779" t="n">
        <v>-50.9192</v>
      </c>
      <c r="E779" t="inlineStr">
        <is>
          <t>2022-04</t>
        </is>
      </c>
      <c r="F779" t="n">
        <v>1004015.216622708</v>
      </c>
    </row>
    <row r="780">
      <c r="A780" t="inlineStr">
        <is>
          <t>Milho</t>
        </is>
      </c>
      <c r="B780" t="inlineStr">
        <is>
          <t>Rio Verde - GO</t>
        </is>
      </c>
      <c r="C780" t="n">
        <v>-17.7923</v>
      </c>
      <c r="D780" t="n">
        <v>-50.9192</v>
      </c>
      <c r="E780" t="inlineStr">
        <is>
          <t>2022-05</t>
        </is>
      </c>
      <c r="F780" t="n">
        <v>264953.5129572927</v>
      </c>
    </row>
    <row r="781">
      <c r="A781" t="inlineStr">
        <is>
          <t>Milho</t>
        </is>
      </c>
      <c r="B781" t="inlineStr">
        <is>
          <t>Rio Verde - GO</t>
        </is>
      </c>
      <c r="C781" t="n">
        <v>-17.7923</v>
      </c>
      <c r="D781" t="n">
        <v>-50.9192</v>
      </c>
      <c r="E781" t="inlineStr">
        <is>
          <t>2022-06</t>
        </is>
      </c>
      <c r="F781" t="n">
        <v>117074.0185460263</v>
      </c>
    </row>
    <row r="782">
      <c r="A782" t="inlineStr">
        <is>
          <t>Milho</t>
        </is>
      </c>
      <c r="B782" t="inlineStr">
        <is>
          <t>Rio Verde - GO</t>
        </is>
      </c>
      <c r="C782" t="n">
        <v>-17.7923</v>
      </c>
      <c r="D782" t="n">
        <v>-50.9192</v>
      </c>
      <c r="E782" t="inlineStr">
        <is>
          <t>2021-07</t>
        </is>
      </c>
      <c r="F782" t="n">
        <v>0</v>
      </c>
    </row>
    <row r="783">
      <c r="A783" t="inlineStr">
        <is>
          <t>Milho</t>
        </is>
      </c>
      <c r="B783" t="inlineStr">
        <is>
          <t>Rio Verde - GO</t>
        </is>
      </c>
      <c r="C783" t="n">
        <v>-17.7923</v>
      </c>
      <c r="D783" t="n">
        <v>-50.9192</v>
      </c>
      <c r="E783" t="inlineStr">
        <is>
          <t>2021-08</t>
        </is>
      </c>
      <c r="F783" t="n">
        <v>0</v>
      </c>
    </row>
    <row r="784">
      <c r="A784" t="inlineStr">
        <is>
          <t>Milho</t>
        </is>
      </c>
      <c r="B784" t="inlineStr">
        <is>
          <t>Rio Verde - GO</t>
        </is>
      </c>
      <c r="C784" t="n">
        <v>-17.7923</v>
      </c>
      <c r="D784" t="n">
        <v>-50.9192</v>
      </c>
      <c r="E784" t="inlineStr">
        <is>
          <t>2021-09</t>
        </is>
      </c>
      <c r="F784" t="n">
        <v>0</v>
      </c>
    </row>
    <row r="785">
      <c r="A785" t="inlineStr">
        <is>
          <t>Milho</t>
        </is>
      </c>
      <c r="B785" t="inlineStr">
        <is>
          <t>Rio Verde - GO</t>
        </is>
      </c>
      <c r="C785" t="n">
        <v>-17.7923</v>
      </c>
      <c r="D785" t="n">
        <v>-50.9192</v>
      </c>
      <c r="E785" t="inlineStr">
        <is>
          <t>2021-10</t>
        </is>
      </c>
      <c r="F785" t="n">
        <v>0</v>
      </c>
    </row>
    <row r="786">
      <c r="A786" t="inlineStr">
        <is>
          <t>Milho</t>
        </is>
      </c>
      <c r="B786" t="inlineStr">
        <is>
          <t>Rio Verde - GO</t>
        </is>
      </c>
      <c r="C786" t="n">
        <v>-17.7923</v>
      </c>
      <c r="D786" t="n">
        <v>-50.9192</v>
      </c>
      <c r="E786" t="inlineStr">
        <is>
          <t>2021-11</t>
        </is>
      </c>
      <c r="F786" t="n">
        <v>0</v>
      </c>
    </row>
    <row r="787">
      <c r="A787" t="inlineStr">
        <is>
          <t>Milho</t>
        </is>
      </c>
      <c r="B787" t="inlineStr">
        <is>
          <t>Rio Verde - GO</t>
        </is>
      </c>
      <c r="C787" t="n">
        <v>-17.7923</v>
      </c>
      <c r="D787" t="n">
        <v>-50.9192</v>
      </c>
      <c r="E787" t="inlineStr">
        <is>
          <t>2021-12</t>
        </is>
      </c>
      <c r="F787" t="n">
        <v>0</v>
      </c>
    </row>
    <row r="788">
      <c r="A788" t="inlineStr">
        <is>
          <t>Milho</t>
        </is>
      </c>
      <c r="B788" t="inlineStr">
        <is>
          <t>Balsas - MA</t>
        </is>
      </c>
      <c r="C788" t="n">
        <v>-7.53214</v>
      </c>
      <c r="D788" t="n">
        <v>-46.0372</v>
      </c>
      <c r="E788" t="inlineStr">
        <is>
          <t>2022-01</t>
        </is>
      </c>
      <c r="F788" t="n">
        <v>0</v>
      </c>
    </row>
    <row r="789">
      <c r="A789" t="inlineStr">
        <is>
          <t>Milho</t>
        </is>
      </c>
      <c r="B789" t="inlineStr">
        <is>
          <t>Balsas - MA</t>
        </is>
      </c>
      <c r="C789" t="n">
        <v>-7.53214</v>
      </c>
      <c r="D789" t="n">
        <v>-46.0372</v>
      </c>
      <c r="E789" t="inlineStr">
        <is>
          <t>2022-02</t>
        </is>
      </c>
      <c r="F789" t="n">
        <v>346286.7631119008</v>
      </c>
    </row>
    <row r="790">
      <c r="A790" t="inlineStr">
        <is>
          <t>Milho</t>
        </is>
      </c>
      <c r="B790" t="inlineStr">
        <is>
          <t>Balsas - MA</t>
        </is>
      </c>
      <c r="C790" t="n">
        <v>-7.53214</v>
      </c>
      <c r="D790" t="n">
        <v>-46.0372</v>
      </c>
      <c r="E790" t="inlineStr">
        <is>
          <t>2022-03</t>
        </is>
      </c>
      <c r="F790" t="n">
        <v>413686.5798246316</v>
      </c>
    </row>
    <row r="791">
      <c r="A791" t="inlineStr">
        <is>
          <t>Milho</t>
        </is>
      </c>
      <c r="B791" t="inlineStr">
        <is>
          <t>Balsas - MA</t>
        </is>
      </c>
      <c r="C791" t="n">
        <v>-7.53214</v>
      </c>
      <c r="D791" t="n">
        <v>-46.0372</v>
      </c>
      <c r="E791" t="inlineStr">
        <is>
          <t>2022-04</t>
        </is>
      </c>
      <c r="F791" t="n">
        <v>771157.8120765649</v>
      </c>
    </row>
    <row r="792">
      <c r="A792" t="inlineStr">
        <is>
          <t>Milho</t>
        </is>
      </c>
      <c r="B792" t="inlineStr">
        <is>
          <t>Balsas - MA</t>
        </is>
      </c>
      <c r="C792" t="n">
        <v>-7.53214</v>
      </c>
      <c r="D792" t="n">
        <v>-46.0372</v>
      </c>
      <c r="E792" t="inlineStr">
        <is>
          <t>2022-05</t>
        </is>
      </c>
      <c r="F792" t="n">
        <v>203503.859275597</v>
      </c>
    </row>
    <row r="793">
      <c r="A793" t="inlineStr">
        <is>
          <t>Milho</t>
        </is>
      </c>
      <c r="B793" t="inlineStr">
        <is>
          <t>Balsas - MA</t>
        </is>
      </c>
      <c r="C793" t="n">
        <v>-7.53214</v>
      </c>
      <c r="D793" t="n">
        <v>-46.0372</v>
      </c>
      <c r="E793" t="inlineStr">
        <is>
          <t>2022-06</t>
        </is>
      </c>
      <c r="F793" t="n">
        <v>179842.9794653032</v>
      </c>
    </row>
    <row r="794">
      <c r="A794" t="inlineStr">
        <is>
          <t>Milho</t>
        </is>
      </c>
      <c r="B794" t="inlineStr">
        <is>
          <t>Balsas - MA</t>
        </is>
      </c>
      <c r="C794" t="n">
        <v>-7.53214</v>
      </c>
      <c r="D794" t="n">
        <v>-46.0372</v>
      </c>
      <c r="E794" t="inlineStr">
        <is>
          <t>2021-07</t>
        </is>
      </c>
      <c r="F794" t="n">
        <v>0</v>
      </c>
    </row>
    <row r="795">
      <c r="A795" t="inlineStr">
        <is>
          <t>Milho</t>
        </is>
      </c>
      <c r="B795" t="inlineStr">
        <is>
          <t>Balsas - MA</t>
        </is>
      </c>
      <c r="C795" t="n">
        <v>-7.53214</v>
      </c>
      <c r="D795" t="n">
        <v>-46.0372</v>
      </c>
      <c r="E795" t="inlineStr">
        <is>
          <t>2021-08</t>
        </is>
      </c>
      <c r="F795" t="n">
        <v>0</v>
      </c>
    </row>
    <row r="796">
      <c r="A796" t="inlineStr">
        <is>
          <t>Milho</t>
        </is>
      </c>
      <c r="B796" t="inlineStr">
        <is>
          <t>Balsas - MA</t>
        </is>
      </c>
      <c r="C796" t="n">
        <v>-7.53214</v>
      </c>
      <c r="D796" t="n">
        <v>-46.0372</v>
      </c>
      <c r="E796" t="inlineStr">
        <is>
          <t>2021-09</t>
        </is>
      </c>
      <c r="F796" t="n">
        <v>0</v>
      </c>
    </row>
    <row r="797">
      <c r="A797" t="inlineStr">
        <is>
          <t>Milho</t>
        </is>
      </c>
      <c r="B797" t="inlineStr">
        <is>
          <t>Balsas - MA</t>
        </is>
      </c>
      <c r="C797" t="n">
        <v>-7.53214</v>
      </c>
      <c r="D797" t="n">
        <v>-46.0372</v>
      </c>
      <c r="E797" t="inlineStr">
        <is>
          <t>2021-10</t>
        </is>
      </c>
      <c r="F797" t="n">
        <v>0</v>
      </c>
    </row>
    <row r="798">
      <c r="A798" t="inlineStr">
        <is>
          <t>Milho</t>
        </is>
      </c>
      <c r="B798" t="inlineStr">
        <is>
          <t>Balsas - MA</t>
        </is>
      </c>
      <c r="C798" t="n">
        <v>-7.53214</v>
      </c>
      <c r="D798" t="n">
        <v>-46.0372</v>
      </c>
      <c r="E798" t="inlineStr">
        <is>
          <t>2021-11</t>
        </is>
      </c>
      <c r="F798" t="n">
        <v>0</v>
      </c>
    </row>
    <row r="799">
      <c r="A799" t="inlineStr">
        <is>
          <t>Milho</t>
        </is>
      </c>
      <c r="B799" t="inlineStr">
        <is>
          <t>Balsas - MA</t>
        </is>
      </c>
      <c r="C799" t="n">
        <v>-7.53214</v>
      </c>
      <c r="D799" t="n">
        <v>-46.0372</v>
      </c>
      <c r="E799" t="inlineStr">
        <is>
          <t>2021-12</t>
        </is>
      </c>
      <c r="F799" t="n">
        <v>0</v>
      </c>
    </row>
    <row r="800">
      <c r="A800" t="inlineStr">
        <is>
          <t>Milho</t>
        </is>
      </c>
      <c r="B800" t="inlineStr">
        <is>
          <t>Unaí - MG</t>
        </is>
      </c>
      <c r="C800" t="n">
        <v>-16.3592</v>
      </c>
      <c r="D800" t="n">
        <v>-46.9022</v>
      </c>
      <c r="E800" t="inlineStr">
        <is>
          <t>2022-01</t>
        </is>
      </c>
      <c r="F800" t="n">
        <v>0</v>
      </c>
    </row>
    <row r="801">
      <c r="A801" t="inlineStr">
        <is>
          <t>Milho</t>
        </is>
      </c>
      <c r="B801" t="inlineStr">
        <is>
          <t>Unaí - MG</t>
        </is>
      </c>
      <c r="C801" t="n">
        <v>-16.3592</v>
      </c>
      <c r="D801" t="n">
        <v>-46.9022</v>
      </c>
      <c r="E801" t="inlineStr">
        <is>
          <t>2022-02</t>
        </is>
      </c>
      <c r="F801" t="n">
        <v>1239858.19814463</v>
      </c>
    </row>
    <row r="802">
      <c r="A802" t="inlineStr">
        <is>
          <t>Milho</t>
        </is>
      </c>
      <c r="B802" t="inlineStr">
        <is>
          <t>Unaí - MG</t>
        </is>
      </c>
      <c r="C802" t="n">
        <v>-16.3592</v>
      </c>
      <c r="D802" t="n">
        <v>-46.9022</v>
      </c>
      <c r="E802" t="inlineStr">
        <is>
          <t>2022-03</t>
        </is>
      </c>
      <c r="F802" t="n">
        <v>1481179.0460851</v>
      </c>
    </row>
    <row r="803">
      <c r="A803" t="inlineStr">
        <is>
          <t>Milho</t>
        </is>
      </c>
      <c r="B803" t="inlineStr">
        <is>
          <t>Unaí - MG</t>
        </is>
      </c>
      <c r="C803" t="n">
        <v>-16.3592</v>
      </c>
      <c r="D803" t="n">
        <v>-46.9022</v>
      </c>
      <c r="E803" t="inlineStr">
        <is>
          <t>2022-04</t>
        </is>
      </c>
      <c r="F803" t="n">
        <v>1972201.814089798</v>
      </c>
    </row>
    <row r="804">
      <c r="A804" t="inlineStr">
        <is>
          <t>Milho</t>
        </is>
      </c>
      <c r="B804" t="inlineStr">
        <is>
          <t>Unaí - MG</t>
        </is>
      </c>
      <c r="C804" t="n">
        <v>-16.3592</v>
      </c>
      <c r="D804" t="n">
        <v>-46.9022</v>
      </c>
      <c r="E804" t="inlineStr">
        <is>
          <t>2022-05</t>
        </is>
      </c>
      <c r="F804" t="n">
        <v>1214388.165892177</v>
      </c>
    </row>
    <row r="805">
      <c r="A805" t="inlineStr">
        <is>
          <t>Milho</t>
        </is>
      </c>
      <c r="B805" t="inlineStr">
        <is>
          <t>Unaí - MG</t>
        </is>
      </c>
      <c r="C805" t="n">
        <v>-16.3592</v>
      </c>
      <c r="D805" t="n">
        <v>-46.9022</v>
      </c>
      <c r="E805" t="inlineStr">
        <is>
          <t>2022-06</t>
        </is>
      </c>
      <c r="F805" t="n">
        <v>643916.5923207921</v>
      </c>
    </row>
    <row r="806">
      <c r="A806" t="inlineStr">
        <is>
          <t>Milho</t>
        </is>
      </c>
      <c r="B806" t="inlineStr">
        <is>
          <t>Unaí - MG</t>
        </is>
      </c>
      <c r="C806" t="n">
        <v>-16.3592</v>
      </c>
      <c r="D806" t="n">
        <v>-46.9022</v>
      </c>
      <c r="E806" t="inlineStr">
        <is>
          <t>2021-07</t>
        </is>
      </c>
      <c r="F806" t="n">
        <v>0</v>
      </c>
    </row>
    <row r="807">
      <c r="A807" t="inlineStr">
        <is>
          <t>Milho</t>
        </is>
      </c>
      <c r="B807" t="inlineStr">
        <is>
          <t>Unaí - MG</t>
        </is>
      </c>
      <c r="C807" t="n">
        <v>-16.3592</v>
      </c>
      <c r="D807" t="n">
        <v>-46.9022</v>
      </c>
      <c r="E807" t="inlineStr">
        <is>
          <t>2021-08</t>
        </is>
      </c>
      <c r="F807" t="n">
        <v>0</v>
      </c>
    </row>
    <row r="808">
      <c r="A808" t="inlineStr">
        <is>
          <t>Milho</t>
        </is>
      </c>
      <c r="B808" t="inlineStr">
        <is>
          <t>Unaí - MG</t>
        </is>
      </c>
      <c r="C808" t="n">
        <v>-16.3592</v>
      </c>
      <c r="D808" t="n">
        <v>-46.9022</v>
      </c>
      <c r="E808" t="inlineStr">
        <is>
          <t>2021-09</t>
        </is>
      </c>
      <c r="F808" t="n">
        <v>0</v>
      </c>
    </row>
    <row r="809">
      <c r="A809" t="inlineStr">
        <is>
          <t>Milho</t>
        </is>
      </c>
      <c r="B809" t="inlineStr">
        <is>
          <t>Unaí - MG</t>
        </is>
      </c>
      <c r="C809" t="n">
        <v>-16.3592</v>
      </c>
      <c r="D809" t="n">
        <v>-46.9022</v>
      </c>
      <c r="E809" t="inlineStr">
        <is>
          <t>2021-10</t>
        </is>
      </c>
      <c r="F809" t="n">
        <v>0</v>
      </c>
    </row>
    <row r="810">
      <c r="A810" t="inlineStr">
        <is>
          <t>Milho</t>
        </is>
      </c>
      <c r="B810" t="inlineStr">
        <is>
          <t>Unaí - MG</t>
        </is>
      </c>
      <c r="C810" t="n">
        <v>-16.3592</v>
      </c>
      <c r="D810" t="n">
        <v>-46.9022</v>
      </c>
      <c r="E810" t="inlineStr">
        <is>
          <t>2021-11</t>
        </is>
      </c>
      <c r="F810" t="n">
        <v>0</v>
      </c>
    </row>
    <row r="811">
      <c r="A811" t="inlineStr">
        <is>
          <t>Milho</t>
        </is>
      </c>
      <c r="B811" t="inlineStr">
        <is>
          <t>Unaí - MG</t>
        </is>
      </c>
      <c r="C811" t="n">
        <v>-16.3592</v>
      </c>
      <c r="D811" t="n">
        <v>-46.9022</v>
      </c>
      <c r="E811" t="inlineStr">
        <is>
          <t>2021-12</t>
        </is>
      </c>
      <c r="F811" t="n">
        <v>0</v>
      </c>
    </row>
    <row r="812">
      <c r="A812" t="inlineStr">
        <is>
          <t>Milho</t>
        </is>
      </c>
      <c r="B812" t="inlineStr">
        <is>
          <t>Maracaju - MS</t>
        </is>
      </c>
      <c r="C812" t="n">
        <v>-21.6105</v>
      </c>
      <c r="D812" t="n">
        <v>-55.1678</v>
      </c>
      <c r="E812" t="inlineStr">
        <is>
          <t>2022-01</t>
        </is>
      </c>
      <c r="F812" t="n">
        <v>73724.37607491577</v>
      </c>
    </row>
    <row r="813">
      <c r="A813" t="inlineStr">
        <is>
          <t>Milho</t>
        </is>
      </c>
      <c r="B813" t="inlineStr">
        <is>
          <t>Maracaju - MS</t>
        </is>
      </c>
      <c r="C813" t="n">
        <v>-21.6105</v>
      </c>
      <c r="D813" t="n">
        <v>-55.1678</v>
      </c>
      <c r="E813" t="inlineStr">
        <is>
          <t>2022-02</t>
        </is>
      </c>
      <c r="F813" t="n">
        <v>77788.41611863181</v>
      </c>
    </row>
    <row r="814">
      <c r="A814" t="inlineStr">
        <is>
          <t>Milho</t>
        </is>
      </c>
      <c r="B814" t="inlineStr">
        <is>
          <t>Maracaju - MS</t>
        </is>
      </c>
      <c r="C814" t="n">
        <v>-21.6105</v>
      </c>
      <c r="D814" t="n">
        <v>-55.1678</v>
      </c>
      <c r="E814" t="inlineStr">
        <is>
          <t>2022-03</t>
        </is>
      </c>
      <c r="F814" t="n">
        <v>108416.9685813509</v>
      </c>
    </row>
    <row r="815">
      <c r="A815" t="inlineStr">
        <is>
          <t>Milho</t>
        </is>
      </c>
      <c r="B815" t="inlineStr">
        <is>
          <t>Maracaju - MS</t>
        </is>
      </c>
      <c r="C815" t="n">
        <v>-21.6105</v>
      </c>
      <c r="D815" t="n">
        <v>-55.1678</v>
      </c>
      <c r="E815" t="inlineStr">
        <is>
          <t>2022-04</t>
        </is>
      </c>
      <c r="F815" t="n">
        <v>61867.74246196562</v>
      </c>
    </row>
    <row r="816">
      <c r="A816" t="inlineStr">
        <is>
          <t>Milho</t>
        </is>
      </c>
      <c r="B816" t="inlineStr">
        <is>
          <t>Maracaju - MS</t>
        </is>
      </c>
      <c r="C816" t="n">
        <v>-21.6105</v>
      </c>
      <c r="D816" t="n">
        <v>-55.1678</v>
      </c>
      <c r="E816" t="inlineStr">
        <is>
          <t>2022-05</t>
        </is>
      </c>
      <c r="F816" t="n">
        <v>22857.12965869585</v>
      </c>
    </row>
    <row r="817">
      <c r="A817" t="inlineStr">
        <is>
          <t>Milho</t>
        </is>
      </c>
      <c r="B817" t="inlineStr">
        <is>
          <t>Maracaju - MS</t>
        </is>
      </c>
      <c r="C817" t="n">
        <v>-21.6105</v>
      </c>
      <c r="D817" t="n">
        <v>-55.1678</v>
      </c>
      <c r="E817" t="inlineStr">
        <is>
          <t>2022-06</t>
        </is>
      </c>
      <c r="F817" t="n">
        <v>0</v>
      </c>
    </row>
    <row r="818">
      <c r="A818" t="inlineStr">
        <is>
          <t>Milho</t>
        </is>
      </c>
      <c r="B818" t="inlineStr">
        <is>
          <t>Maracaju - MS</t>
        </is>
      </c>
      <c r="C818" t="n">
        <v>-21.6105</v>
      </c>
      <c r="D818" t="n">
        <v>-55.1678</v>
      </c>
      <c r="E818" t="inlineStr">
        <is>
          <t>2021-07</t>
        </is>
      </c>
      <c r="F818" t="n">
        <v>0</v>
      </c>
    </row>
    <row r="819">
      <c r="A819" t="inlineStr">
        <is>
          <t>Milho</t>
        </is>
      </c>
      <c r="B819" t="inlineStr">
        <is>
          <t>Maracaju - MS</t>
        </is>
      </c>
      <c r="C819" t="n">
        <v>-21.6105</v>
      </c>
      <c r="D819" t="n">
        <v>-55.1678</v>
      </c>
      <c r="E819" t="inlineStr">
        <is>
          <t>2021-08</t>
        </is>
      </c>
      <c r="F819" t="n">
        <v>0</v>
      </c>
    </row>
    <row r="820">
      <c r="A820" t="inlineStr">
        <is>
          <t>Milho</t>
        </is>
      </c>
      <c r="B820" t="inlineStr">
        <is>
          <t>Maracaju - MS</t>
        </is>
      </c>
      <c r="C820" t="n">
        <v>-21.6105</v>
      </c>
      <c r="D820" t="n">
        <v>-55.1678</v>
      </c>
      <c r="E820" t="inlineStr">
        <is>
          <t>2021-09</t>
        </is>
      </c>
      <c r="F820" t="n">
        <v>0</v>
      </c>
    </row>
    <row r="821">
      <c r="A821" t="inlineStr">
        <is>
          <t>Milho</t>
        </is>
      </c>
      <c r="B821" t="inlineStr">
        <is>
          <t>Maracaju - MS</t>
        </is>
      </c>
      <c r="C821" t="n">
        <v>-21.6105</v>
      </c>
      <c r="D821" t="n">
        <v>-55.1678</v>
      </c>
      <c r="E821" t="inlineStr">
        <is>
          <t>2021-10</t>
        </is>
      </c>
      <c r="F821" t="n">
        <v>0</v>
      </c>
    </row>
    <row r="822">
      <c r="A822" t="inlineStr">
        <is>
          <t>Milho</t>
        </is>
      </c>
      <c r="B822" t="inlineStr">
        <is>
          <t>Maracaju - MS</t>
        </is>
      </c>
      <c r="C822" t="n">
        <v>-21.6105</v>
      </c>
      <c r="D822" t="n">
        <v>-55.1678</v>
      </c>
      <c r="E822" t="inlineStr">
        <is>
          <t>2021-11</t>
        </is>
      </c>
      <c r="F822" t="n">
        <v>0</v>
      </c>
    </row>
    <row r="823">
      <c r="A823" t="inlineStr">
        <is>
          <t>Milho</t>
        </is>
      </c>
      <c r="B823" t="inlineStr">
        <is>
          <t>Maracaju - MS</t>
        </is>
      </c>
      <c r="C823" t="n">
        <v>-21.6105</v>
      </c>
      <c r="D823" t="n">
        <v>-55.1678</v>
      </c>
      <c r="E823" t="inlineStr">
        <is>
          <t>2021-12</t>
        </is>
      </c>
      <c r="F823" t="n">
        <v>0</v>
      </c>
    </row>
    <row r="824">
      <c r="A824" t="inlineStr">
        <is>
          <t>Milho</t>
        </is>
      </c>
      <c r="B824" t="inlineStr">
        <is>
          <t>Sorriso - MT</t>
        </is>
      </c>
      <c r="C824" t="n">
        <v>-12.5425</v>
      </c>
      <c r="D824" t="n">
        <v>-55.7211</v>
      </c>
      <c r="E824" t="inlineStr">
        <is>
          <t>2022-01</t>
        </is>
      </c>
      <c r="F824" t="n">
        <v>0</v>
      </c>
    </row>
    <row r="825">
      <c r="A825" t="inlineStr">
        <is>
          <t>Milho</t>
        </is>
      </c>
      <c r="B825" t="inlineStr">
        <is>
          <t>Sorriso - MT</t>
        </is>
      </c>
      <c r="C825" t="n">
        <v>-12.5425</v>
      </c>
      <c r="D825" t="n">
        <v>-55.7211</v>
      </c>
      <c r="E825" t="inlineStr">
        <is>
          <t>2022-02</t>
        </is>
      </c>
      <c r="F825" t="n">
        <v>213902.7408898385</v>
      </c>
    </row>
    <row r="826">
      <c r="A826" t="inlineStr">
        <is>
          <t>Milho</t>
        </is>
      </c>
      <c r="B826" t="inlineStr">
        <is>
          <t>Sorriso - MT</t>
        </is>
      </c>
      <c r="C826" t="n">
        <v>-12.5425</v>
      </c>
      <c r="D826" t="n">
        <v>-55.7211</v>
      </c>
      <c r="E826" t="inlineStr">
        <is>
          <t>2022-03</t>
        </is>
      </c>
      <c r="F826" t="n">
        <v>212946.5679894636</v>
      </c>
    </row>
    <row r="827">
      <c r="A827" t="inlineStr">
        <is>
          <t>Milho</t>
        </is>
      </c>
      <c r="B827" t="inlineStr">
        <is>
          <t>Sorriso - MT</t>
        </is>
      </c>
      <c r="C827" t="n">
        <v>-12.5425</v>
      </c>
      <c r="D827" t="n">
        <v>-55.7211</v>
      </c>
      <c r="E827" t="inlineStr">
        <is>
          <t>2022-04</t>
        </is>
      </c>
      <c r="F827" t="n">
        <v>170124.0408995986</v>
      </c>
    </row>
    <row r="828">
      <c r="A828" t="inlineStr">
        <is>
          <t>Milho</t>
        </is>
      </c>
      <c r="B828" t="inlineStr">
        <is>
          <t>Sorriso - MT</t>
        </is>
      </c>
      <c r="C828" t="n">
        <v>-12.5425</v>
      </c>
      <c r="D828" t="n">
        <v>-55.7211</v>
      </c>
      <c r="E828" t="inlineStr">
        <is>
          <t>2022-05</t>
        </is>
      </c>
      <c r="F828" t="n">
        <v>62852.58045893549</v>
      </c>
    </row>
    <row r="829">
      <c r="A829" t="inlineStr">
        <is>
          <t>Milho</t>
        </is>
      </c>
      <c r="B829" t="inlineStr">
        <is>
          <t>Sorriso - MT</t>
        </is>
      </c>
      <c r="C829" t="n">
        <v>-12.5425</v>
      </c>
      <c r="D829" t="n">
        <v>-55.7211</v>
      </c>
      <c r="E829" t="inlineStr">
        <is>
          <t>2022-06</t>
        </is>
      </c>
      <c r="F829" t="n">
        <v>55544.86965040627</v>
      </c>
    </row>
    <row r="830">
      <c r="A830" t="inlineStr">
        <is>
          <t>Milho</t>
        </is>
      </c>
      <c r="B830" t="inlineStr">
        <is>
          <t>Sorriso - MT</t>
        </is>
      </c>
      <c r="C830" t="n">
        <v>-12.5425</v>
      </c>
      <c r="D830" t="n">
        <v>-55.7211</v>
      </c>
      <c r="E830" t="inlineStr">
        <is>
          <t>2021-07</t>
        </is>
      </c>
      <c r="F830" t="n">
        <v>0</v>
      </c>
    </row>
    <row r="831">
      <c r="A831" t="inlineStr">
        <is>
          <t>Milho</t>
        </is>
      </c>
      <c r="B831" t="inlineStr">
        <is>
          <t>Sorriso - MT</t>
        </is>
      </c>
      <c r="C831" t="n">
        <v>-12.5425</v>
      </c>
      <c r="D831" t="n">
        <v>-55.7211</v>
      </c>
      <c r="E831" t="inlineStr">
        <is>
          <t>2021-08</t>
        </is>
      </c>
      <c r="F831" t="n">
        <v>0</v>
      </c>
    </row>
    <row r="832">
      <c r="A832" t="inlineStr">
        <is>
          <t>Milho</t>
        </is>
      </c>
      <c r="B832" t="inlineStr">
        <is>
          <t>Sorriso - MT</t>
        </is>
      </c>
      <c r="C832" t="n">
        <v>-12.5425</v>
      </c>
      <c r="D832" t="n">
        <v>-55.7211</v>
      </c>
      <c r="E832" t="inlineStr">
        <is>
          <t>2021-09</t>
        </is>
      </c>
      <c r="F832" t="n">
        <v>0</v>
      </c>
    </row>
    <row r="833">
      <c r="A833" t="inlineStr">
        <is>
          <t>Milho</t>
        </is>
      </c>
      <c r="B833" t="inlineStr">
        <is>
          <t>Sorriso - MT</t>
        </is>
      </c>
      <c r="C833" t="n">
        <v>-12.5425</v>
      </c>
      <c r="D833" t="n">
        <v>-55.7211</v>
      </c>
      <c r="E833" t="inlineStr">
        <is>
          <t>2021-10</t>
        </is>
      </c>
      <c r="F833" t="n">
        <v>0</v>
      </c>
    </row>
    <row r="834">
      <c r="A834" t="inlineStr">
        <is>
          <t>Milho</t>
        </is>
      </c>
      <c r="B834" t="inlineStr">
        <is>
          <t>Sorriso - MT</t>
        </is>
      </c>
      <c r="C834" t="n">
        <v>-12.5425</v>
      </c>
      <c r="D834" t="n">
        <v>-55.7211</v>
      </c>
      <c r="E834" t="inlineStr">
        <is>
          <t>2021-11</t>
        </is>
      </c>
      <c r="F834" t="n">
        <v>0</v>
      </c>
    </row>
    <row r="835">
      <c r="A835" t="inlineStr">
        <is>
          <t>Milho</t>
        </is>
      </c>
      <c r="B835" t="inlineStr">
        <is>
          <t>Sorriso - MT</t>
        </is>
      </c>
      <c r="C835" t="n">
        <v>-12.5425</v>
      </c>
      <c r="D835" t="n">
        <v>-55.7211</v>
      </c>
      <c r="E835" t="inlineStr">
        <is>
          <t>2021-12</t>
        </is>
      </c>
      <c r="F835" t="n">
        <v>0</v>
      </c>
    </row>
    <row r="836">
      <c r="A836" t="inlineStr">
        <is>
          <t>Milho</t>
        </is>
      </c>
      <c r="B836" t="inlineStr">
        <is>
          <t>Santana do Araguaia - PA</t>
        </is>
      </c>
      <c r="C836" t="n">
        <v>-9.328099999999999</v>
      </c>
      <c r="D836" t="n">
        <v>-50.35</v>
      </c>
      <c r="E836" t="inlineStr">
        <is>
          <t>2022-01</t>
        </is>
      </c>
      <c r="F836" t="n">
        <v>0</v>
      </c>
    </row>
    <row r="837">
      <c r="A837" t="inlineStr">
        <is>
          <t>Milho</t>
        </is>
      </c>
      <c r="B837" t="inlineStr">
        <is>
          <t>Santana do Araguaia - PA</t>
        </is>
      </c>
      <c r="C837" t="n">
        <v>-9.328099999999999</v>
      </c>
      <c r="D837" t="n">
        <v>-50.35</v>
      </c>
      <c r="E837" t="inlineStr">
        <is>
          <t>2022-02</t>
        </is>
      </c>
      <c r="F837" t="n">
        <v>217092.8456832761</v>
      </c>
    </row>
    <row r="838">
      <c r="A838" t="inlineStr">
        <is>
          <t>Milho</t>
        </is>
      </c>
      <c r="B838" t="inlineStr">
        <is>
          <t>Santana do Araguaia - PA</t>
        </is>
      </c>
      <c r="C838" t="n">
        <v>-9.328099999999999</v>
      </c>
      <c r="D838" t="n">
        <v>-50.35</v>
      </c>
      <c r="E838" t="inlineStr">
        <is>
          <t>2022-03</t>
        </is>
      </c>
      <c r="F838" t="n">
        <v>129673.4475612773</v>
      </c>
    </row>
    <row r="839">
      <c r="A839" t="inlineStr">
        <is>
          <t>Milho</t>
        </is>
      </c>
      <c r="B839" t="inlineStr">
        <is>
          <t>Santana do Araguaia - PA</t>
        </is>
      </c>
      <c r="C839" t="n">
        <v>-9.328099999999999</v>
      </c>
      <c r="D839" t="n">
        <v>-50.35</v>
      </c>
      <c r="E839" t="inlineStr">
        <is>
          <t>2022-04</t>
        </is>
      </c>
      <c r="F839" t="n">
        <v>172661.2384880685</v>
      </c>
    </row>
    <row r="840">
      <c r="A840" t="inlineStr">
        <is>
          <t>Milho</t>
        </is>
      </c>
      <c r="B840" t="inlineStr">
        <is>
          <t>Santana do Araguaia - PA</t>
        </is>
      </c>
      <c r="C840" t="n">
        <v>-9.328099999999999</v>
      </c>
      <c r="D840" t="n">
        <v>-50.35</v>
      </c>
      <c r="E840" t="inlineStr">
        <is>
          <t>2022-05</t>
        </is>
      </c>
      <c r="F840" t="n">
        <v>106316.5864822849</v>
      </c>
    </row>
    <row r="841">
      <c r="A841" t="inlineStr">
        <is>
          <t>Milho</t>
        </is>
      </c>
      <c r="B841" t="inlineStr">
        <is>
          <t>Santana do Araguaia - PA</t>
        </is>
      </c>
      <c r="C841" t="n">
        <v>-9.328099999999999</v>
      </c>
      <c r="D841" t="n">
        <v>-50.35</v>
      </c>
      <c r="E841" t="inlineStr">
        <is>
          <t>2022-06</t>
        </is>
      </c>
      <c r="F841" t="n">
        <v>56373.25527176625</v>
      </c>
    </row>
    <row r="842">
      <c r="A842" t="inlineStr">
        <is>
          <t>Milho</t>
        </is>
      </c>
      <c r="B842" t="inlineStr">
        <is>
          <t>Santana do Araguaia - PA</t>
        </is>
      </c>
      <c r="C842" t="n">
        <v>-9.328099999999999</v>
      </c>
      <c r="D842" t="n">
        <v>-50.35</v>
      </c>
      <c r="E842" t="inlineStr">
        <is>
          <t>2021-07</t>
        </is>
      </c>
      <c r="F842" t="n">
        <v>0</v>
      </c>
    </row>
    <row r="843">
      <c r="A843" t="inlineStr">
        <is>
          <t>Milho</t>
        </is>
      </c>
      <c r="B843" t="inlineStr">
        <is>
          <t>Santana do Araguaia - PA</t>
        </is>
      </c>
      <c r="C843" t="n">
        <v>-9.328099999999999</v>
      </c>
      <c r="D843" t="n">
        <v>-50.35</v>
      </c>
      <c r="E843" t="inlineStr">
        <is>
          <t>2021-08</t>
        </is>
      </c>
      <c r="F843" t="n">
        <v>0</v>
      </c>
    </row>
    <row r="844">
      <c r="A844" t="inlineStr">
        <is>
          <t>Milho</t>
        </is>
      </c>
      <c r="B844" t="inlineStr">
        <is>
          <t>Santana do Araguaia - PA</t>
        </is>
      </c>
      <c r="C844" t="n">
        <v>-9.328099999999999</v>
      </c>
      <c r="D844" t="n">
        <v>-50.35</v>
      </c>
      <c r="E844" t="inlineStr">
        <is>
          <t>2021-09</t>
        </is>
      </c>
      <c r="F844" t="n">
        <v>0</v>
      </c>
    </row>
    <row r="845">
      <c r="A845" t="inlineStr">
        <is>
          <t>Milho</t>
        </is>
      </c>
      <c r="B845" t="inlineStr">
        <is>
          <t>Santana do Araguaia - PA</t>
        </is>
      </c>
      <c r="C845" t="n">
        <v>-9.328099999999999</v>
      </c>
      <c r="D845" t="n">
        <v>-50.35</v>
      </c>
      <c r="E845" t="inlineStr">
        <is>
          <t>2021-10</t>
        </is>
      </c>
      <c r="F845" t="n">
        <v>0</v>
      </c>
    </row>
    <row r="846">
      <c r="A846" t="inlineStr">
        <is>
          <t>Milho</t>
        </is>
      </c>
      <c r="B846" t="inlineStr">
        <is>
          <t>Santana do Araguaia - PA</t>
        </is>
      </c>
      <c r="C846" t="n">
        <v>-9.328099999999999</v>
      </c>
      <c r="D846" t="n">
        <v>-50.35</v>
      </c>
      <c r="E846" t="inlineStr">
        <is>
          <t>2021-11</t>
        </is>
      </c>
      <c r="F846" t="n">
        <v>0</v>
      </c>
    </row>
    <row r="847">
      <c r="A847" t="inlineStr">
        <is>
          <t>Milho</t>
        </is>
      </c>
      <c r="B847" t="inlineStr">
        <is>
          <t>Santana do Araguaia - PA</t>
        </is>
      </c>
      <c r="C847" t="n">
        <v>-9.328099999999999</v>
      </c>
      <c r="D847" t="n">
        <v>-50.35</v>
      </c>
      <c r="E847" t="inlineStr">
        <is>
          <t>2021-12</t>
        </is>
      </c>
      <c r="F847" t="n">
        <v>0</v>
      </c>
    </row>
    <row r="848">
      <c r="A848" t="inlineStr">
        <is>
          <t>Milho</t>
        </is>
      </c>
      <c r="B848" t="inlineStr">
        <is>
          <t>Exu - PE</t>
        </is>
      </c>
      <c r="C848" t="n">
        <v>-7.50364</v>
      </c>
      <c r="D848" t="n">
        <v>-39.7238</v>
      </c>
      <c r="E848" t="inlineStr">
        <is>
          <t>2022-01</t>
        </is>
      </c>
      <c r="F848" t="n">
        <v>0</v>
      </c>
    </row>
    <row r="849">
      <c r="A849" t="inlineStr">
        <is>
          <t>Milho</t>
        </is>
      </c>
      <c r="B849" t="inlineStr">
        <is>
          <t>Exu - PE</t>
        </is>
      </c>
      <c r="C849" t="n">
        <v>-7.50364</v>
      </c>
      <c r="D849" t="n">
        <v>-39.7238</v>
      </c>
      <c r="E849" t="inlineStr">
        <is>
          <t>2022-02</t>
        </is>
      </c>
      <c r="F849" t="n">
        <v>0</v>
      </c>
    </row>
    <row r="850">
      <c r="A850" t="inlineStr">
        <is>
          <t>Milho</t>
        </is>
      </c>
      <c r="B850" t="inlineStr">
        <is>
          <t>Exu - PE</t>
        </is>
      </c>
      <c r="C850" t="n">
        <v>-7.50364</v>
      </c>
      <c r="D850" t="n">
        <v>-39.7238</v>
      </c>
      <c r="E850" t="inlineStr">
        <is>
          <t>2022-03</t>
        </is>
      </c>
      <c r="F850" t="n">
        <v>0</v>
      </c>
    </row>
    <row r="851">
      <c r="A851" t="inlineStr">
        <is>
          <t>Milho</t>
        </is>
      </c>
      <c r="B851" t="inlineStr">
        <is>
          <t>Exu - PE</t>
        </is>
      </c>
      <c r="C851" t="n">
        <v>-7.50364</v>
      </c>
      <c r="D851" t="n">
        <v>-39.7238</v>
      </c>
      <c r="E851" t="inlineStr">
        <is>
          <t>2022-04</t>
        </is>
      </c>
      <c r="F851" t="n">
        <v>0</v>
      </c>
    </row>
    <row r="852">
      <c r="A852" t="inlineStr">
        <is>
          <t>Milho</t>
        </is>
      </c>
      <c r="B852" t="inlineStr">
        <is>
          <t>Exu - PE</t>
        </is>
      </c>
      <c r="C852" t="n">
        <v>-7.50364</v>
      </c>
      <c r="D852" t="n">
        <v>-39.7238</v>
      </c>
      <c r="E852" t="inlineStr">
        <is>
          <t>2022-05</t>
        </is>
      </c>
      <c r="F852" t="n">
        <v>0</v>
      </c>
    </row>
    <row r="853">
      <c r="A853" t="inlineStr">
        <is>
          <t>Milho</t>
        </is>
      </c>
      <c r="B853" t="inlineStr">
        <is>
          <t>Exu - PE</t>
        </is>
      </c>
      <c r="C853" t="n">
        <v>-7.50364</v>
      </c>
      <c r="D853" t="n">
        <v>-39.7238</v>
      </c>
      <c r="E853" t="inlineStr">
        <is>
          <t>2022-06</t>
        </is>
      </c>
      <c r="F853" t="n">
        <v>0</v>
      </c>
    </row>
    <row r="854">
      <c r="A854" t="inlineStr">
        <is>
          <t>Milho</t>
        </is>
      </c>
      <c r="B854" t="inlineStr">
        <is>
          <t>Exu - PE</t>
        </is>
      </c>
      <c r="C854" t="n">
        <v>-7.50364</v>
      </c>
      <c r="D854" t="n">
        <v>-39.7238</v>
      </c>
      <c r="E854" t="inlineStr">
        <is>
          <t>2021-07</t>
        </is>
      </c>
      <c r="F854" t="n">
        <v>0</v>
      </c>
    </row>
    <row r="855">
      <c r="A855" t="inlineStr">
        <is>
          <t>Milho</t>
        </is>
      </c>
      <c r="B855" t="inlineStr">
        <is>
          <t>Exu - PE</t>
        </is>
      </c>
      <c r="C855" t="n">
        <v>-7.50364</v>
      </c>
      <c r="D855" t="n">
        <v>-39.7238</v>
      </c>
      <c r="E855" t="inlineStr">
        <is>
          <t>2021-08</t>
        </is>
      </c>
      <c r="F855" t="n">
        <v>0</v>
      </c>
    </row>
    <row r="856">
      <c r="A856" t="inlineStr">
        <is>
          <t>Milho</t>
        </is>
      </c>
      <c r="B856" t="inlineStr">
        <is>
          <t>Exu - PE</t>
        </is>
      </c>
      <c r="C856" t="n">
        <v>-7.50364</v>
      </c>
      <c r="D856" t="n">
        <v>-39.7238</v>
      </c>
      <c r="E856" t="inlineStr">
        <is>
          <t>2021-09</t>
        </is>
      </c>
      <c r="F856" t="n">
        <v>0</v>
      </c>
    </row>
    <row r="857">
      <c r="A857" t="inlineStr">
        <is>
          <t>Milho</t>
        </is>
      </c>
      <c r="B857" t="inlineStr">
        <is>
          <t>Exu - PE</t>
        </is>
      </c>
      <c r="C857" t="n">
        <v>-7.50364</v>
      </c>
      <c r="D857" t="n">
        <v>-39.7238</v>
      </c>
      <c r="E857" t="inlineStr">
        <is>
          <t>2021-10</t>
        </is>
      </c>
      <c r="F857" t="n">
        <v>0</v>
      </c>
    </row>
    <row r="858">
      <c r="A858" t="inlineStr">
        <is>
          <t>Milho</t>
        </is>
      </c>
      <c r="B858" t="inlineStr">
        <is>
          <t>Exu - PE</t>
        </is>
      </c>
      <c r="C858" t="n">
        <v>-7.50364</v>
      </c>
      <c r="D858" t="n">
        <v>-39.7238</v>
      </c>
      <c r="E858" t="inlineStr">
        <is>
          <t>2021-11</t>
        </is>
      </c>
      <c r="F858" t="n">
        <v>0</v>
      </c>
    </row>
    <row r="859">
      <c r="A859" t="inlineStr">
        <is>
          <t>Milho</t>
        </is>
      </c>
      <c r="B859" t="inlineStr">
        <is>
          <t>Exu - PE</t>
        </is>
      </c>
      <c r="C859" t="n">
        <v>-7.50364</v>
      </c>
      <c r="D859" t="n">
        <v>-39.7238</v>
      </c>
      <c r="E859" t="inlineStr">
        <is>
          <t>2021-12</t>
        </is>
      </c>
      <c r="F859" t="n">
        <v>0</v>
      </c>
    </row>
    <row r="860">
      <c r="A860" t="inlineStr">
        <is>
          <t>Milho</t>
        </is>
      </c>
      <c r="B860" t="inlineStr">
        <is>
          <t>Baixa Grande do Ribeiro - PI</t>
        </is>
      </c>
      <c r="C860" t="n">
        <v>-7.84903</v>
      </c>
      <c r="D860" t="n">
        <v>-45.219</v>
      </c>
      <c r="E860" t="inlineStr">
        <is>
          <t>2022-01</t>
        </is>
      </c>
      <c r="F860" t="n">
        <v>0</v>
      </c>
    </row>
    <row r="861">
      <c r="A861" t="inlineStr">
        <is>
          <t>Milho</t>
        </is>
      </c>
      <c r="B861" t="inlineStr">
        <is>
          <t>Baixa Grande do Ribeiro - PI</t>
        </is>
      </c>
      <c r="C861" t="n">
        <v>-7.84903</v>
      </c>
      <c r="D861" t="n">
        <v>-45.219</v>
      </c>
      <c r="E861" t="inlineStr">
        <is>
          <t>2022-02</t>
        </is>
      </c>
      <c r="F861" t="n">
        <v>473110.8884082577</v>
      </c>
    </row>
    <row r="862">
      <c r="A862" t="inlineStr">
        <is>
          <t>Milho</t>
        </is>
      </c>
      <c r="B862" t="inlineStr">
        <is>
          <t>Baixa Grande do Ribeiro - PI</t>
        </is>
      </c>
      <c r="C862" t="n">
        <v>-7.84903</v>
      </c>
      <c r="D862" t="n">
        <v>-45.219</v>
      </c>
      <c r="E862" t="inlineStr">
        <is>
          <t>2022-03</t>
        </is>
      </c>
      <c r="F862" t="n">
        <v>565195.2259005617</v>
      </c>
    </row>
    <row r="863">
      <c r="A863" t="inlineStr">
        <is>
          <t>Milho</t>
        </is>
      </c>
      <c r="B863" t="inlineStr">
        <is>
          <t>Baixa Grande do Ribeiro - PI</t>
        </is>
      </c>
      <c r="C863" t="n">
        <v>-7.84903</v>
      </c>
      <c r="D863" t="n">
        <v>-45.219</v>
      </c>
      <c r="E863" t="inlineStr">
        <is>
          <t>2022-04</t>
        </is>
      </c>
      <c r="F863" t="n">
        <v>752561.9895732293</v>
      </c>
    </row>
    <row r="864">
      <c r="A864" t="inlineStr">
        <is>
          <t>Milho</t>
        </is>
      </c>
      <c r="B864" t="inlineStr">
        <is>
          <t>Baixa Grande do Ribeiro - PI</t>
        </is>
      </c>
      <c r="C864" t="n">
        <v>-7.84903</v>
      </c>
      <c r="D864" t="n">
        <v>-45.219</v>
      </c>
      <c r="E864" t="inlineStr">
        <is>
          <t>2022-05</t>
        </is>
      </c>
      <c r="F864" t="n">
        <v>463391.9144120562</v>
      </c>
    </row>
    <row r="865">
      <c r="A865" t="inlineStr">
        <is>
          <t>Milho</t>
        </is>
      </c>
      <c r="B865" t="inlineStr">
        <is>
          <t>Baixa Grande do Ribeiro - PI</t>
        </is>
      </c>
      <c r="C865" t="n">
        <v>-7.84903</v>
      </c>
      <c r="D865" t="n">
        <v>-45.219</v>
      </c>
      <c r="E865" t="inlineStr">
        <is>
          <t>2022-06</t>
        </is>
      </c>
      <c r="F865" t="n">
        <v>245708.7040353392</v>
      </c>
    </row>
    <row r="866">
      <c r="A866" t="inlineStr">
        <is>
          <t>Milho</t>
        </is>
      </c>
      <c r="B866" t="inlineStr">
        <is>
          <t>Baixa Grande do Ribeiro - PI</t>
        </is>
      </c>
      <c r="C866" t="n">
        <v>-7.84903</v>
      </c>
      <c r="D866" t="n">
        <v>-45.219</v>
      </c>
      <c r="E866" t="inlineStr">
        <is>
          <t>2021-07</t>
        </is>
      </c>
      <c r="F866" t="n">
        <v>0</v>
      </c>
    </row>
    <row r="867">
      <c r="A867" t="inlineStr">
        <is>
          <t>Milho</t>
        </is>
      </c>
      <c r="B867" t="inlineStr">
        <is>
          <t>Baixa Grande do Ribeiro - PI</t>
        </is>
      </c>
      <c r="C867" t="n">
        <v>-7.84903</v>
      </c>
      <c r="D867" t="n">
        <v>-45.219</v>
      </c>
      <c r="E867" t="inlineStr">
        <is>
          <t>2021-08</t>
        </is>
      </c>
      <c r="F867" t="n">
        <v>0</v>
      </c>
    </row>
    <row r="868">
      <c r="A868" t="inlineStr">
        <is>
          <t>Milho</t>
        </is>
      </c>
      <c r="B868" t="inlineStr">
        <is>
          <t>Baixa Grande do Ribeiro - PI</t>
        </is>
      </c>
      <c r="C868" t="n">
        <v>-7.84903</v>
      </c>
      <c r="D868" t="n">
        <v>-45.219</v>
      </c>
      <c r="E868" t="inlineStr">
        <is>
          <t>2021-09</t>
        </is>
      </c>
      <c r="F868" t="n">
        <v>0</v>
      </c>
    </row>
    <row r="869">
      <c r="A869" t="inlineStr">
        <is>
          <t>Milho</t>
        </is>
      </c>
      <c r="B869" t="inlineStr">
        <is>
          <t>Baixa Grande do Ribeiro - PI</t>
        </is>
      </c>
      <c r="C869" t="n">
        <v>-7.84903</v>
      </c>
      <c r="D869" t="n">
        <v>-45.219</v>
      </c>
      <c r="E869" t="inlineStr">
        <is>
          <t>2021-10</t>
        </is>
      </c>
      <c r="F869" t="n">
        <v>0</v>
      </c>
    </row>
    <row r="870">
      <c r="A870" t="inlineStr">
        <is>
          <t>Milho</t>
        </is>
      </c>
      <c r="B870" t="inlineStr">
        <is>
          <t>Baixa Grande do Ribeiro - PI</t>
        </is>
      </c>
      <c r="C870" t="n">
        <v>-7.84903</v>
      </c>
      <c r="D870" t="n">
        <v>-45.219</v>
      </c>
      <c r="E870" t="inlineStr">
        <is>
          <t>2021-11</t>
        </is>
      </c>
      <c r="F870" t="n">
        <v>0</v>
      </c>
    </row>
    <row r="871">
      <c r="A871" t="inlineStr">
        <is>
          <t>Milho</t>
        </is>
      </c>
      <c r="B871" t="inlineStr">
        <is>
          <t>Baixa Grande do Ribeiro - PI</t>
        </is>
      </c>
      <c r="C871" t="n">
        <v>-7.84903</v>
      </c>
      <c r="D871" t="n">
        <v>-45.219</v>
      </c>
      <c r="E871" t="inlineStr">
        <is>
          <t>2021-12</t>
        </is>
      </c>
      <c r="F871" t="n">
        <v>0</v>
      </c>
    </row>
    <row r="872">
      <c r="A872" t="inlineStr">
        <is>
          <t>Milho</t>
        </is>
      </c>
      <c r="B872" t="inlineStr">
        <is>
          <t>Toledo - PR</t>
        </is>
      </c>
      <c r="C872" t="n">
        <v>-24.7246</v>
      </c>
      <c r="D872" t="n">
        <v>-53.7412</v>
      </c>
      <c r="E872" t="inlineStr">
        <is>
          <t>2022-01</t>
        </is>
      </c>
      <c r="F872" t="n">
        <v>2031679.222963321</v>
      </c>
    </row>
    <row r="873">
      <c r="A873" t="inlineStr">
        <is>
          <t>Milho</t>
        </is>
      </c>
      <c r="B873" t="inlineStr">
        <is>
          <t>Toledo - PR</t>
        </is>
      </c>
      <c r="C873" t="n">
        <v>-24.7246</v>
      </c>
      <c r="D873" t="n">
        <v>-53.7412</v>
      </c>
      <c r="E873" t="inlineStr">
        <is>
          <t>2022-02</t>
        </is>
      </c>
      <c r="F873" t="n">
        <v>1071837.547020091</v>
      </c>
    </row>
    <row r="874">
      <c r="A874" t="inlineStr">
        <is>
          <t>Milho</t>
        </is>
      </c>
      <c r="B874" t="inlineStr">
        <is>
          <t>Toledo - PR</t>
        </is>
      </c>
      <c r="C874" t="n">
        <v>-24.7246</v>
      </c>
      <c r="D874" t="n">
        <v>-53.7412</v>
      </c>
      <c r="E874" t="inlineStr">
        <is>
          <t>2022-03</t>
        </is>
      </c>
      <c r="F874" t="n">
        <v>1067046.294641551</v>
      </c>
    </row>
    <row r="875">
      <c r="A875" t="inlineStr">
        <is>
          <t>Milho</t>
        </is>
      </c>
      <c r="B875" t="inlineStr">
        <is>
          <t>Toledo - PR</t>
        </is>
      </c>
      <c r="C875" t="n">
        <v>-24.7246</v>
      </c>
      <c r="D875" t="n">
        <v>-53.7412</v>
      </c>
      <c r="E875" t="inlineStr">
        <is>
          <t>2022-04</t>
        </is>
      </c>
      <c r="F875" t="n">
        <v>852468.4346185199</v>
      </c>
    </row>
    <row r="876">
      <c r="A876" t="inlineStr">
        <is>
          <t>Milho</t>
        </is>
      </c>
      <c r="B876" t="inlineStr">
        <is>
          <t>Toledo - PR</t>
        </is>
      </c>
      <c r="C876" t="n">
        <v>-24.7246</v>
      </c>
      <c r="D876" t="n">
        <v>-53.7412</v>
      </c>
      <c r="E876" t="inlineStr">
        <is>
          <t>2022-05</t>
        </is>
      </c>
      <c r="F876" t="n">
        <v>314945.7336672617</v>
      </c>
    </row>
    <row r="877">
      <c r="A877" t="inlineStr">
        <is>
          <t>Milho</t>
        </is>
      </c>
      <c r="B877" t="inlineStr">
        <is>
          <t>Toledo - PR</t>
        </is>
      </c>
      <c r="C877" t="n">
        <v>-24.7246</v>
      </c>
      <c r="D877" t="n">
        <v>-53.7412</v>
      </c>
      <c r="E877" t="inlineStr">
        <is>
          <t>2022-06</t>
        </is>
      </c>
      <c r="F877" t="n">
        <v>139163.8942726385</v>
      </c>
    </row>
    <row r="878">
      <c r="A878" t="inlineStr">
        <is>
          <t>Milho</t>
        </is>
      </c>
      <c r="B878" t="inlineStr">
        <is>
          <t>Toledo - PR</t>
        </is>
      </c>
      <c r="C878" t="n">
        <v>-24.7246</v>
      </c>
      <c r="D878" t="n">
        <v>-53.7412</v>
      </c>
      <c r="E878" t="inlineStr">
        <is>
          <t>2021-07</t>
        </is>
      </c>
      <c r="F878" t="n">
        <v>0</v>
      </c>
    </row>
    <row r="879">
      <c r="A879" t="inlineStr">
        <is>
          <t>Milho</t>
        </is>
      </c>
      <c r="B879" t="inlineStr">
        <is>
          <t>Toledo - PR</t>
        </is>
      </c>
      <c r="C879" t="n">
        <v>-24.7246</v>
      </c>
      <c r="D879" t="n">
        <v>-53.7412</v>
      </c>
      <c r="E879" t="inlineStr">
        <is>
          <t>2021-08</t>
        </is>
      </c>
      <c r="F879" t="n">
        <v>0</v>
      </c>
    </row>
    <row r="880">
      <c r="A880" t="inlineStr">
        <is>
          <t>Milho</t>
        </is>
      </c>
      <c r="B880" t="inlineStr">
        <is>
          <t>Toledo - PR</t>
        </is>
      </c>
      <c r="C880" t="n">
        <v>-24.7246</v>
      </c>
      <c r="D880" t="n">
        <v>-53.7412</v>
      </c>
      <c r="E880" t="inlineStr">
        <is>
          <t>2021-09</t>
        </is>
      </c>
      <c r="F880" t="n">
        <v>0</v>
      </c>
    </row>
    <row r="881">
      <c r="A881" t="inlineStr">
        <is>
          <t>Milho</t>
        </is>
      </c>
      <c r="B881" t="inlineStr">
        <is>
          <t>Toledo - PR</t>
        </is>
      </c>
      <c r="C881" t="n">
        <v>-24.7246</v>
      </c>
      <c r="D881" t="n">
        <v>-53.7412</v>
      </c>
      <c r="E881" t="inlineStr">
        <is>
          <t>2021-10</t>
        </is>
      </c>
      <c r="F881" t="n">
        <v>0</v>
      </c>
    </row>
    <row r="882">
      <c r="A882" t="inlineStr">
        <is>
          <t>Milho</t>
        </is>
      </c>
      <c r="B882" t="inlineStr">
        <is>
          <t>Toledo - PR</t>
        </is>
      </c>
      <c r="C882" t="n">
        <v>-24.7246</v>
      </c>
      <c r="D882" t="n">
        <v>-53.7412</v>
      </c>
      <c r="E882" t="inlineStr">
        <is>
          <t>2021-11</t>
        </is>
      </c>
      <c r="F882" t="n">
        <v>0</v>
      </c>
    </row>
    <row r="883">
      <c r="A883" t="inlineStr">
        <is>
          <t>Milho</t>
        </is>
      </c>
      <c r="B883" t="inlineStr">
        <is>
          <t>Toledo - PR</t>
        </is>
      </c>
      <c r="C883" t="n">
        <v>-24.7246</v>
      </c>
      <c r="D883" t="n">
        <v>-53.7412</v>
      </c>
      <c r="E883" t="inlineStr">
        <is>
          <t>2021-12</t>
        </is>
      </c>
      <c r="F883" t="n">
        <v>2061191.832126454</v>
      </c>
    </row>
    <row r="884">
      <c r="A884" t="inlineStr">
        <is>
          <t>Milho</t>
        </is>
      </c>
      <c r="B884" t="inlineStr">
        <is>
          <t>Macaé - RJ</t>
        </is>
      </c>
      <c r="C884" t="n">
        <v>-22.3768</v>
      </c>
      <c r="D884" t="n">
        <v>-41.7848</v>
      </c>
      <c r="E884" t="inlineStr">
        <is>
          <t>2022-01</t>
        </is>
      </c>
      <c r="F884" t="n">
        <v>0</v>
      </c>
    </row>
    <row r="885">
      <c r="A885" t="inlineStr">
        <is>
          <t>Milho</t>
        </is>
      </c>
      <c r="B885" t="inlineStr">
        <is>
          <t>Macaé - RJ</t>
        </is>
      </c>
      <c r="C885" t="n">
        <v>-22.3768</v>
      </c>
      <c r="D885" t="n">
        <v>-41.7848</v>
      </c>
      <c r="E885" t="inlineStr">
        <is>
          <t>2022-02</t>
        </is>
      </c>
      <c r="F885" t="n">
        <v>3542.259218687042</v>
      </c>
    </row>
    <row r="886">
      <c r="A886" t="inlineStr">
        <is>
          <t>Milho</t>
        </is>
      </c>
      <c r="B886" t="inlineStr">
        <is>
          <t>Macaé - RJ</t>
        </is>
      </c>
      <c r="C886" t="n">
        <v>-22.3768</v>
      </c>
      <c r="D886" t="n">
        <v>-41.7848</v>
      </c>
      <c r="E886" t="inlineStr">
        <is>
          <t>2022-03</t>
        </is>
      </c>
      <c r="F886" t="n">
        <v>3526.424862114885</v>
      </c>
    </row>
    <row r="887">
      <c r="A887" t="inlineStr">
        <is>
          <t>Milho</t>
        </is>
      </c>
      <c r="B887" t="inlineStr">
        <is>
          <t>Macaé - RJ</t>
        </is>
      </c>
      <c r="C887" t="n">
        <v>-22.3768</v>
      </c>
      <c r="D887" t="n">
        <v>-41.7848</v>
      </c>
      <c r="E887" t="inlineStr">
        <is>
          <t>2022-04</t>
        </is>
      </c>
      <c r="F887" t="n">
        <v>2817.277841742338</v>
      </c>
    </row>
    <row r="888">
      <c r="A888" t="inlineStr">
        <is>
          <t>Milho</t>
        </is>
      </c>
      <c r="B888" t="inlineStr">
        <is>
          <t>Macaé - RJ</t>
        </is>
      </c>
      <c r="C888" t="n">
        <v>-22.3768</v>
      </c>
      <c r="D888" t="n">
        <v>-41.7848</v>
      </c>
      <c r="E888" t="inlineStr">
        <is>
          <t>2022-05</t>
        </is>
      </c>
      <c r="F888" t="n">
        <v>1040.84749743153</v>
      </c>
    </row>
    <row r="889">
      <c r="A889" t="inlineStr">
        <is>
          <t>Milho</t>
        </is>
      </c>
      <c r="B889" t="inlineStr">
        <is>
          <t>Macaé - RJ</t>
        </is>
      </c>
      <c r="C889" t="n">
        <v>-22.3768</v>
      </c>
      <c r="D889" t="n">
        <v>-41.7848</v>
      </c>
      <c r="E889" t="inlineStr">
        <is>
          <t>2022-06</t>
        </is>
      </c>
      <c r="F889" t="n">
        <v>0</v>
      </c>
    </row>
    <row r="890">
      <c r="A890" t="inlineStr">
        <is>
          <t>Milho</t>
        </is>
      </c>
      <c r="B890" t="inlineStr">
        <is>
          <t>Macaé - RJ</t>
        </is>
      </c>
      <c r="C890" t="n">
        <v>-22.3768</v>
      </c>
      <c r="D890" t="n">
        <v>-41.7848</v>
      </c>
      <c r="E890" t="inlineStr">
        <is>
          <t>2021-07</t>
        </is>
      </c>
      <c r="F890" t="n">
        <v>0</v>
      </c>
    </row>
    <row r="891">
      <c r="A891" t="inlineStr">
        <is>
          <t>Milho</t>
        </is>
      </c>
      <c r="B891" t="inlineStr">
        <is>
          <t>Macaé - RJ</t>
        </is>
      </c>
      <c r="C891" t="n">
        <v>-22.3768</v>
      </c>
      <c r="D891" t="n">
        <v>-41.7848</v>
      </c>
      <c r="E891" t="inlineStr">
        <is>
          <t>2021-08</t>
        </is>
      </c>
      <c r="F891" t="n">
        <v>0</v>
      </c>
    </row>
    <row r="892">
      <c r="A892" t="inlineStr">
        <is>
          <t>Milho</t>
        </is>
      </c>
      <c r="B892" t="inlineStr">
        <is>
          <t>Macaé - RJ</t>
        </is>
      </c>
      <c r="C892" t="n">
        <v>-22.3768</v>
      </c>
      <c r="D892" t="n">
        <v>-41.7848</v>
      </c>
      <c r="E892" t="inlineStr">
        <is>
          <t>2021-09</t>
        </is>
      </c>
      <c r="F892" t="n">
        <v>0</v>
      </c>
    </row>
    <row r="893">
      <c r="A893" t="inlineStr">
        <is>
          <t>Milho</t>
        </is>
      </c>
      <c r="B893" t="inlineStr">
        <is>
          <t>Macaé - RJ</t>
        </is>
      </c>
      <c r="C893" t="n">
        <v>-22.3768</v>
      </c>
      <c r="D893" t="n">
        <v>-41.7848</v>
      </c>
      <c r="E893" t="inlineStr">
        <is>
          <t>2021-10</t>
        </is>
      </c>
      <c r="F893" t="n">
        <v>0</v>
      </c>
    </row>
    <row r="894">
      <c r="A894" t="inlineStr">
        <is>
          <t>Milho</t>
        </is>
      </c>
      <c r="B894" t="inlineStr">
        <is>
          <t>Macaé - RJ</t>
        </is>
      </c>
      <c r="C894" t="n">
        <v>-22.3768</v>
      </c>
      <c r="D894" t="n">
        <v>-41.7848</v>
      </c>
      <c r="E894" t="inlineStr">
        <is>
          <t>2021-11</t>
        </is>
      </c>
      <c r="F894" t="n">
        <v>0</v>
      </c>
    </row>
    <row r="895">
      <c r="A895" t="inlineStr">
        <is>
          <t>Milho</t>
        </is>
      </c>
      <c r="B895" t="inlineStr">
        <is>
          <t>Macaé - RJ</t>
        </is>
      </c>
      <c r="C895" t="n">
        <v>-22.3768</v>
      </c>
      <c r="D895" t="n">
        <v>-41.7848</v>
      </c>
      <c r="E895" t="inlineStr">
        <is>
          <t>2021-12</t>
        </is>
      </c>
      <c r="F895" t="n">
        <v>0</v>
      </c>
    </row>
    <row r="896">
      <c r="A896" t="inlineStr">
        <is>
          <t>Milho</t>
        </is>
      </c>
      <c r="B896" t="inlineStr">
        <is>
          <t>Pimenteiras do Oeste - RO</t>
        </is>
      </c>
      <c r="C896" t="n">
        <v>-13.4823</v>
      </c>
      <c r="D896" t="n">
        <v>-61.0471</v>
      </c>
      <c r="E896" t="inlineStr">
        <is>
          <t>2022-01</t>
        </is>
      </c>
      <c r="F896" t="n">
        <v>37537.75486271478</v>
      </c>
    </row>
    <row r="897">
      <c r="A897" t="inlineStr">
        <is>
          <t>Milho</t>
        </is>
      </c>
      <c r="B897" t="inlineStr">
        <is>
          <t>Pimenteiras do Oeste - RO</t>
        </is>
      </c>
      <c r="C897" t="n">
        <v>-13.4823</v>
      </c>
      <c r="D897" t="n">
        <v>-61.0471</v>
      </c>
      <c r="E897" t="inlineStr">
        <is>
          <t>2022-02</t>
        </is>
      </c>
      <c r="F897" t="n">
        <v>46208.18458373044</v>
      </c>
    </row>
    <row r="898">
      <c r="A898" t="inlineStr">
        <is>
          <t>Milho</t>
        </is>
      </c>
      <c r="B898" t="inlineStr">
        <is>
          <t>Pimenteiras do Oeste - RO</t>
        </is>
      </c>
      <c r="C898" t="n">
        <v>-13.4823</v>
      </c>
      <c r="D898" t="n">
        <v>-61.0471</v>
      </c>
      <c r="E898" t="inlineStr">
        <is>
          <t>2022-03</t>
        </is>
      </c>
      <c r="F898" t="n">
        <v>11828.99006379585</v>
      </c>
    </row>
    <row r="899">
      <c r="A899" t="inlineStr">
        <is>
          <t>Milho</t>
        </is>
      </c>
      <c r="B899" t="inlineStr">
        <is>
          <t>Pimenteiras do Oeste - RO</t>
        </is>
      </c>
      <c r="C899" t="n">
        <v>-13.4823</v>
      </c>
      <c r="D899" t="n">
        <v>-61.0471</v>
      </c>
      <c r="E899" t="inlineStr">
        <is>
          <t>2022-04</t>
        </is>
      </c>
      <c r="F899" t="n">
        <v>9450.237251598819</v>
      </c>
    </row>
    <row r="900">
      <c r="A900" t="inlineStr">
        <is>
          <t>Milho</t>
        </is>
      </c>
      <c r="B900" t="inlineStr">
        <is>
          <t>Pimenteiras do Oeste - RO</t>
        </is>
      </c>
      <c r="C900" t="n">
        <v>-13.4823</v>
      </c>
      <c r="D900" t="n">
        <v>-61.0471</v>
      </c>
      <c r="E900" t="inlineStr">
        <is>
          <t>2022-05</t>
        </is>
      </c>
      <c r="F900" t="n">
        <v>0</v>
      </c>
    </row>
    <row r="901">
      <c r="A901" t="inlineStr">
        <is>
          <t>Milho</t>
        </is>
      </c>
      <c r="B901" t="inlineStr">
        <is>
          <t>Pimenteiras do Oeste - RO</t>
        </is>
      </c>
      <c r="C901" t="n">
        <v>-13.4823</v>
      </c>
      <c r="D901" t="n">
        <v>-61.0471</v>
      </c>
      <c r="E901" t="inlineStr">
        <is>
          <t>2022-06</t>
        </is>
      </c>
      <c r="F901" t="n">
        <v>0</v>
      </c>
    </row>
    <row r="902">
      <c r="A902" t="inlineStr">
        <is>
          <t>Milho</t>
        </is>
      </c>
      <c r="B902" t="inlineStr">
        <is>
          <t>Pimenteiras do Oeste - RO</t>
        </is>
      </c>
      <c r="C902" t="n">
        <v>-13.4823</v>
      </c>
      <c r="D902" t="n">
        <v>-61.0471</v>
      </c>
      <c r="E902" t="inlineStr">
        <is>
          <t>2021-07</t>
        </is>
      </c>
      <c r="F902" t="n">
        <v>0</v>
      </c>
    </row>
    <row r="903">
      <c r="A903" t="inlineStr">
        <is>
          <t>Milho</t>
        </is>
      </c>
      <c r="B903" t="inlineStr">
        <is>
          <t>Pimenteiras do Oeste - RO</t>
        </is>
      </c>
      <c r="C903" t="n">
        <v>-13.4823</v>
      </c>
      <c r="D903" t="n">
        <v>-61.0471</v>
      </c>
      <c r="E903" t="inlineStr">
        <is>
          <t>2021-08</t>
        </is>
      </c>
      <c r="F903" t="n">
        <v>0</v>
      </c>
    </row>
    <row r="904">
      <c r="A904" t="inlineStr">
        <is>
          <t>Milho</t>
        </is>
      </c>
      <c r="B904" t="inlineStr">
        <is>
          <t>Pimenteiras do Oeste - RO</t>
        </is>
      </c>
      <c r="C904" t="n">
        <v>-13.4823</v>
      </c>
      <c r="D904" t="n">
        <v>-61.0471</v>
      </c>
      <c r="E904" t="inlineStr">
        <is>
          <t>2021-09</t>
        </is>
      </c>
      <c r="F904" t="n">
        <v>0</v>
      </c>
    </row>
    <row r="905">
      <c r="A905" t="inlineStr">
        <is>
          <t>Milho</t>
        </is>
      </c>
      <c r="B905" t="inlineStr">
        <is>
          <t>Pimenteiras do Oeste - RO</t>
        </is>
      </c>
      <c r="C905" t="n">
        <v>-13.4823</v>
      </c>
      <c r="D905" t="n">
        <v>-61.0471</v>
      </c>
      <c r="E905" t="inlineStr">
        <is>
          <t>2021-10</t>
        </is>
      </c>
      <c r="F905" t="n">
        <v>0</v>
      </c>
    </row>
    <row r="906">
      <c r="A906" t="inlineStr">
        <is>
          <t>Milho</t>
        </is>
      </c>
      <c r="B906" t="inlineStr">
        <is>
          <t>Pimenteiras do Oeste - RO</t>
        </is>
      </c>
      <c r="C906" t="n">
        <v>-13.4823</v>
      </c>
      <c r="D906" t="n">
        <v>-61.0471</v>
      </c>
      <c r="E906" t="inlineStr">
        <is>
          <t>2021-11</t>
        </is>
      </c>
      <c r="F906" t="n">
        <v>0</v>
      </c>
    </row>
    <row r="907">
      <c r="A907" t="inlineStr">
        <is>
          <t>Milho</t>
        </is>
      </c>
      <c r="B907" t="inlineStr">
        <is>
          <t>Pimenteiras do Oeste - RO</t>
        </is>
      </c>
      <c r="C907" t="n">
        <v>-13.4823</v>
      </c>
      <c r="D907" t="n">
        <v>-61.0471</v>
      </c>
      <c r="E907" t="inlineStr">
        <is>
          <t>2021-12</t>
        </is>
      </c>
      <c r="F907" t="n">
        <v>76166.07271943307</v>
      </c>
    </row>
    <row r="908">
      <c r="A908" t="inlineStr">
        <is>
          <t>Milho</t>
        </is>
      </c>
      <c r="B908" t="inlineStr">
        <is>
          <t>Palmeira das Missões - RS</t>
        </is>
      </c>
      <c r="C908" t="n">
        <v>-27.9007</v>
      </c>
      <c r="D908" t="n">
        <v>-53.3134</v>
      </c>
      <c r="E908" t="inlineStr">
        <is>
          <t>2022-01</t>
        </is>
      </c>
      <c r="F908" t="n">
        <v>1573907.087721192</v>
      </c>
    </row>
    <row r="909">
      <c r="A909" t="inlineStr">
        <is>
          <t>Milho</t>
        </is>
      </c>
      <c r="B909" t="inlineStr">
        <is>
          <t>Palmeira das Missões - RS</t>
        </is>
      </c>
      <c r="C909" t="n">
        <v>-27.9007</v>
      </c>
      <c r="D909" t="n">
        <v>-53.3134</v>
      </c>
      <c r="E909" t="inlineStr">
        <is>
          <t>2022-02</t>
        </is>
      </c>
      <c r="F909" t="n">
        <v>830334.1851771614</v>
      </c>
    </row>
    <row r="910">
      <c r="A910" t="inlineStr">
        <is>
          <t>Milho</t>
        </is>
      </c>
      <c r="B910" t="inlineStr">
        <is>
          <t>Palmeira das Missões - RS</t>
        </is>
      </c>
      <c r="C910" t="n">
        <v>-27.9007</v>
      </c>
      <c r="D910" t="n">
        <v>-53.3134</v>
      </c>
      <c r="E910" t="inlineStr">
        <is>
          <t>2022-03</t>
        </is>
      </c>
      <c r="F910" t="n">
        <v>1157271.477659152</v>
      </c>
    </row>
    <row r="911">
      <c r="A911" t="inlineStr">
        <is>
          <t>Milho</t>
        </is>
      </c>
      <c r="B911" t="inlineStr">
        <is>
          <t>Palmeira das Missões - RS</t>
        </is>
      </c>
      <c r="C911" t="n">
        <v>-27.9007</v>
      </c>
      <c r="D911" t="n">
        <v>-53.3134</v>
      </c>
      <c r="E911" t="inlineStr">
        <is>
          <t>2022-04</t>
        </is>
      </c>
      <c r="F911" t="n">
        <v>924549.7687803346</v>
      </c>
    </row>
    <row r="912">
      <c r="A912" t="inlineStr">
        <is>
          <t>Milho</t>
        </is>
      </c>
      <c r="B912" t="inlineStr">
        <is>
          <t>Palmeira das Missões - RS</t>
        </is>
      </c>
      <c r="C912" t="n">
        <v>-27.9007</v>
      </c>
      <c r="D912" t="n">
        <v>-53.3134</v>
      </c>
      <c r="E912" t="inlineStr">
        <is>
          <t>2022-05</t>
        </is>
      </c>
      <c r="F912" t="n">
        <v>243983.0642868187</v>
      </c>
    </row>
    <row r="913">
      <c r="A913" t="inlineStr">
        <is>
          <t>Milho</t>
        </is>
      </c>
      <c r="B913" t="inlineStr">
        <is>
          <t>Palmeira das Missões - RS</t>
        </is>
      </c>
      <c r="C913" t="n">
        <v>-27.9007</v>
      </c>
      <c r="D913" t="n">
        <v>-53.3134</v>
      </c>
      <c r="E913" t="inlineStr">
        <is>
          <t>2022-06</t>
        </is>
      </c>
      <c r="F913" t="n">
        <v>215615.7695318841</v>
      </c>
    </row>
    <row r="914">
      <c r="A914" t="inlineStr">
        <is>
          <t>Milho</t>
        </is>
      </c>
      <c r="B914" t="inlineStr">
        <is>
          <t>Palmeira das Missões - RS</t>
        </is>
      </c>
      <c r="C914" t="n">
        <v>-27.9007</v>
      </c>
      <c r="D914" t="n">
        <v>-53.3134</v>
      </c>
      <c r="E914" t="inlineStr">
        <is>
          <t>2021-07</t>
        </is>
      </c>
      <c r="F914" t="n">
        <v>0</v>
      </c>
    </row>
    <row r="915">
      <c r="A915" t="inlineStr">
        <is>
          <t>Milho</t>
        </is>
      </c>
      <c r="B915" t="inlineStr">
        <is>
          <t>Palmeira das Missões - RS</t>
        </is>
      </c>
      <c r="C915" t="n">
        <v>-27.9007</v>
      </c>
      <c r="D915" t="n">
        <v>-53.3134</v>
      </c>
      <c r="E915" t="inlineStr">
        <is>
          <t>2021-08</t>
        </is>
      </c>
      <c r="F915" t="n">
        <v>0</v>
      </c>
    </row>
    <row r="916">
      <c r="A916" t="inlineStr">
        <is>
          <t>Milho</t>
        </is>
      </c>
      <c r="B916" t="inlineStr">
        <is>
          <t>Palmeira das Missões - RS</t>
        </is>
      </c>
      <c r="C916" t="n">
        <v>-27.9007</v>
      </c>
      <c r="D916" t="n">
        <v>-53.3134</v>
      </c>
      <c r="E916" t="inlineStr">
        <is>
          <t>2021-09</t>
        </is>
      </c>
      <c r="F916" t="n">
        <v>0</v>
      </c>
    </row>
    <row r="917">
      <c r="A917" t="inlineStr">
        <is>
          <t>Milho</t>
        </is>
      </c>
      <c r="B917" t="inlineStr">
        <is>
          <t>Palmeira das Missões - RS</t>
        </is>
      </c>
      <c r="C917" t="n">
        <v>-27.9007</v>
      </c>
      <c r="D917" t="n">
        <v>-53.3134</v>
      </c>
      <c r="E917" t="inlineStr">
        <is>
          <t>2021-10</t>
        </is>
      </c>
      <c r="F917" t="n">
        <v>0</v>
      </c>
    </row>
    <row r="918">
      <c r="A918" t="inlineStr">
        <is>
          <t>Milho</t>
        </is>
      </c>
      <c r="B918" t="inlineStr">
        <is>
          <t>Palmeira das Missões - RS</t>
        </is>
      </c>
      <c r="C918" t="n">
        <v>-27.9007</v>
      </c>
      <c r="D918" t="n">
        <v>-53.3134</v>
      </c>
      <c r="E918" t="inlineStr">
        <is>
          <t>2021-11</t>
        </is>
      </c>
      <c r="F918" t="n">
        <v>0</v>
      </c>
    </row>
    <row r="919">
      <c r="A919" t="inlineStr">
        <is>
          <t>Milho</t>
        </is>
      </c>
      <c r="B919" t="inlineStr">
        <is>
          <t>Palmeira das Missões - RS</t>
        </is>
      </c>
      <c r="C919" t="n">
        <v>-27.9007</v>
      </c>
      <c r="D919" t="n">
        <v>-53.3134</v>
      </c>
      <c r="E919" t="inlineStr">
        <is>
          <t>2021-12</t>
        </is>
      </c>
      <c r="F919" t="n">
        <v>1596770.00043595</v>
      </c>
    </row>
    <row r="920">
      <c r="A920" t="inlineStr">
        <is>
          <t>Milho</t>
        </is>
      </c>
      <c r="B920" t="inlineStr">
        <is>
          <t>Campos Novos - SC</t>
        </is>
      </c>
      <c r="C920" t="n">
        <v>-27.4002</v>
      </c>
      <c r="D920" t="n">
        <v>-51.2276</v>
      </c>
      <c r="E920" t="inlineStr">
        <is>
          <t>2022-01</t>
        </is>
      </c>
      <c r="F920" t="n">
        <v>1164098.750932783</v>
      </c>
    </row>
    <row r="921">
      <c r="A921" t="inlineStr">
        <is>
          <t>Milho</t>
        </is>
      </c>
      <c r="B921" t="inlineStr">
        <is>
          <t>Campos Novos - SC</t>
        </is>
      </c>
      <c r="C921" t="n">
        <v>-27.4002</v>
      </c>
      <c r="D921" t="n">
        <v>-51.2276</v>
      </c>
      <c r="E921" t="inlineStr">
        <is>
          <t>2022-02</t>
        </is>
      </c>
      <c r="F921" t="n">
        <v>614134.7194903472</v>
      </c>
    </row>
    <row r="922">
      <c r="A922" t="inlineStr">
        <is>
          <t>Milho</t>
        </is>
      </c>
      <c r="B922" t="inlineStr">
        <is>
          <t>Campos Novos - SC</t>
        </is>
      </c>
      <c r="C922" t="n">
        <v>-27.4002</v>
      </c>
      <c r="D922" t="n">
        <v>-51.2276</v>
      </c>
      <c r="E922" t="inlineStr">
        <is>
          <t>2022-03</t>
        </is>
      </c>
      <c r="F922" t="n">
        <v>855945.2410775338</v>
      </c>
    </row>
    <row r="923">
      <c r="A923" t="inlineStr">
        <is>
          <t>Milho</t>
        </is>
      </c>
      <c r="B923" t="inlineStr">
        <is>
          <t>Campos Novos - SC</t>
        </is>
      </c>
      <c r="C923" t="n">
        <v>-27.4002</v>
      </c>
      <c r="D923" t="n">
        <v>-51.2276</v>
      </c>
      <c r="E923" t="inlineStr">
        <is>
          <t>2022-04</t>
        </is>
      </c>
      <c r="F923" t="n">
        <v>683818.78410032</v>
      </c>
    </row>
    <row r="924">
      <c r="A924" t="inlineStr">
        <is>
          <t>Milho</t>
        </is>
      </c>
      <c r="B924" t="inlineStr">
        <is>
          <t>Campos Novos - SC</t>
        </is>
      </c>
      <c r="C924" t="n">
        <v>-27.4002</v>
      </c>
      <c r="D924" t="n">
        <v>-51.2276</v>
      </c>
      <c r="E924" t="inlineStr">
        <is>
          <t>2022-05</t>
        </is>
      </c>
      <c r="F924" t="n">
        <v>180455.6206658058</v>
      </c>
    </row>
    <row r="925">
      <c r="A925" t="inlineStr">
        <is>
          <t>Milho</t>
        </is>
      </c>
      <c r="B925" t="inlineStr">
        <is>
          <t>Campos Novos - SC</t>
        </is>
      </c>
      <c r="C925" t="n">
        <v>-27.4002</v>
      </c>
      <c r="D925" t="n">
        <v>-51.2276</v>
      </c>
      <c r="E925" t="inlineStr">
        <is>
          <t>2022-06</t>
        </is>
      </c>
      <c r="F925" t="n">
        <v>159474.5013550252</v>
      </c>
    </row>
    <row r="926">
      <c r="A926" t="inlineStr">
        <is>
          <t>Milho</t>
        </is>
      </c>
      <c r="B926" t="inlineStr">
        <is>
          <t>Campos Novos - SC</t>
        </is>
      </c>
      <c r="C926" t="n">
        <v>-27.4002</v>
      </c>
      <c r="D926" t="n">
        <v>-51.2276</v>
      </c>
      <c r="E926" t="inlineStr">
        <is>
          <t>2021-07</t>
        </is>
      </c>
      <c r="F926" t="n">
        <v>0</v>
      </c>
    </row>
    <row r="927">
      <c r="A927" t="inlineStr">
        <is>
          <t>Milho</t>
        </is>
      </c>
      <c r="B927" t="inlineStr">
        <is>
          <t>Campos Novos - SC</t>
        </is>
      </c>
      <c r="C927" t="n">
        <v>-27.4002</v>
      </c>
      <c r="D927" t="n">
        <v>-51.2276</v>
      </c>
      <c r="E927" t="inlineStr">
        <is>
          <t>2021-08</t>
        </is>
      </c>
      <c r="F927" t="n">
        <v>0</v>
      </c>
    </row>
    <row r="928">
      <c r="A928" t="inlineStr">
        <is>
          <t>Milho</t>
        </is>
      </c>
      <c r="B928" t="inlineStr">
        <is>
          <t>Campos Novos - SC</t>
        </is>
      </c>
      <c r="C928" t="n">
        <v>-27.4002</v>
      </c>
      <c r="D928" t="n">
        <v>-51.2276</v>
      </c>
      <c r="E928" t="inlineStr">
        <is>
          <t>2021-09</t>
        </is>
      </c>
      <c r="F928" t="n">
        <v>0</v>
      </c>
    </row>
    <row r="929">
      <c r="A929" t="inlineStr">
        <is>
          <t>Milho</t>
        </is>
      </c>
      <c r="B929" t="inlineStr">
        <is>
          <t>Campos Novos - SC</t>
        </is>
      </c>
      <c r="C929" t="n">
        <v>-27.4002</v>
      </c>
      <c r="D929" t="n">
        <v>-51.2276</v>
      </c>
      <c r="E929" t="inlineStr">
        <is>
          <t>2021-10</t>
        </is>
      </c>
      <c r="F929" t="n">
        <v>0</v>
      </c>
    </row>
    <row r="930">
      <c r="A930" t="inlineStr">
        <is>
          <t>Milho</t>
        </is>
      </c>
      <c r="B930" t="inlineStr">
        <is>
          <t>Campos Novos - SC</t>
        </is>
      </c>
      <c r="C930" t="n">
        <v>-27.4002</v>
      </c>
      <c r="D930" t="n">
        <v>-51.2276</v>
      </c>
      <c r="E930" t="inlineStr">
        <is>
          <t>2021-11</t>
        </is>
      </c>
      <c r="F930" t="n">
        <v>0</v>
      </c>
    </row>
    <row r="931">
      <c r="A931" t="inlineStr">
        <is>
          <t>Milho</t>
        </is>
      </c>
      <c r="B931" t="inlineStr">
        <is>
          <t>Campos Novos - SC</t>
        </is>
      </c>
      <c r="C931" t="n">
        <v>-27.4002</v>
      </c>
      <c r="D931" t="n">
        <v>-51.2276</v>
      </c>
      <c r="E931" t="inlineStr">
        <is>
          <t>2021-12</t>
        </is>
      </c>
      <c r="F931" t="n">
        <v>1181008.699646764</v>
      </c>
    </row>
    <row r="932">
      <c r="A932" t="inlineStr">
        <is>
          <t>Milho</t>
        </is>
      </c>
      <c r="B932" t="inlineStr">
        <is>
          <t>Itapeva - SP</t>
        </is>
      </c>
      <c r="C932" t="n">
        <v>-23.9788</v>
      </c>
      <c r="D932" t="n">
        <v>-48.8764</v>
      </c>
      <c r="E932" t="inlineStr">
        <is>
          <t>2022-01</t>
        </is>
      </c>
      <c r="F932" t="n">
        <v>1353390.268868777</v>
      </c>
    </row>
    <row r="933">
      <c r="A933" t="inlineStr">
        <is>
          <t>Milho</t>
        </is>
      </c>
      <c r="B933" t="inlineStr">
        <is>
          <t>Itapeva - SP</t>
        </is>
      </c>
      <c r="C933" t="n">
        <v>-23.9788</v>
      </c>
      <c r="D933" t="n">
        <v>-48.8764</v>
      </c>
      <c r="E933" t="inlineStr">
        <is>
          <t>2022-02</t>
        </is>
      </c>
      <c r="F933" t="n">
        <v>713997.8051404033</v>
      </c>
    </row>
    <row r="934">
      <c r="A934" t="inlineStr">
        <is>
          <t>Milho</t>
        </is>
      </c>
      <c r="B934" t="inlineStr">
        <is>
          <t>Itapeva - SP</t>
        </is>
      </c>
      <c r="C934" t="n">
        <v>-23.9788</v>
      </c>
      <c r="D934" t="n">
        <v>-48.8764</v>
      </c>
      <c r="E934" t="inlineStr">
        <is>
          <t>2022-03</t>
        </is>
      </c>
      <c r="F934" t="n">
        <v>710806.1426616417</v>
      </c>
    </row>
    <row r="935">
      <c r="A935" t="inlineStr">
        <is>
          <t>Milho</t>
        </is>
      </c>
      <c r="B935" t="inlineStr">
        <is>
          <t>Itapeva - SP</t>
        </is>
      </c>
      <c r="C935" t="n">
        <v>-23.9788</v>
      </c>
      <c r="D935" t="n">
        <v>-48.8764</v>
      </c>
      <c r="E935" t="inlineStr">
        <is>
          <t>2022-04</t>
        </is>
      </c>
      <c r="F935" t="n">
        <v>567866.4578986701</v>
      </c>
    </row>
    <row r="936">
      <c r="A936" t="inlineStr">
        <is>
          <t>Milho</t>
        </is>
      </c>
      <c r="B936" t="inlineStr">
        <is>
          <t>Itapeva - SP</t>
        </is>
      </c>
      <c r="C936" t="n">
        <v>-23.9788</v>
      </c>
      <c r="D936" t="n">
        <v>-48.8764</v>
      </c>
      <c r="E936" t="inlineStr">
        <is>
          <t>2022-05</t>
        </is>
      </c>
      <c r="F936" t="n">
        <v>209799.1092045069</v>
      </c>
    </row>
    <row r="937">
      <c r="A937" t="inlineStr">
        <is>
          <t>Milho</t>
        </is>
      </c>
      <c r="B937" t="inlineStr">
        <is>
          <t>Itapeva - SP</t>
        </is>
      </c>
      <c r="C937" t="n">
        <v>-23.9788</v>
      </c>
      <c r="D937" t="n">
        <v>-48.8764</v>
      </c>
      <c r="E937" t="inlineStr">
        <is>
          <t>2022-06</t>
        </is>
      </c>
      <c r="F937" t="n">
        <v>185406.2965823543</v>
      </c>
    </row>
    <row r="938">
      <c r="A938" t="inlineStr">
        <is>
          <t>Milho</t>
        </is>
      </c>
      <c r="B938" t="inlineStr">
        <is>
          <t>Itapeva - SP</t>
        </is>
      </c>
      <c r="C938" t="n">
        <v>-23.9788</v>
      </c>
      <c r="D938" t="n">
        <v>-48.8764</v>
      </c>
      <c r="E938" t="inlineStr">
        <is>
          <t>2021-07</t>
        </is>
      </c>
      <c r="F938" t="n">
        <v>0</v>
      </c>
    </row>
    <row r="939">
      <c r="A939" t="inlineStr">
        <is>
          <t>Milho</t>
        </is>
      </c>
      <c r="B939" t="inlineStr">
        <is>
          <t>Itapeva - SP</t>
        </is>
      </c>
      <c r="C939" t="n">
        <v>-23.9788</v>
      </c>
      <c r="D939" t="n">
        <v>-48.8764</v>
      </c>
      <c r="E939" t="inlineStr">
        <is>
          <t>2021-08</t>
        </is>
      </c>
      <c r="F939" t="n">
        <v>0</v>
      </c>
    </row>
    <row r="940">
      <c r="A940" t="inlineStr">
        <is>
          <t>Milho</t>
        </is>
      </c>
      <c r="B940" t="inlineStr">
        <is>
          <t>Itapeva - SP</t>
        </is>
      </c>
      <c r="C940" t="n">
        <v>-23.9788</v>
      </c>
      <c r="D940" t="n">
        <v>-48.8764</v>
      </c>
      <c r="E940" t="inlineStr">
        <is>
          <t>2021-09</t>
        </is>
      </c>
      <c r="F940" t="n">
        <v>0</v>
      </c>
    </row>
    <row r="941">
      <c r="A941" t="inlineStr">
        <is>
          <t>Milho</t>
        </is>
      </c>
      <c r="B941" t="inlineStr">
        <is>
          <t>Itapeva - SP</t>
        </is>
      </c>
      <c r="C941" t="n">
        <v>-23.9788</v>
      </c>
      <c r="D941" t="n">
        <v>-48.8764</v>
      </c>
      <c r="E941" t="inlineStr">
        <is>
          <t>2021-10</t>
        </is>
      </c>
      <c r="F941" t="n">
        <v>0</v>
      </c>
    </row>
    <row r="942">
      <c r="A942" t="inlineStr">
        <is>
          <t>Milho</t>
        </is>
      </c>
      <c r="B942" t="inlineStr">
        <is>
          <t>Itapeva - SP</t>
        </is>
      </c>
      <c r="C942" t="n">
        <v>-23.9788</v>
      </c>
      <c r="D942" t="n">
        <v>-48.8764</v>
      </c>
      <c r="E942" t="inlineStr">
        <is>
          <t>2021-11</t>
        </is>
      </c>
      <c r="F942" t="n">
        <v>0</v>
      </c>
    </row>
    <row r="943">
      <c r="A943" t="inlineStr">
        <is>
          <t>Milho</t>
        </is>
      </c>
      <c r="B943" t="inlineStr">
        <is>
          <t>Itapeva - SP</t>
        </is>
      </c>
      <c r="C943" t="n">
        <v>-23.9788</v>
      </c>
      <c r="D943" t="n">
        <v>-48.8764</v>
      </c>
      <c r="E943" t="inlineStr">
        <is>
          <t>2021-12</t>
        </is>
      </c>
      <c r="F943" t="n">
        <v>0</v>
      </c>
    </row>
    <row r="944">
      <c r="A944" t="inlineStr">
        <is>
          <t>Milho</t>
        </is>
      </c>
      <c r="B944" t="inlineStr">
        <is>
          <t>Campos Lindos - TO</t>
        </is>
      </c>
      <c r="C944" t="n">
        <v>-7.98956</v>
      </c>
      <c r="D944" t="n">
        <v>-46.8645</v>
      </c>
      <c r="E944" t="inlineStr">
        <is>
          <t>2022-01</t>
        </is>
      </c>
      <c r="F944" t="n">
        <v>0</v>
      </c>
    </row>
    <row r="945">
      <c r="A945" t="inlineStr">
        <is>
          <t>Milho</t>
        </is>
      </c>
      <c r="B945" t="inlineStr">
        <is>
          <t>Campos Lindos - TO</t>
        </is>
      </c>
      <c r="C945" t="n">
        <v>-7.98956</v>
      </c>
      <c r="D945" t="n">
        <v>-46.8645</v>
      </c>
      <c r="E945" t="inlineStr">
        <is>
          <t>2022-02</t>
        </is>
      </c>
      <c r="F945" t="n">
        <v>60094.70877670958</v>
      </c>
    </row>
    <row r="946">
      <c r="A946" t="inlineStr">
        <is>
          <t>Milho</t>
        </is>
      </c>
      <c r="B946" t="inlineStr">
        <is>
          <t>Campos Lindos - TO</t>
        </is>
      </c>
      <c r="C946" t="n">
        <v>-7.98956</v>
      </c>
      <c r="D946" t="n">
        <v>-46.8645</v>
      </c>
      <c r="E946" t="inlineStr">
        <is>
          <t>2022-03</t>
        </is>
      </c>
      <c r="F946" t="n">
        <v>71791.29319292173</v>
      </c>
    </row>
    <row r="947">
      <c r="A947" t="inlineStr">
        <is>
          <t>Milho</t>
        </is>
      </c>
      <c r="B947" t="inlineStr">
        <is>
          <t>Campos Lindos - TO</t>
        </is>
      </c>
      <c r="C947" t="n">
        <v>-7.98956</v>
      </c>
      <c r="D947" t="n">
        <v>-46.8645</v>
      </c>
      <c r="E947" t="inlineStr">
        <is>
          <t>2022-04</t>
        </is>
      </c>
      <c r="F947" t="n">
        <v>95590.68435727648</v>
      </c>
    </row>
    <row r="948">
      <c r="A948" t="inlineStr">
        <is>
          <t>Milho</t>
        </is>
      </c>
      <c r="B948" t="inlineStr">
        <is>
          <t>Campos Lindos - TO</t>
        </is>
      </c>
      <c r="C948" t="n">
        <v>-7.98956</v>
      </c>
      <c r="D948" t="n">
        <v>-46.8645</v>
      </c>
      <c r="E948" t="inlineStr">
        <is>
          <t>2022-05</t>
        </is>
      </c>
      <c r="F948" t="n">
        <v>58860.20133623377</v>
      </c>
    </row>
    <row r="949">
      <c r="A949" t="inlineStr">
        <is>
          <t>Milho</t>
        </is>
      </c>
      <c r="B949" t="inlineStr">
        <is>
          <t>Campos Lindos - TO</t>
        </is>
      </c>
      <c r="C949" t="n">
        <v>-7.98956</v>
      </c>
      <c r="D949" t="n">
        <v>-46.8645</v>
      </c>
      <c r="E949" t="inlineStr">
        <is>
          <t>2022-06</t>
        </is>
      </c>
      <c r="F949" t="n">
        <v>31210.00461981492</v>
      </c>
    </row>
    <row r="950">
      <c r="A950" t="inlineStr">
        <is>
          <t>Milho</t>
        </is>
      </c>
      <c r="B950" t="inlineStr">
        <is>
          <t>Campos Lindos - TO</t>
        </is>
      </c>
      <c r="C950" t="n">
        <v>-7.98956</v>
      </c>
      <c r="D950" t="n">
        <v>-46.8645</v>
      </c>
      <c r="E950" t="inlineStr">
        <is>
          <t>2021-07</t>
        </is>
      </c>
      <c r="F950" t="n">
        <v>0</v>
      </c>
    </row>
    <row r="951">
      <c r="A951" t="inlineStr">
        <is>
          <t>Milho</t>
        </is>
      </c>
      <c r="B951" t="inlineStr">
        <is>
          <t>Campos Lindos - TO</t>
        </is>
      </c>
      <c r="C951" t="n">
        <v>-7.98956</v>
      </c>
      <c r="D951" t="n">
        <v>-46.8645</v>
      </c>
      <c r="E951" t="inlineStr">
        <is>
          <t>2021-08</t>
        </is>
      </c>
      <c r="F951" t="n">
        <v>0</v>
      </c>
    </row>
    <row r="952">
      <c r="A952" t="inlineStr">
        <is>
          <t>Milho</t>
        </is>
      </c>
      <c r="B952" t="inlineStr">
        <is>
          <t>Campos Lindos - TO</t>
        </is>
      </c>
      <c r="C952" t="n">
        <v>-7.98956</v>
      </c>
      <c r="D952" t="n">
        <v>-46.8645</v>
      </c>
      <c r="E952" t="inlineStr">
        <is>
          <t>2021-09</t>
        </is>
      </c>
      <c r="F952" t="n">
        <v>0</v>
      </c>
    </row>
    <row r="953">
      <c r="A953" t="inlineStr">
        <is>
          <t>Milho</t>
        </is>
      </c>
      <c r="B953" t="inlineStr">
        <is>
          <t>Campos Lindos - TO</t>
        </is>
      </c>
      <c r="C953" t="n">
        <v>-7.98956</v>
      </c>
      <c r="D953" t="n">
        <v>-46.8645</v>
      </c>
      <c r="E953" t="inlineStr">
        <is>
          <t>2021-10</t>
        </is>
      </c>
      <c r="F953" t="n">
        <v>0</v>
      </c>
    </row>
    <row r="954">
      <c r="A954" t="inlineStr">
        <is>
          <t>Milho</t>
        </is>
      </c>
      <c r="B954" t="inlineStr">
        <is>
          <t>Campos Lindos - TO</t>
        </is>
      </c>
      <c r="C954" t="n">
        <v>-7.98956</v>
      </c>
      <c r="D954" t="n">
        <v>-46.8645</v>
      </c>
      <c r="E954" t="inlineStr">
        <is>
          <t>2021-11</t>
        </is>
      </c>
      <c r="F954" t="n">
        <v>0</v>
      </c>
    </row>
    <row r="955">
      <c r="A955" t="inlineStr">
        <is>
          <t>Milho</t>
        </is>
      </c>
      <c r="B955" t="inlineStr">
        <is>
          <t>Campos Lindos - TO</t>
        </is>
      </c>
      <c r="C955" t="n">
        <v>-7.98956</v>
      </c>
      <c r="D955" t="n">
        <v>-46.8645</v>
      </c>
      <c r="E955" t="inlineStr">
        <is>
          <t>2021-12</t>
        </is>
      </c>
      <c r="F955" t="n">
        <v>0</v>
      </c>
    </row>
    <row r="956">
      <c r="A956" t="inlineStr">
        <is>
          <t>Milho</t>
        </is>
      </c>
      <c r="B956" t="inlineStr">
        <is>
          <t>Senador Guiomard - AC</t>
        </is>
      </c>
      <c r="C956" t="n">
        <v>-10.1497</v>
      </c>
      <c r="D956" t="n">
        <v>-67.7362</v>
      </c>
      <c r="E956" t="inlineStr">
        <is>
          <t>2022-01</t>
        </is>
      </c>
      <c r="F956" t="n">
        <v>0</v>
      </c>
    </row>
    <row r="957">
      <c r="A957" t="inlineStr">
        <is>
          <t>Milho</t>
        </is>
      </c>
      <c r="B957" t="inlineStr">
        <is>
          <t>Senador Guiomard - AC</t>
        </is>
      </c>
      <c r="C957" t="n">
        <v>-10.1497</v>
      </c>
      <c r="D957" t="n">
        <v>-67.7362</v>
      </c>
      <c r="E957" t="inlineStr">
        <is>
          <t>2022-02</t>
        </is>
      </c>
      <c r="F957" t="n">
        <v>0</v>
      </c>
    </row>
    <row r="958">
      <c r="A958" t="inlineStr">
        <is>
          <t>Milho</t>
        </is>
      </c>
      <c r="B958" t="inlineStr">
        <is>
          <t>Senador Guiomard - AC</t>
        </is>
      </c>
      <c r="C958" t="n">
        <v>-10.1497</v>
      </c>
      <c r="D958" t="n">
        <v>-67.7362</v>
      </c>
      <c r="E958" t="inlineStr">
        <is>
          <t>2022-03</t>
        </is>
      </c>
      <c r="F958" t="n">
        <v>0</v>
      </c>
    </row>
    <row r="959">
      <c r="A959" t="inlineStr">
        <is>
          <t>Milho</t>
        </is>
      </c>
      <c r="B959" t="inlineStr">
        <is>
          <t>Senador Guiomard - AC</t>
        </is>
      </c>
      <c r="C959" t="n">
        <v>-10.1497</v>
      </c>
      <c r="D959" t="n">
        <v>-67.7362</v>
      </c>
      <c r="E959" t="inlineStr">
        <is>
          <t>2022-04</t>
        </is>
      </c>
      <c r="F959" t="n">
        <v>0</v>
      </c>
    </row>
    <row r="960">
      <c r="A960" t="inlineStr">
        <is>
          <t>Milho</t>
        </is>
      </c>
      <c r="B960" t="inlineStr">
        <is>
          <t>Senador Guiomard - AC</t>
        </is>
      </c>
      <c r="C960" t="n">
        <v>-10.1497</v>
      </c>
      <c r="D960" t="n">
        <v>-67.7362</v>
      </c>
      <c r="E960" t="inlineStr">
        <is>
          <t>2022-05</t>
        </is>
      </c>
      <c r="F960" t="n">
        <v>0</v>
      </c>
    </row>
    <row r="961">
      <c r="A961" t="inlineStr">
        <is>
          <t>Milho</t>
        </is>
      </c>
      <c r="B961" t="inlineStr">
        <is>
          <t>Senador Guiomard - AC</t>
        </is>
      </c>
      <c r="C961" t="n">
        <v>-10.1497</v>
      </c>
      <c r="D961" t="n">
        <v>-67.7362</v>
      </c>
      <c r="E961" t="inlineStr">
        <is>
          <t>2022-06</t>
        </is>
      </c>
      <c r="F961" t="n">
        <v>0</v>
      </c>
    </row>
    <row r="962">
      <c r="A962" t="inlineStr">
        <is>
          <t>Milho</t>
        </is>
      </c>
      <c r="B962" t="inlineStr">
        <is>
          <t>Senador Guiomard - AC</t>
        </is>
      </c>
      <c r="C962" t="n">
        <v>-10.1497</v>
      </c>
      <c r="D962" t="n">
        <v>-67.7362</v>
      </c>
      <c r="E962" t="inlineStr">
        <is>
          <t>2021-07</t>
        </is>
      </c>
      <c r="F962" t="n">
        <v>0</v>
      </c>
    </row>
    <row r="963">
      <c r="A963" t="inlineStr">
        <is>
          <t>Milho</t>
        </is>
      </c>
      <c r="B963" t="inlineStr">
        <is>
          <t>Senador Guiomard - AC</t>
        </is>
      </c>
      <c r="C963" t="n">
        <v>-10.1497</v>
      </c>
      <c r="D963" t="n">
        <v>-67.7362</v>
      </c>
      <c r="E963" t="inlineStr">
        <is>
          <t>2021-08</t>
        </is>
      </c>
      <c r="F963" t="n">
        <v>0</v>
      </c>
    </row>
    <row r="964">
      <c r="A964" t="inlineStr">
        <is>
          <t>Milho</t>
        </is>
      </c>
      <c r="B964" t="inlineStr">
        <is>
          <t>Senador Guiomard - AC</t>
        </is>
      </c>
      <c r="C964" t="n">
        <v>-10.1497</v>
      </c>
      <c r="D964" t="n">
        <v>-67.7362</v>
      </c>
      <c r="E964" t="inlineStr">
        <is>
          <t>2021-09</t>
        </is>
      </c>
      <c r="F964" t="n">
        <v>0</v>
      </c>
    </row>
    <row r="965">
      <c r="A965" t="inlineStr">
        <is>
          <t>Milho</t>
        </is>
      </c>
      <c r="B965" t="inlineStr">
        <is>
          <t>Senador Guiomard - AC</t>
        </is>
      </c>
      <c r="C965" t="n">
        <v>-10.1497</v>
      </c>
      <c r="D965" t="n">
        <v>-67.7362</v>
      </c>
      <c r="E965" t="inlineStr">
        <is>
          <t>2021-10</t>
        </is>
      </c>
      <c r="F965" t="n">
        <v>0</v>
      </c>
    </row>
    <row r="966">
      <c r="A966" t="inlineStr">
        <is>
          <t>Milho</t>
        </is>
      </c>
      <c r="B966" t="inlineStr">
        <is>
          <t>Senador Guiomard - AC</t>
        </is>
      </c>
      <c r="C966" t="n">
        <v>-10.1497</v>
      </c>
      <c r="D966" t="n">
        <v>-67.7362</v>
      </c>
      <c r="E966" t="inlineStr">
        <is>
          <t>2021-11</t>
        </is>
      </c>
      <c r="F966" t="n">
        <v>0</v>
      </c>
    </row>
    <row r="967">
      <c r="A967" t="inlineStr">
        <is>
          <t>Milho</t>
        </is>
      </c>
      <c r="B967" t="inlineStr">
        <is>
          <t>Senador Guiomard - AC</t>
        </is>
      </c>
      <c r="C967" t="n">
        <v>-10.1497</v>
      </c>
      <c r="D967" t="n">
        <v>-67.7362</v>
      </c>
      <c r="E967" t="inlineStr">
        <is>
          <t>2021-12</t>
        </is>
      </c>
      <c r="F967" t="n">
        <v>0</v>
      </c>
    </row>
    <row r="968">
      <c r="A968" t="inlineStr">
        <is>
          <t>Milho</t>
        </is>
      </c>
      <c r="B968" t="inlineStr">
        <is>
          <t>Humaitá - AM</t>
        </is>
      </c>
      <c r="C968" t="n">
        <v>-7.51171</v>
      </c>
      <c r="D968" t="n">
        <v>-63.0327</v>
      </c>
      <c r="E968" t="inlineStr">
        <is>
          <t>2022-01</t>
        </is>
      </c>
      <c r="F968" t="n">
        <v>0</v>
      </c>
    </row>
    <row r="969">
      <c r="A969" t="inlineStr">
        <is>
          <t>Milho</t>
        </is>
      </c>
      <c r="B969" t="inlineStr">
        <is>
          <t>Humaitá - AM</t>
        </is>
      </c>
      <c r="C969" t="n">
        <v>-7.51171</v>
      </c>
      <c r="D969" t="n">
        <v>-63.0327</v>
      </c>
      <c r="E969" t="inlineStr">
        <is>
          <t>2022-02</t>
        </is>
      </c>
      <c r="F969" t="n">
        <v>0</v>
      </c>
    </row>
    <row r="970">
      <c r="A970" t="inlineStr">
        <is>
          <t>Milho</t>
        </is>
      </c>
      <c r="B970" t="inlineStr">
        <is>
          <t>Humaitá - AM</t>
        </is>
      </c>
      <c r="C970" t="n">
        <v>-7.51171</v>
      </c>
      <c r="D970" t="n">
        <v>-63.0327</v>
      </c>
      <c r="E970" t="inlineStr">
        <is>
          <t>2022-03</t>
        </is>
      </c>
      <c r="F970" t="n">
        <v>0</v>
      </c>
    </row>
    <row r="971">
      <c r="A971" t="inlineStr">
        <is>
          <t>Milho</t>
        </is>
      </c>
      <c r="B971" t="inlineStr">
        <is>
          <t>Humaitá - AM</t>
        </is>
      </c>
      <c r="C971" t="n">
        <v>-7.51171</v>
      </c>
      <c r="D971" t="n">
        <v>-63.0327</v>
      </c>
      <c r="E971" t="inlineStr">
        <is>
          <t>2022-04</t>
        </is>
      </c>
      <c r="F971" t="n">
        <v>0</v>
      </c>
    </row>
    <row r="972">
      <c r="A972" t="inlineStr">
        <is>
          <t>Milho</t>
        </is>
      </c>
      <c r="B972" t="inlineStr">
        <is>
          <t>Humaitá - AM</t>
        </is>
      </c>
      <c r="C972" t="n">
        <v>-7.51171</v>
      </c>
      <c r="D972" t="n">
        <v>-63.0327</v>
      </c>
      <c r="E972" t="inlineStr">
        <is>
          <t>2022-05</t>
        </is>
      </c>
      <c r="F972" t="n">
        <v>0</v>
      </c>
    </row>
    <row r="973">
      <c r="A973" t="inlineStr">
        <is>
          <t>Milho</t>
        </is>
      </c>
      <c r="B973" t="inlineStr">
        <is>
          <t>Humaitá - AM</t>
        </is>
      </c>
      <c r="C973" t="n">
        <v>-7.51171</v>
      </c>
      <c r="D973" t="n">
        <v>-63.0327</v>
      </c>
      <c r="E973" t="inlineStr">
        <is>
          <t>2022-06</t>
        </is>
      </c>
      <c r="F973" t="n">
        <v>0</v>
      </c>
    </row>
    <row r="974">
      <c r="A974" t="inlineStr">
        <is>
          <t>Milho</t>
        </is>
      </c>
      <c r="B974" t="inlineStr">
        <is>
          <t>Humaitá - AM</t>
        </is>
      </c>
      <c r="C974" t="n">
        <v>-7.51171</v>
      </c>
      <c r="D974" t="n">
        <v>-63.0327</v>
      </c>
      <c r="E974" t="inlineStr">
        <is>
          <t>2021-07</t>
        </is>
      </c>
      <c r="F974" t="n">
        <v>0</v>
      </c>
    </row>
    <row r="975">
      <c r="A975" t="inlineStr">
        <is>
          <t>Milho</t>
        </is>
      </c>
      <c r="B975" t="inlineStr">
        <is>
          <t>Humaitá - AM</t>
        </is>
      </c>
      <c r="C975" t="n">
        <v>-7.51171</v>
      </c>
      <c r="D975" t="n">
        <v>-63.0327</v>
      </c>
      <c r="E975" t="inlineStr">
        <is>
          <t>2021-08</t>
        </is>
      </c>
      <c r="F975" t="n">
        <v>0</v>
      </c>
    </row>
    <row r="976">
      <c r="A976" t="inlineStr">
        <is>
          <t>Milho</t>
        </is>
      </c>
      <c r="B976" t="inlineStr">
        <is>
          <t>Humaitá - AM</t>
        </is>
      </c>
      <c r="C976" t="n">
        <v>-7.51171</v>
      </c>
      <c r="D976" t="n">
        <v>-63.0327</v>
      </c>
      <c r="E976" t="inlineStr">
        <is>
          <t>2021-09</t>
        </is>
      </c>
      <c r="F976" t="n">
        <v>0</v>
      </c>
    </row>
    <row r="977">
      <c r="A977" t="inlineStr">
        <is>
          <t>Milho</t>
        </is>
      </c>
      <c r="B977" t="inlineStr">
        <is>
          <t>Humaitá - AM</t>
        </is>
      </c>
      <c r="C977" t="n">
        <v>-7.51171</v>
      </c>
      <c r="D977" t="n">
        <v>-63.0327</v>
      </c>
      <c r="E977" t="inlineStr">
        <is>
          <t>2021-10</t>
        </is>
      </c>
      <c r="F977" t="n">
        <v>0</v>
      </c>
    </row>
    <row r="978">
      <c r="A978" t="inlineStr">
        <is>
          <t>Milho</t>
        </is>
      </c>
      <c r="B978" t="inlineStr">
        <is>
          <t>Humaitá - AM</t>
        </is>
      </c>
      <c r="C978" t="n">
        <v>-7.51171</v>
      </c>
      <c r="D978" t="n">
        <v>-63.0327</v>
      </c>
      <c r="E978" t="inlineStr">
        <is>
          <t>2021-11</t>
        </is>
      </c>
      <c r="F978" t="n">
        <v>0</v>
      </c>
    </row>
    <row r="979">
      <c r="A979" t="inlineStr">
        <is>
          <t>Milho</t>
        </is>
      </c>
      <c r="B979" t="inlineStr">
        <is>
          <t>Humaitá - AM</t>
        </is>
      </c>
      <c r="C979" t="n">
        <v>-7.51171</v>
      </c>
      <c r="D979" t="n">
        <v>-63.0327</v>
      </c>
      <c r="E979" t="inlineStr">
        <is>
          <t>2021-12</t>
        </is>
      </c>
      <c r="F979" t="n">
        <v>0</v>
      </c>
    </row>
    <row r="980">
      <c r="A980" t="inlineStr">
        <is>
          <t>Milho</t>
        </is>
      </c>
      <c r="B980" t="inlineStr">
        <is>
          <t>Palmeira das Missões - RS</t>
        </is>
      </c>
      <c r="C980" t="n">
        <v>-27.9007</v>
      </c>
      <c r="D980" t="n">
        <v>-53.3134</v>
      </c>
      <c r="E980" t="inlineStr">
        <is>
          <t>2022-01</t>
        </is>
      </c>
      <c r="F980" t="n">
        <v>0</v>
      </c>
    </row>
    <row r="981">
      <c r="A981" t="inlineStr">
        <is>
          <t>Milho</t>
        </is>
      </c>
      <c r="B981" t="inlineStr">
        <is>
          <t>Palmeira das Missões - RS</t>
        </is>
      </c>
      <c r="C981" t="n">
        <v>-27.9007</v>
      </c>
      <c r="D981" t="n">
        <v>-53.3134</v>
      </c>
      <c r="E981" t="inlineStr">
        <is>
          <t>2022-02</t>
        </is>
      </c>
      <c r="F981" t="n">
        <v>0</v>
      </c>
    </row>
    <row r="982">
      <c r="A982" t="inlineStr">
        <is>
          <t>Milho</t>
        </is>
      </c>
      <c r="B982" t="inlineStr">
        <is>
          <t>Palmeira das Missões - RS</t>
        </is>
      </c>
      <c r="C982" t="n">
        <v>-27.9007</v>
      </c>
      <c r="D982" t="n">
        <v>-53.3134</v>
      </c>
      <c r="E982" t="inlineStr">
        <is>
          <t>2022-03</t>
        </is>
      </c>
      <c r="F982" t="n">
        <v>0</v>
      </c>
    </row>
    <row r="983">
      <c r="A983" t="inlineStr">
        <is>
          <t>Milho</t>
        </is>
      </c>
      <c r="B983" t="inlineStr">
        <is>
          <t>Palmeira das Missões - RS</t>
        </is>
      </c>
      <c r="C983" t="n">
        <v>-27.9007</v>
      </c>
      <c r="D983" t="n">
        <v>-53.3134</v>
      </c>
      <c r="E983" t="inlineStr">
        <is>
          <t>2022-04</t>
        </is>
      </c>
      <c r="F983" t="n">
        <v>0</v>
      </c>
    </row>
    <row r="984">
      <c r="A984" t="inlineStr">
        <is>
          <t>Milho</t>
        </is>
      </c>
      <c r="B984" t="inlineStr">
        <is>
          <t>Palmeira das Missões - RS</t>
        </is>
      </c>
      <c r="C984" t="n">
        <v>-27.9007</v>
      </c>
      <c r="D984" t="n">
        <v>-53.3134</v>
      </c>
      <c r="E984" t="inlineStr">
        <is>
          <t>2022-05</t>
        </is>
      </c>
      <c r="F984" t="n">
        <v>0</v>
      </c>
    </row>
    <row r="985">
      <c r="A985" t="inlineStr">
        <is>
          <t>Milho</t>
        </is>
      </c>
      <c r="B985" t="inlineStr">
        <is>
          <t>Palmeira das Missões - RS</t>
        </is>
      </c>
      <c r="C985" t="n">
        <v>-27.9007</v>
      </c>
      <c r="D985" t="n">
        <v>-53.3134</v>
      </c>
      <c r="E985" t="inlineStr">
        <is>
          <t>2022-06</t>
        </is>
      </c>
      <c r="F985" t="n">
        <v>0</v>
      </c>
    </row>
    <row r="986">
      <c r="A986" t="inlineStr">
        <is>
          <t>Milho</t>
        </is>
      </c>
      <c r="B986" t="inlineStr">
        <is>
          <t>Palmeira das Missões - RS</t>
        </is>
      </c>
      <c r="C986" t="n">
        <v>-27.9007</v>
      </c>
      <c r="D986" t="n">
        <v>-53.3134</v>
      </c>
      <c r="E986" t="inlineStr">
        <is>
          <t>2021-07</t>
        </is>
      </c>
      <c r="F986" t="n">
        <v>0</v>
      </c>
    </row>
    <row r="987">
      <c r="A987" t="inlineStr">
        <is>
          <t>Milho</t>
        </is>
      </c>
      <c r="B987" t="inlineStr">
        <is>
          <t>Palmeira das Missões - RS</t>
        </is>
      </c>
      <c r="C987" t="n">
        <v>-27.9007</v>
      </c>
      <c r="D987" t="n">
        <v>-53.3134</v>
      </c>
      <c r="E987" t="inlineStr">
        <is>
          <t>2021-08</t>
        </is>
      </c>
      <c r="F987" t="n">
        <v>0</v>
      </c>
    </row>
    <row r="988">
      <c r="A988" t="inlineStr">
        <is>
          <t>Milho</t>
        </is>
      </c>
      <c r="B988" t="inlineStr">
        <is>
          <t>Palmeira das Missões - RS</t>
        </is>
      </c>
      <c r="C988" t="n">
        <v>-27.9007</v>
      </c>
      <c r="D988" t="n">
        <v>-53.3134</v>
      </c>
      <c r="E988" t="inlineStr">
        <is>
          <t>2021-09</t>
        </is>
      </c>
      <c r="F988" t="n">
        <v>0</v>
      </c>
    </row>
    <row r="989">
      <c r="A989" t="inlineStr">
        <is>
          <t>Milho</t>
        </is>
      </c>
      <c r="B989" t="inlineStr">
        <is>
          <t>Palmeira das Missões - RS</t>
        </is>
      </c>
      <c r="C989" t="n">
        <v>-27.9007</v>
      </c>
      <c r="D989" t="n">
        <v>-53.3134</v>
      </c>
      <c r="E989" t="inlineStr">
        <is>
          <t>2021-10</t>
        </is>
      </c>
      <c r="F989" t="n">
        <v>0</v>
      </c>
    </row>
    <row r="990">
      <c r="A990" t="inlineStr">
        <is>
          <t>Milho</t>
        </is>
      </c>
      <c r="B990" t="inlineStr">
        <is>
          <t>Palmeira das Missões - RS</t>
        </is>
      </c>
      <c r="C990" t="n">
        <v>-27.9007</v>
      </c>
      <c r="D990" t="n">
        <v>-53.3134</v>
      </c>
      <c r="E990" t="inlineStr">
        <is>
          <t>2021-11</t>
        </is>
      </c>
      <c r="F990" t="n">
        <v>0</v>
      </c>
    </row>
    <row r="991">
      <c r="A991" t="inlineStr">
        <is>
          <t>Milho</t>
        </is>
      </c>
      <c r="B991" t="inlineStr">
        <is>
          <t>Palmeira das Missões - RS</t>
        </is>
      </c>
      <c r="C991" t="n">
        <v>-27.9007</v>
      </c>
      <c r="D991" t="n">
        <v>-53.3134</v>
      </c>
      <c r="E991" t="inlineStr">
        <is>
          <t>2021-12</t>
        </is>
      </c>
      <c r="F991" t="n">
        <v>0</v>
      </c>
    </row>
    <row r="992">
      <c r="A992" t="inlineStr">
        <is>
          <t>Milho</t>
        </is>
      </c>
      <c r="B992" t="inlineStr">
        <is>
          <t>Limoeiro de Anadia - AL</t>
        </is>
      </c>
      <c r="C992" t="n">
        <v>-9.74098</v>
      </c>
      <c r="D992" t="n">
        <v>-36.5121</v>
      </c>
      <c r="E992" t="inlineStr">
        <is>
          <t>2022-01</t>
        </is>
      </c>
      <c r="F992" t="n">
        <v>0</v>
      </c>
    </row>
    <row r="993">
      <c r="A993" t="inlineStr">
        <is>
          <t>Milho</t>
        </is>
      </c>
      <c r="B993" t="inlineStr">
        <is>
          <t>Limoeiro de Anadia - AL</t>
        </is>
      </c>
      <c r="C993" t="n">
        <v>-9.74098</v>
      </c>
      <c r="D993" t="n">
        <v>-36.5121</v>
      </c>
      <c r="E993" t="inlineStr">
        <is>
          <t>2022-02</t>
        </is>
      </c>
      <c r="F993" t="n">
        <v>0</v>
      </c>
    </row>
    <row r="994">
      <c r="A994" t="inlineStr">
        <is>
          <t>Milho</t>
        </is>
      </c>
      <c r="B994" t="inlineStr">
        <is>
          <t>Limoeiro de Anadia - AL</t>
        </is>
      </c>
      <c r="C994" t="n">
        <v>-9.74098</v>
      </c>
      <c r="D994" t="n">
        <v>-36.5121</v>
      </c>
      <c r="E994" t="inlineStr">
        <is>
          <t>2022-03</t>
        </is>
      </c>
      <c r="F994" t="n">
        <v>0</v>
      </c>
    </row>
    <row r="995">
      <c r="A995" t="inlineStr">
        <is>
          <t>Milho</t>
        </is>
      </c>
      <c r="B995" t="inlineStr">
        <is>
          <t>Limoeiro de Anadia - AL</t>
        </is>
      </c>
      <c r="C995" t="n">
        <v>-9.74098</v>
      </c>
      <c r="D995" t="n">
        <v>-36.5121</v>
      </c>
      <c r="E995" t="inlineStr">
        <is>
          <t>2022-04</t>
        </is>
      </c>
      <c r="F995" t="n">
        <v>0</v>
      </c>
    </row>
    <row r="996">
      <c r="A996" t="inlineStr">
        <is>
          <t>Milho</t>
        </is>
      </c>
      <c r="B996" t="inlineStr">
        <is>
          <t>Limoeiro de Anadia - AL</t>
        </is>
      </c>
      <c r="C996" t="n">
        <v>-9.74098</v>
      </c>
      <c r="D996" t="n">
        <v>-36.5121</v>
      </c>
      <c r="E996" t="inlineStr">
        <is>
          <t>2022-05</t>
        </is>
      </c>
      <c r="F996" t="n">
        <v>0</v>
      </c>
    </row>
    <row r="997">
      <c r="A997" t="inlineStr">
        <is>
          <t>Milho</t>
        </is>
      </c>
      <c r="B997" t="inlineStr">
        <is>
          <t>Limoeiro de Anadia - AL</t>
        </is>
      </c>
      <c r="C997" t="n">
        <v>-9.74098</v>
      </c>
      <c r="D997" t="n">
        <v>-36.5121</v>
      </c>
      <c r="E997" t="inlineStr">
        <is>
          <t>2022-06</t>
        </is>
      </c>
      <c r="F997" t="n">
        <v>0</v>
      </c>
    </row>
    <row r="998">
      <c r="A998" t="inlineStr">
        <is>
          <t>Milho</t>
        </is>
      </c>
      <c r="B998" t="inlineStr">
        <is>
          <t>Limoeiro de Anadia - AL</t>
        </is>
      </c>
      <c r="C998" t="n">
        <v>-9.74098</v>
      </c>
      <c r="D998" t="n">
        <v>-36.5121</v>
      </c>
      <c r="E998" t="inlineStr">
        <is>
          <t>2021-07</t>
        </is>
      </c>
      <c r="F998" t="n">
        <v>0</v>
      </c>
    </row>
    <row r="999">
      <c r="A999" t="inlineStr">
        <is>
          <t>Milho</t>
        </is>
      </c>
      <c r="B999" t="inlineStr">
        <is>
          <t>Limoeiro de Anadia - AL</t>
        </is>
      </c>
      <c r="C999" t="n">
        <v>-9.74098</v>
      </c>
      <c r="D999" t="n">
        <v>-36.5121</v>
      </c>
      <c r="E999" t="inlineStr">
        <is>
          <t>2021-08</t>
        </is>
      </c>
      <c r="F999" t="n">
        <v>0</v>
      </c>
    </row>
    <row r="1000">
      <c r="A1000" t="inlineStr">
        <is>
          <t>Milho</t>
        </is>
      </c>
      <c r="B1000" t="inlineStr">
        <is>
          <t>Limoeiro de Anadia - AL</t>
        </is>
      </c>
      <c r="C1000" t="n">
        <v>-9.74098</v>
      </c>
      <c r="D1000" t="n">
        <v>-36.5121</v>
      </c>
      <c r="E1000" t="inlineStr">
        <is>
          <t>2021-09</t>
        </is>
      </c>
      <c r="F1000" t="n">
        <v>0</v>
      </c>
    </row>
    <row r="1001">
      <c r="A1001" t="inlineStr">
        <is>
          <t>Milho</t>
        </is>
      </c>
      <c r="B1001" t="inlineStr">
        <is>
          <t>Limoeiro de Anadia - AL</t>
        </is>
      </c>
      <c r="C1001" t="n">
        <v>-9.74098</v>
      </c>
      <c r="D1001" t="n">
        <v>-36.5121</v>
      </c>
      <c r="E1001" t="inlineStr">
        <is>
          <t>2021-10</t>
        </is>
      </c>
      <c r="F1001" t="n">
        <v>0</v>
      </c>
    </row>
    <row r="1002">
      <c r="A1002" t="inlineStr">
        <is>
          <t>Milho</t>
        </is>
      </c>
      <c r="B1002" t="inlineStr">
        <is>
          <t>Limoeiro de Anadia - AL</t>
        </is>
      </c>
      <c r="C1002" t="n">
        <v>-9.74098</v>
      </c>
      <c r="D1002" t="n">
        <v>-36.5121</v>
      </c>
      <c r="E1002" t="inlineStr">
        <is>
          <t>2021-11</t>
        </is>
      </c>
      <c r="F1002" t="n">
        <v>0</v>
      </c>
    </row>
    <row r="1003">
      <c r="A1003" t="inlineStr">
        <is>
          <t>Milho</t>
        </is>
      </c>
      <c r="B1003" t="inlineStr">
        <is>
          <t>Limoeiro de Anadia - AL</t>
        </is>
      </c>
      <c r="C1003" t="n">
        <v>-9.74098</v>
      </c>
      <c r="D1003" t="n">
        <v>-36.5121</v>
      </c>
      <c r="E1003" t="inlineStr">
        <is>
          <t>2021-12</t>
        </is>
      </c>
      <c r="F1003" t="n">
        <v>0</v>
      </c>
    </row>
    <row r="1004">
      <c r="A1004" t="inlineStr">
        <is>
          <t>Milho</t>
        </is>
      </c>
      <c r="B1004" t="inlineStr">
        <is>
          <t>Macapá - AP</t>
        </is>
      </c>
      <c r="C1004" t="n">
        <v>0.034934</v>
      </c>
      <c r="D1004" t="n">
        <v>-51.0694</v>
      </c>
      <c r="E1004" t="inlineStr">
        <is>
          <t>2022-01</t>
        </is>
      </c>
      <c r="F1004" t="n">
        <v>0</v>
      </c>
    </row>
    <row r="1005">
      <c r="A1005" t="inlineStr">
        <is>
          <t>Milho</t>
        </is>
      </c>
      <c r="B1005" t="inlineStr">
        <is>
          <t>Macapá - AP</t>
        </is>
      </c>
      <c r="C1005" t="n">
        <v>0.034934</v>
      </c>
      <c r="D1005" t="n">
        <v>-51.0694</v>
      </c>
      <c r="E1005" t="inlineStr">
        <is>
          <t>2022-02</t>
        </is>
      </c>
      <c r="F1005" t="n">
        <v>0</v>
      </c>
    </row>
    <row r="1006">
      <c r="A1006" t="inlineStr">
        <is>
          <t>Milho</t>
        </is>
      </c>
      <c r="B1006" t="inlineStr">
        <is>
          <t>Macapá - AP</t>
        </is>
      </c>
      <c r="C1006" t="n">
        <v>0.034934</v>
      </c>
      <c r="D1006" t="n">
        <v>-51.0694</v>
      </c>
      <c r="E1006" t="inlineStr">
        <is>
          <t>2022-03</t>
        </is>
      </c>
      <c r="F1006" t="n">
        <v>0</v>
      </c>
    </row>
    <row r="1007">
      <c r="A1007" t="inlineStr">
        <is>
          <t>Milho</t>
        </is>
      </c>
      <c r="B1007" t="inlineStr">
        <is>
          <t>Macapá - AP</t>
        </is>
      </c>
      <c r="C1007" t="n">
        <v>0.034934</v>
      </c>
      <c r="D1007" t="n">
        <v>-51.0694</v>
      </c>
      <c r="E1007" t="inlineStr">
        <is>
          <t>2022-04</t>
        </is>
      </c>
      <c r="F1007" t="n">
        <v>0</v>
      </c>
    </row>
    <row r="1008">
      <c r="A1008" t="inlineStr">
        <is>
          <t>Milho</t>
        </is>
      </c>
      <c r="B1008" t="inlineStr">
        <is>
          <t>Macapá - AP</t>
        </is>
      </c>
      <c r="C1008" t="n">
        <v>0.034934</v>
      </c>
      <c r="D1008" t="n">
        <v>-51.0694</v>
      </c>
      <c r="E1008" t="inlineStr">
        <is>
          <t>2022-05</t>
        </is>
      </c>
      <c r="F1008" t="n">
        <v>0</v>
      </c>
    </row>
    <row r="1009">
      <c r="A1009" t="inlineStr">
        <is>
          <t>Milho</t>
        </is>
      </c>
      <c r="B1009" t="inlineStr">
        <is>
          <t>Macapá - AP</t>
        </is>
      </c>
      <c r="C1009" t="n">
        <v>0.034934</v>
      </c>
      <c r="D1009" t="n">
        <v>-51.0694</v>
      </c>
      <c r="E1009" t="inlineStr">
        <is>
          <t>2022-06</t>
        </is>
      </c>
      <c r="F1009" t="n">
        <v>0</v>
      </c>
    </row>
    <row r="1010">
      <c r="A1010" t="inlineStr">
        <is>
          <t>Milho</t>
        </is>
      </c>
      <c r="B1010" t="inlineStr">
        <is>
          <t>Macapá - AP</t>
        </is>
      </c>
      <c r="C1010" t="n">
        <v>0.034934</v>
      </c>
      <c r="D1010" t="n">
        <v>-51.0694</v>
      </c>
      <c r="E1010" t="inlineStr">
        <is>
          <t>2021-07</t>
        </is>
      </c>
      <c r="F1010" t="n">
        <v>0</v>
      </c>
    </row>
    <row r="1011">
      <c r="A1011" t="inlineStr">
        <is>
          <t>Milho</t>
        </is>
      </c>
      <c r="B1011" t="inlineStr">
        <is>
          <t>Macapá - AP</t>
        </is>
      </c>
      <c r="C1011" t="n">
        <v>0.034934</v>
      </c>
      <c r="D1011" t="n">
        <v>-51.0694</v>
      </c>
      <c r="E1011" t="inlineStr">
        <is>
          <t>2021-08</t>
        </is>
      </c>
      <c r="F1011" t="n">
        <v>0</v>
      </c>
    </row>
    <row r="1012">
      <c r="A1012" t="inlineStr">
        <is>
          <t>Milho</t>
        </is>
      </c>
      <c r="B1012" t="inlineStr">
        <is>
          <t>Macapá - AP</t>
        </is>
      </c>
      <c r="C1012" t="n">
        <v>0.034934</v>
      </c>
      <c r="D1012" t="n">
        <v>-51.0694</v>
      </c>
      <c r="E1012" t="inlineStr">
        <is>
          <t>2021-09</t>
        </is>
      </c>
      <c r="F1012" t="n">
        <v>0</v>
      </c>
    </row>
    <row r="1013">
      <c r="A1013" t="inlineStr">
        <is>
          <t>Milho</t>
        </is>
      </c>
      <c r="B1013" t="inlineStr">
        <is>
          <t>Macapá - AP</t>
        </is>
      </c>
      <c r="C1013" t="n">
        <v>0.034934</v>
      </c>
      <c r="D1013" t="n">
        <v>-51.0694</v>
      </c>
      <c r="E1013" t="inlineStr">
        <is>
          <t>2021-10</t>
        </is>
      </c>
      <c r="F1013" t="n">
        <v>0</v>
      </c>
    </row>
    <row r="1014">
      <c r="A1014" t="inlineStr">
        <is>
          <t>Milho</t>
        </is>
      </c>
      <c r="B1014" t="inlineStr">
        <is>
          <t>Macapá - AP</t>
        </is>
      </c>
      <c r="C1014" t="n">
        <v>0.034934</v>
      </c>
      <c r="D1014" t="n">
        <v>-51.0694</v>
      </c>
      <c r="E1014" t="inlineStr">
        <is>
          <t>2021-11</t>
        </is>
      </c>
      <c r="F1014" t="n">
        <v>0</v>
      </c>
    </row>
    <row r="1015">
      <c r="A1015" t="inlineStr">
        <is>
          <t>Milho</t>
        </is>
      </c>
      <c r="B1015" t="inlineStr">
        <is>
          <t>Macapá - AP</t>
        </is>
      </c>
      <c r="C1015" t="n">
        <v>0.034934</v>
      </c>
      <c r="D1015" t="n">
        <v>-51.0694</v>
      </c>
      <c r="E1015" t="inlineStr">
        <is>
          <t>2021-12</t>
        </is>
      </c>
      <c r="F1015" t="n">
        <v>0</v>
      </c>
    </row>
    <row r="1016">
      <c r="A1016" t="inlineStr">
        <is>
          <t>Milho</t>
        </is>
      </c>
      <c r="B1016" t="inlineStr">
        <is>
          <t>Correntina - BA</t>
        </is>
      </c>
      <c r="C1016" t="n">
        <v>-13.3477</v>
      </c>
      <c r="D1016" t="n">
        <v>-44.6333</v>
      </c>
      <c r="E1016" t="inlineStr">
        <is>
          <t>2022-01</t>
        </is>
      </c>
      <c r="F1016" t="n">
        <v>0</v>
      </c>
    </row>
    <row r="1017">
      <c r="A1017" t="inlineStr">
        <is>
          <t>Milho</t>
        </is>
      </c>
      <c r="B1017" t="inlineStr">
        <is>
          <t>Correntina - BA</t>
        </is>
      </c>
      <c r="C1017" t="n">
        <v>-13.3477</v>
      </c>
      <c r="D1017" t="n">
        <v>-44.6333</v>
      </c>
      <c r="E1017" t="inlineStr">
        <is>
          <t>2022-02</t>
        </is>
      </c>
      <c r="F1017" t="n">
        <v>0</v>
      </c>
    </row>
    <row r="1018">
      <c r="A1018" t="inlineStr">
        <is>
          <t>Milho</t>
        </is>
      </c>
      <c r="B1018" t="inlineStr">
        <is>
          <t>Correntina - BA</t>
        </is>
      </c>
      <c r="C1018" t="n">
        <v>-13.3477</v>
      </c>
      <c r="D1018" t="n">
        <v>-44.6333</v>
      </c>
      <c r="E1018" t="inlineStr">
        <is>
          <t>2022-03</t>
        </is>
      </c>
      <c r="F1018" t="n">
        <v>0</v>
      </c>
    </row>
    <row r="1019">
      <c r="A1019" t="inlineStr">
        <is>
          <t>Milho</t>
        </is>
      </c>
      <c r="B1019" t="inlineStr">
        <is>
          <t>Correntina - BA</t>
        </is>
      </c>
      <c r="C1019" t="n">
        <v>-13.3477</v>
      </c>
      <c r="D1019" t="n">
        <v>-44.6333</v>
      </c>
      <c r="E1019" t="inlineStr">
        <is>
          <t>2022-04</t>
        </is>
      </c>
      <c r="F1019" t="n">
        <v>0</v>
      </c>
    </row>
    <row r="1020">
      <c r="A1020" t="inlineStr">
        <is>
          <t>Milho</t>
        </is>
      </c>
      <c r="B1020" t="inlineStr">
        <is>
          <t>Correntina - BA</t>
        </is>
      </c>
      <c r="C1020" t="n">
        <v>-13.3477</v>
      </c>
      <c r="D1020" t="n">
        <v>-44.6333</v>
      </c>
      <c r="E1020" t="inlineStr">
        <is>
          <t>2022-05</t>
        </is>
      </c>
      <c r="F1020" t="n">
        <v>0</v>
      </c>
    </row>
    <row r="1021">
      <c r="A1021" t="inlineStr">
        <is>
          <t>Milho</t>
        </is>
      </c>
      <c r="B1021" t="inlineStr">
        <is>
          <t>Correntina - BA</t>
        </is>
      </c>
      <c r="C1021" t="n">
        <v>-13.3477</v>
      </c>
      <c r="D1021" t="n">
        <v>-44.6333</v>
      </c>
      <c r="E1021" t="inlineStr">
        <is>
          <t>2022-06</t>
        </is>
      </c>
      <c r="F1021" t="n">
        <v>0</v>
      </c>
    </row>
    <row r="1022">
      <c r="A1022" t="inlineStr">
        <is>
          <t>Milho</t>
        </is>
      </c>
      <c r="B1022" t="inlineStr">
        <is>
          <t>Correntina - BA</t>
        </is>
      </c>
      <c r="C1022" t="n">
        <v>-13.3477</v>
      </c>
      <c r="D1022" t="n">
        <v>-44.6333</v>
      </c>
      <c r="E1022" t="inlineStr">
        <is>
          <t>2021-07</t>
        </is>
      </c>
      <c r="F1022" t="n">
        <v>0</v>
      </c>
    </row>
    <row r="1023">
      <c r="A1023" t="inlineStr">
        <is>
          <t>Milho</t>
        </is>
      </c>
      <c r="B1023" t="inlineStr">
        <is>
          <t>Correntina - BA</t>
        </is>
      </c>
      <c r="C1023" t="n">
        <v>-13.3477</v>
      </c>
      <c r="D1023" t="n">
        <v>-44.6333</v>
      </c>
      <c r="E1023" t="inlineStr">
        <is>
          <t>2021-08</t>
        </is>
      </c>
      <c r="F1023" t="n">
        <v>14196.47355394077</v>
      </c>
    </row>
    <row r="1024">
      <c r="A1024" t="inlineStr">
        <is>
          <t>Milho</t>
        </is>
      </c>
      <c r="B1024" t="inlineStr">
        <is>
          <t>Correntina - BA</t>
        </is>
      </c>
      <c r="C1024" t="n">
        <v>-13.3477</v>
      </c>
      <c r="D1024" t="n">
        <v>-44.6333</v>
      </c>
      <c r="E1024" t="inlineStr">
        <is>
          <t>2021-09</t>
        </is>
      </c>
      <c r="F1024" t="n">
        <v>30337.72810934045</v>
      </c>
    </row>
    <row r="1025">
      <c r="A1025" t="inlineStr">
        <is>
          <t>Milho</t>
        </is>
      </c>
      <c r="B1025" t="inlineStr">
        <is>
          <t>Correntina - BA</t>
        </is>
      </c>
      <c r="C1025" t="n">
        <v>-13.3477</v>
      </c>
      <c r="D1025" t="n">
        <v>-44.6333</v>
      </c>
      <c r="E1025" t="inlineStr">
        <is>
          <t>2021-10</t>
        </is>
      </c>
      <c r="F1025" t="n">
        <v>215255.4808789325</v>
      </c>
    </row>
    <row r="1026">
      <c r="A1026" t="inlineStr">
        <is>
          <t>Milho</t>
        </is>
      </c>
      <c r="B1026" t="inlineStr">
        <is>
          <t>Correntina - BA</t>
        </is>
      </c>
      <c r="C1026" t="n">
        <v>-13.3477</v>
      </c>
      <c r="D1026" t="n">
        <v>-44.6333</v>
      </c>
      <c r="E1026" t="inlineStr">
        <is>
          <t>2021-11</t>
        </is>
      </c>
      <c r="F1026" t="n">
        <v>337384.2112162944</v>
      </c>
    </row>
    <row r="1027">
      <c r="A1027" t="inlineStr">
        <is>
          <t>Milho</t>
        </is>
      </c>
      <c r="B1027" t="inlineStr">
        <is>
          <t>Correntina - BA</t>
        </is>
      </c>
      <c r="C1027" t="n">
        <v>-13.3477</v>
      </c>
      <c r="D1027" t="n">
        <v>-44.6333</v>
      </c>
      <c r="E1027" t="inlineStr">
        <is>
          <t>2021-12</t>
        </is>
      </c>
      <c r="F1027" t="n">
        <v>0</v>
      </c>
    </row>
    <row r="1028">
      <c r="A1028" t="inlineStr">
        <is>
          <t>Milho</t>
        </is>
      </c>
      <c r="B1028" t="inlineStr">
        <is>
          <t>Crateús - CE</t>
        </is>
      </c>
      <c r="C1028" t="n">
        <v>-5.16768</v>
      </c>
      <c r="D1028" t="n">
        <v>-40.6536</v>
      </c>
      <c r="E1028" t="inlineStr">
        <is>
          <t>2022-01</t>
        </is>
      </c>
      <c r="F1028" t="n">
        <v>0</v>
      </c>
    </row>
    <row r="1029">
      <c r="A1029" t="inlineStr">
        <is>
          <t>Milho</t>
        </is>
      </c>
      <c r="B1029" t="inlineStr">
        <is>
          <t>Crateús - CE</t>
        </is>
      </c>
      <c r="C1029" t="n">
        <v>-5.16768</v>
      </c>
      <c r="D1029" t="n">
        <v>-40.6536</v>
      </c>
      <c r="E1029" t="inlineStr">
        <is>
          <t>2022-02</t>
        </is>
      </c>
      <c r="F1029" t="n">
        <v>0</v>
      </c>
    </row>
    <row r="1030">
      <c r="A1030" t="inlineStr">
        <is>
          <t>Milho</t>
        </is>
      </c>
      <c r="B1030" t="inlineStr">
        <is>
          <t>Crateús - CE</t>
        </is>
      </c>
      <c r="C1030" t="n">
        <v>-5.16768</v>
      </c>
      <c r="D1030" t="n">
        <v>-40.6536</v>
      </c>
      <c r="E1030" t="inlineStr">
        <is>
          <t>2022-03</t>
        </is>
      </c>
      <c r="F1030" t="n">
        <v>0</v>
      </c>
    </row>
    <row r="1031">
      <c r="A1031" t="inlineStr">
        <is>
          <t>Milho</t>
        </is>
      </c>
      <c r="B1031" t="inlineStr">
        <is>
          <t>Crateús - CE</t>
        </is>
      </c>
      <c r="C1031" t="n">
        <v>-5.16768</v>
      </c>
      <c r="D1031" t="n">
        <v>-40.6536</v>
      </c>
      <c r="E1031" t="inlineStr">
        <is>
          <t>2022-04</t>
        </is>
      </c>
      <c r="F1031" t="n">
        <v>0</v>
      </c>
    </row>
    <row r="1032">
      <c r="A1032" t="inlineStr">
        <is>
          <t>Milho</t>
        </is>
      </c>
      <c r="B1032" t="inlineStr">
        <is>
          <t>Crateús - CE</t>
        </is>
      </c>
      <c r="C1032" t="n">
        <v>-5.16768</v>
      </c>
      <c r="D1032" t="n">
        <v>-40.6536</v>
      </c>
      <c r="E1032" t="inlineStr">
        <is>
          <t>2022-05</t>
        </is>
      </c>
      <c r="F1032" t="n">
        <v>68888.02538918282</v>
      </c>
    </row>
    <row r="1033">
      <c r="A1033" t="inlineStr">
        <is>
          <t>Milho</t>
        </is>
      </c>
      <c r="B1033" t="inlineStr">
        <is>
          <t>Crateús - CE</t>
        </is>
      </c>
      <c r="C1033" t="n">
        <v>-5.16768</v>
      </c>
      <c r="D1033" t="n">
        <v>-40.6536</v>
      </c>
      <c r="E1033" t="inlineStr">
        <is>
          <t>2022-06</t>
        </is>
      </c>
      <c r="F1033" t="n">
        <v>60878.58863990456</v>
      </c>
    </row>
    <row r="1034">
      <c r="A1034" t="inlineStr">
        <is>
          <t>Milho</t>
        </is>
      </c>
      <c r="B1034" t="inlineStr">
        <is>
          <t>Crateús - CE</t>
        </is>
      </c>
      <c r="C1034" t="n">
        <v>-5.16768</v>
      </c>
      <c r="D1034" t="n">
        <v>-40.6536</v>
      </c>
      <c r="E1034" t="inlineStr">
        <is>
          <t>2021-07</t>
        </is>
      </c>
      <c r="F1034" t="n">
        <v>132747.5021234449</v>
      </c>
    </row>
    <row r="1035">
      <c r="A1035" t="inlineStr">
        <is>
          <t>Milho</t>
        </is>
      </c>
      <c r="B1035" t="inlineStr">
        <is>
          <t>Crateús - CE</t>
        </is>
      </c>
      <c r="C1035" t="n">
        <v>-5.16768</v>
      </c>
      <c r="D1035" t="n">
        <v>-40.6536</v>
      </c>
      <c r="E1035" t="inlineStr">
        <is>
          <t>2021-08</t>
        </is>
      </c>
      <c r="F1035" t="n">
        <v>68093.49807190198</v>
      </c>
    </row>
    <row r="1036">
      <c r="A1036" t="inlineStr">
        <is>
          <t>Milho</t>
        </is>
      </c>
      <c r="B1036" t="inlineStr">
        <is>
          <t>Crateús - CE</t>
        </is>
      </c>
      <c r="C1036" t="n">
        <v>-5.16768</v>
      </c>
      <c r="D1036" t="n">
        <v>-40.6536</v>
      </c>
      <c r="E1036" t="inlineStr">
        <is>
          <t>2021-09</t>
        </is>
      </c>
      <c r="F1036" t="n">
        <v>36378.78841301787</v>
      </c>
    </row>
    <row r="1037">
      <c r="A1037" t="inlineStr">
        <is>
          <t>Milho</t>
        </is>
      </c>
      <c r="B1037" t="inlineStr">
        <is>
          <t>Crateús - CE</t>
        </is>
      </c>
      <c r="C1037" t="n">
        <v>-5.16768</v>
      </c>
      <c r="D1037" t="n">
        <v>-40.6536</v>
      </c>
      <c r="E1037" t="inlineStr">
        <is>
          <t>2021-10</t>
        </is>
      </c>
      <c r="F1037" t="n">
        <v>0</v>
      </c>
    </row>
    <row r="1038">
      <c r="A1038" t="inlineStr">
        <is>
          <t>Milho</t>
        </is>
      </c>
      <c r="B1038" t="inlineStr">
        <is>
          <t>Crateús - CE</t>
        </is>
      </c>
      <c r="C1038" t="n">
        <v>-5.16768</v>
      </c>
      <c r="D1038" t="n">
        <v>-40.6536</v>
      </c>
      <c r="E1038" t="inlineStr">
        <is>
          <t>2021-11</t>
        </is>
      </c>
      <c r="F1038" t="n">
        <v>0</v>
      </c>
    </row>
    <row r="1039">
      <c r="A1039" t="inlineStr">
        <is>
          <t>Milho</t>
        </is>
      </c>
      <c r="B1039" t="inlineStr">
        <is>
          <t>Crateús - CE</t>
        </is>
      </c>
      <c r="C1039" t="n">
        <v>-5.16768</v>
      </c>
      <c r="D1039" t="n">
        <v>-40.6536</v>
      </c>
      <c r="E1039" t="inlineStr">
        <is>
          <t>2021-12</t>
        </is>
      </c>
      <c r="F1039" t="n">
        <v>0</v>
      </c>
    </row>
    <row r="1040">
      <c r="A1040" t="inlineStr">
        <is>
          <t>Milho</t>
        </is>
      </c>
      <c r="B1040" t="inlineStr">
        <is>
          <t>Brasília - DF</t>
        </is>
      </c>
      <c r="C1040" t="n">
        <v>-15.7795</v>
      </c>
      <c r="D1040" t="n">
        <v>-47.9297</v>
      </c>
      <c r="E1040" t="inlineStr">
        <is>
          <t>2022-01</t>
        </is>
      </c>
      <c r="F1040" t="n">
        <v>0</v>
      </c>
    </row>
    <row r="1041">
      <c r="A1041" t="inlineStr">
        <is>
          <t>Milho</t>
        </is>
      </c>
      <c r="B1041" t="inlineStr">
        <is>
          <t>Brasília - DF</t>
        </is>
      </c>
      <c r="C1041" t="n">
        <v>-15.7795</v>
      </c>
      <c r="D1041" t="n">
        <v>-47.9297</v>
      </c>
      <c r="E1041" t="inlineStr">
        <is>
          <t>2022-02</t>
        </is>
      </c>
      <c r="F1041" t="n">
        <v>0</v>
      </c>
    </row>
    <row r="1042">
      <c r="A1042" t="inlineStr">
        <is>
          <t>Milho</t>
        </is>
      </c>
      <c r="B1042" t="inlineStr">
        <is>
          <t>Brasília - DF</t>
        </is>
      </c>
      <c r="C1042" t="n">
        <v>-15.7795</v>
      </c>
      <c r="D1042" t="n">
        <v>-47.9297</v>
      </c>
      <c r="E1042" t="inlineStr">
        <is>
          <t>2022-03</t>
        </is>
      </c>
      <c r="F1042" t="n">
        <v>0</v>
      </c>
    </row>
    <row r="1043">
      <c r="A1043" t="inlineStr">
        <is>
          <t>Milho</t>
        </is>
      </c>
      <c r="B1043" t="inlineStr">
        <is>
          <t>Brasília - DF</t>
        </is>
      </c>
      <c r="C1043" t="n">
        <v>-15.7795</v>
      </c>
      <c r="D1043" t="n">
        <v>-47.9297</v>
      </c>
      <c r="E1043" t="inlineStr">
        <is>
          <t>2022-04</t>
        </is>
      </c>
      <c r="F1043" t="n">
        <v>0</v>
      </c>
    </row>
    <row r="1044">
      <c r="A1044" t="inlineStr">
        <is>
          <t>Milho</t>
        </is>
      </c>
      <c r="B1044" t="inlineStr">
        <is>
          <t>Brasília - DF</t>
        </is>
      </c>
      <c r="C1044" t="n">
        <v>-15.7795</v>
      </c>
      <c r="D1044" t="n">
        <v>-47.9297</v>
      </c>
      <c r="E1044" t="inlineStr">
        <is>
          <t>2022-05</t>
        </is>
      </c>
      <c r="F1044" t="n">
        <v>33406.89091120099</v>
      </c>
    </row>
    <row r="1045">
      <c r="A1045" t="inlineStr">
        <is>
          <t>Milho</t>
        </is>
      </c>
      <c r="B1045" t="inlineStr">
        <is>
          <t>Brasília - DF</t>
        </is>
      </c>
      <c r="C1045" t="n">
        <v>-15.7795</v>
      </c>
      <c r="D1045" t="n">
        <v>-47.9297</v>
      </c>
      <c r="E1045" t="inlineStr">
        <is>
          <t>2022-06</t>
        </is>
      </c>
      <c r="F1045" t="n">
        <v>49204.59344546028</v>
      </c>
    </row>
    <row r="1046">
      <c r="A1046" t="inlineStr">
        <is>
          <t>Milho</t>
        </is>
      </c>
      <c r="B1046" t="inlineStr">
        <is>
          <t>Brasília - DF</t>
        </is>
      </c>
      <c r="C1046" t="n">
        <v>-15.7795</v>
      </c>
      <c r="D1046" t="n">
        <v>-47.9297</v>
      </c>
      <c r="E1046" t="inlineStr">
        <is>
          <t>2021-07</t>
        </is>
      </c>
      <c r="F1046" t="n">
        <v>45982.29515132522</v>
      </c>
    </row>
    <row r="1047">
      <c r="A1047" t="inlineStr">
        <is>
          <t>Milho</t>
        </is>
      </c>
      <c r="B1047" t="inlineStr">
        <is>
          <t>Brasília - DF</t>
        </is>
      </c>
      <c r="C1047" t="n">
        <v>-15.7795</v>
      </c>
      <c r="D1047" t="n">
        <v>-47.9297</v>
      </c>
      <c r="E1047" t="inlineStr">
        <is>
          <t>2021-08</t>
        </is>
      </c>
      <c r="F1047" t="n">
        <v>33021.58900619765</v>
      </c>
    </row>
    <row r="1048">
      <c r="A1048" t="inlineStr">
        <is>
          <t>Milho</t>
        </is>
      </c>
      <c r="B1048" t="inlineStr">
        <is>
          <t>Brasília - DF</t>
        </is>
      </c>
      <c r="C1048" t="n">
        <v>-15.7795</v>
      </c>
      <c r="D1048" t="n">
        <v>-47.9297</v>
      </c>
      <c r="E1048" t="inlineStr">
        <is>
          <t>2021-09</t>
        </is>
      </c>
      <c r="F1048" t="n">
        <v>0</v>
      </c>
    </row>
    <row r="1049">
      <c r="A1049" t="inlineStr">
        <is>
          <t>Milho</t>
        </is>
      </c>
      <c r="B1049" t="inlineStr">
        <is>
          <t>Brasília - DF</t>
        </is>
      </c>
      <c r="C1049" t="n">
        <v>-15.7795</v>
      </c>
      <c r="D1049" t="n">
        <v>-47.9297</v>
      </c>
      <c r="E1049" t="inlineStr">
        <is>
          <t>2021-10</t>
        </is>
      </c>
      <c r="F1049" t="n">
        <v>0</v>
      </c>
    </row>
    <row r="1050">
      <c r="A1050" t="inlineStr">
        <is>
          <t>Milho</t>
        </is>
      </c>
      <c r="B1050" t="inlineStr">
        <is>
          <t>Brasília - DF</t>
        </is>
      </c>
      <c r="C1050" t="n">
        <v>-15.7795</v>
      </c>
      <c r="D1050" t="n">
        <v>-47.9297</v>
      </c>
      <c r="E1050" t="inlineStr">
        <is>
          <t>2021-11</t>
        </is>
      </c>
      <c r="F1050" t="n">
        <v>0</v>
      </c>
    </row>
    <row r="1051">
      <c r="A1051" t="inlineStr">
        <is>
          <t>Milho</t>
        </is>
      </c>
      <c r="B1051" t="inlineStr">
        <is>
          <t>Brasília - DF</t>
        </is>
      </c>
      <c r="C1051" t="n">
        <v>-15.7795</v>
      </c>
      <c r="D1051" t="n">
        <v>-47.9297</v>
      </c>
      <c r="E1051" t="inlineStr">
        <is>
          <t>2021-12</t>
        </is>
      </c>
      <c r="F1051" t="n">
        <v>0</v>
      </c>
    </row>
    <row r="1052">
      <c r="A1052" t="inlineStr">
        <is>
          <t>Milho</t>
        </is>
      </c>
      <c r="B1052" t="inlineStr">
        <is>
          <t>Pinheiros - ES</t>
        </is>
      </c>
      <c r="C1052" t="n">
        <v>-18.4141</v>
      </c>
      <c r="D1052" t="n">
        <v>-40.2171</v>
      </c>
      <c r="E1052" t="inlineStr">
        <is>
          <t>2022-01</t>
        </is>
      </c>
      <c r="F1052" t="n">
        <v>0</v>
      </c>
    </row>
    <row r="1053">
      <c r="A1053" t="inlineStr">
        <is>
          <t>Milho</t>
        </is>
      </c>
      <c r="B1053" t="inlineStr">
        <is>
          <t>Pinheiros - ES</t>
        </is>
      </c>
      <c r="C1053" t="n">
        <v>-18.4141</v>
      </c>
      <c r="D1053" t="n">
        <v>-40.2171</v>
      </c>
      <c r="E1053" t="inlineStr">
        <is>
          <t>2022-02</t>
        </is>
      </c>
      <c r="F1053" t="n">
        <v>0</v>
      </c>
    </row>
    <row r="1054">
      <c r="A1054" t="inlineStr">
        <is>
          <t>Milho</t>
        </is>
      </c>
      <c r="B1054" t="inlineStr">
        <is>
          <t>Pinheiros - ES</t>
        </is>
      </c>
      <c r="C1054" t="n">
        <v>-18.4141</v>
      </c>
      <c r="D1054" t="n">
        <v>-40.2171</v>
      </c>
      <c r="E1054" t="inlineStr">
        <is>
          <t>2022-03</t>
        </is>
      </c>
      <c r="F1054" t="n">
        <v>0</v>
      </c>
    </row>
    <row r="1055">
      <c r="A1055" t="inlineStr">
        <is>
          <t>Milho</t>
        </is>
      </c>
      <c r="B1055" t="inlineStr">
        <is>
          <t>Pinheiros - ES</t>
        </is>
      </c>
      <c r="C1055" t="n">
        <v>-18.4141</v>
      </c>
      <c r="D1055" t="n">
        <v>-40.2171</v>
      </c>
      <c r="E1055" t="inlineStr">
        <is>
          <t>2022-04</t>
        </is>
      </c>
      <c r="F1055" t="n">
        <v>0</v>
      </c>
    </row>
    <row r="1056">
      <c r="A1056" t="inlineStr">
        <is>
          <t>Milho</t>
        </is>
      </c>
      <c r="B1056" t="inlineStr">
        <is>
          <t>Pinheiros - ES</t>
        </is>
      </c>
      <c r="C1056" t="n">
        <v>-18.4141</v>
      </c>
      <c r="D1056" t="n">
        <v>-40.2171</v>
      </c>
      <c r="E1056" t="inlineStr">
        <is>
          <t>2022-05</t>
        </is>
      </c>
      <c r="F1056" t="n">
        <v>0</v>
      </c>
    </row>
    <row r="1057">
      <c r="A1057" t="inlineStr">
        <is>
          <t>Milho</t>
        </is>
      </c>
      <c r="B1057" t="inlineStr">
        <is>
          <t>Pinheiros - ES</t>
        </is>
      </c>
      <c r="C1057" t="n">
        <v>-18.4141</v>
      </c>
      <c r="D1057" t="n">
        <v>-40.2171</v>
      </c>
      <c r="E1057" t="inlineStr">
        <is>
          <t>2022-06</t>
        </is>
      </c>
      <c r="F1057" t="n">
        <v>0</v>
      </c>
    </row>
    <row r="1058">
      <c r="A1058" t="inlineStr">
        <is>
          <t>Milho</t>
        </is>
      </c>
      <c r="B1058" t="inlineStr">
        <is>
          <t>Pinheiros - ES</t>
        </is>
      </c>
      <c r="C1058" t="n">
        <v>-18.4141</v>
      </c>
      <c r="D1058" t="n">
        <v>-40.2171</v>
      </c>
      <c r="E1058" t="inlineStr">
        <is>
          <t>2021-07</t>
        </is>
      </c>
      <c r="F1058" t="n">
        <v>0</v>
      </c>
    </row>
    <row r="1059">
      <c r="A1059" t="inlineStr">
        <is>
          <t>Milho</t>
        </is>
      </c>
      <c r="B1059" t="inlineStr">
        <is>
          <t>Pinheiros - ES</t>
        </is>
      </c>
      <c r="C1059" t="n">
        <v>-18.4141</v>
      </c>
      <c r="D1059" t="n">
        <v>-40.2171</v>
      </c>
      <c r="E1059" t="inlineStr">
        <is>
          <t>2021-08</t>
        </is>
      </c>
      <c r="F1059" t="n">
        <v>0</v>
      </c>
    </row>
    <row r="1060">
      <c r="A1060" t="inlineStr">
        <is>
          <t>Milho</t>
        </is>
      </c>
      <c r="B1060" t="inlineStr">
        <is>
          <t>Pinheiros - ES</t>
        </is>
      </c>
      <c r="C1060" t="n">
        <v>-18.4141</v>
      </c>
      <c r="D1060" t="n">
        <v>-40.2171</v>
      </c>
      <c r="E1060" t="inlineStr">
        <is>
          <t>2021-09</t>
        </is>
      </c>
      <c r="F1060" t="n">
        <v>0</v>
      </c>
    </row>
    <row r="1061">
      <c r="A1061" t="inlineStr">
        <is>
          <t>Milho</t>
        </is>
      </c>
      <c r="B1061" t="inlineStr">
        <is>
          <t>Pinheiros - ES</t>
        </is>
      </c>
      <c r="C1061" t="n">
        <v>-18.4141</v>
      </c>
      <c r="D1061" t="n">
        <v>-40.2171</v>
      </c>
      <c r="E1061" t="inlineStr">
        <is>
          <t>2021-10</t>
        </is>
      </c>
      <c r="F1061" t="n">
        <v>0</v>
      </c>
    </row>
    <row r="1062">
      <c r="A1062" t="inlineStr">
        <is>
          <t>Milho</t>
        </is>
      </c>
      <c r="B1062" t="inlineStr">
        <is>
          <t>Pinheiros - ES</t>
        </is>
      </c>
      <c r="C1062" t="n">
        <v>-18.4141</v>
      </c>
      <c r="D1062" t="n">
        <v>-40.2171</v>
      </c>
      <c r="E1062" t="inlineStr">
        <is>
          <t>2021-11</t>
        </is>
      </c>
      <c r="F1062" t="n">
        <v>0</v>
      </c>
    </row>
    <row r="1063">
      <c r="A1063" t="inlineStr">
        <is>
          <t>Milho</t>
        </is>
      </c>
      <c r="B1063" t="inlineStr">
        <is>
          <t>Pinheiros - ES</t>
        </is>
      </c>
      <c r="C1063" t="n">
        <v>-18.4141</v>
      </c>
      <c r="D1063" t="n">
        <v>-40.2171</v>
      </c>
      <c r="E1063" t="inlineStr">
        <is>
          <t>2021-12</t>
        </is>
      </c>
      <c r="F1063" t="n">
        <v>0</v>
      </c>
    </row>
    <row r="1064">
      <c r="A1064" t="inlineStr">
        <is>
          <t>Milho</t>
        </is>
      </c>
      <c r="B1064" t="inlineStr">
        <is>
          <t>Rio Verde - GO</t>
        </is>
      </c>
      <c r="C1064" t="n">
        <v>-17.7923</v>
      </c>
      <c r="D1064" t="n">
        <v>-50.9192</v>
      </c>
      <c r="E1064" t="inlineStr">
        <is>
          <t>2022-01</t>
        </is>
      </c>
      <c r="F1064" t="n">
        <v>0</v>
      </c>
    </row>
    <row r="1065">
      <c r="A1065" t="inlineStr">
        <is>
          <t>Milho</t>
        </is>
      </c>
      <c r="B1065" t="inlineStr">
        <is>
          <t>Rio Verde - GO</t>
        </is>
      </c>
      <c r="C1065" t="n">
        <v>-17.7923</v>
      </c>
      <c r="D1065" t="n">
        <v>-50.9192</v>
      </c>
      <c r="E1065" t="inlineStr">
        <is>
          <t>2022-02</t>
        </is>
      </c>
      <c r="F1065" t="n">
        <v>0</v>
      </c>
    </row>
    <row r="1066">
      <c r="A1066" t="inlineStr">
        <is>
          <t>Milho</t>
        </is>
      </c>
      <c r="B1066" t="inlineStr">
        <is>
          <t>Rio Verde - GO</t>
        </is>
      </c>
      <c r="C1066" t="n">
        <v>-17.7923</v>
      </c>
      <c r="D1066" t="n">
        <v>-50.9192</v>
      </c>
      <c r="E1066" t="inlineStr">
        <is>
          <t>2022-03</t>
        </is>
      </c>
      <c r="F1066" t="n">
        <v>0</v>
      </c>
    </row>
    <row r="1067">
      <c r="A1067" t="inlineStr">
        <is>
          <t>Milho</t>
        </is>
      </c>
      <c r="B1067" t="inlineStr">
        <is>
          <t>Rio Verde - GO</t>
        </is>
      </c>
      <c r="C1067" t="n">
        <v>-17.7923</v>
      </c>
      <c r="D1067" t="n">
        <v>-50.9192</v>
      </c>
      <c r="E1067" t="inlineStr">
        <is>
          <t>2022-04</t>
        </is>
      </c>
      <c r="F1067" t="n">
        <v>0</v>
      </c>
    </row>
    <row r="1068">
      <c r="A1068" t="inlineStr">
        <is>
          <t>Milho</t>
        </is>
      </c>
      <c r="B1068" t="inlineStr">
        <is>
          <t>Rio Verde - GO</t>
        </is>
      </c>
      <c r="C1068" t="n">
        <v>-17.7923</v>
      </c>
      <c r="D1068" t="n">
        <v>-50.9192</v>
      </c>
      <c r="E1068" t="inlineStr">
        <is>
          <t>2022-05</t>
        </is>
      </c>
      <c r="F1068" t="n">
        <v>1046119.537954198</v>
      </c>
    </row>
    <row r="1069">
      <c r="A1069" t="inlineStr">
        <is>
          <t>Milho</t>
        </is>
      </c>
      <c r="B1069" t="inlineStr">
        <is>
          <t>Rio Verde - GO</t>
        </is>
      </c>
      <c r="C1069" t="n">
        <v>-17.7923</v>
      </c>
      <c r="D1069" t="n">
        <v>-50.9192</v>
      </c>
      <c r="E1069" t="inlineStr">
        <is>
          <t>2022-06</t>
        </is>
      </c>
      <c r="F1069" t="n">
        <v>1540816.43506461</v>
      </c>
    </row>
    <row r="1070">
      <c r="A1070" t="inlineStr">
        <is>
          <t>Milho</t>
        </is>
      </c>
      <c r="B1070" t="inlineStr">
        <is>
          <t>Rio Verde - GO</t>
        </is>
      </c>
      <c r="C1070" t="n">
        <v>-17.7923</v>
      </c>
      <c r="D1070" t="n">
        <v>-50.9192</v>
      </c>
      <c r="E1070" t="inlineStr">
        <is>
          <t>2021-07</t>
        </is>
      </c>
      <c r="F1070" t="n">
        <v>1439911.827941146</v>
      </c>
    </row>
    <row r="1071">
      <c r="A1071" t="inlineStr">
        <is>
          <t>Milho</t>
        </is>
      </c>
      <c r="B1071" t="inlineStr">
        <is>
          <t>Rio Verde - GO</t>
        </is>
      </c>
      <c r="C1071" t="n">
        <v>-17.7923</v>
      </c>
      <c r="D1071" t="n">
        <v>-50.9192</v>
      </c>
      <c r="E1071" t="inlineStr">
        <is>
          <t>2021-08</t>
        </is>
      </c>
      <c r="F1071" t="n">
        <v>1034054.007764442</v>
      </c>
    </row>
    <row r="1072">
      <c r="A1072" t="inlineStr">
        <is>
          <t>Milho</t>
        </is>
      </c>
      <c r="B1072" t="inlineStr">
        <is>
          <t>Rio Verde - GO</t>
        </is>
      </c>
      <c r="C1072" t="n">
        <v>-17.7923</v>
      </c>
      <c r="D1072" t="n">
        <v>-50.9192</v>
      </c>
      <c r="E1072" t="inlineStr">
        <is>
          <t>2021-09</t>
        </is>
      </c>
      <c r="F1072" t="n">
        <v>552440.8793975335</v>
      </c>
    </row>
    <row r="1073">
      <c r="A1073" t="inlineStr">
        <is>
          <t>Milho</t>
        </is>
      </c>
      <c r="B1073" t="inlineStr">
        <is>
          <t>Rio Verde - GO</t>
        </is>
      </c>
      <c r="C1073" t="n">
        <v>-17.7923</v>
      </c>
      <c r="D1073" t="n">
        <v>-50.9192</v>
      </c>
      <c r="E1073" t="inlineStr">
        <is>
          <t>2021-10</t>
        </is>
      </c>
      <c r="F1073" t="n">
        <v>0</v>
      </c>
    </row>
    <row r="1074">
      <c r="A1074" t="inlineStr">
        <is>
          <t>Milho</t>
        </is>
      </c>
      <c r="B1074" t="inlineStr">
        <is>
          <t>Rio Verde - GO</t>
        </is>
      </c>
      <c r="C1074" t="n">
        <v>-17.7923</v>
      </c>
      <c r="D1074" t="n">
        <v>-50.9192</v>
      </c>
      <c r="E1074" t="inlineStr">
        <is>
          <t>2021-11</t>
        </is>
      </c>
      <c r="F1074" t="n">
        <v>0</v>
      </c>
    </row>
    <row r="1075">
      <c r="A1075" t="inlineStr">
        <is>
          <t>Milho</t>
        </is>
      </c>
      <c r="B1075" t="inlineStr">
        <is>
          <t>Rio Verde - GO</t>
        </is>
      </c>
      <c r="C1075" t="n">
        <v>-17.7923</v>
      </c>
      <c r="D1075" t="n">
        <v>-50.9192</v>
      </c>
      <c r="E1075" t="inlineStr">
        <is>
          <t>2021-12</t>
        </is>
      </c>
      <c r="F1075" t="n">
        <v>0</v>
      </c>
    </row>
    <row r="1076">
      <c r="A1076" t="inlineStr">
        <is>
          <t>Milho</t>
        </is>
      </c>
      <c r="B1076" t="inlineStr">
        <is>
          <t>Balsas - MA</t>
        </is>
      </c>
      <c r="C1076" t="n">
        <v>-7.53214</v>
      </c>
      <c r="D1076" t="n">
        <v>-46.0372</v>
      </c>
      <c r="E1076" t="inlineStr">
        <is>
          <t>2022-01</t>
        </is>
      </c>
      <c r="F1076" t="n">
        <v>0</v>
      </c>
    </row>
    <row r="1077">
      <c r="A1077" t="inlineStr">
        <is>
          <t>Milho</t>
        </is>
      </c>
      <c r="B1077" t="inlineStr">
        <is>
          <t>Balsas - MA</t>
        </is>
      </c>
      <c r="C1077" t="n">
        <v>-7.53214</v>
      </c>
      <c r="D1077" t="n">
        <v>-46.0372</v>
      </c>
      <c r="E1077" t="inlineStr">
        <is>
          <t>2022-02</t>
        </is>
      </c>
      <c r="F1077" t="n">
        <v>0</v>
      </c>
    </row>
    <row r="1078">
      <c r="A1078" t="inlineStr">
        <is>
          <t>Milho</t>
        </is>
      </c>
      <c r="B1078" t="inlineStr">
        <is>
          <t>Balsas - MA</t>
        </is>
      </c>
      <c r="C1078" t="n">
        <v>-7.53214</v>
      </c>
      <c r="D1078" t="n">
        <v>-46.0372</v>
      </c>
      <c r="E1078" t="inlineStr">
        <is>
          <t>2022-03</t>
        </is>
      </c>
      <c r="F1078" t="n">
        <v>0</v>
      </c>
    </row>
    <row r="1079">
      <c r="A1079" t="inlineStr">
        <is>
          <t>Milho</t>
        </is>
      </c>
      <c r="B1079" t="inlineStr">
        <is>
          <t>Balsas - MA</t>
        </is>
      </c>
      <c r="C1079" t="n">
        <v>-7.53214</v>
      </c>
      <c r="D1079" t="n">
        <v>-46.0372</v>
      </c>
      <c r="E1079" t="inlineStr">
        <is>
          <t>2022-04</t>
        </is>
      </c>
      <c r="F1079" t="n">
        <v>0</v>
      </c>
    </row>
    <row r="1080">
      <c r="A1080" t="inlineStr">
        <is>
          <t>Milho</t>
        </is>
      </c>
      <c r="B1080" t="inlineStr">
        <is>
          <t>Balsas - MA</t>
        </is>
      </c>
      <c r="C1080" t="n">
        <v>-7.53214</v>
      </c>
      <c r="D1080" t="n">
        <v>-46.0372</v>
      </c>
      <c r="E1080" t="inlineStr">
        <is>
          <t>2022-05</t>
        </is>
      </c>
      <c r="F1080" t="n">
        <v>197650.2069625041</v>
      </c>
    </row>
    <row r="1081">
      <c r="A1081" t="inlineStr">
        <is>
          <t>Milho</t>
        </is>
      </c>
      <c r="B1081" t="inlineStr">
        <is>
          <t>Balsas - MA</t>
        </is>
      </c>
      <c r="C1081" t="n">
        <v>-7.53214</v>
      </c>
      <c r="D1081" t="n">
        <v>-46.0372</v>
      </c>
      <c r="E1081" t="inlineStr">
        <is>
          <t>2022-06</t>
        </is>
      </c>
      <c r="F1081" t="n">
        <v>291116.5275407386</v>
      </c>
    </row>
    <row r="1082">
      <c r="A1082" t="inlineStr">
        <is>
          <t>Milho</t>
        </is>
      </c>
      <c r="B1082" t="inlineStr">
        <is>
          <t>Balsas - MA</t>
        </is>
      </c>
      <c r="C1082" t="n">
        <v>-7.53214</v>
      </c>
      <c r="D1082" t="n">
        <v>-46.0372</v>
      </c>
      <c r="E1082" t="inlineStr">
        <is>
          <t>2021-07</t>
        </is>
      </c>
      <c r="F1082" t="n">
        <v>272051.960100936</v>
      </c>
    </row>
    <row r="1083">
      <c r="A1083" t="inlineStr">
        <is>
          <t>Milho</t>
        </is>
      </c>
      <c r="B1083" t="inlineStr">
        <is>
          <t>Balsas - MA</t>
        </is>
      </c>
      <c r="C1083" t="n">
        <v>-7.53214</v>
      </c>
      <c r="D1083" t="n">
        <v>-46.0372</v>
      </c>
      <c r="E1083" t="inlineStr">
        <is>
          <t>2021-08</t>
        </is>
      </c>
      <c r="F1083" t="n">
        <v>195370.5874232484</v>
      </c>
    </row>
    <row r="1084">
      <c r="A1084" t="inlineStr">
        <is>
          <t>Milho</t>
        </is>
      </c>
      <c r="B1084" t="inlineStr">
        <is>
          <t>Balsas - MA</t>
        </is>
      </c>
      <c r="C1084" t="n">
        <v>-7.53214</v>
      </c>
      <c r="D1084" t="n">
        <v>-46.0372</v>
      </c>
      <c r="E1084" t="inlineStr">
        <is>
          <t>2021-09</t>
        </is>
      </c>
      <c r="F1084" t="n">
        <v>0</v>
      </c>
    </row>
    <row r="1085">
      <c r="A1085" t="inlineStr">
        <is>
          <t>Milho</t>
        </is>
      </c>
      <c r="B1085" t="inlineStr">
        <is>
          <t>Balsas - MA</t>
        </is>
      </c>
      <c r="C1085" t="n">
        <v>-7.53214</v>
      </c>
      <c r="D1085" t="n">
        <v>-46.0372</v>
      </c>
      <c r="E1085" t="inlineStr">
        <is>
          <t>2021-10</t>
        </is>
      </c>
      <c r="F1085" t="n">
        <v>0</v>
      </c>
    </row>
    <row r="1086">
      <c r="A1086" t="inlineStr">
        <is>
          <t>Milho</t>
        </is>
      </c>
      <c r="B1086" t="inlineStr">
        <is>
          <t>Balsas - MA</t>
        </is>
      </c>
      <c r="C1086" t="n">
        <v>-7.53214</v>
      </c>
      <c r="D1086" t="n">
        <v>-46.0372</v>
      </c>
      <c r="E1086" t="inlineStr">
        <is>
          <t>2021-11</t>
        </is>
      </c>
      <c r="F1086" t="n">
        <v>0</v>
      </c>
    </row>
    <row r="1087">
      <c r="A1087" t="inlineStr">
        <is>
          <t>Milho</t>
        </is>
      </c>
      <c r="B1087" t="inlineStr">
        <is>
          <t>Balsas - MA</t>
        </is>
      </c>
      <c r="C1087" t="n">
        <v>-7.53214</v>
      </c>
      <c r="D1087" t="n">
        <v>-46.0372</v>
      </c>
      <c r="E1087" t="inlineStr">
        <is>
          <t>2021-12</t>
        </is>
      </c>
      <c r="F1087" t="n">
        <v>0</v>
      </c>
    </row>
    <row r="1088">
      <c r="A1088" t="inlineStr">
        <is>
          <t>Milho</t>
        </is>
      </c>
      <c r="B1088" t="inlineStr">
        <is>
          <t>Unaí - MG</t>
        </is>
      </c>
      <c r="C1088" t="n">
        <v>-16.3592</v>
      </c>
      <c r="D1088" t="n">
        <v>-46.9022</v>
      </c>
      <c r="E1088" t="inlineStr">
        <is>
          <t>2022-01</t>
        </is>
      </c>
      <c r="F1088" t="n">
        <v>0</v>
      </c>
    </row>
    <row r="1089">
      <c r="A1089" t="inlineStr">
        <is>
          <t>Milho</t>
        </is>
      </c>
      <c r="B1089" t="inlineStr">
        <is>
          <t>Unaí - MG</t>
        </is>
      </c>
      <c r="C1089" t="n">
        <v>-16.3592</v>
      </c>
      <c r="D1089" t="n">
        <v>-46.9022</v>
      </c>
      <c r="E1089" t="inlineStr">
        <is>
          <t>2022-02</t>
        </is>
      </c>
      <c r="F1089" t="n">
        <v>0</v>
      </c>
    </row>
    <row r="1090">
      <c r="A1090" t="inlineStr">
        <is>
          <t>Milho</t>
        </is>
      </c>
      <c r="B1090" t="inlineStr">
        <is>
          <t>Unaí - MG</t>
        </is>
      </c>
      <c r="C1090" t="n">
        <v>-16.3592</v>
      </c>
      <c r="D1090" t="n">
        <v>-46.9022</v>
      </c>
      <c r="E1090" t="inlineStr">
        <is>
          <t>2022-03</t>
        </is>
      </c>
      <c r="F1090" t="n">
        <v>0</v>
      </c>
    </row>
    <row r="1091">
      <c r="A1091" t="inlineStr">
        <is>
          <t>Milho</t>
        </is>
      </c>
      <c r="B1091" t="inlineStr">
        <is>
          <t>Unaí - MG</t>
        </is>
      </c>
      <c r="C1091" t="n">
        <v>-16.3592</v>
      </c>
      <c r="D1091" t="n">
        <v>-46.9022</v>
      </c>
      <c r="E1091" t="inlineStr">
        <is>
          <t>2022-04</t>
        </is>
      </c>
      <c r="F1091" t="n">
        <v>0</v>
      </c>
    </row>
    <row r="1092">
      <c r="A1092" t="inlineStr">
        <is>
          <t>Milho</t>
        </is>
      </c>
      <c r="B1092" t="inlineStr">
        <is>
          <t>Unaí - MG</t>
        </is>
      </c>
      <c r="C1092" t="n">
        <v>-16.3592</v>
      </c>
      <c r="D1092" t="n">
        <v>-46.9022</v>
      </c>
      <c r="E1092" t="inlineStr">
        <is>
          <t>2022-05</t>
        </is>
      </c>
      <c r="F1092" t="n">
        <v>156094.0593290252</v>
      </c>
    </row>
    <row r="1093">
      <c r="A1093" t="inlineStr">
        <is>
          <t>Milho</t>
        </is>
      </c>
      <c r="B1093" t="inlineStr">
        <is>
          <t>Unaí - MG</t>
        </is>
      </c>
      <c r="C1093" t="n">
        <v>-16.3592</v>
      </c>
      <c r="D1093" t="n">
        <v>-46.9022</v>
      </c>
      <c r="E1093" t="inlineStr">
        <is>
          <t>2022-06</t>
        </is>
      </c>
      <c r="F1093" t="n">
        <v>275890.79446939</v>
      </c>
    </row>
    <row r="1094">
      <c r="A1094" t="inlineStr">
        <is>
          <t>Milho</t>
        </is>
      </c>
      <c r="B1094" t="inlineStr">
        <is>
          <t>Unaí - MG</t>
        </is>
      </c>
      <c r="C1094" t="n">
        <v>-16.3592</v>
      </c>
      <c r="D1094" t="n">
        <v>-46.9022</v>
      </c>
      <c r="E1094" t="inlineStr">
        <is>
          <t>2021-07</t>
        </is>
      </c>
      <c r="F1094" t="n">
        <v>601587.7608676716</v>
      </c>
    </row>
    <row r="1095">
      <c r="A1095" t="inlineStr">
        <is>
          <t>Milho</t>
        </is>
      </c>
      <c r="B1095" t="inlineStr">
        <is>
          <t>Unaí - MG</t>
        </is>
      </c>
      <c r="C1095" t="n">
        <v>-16.3592</v>
      </c>
      <c r="D1095" t="n">
        <v>-46.9022</v>
      </c>
      <c r="E1095" t="inlineStr">
        <is>
          <t>2021-08</t>
        </is>
      </c>
      <c r="F1095" t="n">
        <v>308587.4640159262</v>
      </c>
    </row>
    <row r="1096">
      <c r="A1096" t="inlineStr">
        <is>
          <t>Milho</t>
        </is>
      </c>
      <c r="B1096" t="inlineStr">
        <is>
          <t>Unaí - MG</t>
        </is>
      </c>
      <c r="C1096" t="n">
        <v>-16.3592</v>
      </c>
      <c r="D1096" t="n">
        <v>-46.9022</v>
      </c>
      <c r="E1096" t="inlineStr">
        <is>
          <t>2021-09</t>
        </is>
      </c>
      <c r="F1096" t="n">
        <v>164862.1142725144</v>
      </c>
    </row>
    <row r="1097">
      <c r="A1097" t="inlineStr">
        <is>
          <t>Milho</t>
        </is>
      </c>
      <c r="B1097" t="inlineStr">
        <is>
          <t>Unaí - MG</t>
        </is>
      </c>
      <c r="C1097" t="n">
        <v>-16.3592</v>
      </c>
      <c r="D1097" t="n">
        <v>-46.9022</v>
      </c>
      <c r="E1097" t="inlineStr">
        <is>
          <t>2021-10</t>
        </is>
      </c>
      <c r="F1097" t="n">
        <v>0</v>
      </c>
    </row>
    <row r="1098">
      <c r="A1098" t="inlineStr">
        <is>
          <t>Milho</t>
        </is>
      </c>
      <c r="B1098" t="inlineStr">
        <is>
          <t>Unaí - MG</t>
        </is>
      </c>
      <c r="C1098" t="n">
        <v>-16.3592</v>
      </c>
      <c r="D1098" t="n">
        <v>-46.9022</v>
      </c>
      <c r="E1098" t="inlineStr">
        <is>
          <t>2021-11</t>
        </is>
      </c>
      <c r="F1098" t="n">
        <v>0</v>
      </c>
    </row>
    <row r="1099">
      <c r="A1099" t="inlineStr">
        <is>
          <t>Milho</t>
        </is>
      </c>
      <c r="B1099" t="inlineStr">
        <is>
          <t>Unaí - MG</t>
        </is>
      </c>
      <c r="C1099" t="n">
        <v>-16.3592</v>
      </c>
      <c r="D1099" t="n">
        <v>-46.9022</v>
      </c>
      <c r="E1099" t="inlineStr">
        <is>
          <t>2021-12</t>
        </is>
      </c>
      <c r="F1099" t="n">
        <v>0</v>
      </c>
    </row>
    <row r="1100">
      <c r="A1100" t="inlineStr">
        <is>
          <t>Milho</t>
        </is>
      </c>
      <c r="B1100" t="inlineStr">
        <is>
          <t>Maracaju - MS</t>
        </is>
      </c>
      <c r="C1100" t="n">
        <v>-21.6105</v>
      </c>
      <c r="D1100" t="n">
        <v>-55.1678</v>
      </c>
      <c r="E1100" t="inlineStr">
        <is>
          <t>2022-01</t>
        </is>
      </c>
      <c r="F1100" t="n">
        <v>0</v>
      </c>
    </row>
    <row r="1101">
      <c r="A1101" t="inlineStr">
        <is>
          <t>Milho</t>
        </is>
      </c>
      <c r="B1101" t="inlineStr">
        <is>
          <t>Maracaju - MS</t>
        </is>
      </c>
      <c r="C1101" t="n">
        <v>-21.6105</v>
      </c>
      <c r="D1101" t="n">
        <v>-55.1678</v>
      </c>
      <c r="E1101" t="inlineStr">
        <is>
          <t>2022-02</t>
        </is>
      </c>
      <c r="F1101" t="n">
        <v>0</v>
      </c>
    </row>
    <row r="1102">
      <c r="A1102" t="inlineStr">
        <is>
          <t>Milho</t>
        </is>
      </c>
      <c r="B1102" t="inlineStr">
        <is>
          <t>Maracaju - MS</t>
        </is>
      </c>
      <c r="C1102" t="n">
        <v>-21.6105</v>
      </c>
      <c r="D1102" t="n">
        <v>-55.1678</v>
      </c>
      <c r="E1102" t="inlineStr">
        <is>
          <t>2022-03</t>
        </is>
      </c>
      <c r="F1102" t="n">
        <v>0</v>
      </c>
    </row>
    <row r="1103">
      <c r="A1103" t="inlineStr">
        <is>
          <t>Milho</t>
        </is>
      </c>
      <c r="B1103" t="inlineStr">
        <is>
          <t>Maracaju - MS</t>
        </is>
      </c>
      <c r="C1103" t="n">
        <v>-21.6105</v>
      </c>
      <c r="D1103" t="n">
        <v>-55.1678</v>
      </c>
      <c r="E1103" t="inlineStr">
        <is>
          <t>2022-04</t>
        </is>
      </c>
      <c r="F1103" t="n">
        <v>0</v>
      </c>
    </row>
    <row r="1104">
      <c r="A1104" t="inlineStr">
        <is>
          <t>Milho</t>
        </is>
      </c>
      <c r="B1104" t="inlineStr">
        <is>
          <t>Maracaju - MS</t>
        </is>
      </c>
      <c r="C1104" t="n">
        <v>-21.6105</v>
      </c>
      <c r="D1104" t="n">
        <v>-55.1678</v>
      </c>
      <c r="E1104" t="inlineStr">
        <is>
          <t>2022-05</t>
        </is>
      </c>
      <c r="F1104" t="n">
        <v>791372.6778465792</v>
      </c>
    </row>
    <row r="1105">
      <c r="A1105" t="inlineStr">
        <is>
          <t>Milho</t>
        </is>
      </c>
      <c r="B1105" t="inlineStr">
        <is>
          <t>Maracaju - MS</t>
        </is>
      </c>
      <c r="C1105" t="n">
        <v>-21.6105</v>
      </c>
      <c r="D1105" t="n">
        <v>-55.1678</v>
      </c>
      <c r="E1105" t="inlineStr">
        <is>
          <t>2022-06</t>
        </is>
      </c>
      <c r="F1105" t="n">
        <v>1398723.550088771</v>
      </c>
    </row>
    <row r="1106">
      <c r="A1106" t="inlineStr">
        <is>
          <t>Milho</t>
        </is>
      </c>
      <c r="B1106" t="inlineStr">
        <is>
          <t>Maracaju - MS</t>
        </is>
      </c>
      <c r="C1106" t="n">
        <v>-21.6105</v>
      </c>
      <c r="D1106" t="n">
        <v>-55.1678</v>
      </c>
      <c r="E1106" t="inlineStr">
        <is>
          <t>2021-07</t>
        </is>
      </c>
      <c r="F1106" t="n">
        <v>3049956.669228931</v>
      </c>
    </row>
    <row r="1107">
      <c r="A1107" t="inlineStr">
        <is>
          <t>Milho</t>
        </is>
      </c>
      <c r="B1107" t="inlineStr">
        <is>
          <t>Maracaju - MS</t>
        </is>
      </c>
      <c r="C1107" t="n">
        <v>-21.6105</v>
      </c>
      <c r="D1107" t="n">
        <v>-55.1678</v>
      </c>
      <c r="E1107" t="inlineStr">
        <is>
          <t>2021-08</t>
        </is>
      </c>
      <c r="F1107" t="n">
        <v>1564490.594952186</v>
      </c>
    </row>
    <row r="1108">
      <c r="A1108" t="inlineStr">
        <is>
          <t>Milho</t>
        </is>
      </c>
      <c r="B1108" t="inlineStr">
        <is>
          <t>Maracaju - MS</t>
        </is>
      </c>
      <c r="C1108" t="n">
        <v>-21.6105</v>
      </c>
      <c r="D1108" t="n">
        <v>-55.1678</v>
      </c>
      <c r="E1108" t="inlineStr">
        <is>
          <t>2021-09</t>
        </is>
      </c>
      <c r="F1108" t="n">
        <v>1671650.713782526</v>
      </c>
    </row>
    <row r="1109">
      <c r="A1109" t="inlineStr">
        <is>
          <t>Milho</t>
        </is>
      </c>
      <c r="B1109" t="inlineStr">
        <is>
          <t>Maracaju - MS</t>
        </is>
      </c>
      <c r="C1109" t="n">
        <v>-21.6105</v>
      </c>
      <c r="D1109" t="n">
        <v>-55.1678</v>
      </c>
      <c r="E1109" t="inlineStr">
        <is>
          <t>2021-10</t>
        </is>
      </c>
      <c r="F1109" t="n">
        <v>0</v>
      </c>
    </row>
    <row r="1110">
      <c r="A1110" t="inlineStr">
        <is>
          <t>Milho</t>
        </is>
      </c>
      <c r="B1110" t="inlineStr">
        <is>
          <t>Maracaju - MS</t>
        </is>
      </c>
      <c r="C1110" t="n">
        <v>-21.6105</v>
      </c>
      <c r="D1110" t="n">
        <v>-55.1678</v>
      </c>
      <c r="E1110" t="inlineStr">
        <is>
          <t>2021-11</t>
        </is>
      </c>
      <c r="F1110" t="n">
        <v>0</v>
      </c>
    </row>
    <row r="1111">
      <c r="A1111" t="inlineStr">
        <is>
          <t>Milho</t>
        </is>
      </c>
      <c r="B1111" t="inlineStr">
        <is>
          <t>Maracaju - MS</t>
        </is>
      </c>
      <c r="C1111" t="n">
        <v>-21.6105</v>
      </c>
      <c r="D1111" t="n">
        <v>-55.1678</v>
      </c>
      <c r="E1111" t="inlineStr">
        <is>
          <t>2021-12</t>
        </is>
      </c>
      <c r="F1111" t="n">
        <v>0</v>
      </c>
    </row>
    <row r="1112">
      <c r="A1112" t="inlineStr">
        <is>
          <t>Milho</t>
        </is>
      </c>
      <c r="B1112" t="inlineStr">
        <is>
          <t>Sorriso - MT</t>
        </is>
      </c>
      <c r="C1112" t="n">
        <v>-12.5425</v>
      </c>
      <c r="D1112" t="n">
        <v>-55.7211</v>
      </c>
      <c r="E1112" t="inlineStr">
        <is>
          <t>2022-01</t>
        </is>
      </c>
      <c r="F1112" t="n">
        <v>0</v>
      </c>
    </row>
    <row r="1113">
      <c r="A1113" t="inlineStr">
        <is>
          <t>Milho</t>
        </is>
      </c>
      <c r="B1113" t="inlineStr">
        <is>
          <t>Sorriso - MT</t>
        </is>
      </c>
      <c r="C1113" t="n">
        <v>-12.5425</v>
      </c>
      <c r="D1113" t="n">
        <v>-55.7211</v>
      </c>
      <c r="E1113" t="inlineStr">
        <is>
          <t>2022-02</t>
        </is>
      </c>
      <c r="F1113" t="n">
        <v>0</v>
      </c>
    </row>
    <row r="1114">
      <c r="A1114" t="inlineStr">
        <is>
          <t>Milho</t>
        </is>
      </c>
      <c r="B1114" t="inlineStr">
        <is>
          <t>Sorriso - MT</t>
        </is>
      </c>
      <c r="C1114" t="n">
        <v>-12.5425</v>
      </c>
      <c r="D1114" t="n">
        <v>-55.7211</v>
      </c>
      <c r="E1114" t="inlineStr">
        <is>
          <t>2022-03</t>
        </is>
      </c>
      <c r="F1114" t="n">
        <v>0</v>
      </c>
    </row>
    <row r="1115">
      <c r="A1115" t="inlineStr">
        <is>
          <t>Milho</t>
        </is>
      </c>
      <c r="B1115" t="inlineStr">
        <is>
          <t>Sorriso - MT</t>
        </is>
      </c>
      <c r="C1115" t="n">
        <v>-12.5425</v>
      </c>
      <c r="D1115" t="n">
        <v>-55.7211</v>
      </c>
      <c r="E1115" t="inlineStr">
        <is>
          <t>2022-04</t>
        </is>
      </c>
      <c r="F1115" t="n">
        <v>0</v>
      </c>
    </row>
    <row r="1116">
      <c r="A1116" t="inlineStr">
        <is>
          <t>Milho</t>
        </is>
      </c>
      <c r="B1116" t="inlineStr">
        <is>
          <t>Sorriso - MT</t>
        </is>
      </c>
      <c r="C1116" t="n">
        <v>-12.5425</v>
      </c>
      <c r="D1116" t="n">
        <v>-55.7211</v>
      </c>
      <c r="E1116" t="inlineStr">
        <is>
          <t>2022-05</t>
        </is>
      </c>
      <c r="F1116" t="n">
        <v>5434855.312844328</v>
      </c>
    </row>
    <row r="1117">
      <c r="A1117" t="inlineStr">
        <is>
          <t>Milho</t>
        </is>
      </c>
      <c r="B1117" t="inlineStr">
        <is>
          <t>Sorriso - MT</t>
        </is>
      </c>
      <c r="C1117" t="n">
        <v>-12.5425</v>
      </c>
      <c r="D1117" t="n">
        <v>-55.7211</v>
      </c>
      <c r="E1117" t="inlineStr">
        <is>
          <t>2022-06</t>
        </is>
      </c>
      <c r="F1117" t="n">
        <v>8004930.683739314</v>
      </c>
    </row>
    <row r="1118">
      <c r="A1118" t="inlineStr">
        <is>
          <t>Milho</t>
        </is>
      </c>
      <c r="B1118" t="inlineStr">
        <is>
          <t>Sorriso - MT</t>
        </is>
      </c>
      <c r="C1118" t="n">
        <v>-12.5425</v>
      </c>
      <c r="D1118" t="n">
        <v>-55.7211</v>
      </c>
      <c r="E1118" t="inlineStr">
        <is>
          <t>2021-07</t>
        </is>
      </c>
      <c r="F1118" t="n">
        <v>7480705.75511606</v>
      </c>
    </row>
    <row r="1119">
      <c r="A1119" t="inlineStr">
        <is>
          <t>Milho</t>
        </is>
      </c>
      <c r="B1119" t="inlineStr">
        <is>
          <t>Sorriso - MT</t>
        </is>
      </c>
      <c r="C1119" t="n">
        <v>-12.5425</v>
      </c>
      <c r="D1119" t="n">
        <v>-55.7211</v>
      </c>
      <c r="E1119" t="inlineStr">
        <is>
          <t>2021-08</t>
        </is>
      </c>
      <c r="F1119" t="n">
        <v>5372171.835024658</v>
      </c>
    </row>
    <row r="1120">
      <c r="A1120" t="inlineStr">
        <is>
          <t>Milho</t>
        </is>
      </c>
      <c r="B1120" t="inlineStr">
        <is>
          <t>Sorriso - MT</t>
        </is>
      </c>
      <c r="C1120" t="n">
        <v>-12.5425</v>
      </c>
      <c r="D1120" t="n">
        <v>-55.7211</v>
      </c>
      <c r="E1120" t="inlineStr">
        <is>
          <t>2021-09</t>
        </is>
      </c>
      <c r="F1120" t="n">
        <v>2870069.948504808</v>
      </c>
    </row>
    <row r="1121">
      <c r="A1121" t="inlineStr">
        <is>
          <t>Milho</t>
        </is>
      </c>
      <c r="B1121" t="inlineStr">
        <is>
          <t>Sorriso - MT</t>
        </is>
      </c>
      <c r="C1121" t="n">
        <v>-12.5425</v>
      </c>
      <c r="D1121" t="n">
        <v>-55.7211</v>
      </c>
      <c r="E1121" t="inlineStr">
        <is>
          <t>2021-10</t>
        </is>
      </c>
      <c r="F1121" t="n">
        <v>0</v>
      </c>
    </row>
    <row r="1122">
      <c r="A1122" t="inlineStr">
        <is>
          <t>Milho</t>
        </is>
      </c>
      <c r="B1122" t="inlineStr">
        <is>
          <t>Sorriso - MT</t>
        </is>
      </c>
      <c r="C1122" t="n">
        <v>-12.5425</v>
      </c>
      <c r="D1122" t="n">
        <v>-55.7211</v>
      </c>
      <c r="E1122" t="inlineStr">
        <is>
          <t>2021-11</t>
        </is>
      </c>
      <c r="F1122" t="n">
        <v>0</v>
      </c>
    </row>
    <row r="1123">
      <c r="A1123" t="inlineStr">
        <is>
          <t>Milho</t>
        </is>
      </c>
      <c r="B1123" t="inlineStr">
        <is>
          <t>Sorriso - MT</t>
        </is>
      </c>
      <c r="C1123" t="n">
        <v>-12.5425</v>
      </c>
      <c r="D1123" t="n">
        <v>-55.7211</v>
      </c>
      <c r="E1123" t="inlineStr">
        <is>
          <t>2021-12</t>
        </is>
      </c>
      <c r="F1123" t="n">
        <v>0</v>
      </c>
    </row>
    <row r="1124">
      <c r="A1124" t="inlineStr">
        <is>
          <t>Milho</t>
        </is>
      </c>
      <c r="B1124" t="inlineStr">
        <is>
          <t>Santana do Araguaia - PA</t>
        </is>
      </c>
      <c r="C1124" t="n">
        <v>-9.328099999999999</v>
      </c>
      <c r="D1124" t="n">
        <v>-50.35</v>
      </c>
      <c r="E1124" t="inlineStr">
        <is>
          <t>2022-01</t>
        </is>
      </c>
      <c r="F1124" t="n">
        <v>0</v>
      </c>
    </row>
    <row r="1125">
      <c r="A1125" t="inlineStr">
        <is>
          <t>Milho</t>
        </is>
      </c>
      <c r="B1125" t="inlineStr">
        <is>
          <t>Santana do Araguaia - PA</t>
        </is>
      </c>
      <c r="C1125" t="n">
        <v>-9.328099999999999</v>
      </c>
      <c r="D1125" t="n">
        <v>-50.35</v>
      </c>
      <c r="E1125" t="inlineStr">
        <is>
          <t>2022-02</t>
        </is>
      </c>
      <c r="F1125" t="n">
        <v>0</v>
      </c>
    </row>
    <row r="1126">
      <c r="A1126" t="inlineStr">
        <is>
          <t>Milho</t>
        </is>
      </c>
      <c r="B1126" t="inlineStr">
        <is>
          <t>Santana do Araguaia - PA</t>
        </is>
      </c>
      <c r="C1126" t="n">
        <v>-9.328099999999999</v>
      </c>
      <c r="D1126" t="n">
        <v>-50.35</v>
      </c>
      <c r="E1126" t="inlineStr">
        <is>
          <t>2022-03</t>
        </is>
      </c>
      <c r="F1126" t="n">
        <v>0</v>
      </c>
    </row>
    <row r="1127">
      <c r="A1127" t="inlineStr">
        <is>
          <t>Milho</t>
        </is>
      </c>
      <c r="B1127" t="inlineStr">
        <is>
          <t>Santana do Araguaia - PA</t>
        </is>
      </c>
      <c r="C1127" t="n">
        <v>-9.328099999999999</v>
      </c>
      <c r="D1127" t="n">
        <v>-50.35</v>
      </c>
      <c r="E1127" t="inlineStr">
        <is>
          <t>2022-04</t>
        </is>
      </c>
      <c r="F1127" t="n">
        <v>0</v>
      </c>
    </row>
    <row r="1128">
      <c r="A1128" t="inlineStr">
        <is>
          <t>Milho</t>
        </is>
      </c>
      <c r="B1128" t="inlineStr">
        <is>
          <t>Santana do Araguaia - PA</t>
        </is>
      </c>
      <c r="C1128" t="n">
        <v>-9.328099999999999</v>
      </c>
      <c r="D1128" t="n">
        <v>-50.35</v>
      </c>
      <c r="E1128" t="inlineStr">
        <is>
          <t>2022-05</t>
        </is>
      </c>
      <c r="F1128" t="n">
        <v>141218.689078525</v>
      </c>
    </row>
    <row r="1129">
      <c r="A1129" t="inlineStr">
        <is>
          <t>Milho</t>
        </is>
      </c>
      <c r="B1129" t="inlineStr">
        <is>
          <t>Santana do Araguaia - PA</t>
        </is>
      </c>
      <c r="C1129" t="n">
        <v>-9.328099999999999</v>
      </c>
      <c r="D1129" t="n">
        <v>-50.35</v>
      </c>
      <c r="E1129" t="inlineStr">
        <is>
          <t>2022-06</t>
        </is>
      </c>
      <c r="F1129" t="n">
        <v>53485.5208793542</v>
      </c>
    </row>
    <row r="1130">
      <c r="A1130" t="inlineStr">
        <is>
          <t>Milho</t>
        </is>
      </c>
      <c r="B1130" t="inlineStr">
        <is>
          <t>Santana do Araguaia - PA</t>
        </is>
      </c>
      <c r="C1130" t="n">
        <v>-9.328099999999999</v>
      </c>
      <c r="D1130" t="n">
        <v>-50.35</v>
      </c>
      <c r="E1130" t="inlineStr">
        <is>
          <t>2021-07</t>
        </is>
      </c>
      <c r="F1130" t="n">
        <v>49982.87426402343</v>
      </c>
    </row>
    <row r="1131">
      <c r="A1131" t="inlineStr">
        <is>
          <t>Milho</t>
        </is>
      </c>
      <c r="B1131" t="inlineStr">
        <is>
          <t>Santana do Araguaia - PA</t>
        </is>
      </c>
      <c r="C1131" t="n">
        <v>-9.328099999999999</v>
      </c>
      <c r="D1131" t="n">
        <v>-50.35</v>
      </c>
      <c r="E1131" t="inlineStr">
        <is>
          <t>2021-08</t>
        </is>
      </c>
      <c r="F1131" t="n">
        <v>59824.25503349659</v>
      </c>
    </row>
    <row r="1132">
      <c r="A1132" t="inlineStr">
        <is>
          <t>Milho</t>
        </is>
      </c>
      <c r="B1132" t="inlineStr">
        <is>
          <t>Santana do Araguaia - PA</t>
        </is>
      </c>
      <c r="C1132" t="n">
        <v>-9.328099999999999</v>
      </c>
      <c r="D1132" t="n">
        <v>-50.35</v>
      </c>
      <c r="E1132" t="inlineStr">
        <is>
          <t>2021-09</t>
        </is>
      </c>
      <c r="F1132" t="n">
        <v>63921.93021224831</v>
      </c>
    </row>
    <row r="1133">
      <c r="A1133" t="inlineStr">
        <is>
          <t>Milho</t>
        </is>
      </c>
      <c r="B1133" t="inlineStr">
        <is>
          <t>Santana do Araguaia - PA</t>
        </is>
      </c>
      <c r="C1133" t="n">
        <v>-9.328099999999999</v>
      </c>
      <c r="D1133" t="n">
        <v>-50.35</v>
      </c>
      <c r="E1133" t="inlineStr">
        <is>
          <t>2021-10</t>
        </is>
      </c>
      <c r="F1133" t="n">
        <v>194376.7242597755</v>
      </c>
    </row>
    <row r="1134">
      <c r="A1134" t="inlineStr">
        <is>
          <t>Milho</t>
        </is>
      </c>
      <c r="B1134" t="inlineStr">
        <is>
          <t>Santana do Araguaia - PA</t>
        </is>
      </c>
      <c r="C1134" t="n">
        <v>-9.328099999999999</v>
      </c>
      <c r="D1134" t="n">
        <v>-50.35</v>
      </c>
      <c r="E1134" t="inlineStr">
        <is>
          <t>2021-11</t>
        </is>
      </c>
      <c r="F1134" t="n">
        <v>710872.2817461914</v>
      </c>
    </row>
    <row r="1135">
      <c r="A1135" t="inlineStr">
        <is>
          <t>Milho</t>
        </is>
      </c>
      <c r="B1135" t="inlineStr">
        <is>
          <t>Santana do Araguaia - PA</t>
        </is>
      </c>
      <c r="C1135" t="n">
        <v>-9.328099999999999</v>
      </c>
      <c r="D1135" t="n">
        <v>-50.35</v>
      </c>
      <c r="E1135" t="inlineStr">
        <is>
          <t>2021-12</t>
        </is>
      </c>
      <c r="F1135" t="n">
        <v>0</v>
      </c>
    </row>
    <row r="1136">
      <c r="A1136" t="inlineStr">
        <is>
          <t>Milho</t>
        </is>
      </c>
      <c r="B1136" t="inlineStr">
        <is>
          <t>Sousa - PB</t>
        </is>
      </c>
      <c r="C1136" t="n">
        <v>-6.75148</v>
      </c>
      <c r="D1136" t="n">
        <v>-38.2311</v>
      </c>
      <c r="E1136" t="inlineStr">
        <is>
          <t>2022-01</t>
        </is>
      </c>
      <c r="F1136" t="n">
        <v>0</v>
      </c>
    </row>
    <row r="1137">
      <c r="A1137" t="inlineStr">
        <is>
          <t>Milho</t>
        </is>
      </c>
      <c r="B1137" t="inlineStr">
        <is>
          <t>Sousa - PB</t>
        </is>
      </c>
      <c r="C1137" t="n">
        <v>-6.75148</v>
      </c>
      <c r="D1137" t="n">
        <v>-38.2311</v>
      </c>
      <c r="E1137" t="inlineStr">
        <is>
          <t>2022-02</t>
        </is>
      </c>
      <c r="F1137" t="n">
        <v>0</v>
      </c>
    </row>
    <row r="1138">
      <c r="A1138" t="inlineStr">
        <is>
          <t>Milho</t>
        </is>
      </c>
      <c r="B1138" t="inlineStr">
        <is>
          <t>Sousa - PB</t>
        </is>
      </c>
      <c r="C1138" t="n">
        <v>-6.75148</v>
      </c>
      <c r="D1138" t="n">
        <v>-38.2311</v>
      </c>
      <c r="E1138" t="inlineStr">
        <is>
          <t>2022-03</t>
        </is>
      </c>
      <c r="F1138" t="n">
        <v>0</v>
      </c>
    </row>
    <row r="1139">
      <c r="A1139" t="inlineStr">
        <is>
          <t>Milho</t>
        </is>
      </c>
      <c r="B1139" t="inlineStr">
        <is>
          <t>Sousa - PB</t>
        </is>
      </c>
      <c r="C1139" t="n">
        <v>-6.75148</v>
      </c>
      <c r="D1139" t="n">
        <v>-38.2311</v>
      </c>
      <c r="E1139" t="inlineStr">
        <is>
          <t>2022-04</t>
        </is>
      </c>
      <c r="F1139" t="n">
        <v>0</v>
      </c>
    </row>
    <row r="1140">
      <c r="A1140" t="inlineStr">
        <is>
          <t>Milho</t>
        </is>
      </c>
      <c r="B1140" t="inlineStr">
        <is>
          <t>Sousa - PB</t>
        </is>
      </c>
      <c r="C1140" t="n">
        <v>-6.75148</v>
      </c>
      <c r="D1140" t="n">
        <v>-38.2311</v>
      </c>
      <c r="E1140" t="inlineStr">
        <is>
          <t>2022-05</t>
        </is>
      </c>
      <c r="F1140" t="n">
        <v>7325.700090392112</v>
      </c>
    </row>
    <row r="1141">
      <c r="A1141" t="inlineStr">
        <is>
          <t>Milho</t>
        </is>
      </c>
      <c r="B1141" t="inlineStr">
        <is>
          <t>Sousa - PB</t>
        </is>
      </c>
      <c r="C1141" t="n">
        <v>-6.75148</v>
      </c>
      <c r="D1141" t="n">
        <v>-38.2311</v>
      </c>
      <c r="E1141" t="inlineStr">
        <is>
          <t>2022-06</t>
        </is>
      </c>
      <c r="F1141" t="n">
        <v>6473.959440450488</v>
      </c>
    </row>
    <row r="1142">
      <c r="A1142" t="inlineStr">
        <is>
          <t>Milho</t>
        </is>
      </c>
      <c r="B1142" t="inlineStr">
        <is>
          <t>Sousa - PB</t>
        </is>
      </c>
      <c r="C1142" t="n">
        <v>-6.75148</v>
      </c>
      <c r="D1142" t="n">
        <v>-38.2311</v>
      </c>
      <c r="E1142" t="inlineStr">
        <is>
          <t>2021-07</t>
        </is>
      </c>
      <c r="F1142" t="n">
        <v>10083.32396576173</v>
      </c>
    </row>
    <row r="1143">
      <c r="A1143" t="inlineStr">
        <is>
          <t>Milho</t>
        </is>
      </c>
      <c r="B1143" t="inlineStr">
        <is>
          <t>Sousa - PB</t>
        </is>
      </c>
      <c r="C1143" t="n">
        <v>-6.75148</v>
      </c>
      <c r="D1143" t="n">
        <v>-38.2311</v>
      </c>
      <c r="E1143" t="inlineStr">
        <is>
          <t>2021-08</t>
        </is>
      </c>
      <c r="F1143" t="n">
        <v>12068.6805910097</v>
      </c>
    </row>
    <row r="1144">
      <c r="A1144" t="inlineStr">
        <is>
          <t>Milho</t>
        </is>
      </c>
      <c r="B1144" t="inlineStr">
        <is>
          <t>Sousa - PB</t>
        </is>
      </c>
      <c r="C1144" t="n">
        <v>-6.75148</v>
      </c>
      <c r="D1144" t="n">
        <v>-38.2311</v>
      </c>
      <c r="E1144" t="inlineStr">
        <is>
          <t>2021-09</t>
        </is>
      </c>
      <c r="F1144" t="n">
        <v>7737.196473843126</v>
      </c>
    </row>
    <row r="1145">
      <c r="A1145" t="inlineStr">
        <is>
          <t>Milho</t>
        </is>
      </c>
      <c r="B1145" t="inlineStr">
        <is>
          <t>Sousa - PB</t>
        </is>
      </c>
      <c r="C1145" t="n">
        <v>-6.75148</v>
      </c>
      <c r="D1145" t="n">
        <v>-38.2311</v>
      </c>
      <c r="E1145" t="inlineStr">
        <is>
          <t>2021-10</t>
        </is>
      </c>
      <c r="F1145" t="n">
        <v>23527.62034166075</v>
      </c>
    </row>
    <row r="1146">
      <c r="A1146" t="inlineStr">
        <is>
          <t>Milho</t>
        </is>
      </c>
      <c r="B1146" t="inlineStr">
        <is>
          <t>Sousa - PB</t>
        </is>
      </c>
      <c r="C1146" t="n">
        <v>-6.75148</v>
      </c>
      <c r="D1146" t="n">
        <v>-38.2311</v>
      </c>
      <c r="E1146" t="inlineStr">
        <is>
          <t>2021-11</t>
        </is>
      </c>
      <c r="F1146" t="n">
        <v>43022.46891963804</v>
      </c>
    </row>
    <row r="1147">
      <c r="A1147" t="inlineStr">
        <is>
          <t>Milho</t>
        </is>
      </c>
      <c r="B1147" t="inlineStr">
        <is>
          <t>Sousa - PB</t>
        </is>
      </c>
      <c r="C1147" t="n">
        <v>-6.75148</v>
      </c>
      <c r="D1147" t="n">
        <v>-38.2311</v>
      </c>
      <c r="E1147" t="inlineStr">
        <is>
          <t>2021-12</t>
        </is>
      </c>
      <c r="F1147" t="n">
        <v>0</v>
      </c>
    </row>
    <row r="1148">
      <c r="A1148" t="inlineStr">
        <is>
          <t>Milho</t>
        </is>
      </c>
      <c r="B1148" t="inlineStr">
        <is>
          <t>Exu - PE</t>
        </is>
      </c>
      <c r="C1148" t="n">
        <v>-7.50364</v>
      </c>
      <c r="D1148" t="n">
        <v>-39.7238</v>
      </c>
      <c r="E1148" t="inlineStr">
        <is>
          <t>2022-01</t>
        </is>
      </c>
      <c r="F1148" t="n">
        <v>0</v>
      </c>
    </row>
    <row r="1149">
      <c r="A1149" t="inlineStr">
        <is>
          <t>Milho</t>
        </is>
      </c>
      <c r="B1149" t="inlineStr">
        <is>
          <t>Exu - PE</t>
        </is>
      </c>
      <c r="C1149" t="n">
        <v>-7.50364</v>
      </c>
      <c r="D1149" t="n">
        <v>-39.7238</v>
      </c>
      <c r="E1149" t="inlineStr">
        <is>
          <t>2022-02</t>
        </is>
      </c>
      <c r="F1149" t="n">
        <v>0</v>
      </c>
    </row>
    <row r="1150">
      <c r="A1150" t="inlineStr">
        <is>
          <t>Milho</t>
        </is>
      </c>
      <c r="B1150" t="inlineStr">
        <is>
          <t>Exu - PE</t>
        </is>
      </c>
      <c r="C1150" t="n">
        <v>-7.50364</v>
      </c>
      <c r="D1150" t="n">
        <v>-39.7238</v>
      </c>
      <c r="E1150" t="inlineStr">
        <is>
          <t>2022-03</t>
        </is>
      </c>
      <c r="F1150" t="n">
        <v>0</v>
      </c>
    </row>
    <row r="1151">
      <c r="A1151" t="inlineStr">
        <is>
          <t>Milho</t>
        </is>
      </c>
      <c r="B1151" t="inlineStr">
        <is>
          <t>Exu - PE</t>
        </is>
      </c>
      <c r="C1151" t="n">
        <v>-7.50364</v>
      </c>
      <c r="D1151" t="n">
        <v>-39.7238</v>
      </c>
      <c r="E1151" t="inlineStr">
        <is>
          <t>2022-04</t>
        </is>
      </c>
      <c r="F1151" t="n">
        <v>0</v>
      </c>
    </row>
    <row r="1152">
      <c r="A1152" t="inlineStr">
        <is>
          <t>Milho</t>
        </is>
      </c>
      <c r="B1152" t="inlineStr">
        <is>
          <t>Exu - PE</t>
        </is>
      </c>
      <c r="C1152" t="n">
        <v>-7.50364</v>
      </c>
      <c r="D1152" t="n">
        <v>-39.7238</v>
      </c>
      <c r="E1152" t="inlineStr">
        <is>
          <t>2022-05</t>
        </is>
      </c>
      <c r="F1152" t="n">
        <v>6580.723653780446</v>
      </c>
    </row>
    <row r="1153">
      <c r="A1153" t="inlineStr">
        <is>
          <t>Milho</t>
        </is>
      </c>
      <c r="B1153" t="inlineStr">
        <is>
          <t>Exu - PE</t>
        </is>
      </c>
      <c r="C1153" t="n">
        <v>-7.50364</v>
      </c>
      <c r="D1153" t="n">
        <v>-39.7238</v>
      </c>
      <c r="E1153" t="inlineStr">
        <is>
          <t>2022-06</t>
        </is>
      </c>
      <c r="F1153" t="n">
        <v>5815.599532836919</v>
      </c>
    </row>
    <row r="1154">
      <c r="A1154" t="inlineStr">
        <is>
          <t>Milho</t>
        </is>
      </c>
      <c r="B1154" t="inlineStr">
        <is>
          <t>Exu - PE</t>
        </is>
      </c>
      <c r="C1154" t="n">
        <v>-7.50364</v>
      </c>
      <c r="D1154" t="n">
        <v>-39.7238</v>
      </c>
      <c r="E1154" t="inlineStr">
        <is>
          <t>2021-07</t>
        </is>
      </c>
      <c r="F1154" t="n">
        <v>5434.748983288034</v>
      </c>
    </row>
    <row r="1155">
      <c r="A1155" t="inlineStr">
        <is>
          <t>Milho</t>
        </is>
      </c>
      <c r="B1155" t="inlineStr">
        <is>
          <t>Exu - PE</t>
        </is>
      </c>
      <c r="C1155" t="n">
        <v>-7.50364</v>
      </c>
      <c r="D1155" t="n">
        <v>-39.7238</v>
      </c>
      <c r="E1155" t="inlineStr">
        <is>
          <t>2021-08</t>
        </is>
      </c>
      <c r="F1155" t="n">
        <v>15177.9230923032</v>
      </c>
    </row>
    <row r="1156">
      <c r="A1156" t="inlineStr">
        <is>
          <t>Milho</t>
        </is>
      </c>
      <c r="B1156" t="inlineStr">
        <is>
          <t>Exu - PE</t>
        </is>
      </c>
      <c r="C1156" t="n">
        <v>-7.50364</v>
      </c>
      <c r="D1156" t="n">
        <v>-39.7238</v>
      </c>
      <c r="E1156" t="inlineStr">
        <is>
          <t>2021-09</t>
        </is>
      </c>
      <c r="F1156" t="n">
        <v>6950.373509849868</v>
      </c>
    </row>
    <row r="1157">
      <c r="A1157" t="inlineStr">
        <is>
          <t>Milho</t>
        </is>
      </c>
      <c r="B1157" t="inlineStr">
        <is>
          <t>Exu - PE</t>
        </is>
      </c>
      <c r="C1157" t="n">
        <v>-7.50364</v>
      </c>
      <c r="D1157" t="n">
        <v>-39.7238</v>
      </c>
      <c r="E1157" t="inlineStr">
        <is>
          <t>2021-10</t>
        </is>
      </c>
      <c r="F1157" t="n">
        <v>21135.01314401278</v>
      </c>
    </row>
    <row r="1158">
      <c r="A1158" t="inlineStr">
        <is>
          <t>Milho</t>
        </is>
      </c>
      <c r="B1158" t="inlineStr">
        <is>
          <t>Exu - PE</t>
        </is>
      </c>
      <c r="C1158" t="n">
        <v>-7.50364</v>
      </c>
      <c r="D1158" t="n">
        <v>-39.7238</v>
      </c>
      <c r="E1158" t="inlineStr">
        <is>
          <t>2021-11</t>
        </is>
      </c>
      <c r="F1158" t="n">
        <v>77294.72278965273</v>
      </c>
    </row>
    <row r="1159">
      <c r="A1159" t="inlineStr">
        <is>
          <t>Milho</t>
        </is>
      </c>
      <c r="B1159" t="inlineStr">
        <is>
          <t>Exu - PE</t>
        </is>
      </c>
      <c r="C1159" t="n">
        <v>-7.50364</v>
      </c>
      <c r="D1159" t="n">
        <v>-39.7238</v>
      </c>
      <c r="E1159" t="inlineStr">
        <is>
          <t>2021-12</t>
        </is>
      </c>
      <c r="F1159" t="n">
        <v>0</v>
      </c>
    </row>
    <row r="1160">
      <c r="A1160" t="inlineStr">
        <is>
          <t>Milho</t>
        </is>
      </c>
      <c r="B1160" t="inlineStr">
        <is>
          <t>Baixa Grande do Ribeiro - PI</t>
        </is>
      </c>
      <c r="C1160" t="n">
        <v>-7.84903</v>
      </c>
      <c r="D1160" t="n">
        <v>-45.219</v>
      </c>
      <c r="E1160" t="inlineStr">
        <is>
          <t>2022-01</t>
        </is>
      </c>
      <c r="F1160" t="n">
        <v>0</v>
      </c>
    </row>
    <row r="1161">
      <c r="A1161" t="inlineStr">
        <is>
          <t>Milho</t>
        </is>
      </c>
      <c r="B1161" t="inlineStr">
        <is>
          <t>Baixa Grande do Ribeiro - PI</t>
        </is>
      </c>
      <c r="C1161" t="n">
        <v>-7.84903</v>
      </c>
      <c r="D1161" t="n">
        <v>-45.219</v>
      </c>
      <c r="E1161" t="inlineStr">
        <is>
          <t>2022-02</t>
        </is>
      </c>
      <c r="F1161" t="n">
        <v>0</v>
      </c>
    </row>
    <row r="1162">
      <c r="A1162" t="inlineStr">
        <is>
          <t>Milho</t>
        </is>
      </c>
      <c r="B1162" t="inlineStr">
        <is>
          <t>Baixa Grande do Ribeiro - PI</t>
        </is>
      </c>
      <c r="C1162" t="n">
        <v>-7.84903</v>
      </c>
      <c r="D1162" t="n">
        <v>-45.219</v>
      </c>
      <c r="E1162" t="inlineStr">
        <is>
          <t>2022-03</t>
        </is>
      </c>
      <c r="F1162" t="n">
        <v>0</v>
      </c>
    </row>
    <row r="1163">
      <c r="A1163" t="inlineStr">
        <is>
          <t>Milho</t>
        </is>
      </c>
      <c r="B1163" t="inlineStr">
        <is>
          <t>Baixa Grande do Ribeiro - PI</t>
        </is>
      </c>
      <c r="C1163" t="n">
        <v>-7.84903</v>
      </c>
      <c r="D1163" t="n">
        <v>-45.219</v>
      </c>
      <c r="E1163" t="inlineStr">
        <is>
          <t>2022-04</t>
        </is>
      </c>
      <c r="F1163" t="n">
        <v>0</v>
      </c>
    </row>
    <row r="1164">
      <c r="A1164" t="inlineStr">
        <is>
          <t>Milho</t>
        </is>
      </c>
      <c r="B1164" t="inlineStr">
        <is>
          <t>Baixa Grande do Ribeiro - PI</t>
        </is>
      </c>
      <c r="C1164" t="n">
        <v>-7.84903</v>
      </c>
      <c r="D1164" t="n">
        <v>-45.219</v>
      </c>
      <c r="E1164" t="inlineStr">
        <is>
          <t>2022-05</t>
        </is>
      </c>
      <c r="F1164" t="n">
        <v>93495.90897875086</v>
      </c>
    </row>
    <row r="1165">
      <c r="A1165" t="inlineStr">
        <is>
          <t>Milho</t>
        </is>
      </c>
      <c r="B1165" t="inlineStr">
        <is>
          <t>Baixa Grande do Ribeiro - PI</t>
        </is>
      </c>
      <c r="C1165" t="n">
        <v>-7.84903</v>
      </c>
      <c r="D1165" t="n">
        <v>-45.219</v>
      </c>
      <c r="E1165" t="inlineStr">
        <is>
          <t>2022-06</t>
        </is>
      </c>
      <c r="F1165" t="n">
        <v>137708.9595778792</v>
      </c>
    </row>
    <row r="1166">
      <c r="A1166" t="inlineStr">
        <is>
          <t>Milho</t>
        </is>
      </c>
      <c r="B1166" t="inlineStr">
        <is>
          <t>Baixa Grande do Ribeiro - PI</t>
        </is>
      </c>
      <c r="C1166" t="n">
        <v>-7.84903</v>
      </c>
      <c r="D1166" t="n">
        <v>-45.219</v>
      </c>
      <c r="E1166" t="inlineStr">
        <is>
          <t>2021-07</t>
        </is>
      </c>
      <c r="F1166" t="n">
        <v>128690.7091572804</v>
      </c>
    </row>
    <row r="1167">
      <c r="A1167" t="inlineStr">
        <is>
          <t>Milho</t>
        </is>
      </c>
      <c r="B1167" t="inlineStr">
        <is>
          <t>Baixa Grande do Ribeiro - PI</t>
        </is>
      </c>
      <c r="C1167" t="n">
        <v>-7.84903</v>
      </c>
      <c r="D1167" t="n">
        <v>-45.219</v>
      </c>
      <c r="E1167" t="inlineStr">
        <is>
          <t>2021-08</t>
        </is>
      </c>
      <c r="F1167" t="n">
        <v>92417.56403682595</v>
      </c>
    </row>
    <row r="1168">
      <c r="A1168" t="inlineStr">
        <is>
          <t>Milho</t>
        </is>
      </c>
      <c r="B1168" t="inlineStr">
        <is>
          <t>Baixa Grande do Ribeiro - PI</t>
        </is>
      </c>
      <c r="C1168" t="n">
        <v>-7.84903</v>
      </c>
      <c r="D1168" t="n">
        <v>-45.219</v>
      </c>
      <c r="E1168" t="inlineStr">
        <is>
          <t>2021-09</t>
        </is>
      </c>
      <c r="F1168" t="n">
        <v>0</v>
      </c>
    </row>
    <row r="1169">
      <c r="A1169" t="inlineStr">
        <is>
          <t>Milho</t>
        </is>
      </c>
      <c r="B1169" t="inlineStr">
        <is>
          <t>Baixa Grande do Ribeiro - PI</t>
        </is>
      </c>
      <c r="C1169" t="n">
        <v>-7.84903</v>
      </c>
      <c r="D1169" t="n">
        <v>-45.219</v>
      </c>
      <c r="E1169" t="inlineStr">
        <is>
          <t>2021-10</t>
        </is>
      </c>
      <c r="F1169" t="n">
        <v>0</v>
      </c>
    </row>
    <row r="1170">
      <c r="A1170" t="inlineStr">
        <is>
          <t>Milho</t>
        </is>
      </c>
      <c r="B1170" t="inlineStr">
        <is>
          <t>Baixa Grande do Ribeiro - PI</t>
        </is>
      </c>
      <c r="C1170" t="n">
        <v>-7.84903</v>
      </c>
      <c r="D1170" t="n">
        <v>-45.219</v>
      </c>
      <c r="E1170" t="inlineStr">
        <is>
          <t>2021-11</t>
        </is>
      </c>
      <c r="F1170" t="n">
        <v>0</v>
      </c>
    </row>
    <row r="1171">
      <c r="A1171" t="inlineStr">
        <is>
          <t>Milho</t>
        </is>
      </c>
      <c r="B1171" t="inlineStr">
        <is>
          <t>Baixa Grande do Ribeiro - PI</t>
        </is>
      </c>
      <c r="C1171" t="n">
        <v>-7.84903</v>
      </c>
      <c r="D1171" t="n">
        <v>-45.219</v>
      </c>
      <c r="E1171" t="inlineStr">
        <is>
          <t>2021-12</t>
        </is>
      </c>
      <c r="F1171" t="n">
        <v>0</v>
      </c>
    </row>
    <row r="1172">
      <c r="A1172" t="inlineStr">
        <is>
          <t>Milho</t>
        </is>
      </c>
      <c r="B1172" t="inlineStr">
        <is>
          <t>Toledo - PR</t>
        </is>
      </c>
      <c r="C1172" t="n">
        <v>-24.7246</v>
      </c>
      <c r="D1172" t="n">
        <v>-53.7412</v>
      </c>
      <c r="E1172" t="inlineStr">
        <is>
          <t>2022-01</t>
        </is>
      </c>
      <c r="F1172" t="n">
        <v>0</v>
      </c>
    </row>
    <row r="1173">
      <c r="A1173" t="inlineStr">
        <is>
          <t>Milho</t>
        </is>
      </c>
      <c r="B1173" t="inlineStr">
        <is>
          <t>Toledo - PR</t>
        </is>
      </c>
      <c r="C1173" t="n">
        <v>-24.7246</v>
      </c>
      <c r="D1173" t="n">
        <v>-53.7412</v>
      </c>
      <c r="E1173" t="inlineStr">
        <is>
          <t>2022-02</t>
        </is>
      </c>
      <c r="F1173" t="n">
        <v>0</v>
      </c>
    </row>
    <row r="1174">
      <c r="A1174" t="inlineStr">
        <is>
          <t>Milho</t>
        </is>
      </c>
      <c r="B1174" t="inlineStr">
        <is>
          <t>Toledo - PR</t>
        </is>
      </c>
      <c r="C1174" t="n">
        <v>-24.7246</v>
      </c>
      <c r="D1174" t="n">
        <v>-53.7412</v>
      </c>
      <c r="E1174" t="inlineStr">
        <is>
          <t>2022-03</t>
        </is>
      </c>
      <c r="F1174" t="n">
        <v>0</v>
      </c>
    </row>
    <row r="1175">
      <c r="A1175" t="inlineStr">
        <is>
          <t>Milho</t>
        </is>
      </c>
      <c r="B1175" t="inlineStr">
        <is>
          <t>Toledo - PR</t>
        </is>
      </c>
      <c r="C1175" t="n">
        <v>-24.7246</v>
      </c>
      <c r="D1175" t="n">
        <v>-53.7412</v>
      </c>
      <c r="E1175" t="inlineStr">
        <is>
          <t>2022-04</t>
        </is>
      </c>
      <c r="F1175" t="n">
        <v>0</v>
      </c>
    </row>
    <row r="1176">
      <c r="A1176" t="inlineStr">
        <is>
          <t>Milho</t>
        </is>
      </c>
      <c r="B1176" t="inlineStr">
        <is>
          <t>Toledo - PR</t>
        </is>
      </c>
      <c r="C1176" t="n">
        <v>-24.7246</v>
      </c>
      <c r="D1176" t="n">
        <v>-53.7412</v>
      </c>
      <c r="E1176" t="inlineStr">
        <is>
          <t>2022-05</t>
        </is>
      </c>
      <c r="F1176" t="n">
        <v>848810.5655881115</v>
      </c>
    </row>
    <row r="1177">
      <c r="A1177" t="inlineStr">
        <is>
          <t>Milho</t>
        </is>
      </c>
      <c r="B1177" t="inlineStr">
        <is>
          <t>Toledo - PR</t>
        </is>
      </c>
      <c r="C1177" t="n">
        <v>-24.7246</v>
      </c>
      <c r="D1177" t="n">
        <v>-53.7412</v>
      </c>
      <c r="E1177" t="inlineStr">
        <is>
          <t>2022-06</t>
        </is>
      </c>
      <c r="F1177" t="n">
        <v>1500243.009251868</v>
      </c>
    </row>
    <row r="1178">
      <c r="A1178" t="inlineStr">
        <is>
          <t>Milho</t>
        </is>
      </c>
      <c r="B1178" t="inlineStr">
        <is>
          <t>Toledo - PR</t>
        </is>
      </c>
      <c r="C1178" t="n">
        <v>-24.7246</v>
      </c>
      <c r="D1178" t="n">
        <v>-53.7412</v>
      </c>
      <c r="E1178" t="inlineStr">
        <is>
          <t>2021-07</t>
        </is>
      </c>
      <c r="F1178" t="n">
        <v>1401995.464642873</v>
      </c>
    </row>
    <row r="1179">
      <c r="A1179" t="inlineStr">
        <is>
          <t>Milho</t>
        </is>
      </c>
      <c r="B1179" t="inlineStr">
        <is>
          <t>Toledo - PR</t>
        </is>
      </c>
      <c r="C1179" t="n">
        <v>-24.7246</v>
      </c>
      <c r="D1179" t="n">
        <v>-53.7412</v>
      </c>
      <c r="E1179" t="inlineStr">
        <is>
          <t>2021-08</t>
        </is>
      </c>
      <c r="F1179" t="n">
        <v>1678041.438544701</v>
      </c>
    </row>
    <row r="1180">
      <c r="A1180" t="inlineStr">
        <is>
          <t>Milho</t>
        </is>
      </c>
      <c r="B1180" t="inlineStr">
        <is>
          <t>Toledo - PR</t>
        </is>
      </c>
      <c r="C1180" t="n">
        <v>-24.7246</v>
      </c>
      <c r="D1180" t="n">
        <v>-53.7412</v>
      </c>
      <c r="E1180" t="inlineStr">
        <is>
          <t>2021-09</t>
        </is>
      </c>
      <c r="F1180" t="n">
        <v>4183618.242439152</v>
      </c>
    </row>
    <row r="1181">
      <c r="A1181" t="inlineStr">
        <is>
          <t>Milho</t>
        </is>
      </c>
      <c r="B1181" t="inlineStr">
        <is>
          <t>Toledo - PR</t>
        </is>
      </c>
      <c r="C1181" t="n">
        <v>-24.7246</v>
      </c>
      <c r="D1181" t="n">
        <v>-53.7412</v>
      </c>
      <c r="E1181" t="inlineStr">
        <is>
          <t>2021-10</t>
        </is>
      </c>
      <c r="F1181" t="n">
        <v>2726086.583224906</v>
      </c>
    </row>
    <row r="1182">
      <c r="A1182" t="inlineStr">
        <is>
          <t>Milho</t>
        </is>
      </c>
      <c r="B1182" t="inlineStr">
        <is>
          <t>Toledo - PR</t>
        </is>
      </c>
      <c r="C1182" t="n">
        <v>-24.7246</v>
      </c>
      <c r="D1182" t="n">
        <v>-53.7412</v>
      </c>
      <c r="E1182" t="inlineStr">
        <is>
          <t>2021-11</t>
        </is>
      </c>
      <c r="F1182" t="n">
        <v>0</v>
      </c>
    </row>
    <row r="1183">
      <c r="A1183" t="inlineStr">
        <is>
          <t>Milho</t>
        </is>
      </c>
      <c r="B1183" t="inlineStr">
        <is>
          <t>Toledo - PR</t>
        </is>
      </c>
      <c r="C1183" t="n">
        <v>-24.7246</v>
      </c>
      <c r="D1183" t="n">
        <v>-53.7412</v>
      </c>
      <c r="E1183" t="inlineStr">
        <is>
          <t>2021-12</t>
        </is>
      </c>
      <c r="F1183" t="n">
        <v>0</v>
      </c>
    </row>
    <row r="1184">
      <c r="A1184" t="inlineStr">
        <is>
          <t>Milho</t>
        </is>
      </c>
      <c r="B1184" t="inlineStr">
        <is>
          <t>Macaé - RJ</t>
        </is>
      </c>
      <c r="C1184" t="n">
        <v>-22.3768</v>
      </c>
      <c r="D1184" t="n">
        <v>-41.7848</v>
      </c>
      <c r="E1184" t="inlineStr">
        <is>
          <t>2022-01</t>
        </is>
      </c>
      <c r="F1184" t="n">
        <v>0</v>
      </c>
    </row>
    <row r="1185">
      <c r="A1185" t="inlineStr">
        <is>
          <t>Milho</t>
        </is>
      </c>
      <c r="B1185" t="inlineStr">
        <is>
          <t>Macaé - RJ</t>
        </is>
      </c>
      <c r="C1185" t="n">
        <v>-22.3768</v>
      </c>
      <c r="D1185" t="n">
        <v>-41.7848</v>
      </c>
      <c r="E1185" t="inlineStr">
        <is>
          <t>2022-02</t>
        </is>
      </c>
      <c r="F1185" t="n">
        <v>0</v>
      </c>
    </row>
    <row r="1186">
      <c r="A1186" t="inlineStr">
        <is>
          <t>Milho</t>
        </is>
      </c>
      <c r="B1186" t="inlineStr">
        <is>
          <t>Macaé - RJ</t>
        </is>
      </c>
      <c r="C1186" t="n">
        <v>-22.3768</v>
      </c>
      <c r="D1186" t="n">
        <v>-41.7848</v>
      </c>
      <c r="E1186" t="inlineStr">
        <is>
          <t>2022-03</t>
        </is>
      </c>
      <c r="F1186" t="n">
        <v>0</v>
      </c>
    </row>
    <row r="1187">
      <c r="A1187" t="inlineStr">
        <is>
          <t>Milho</t>
        </is>
      </c>
      <c r="B1187" t="inlineStr">
        <is>
          <t>Macaé - RJ</t>
        </is>
      </c>
      <c r="C1187" t="n">
        <v>-22.3768</v>
      </c>
      <c r="D1187" t="n">
        <v>-41.7848</v>
      </c>
      <c r="E1187" t="inlineStr">
        <is>
          <t>2022-04</t>
        </is>
      </c>
      <c r="F1187" t="n">
        <v>0</v>
      </c>
    </row>
    <row r="1188">
      <c r="A1188" t="inlineStr">
        <is>
          <t>Milho</t>
        </is>
      </c>
      <c r="B1188" t="inlineStr">
        <is>
          <t>Macaé - RJ</t>
        </is>
      </c>
      <c r="C1188" t="n">
        <v>-22.3768</v>
      </c>
      <c r="D1188" t="n">
        <v>-41.7848</v>
      </c>
      <c r="E1188" t="inlineStr">
        <is>
          <t>2022-05</t>
        </is>
      </c>
      <c r="F1188" t="n">
        <v>0</v>
      </c>
    </row>
    <row r="1189">
      <c r="A1189" t="inlineStr">
        <is>
          <t>Milho</t>
        </is>
      </c>
      <c r="B1189" t="inlineStr">
        <is>
          <t>Macaé - RJ</t>
        </is>
      </c>
      <c r="C1189" t="n">
        <v>-22.3768</v>
      </c>
      <c r="D1189" t="n">
        <v>-41.7848</v>
      </c>
      <c r="E1189" t="inlineStr">
        <is>
          <t>2022-06</t>
        </is>
      </c>
      <c r="F1189" t="n">
        <v>0</v>
      </c>
    </row>
    <row r="1190">
      <c r="A1190" t="inlineStr">
        <is>
          <t>Milho</t>
        </is>
      </c>
      <c r="B1190" t="inlineStr">
        <is>
          <t>Macaé - RJ</t>
        </is>
      </c>
      <c r="C1190" t="n">
        <v>-22.3768</v>
      </c>
      <c r="D1190" t="n">
        <v>-41.7848</v>
      </c>
      <c r="E1190" t="inlineStr">
        <is>
          <t>2021-07</t>
        </is>
      </c>
      <c r="F1190" t="n">
        <v>0</v>
      </c>
    </row>
    <row r="1191">
      <c r="A1191" t="inlineStr">
        <is>
          <t>Milho</t>
        </is>
      </c>
      <c r="B1191" t="inlineStr">
        <is>
          <t>Macaé - RJ</t>
        </is>
      </c>
      <c r="C1191" t="n">
        <v>-22.3768</v>
      </c>
      <c r="D1191" t="n">
        <v>-41.7848</v>
      </c>
      <c r="E1191" t="inlineStr">
        <is>
          <t>2021-08</t>
        </is>
      </c>
      <c r="F1191" t="n">
        <v>0</v>
      </c>
    </row>
    <row r="1192">
      <c r="A1192" t="inlineStr">
        <is>
          <t>Milho</t>
        </is>
      </c>
      <c r="B1192" t="inlineStr">
        <is>
          <t>Macaé - RJ</t>
        </is>
      </c>
      <c r="C1192" t="n">
        <v>-22.3768</v>
      </c>
      <c r="D1192" t="n">
        <v>-41.7848</v>
      </c>
      <c r="E1192" t="inlineStr">
        <is>
          <t>2021-09</t>
        </is>
      </c>
      <c r="F1192" t="n">
        <v>0</v>
      </c>
    </row>
    <row r="1193">
      <c r="A1193" t="inlineStr">
        <is>
          <t>Milho</t>
        </is>
      </c>
      <c r="B1193" t="inlineStr">
        <is>
          <t>Macaé - RJ</t>
        </is>
      </c>
      <c r="C1193" t="n">
        <v>-22.3768</v>
      </c>
      <c r="D1193" t="n">
        <v>-41.7848</v>
      </c>
      <c r="E1193" t="inlineStr">
        <is>
          <t>2021-10</t>
        </is>
      </c>
      <c r="F1193" t="n">
        <v>0</v>
      </c>
    </row>
    <row r="1194">
      <c r="A1194" t="inlineStr">
        <is>
          <t>Milho</t>
        </is>
      </c>
      <c r="B1194" t="inlineStr">
        <is>
          <t>Macaé - RJ</t>
        </is>
      </c>
      <c r="C1194" t="n">
        <v>-22.3768</v>
      </c>
      <c r="D1194" t="n">
        <v>-41.7848</v>
      </c>
      <c r="E1194" t="inlineStr">
        <is>
          <t>2021-11</t>
        </is>
      </c>
      <c r="F1194" t="n">
        <v>0</v>
      </c>
    </row>
    <row r="1195">
      <c r="A1195" t="inlineStr">
        <is>
          <t>Milho</t>
        </is>
      </c>
      <c r="B1195" t="inlineStr">
        <is>
          <t>Macaé - RJ</t>
        </is>
      </c>
      <c r="C1195" t="n">
        <v>-22.3768</v>
      </c>
      <c r="D1195" t="n">
        <v>-41.7848</v>
      </c>
      <c r="E1195" t="inlineStr">
        <is>
          <t>2021-12</t>
        </is>
      </c>
      <c r="F1195" t="n">
        <v>0</v>
      </c>
    </row>
    <row r="1196">
      <c r="A1196" t="inlineStr">
        <is>
          <t>Milho</t>
        </is>
      </c>
      <c r="B1196" t="inlineStr">
        <is>
          <t>Apodi - RN</t>
        </is>
      </c>
      <c r="C1196" t="n">
        <v>-5.65349</v>
      </c>
      <c r="D1196" t="n">
        <v>-37.7946</v>
      </c>
      <c r="E1196" t="inlineStr">
        <is>
          <t>2022-01</t>
        </is>
      </c>
      <c r="F1196" t="n">
        <v>0</v>
      </c>
    </row>
    <row r="1197">
      <c r="A1197" t="inlineStr">
        <is>
          <t>Milho</t>
        </is>
      </c>
      <c r="B1197" t="inlineStr">
        <is>
          <t>Apodi - RN</t>
        </is>
      </c>
      <c r="C1197" t="n">
        <v>-5.65349</v>
      </c>
      <c r="D1197" t="n">
        <v>-37.7946</v>
      </c>
      <c r="E1197" t="inlineStr">
        <is>
          <t>2022-02</t>
        </is>
      </c>
      <c r="F1197" t="n">
        <v>0</v>
      </c>
    </row>
    <row r="1198">
      <c r="A1198" t="inlineStr">
        <is>
          <t>Milho</t>
        </is>
      </c>
      <c r="B1198" t="inlineStr">
        <is>
          <t>Apodi - RN</t>
        </is>
      </c>
      <c r="C1198" t="n">
        <v>-5.65349</v>
      </c>
      <c r="D1198" t="n">
        <v>-37.7946</v>
      </c>
      <c r="E1198" t="inlineStr">
        <is>
          <t>2022-03</t>
        </is>
      </c>
      <c r="F1198" t="n">
        <v>0</v>
      </c>
    </row>
    <row r="1199">
      <c r="A1199" t="inlineStr">
        <is>
          <t>Milho</t>
        </is>
      </c>
      <c r="B1199" t="inlineStr">
        <is>
          <t>Apodi - RN</t>
        </is>
      </c>
      <c r="C1199" t="n">
        <v>-5.65349</v>
      </c>
      <c r="D1199" t="n">
        <v>-37.7946</v>
      </c>
      <c r="E1199" t="inlineStr">
        <is>
          <t>2022-04</t>
        </is>
      </c>
      <c r="F1199" t="n">
        <v>0</v>
      </c>
    </row>
    <row r="1200">
      <c r="A1200" t="inlineStr">
        <is>
          <t>Milho</t>
        </is>
      </c>
      <c r="B1200" t="inlineStr">
        <is>
          <t>Apodi - RN</t>
        </is>
      </c>
      <c r="C1200" t="n">
        <v>-5.65349</v>
      </c>
      <c r="D1200" t="n">
        <v>-37.7946</v>
      </c>
      <c r="E1200" t="inlineStr">
        <is>
          <t>2022-05</t>
        </is>
      </c>
      <c r="F1200" t="n">
        <v>4177.19337709437</v>
      </c>
    </row>
    <row r="1201">
      <c r="A1201" t="inlineStr">
        <is>
          <t>Milho</t>
        </is>
      </c>
      <c r="B1201" t="inlineStr">
        <is>
          <t>Apodi - RN</t>
        </is>
      </c>
      <c r="C1201" t="n">
        <v>-5.65349</v>
      </c>
      <c r="D1201" t="n">
        <v>-37.7946</v>
      </c>
      <c r="E1201" t="inlineStr">
        <is>
          <t>2022-06</t>
        </is>
      </c>
      <c r="F1201" t="n">
        <v>3691.5216517934</v>
      </c>
    </row>
    <row r="1202">
      <c r="A1202" t="inlineStr">
        <is>
          <t>Milho</t>
        </is>
      </c>
      <c r="B1202" t="inlineStr">
        <is>
          <t>Apodi - RN</t>
        </is>
      </c>
      <c r="C1202" t="n">
        <v>-5.65349</v>
      </c>
      <c r="D1202" t="n">
        <v>-37.7946</v>
      </c>
      <c r="E1202" t="inlineStr">
        <is>
          <t>2021-07</t>
        </is>
      </c>
      <c r="F1202" t="n">
        <v>5749.620318762179</v>
      </c>
    </row>
    <row r="1203">
      <c r="A1203" t="inlineStr">
        <is>
          <t>Milho</t>
        </is>
      </c>
      <c r="B1203" t="inlineStr">
        <is>
          <t>Apodi - RN</t>
        </is>
      </c>
      <c r="C1203" t="n">
        <v>-5.65349</v>
      </c>
      <c r="D1203" t="n">
        <v>-37.7946</v>
      </c>
      <c r="E1203" t="inlineStr">
        <is>
          <t>2021-08</t>
        </is>
      </c>
      <c r="F1203" t="n">
        <v>6881.69212675675</v>
      </c>
    </row>
    <row r="1204">
      <c r="A1204" t="inlineStr">
        <is>
          <t>Milho</t>
        </is>
      </c>
      <c r="B1204" t="inlineStr">
        <is>
          <t>Apodi - RN</t>
        </is>
      </c>
      <c r="C1204" t="n">
        <v>-5.65349</v>
      </c>
      <c r="D1204" t="n">
        <v>-37.7946</v>
      </c>
      <c r="E1204" t="inlineStr">
        <is>
          <t>2021-09</t>
        </is>
      </c>
      <c r="F1204" t="n">
        <v>4411.833062918288</v>
      </c>
    </row>
    <row r="1205">
      <c r="A1205" t="inlineStr">
        <is>
          <t>Milho</t>
        </is>
      </c>
      <c r="B1205" t="inlineStr">
        <is>
          <t>Apodi - RN</t>
        </is>
      </c>
      <c r="C1205" t="n">
        <v>-5.65349</v>
      </c>
      <c r="D1205" t="n">
        <v>-37.7946</v>
      </c>
      <c r="E1205" t="inlineStr">
        <is>
          <t>2021-10</t>
        </is>
      </c>
      <c r="F1205" t="n">
        <v>0</v>
      </c>
    </row>
    <row r="1206">
      <c r="A1206" t="inlineStr">
        <is>
          <t>Milho</t>
        </is>
      </c>
      <c r="B1206" t="inlineStr">
        <is>
          <t>Apodi - RN</t>
        </is>
      </c>
      <c r="C1206" t="n">
        <v>-5.65349</v>
      </c>
      <c r="D1206" t="n">
        <v>-37.7946</v>
      </c>
      <c r="E1206" t="inlineStr">
        <is>
          <t>2021-11</t>
        </is>
      </c>
      <c r="F1206" t="n">
        <v>0</v>
      </c>
    </row>
    <row r="1207">
      <c r="A1207" t="inlineStr">
        <is>
          <t>Milho</t>
        </is>
      </c>
      <c r="B1207" t="inlineStr">
        <is>
          <t>Apodi - RN</t>
        </is>
      </c>
      <c r="C1207" t="n">
        <v>-5.65349</v>
      </c>
      <c r="D1207" t="n">
        <v>-37.7946</v>
      </c>
      <c r="E1207" t="inlineStr">
        <is>
          <t>2021-12</t>
        </is>
      </c>
      <c r="F1207" t="n">
        <v>0</v>
      </c>
    </row>
    <row r="1208">
      <c r="A1208" t="inlineStr">
        <is>
          <t>Milho</t>
        </is>
      </c>
      <c r="B1208" t="inlineStr">
        <is>
          <t>Pimenteiras do Oeste - RO</t>
        </is>
      </c>
      <c r="C1208" t="n">
        <v>-13.4823</v>
      </c>
      <c r="D1208" t="n">
        <v>-61.0471</v>
      </c>
      <c r="E1208" t="inlineStr">
        <is>
          <t>2022-01</t>
        </is>
      </c>
      <c r="F1208" t="n">
        <v>0</v>
      </c>
    </row>
    <row r="1209">
      <c r="A1209" t="inlineStr">
        <is>
          <t>Milho</t>
        </is>
      </c>
      <c r="B1209" t="inlineStr">
        <is>
          <t>Pimenteiras do Oeste - RO</t>
        </is>
      </c>
      <c r="C1209" t="n">
        <v>-13.4823</v>
      </c>
      <c r="D1209" t="n">
        <v>-61.0471</v>
      </c>
      <c r="E1209" t="inlineStr">
        <is>
          <t>2022-02</t>
        </is>
      </c>
      <c r="F1209" t="n">
        <v>0</v>
      </c>
    </row>
    <row r="1210">
      <c r="A1210" t="inlineStr">
        <is>
          <t>Milho</t>
        </is>
      </c>
      <c r="B1210" t="inlineStr">
        <is>
          <t>Pimenteiras do Oeste - RO</t>
        </is>
      </c>
      <c r="C1210" t="n">
        <v>-13.4823</v>
      </c>
      <c r="D1210" t="n">
        <v>-61.0471</v>
      </c>
      <c r="E1210" t="inlineStr">
        <is>
          <t>2022-03</t>
        </is>
      </c>
      <c r="F1210" t="n">
        <v>0</v>
      </c>
    </row>
    <row r="1211">
      <c r="A1211" t="inlineStr">
        <is>
          <t>Milho</t>
        </is>
      </c>
      <c r="B1211" t="inlineStr">
        <is>
          <t>Pimenteiras do Oeste - RO</t>
        </is>
      </c>
      <c r="C1211" t="n">
        <v>-13.4823</v>
      </c>
      <c r="D1211" t="n">
        <v>-61.0471</v>
      </c>
      <c r="E1211" t="inlineStr">
        <is>
          <t>2022-04</t>
        </is>
      </c>
      <c r="F1211" t="n">
        <v>0</v>
      </c>
    </row>
    <row r="1212">
      <c r="A1212" t="inlineStr">
        <is>
          <t>Milho</t>
        </is>
      </c>
      <c r="B1212" t="inlineStr">
        <is>
          <t>Pimenteiras do Oeste - RO</t>
        </is>
      </c>
      <c r="C1212" t="n">
        <v>-13.4823</v>
      </c>
      <c r="D1212" t="n">
        <v>-61.0471</v>
      </c>
      <c r="E1212" t="inlineStr">
        <is>
          <t>2022-05</t>
        </is>
      </c>
      <c r="F1212" t="n">
        <v>77765.21373013411</v>
      </c>
    </row>
    <row r="1213">
      <c r="A1213" t="inlineStr">
        <is>
          <t>Milho</t>
        </is>
      </c>
      <c r="B1213" t="inlineStr">
        <is>
          <t>Pimenteiras do Oeste - RO</t>
        </is>
      </c>
      <c r="C1213" t="n">
        <v>-13.4823</v>
      </c>
      <c r="D1213" t="n">
        <v>-61.0471</v>
      </c>
      <c r="E1213" t="inlineStr">
        <is>
          <t>2022-06</t>
        </is>
      </c>
      <c r="F1213" t="n">
        <v>137447.2974199806</v>
      </c>
    </row>
    <row r="1214">
      <c r="A1214" t="inlineStr">
        <is>
          <t>Milho</t>
        </is>
      </c>
      <c r="B1214" t="inlineStr">
        <is>
          <t>Pimenteiras do Oeste - RO</t>
        </is>
      </c>
      <c r="C1214" t="n">
        <v>-13.4823</v>
      </c>
      <c r="D1214" t="n">
        <v>-61.0471</v>
      </c>
      <c r="E1214" t="inlineStr">
        <is>
          <t>2021-07</t>
        </is>
      </c>
      <c r="F1214" t="n">
        <v>214076.9711105308</v>
      </c>
    </row>
    <row r="1215">
      <c r="A1215" t="inlineStr">
        <is>
          <t>Milho</t>
        </is>
      </c>
      <c r="B1215" t="inlineStr">
        <is>
          <t>Pimenteiras do Oeste - RO</t>
        </is>
      </c>
      <c r="C1215" t="n">
        <v>-13.4823</v>
      </c>
      <c r="D1215" t="n">
        <v>-61.0471</v>
      </c>
      <c r="E1215" t="inlineStr">
        <is>
          <t>2021-08</t>
        </is>
      </c>
      <c r="F1215" t="n">
        <v>256227.6680781655</v>
      </c>
    </row>
    <row r="1216">
      <c r="A1216" t="inlineStr">
        <is>
          <t>Milho</t>
        </is>
      </c>
      <c r="B1216" t="inlineStr">
        <is>
          <t>Pimenteiras do Oeste - RO</t>
        </is>
      </c>
      <c r="C1216" t="n">
        <v>-13.4823</v>
      </c>
      <c r="D1216" t="n">
        <v>-61.0471</v>
      </c>
      <c r="E1216" t="inlineStr">
        <is>
          <t>2021-09</t>
        </is>
      </c>
      <c r="F1216" t="n">
        <v>164266.8222930882</v>
      </c>
    </row>
    <row r="1217">
      <c r="A1217" t="inlineStr">
        <is>
          <t>Milho</t>
        </is>
      </c>
      <c r="B1217" t="inlineStr">
        <is>
          <t>Pimenteiras do Oeste - RO</t>
        </is>
      </c>
      <c r="C1217" t="n">
        <v>-13.4823</v>
      </c>
      <c r="D1217" t="n">
        <v>-61.0471</v>
      </c>
      <c r="E1217" t="inlineStr">
        <is>
          <t>2021-10</t>
        </is>
      </c>
      <c r="F1217" t="n">
        <v>249755.0270765681</v>
      </c>
    </row>
    <row r="1218">
      <c r="A1218" t="inlineStr">
        <is>
          <t>Milho</t>
        </is>
      </c>
      <c r="B1218" t="inlineStr">
        <is>
          <t>Pimenteiras do Oeste - RO</t>
        </is>
      </c>
      <c r="C1218" t="n">
        <v>-13.4823</v>
      </c>
      <c r="D1218" t="n">
        <v>-61.0471</v>
      </c>
      <c r="E1218" t="inlineStr">
        <is>
          <t>2021-11</t>
        </is>
      </c>
      <c r="F1218" t="n">
        <v>0</v>
      </c>
    </row>
    <row r="1219">
      <c r="A1219" t="inlineStr">
        <is>
          <t>Milho</t>
        </is>
      </c>
      <c r="B1219" t="inlineStr">
        <is>
          <t>Pimenteiras do Oeste - RO</t>
        </is>
      </c>
      <c r="C1219" t="n">
        <v>-13.4823</v>
      </c>
      <c r="D1219" t="n">
        <v>-61.0471</v>
      </c>
      <c r="E1219" t="inlineStr">
        <is>
          <t>2021-12</t>
        </is>
      </c>
      <c r="F1219" t="n">
        <v>0</v>
      </c>
    </row>
    <row r="1220">
      <c r="A1220" t="inlineStr">
        <is>
          <t>Milho</t>
        </is>
      </c>
      <c r="B1220" t="inlineStr">
        <is>
          <t>Bonfim - RR</t>
        </is>
      </c>
      <c r="C1220" t="n">
        <v>3.36161</v>
      </c>
      <c r="D1220" t="n">
        <v>-59.8333</v>
      </c>
      <c r="E1220" t="inlineStr">
        <is>
          <t>2022-01</t>
        </is>
      </c>
      <c r="F1220" t="n">
        <v>0</v>
      </c>
    </row>
    <row r="1221">
      <c r="A1221" t="inlineStr">
        <is>
          <t>Milho</t>
        </is>
      </c>
      <c r="B1221" t="inlineStr">
        <is>
          <t>Bonfim - RR</t>
        </is>
      </c>
      <c r="C1221" t="n">
        <v>3.36161</v>
      </c>
      <c r="D1221" t="n">
        <v>-59.8333</v>
      </c>
      <c r="E1221" t="inlineStr">
        <is>
          <t>2022-02</t>
        </is>
      </c>
      <c r="F1221" t="n">
        <v>0</v>
      </c>
    </row>
    <row r="1222">
      <c r="A1222" t="inlineStr">
        <is>
          <t>Milho</t>
        </is>
      </c>
      <c r="B1222" t="inlineStr">
        <is>
          <t>Bonfim - RR</t>
        </is>
      </c>
      <c r="C1222" t="n">
        <v>3.36161</v>
      </c>
      <c r="D1222" t="n">
        <v>-59.8333</v>
      </c>
      <c r="E1222" t="inlineStr">
        <is>
          <t>2022-03</t>
        </is>
      </c>
      <c r="F1222" t="n">
        <v>0</v>
      </c>
    </row>
    <row r="1223">
      <c r="A1223" t="inlineStr">
        <is>
          <t>Milho</t>
        </is>
      </c>
      <c r="B1223" t="inlineStr">
        <is>
          <t>Bonfim - RR</t>
        </is>
      </c>
      <c r="C1223" t="n">
        <v>3.36161</v>
      </c>
      <c r="D1223" t="n">
        <v>-59.8333</v>
      </c>
      <c r="E1223" t="inlineStr">
        <is>
          <t>2022-04</t>
        </is>
      </c>
      <c r="F1223" t="n">
        <v>0</v>
      </c>
    </row>
    <row r="1224">
      <c r="A1224" t="inlineStr">
        <is>
          <t>Milho</t>
        </is>
      </c>
      <c r="B1224" t="inlineStr">
        <is>
          <t>Bonfim - RR</t>
        </is>
      </c>
      <c r="C1224" t="n">
        <v>3.36161</v>
      </c>
      <c r="D1224" t="n">
        <v>-59.8333</v>
      </c>
      <c r="E1224" t="inlineStr">
        <is>
          <t>2022-05</t>
        </is>
      </c>
      <c r="F1224" t="n">
        <v>0</v>
      </c>
    </row>
    <row r="1225">
      <c r="A1225" t="inlineStr">
        <is>
          <t>Milho</t>
        </is>
      </c>
      <c r="B1225" t="inlineStr">
        <is>
          <t>Bonfim - RR</t>
        </is>
      </c>
      <c r="C1225" t="n">
        <v>3.36161</v>
      </c>
      <c r="D1225" t="n">
        <v>-59.8333</v>
      </c>
      <c r="E1225" t="inlineStr">
        <is>
          <t>2022-06</t>
        </is>
      </c>
      <c r="F1225" t="n">
        <v>0</v>
      </c>
    </row>
    <row r="1226">
      <c r="A1226" t="inlineStr">
        <is>
          <t>Milho</t>
        </is>
      </c>
      <c r="B1226" t="inlineStr">
        <is>
          <t>Bonfim - RR</t>
        </is>
      </c>
      <c r="C1226" t="n">
        <v>3.36161</v>
      </c>
      <c r="D1226" t="n">
        <v>-59.8333</v>
      </c>
      <c r="E1226" t="inlineStr">
        <is>
          <t>2021-07</t>
        </is>
      </c>
      <c r="F1226" t="n">
        <v>0</v>
      </c>
    </row>
    <row r="1227">
      <c r="A1227" t="inlineStr">
        <is>
          <t>Milho</t>
        </is>
      </c>
      <c r="B1227" t="inlineStr">
        <is>
          <t>Bonfim - RR</t>
        </is>
      </c>
      <c r="C1227" t="n">
        <v>3.36161</v>
      </c>
      <c r="D1227" t="n">
        <v>-59.8333</v>
      </c>
      <c r="E1227" t="inlineStr">
        <is>
          <t>2021-08</t>
        </is>
      </c>
      <c r="F1227" t="n">
        <v>0</v>
      </c>
    </row>
    <row r="1228">
      <c r="A1228" t="inlineStr">
        <is>
          <t>Milho</t>
        </is>
      </c>
      <c r="B1228" t="inlineStr">
        <is>
          <t>Bonfim - RR</t>
        </is>
      </c>
      <c r="C1228" t="n">
        <v>3.36161</v>
      </c>
      <c r="D1228" t="n">
        <v>-59.8333</v>
      </c>
      <c r="E1228" t="inlineStr">
        <is>
          <t>2021-09</t>
        </is>
      </c>
      <c r="F1228" t="n">
        <v>0</v>
      </c>
    </row>
    <row r="1229">
      <c r="A1229" t="inlineStr">
        <is>
          <t>Milho</t>
        </is>
      </c>
      <c r="B1229" t="inlineStr">
        <is>
          <t>Bonfim - RR</t>
        </is>
      </c>
      <c r="C1229" t="n">
        <v>3.36161</v>
      </c>
      <c r="D1229" t="n">
        <v>-59.8333</v>
      </c>
      <c r="E1229" t="inlineStr">
        <is>
          <t>2021-10</t>
        </is>
      </c>
      <c r="F1229" t="n">
        <v>0</v>
      </c>
    </row>
    <row r="1230">
      <c r="A1230" t="inlineStr">
        <is>
          <t>Milho</t>
        </is>
      </c>
      <c r="B1230" t="inlineStr">
        <is>
          <t>Bonfim - RR</t>
        </is>
      </c>
      <c r="C1230" t="n">
        <v>3.36161</v>
      </c>
      <c r="D1230" t="n">
        <v>-59.8333</v>
      </c>
      <c r="E1230" t="inlineStr">
        <is>
          <t>2021-11</t>
        </is>
      </c>
      <c r="F1230" t="n">
        <v>0</v>
      </c>
    </row>
    <row r="1231">
      <c r="A1231" t="inlineStr">
        <is>
          <t>Milho</t>
        </is>
      </c>
      <c r="B1231" t="inlineStr">
        <is>
          <t>Bonfim - RR</t>
        </is>
      </c>
      <c r="C1231" t="n">
        <v>3.36161</v>
      </c>
      <c r="D1231" t="n">
        <v>-59.8333</v>
      </c>
      <c r="E1231" t="inlineStr">
        <is>
          <t>2021-12</t>
        </is>
      </c>
      <c r="F1231" t="n">
        <v>0</v>
      </c>
    </row>
    <row r="1232">
      <c r="A1232" t="inlineStr">
        <is>
          <t>Milho</t>
        </is>
      </c>
      <c r="B1232" t="inlineStr">
        <is>
          <t>Campos Novos - SC</t>
        </is>
      </c>
      <c r="C1232" t="n">
        <v>-27.4002</v>
      </c>
      <c r="D1232" t="n">
        <v>-51.2276</v>
      </c>
      <c r="E1232" t="inlineStr">
        <is>
          <t>2022-01</t>
        </is>
      </c>
      <c r="F1232" t="n">
        <v>0</v>
      </c>
    </row>
    <row r="1233">
      <c r="A1233" t="inlineStr">
        <is>
          <t>Milho</t>
        </is>
      </c>
      <c r="B1233" t="inlineStr">
        <is>
          <t>Campos Novos - SC</t>
        </is>
      </c>
      <c r="C1233" t="n">
        <v>-27.4002</v>
      </c>
      <c r="D1233" t="n">
        <v>-51.2276</v>
      </c>
      <c r="E1233" t="inlineStr">
        <is>
          <t>2022-02</t>
        </is>
      </c>
      <c r="F1233" t="n">
        <v>0</v>
      </c>
    </row>
    <row r="1234">
      <c r="A1234" t="inlineStr">
        <is>
          <t>Milho</t>
        </is>
      </c>
      <c r="B1234" t="inlineStr">
        <is>
          <t>Campos Novos - SC</t>
        </is>
      </c>
      <c r="C1234" t="n">
        <v>-27.4002</v>
      </c>
      <c r="D1234" t="n">
        <v>-51.2276</v>
      </c>
      <c r="E1234" t="inlineStr">
        <is>
          <t>2022-03</t>
        </is>
      </c>
      <c r="F1234" t="n">
        <v>0</v>
      </c>
    </row>
    <row r="1235">
      <c r="A1235" t="inlineStr">
        <is>
          <t>Milho</t>
        </is>
      </c>
      <c r="B1235" t="inlineStr">
        <is>
          <t>Campos Novos - SC</t>
        </is>
      </c>
      <c r="C1235" t="n">
        <v>-27.4002</v>
      </c>
      <c r="D1235" t="n">
        <v>-51.2276</v>
      </c>
      <c r="E1235" t="inlineStr">
        <is>
          <t>2022-04</t>
        </is>
      </c>
      <c r="F1235" t="n">
        <v>0</v>
      </c>
    </row>
    <row r="1236">
      <c r="A1236" t="inlineStr">
        <is>
          <t>Milho</t>
        </is>
      </c>
      <c r="B1236" t="inlineStr">
        <is>
          <t>Campos Novos - SC</t>
        </is>
      </c>
      <c r="C1236" t="n">
        <v>-27.4002</v>
      </c>
      <c r="D1236" t="n">
        <v>-51.2276</v>
      </c>
      <c r="E1236" t="inlineStr">
        <is>
          <t>2022-05</t>
        </is>
      </c>
      <c r="F1236" t="n">
        <v>0</v>
      </c>
    </row>
    <row r="1237">
      <c r="A1237" t="inlineStr">
        <is>
          <t>Milho</t>
        </is>
      </c>
      <c r="B1237" t="inlineStr">
        <is>
          <t>Campos Novos - SC</t>
        </is>
      </c>
      <c r="C1237" t="n">
        <v>-27.4002</v>
      </c>
      <c r="D1237" t="n">
        <v>-51.2276</v>
      </c>
      <c r="E1237" t="inlineStr">
        <is>
          <t>2022-06</t>
        </is>
      </c>
      <c r="F1237" t="n">
        <v>0</v>
      </c>
    </row>
    <row r="1238">
      <c r="A1238" t="inlineStr">
        <is>
          <t>Milho</t>
        </is>
      </c>
      <c r="B1238" t="inlineStr">
        <is>
          <t>Campos Novos - SC</t>
        </is>
      </c>
      <c r="C1238" t="n">
        <v>-27.4002</v>
      </c>
      <c r="D1238" t="n">
        <v>-51.2276</v>
      </c>
      <c r="E1238" t="inlineStr">
        <is>
          <t>2021-07</t>
        </is>
      </c>
      <c r="F1238" t="n">
        <v>0</v>
      </c>
    </row>
    <row r="1239">
      <c r="A1239" t="inlineStr">
        <is>
          <t>Milho</t>
        </is>
      </c>
      <c r="B1239" t="inlineStr">
        <is>
          <t>Campos Novos - SC</t>
        </is>
      </c>
      <c r="C1239" t="n">
        <v>-27.4002</v>
      </c>
      <c r="D1239" t="n">
        <v>-51.2276</v>
      </c>
      <c r="E1239" t="inlineStr">
        <is>
          <t>2021-08</t>
        </is>
      </c>
      <c r="F1239" t="n">
        <v>0</v>
      </c>
    </row>
    <row r="1240">
      <c r="A1240" t="inlineStr">
        <is>
          <t>Milho</t>
        </is>
      </c>
      <c r="B1240" t="inlineStr">
        <is>
          <t>Campos Novos - SC</t>
        </is>
      </c>
      <c r="C1240" t="n">
        <v>-27.4002</v>
      </c>
      <c r="D1240" t="n">
        <v>-51.2276</v>
      </c>
      <c r="E1240" t="inlineStr">
        <is>
          <t>2021-09</t>
        </is>
      </c>
      <c r="F1240" t="n">
        <v>0</v>
      </c>
    </row>
    <row r="1241">
      <c r="A1241" t="inlineStr">
        <is>
          <t>Milho</t>
        </is>
      </c>
      <c r="B1241" t="inlineStr">
        <is>
          <t>Campos Novos - SC</t>
        </is>
      </c>
      <c r="C1241" t="n">
        <v>-27.4002</v>
      </c>
      <c r="D1241" t="n">
        <v>-51.2276</v>
      </c>
      <c r="E1241" t="inlineStr">
        <is>
          <t>2021-10</t>
        </is>
      </c>
      <c r="F1241" t="n">
        <v>0</v>
      </c>
    </row>
    <row r="1242">
      <c r="A1242" t="inlineStr">
        <is>
          <t>Milho</t>
        </is>
      </c>
      <c r="B1242" t="inlineStr">
        <is>
          <t>Campos Novos - SC</t>
        </is>
      </c>
      <c r="C1242" t="n">
        <v>-27.4002</v>
      </c>
      <c r="D1242" t="n">
        <v>-51.2276</v>
      </c>
      <c r="E1242" t="inlineStr">
        <is>
          <t>2021-11</t>
        </is>
      </c>
      <c r="F1242" t="n">
        <v>0</v>
      </c>
    </row>
    <row r="1243">
      <c r="A1243" t="inlineStr">
        <is>
          <t>Milho</t>
        </is>
      </c>
      <c r="B1243" t="inlineStr">
        <is>
          <t>Campos Novos - SC</t>
        </is>
      </c>
      <c r="C1243" t="n">
        <v>-27.4002</v>
      </c>
      <c r="D1243" t="n">
        <v>-51.2276</v>
      </c>
      <c r="E1243" t="inlineStr">
        <is>
          <t>2021-12</t>
        </is>
      </c>
      <c r="F1243" t="n">
        <v>0</v>
      </c>
    </row>
    <row r="1244">
      <c r="A1244" t="inlineStr">
        <is>
          <t>Milho</t>
        </is>
      </c>
      <c r="B1244" t="inlineStr">
        <is>
          <t>Carira - SE</t>
        </is>
      </c>
      <c r="C1244" t="n">
        <v>-10.3524</v>
      </c>
      <c r="D1244" t="n">
        <v>-37.7002</v>
      </c>
      <c r="E1244" t="inlineStr">
        <is>
          <t>2022-01</t>
        </is>
      </c>
      <c r="F1244" t="n">
        <v>0</v>
      </c>
    </row>
    <row r="1245">
      <c r="A1245" t="inlineStr">
        <is>
          <t>Milho</t>
        </is>
      </c>
      <c r="B1245" t="inlineStr">
        <is>
          <t>Carira - SE</t>
        </is>
      </c>
      <c r="C1245" t="n">
        <v>-10.3524</v>
      </c>
      <c r="D1245" t="n">
        <v>-37.7002</v>
      </c>
      <c r="E1245" t="inlineStr">
        <is>
          <t>2022-02</t>
        </is>
      </c>
      <c r="F1245" t="n">
        <v>0</v>
      </c>
    </row>
    <row r="1246">
      <c r="A1246" t="inlineStr">
        <is>
          <t>Milho</t>
        </is>
      </c>
      <c r="B1246" t="inlineStr">
        <is>
          <t>Carira - SE</t>
        </is>
      </c>
      <c r="C1246" t="n">
        <v>-10.3524</v>
      </c>
      <c r="D1246" t="n">
        <v>-37.7002</v>
      </c>
      <c r="E1246" t="inlineStr">
        <is>
          <t>2022-03</t>
        </is>
      </c>
      <c r="F1246" t="n">
        <v>0</v>
      </c>
    </row>
    <row r="1247">
      <c r="A1247" t="inlineStr">
        <is>
          <t>Milho</t>
        </is>
      </c>
      <c r="B1247" t="inlineStr">
        <is>
          <t>Carira - SE</t>
        </is>
      </c>
      <c r="C1247" t="n">
        <v>-10.3524</v>
      </c>
      <c r="D1247" t="n">
        <v>-37.7002</v>
      </c>
      <c r="E1247" t="inlineStr">
        <is>
          <t>2022-04</t>
        </is>
      </c>
      <c r="F1247" t="n">
        <v>0</v>
      </c>
    </row>
    <row r="1248">
      <c r="A1248" t="inlineStr">
        <is>
          <t>Milho</t>
        </is>
      </c>
      <c r="B1248" t="inlineStr">
        <is>
          <t>Carira - SE</t>
        </is>
      </c>
      <c r="C1248" t="n">
        <v>-10.3524</v>
      </c>
      <c r="D1248" t="n">
        <v>-37.7002</v>
      </c>
      <c r="E1248" t="inlineStr">
        <is>
          <t>2022-05</t>
        </is>
      </c>
      <c r="F1248" t="n">
        <v>0</v>
      </c>
    </row>
    <row r="1249">
      <c r="A1249" t="inlineStr">
        <is>
          <t>Milho</t>
        </is>
      </c>
      <c r="B1249" t="inlineStr">
        <is>
          <t>Carira - SE</t>
        </is>
      </c>
      <c r="C1249" t="n">
        <v>-10.3524</v>
      </c>
      <c r="D1249" t="n">
        <v>-37.7002</v>
      </c>
      <c r="E1249" t="inlineStr">
        <is>
          <t>2022-06</t>
        </is>
      </c>
      <c r="F1249" t="n">
        <v>0</v>
      </c>
    </row>
    <row r="1250">
      <c r="A1250" t="inlineStr">
        <is>
          <t>Milho</t>
        </is>
      </c>
      <c r="B1250" t="inlineStr">
        <is>
          <t>Carira - SE</t>
        </is>
      </c>
      <c r="C1250" t="n">
        <v>-10.3524</v>
      </c>
      <c r="D1250" t="n">
        <v>-37.7002</v>
      </c>
      <c r="E1250" t="inlineStr">
        <is>
          <t>2021-07</t>
        </is>
      </c>
      <c r="F1250" t="n">
        <v>0</v>
      </c>
    </row>
    <row r="1251">
      <c r="A1251" t="inlineStr">
        <is>
          <t>Milho</t>
        </is>
      </c>
      <c r="B1251" t="inlineStr">
        <is>
          <t>Carira - SE</t>
        </is>
      </c>
      <c r="C1251" t="n">
        <v>-10.3524</v>
      </c>
      <c r="D1251" t="n">
        <v>-37.7002</v>
      </c>
      <c r="E1251" t="inlineStr">
        <is>
          <t>2021-08</t>
        </is>
      </c>
      <c r="F1251" t="n">
        <v>0</v>
      </c>
    </row>
    <row r="1252">
      <c r="A1252" t="inlineStr">
        <is>
          <t>Milho</t>
        </is>
      </c>
      <c r="B1252" t="inlineStr">
        <is>
          <t>Carira - SE</t>
        </is>
      </c>
      <c r="C1252" t="n">
        <v>-10.3524</v>
      </c>
      <c r="D1252" t="n">
        <v>-37.7002</v>
      </c>
      <c r="E1252" t="inlineStr">
        <is>
          <t>2021-09</t>
        </is>
      </c>
      <c r="F1252" t="n">
        <v>0</v>
      </c>
    </row>
    <row r="1253">
      <c r="A1253" t="inlineStr">
        <is>
          <t>Milho</t>
        </is>
      </c>
      <c r="B1253" t="inlineStr">
        <is>
          <t>Carira - SE</t>
        </is>
      </c>
      <c r="C1253" t="n">
        <v>-10.3524</v>
      </c>
      <c r="D1253" t="n">
        <v>-37.7002</v>
      </c>
      <c r="E1253" t="inlineStr">
        <is>
          <t>2021-10</t>
        </is>
      </c>
      <c r="F1253" t="n">
        <v>0</v>
      </c>
    </row>
    <row r="1254">
      <c r="A1254" t="inlineStr">
        <is>
          <t>Milho</t>
        </is>
      </c>
      <c r="B1254" t="inlineStr">
        <is>
          <t>Carira - SE</t>
        </is>
      </c>
      <c r="C1254" t="n">
        <v>-10.3524</v>
      </c>
      <c r="D1254" t="n">
        <v>-37.7002</v>
      </c>
      <c r="E1254" t="inlineStr">
        <is>
          <t>2021-11</t>
        </is>
      </c>
      <c r="F1254" t="n">
        <v>0</v>
      </c>
    </row>
    <row r="1255">
      <c r="A1255" t="inlineStr">
        <is>
          <t>Milho</t>
        </is>
      </c>
      <c r="B1255" t="inlineStr">
        <is>
          <t>Carira - SE</t>
        </is>
      </c>
      <c r="C1255" t="n">
        <v>-10.3524</v>
      </c>
      <c r="D1255" t="n">
        <v>-37.7002</v>
      </c>
      <c r="E1255" t="inlineStr">
        <is>
          <t>2021-12</t>
        </is>
      </c>
      <c r="F1255" t="n">
        <v>0</v>
      </c>
    </row>
    <row r="1256">
      <c r="A1256" t="inlineStr">
        <is>
          <t>Milho</t>
        </is>
      </c>
      <c r="B1256" t="inlineStr">
        <is>
          <t>Itapeva - SP</t>
        </is>
      </c>
      <c r="C1256" t="n">
        <v>-23.9788</v>
      </c>
      <c r="D1256" t="n">
        <v>-48.8764</v>
      </c>
      <c r="E1256" t="inlineStr">
        <is>
          <t>2022-01</t>
        </is>
      </c>
      <c r="F1256" t="n">
        <v>0</v>
      </c>
    </row>
    <row r="1257">
      <c r="A1257" t="inlineStr">
        <is>
          <t>Milho</t>
        </is>
      </c>
      <c r="B1257" t="inlineStr">
        <is>
          <t>Itapeva - SP</t>
        </is>
      </c>
      <c r="C1257" t="n">
        <v>-23.9788</v>
      </c>
      <c r="D1257" t="n">
        <v>-48.8764</v>
      </c>
      <c r="E1257" t="inlineStr">
        <is>
          <t>2022-02</t>
        </is>
      </c>
      <c r="F1257" t="n">
        <v>0</v>
      </c>
    </row>
    <row r="1258">
      <c r="A1258" t="inlineStr">
        <is>
          <t>Milho</t>
        </is>
      </c>
      <c r="B1258" t="inlineStr">
        <is>
          <t>Itapeva - SP</t>
        </is>
      </c>
      <c r="C1258" t="n">
        <v>-23.9788</v>
      </c>
      <c r="D1258" t="n">
        <v>-48.8764</v>
      </c>
      <c r="E1258" t="inlineStr">
        <is>
          <t>2022-03</t>
        </is>
      </c>
      <c r="F1258" t="n">
        <v>0</v>
      </c>
    </row>
    <row r="1259">
      <c r="A1259" t="inlineStr">
        <is>
          <t>Milho</t>
        </is>
      </c>
      <c r="B1259" t="inlineStr">
        <is>
          <t>Itapeva - SP</t>
        </is>
      </c>
      <c r="C1259" t="n">
        <v>-23.9788</v>
      </c>
      <c r="D1259" t="n">
        <v>-48.8764</v>
      </c>
      <c r="E1259" t="inlineStr">
        <is>
          <t>2022-04</t>
        </is>
      </c>
      <c r="F1259" t="n">
        <v>0</v>
      </c>
    </row>
    <row r="1260">
      <c r="A1260" t="inlineStr">
        <is>
          <t>Milho</t>
        </is>
      </c>
      <c r="B1260" t="inlineStr">
        <is>
          <t>Itapeva - SP</t>
        </is>
      </c>
      <c r="C1260" t="n">
        <v>-23.9788</v>
      </c>
      <c r="D1260" t="n">
        <v>-48.8764</v>
      </c>
      <c r="E1260" t="inlineStr">
        <is>
          <t>2022-05</t>
        </is>
      </c>
      <c r="F1260" t="n">
        <v>257217.2208389451</v>
      </c>
    </row>
    <row r="1261">
      <c r="A1261" t="inlineStr">
        <is>
          <t>Milho</t>
        </is>
      </c>
      <c r="B1261" t="inlineStr">
        <is>
          <t>Itapeva - SP</t>
        </is>
      </c>
      <c r="C1261" t="n">
        <v>-23.9788</v>
      </c>
      <c r="D1261" t="n">
        <v>-48.8764</v>
      </c>
      <c r="E1261" t="inlineStr">
        <is>
          <t>2022-06</t>
        </is>
      </c>
      <c r="F1261" t="n">
        <v>227311.2241218702</v>
      </c>
    </row>
    <row r="1262">
      <c r="A1262" t="inlineStr">
        <is>
          <t>Milho</t>
        </is>
      </c>
      <c r="B1262" t="inlineStr">
        <is>
          <t>Itapeva - SP</t>
        </is>
      </c>
      <c r="C1262" t="n">
        <v>-23.9788</v>
      </c>
      <c r="D1262" t="n">
        <v>-48.8764</v>
      </c>
      <c r="E1262" t="inlineStr">
        <is>
          <t>2021-07</t>
        </is>
      </c>
      <c r="F1262" t="n">
        <v>495658.6195728884</v>
      </c>
    </row>
    <row r="1263">
      <c r="A1263" t="inlineStr">
        <is>
          <t>Milho</t>
        </is>
      </c>
      <c r="B1263" t="inlineStr">
        <is>
          <t>Itapeva - SP</t>
        </is>
      </c>
      <c r="C1263" t="n">
        <v>-23.9788</v>
      </c>
      <c r="D1263" t="n">
        <v>-48.8764</v>
      </c>
      <c r="E1263" t="inlineStr">
        <is>
          <t>2021-08</t>
        </is>
      </c>
      <c r="F1263" t="n">
        <v>423750.9647554064</v>
      </c>
    </row>
    <row r="1264">
      <c r="A1264" t="inlineStr">
        <is>
          <t>Milho</t>
        </is>
      </c>
      <c r="B1264" t="inlineStr">
        <is>
          <t>Itapeva - SP</t>
        </is>
      </c>
      <c r="C1264" t="n">
        <v>-23.9788</v>
      </c>
      <c r="D1264" t="n">
        <v>-48.8764</v>
      </c>
      <c r="E1264" t="inlineStr">
        <is>
          <t>2021-09</t>
        </is>
      </c>
      <c r="F1264" t="n">
        <v>271665.5267797472</v>
      </c>
    </row>
    <row r="1265">
      <c r="A1265" t="inlineStr">
        <is>
          <t>Milho</t>
        </is>
      </c>
      <c r="B1265" t="inlineStr">
        <is>
          <t>Itapeva - SP</t>
        </is>
      </c>
      <c r="C1265" t="n">
        <v>-23.9788</v>
      </c>
      <c r="D1265" t="n">
        <v>-48.8764</v>
      </c>
      <c r="E1265" t="inlineStr">
        <is>
          <t>2021-10</t>
        </is>
      </c>
      <c r="F1265" t="n">
        <v>0</v>
      </c>
    </row>
    <row r="1266">
      <c r="A1266" t="inlineStr">
        <is>
          <t>Milho</t>
        </is>
      </c>
      <c r="B1266" t="inlineStr">
        <is>
          <t>Itapeva - SP</t>
        </is>
      </c>
      <c r="C1266" t="n">
        <v>-23.9788</v>
      </c>
      <c r="D1266" t="n">
        <v>-48.8764</v>
      </c>
      <c r="E1266" t="inlineStr">
        <is>
          <t>2021-11</t>
        </is>
      </c>
      <c r="F1266" t="n">
        <v>0</v>
      </c>
    </row>
    <row r="1267">
      <c r="A1267" t="inlineStr">
        <is>
          <t>Milho</t>
        </is>
      </c>
      <c r="B1267" t="inlineStr">
        <is>
          <t>Itapeva - SP</t>
        </is>
      </c>
      <c r="C1267" t="n">
        <v>-23.9788</v>
      </c>
      <c r="D1267" t="n">
        <v>-48.8764</v>
      </c>
      <c r="E1267" t="inlineStr">
        <is>
          <t>2021-12</t>
        </is>
      </c>
      <c r="F1267" t="n">
        <v>0</v>
      </c>
    </row>
    <row r="1268">
      <c r="A1268" t="inlineStr">
        <is>
          <t>Milho</t>
        </is>
      </c>
      <c r="B1268" t="inlineStr">
        <is>
          <t>Campos Lindos - TO</t>
        </is>
      </c>
      <c r="C1268" t="n">
        <v>-7.98956</v>
      </c>
      <c r="D1268" t="n">
        <v>-46.8645</v>
      </c>
      <c r="E1268" t="inlineStr">
        <is>
          <t>2022-01</t>
        </is>
      </c>
      <c r="F1268" t="n">
        <v>0</v>
      </c>
    </row>
    <row r="1269">
      <c r="A1269" t="inlineStr">
        <is>
          <t>Milho</t>
        </is>
      </c>
      <c r="B1269" t="inlineStr">
        <is>
          <t>Campos Lindos - TO</t>
        </is>
      </c>
      <c r="C1269" t="n">
        <v>-7.98956</v>
      </c>
      <c r="D1269" t="n">
        <v>-46.8645</v>
      </c>
      <c r="E1269" t="inlineStr">
        <is>
          <t>2022-02</t>
        </is>
      </c>
      <c r="F1269" t="n">
        <v>0</v>
      </c>
    </row>
    <row r="1270">
      <c r="A1270" t="inlineStr">
        <is>
          <t>Milho</t>
        </is>
      </c>
      <c r="B1270" t="inlineStr">
        <is>
          <t>Campos Lindos - TO</t>
        </is>
      </c>
      <c r="C1270" t="n">
        <v>-7.98956</v>
      </c>
      <c r="D1270" t="n">
        <v>-46.8645</v>
      </c>
      <c r="E1270" t="inlineStr">
        <is>
          <t>2022-03</t>
        </is>
      </c>
      <c r="F1270" t="n">
        <v>0</v>
      </c>
    </row>
    <row r="1271">
      <c r="A1271" t="inlineStr">
        <is>
          <t>Milho</t>
        </is>
      </c>
      <c r="B1271" t="inlineStr">
        <is>
          <t>Campos Lindos - TO</t>
        </is>
      </c>
      <c r="C1271" t="n">
        <v>-7.98956</v>
      </c>
      <c r="D1271" t="n">
        <v>-46.8645</v>
      </c>
      <c r="E1271" t="inlineStr">
        <is>
          <t>2022-04</t>
        </is>
      </c>
      <c r="F1271" t="n">
        <v>0</v>
      </c>
    </row>
    <row r="1272">
      <c r="A1272" t="inlineStr">
        <is>
          <t>Milho</t>
        </is>
      </c>
      <c r="B1272" t="inlineStr">
        <is>
          <t>Campos Lindos - TO</t>
        </is>
      </c>
      <c r="C1272" t="n">
        <v>-7.98956</v>
      </c>
      <c r="D1272" t="n">
        <v>-46.8645</v>
      </c>
      <c r="E1272" t="inlineStr">
        <is>
          <t>2022-05</t>
        </is>
      </c>
      <c r="F1272" t="n">
        <v>196376.8023488235</v>
      </c>
    </row>
    <row r="1273">
      <c r="A1273" t="inlineStr">
        <is>
          <t>Milho</t>
        </is>
      </c>
      <c r="B1273" t="inlineStr">
        <is>
          <t>Campos Lindos - TO</t>
        </is>
      </c>
      <c r="C1273" t="n">
        <v>-7.98956</v>
      </c>
      <c r="D1273" t="n">
        <v>-46.8645</v>
      </c>
      <c r="E1273" t="inlineStr">
        <is>
          <t>2022-06</t>
        </is>
      </c>
      <c r="F1273" t="n">
        <v>173544.5674494704</v>
      </c>
    </row>
    <row r="1274">
      <c r="A1274" t="inlineStr">
        <is>
          <t>Milho</t>
        </is>
      </c>
      <c r="B1274" t="inlineStr">
        <is>
          <t>Campos Lindos - TO</t>
        </is>
      </c>
      <c r="C1274" t="n">
        <v>-7.98956</v>
      </c>
      <c r="D1274" t="n">
        <v>-46.8645</v>
      </c>
      <c r="E1274" t="inlineStr">
        <is>
          <t>2021-07</t>
        </is>
      </c>
      <c r="F1274" t="n">
        <v>378418.8883266958</v>
      </c>
    </row>
    <row r="1275">
      <c r="A1275" t="inlineStr">
        <is>
          <t>Milho</t>
        </is>
      </c>
      <c r="B1275" t="inlineStr">
        <is>
          <t>Campos Lindos - TO</t>
        </is>
      </c>
      <c r="C1275" t="n">
        <v>-7.98956</v>
      </c>
      <c r="D1275" t="n">
        <v>-46.8645</v>
      </c>
      <c r="E1275" t="inlineStr">
        <is>
          <t>2021-08</t>
        </is>
      </c>
      <c r="F1275" t="n">
        <v>194111.869756186</v>
      </c>
    </row>
    <row r="1276">
      <c r="A1276" t="inlineStr">
        <is>
          <t>Milho</t>
        </is>
      </c>
      <c r="B1276" t="inlineStr">
        <is>
          <t>Campos Lindos - TO</t>
        </is>
      </c>
      <c r="C1276" t="n">
        <v>-7.98956</v>
      </c>
      <c r="D1276" t="n">
        <v>-46.8645</v>
      </c>
      <c r="E1276" t="inlineStr">
        <is>
          <t>2021-09</t>
        </is>
      </c>
      <c r="F1276" t="n">
        <v>207407.6039054144</v>
      </c>
    </row>
    <row r="1277">
      <c r="A1277" t="inlineStr">
        <is>
          <t>Milho</t>
        </is>
      </c>
      <c r="B1277" t="inlineStr">
        <is>
          <t>Campos Lindos - TO</t>
        </is>
      </c>
      <c r="C1277" t="n">
        <v>-7.98956</v>
      </c>
      <c r="D1277" t="n">
        <v>-46.8645</v>
      </c>
      <c r="E1277" t="inlineStr">
        <is>
          <t>2021-10</t>
        </is>
      </c>
      <c r="F1277" t="n">
        <v>0</v>
      </c>
    </row>
    <row r="1278">
      <c r="A1278" t="inlineStr">
        <is>
          <t>Milho</t>
        </is>
      </c>
      <c r="B1278" t="inlineStr">
        <is>
          <t>Campos Lindos - TO</t>
        </is>
      </c>
      <c r="C1278" t="n">
        <v>-7.98956</v>
      </c>
      <c r="D1278" t="n">
        <v>-46.8645</v>
      </c>
      <c r="E1278" t="inlineStr">
        <is>
          <t>2021-11</t>
        </is>
      </c>
      <c r="F1278" t="n">
        <v>0</v>
      </c>
    </row>
    <row r="1279">
      <c r="A1279" t="inlineStr">
        <is>
          <t>Milho</t>
        </is>
      </c>
      <c r="B1279" t="inlineStr">
        <is>
          <t>Campos Lindos - TO</t>
        </is>
      </c>
      <c r="C1279" t="n">
        <v>-7.98956</v>
      </c>
      <c r="D1279" t="n">
        <v>-46.8645</v>
      </c>
      <c r="E1279" t="inlineStr">
        <is>
          <t>2021-12</t>
        </is>
      </c>
      <c r="F1279" t="n">
        <v>0</v>
      </c>
    </row>
    <row r="1280">
      <c r="A1280" t="inlineStr">
        <is>
          <t>Milho</t>
        </is>
      </c>
      <c r="B1280" t="inlineStr">
        <is>
          <t>Senador Guiomard - AC</t>
        </is>
      </c>
      <c r="C1280" t="n">
        <v>-10.1497</v>
      </c>
      <c r="D1280" t="n">
        <v>-67.7362</v>
      </c>
      <c r="E1280" t="inlineStr">
        <is>
          <t>2022-01</t>
        </is>
      </c>
      <c r="F1280" t="n">
        <v>0</v>
      </c>
    </row>
    <row r="1281">
      <c r="A1281" t="inlineStr">
        <is>
          <t>Milho</t>
        </is>
      </c>
      <c r="B1281" t="inlineStr">
        <is>
          <t>Senador Guiomard - AC</t>
        </is>
      </c>
      <c r="C1281" t="n">
        <v>-10.1497</v>
      </c>
      <c r="D1281" t="n">
        <v>-67.7362</v>
      </c>
      <c r="E1281" t="inlineStr">
        <is>
          <t>2022-02</t>
        </is>
      </c>
      <c r="F1281" t="n">
        <v>0</v>
      </c>
    </row>
    <row r="1282">
      <c r="A1282" t="inlineStr">
        <is>
          <t>Milho</t>
        </is>
      </c>
      <c r="B1282" t="inlineStr">
        <is>
          <t>Senador Guiomard - AC</t>
        </is>
      </c>
      <c r="C1282" t="n">
        <v>-10.1497</v>
      </c>
      <c r="D1282" t="n">
        <v>-67.7362</v>
      </c>
      <c r="E1282" t="inlineStr">
        <is>
          <t>2022-03</t>
        </is>
      </c>
      <c r="F1282" t="n">
        <v>0</v>
      </c>
    </row>
    <row r="1283">
      <c r="A1283" t="inlineStr">
        <is>
          <t>Milho</t>
        </is>
      </c>
      <c r="B1283" t="inlineStr">
        <is>
          <t>Senador Guiomard - AC</t>
        </is>
      </c>
      <c r="C1283" t="n">
        <v>-10.1497</v>
      </c>
      <c r="D1283" t="n">
        <v>-67.7362</v>
      </c>
      <c r="E1283" t="inlineStr">
        <is>
          <t>2022-04</t>
        </is>
      </c>
      <c r="F1283" t="n">
        <v>0</v>
      </c>
    </row>
    <row r="1284">
      <c r="A1284" t="inlineStr">
        <is>
          <t>Milho</t>
        </is>
      </c>
      <c r="B1284" t="inlineStr">
        <is>
          <t>Senador Guiomard - AC</t>
        </is>
      </c>
      <c r="C1284" t="n">
        <v>-10.1497</v>
      </c>
      <c r="D1284" t="n">
        <v>-67.7362</v>
      </c>
      <c r="E1284" t="inlineStr">
        <is>
          <t>2022-05</t>
        </is>
      </c>
      <c r="F1284" t="n">
        <v>0</v>
      </c>
    </row>
    <row r="1285">
      <c r="A1285" t="inlineStr">
        <is>
          <t>Milho</t>
        </is>
      </c>
      <c r="B1285" t="inlineStr">
        <is>
          <t>Senador Guiomard - AC</t>
        </is>
      </c>
      <c r="C1285" t="n">
        <v>-10.1497</v>
      </c>
      <c r="D1285" t="n">
        <v>-67.7362</v>
      </c>
      <c r="E1285" t="inlineStr">
        <is>
          <t>2022-06</t>
        </is>
      </c>
      <c r="F1285" t="n">
        <v>0</v>
      </c>
    </row>
    <row r="1286">
      <c r="A1286" t="inlineStr">
        <is>
          <t>Milho</t>
        </is>
      </c>
      <c r="B1286" t="inlineStr">
        <is>
          <t>Senador Guiomard - AC</t>
        </is>
      </c>
      <c r="C1286" t="n">
        <v>-10.1497</v>
      </c>
      <c r="D1286" t="n">
        <v>-67.7362</v>
      </c>
      <c r="E1286" t="inlineStr">
        <is>
          <t>2021-07</t>
        </is>
      </c>
      <c r="F1286" t="n">
        <v>0</v>
      </c>
    </row>
    <row r="1287">
      <c r="A1287" t="inlineStr">
        <is>
          <t>Milho</t>
        </is>
      </c>
      <c r="B1287" t="inlineStr">
        <is>
          <t>Senador Guiomard - AC</t>
        </is>
      </c>
      <c r="C1287" t="n">
        <v>-10.1497</v>
      </c>
      <c r="D1287" t="n">
        <v>-67.7362</v>
      </c>
      <c r="E1287" t="inlineStr">
        <is>
          <t>2021-08</t>
        </is>
      </c>
      <c r="F1287" t="n">
        <v>0</v>
      </c>
    </row>
    <row r="1288">
      <c r="A1288" t="inlineStr">
        <is>
          <t>Milho</t>
        </is>
      </c>
      <c r="B1288" t="inlineStr">
        <is>
          <t>Senador Guiomard - AC</t>
        </is>
      </c>
      <c r="C1288" t="n">
        <v>-10.1497</v>
      </c>
      <c r="D1288" t="n">
        <v>-67.7362</v>
      </c>
      <c r="E1288" t="inlineStr">
        <is>
          <t>2021-09</t>
        </is>
      </c>
      <c r="F1288" t="n">
        <v>0</v>
      </c>
    </row>
    <row r="1289">
      <c r="A1289" t="inlineStr">
        <is>
          <t>Milho</t>
        </is>
      </c>
      <c r="B1289" t="inlineStr">
        <is>
          <t>Senador Guiomard - AC</t>
        </is>
      </c>
      <c r="C1289" t="n">
        <v>-10.1497</v>
      </c>
      <c r="D1289" t="n">
        <v>-67.7362</v>
      </c>
      <c r="E1289" t="inlineStr">
        <is>
          <t>2021-10</t>
        </is>
      </c>
      <c r="F1289" t="n">
        <v>0</v>
      </c>
    </row>
    <row r="1290">
      <c r="A1290" t="inlineStr">
        <is>
          <t>Milho</t>
        </is>
      </c>
      <c r="B1290" t="inlineStr">
        <is>
          <t>Senador Guiomard - AC</t>
        </is>
      </c>
      <c r="C1290" t="n">
        <v>-10.1497</v>
      </c>
      <c r="D1290" t="n">
        <v>-67.7362</v>
      </c>
      <c r="E1290" t="inlineStr">
        <is>
          <t>2021-11</t>
        </is>
      </c>
      <c r="F1290" t="n">
        <v>0</v>
      </c>
    </row>
    <row r="1291">
      <c r="A1291" t="inlineStr">
        <is>
          <t>Milho</t>
        </is>
      </c>
      <c r="B1291" t="inlineStr">
        <is>
          <t>Senador Guiomard - AC</t>
        </is>
      </c>
      <c r="C1291" t="n">
        <v>-10.1497</v>
      </c>
      <c r="D1291" t="n">
        <v>-67.7362</v>
      </c>
      <c r="E1291" t="inlineStr">
        <is>
          <t>2021-12</t>
        </is>
      </c>
      <c r="F1291" t="n">
        <v>0</v>
      </c>
    </row>
    <row r="1292">
      <c r="A1292" t="inlineStr">
        <is>
          <t>Milho</t>
        </is>
      </c>
      <c r="B1292" t="inlineStr">
        <is>
          <t>Humaitá - AM</t>
        </is>
      </c>
      <c r="C1292" t="n">
        <v>-7.51171</v>
      </c>
      <c r="D1292" t="n">
        <v>-63.0327</v>
      </c>
      <c r="E1292" t="inlineStr">
        <is>
          <t>2022-01</t>
        </is>
      </c>
      <c r="F1292" t="n">
        <v>0</v>
      </c>
    </row>
    <row r="1293">
      <c r="A1293" t="inlineStr">
        <is>
          <t>Milho</t>
        </is>
      </c>
      <c r="B1293" t="inlineStr">
        <is>
          <t>Humaitá - AM</t>
        </is>
      </c>
      <c r="C1293" t="n">
        <v>-7.51171</v>
      </c>
      <c r="D1293" t="n">
        <v>-63.0327</v>
      </c>
      <c r="E1293" t="inlineStr">
        <is>
          <t>2022-02</t>
        </is>
      </c>
      <c r="F1293" t="n">
        <v>0</v>
      </c>
    </row>
    <row r="1294">
      <c r="A1294" t="inlineStr">
        <is>
          <t>Milho</t>
        </is>
      </c>
      <c r="B1294" t="inlineStr">
        <is>
          <t>Humaitá - AM</t>
        </is>
      </c>
      <c r="C1294" t="n">
        <v>-7.51171</v>
      </c>
      <c r="D1294" t="n">
        <v>-63.0327</v>
      </c>
      <c r="E1294" t="inlineStr">
        <is>
          <t>2022-03</t>
        </is>
      </c>
      <c r="F1294" t="n">
        <v>0</v>
      </c>
    </row>
    <row r="1295">
      <c r="A1295" t="inlineStr">
        <is>
          <t>Milho</t>
        </is>
      </c>
      <c r="B1295" t="inlineStr">
        <is>
          <t>Humaitá - AM</t>
        </is>
      </c>
      <c r="C1295" t="n">
        <v>-7.51171</v>
      </c>
      <c r="D1295" t="n">
        <v>-63.0327</v>
      </c>
      <c r="E1295" t="inlineStr">
        <is>
          <t>2022-04</t>
        </is>
      </c>
      <c r="F1295" t="n">
        <v>0</v>
      </c>
    </row>
    <row r="1296">
      <c r="A1296" t="inlineStr">
        <is>
          <t>Milho</t>
        </is>
      </c>
      <c r="B1296" t="inlineStr">
        <is>
          <t>Humaitá - AM</t>
        </is>
      </c>
      <c r="C1296" t="n">
        <v>-7.51171</v>
      </c>
      <c r="D1296" t="n">
        <v>-63.0327</v>
      </c>
      <c r="E1296" t="inlineStr">
        <is>
          <t>2022-05</t>
        </is>
      </c>
      <c r="F1296" t="n">
        <v>0</v>
      </c>
    </row>
    <row r="1297">
      <c r="A1297" t="inlineStr">
        <is>
          <t>Milho</t>
        </is>
      </c>
      <c r="B1297" t="inlineStr">
        <is>
          <t>Humaitá - AM</t>
        </is>
      </c>
      <c r="C1297" t="n">
        <v>-7.51171</v>
      </c>
      <c r="D1297" t="n">
        <v>-63.0327</v>
      </c>
      <c r="E1297" t="inlineStr">
        <is>
          <t>2022-06</t>
        </is>
      </c>
      <c r="F1297" t="n">
        <v>0</v>
      </c>
    </row>
    <row r="1298">
      <c r="A1298" t="inlineStr">
        <is>
          <t>Milho</t>
        </is>
      </c>
      <c r="B1298" t="inlineStr">
        <is>
          <t>Humaitá - AM</t>
        </is>
      </c>
      <c r="C1298" t="n">
        <v>-7.51171</v>
      </c>
      <c r="D1298" t="n">
        <v>-63.0327</v>
      </c>
      <c r="E1298" t="inlineStr">
        <is>
          <t>2021-07</t>
        </is>
      </c>
      <c r="F1298" t="n">
        <v>0</v>
      </c>
    </row>
    <row r="1299">
      <c r="A1299" t="inlineStr">
        <is>
          <t>Milho</t>
        </is>
      </c>
      <c r="B1299" t="inlineStr">
        <is>
          <t>Humaitá - AM</t>
        </is>
      </c>
      <c r="C1299" t="n">
        <v>-7.51171</v>
      </c>
      <c r="D1299" t="n">
        <v>-63.0327</v>
      </c>
      <c r="E1299" t="inlineStr">
        <is>
          <t>2021-08</t>
        </is>
      </c>
      <c r="F1299" t="n">
        <v>0</v>
      </c>
    </row>
    <row r="1300">
      <c r="A1300" t="inlineStr">
        <is>
          <t>Milho</t>
        </is>
      </c>
      <c r="B1300" t="inlineStr">
        <is>
          <t>Humaitá - AM</t>
        </is>
      </c>
      <c r="C1300" t="n">
        <v>-7.51171</v>
      </c>
      <c r="D1300" t="n">
        <v>-63.0327</v>
      </c>
      <c r="E1300" t="inlineStr">
        <is>
          <t>2021-09</t>
        </is>
      </c>
      <c r="F1300" t="n">
        <v>0</v>
      </c>
    </row>
    <row r="1301">
      <c r="A1301" t="inlineStr">
        <is>
          <t>Milho</t>
        </is>
      </c>
      <c r="B1301" t="inlineStr">
        <is>
          <t>Humaitá - AM</t>
        </is>
      </c>
      <c r="C1301" t="n">
        <v>-7.51171</v>
      </c>
      <c r="D1301" t="n">
        <v>-63.0327</v>
      </c>
      <c r="E1301" t="inlineStr">
        <is>
          <t>2021-10</t>
        </is>
      </c>
      <c r="F1301" t="n">
        <v>0</v>
      </c>
    </row>
    <row r="1302">
      <c r="A1302" t="inlineStr">
        <is>
          <t>Milho</t>
        </is>
      </c>
      <c r="B1302" t="inlineStr">
        <is>
          <t>Humaitá - AM</t>
        </is>
      </c>
      <c r="C1302" t="n">
        <v>-7.51171</v>
      </c>
      <c r="D1302" t="n">
        <v>-63.0327</v>
      </c>
      <c r="E1302" t="inlineStr">
        <is>
          <t>2021-11</t>
        </is>
      </c>
      <c r="F1302" t="n">
        <v>0</v>
      </c>
    </row>
    <row r="1303">
      <c r="A1303" t="inlineStr">
        <is>
          <t>Milho</t>
        </is>
      </c>
      <c r="B1303" t="inlineStr">
        <is>
          <t>Humaitá - AM</t>
        </is>
      </c>
      <c r="C1303" t="n">
        <v>-7.51171</v>
      </c>
      <c r="D1303" t="n">
        <v>-63.0327</v>
      </c>
      <c r="E1303" t="inlineStr">
        <is>
          <t>2021-12</t>
        </is>
      </c>
      <c r="F1303" t="n">
        <v>0</v>
      </c>
    </row>
    <row r="1304">
      <c r="A1304" t="inlineStr">
        <is>
          <t>Milho</t>
        </is>
      </c>
      <c r="B1304" t="inlineStr">
        <is>
          <t>Palmeira das Missões - RS</t>
        </is>
      </c>
      <c r="C1304" t="n">
        <v>-27.9007</v>
      </c>
      <c r="D1304" t="n">
        <v>-53.3134</v>
      </c>
      <c r="E1304" t="inlineStr">
        <is>
          <t>2022-01</t>
        </is>
      </c>
      <c r="F1304" t="n">
        <v>0</v>
      </c>
    </row>
    <row r="1305">
      <c r="A1305" t="inlineStr">
        <is>
          <t>Milho</t>
        </is>
      </c>
      <c r="B1305" t="inlineStr">
        <is>
          <t>Palmeira das Missões - RS</t>
        </is>
      </c>
      <c r="C1305" t="n">
        <v>-27.9007</v>
      </c>
      <c r="D1305" t="n">
        <v>-53.3134</v>
      </c>
      <c r="E1305" t="inlineStr">
        <is>
          <t>2022-02</t>
        </is>
      </c>
      <c r="F1305" t="n">
        <v>0</v>
      </c>
    </row>
    <row r="1306">
      <c r="A1306" t="inlineStr">
        <is>
          <t>Milho</t>
        </is>
      </c>
      <c r="B1306" t="inlineStr">
        <is>
          <t>Palmeira das Missões - RS</t>
        </is>
      </c>
      <c r="C1306" t="n">
        <v>-27.9007</v>
      </c>
      <c r="D1306" t="n">
        <v>-53.3134</v>
      </c>
      <c r="E1306" t="inlineStr">
        <is>
          <t>2022-03</t>
        </is>
      </c>
      <c r="F1306" t="n">
        <v>0</v>
      </c>
    </row>
    <row r="1307">
      <c r="A1307" t="inlineStr">
        <is>
          <t>Milho</t>
        </is>
      </c>
      <c r="B1307" t="inlineStr">
        <is>
          <t>Palmeira das Missões - RS</t>
        </is>
      </c>
      <c r="C1307" t="n">
        <v>-27.9007</v>
      </c>
      <c r="D1307" t="n">
        <v>-53.3134</v>
      </c>
      <c r="E1307" t="inlineStr">
        <is>
          <t>2022-04</t>
        </is>
      </c>
      <c r="F1307" t="n">
        <v>0</v>
      </c>
    </row>
    <row r="1308">
      <c r="A1308" t="inlineStr">
        <is>
          <t>Milho</t>
        </is>
      </c>
      <c r="B1308" t="inlineStr">
        <is>
          <t>Palmeira das Missões - RS</t>
        </is>
      </c>
      <c r="C1308" t="n">
        <v>-27.9007</v>
      </c>
      <c r="D1308" t="n">
        <v>-53.3134</v>
      </c>
      <c r="E1308" t="inlineStr">
        <is>
          <t>2022-05</t>
        </is>
      </c>
      <c r="F1308" t="n">
        <v>0</v>
      </c>
    </row>
    <row r="1309">
      <c r="A1309" t="inlineStr">
        <is>
          <t>Milho</t>
        </is>
      </c>
      <c r="B1309" t="inlineStr">
        <is>
          <t>Palmeira das Missões - RS</t>
        </is>
      </c>
      <c r="C1309" t="n">
        <v>-27.9007</v>
      </c>
      <c r="D1309" t="n">
        <v>-53.3134</v>
      </c>
      <c r="E1309" t="inlineStr">
        <is>
          <t>2022-06</t>
        </is>
      </c>
      <c r="F1309" t="n">
        <v>0</v>
      </c>
    </row>
    <row r="1310">
      <c r="A1310" t="inlineStr">
        <is>
          <t>Milho</t>
        </is>
      </c>
      <c r="B1310" t="inlineStr">
        <is>
          <t>Palmeira das Missões - RS</t>
        </is>
      </c>
      <c r="C1310" t="n">
        <v>-27.9007</v>
      </c>
      <c r="D1310" t="n">
        <v>-53.3134</v>
      </c>
      <c r="E1310" t="inlineStr">
        <is>
          <t>2021-07</t>
        </is>
      </c>
      <c r="F1310" t="n">
        <v>0</v>
      </c>
    </row>
    <row r="1311">
      <c r="A1311" t="inlineStr">
        <is>
          <t>Milho</t>
        </is>
      </c>
      <c r="B1311" t="inlineStr">
        <is>
          <t>Palmeira das Missões - RS</t>
        </is>
      </c>
      <c r="C1311" t="n">
        <v>-27.9007</v>
      </c>
      <c r="D1311" t="n">
        <v>-53.3134</v>
      </c>
      <c r="E1311" t="inlineStr">
        <is>
          <t>2021-08</t>
        </is>
      </c>
      <c r="F1311" t="n">
        <v>0</v>
      </c>
    </row>
    <row r="1312">
      <c r="A1312" t="inlineStr">
        <is>
          <t>Milho</t>
        </is>
      </c>
      <c r="B1312" t="inlineStr">
        <is>
          <t>Palmeira das Missões - RS</t>
        </is>
      </c>
      <c r="C1312" t="n">
        <v>-27.9007</v>
      </c>
      <c r="D1312" t="n">
        <v>-53.3134</v>
      </c>
      <c r="E1312" t="inlineStr">
        <is>
          <t>2021-09</t>
        </is>
      </c>
      <c r="F1312" t="n">
        <v>0</v>
      </c>
    </row>
    <row r="1313">
      <c r="A1313" t="inlineStr">
        <is>
          <t>Milho</t>
        </is>
      </c>
      <c r="B1313" t="inlineStr">
        <is>
          <t>Palmeira das Missões - RS</t>
        </is>
      </c>
      <c r="C1313" t="n">
        <v>-27.9007</v>
      </c>
      <c r="D1313" t="n">
        <v>-53.3134</v>
      </c>
      <c r="E1313" t="inlineStr">
        <is>
          <t>2021-10</t>
        </is>
      </c>
      <c r="F1313" t="n">
        <v>0</v>
      </c>
    </row>
    <row r="1314">
      <c r="A1314" t="inlineStr">
        <is>
          <t>Milho</t>
        </is>
      </c>
      <c r="B1314" t="inlineStr">
        <is>
          <t>Palmeira das Missões - RS</t>
        </is>
      </c>
      <c r="C1314" t="n">
        <v>-27.9007</v>
      </c>
      <c r="D1314" t="n">
        <v>-53.3134</v>
      </c>
      <c r="E1314" t="inlineStr">
        <is>
          <t>2021-11</t>
        </is>
      </c>
      <c r="F1314" t="n">
        <v>0</v>
      </c>
    </row>
    <row r="1315">
      <c r="A1315" t="inlineStr">
        <is>
          <t>Milho</t>
        </is>
      </c>
      <c r="B1315" t="inlineStr">
        <is>
          <t>Palmeira das Missões - RS</t>
        </is>
      </c>
      <c r="C1315" t="n">
        <v>-27.9007</v>
      </c>
      <c r="D1315" t="n">
        <v>-53.3134</v>
      </c>
      <c r="E1315" t="inlineStr">
        <is>
          <t>2021-12</t>
        </is>
      </c>
      <c r="F1315" t="n">
        <v>0</v>
      </c>
    </row>
    <row r="1316">
      <c r="A1316" t="inlineStr">
        <is>
          <t>Milho</t>
        </is>
      </c>
      <c r="B1316" t="inlineStr">
        <is>
          <t>Limoeiro de Anadia - AL</t>
        </is>
      </c>
      <c r="C1316" t="n">
        <v>-9.74098</v>
      </c>
      <c r="D1316" t="n">
        <v>-36.5121</v>
      </c>
      <c r="E1316" t="inlineStr">
        <is>
          <t>2022-01</t>
        </is>
      </c>
      <c r="F1316" t="n">
        <v>0</v>
      </c>
    </row>
    <row r="1317">
      <c r="A1317" t="inlineStr">
        <is>
          <t>Milho</t>
        </is>
      </c>
      <c r="B1317" t="inlineStr">
        <is>
          <t>Limoeiro de Anadia - AL</t>
        </is>
      </c>
      <c r="C1317" t="n">
        <v>-9.74098</v>
      </c>
      <c r="D1317" t="n">
        <v>-36.5121</v>
      </c>
      <c r="E1317" t="inlineStr">
        <is>
          <t>2022-02</t>
        </is>
      </c>
      <c r="F1317" t="n">
        <v>0</v>
      </c>
    </row>
    <row r="1318">
      <c r="A1318" t="inlineStr">
        <is>
          <t>Milho</t>
        </is>
      </c>
      <c r="B1318" t="inlineStr">
        <is>
          <t>Limoeiro de Anadia - AL</t>
        </is>
      </c>
      <c r="C1318" t="n">
        <v>-9.74098</v>
      </c>
      <c r="D1318" t="n">
        <v>-36.5121</v>
      </c>
      <c r="E1318" t="inlineStr">
        <is>
          <t>2022-03</t>
        </is>
      </c>
      <c r="F1318" t="n">
        <v>0</v>
      </c>
    </row>
    <row r="1319">
      <c r="A1319" t="inlineStr">
        <is>
          <t>Milho</t>
        </is>
      </c>
      <c r="B1319" t="inlineStr">
        <is>
          <t>Limoeiro de Anadia - AL</t>
        </is>
      </c>
      <c r="C1319" t="n">
        <v>-9.74098</v>
      </c>
      <c r="D1319" t="n">
        <v>-36.5121</v>
      </c>
      <c r="E1319" t="inlineStr">
        <is>
          <t>2022-04</t>
        </is>
      </c>
      <c r="F1319" t="n">
        <v>0</v>
      </c>
    </row>
    <row r="1320">
      <c r="A1320" t="inlineStr">
        <is>
          <t>Milho</t>
        </is>
      </c>
      <c r="B1320" t="inlineStr">
        <is>
          <t>Limoeiro de Anadia - AL</t>
        </is>
      </c>
      <c r="C1320" t="n">
        <v>-9.74098</v>
      </c>
      <c r="D1320" t="n">
        <v>-36.5121</v>
      </c>
      <c r="E1320" t="inlineStr">
        <is>
          <t>2022-05</t>
        </is>
      </c>
      <c r="F1320" t="n">
        <v>0</v>
      </c>
    </row>
    <row r="1321">
      <c r="A1321" t="inlineStr">
        <is>
          <t>Milho</t>
        </is>
      </c>
      <c r="B1321" t="inlineStr">
        <is>
          <t>Limoeiro de Anadia - AL</t>
        </is>
      </c>
      <c r="C1321" t="n">
        <v>-9.74098</v>
      </c>
      <c r="D1321" t="n">
        <v>-36.5121</v>
      </c>
      <c r="E1321" t="inlineStr">
        <is>
          <t>2022-06</t>
        </is>
      </c>
      <c r="F1321" t="n">
        <v>0</v>
      </c>
    </row>
    <row r="1322">
      <c r="A1322" t="inlineStr">
        <is>
          <t>Milho</t>
        </is>
      </c>
      <c r="B1322" t="inlineStr">
        <is>
          <t>Limoeiro de Anadia - AL</t>
        </is>
      </c>
      <c r="C1322" t="n">
        <v>-9.74098</v>
      </c>
      <c r="D1322" t="n">
        <v>-36.5121</v>
      </c>
      <c r="E1322" t="inlineStr">
        <is>
          <t>2021-07</t>
        </is>
      </c>
      <c r="F1322" t="n">
        <v>0</v>
      </c>
    </row>
    <row r="1323">
      <c r="A1323" t="inlineStr">
        <is>
          <t>Milho</t>
        </is>
      </c>
      <c r="B1323" t="inlineStr">
        <is>
          <t>Limoeiro de Anadia - AL</t>
        </is>
      </c>
      <c r="C1323" t="n">
        <v>-9.74098</v>
      </c>
      <c r="D1323" t="n">
        <v>-36.5121</v>
      </c>
      <c r="E1323" t="inlineStr">
        <is>
          <t>2021-08</t>
        </is>
      </c>
      <c r="F1323" t="n">
        <v>6950.404510109249</v>
      </c>
    </row>
    <row r="1324">
      <c r="A1324" t="inlineStr">
        <is>
          <t>Milho</t>
        </is>
      </c>
      <c r="B1324" t="inlineStr">
        <is>
          <t>Limoeiro de Anadia - AL</t>
        </is>
      </c>
      <c r="C1324" t="n">
        <v>-9.74098</v>
      </c>
      <c r="D1324" t="n">
        <v>-36.5121</v>
      </c>
      <c r="E1324" t="inlineStr">
        <is>
          <t>2021-09</t>
        </is>
      </c>
      <c r="F1324" t="n">
        <v>7426.473957650417</v>
      </c>
    </row>
    <row r="1325">
      <c r="A1325" t="inlineStr">
        <is>
          <t>Milho</t>
        </is>
      </c>
      <c r="B1325" t="inlineStr">
        <is>
          <t>Limoeiro de Anadia - AL</t>
        </is>
      </c>
      <c r="C1325" t="n">
        <v>-9.74098</v>
      </c>
      <c r="D1325" t="n">
        <v>-36.5121</v>
      </c>
      <c r="E1325" t="inlineStr">
        <is>
          <t>2021-10</t>
        </is>
      </c>
      <c r="F1325" t="n">
        <v>52693.10929372887</v>
      </c>
    </row>
    <row r="1326">
      <c r="A1326" t="inlineStr">
        <is>
          <t>Milho</t>
        </is>
      </c>
      <c r="B1326" t="inlineStr">
        <is>
          <t>Limoeiro de Anadia - AL</t>
        </is>
      </c>
      <c r="C1326" t="n">
        <v>-9.74098</v>
      </c>
      <c r="D1326" t="n">
        <v>-36.5121</v>
      </c>
      <c r="E1326" t="inlineStr">
        <is>
          <t>2021-11</t>
        </is>
      </c>
      <c r="F1326" t="n">
        <v>82589.40977023312</v>
      </c>
    </row>
    <row r="1327">
      <c r="A1327" t="inlineStr">
        <is>
          <t>Milho</t>
        </is>
      </c>
      <c r="B1327" t="inlineStr">
        <is>
          <t>Limoeiro de Anadia - AL</t>
        </is>
      </c>
      <c r="C1327" t="n">
        <v>-9.74098</v>
      </c>
      <c r="D1327" t="n">
        <v>-36.5121</v>
      </c>
      <c r="E1327" t="inlineStr">
        <is>
          <t>2021-12</t>
        </is>
      </c>
      <c r="F1327" t="n">
        <v>46018.33012839406</v>
      </c>
    </row>
    <row r="1328">
      <c r="A1328" t="inlineStr">
        <is>
          <t>Milho</t>
        </is>
      </c>
      <c r="B1328" t="inlineStr">
        <is>
          <t>Macapá - AP</t>
        </is>
      </c>
      <c r="C1328" t="n">
        <v>0.034934</v>
      </c>
      <c r="D1328" t="n">
        <v>-51.0694</v>
      </c>
      <c r="E1328" t="inlineStr">
        <is>
          <t>2022-01</t>
        </is>
      </c>
      <c r="F1328" t="n">
        <v>0</v>
      </c>
    </row>
    <row r="1329">
      <c r="A1329" t="inlineStr">
        <is>
          <t>Milho</t>
        </is>
      </c>
      <c r="B1329" t="inlineStr">
        <is>
          <t>Macapá - AP</t>
        </is>
      </c>
      <c r="C1329" t="n">
        <v>0.034934</v>
      </c>
      <c r="D1329" t="n">
        <v>-51.0694</v>
      </c>
      <c r="E1329" t="inlineStr">
        <is>
          <t>2022-02</t>
        </is>
      </c>
      <c r="F1329" t="n">
        <v>0</v>
      </c>
    </row>
    <row r="1330">
      <c r="A1330" t="inlineStr">
        <is>
          <t>Milho</t>
        </is>
      </c>
      <c r="B1330" t="inlineStr">
        <is>
          <t>Macapá - AP</t>
        </is>
      </c>
      <c r="C1330" t="n">
        <v>0.034934</v>
      </c>
      <c r="D1330" t="n">
        <v>-51.0694</v>
      </c>
      <c r="E1330" t="inlineStr">
        <is>
          <t>2022-03</t>
        </is>
      </c>
      <c r="F1330" t="n">
        <v>0</v>
      </c>
    </row>
    <row r="1331">
      <c r="A1331" t="inlineStr">
        <is>
          <t>Milho</t>
        </is>
      </c>
      <c r="B1331" t="inlineStr">
        <is>
          <t>Macapá - AP</t>
        </is>
      </c>
      <c r="C1331" t="n">
        <v>0.034934</v>
      </c>
      <c r="D1331" t="n">
        <v>-51.0694</v>
      </c>
      <c r="E1331" t="inlineStr">
        <is>
          <t>2022-04</t>
        </is>
      </c>
      <c r="F1331" t="n">
        <v>140.8638920871169</v>
      </c>
    </row>
    <row r="1332">
      <c r="A1332" t="inlineStr">
        <is>
          <t>Milho</t>
        </is>
      </c>
      <c r="B1332" t="inlineStr">
        <is>
          <t>Macapá - AP</t>
        </is>
      </c>
      <c r="C1332" t="n">
        <v>0.034934</v>
      </c>
      <c r="D1332" t="n">
        <v>-51.0694</v>
      </c>
      <c r="E1332" t="inlineStr">
        <is>
          <t>2022-05</t>
        </is>
      </c>
      <c r="F1332" t="n">
        <v>289.1243048420916</v>
      </c>
    </row>
    <row r="1333">
      <c r="A1333" t="inlineStr">
        <is>
          <t>Milho</t>
        </is>
      </c>
      <c r="B1333" t="inlineStr">
        <is>
          <t>Macapá - AP</t>
        </is>
      </c>
      <c r="C1333" t="n">
        <v>0.034934</v>
      </c>
      <c r="D1333" t="n">
        <v>-51.0694</v>
      </c>
      <c r="E1333" t="inlineStr">
        <is>
          <t>2022-06</t>
        </is>
      </c>
      <c r="F1333" t="n">
        <v>255.5085520428335</v>
      </c>
    </row>
    <row r="1334">
      <c r="A1334" t="inlineStr">
        <is>
          <t>Milho</t>
        </is>
      </c>
      <c r="B1334" t="inlineStr">
        <is>
          <t>Macapá - AP</t>
        </is>
      </c>
      <c r="C1334" t="n">
        <v>0.034934</v>
      </c>
      <c r="D1334" t="n">
        <v>-51.0694</v>
      </c>
      <c r="E1334" t="inlineStr">
        <is>
          <t>2021-07</t>
        </is>
      </c>
      <c r="F1334" t="n">
        <v>143.2655225583044</v>
      </c>
    </row>
    <row r="1335">
      <c r="A1335" t="inlineStr">
        <is>
          <t>Milho</t>
        </is>
      </c>
      <c r="B1335" t="inlineStr">
        <is>
          <t>Macapá - AP</t>
        </is>
      </c>
      <c r="C1335" t="n">
        <v>0.034934</v>
      </c>
      <c r="D1335" t="n">
        <v>-51.0694</v>
      </c>
      <c r="E1335" t="inlineStr">
        <is>
          <t>2021-08</t>
        </is>
      </c>
      <c r="F1335" t="n">
        <v>85.73689773983448</v>
      </c>
    </row>
    <row r="1336">
      <c r="A1336" t="inlineStr">
        <is>
          <t>Milho</t>
        </is>
      </c>
      <c r="B1336" t="inlineStr">
        <is>
          <t>Macapá - AP</t>
        </is>
      </c>
      <c r="C1336" t="n">
        <v>0.034934</v>
      </c>
      <c r="D1336" t="n">
        <v>-51.0694</v>
      </c>
      <c r="E1336" t="inlineStr">
        <is>
          <t>2021-09</t>
        </is>
      </c>
      <c r="F1336" t="n">
        <v>0</v>
      </c>
    </row>
    <row r="1337">
      <c r="A1337" t="inlineStr">
        <is>
          <t>Milho</t>
        </is>
      </c>
      <c r="B1337" t="inlineStr">
        <is>
          <t>Macapá - AP</t>
        </is>
      </c>
      <c r="C1337" t="n">
        <v>0.034934</v>
      </c>
      <c r="D1337" t="n">
        <v>-51.0694</v>
      </c>
      <c r="E1337" t="inlineStr">
        <is>
          <t>2021-10</t>
        </is>
      </c>
      <c r="F1337" t="n">
        <v>0</v>
      </c>
    </row>
    <row r="1338">
      <c r="A1338" t="inlineStr">
        <is>
          <t>Milho</t>
        </is>
      </c>
      <c r="B1338" t="inlineStr">
        <is>
          <t>Macapá - AP</t>
        </is>
      </c>
      <c r="C1338" t="n">
        <v>0.034934</v>
      </c>
      <c r="D1338" t="n">
        <v>-51.0694</v>
      </c>
      <c r="E1338" t="inlineStr">
        <is>
          <t>2021-11</t>
        </is>
      </c>
      <c r="F1338" t="n">
        <v>0</v>
      </c>
    </row>
    <row r="1339">
      <c r="A1339" t="inlineStr">
        <is>
          <t>Milho</t>
        </is>
      </c>
      <c r="B1339" t="inlineStr">
        <is>
          <t>Macapá - AP</t>
        </is>
      </c>
      <c r="C1339" t="n">
        <v>0.034934</v>
      </c>
      <c r="D1339" t="n">
        <v>-51.0694</v>
      </c>
      <c r="E1339" t="inlineStr">
        <is>
          <t>2021-12</t>
        </is>
      </c>
      <c r="F1339" t="n">
        <v>0</v>
      </c>
    </row>
    <row r="1340">
      <c r="A1340" t="inlineStr">
        <is>
          <t>Milho</t>
        </is>
      </c>
      <c r="B1340" t="inlineStr">
        <is>
          <t>Correntina - BA</t>
        </is>
      </c>
      <c r="C1340" t="n">
        <v>-13.3477</v>
      </c>
      <c r="D1340" t="n">
        <v>-44.6333</v>
      </c>
      <c r="E1340" t="inlineStr">
        <is>
          <t>2022-01</t>
        </is>
      </c>
      <c r="F1340" t="n">
        <v>0</v>
      </c>
    </row>
    <row r="1341">
      <c r="A1341" t="inlineStr">
        <is>
          <t>Milho</t>
        </is>
      </c>
      <c r="B1341" t="inlineStr">
        <is>
          <t>Correntina - BA</t>
        </is>
      </c>
      <c r="C1341" t="n">
        <v>-13.3477</v>
      </c>
      <c r="D1341" t="n">
        <v>-44.6333</v>
      </c>
      <c r="E1341" t="inlineStr">
        <is>
          <t>2022-02</t>
        </is>
      </c>
      <c r="F1341" t="n">
        <v>0</v>
      </c>
    </row>
    <row r="1342">
      <c r="A1342" t="inlineStr">
        <is>
          <t>Milho</t>
        </is>
      </c>
      <c r="B1342" t="inlineStr">
        <is>
          <t>Correntina - BA</t>
        </is>
      </c>
      <c r="C1342" t="n">
        <v>-13.3477</v>
      </c>
      <c r="D1342" t="n">
        <v>-44.6333</v>
      </c>
      <c r="E1342" t="inlineStr">
        <is>
          <t>2022-03</t>
        </is>
      </c>
      <c r="F1342" t="n">
        <v>0</v>
      </c>
    </row>
    <row r="1343">
      <c r="A1343" t="inlineStr">
        <is>
          <t>Milho</t>
        </is>
      </c>
      <c r="B1343" t="inlineStr">
        <is>
          <t>Correntina - BA</t>
        </is>
      </c>
      <c r="C1343" t="n">
        <v>-13.3477</v>
      </c>
      <c r="D1343" t="n">
        <v>-44.6333</v>
      </c>
      <c r="E1343" t="inlineStr">
        <is>
          <t>2022-04</t>
        </is>
      </c>
      <c r="F1343" t="n">
        <v>0</v>
      </c>
    </row>
    <row r="1344">
      <c r="A1344" t="inlineStr">
        <is>
          <t>Milho</t>
        </is>
      </c>
      <c r="B1344" t="inlineStr">
        <is>
          <t>Correntina - BA</t>
        </is>
      </c>
      <c r="C1344" t="n">
        <v>-13.3477</v>
      </c>
      <c r="D1344" t="n">
        <v>-44.6333</v>
      </c>
      <c r="E1344" t="inlineStr">
        <is>
          <t>2022-05</t>
        </is>
      </c>
      <c r="F1344" t="n">
        <v>0</v>
      </c>
    </row>
    <row r="1345">
      <c r="A1345" t="inlineStr">
        <is>
          <t>Milho</t>
        </is>
      </c>
      <c r="B1345" t="inlineStr">
        <is>
          <t>Correntina - BA</t>
        </is>
      </c>
      <c r="C1345" t="n">
        <v>-13.3477</v>
      </c>
      <c r="D1345" t="n">
        <v>-44.6333</v>
      </c>
      <c r="E1345" t="inlineStr">
        <is>
          <t>2022-06</t>
        </is>
      </c>
      <c r="F1345" t="n">
        <v>0</v>
      </c>
    </row>
    <row r="1346">
      <c r="A1346" t="inlineStr">
        <is>
          <t>Milho</t>
        </is>
      </c>
      <c r="B1346" t="inlineStr">
        <is>
          <t>Correntina - BA</t>
        </is>
      </c>
      <c r="C1346" t="n">
        <v>-13.3477</v>
      </c>
      <c r="D1346" t="n">
        <v>-44.6333</v>
      </c>
      <c r="E1346" t="inlineStr">
        <is>
          <t>2021-07</t>
        </is>
      </c>
      <c r="F1346" t="n">
        <v>0</v>
      </c>
    </row>
    <row r="1347">
      <c r="A1347" t="inlineStr">
        <is>
          <t>Milho</t>
        </is>
      </c>
      <c r="B1347" t="inlineStr">
        <is>
          <t>Correntina - BA</t>
        </is>
      </c>
      <c r="C1347" t="n">
        <v>-13.3477</v>
      </c>
      <c r="D1347" t="n">
        <v>-44.6333</v>
      </c>
      <c r="E1347" t="inlineStr">
        <is>
          <t>2021-08</t>
        </is>
      </c>
      <c r="F1347" t="n">
        <v>84175.89491201953</v>
      </c>
    </row>
    <row r="1348">
      <c r="A1348" t="inlineStr">
        <is>
          <t>Milho</t>
        </is>
      </c>
      <c r="B1348" t="inlineStr">
        <is>
          <t>Correntina - BA</t>
        </is>
      </c>
      <c r="C1348" t="n">
        <v>-13.3477</v>
      </c>
      <c r="D1348" t="n">
        <v>-44.6333</v>
      </c>
      <c r="E1348" t="inlineStr">
        <is>
          <t>2021-09</t>
        </is>
      </c>
      <c r="F1348" t="n">
        <v>179883.0817736695</v>
      </c>
    </row>
    <row r="1349">
      <c r="A1349" t="inlineStr">
        <is>
          <t>Milho</t>
        </is>
      </c>
      <c r="B1349" t="inlineStr">
        <is>
          <t>Correntina - BA</t>
        </is>
      </c>
      <c r="C1349" t="n">
        <v>-13.3477</v>
      </c>
      <c r="D1349" t="n">
        <v>-44.6333</v>
      </c>
      <c r="E1349" t="inlineStr">
        <is>
          <t>2021-10</t>
        </is>
      </c>
      <c r="F1349" t="n">
        <v>1276325.607824735</v>
      </c>
    </row>
    <row r="1350">
      <c r="A1350" t="inlineStr">
        <is>
          <t>Milho</t>
        </is>
      </c>
      <c r="B1350" t="inlineStr">
        <is>
          <t>Correntina - BA</t>
        </is>
      </c>
      <c r="C1350" t="n">
        <v>-13.3477</v>
      </c>
      <c r="D1350" t="n">
        <v>-44.6333</v>
      </c>
      <c r="E1350" t="inlineStr">
        <is>
          <t>2021-11</t>
        </is>
      </c>
      <c r="F1350" t="n">
        <v>2000469.891372004</v>
      </c>
    </row>
    <row r="1351">
      <c r="A1351" t="inlineStr">
        <is>
          <t>Milho</t>
        </is>
      </c>
      <c r="B1351" t="inlineStr">
        <is>
          <t>Correntina - BA</t>
        </is>
      </c>
      <c r="C1351" t="n">
        <v>-13.3477</v>
      </c>
      <c r="D1351" t="n">
        <v>-44.6333</v>
      </c>
      <c r="E1351" t="inlineStr">
        <is>
          <t>2021-12</t>
        </is>
      </c>
      <c r="F1351" t="n">
        <v>0</v>
      </c>
    </row>
    <row r="1352">
      <c r="A1352" t="inlineStr">
        <is>
          <t>Milho</t>
        </is>
      </c>
      <c r="B1352" t="inlineStr">
        <is>
          <t>Crateús - CE</t>
        </is>
      </c>
      <c r="C1352" t="n">
        <v>-5.16768</v>
      </c>
      <c r="D1352" t="n">
        <v>-40.6536</v>
      </c>
      <c r="E1352" t="inlineStr">
        <is>
          <t>2022-01</t>
        </is>
      </c>
      <c r="F1352" t="n">
        <v>0</v>
      </c>
    </row>
    <row r="1353">
      <c r="A1353" t="inlineStr">
        <is>
          <t>Milho</t>
        </is>
      </c>
      <c r="B1353" t="inlineStr">
        <is>
          <t>Crateús - CE</t>
        </is>
      </c>
      <c r="C1353" t="n">
        <v>-5.16768</v>
      </c>
      <c r="D1353" t="n">
        <v>-40.6536</v>
      </c>
      <c r="E1353" t="inlineStr">
        <is>
          <t>2022-02</t>
        </is>
      </c>
      <c r="F1353" t="n">
        <v>0</v>
      </c>
    </row>
    <row r="1354">
      <c r="A1354" t="inlineStr">
        <is>
          <t>Milho</t>
        </is>
      </c>
      <c r="B1354" t="inlineStr">
        <is>
          <t>Crateús - CE</t>
        </is>
      </c>
      <c r="C1354" t="n">
        <v>-5.16768</v>
      </c>
      <c r="D1354" t="n">
        <v>-40.6536</v>
      </c>
      <c r="E1354" t="inlineStr">
        <is>
          <t>2022-03</t>
        </is>
      </c>
      <c r="F1354" t="n">
        <v>0</v>
      </c>
    </row>
    <row r="1355">
      <c r="A1355" t="inlineStr">
        <is>
          <t>Milho</t>
        </is>
      </c>
      <c r="B1355" t="inlineStr">
        <is>
          <t>Crateús - CE</t>
        </is>
      </c>
      <c r="C1355" t="n">
        <v>-5.16768</v>
      </c>
      <c r="D1355" t="n">
        <v>-40.6536</v>
      </c>
      <c r="E1355" t="inlineStr">
        <is>
          <t>2022-04</t>
        </is>
      </c>
      <c r="F1355" t="n">
        <v>0</v>
      </c>
    </row>
    <row r="1356">
      <c r="A1356" t="inlineStr">
        <is>
          <t>Milho</t>
        </is>
      </c>
      <c r="B1356" t="inlineStr">
        <is>
          <t>Crateús - CE</t>
        </is>
      </c>
      <c r="C1356" t="n">
        <v>-5.16768</v>
      </c>
      <c r="D1356" t="n">
        <v>-40.6536</v>
      </c>
      <c r="E1356" t="inlineStr">
        <is>
          <t>2022-05</t>
        </is>
      </c>
      <c r="F1356" t="n">
        <v>0</v>
      </c>
    </row>
    <row r="1357">
      <c r="A1357" t="inlineStr">
        <is>
          <t>Milho</t>
        </is>
      </c>
      <c r="B1357" t="inlineStr">
        <is>
          <t>Crateús - CE</t>
        </is>
      </c>
      <c r="C1357" t="n">
        <v>-5.16768</v>
      </c>
      <c r="D1357" t="n">
        <v>-40.6536</v>
      </c>
      <c r="E1357" t="inlineStr">
        <is>
          <t>2022-06</t>
        </is>
      </c>
      <c r="F1357" t="n">
        <v>0</v>
      </c>
    </row>
    <row r="1358">
      <c r="A1358" t="inlineStr">
        <is>
          <t>Milho</t>
        </is>
      </c>
      <c r="B1358" t="inlineStr">
        <is>
          <t>Crateús - CE</t>
        </is>
      </c>
      <c r="C1358" t="n">
        <v>-5.16768</v>
      </c>
      <c r="D1358" t="n">
        <v>-40.6536</v>
      </c>
      <c r="E1358" t="inlineStr">
        <is>
          <t>2021-07</t>
        </is>
      </c>
      <c r="F1358" t="n">
        <v>0</v>
      </c>
    </row>
    <row r="1359">
      <c r="A1359" t="inlineStr">
        <is>
          <t>Milho</t>
        </is>
      </c>
      <c r="B1359" t="inlineStr">
        <is>
          <t>Crateús - CE</t>
        </is>
      </c>
      <c r="C1359" t="n">
        <v>-5.16768</v>
      </c>
      <c r="D1359" t="n">
        <v>-40.6536</v>
      </c>
      <c r="E1359" t="inlineStr">
        <is>
          <t>2021-08</t>
        </is>
      </c>
      <c r="F1359" t="n">
        <v>0</v>
      </c>
    </row>
    <row r="1360">
      <c r="A1360" t="inlineStr">
        <is>
          <t>Milho</t>
        </is>
      </c>
      <c r="B1360" t="inlineStr">
        <is>
          <t>Crateús - CE</t>
        </is>
      </c>
      <c r="C1360" t="n">
        <v>-5.16768</v>
      </c>
      <c r="D1360" t="n">
        <v>-40.6536</v>
      </c>
      <c r="E1360" t="inlineStr">
        <is>
          <t>2021-09</t>
        </is>
      </c>
      <c r="F1360" t="n">
        <v>0</v>
      </c>
    </row>
    <row r="1361">
      <c r="A1361" t="inlineStr">
        <is>
          <t>Milho</t>
        </is>
      </c>
      <c r="B1361" t="inlineStr">
        <is>
          <t>Crateús - CE</t>
        </is>
      </c>
      <c r="C1361" t="n">
        <v>-5.16768</v>
      </c>
      <c r="D1361" t="n">
        <v>-40.6536</v>
      </c>
      <c r="E1361" t="inlineStr">
        <is>
          <t>2021-10</t>
        </is>
      </c>
      <c r="F1361" t="n">
        <v>0</v>
      </c>
    </row>
    <row r="1362">
      <c r="A1362" t="inlineStr">
        <is>
          <t>Milho</t>
        </is>
      </c>
      <c r="B1362" t="inlineStr">
        <is>
          <t>Crateús - CE</t>
        </is>
      </c>
      <c r="C1362" t="n">
        <v>-5.16768</v>
      </c>
      <c r="D1362" t="n">
        <v>-40.6536</v>
      </c>
      <c r="E1362" t="inlineStr">
        <is>
          <t>2021-11</t>
        </is>
      </c>
      <c r="F1362" t="n">
        <v>0</v>
      </c>
    </row>
    <row r="1363">
      <c r="A1363" t="inlineStr">
        <is>
          <t>Milho</t>
        </is>
      </c>
      <c r="B1363" t="inlineStr">
        <is>
          <t>Crateús - CE</t>
        </is>
      </c>
      <c r="C1363" t="n">
        <v>-5.16768</v>
      </c>
      <c r="D1363" t="n">
        <v>-40.6536</v>
      </c>
      <c r="E1363" t="inlineStr">
        <is>
          <t>2021-12</t>
        </is>
      </c>
      <c r="F1363" t="n">
        <v>0</v>
      </c>
    </row>
    <row r="1364">
      <c r="A1364" t="inlineStr">
        <is>
          <t>Milho</t>
        </is>
      </c>
      <c r="B1364" t="inlineStr">
        <is>
          <t>Brasília - DF</t>
        </is>
      </c>
      <c r="C1364" t="n">
        <v>-15.7795</v>
      </c>
      <c r="D1364" t="n">
        <v>-47.9297</v>
      </c>
      <c r="E1364" t="inlineStr">
        <is>
          <t>2022-01</t>
        </is>
      </c>
      <c r="F1364" t="n">
        <v>0</v>
      </c>
    </row>
    <row r="1365">
      <c r="A1365" t="inlineStr">
        <is>
          <t>Milho</t>
        </is>
      </c>
      <c r="B1365" t="inlineStr">
        <is>
          <t>Brasília - DF</t>
        </is>
      </c>
      <c r="C1365" t="n">
        <v>-15.7795</v>
      </c>
      <c r="D1365" t="n">
        <v>-47.9297</v>
      </c>
      <c r="E1365" t="inlineStr">
        <is>
          <t>2022-02</t>
        </is>
      </c>
      <c r="F1365" t="n">
        <v>0</v>
      </c>
    </row>
    <row r="1366">
      <c r="A1366" t="inlineStr">
        <is>
          <t>Milho</t>
        </is>
      </c>
      <c r="B1366" t="inlineStr">
        <is>
          <t>Brasília - DF</t>
        </is>
      </c>
      <c r="C1366" t="n">
        <v>-15.7795</v>
      </c>
      <c r="D1366" t="n">
        <v>-47.9297</v>
      </c>
      <c r="E1366" t="inlineStr">
        <is>
          <t>2022-03</t>
        </is>
      </c>
      <c r="F1366" t="n">
        <v>0</v>
      </c>
    </row>
    <row r="1367">
      <c r="A1367" t="inlineStr">
        <is>
          <t>Milho</t>
        </is>
      </c>
      <c r="B1367" t="inlineStr">
        <is>
          <t>Brasília - DF</t>
        </is>
      </c>
      <c r="C1367" t="n">
        <v>-15.7795</v>
      </c>
      <c r="D1367" t="n">
        <v>-47.9297</v>
      </c>
      <c r="E1367" t="inlineStr">
        <is>
          <t>2022-04</t>
        </is>
      </c>
      <c r="F1367" t="n">
        <v>0</v>
      </c>
    </row>
    <row r="1368">
      <c r="A1368" t="inlineStr">
        <is>
          <t>Milho</t>
        </is>
      </c>
      <c r="B1368" t="inlineStr">
        <is>
          <t>Brasília - DF</t>
        </is>
      </c>
      <c r="C1368" t="n">
        <v>-15.7795</v>
      </c>
      <c r="D1368" t="n">
        <v>-47.9297</v>
      </c>
      <c r="E1368" t="inlineStr">
        <is>
          <t>2022-05</t>
        </is>
      </c>
      <c r="F1368" t="n">
        <v>0</v>
      </c>
    </row>
    <row r="1369">
      <c r="A1369" t="inlineStr">
        <is>
          <t>Milho</t>
        </is>
      </c>
      <c r="B1369" t="inlineStr">
        <is>
          <t>Brasília - DF</t>
        </is>
      </c>
      <c r="C1369" t="n">
        <v>-15.7795</v>
      </c>
      <c r="D1369" t="n">
        <v>-47.9297</v>
      </c>
      <c r="E1369" t="inlineStr">
        <is>
          <t>2022-06</t>
        </is>
      </c>
      <c r="F1369" t="n">
        <v>0</v>
      </c>
    </row>
    <row r="1370">
      <c r="A1370" t="inlineStr">
        <is>
          <t>Milho</t>
        </is>
      </c>
      <c r="B1370" t="inlineStr">
        <is>
          <t>Brasília - DF</t>
        </is>
      </c>
      <c r="C1370" t="n">
        <v>-15.7795</v>
      </c>
      <c r="D1370" t="n">
        <v>-47.9297</v>
      </c>
      <c r="E1370" t="inlineStr">
        <is>
          <t>2021-07</t>
        </is>
      </c>
      <c r="F1370" t="n">
        <v>0</v>
      </c>
    </row>
    <row r="1371">
      <c r="A1371" t="inlineStr">
        <is>
          <t>Milho</t>
        </is>
      </c>
      <c r="B1371" t="inlineStr">
        <is>
          <t>Brasília - DF</t>
        </is>
      </c>
      <c r="C1371" t="n">
        <v>-15.7795</v>
      </c>
      <c r="D1371" t="n">
        <v>-47.9297</v>
      </c>
      <c r="E1371" t="inlineStr">
        <is>
          <t>2021-08</t>
        </is>
      </c>
      <c r="F1371" t="n">
        <v>0</v>
      </c>
    </row>
    <row r="1372">
      <c r="A1372" t="inlineStr">
        <is>
          <t>Milho</t>
        </is>
      </c>
      <c r="B1372" t="inlineStr">
        <is>
          <t>Brasília - DF</t>
        </is>
      </c>
      <c r="C1372" t="n">
        <v>-15.7795</v>
      </c>
      <c r="D1372" t="n">
        <v>-47.9297</v>
      </c>
      <c r="E1372" t="inlineStr">
        <is>
          <t>2021-09</t>
        </is>
      </c>
      <c r="F1372" t="n">
        <v>0</v>
      </c>
    </row>
    <row r="1373">
      <c r="A1373" t="inlineStr">
        <is>
          <t>Milho</t>
        </is>
      </c>
      <c r="B1373" t="inlineStr">
        <is>
          <t>Brasília - DF</t>
        </is>
      </c>
      <c r="C1373" t="n">
        <v>-15.7795</v>
      </c>
      <c r="D1373" t="n">
        <v>-47.9297</v>
      </c>
      <c r="E1373" t="inlineStr">
        <is>
          <t>2021-10</t>
        </is>
      </c>
      <c r="F1373" t="n">
        <v>0</v>
      </c>
    </row>
    <row r="1374">
      <c r="A1374" t="inlineStr">
        <is>
          <t>Milho</t>
        </is>
      </c>
      <c r="B1374" t="inlineStr">
        <is>
          <t>Brasília - DF</t>
        </is>
      </c>
      <c r="C1374" t="n">
        <v>-15.7795</v>
      </c>
      <c r="D1374" t="n">
        <v>-47.9297</v>
      </c>
      <c r="E1374" t="inlineStr">
        <is>
          <t>2021-11</t>
        </is>
      </c>
      <c r="F1374" t="n">
        <v>0</v>
      </c>
    </row>
    <row r="1375">
      <c r="A1375" t="inlineStr">
        <is>
          <t>Milho</t>
        </is>
      </c>
      <c r="B1375" t="inlineStr">
        <is>
          <t>Brasília - DF</t>
        </is>
      </c>
      <c r="C1375" t="n">
        <v>-15.7795</v>
      </c>
      <c r="D1375" t="n">
        <v>-47.9297</v>
      </c>
      <c r="E1375" t="inlineStr">
        <is>
          <t>2021-12</t>
        </is>
      </c>
      <c r="F1375" t="n">
        <v>0</v>
      </c>
    </row>
    <row r="1376">
      <c r="A1376" t="inlineStr">
        <is>
          <t>Milho</t>
        </is>
      </c>
      <c r="B1376" t="inlineStr">
        <is>
          <t>Pinheiros - ES</t>
        </is>
      </c>
      <c r="C1376" t="n">
        <v>-18.4141</v>
      </c>
      <c r="D1376" t="n">
        <v>-40.2171</v>
      </c>
      <c r="E1376" t="inlineStr">
        <is>
          <t>2022-01</t>
        </is>
      </c>
      <c r="F1376" t="n">
        <v>0</v>
      </c>
    </row>
    <row r="1377">
      <c r="A1377" t="inlineStr">
        <is>
          <t>Milho</t>
        </is>
      </c>
      <c r="B1377" t="inlineStr">
        <is>
          <t>Pinheiros - ES</t>
        </is>
      </c>
      <c r="C1377" t="n">
        <v>-18.4141</v>
      </c>
      <c r="D1377" t="n">
        <v>-40.2171</v>
      </c>
      <c r="E1377" t="inlineStr">
        <is>
          <t>2022-02</t>
        </is>
      </c>
      <c r="F1377" t="n">
        <v>0</v>
      </c>
    </row>
    <row r="1378">
      <c r="A1378" t="inlineStr">
        <is>
          <t>Milho</t>
        </is>
      </c>
      <c r="B1378" t="inlineStr">
        <is>
          <t>Pinheiros - ES</t>
        </is>
      </c>
      <c r="C1378" t="n">
        <v>-18.4141</v>
      </c>
      <c r="D1378" t="n">
        <v>-40.2171</v>
      </c>
      <c r="E1378" t="inlineStr">
        <is>
          <t>2022-03</t>
        </is>
      </c>
      <c r="F1378" t="n">
        <v>0</v>
      </c>
    </row>
    <row r="1379">
      <c r="A1379" t="inlineStr">
        <is>
          <t>Milho</t>
        </is>
      </c>
      <c r="B1379" t="inlineStr">
        <is>
          <t>Pinheiros - ES</t>
        </is>
      </c>
      <c r="C1379" t="n">
        <v>-18.4141</v>
      </c>
      <c r="D1379" t="n">
        <v>-40.2171</v>
      </c>
      <c r="E1379" t="inlineStr">
        <is>
          <t>2022-04</t>
        </is>
      </c>
      <c r="F1379" t="n">
        <v>0</v>
      </c>
    </row>
    <row r="1380">
      <c r="A1380" t="inlineStr">
        <is>
          <t>Milho</t>
        </is>
      </c>
      <c r="B1380" t="inlineStr">
        <is>
          <t>Pinheiros - ES</t>
        </is>
      </c>
      <c r="C1380" t="n">
        <v>-18.4141</v>
      </c>
      <c r="D1380" t="n">
        <v>-40.2171</v>
      </c>
      <c r="E1380" t="inlineStr">
        <is>
          <t>2022-05</t>
        </is>
      </c>
      <c r="F1380" t="n">
        <v>0</v>
      </c>
    </row>
    <row r="1381">
      <c r="A1381" t="inlineStr">
        <is>
          <t>Milho</t>
        </is>
      </c>
      <c r="B1381" t="inlineStr">
        <is>
          <t>Pinheiros - ES</t>
        </is>
      </c>
      <c r="C1381" t="n">
        <v>-18.4141</v>
      </c>
      <c r="D1381" t="n">
        <v>-40.2171</v>
      </c>
      <c r="E1381" t="inlineStr">
        <is>
          <t>2022-06</t>
        </is>
      </c>
      <c r="F1381" t="n">
        <v>0</v>
      </c>
    </row>
    <row r="1382">
      <c r="A1382" t="inlineStr">
        <is>
          <t>Milho</t>
        </is>
      </c>
      <c r="B1382" t="inlineStr">
        <is>
          <t>Pinheiros - ES</t>
        </is>
      </c>
      <c r="C1382" t="n">
        <v>-18.4141</v>
      </c>
      <c r="D1382" t="n">
        <v>-40.2171</v>
      </c>
      <c r="E1382" t="inlineStr">
        <is>
          <t>2021-07</t>
        </is>
      </c>
      <c r="F1382" t="n">
        <v>0</v>
      </c>
    </row>
    <row r="1383">
      <c r="A1383" t="inlineStr">
        <is>
          <t>Milho</t>
        </is>
      </c>
      <c r="B1383" t="inlineStr">
        <is>
          <t>Pinheiros - ES</t>
        </is>
      </c>
      <c r="C1383" t="n">
        <v>-18.4141</v>
      </c>
      <c r="D1383" t="n">
        <v>-40.2171</v>
      </c>
      <c r="E1383" t="inlineStr">
        <is>
          <t>2021-08</t>
        </is>
      </c>
      <c r="F1383" t="n">
        <v>0</v>
      </c>
    </row>
    <row r="1384">
      <c r="A1384" t="inlineStr">
        <is>
          <t>Milho</t>
        </is>
      </c>
      <c r="B1384" t="inlineStr">
        <is>
          <t>Pinheiros - ES</t>
        </is>
      </c>
      <c r="C1384" t="n">
        <v>-18.4141</v>
      </c>
      <c r="D1384" t="n">
        <v>-40.2171</v>
      </c>
      <c r="E1384" t="inlineStr">
        <is>
          <t>2021-09</t>
        </is>
      </c>
      <c r="F1384" t="n">
        <v>0</v>
      </c>
    </row>
    <row r="1385">
      <c r="A1385" t="inlineStr">
        <is>
          <t>Milho</t>
        </is>
      </c>
      <c r="B1385" t="inlineStr">
        <is>
          <t>Pinheiros - ES</t>
        </is>
      </c>
      <c r="C1385" t="n">
        <v>-18.4141</v>
      </c>
      <c r="D1385" t="n">
        <v>-40.2171</v>
      </c>
      <c r="E1385" t="inlineStr">
        <is>
          <t>2021-10</t>
        </is>
      </c>
      <c r="F1385" t="n">
        <v>0</v>
      </c>
    </row>
    <row r="1386">
      <c r="A1386" t="inlineStr">
        <is>
          <t>Milho</t>
        </is>
      </c>
      <c r="B1386" t="inlineStr">
        <is>
          <t>Pinheiros - ES</t>
        </is>
      </c>
      <c r="C1386" t="n">
        <v>-18.4141</v>
      </c>
      <c r="D1386" t="n">
        <v>-40.2171</v>
      </c>
      <c r="E1386" t="inlineStr">
        <is>
          <t>2021-11</t>
        </is>
      </c>
      <c r="F1386" t="n">
        <v>0</v>
      </c>
    </row>
    <row r="1387">
      <c r="A1387" t="inlineStr">
        <is>
          <t>Milho</t>
        </is>
      </c>
      <c r="B1387" t="inlineStr">
        <is>
          <t>Pinheiros - ES</t>
        </is>
      </c>
      <c r="C1387" t="n">
        <v>-18.4141</v>
      </c>
      <c r="D1387" t="n">
        <v>-40.2171</v>
      </c>
      <c r="E1387" t="inlineStr">
        <is>
          <t>2021-12</t>
        </is>
      </c>
      <c r="F1387" t="n">
        <v>0</v>
      </c>
    </row>
    <row r="1388">
      <c r="A1388" t="inlineStr">
        <is>
          <t>Milho</t>
        </is>
      </c>
      <c r="B1388" t="inlineStr">
        <is>
          <t>Rio Verde - GO</t>
        </is>
      </c>
      <c r="C1388" t="n">
        <v>-17.7923</v>
      </c>
      <c r="D1388" t="n">
        <v>-50.9192</v>
      </c>
      <c r="E1388" t="inlineStr">
        <is>
          <t>2022-01</t>
        </is>
      </c>
      <c r="F1388" t="n">
        <v>0</v>
      </c>
    </row>
    <row r="1389">
      <c r="A1389" t="inlineStr">
        <is>
          <t>Milho</t>
        </is>
      </c>
      <c r="B1389" t="inlineStr">
        <is>
          <t>Rio Verde - GO</t>
        </is>
      </c>
      <c r="C1389" t="n">
        <v>-17.7923</v>
      </c>
      <c r="D1389" t="n">
        <v>-50.9192</v>
      </c>
      <c r="E1389" t="inlineStr">
        <is>
          <t>2022-02</t>
        </is>
      </c>
      <c r="F1389" t="n">
        <v>0</v>
      </c>
    </row>
    <row r="1390">
      <c r="A1390" t="inlineStr">
        <is>
          <t>Milho</t>
        </is>
      </c>
      <c r="B1390" t="inlineStr">
        <is>
          <t>Rio Verde - GO</t>
        </is>
      </c>
      <c r="C1390" t="n">
        <v>-17.7923</v>
      </c>
      <c r="D1390" t="n">
        <v>-50.9192</v>
      </c>
      <c r="E1390" t="inlineStr">
        <is>
          <t>2022-03</t>
        </is>
      </c>
      <c r="F1390" t="n">
        <v>0</v>
      </c>
    </row>
    <row r="1391">
      <c r="A1391" t="inlineStr">
        <is>
          <t>Milho</t>
        </is>
      </c>
      <c r="B1391" t="inlineStr">
        <is>
          <t>Rio Verde - GO</t>
        </is>
      </c>
      <c r="C1391" t="n">
        <v>-17.7923</v>
      </c>
      <c r="D1391" t="n">
        <v>-50.9192</v>
      </c>
      <c r="E1391" t="inlineStr">
        <is>
          <t>2022-04</t>
        </is>
      </c>
      <c r="F1391" t="n">
        <v>0</v>
      </c>
    </row>
    <row r="1392">
      <c r="A1392" t="inlineStr">
        <is>
          <t>Milho</t>
        </is>
      </c>
      <c r="B1392" t="inlineStr">
        <is>
          <t>Rio Verde - GO</t>
        </is>
      </c>
      <c r="C1392" t="n">
        <v>-17.7923</v>
      </c>
      <c r="D1392" t="n">
        <v>-50.9192</v>
      </c>
      <c r="E1392" t="inlineStr">
        <is>
          <t>2022-05</t>
        </is>
      </c>
      <c r="F1392" t="n">
        <v>0</v>
      </c>
    </row>
    <row r="1393">
      <c r="A1393" t="inlineStr">
        <is>
          <t>Milho</t>
        </is>
      </c>
      <c r="B1393" t="inlineStr">
        <is>
          <t>Rio Verde - GO</t>
        </is>
      </c>
      <c r="C1393" t="n">
        <v>-17.7923</v>
      </c>
      <c r="D1393" t="n">
        <v>-50.9192</v>
      </c>
      <c r="E1393" t="inlineStr">
        <is>
          <t>2022-06</t>
        </is>
      </c>
      <c r="F1393" t="n">
        <v>0</v>
      </c>
    </row>
    <row r="1394">
      <c r="A1394" t="inlineStr">
        <is>
          <t>Milho</t>
        </is>
      </c>
      <c r="B1394" t="inlineStr">
        <is>
          <t>Rio Verde - GO</t>
        </is>
      </c>
      <c r="C1394" t="n">
        <v>-17.7923</v>
      </c>
      <c r="D1394" t="n">
        <v>-50.9192</v>
      </c>
      <c r="E1394" t="inlineStr">
        <is>
          <t>2021-07</t>
        </is>
      </c>
      <c r="F1394" t="n">
        <v>0</v>
      </c>
    </row>
    <row r="1395">
      <c r="A1395" t="inlineStr">
        <is>
          <t>Milho</t>
        </is>
      </c>
      <c r="B1395" t="inlineStr">
        <is>
          <t>Rio Verde - GO</t>
        </is>
      </c>
      <c r="C1395" t="n">
        <v>-17.7923</v>
      </c>
      <c r="D1395" t="n">
        <v>-50.9192</v>
      </c>
      <c r="E1395" t="inlineStr">
        <is>
          <t>2021-08</t>
        </is>
      </c>
      <c r="F1395" t="n">
        <v>0</v>
      </c>
    </row>
    <row r="1396">
      <c r="A1396" t="inlineStr">
        <is>
          <t>Milho</t>
        </is>
      </c>
      <c r="B1396" t="inlineStr">
        <is>
          <t>Rio Verde - GO</t>
        </is>
      </c>
      <c r="C1396" t="n">
        <v>-17.7923</v>
      </c>
      <c r="D1396" t="n">
        <v>-50.9192</v>
      </c>
      <c r="E1396" t="inlineStr">
        <is>
          <t>2021-09</t>
        </is>
      </c>
      <c r="F1396" t="n">
        <v>0</v>
      </c>
    </row>
    <row r="1397">
      <c r="A1397" t="inlineStr">
        <is>
          <t>Milho</t>
        </is>
      </c>
      <c r="B1397" t="inlineStr">
        <is>
          <t>Rio Verde - GO</t>
        </is>
      </c>
      <c r="C1397" t="n">
        <v>-17.7923</v>
      </c>
      <c r="D1397" t="n">
        <v>-50.9192</v>
      </c>
      <c r="E1397" t="inlineStr">
        <is>
          <t>2021-10</t>
        </is>
      </c>
      <c r="F1397" t="n">
        <v>0</v>
      </c>
    </row>
    <row r="1398">
      <c r="A1398" t="inlineStr">
        <is>
          <t>Milho</t>
        </is>
      </c>
      <c r="B1398" t="inlineStr">
        <is>
          <t>Rio Verde - GO</t>
        </is>
      </c>
      <c r="C1398" t="n">
        <v>-17.7923</v>
      </c>
      <c r="D1398" t="n">
        <v>-50.9192</v>
      </c>
      <c r="E1398" t="inlineStr">
        <is>
          <t>2021-11</t>
        </is>
      </c>
      <c r="F1398" t="n">
        <v>0</v>
      </c>
    </row>
    <row r="1399">
      <c r="A1399" t="inlineStr">
        <is>
          <t>Milho</t>
        </is>
      </c>
      <c r="B1399" t="inlineStr">
        <is>
          <t>Rio Verde - GO</t>
        </is>
      </c>
      <c r="C1399" t="n">
        <v>-17.7923</v>
      </c>
      <c r="D1399" t="n">
        <v>-50.9192</v>
      </c>
      <c r="E1399" t="inlineStr">
        <is>
          <t>2021-12</t>
        </is>
      </c>
      <c r="F1399" t="n">
        <v>0</v>
      </c>
    </row>
    <row r="1400">
      <c r="A1400" t="inlineStr">
        <is>
          <t>Milho</t>
        </is>
      </c>
      <c r="B1400" t="inlineStr">
        <is>
          <t>Balsas - MA</t>
        </is>
      </c>
      <c r="C1400" t="n">
        <v>-7.53214</v>
      </c>
      <c r="D1400" t="n">
        <v>-46.0372</v>
      </c>
      <c r="E1400" t="inlineStr">
        <is>
          <t>2022-01</t>
        </is>
      </c>
      <c r="F1400" t="n">
        <v>0</v>
      </c>
    </row>
    <row r="1401">
      <c r="A1401" t="inlineStr">
        <is>
          <t>Milho</t>
        </is>
      </c>
      <c r="B1401" t="inlineStr">
        <is>
          <t>Balsas - MA</t>
        </is>
      </c>
      <c r="C1401" t="n">
        <v>-7.53214</v>
      </c>
      <c r="D1401" t="n">
        <v>-46.0372</v>
      </c>
      <c r="E1401" t="inlineStr">
        <is>
          <t>2022-02</t>
        </is>
      </c>
      <c r="F1401" t="n">
        <v>0</v>
      </c>
    </row>
    <row r="1402">
      <c r="A1402" t="inlineStr">
        <is>
          <t>Milho</t>
        </is>
      </c>
      <c r="B1402" t="inlineStr">
        <is>
          <t>Balsas - MA</t>
        </is>
      </c>
      <c r="C1402" t="n">
        <v>-7.53214</v>
      </c>
      <c r="D1402" t="n">
        <v>-46.0372</v>
      </c>
      <c r="E1402" t="inlineStr">
        <is>
          <t>2022-03</t>
        </is>
      </c>
      <c r="F1402" t="n">
        <v>0</v>
      </c>
    </row>
    <row r="1403">
      <c r="A1403" t="inlineStr">
        <is>
          <t>Milho</t>
        </is>
      </c>
      <c r="B1403" t="inlineStr">
        <is>
          <t>Balsas - MA</t>
        </is>
      </c>
      <c r="C1403" t="n">
        <v>-7.53214</v>
      </c>
      <c r="D1403" t="n">
        <v>-46.0372</v>
      </c>
      <c r="E1403" t="inlineStr">
        <is>
          <t>2022-04</t>
        </is>
      </c>
      <c r="F1403" t="n">
        <v>0</v>
      </c>
    </row>
    <row r="1404">
      <c r="A1404" t="inlineStr">
        <is>
          <t>Milho</t>
        </is>
      </c>
      <c r="B1404" t="inlineStr">
        <is>
          <t>Balsas - MA</t>
        </is>
      </c>
      <c r="C1404" t="n">
        <v>-7.53214</v>
      </c>
      <c r="D1404" t="n">
        <v>-46.0372</v>
      </c>
      <c r="E1404" t="inlineStr">
        <is>
          <t>2022-05</t>
        </is>
      </c>
      <c r="F1404" t="n">
        <v>0</v>
      </c>
    </row>
    <row r="1405">
      <c r="A1405" t="inlineStr">
        <is>
          <t>Milho</t>
        </is>
      </c>
      <c r="B1405" t="inlineStr">
        <is>
          <t>Balsas - MA</t>
        </is>
      </c>
      <c r="C1405" t="n">
        <v>-7.53214</v>
      </c>
      <c r="D1405" t="n">
        <v>-46.0372</v>
      </c>
      <c r="E1405" t="inlineStr">
        <is>
          <t>2022-06</t>
        </is>
      </c>
      <c r="F1405" t="n">
        <v>0</v>
      </c>
    </row>
    <row r="1406">
      <c r="A1406" t="inlineStr">
        <is>
          <t>Milho</t>
        </is>
      </c>
      <c r="B1406" t="inlineStr">
        <is>
          <t>Balsas - MA</t>
        </is>
      </c>
      <c r="C1406" t="n">
        <v>-7.53214</v>
      </c>
      <c r="D1406" t="n">
        <v>-46.0372</v>
      </c>
      <c r="E1406" t="inlineStr">
        <is>
          <t>2021-07</t>
        </is>
      </c>
      <c r="F1406" t="n">
        <v>0</v>
      </c>
    </row>
    <row r="1407">
      <c r="A1407" t="inlineStr">
        <is>
          <t>Milho</t>
        </is>
      </c>
      <c r="B1407" t="inlineStr">
        <is>
          <t>Balsas - MA</t>
        </is>
      </c>
      <c r="C1407" t="n">
        <v>-7.53214</v>
      </c>
      <c r="D1407" t="n">
        <v>-46.0372</v>
      </c>
      <c r="E1407" t="inlineStr">
        <is>
          <t>2021-08</t>
        </is>
      </c>
      <c r="F1407" t="n">
        <v>0</v>
      </c>
    </row>
    <row r="1408">
      <c r="A1408" t="inlineStr">
        <is>
          <t>Milho</t>
        </is>
      </c>
      <c r="B1408" t="inlineStr">
        <is>
          <t>Balsas - MA</t>
        </is>
      </c>
      <c r="C1408" t="n">
        <v>-7.53214</v>
      </c>
      <c r="D1408" t="n">
        <v>-46.0372</v>
      </c>
      <c r="E1408" t="inlineStr">
        <is>
          <t>2021-09</t>
        </is>
      </c>
      <c r="F1408" t="n">
        <v>0</v>
      </c>
    </row>
    <row r="1409">
      <c r="A1409" t="inlineStr">
        <is>
          <t>Milho</t>
        </is>
      </c>
      <c r="B1409" t="inlineStr">
        <is>
          <t>Balsas - MA</t>
        </is>
      </c>
      <c r="C1409" t="n">
        <v>-7.53214</v>
      </c>
      <c r="D1409" t="n">
        <v>-46.0372</v>
      </c>
      <c r="E1409" t="inlineStr">
        <is>
          <t>2021-10</t>
        </is>
      </c>
      <c r="F1409" t="n">
        <v>0</v>
      </c>
    </row>
    <row r="1410">
      <c r="A1410" t="inlineStr">
        <is>
          <t>Milho</t>
        </is>
      </c>
      <c r="B1410" t="inlineStr">
        <is>
          <t>Balsas - MA</t>
        </is>
      </c>
      <c r="C1410" t="n">
        <v>-7.53214</v>
      </c>
      <c r="D1410" t="n">
        <v>-46.0372</v>
      </c>
      <c r="E1410" t="inlineStr">
        <is>
          <t>2021-11</t>
        </is>
      </c>
      <c r="F1410" t="n">
        <v>0</v>
      </c>
    </row>
    <row r="1411">
      <c r="A1411" t="inlineStr">
        <is>
          <t>Milho</t>
        </is>
      </c>
      <c r="B1411" t="inlineStr">
        <is>
          <t>Balsas - MA</t>
        </is>
      </c>
      <c r="C1411" t="n">
        <v>-7.53214</v>
      </c>
      <c r="D1411" t="n">
        <v>-46.0372</v>
      </c>
      <c r="E1411" t="inlineStr">
        <is>
          <t>2021-12</t>
        </is>
      </c>
      <c r="F1411" t="n">
        <v>0</v>
      </c>
    </row>
    <row r="1412">
      <c r="A1412" t="inlineStr">
        <is>
          <t>Milho</t>
        </is>
      </c>
      <c r="B1412" t="inlineStr">
        <is>
          <t>Unaí - MG</t>
        </is>
      </c>
      <c r="C1412" t="n">
        <v>-16.3592</v>
      </c>
      <c r="D1412" t="n">
        <v>-46.9022</v>
      </c>
      <c r="E1412" t="inlineStr">
        <is>
          <t>2022-01</t>
        </is>
      </c>
      <c r="F1412" t="n">
        <v>0</v>
      </c>
    </row>
    <row r="1413">
      <c r="A1413" t="inlineStr">
        <is>
          <t>Milho</t>
        </is>
      </c>
      <c r="B1413" t="inlineStr">
        <is>
          <t>Unaí - MG</t>
        </is>
      </c>
      <c r="C1413" t="n">
        <v>-16.3592</v>
      </c>
      <c r="D1413" t="n">
        <v>-46.9022</v>
      </c>
      <c r="E1413" t="inlineStr">
        <is>
          <t>2022-02</t>
        </is>
      </c>
      <c r="F1413" t="n">
        <v>0</v>
      </c>
    </row>
    <row r="1414">
      <c r="A1414" t="inlineStr">
        <is>
          <t>Milho</t>
        </is>
      </c>
      <c r="B1414" t="inlineStr">
        <is>
          <t>Unaí - MG</t>
        </is>
      </c>
      <c r="C1414" t="n">
        <v>-16.3592</v>
      </c>
      <c r="D1414" t="n">
        <v>-46.9022</v>
      </c>
      <c r="E1414" t="inlineStr">
        <is>
          <t>2022-03</t>
        </is>
      </c>
      <c r="F1414" t="n">
        <v>0</v>
      </c>
    </row>
    <row r="1415">
      <c r="A1415" t="inlineStr">
        <is>
          <t>Milho</t>
        </is>
      </c>
      <c r="B1415" t="inlineStr">
        <is>
          <t>Unaí - MG</t>
        </is>
      </c>
      <c r="C1415" t="n">
        <v>-16.3592</v>
      </c>
      <c r="D1415" t="n">
        <v>-46.9022</v>
      </c>
      <c r="E1415" t="inlineStr">
        <is>
          <t>2022-04</t>
        </is>
      </c>
      <c r="F1415" t="n">
        <v>0</v>
      </c>
    </row>
    <row r="1416">
      <c r="A1416" t="inlineStr">
        <is>
          <t>Milho</t>
        </is>
      </c>
      <c r="B1416" t="inlineStr">
        <is>
          <t>Unaí - MG</t>
        </is>
      </c>
      <c r="C1416" t="n">
        <v>-16.3592</v>
      </c>
      <c r="D1416" t="n">
        <v>-46.9022</v>
      </c>
      <c r="E1416" t="inlineStr">
        <is>
          <t>2022-05</t>
        </is>
      </c>
      <c r="F1416" t="n">
        <v>0</v>
      </c>
    </row>
    <row r="1417">
      <c r="A1417" t="inlineStr">
        <is>
          <t>Milho</t>
        </is>
      </c>
      <c r="B1417" t="inlineStr">
        <is>
          <t>Unaí - MG</t>
        </is>
      </c>
      <c r="C1417" t="n">
        <v>-16.3592</v>
      </c>
      <c r="D1417" t="n">
        <v>-46.9022</v>
      </c>
      <c r="E1417" t="inlineStr">
        <is>
          <t>2022-06</t>
        </is>
      </c>
      <c r="F1417" t="n">
        <v>0</v>
      </c>
    </row>
    <row r="1418">
      <c r="A1418" t="inlineStr">
        <is>
          <t>Milho</t>
        </is>
      </c>
      <c r="B1418" t="inlineStr">
        <is>
          <t>Unaí - MG</t>
        </is>
      </c>
      <c r="C1418" t="n">
        <v>-16.3592</v>
      </c>
      <c r="D1418" t="n">
        <v>-46.9022</v>
      </c>
      <c r="E1418" t="inlineStr">
        <is>
          <t>2021-07</t>
        </is>
      </c>
      <c r="F1418" t="n">
        <v>0</v>
      </c>
    </row>
    <row r="1419">
      <c r="A1419" t="inlineStr">
        <is>
          <t>Milho</t>
        </is>
      </c>
      <c r="B1419" t="inlineStr">
        <is>
          <t>Unaí - MG</t>
        </is>
      </c>
      <c r="C1419" t="n">
        <v>-16.3592</v>
      </c>
      <c r="D1419" t="n">
        <v>-46.9022</v>
      </c>
      <c r="E1419" t="inlineStr">
        <is>
          <t>2021-08</t>
        </is>
      </c>
      <c r="F1419" t="n">
        <v>0</v>
      </c>
    </row>
    <row r="1420">
      <c r="A1420" t="inlineStr">
        <is>
          <t>Milho</t>
        </is>
      </c>
      <c r="B1420" t="inlineStr">
        <is>
          <t>Unaí - MG</t>
        </is>
      </c>
      <c r="C1420" t="n">
        <v>-16.3592</v>
      </c>
      <c r="D1420" t="n">
        <v>-46.9022</v>
      </c>
      <c r="E1420" t="inlineStr">
        <is>
          <t>2021-09</t>
        </is>
      </c>
      <c r="F1420" t="n">
        <v>0</v>
      </c>
    </row>
    <row r="1421">
      <c r="A1421" t="inlineStr">
        <is>
          <t>Milho</t>
        </is>
      </c>
      <c r="B1421" t="inlineStr">
        <is>
          <t>Unaí - MG</t>
        </is>
      </c>
      <c r="C1421" t="n">
        <v>-16.3592</v>
      </c>
      <c r="D1421" t="n">
        <v>-46.9022</v>
      </c>
      <c r="E1421" t="inlineStr">
        <is>
          <t>2021-10</t>
        </is>
      </c>
      <c r="F1421" t="n">
        <v>0</v>
      </c>
    </row>
    <row r="1422">
      <c r="A1422" t="inlineStr">
        <is>
          <t>Milho</t>
        </is>
      </c>
      <c r="B1422" t="inlineStr">
        <is>
          <t>Unaí - MG</t>
        </is>
      </c>
      <c r="C1422" t="n">
        <v>-16.3592</v>
      </c>
      <c r="D1422" t="n">
        <v>-46.9022</v>
      </c>
      <c r="E1422" t="inlineStr">
        <is>
          <t>2021-11</t>
        </is>
      </c>
      <c r="F1422" t="n">
        <v>0</v>
      </c>
    </row>
    <row r="1423">
      <c r="A1423" t="inlineStr">
        <is>
          <t>Milho</t>
        </is>
      </c>
      <c r="B1423" t="inlineStr">
        <is>
          <t>Unaí - MG</t>
        </is>
      </c>
      <c r="C1423" t="n">
        <v>-16.3592</v>
      </c>
      <c r="D1423" t="n">
        <v>-46.9022</v>
      </c>
      <c r="E1423" t="inlineStr">
        <is>
          <t>2021-12</t>
        </is>
      </c>
      <c r="F1423" t="n">
        <v>0</v>
      </c>
    </row>
    <row r="1424">
      <c r="A1424" t="inlineStr">
        <is>
          <t>Milho</t>
        </is>
      </c>
      <c r="B1424" t="inlineStr">
        <is>
          <t>Maracaju - MS</t>
        </is>
      </c>
      <c r="C1424" t="n">
        <v>-21.6105</v>
      </c>
      <c r="D1424" t="n">
        <v>-55.1678</v>
      </c>
      <c r="E1424" t="inlineStr">
        <is>
          <t>2022-01</t>
        </is>
      </c>
      <c r="F1424" t="n">
        <v>0</v>
      </c>
    </row>
    <row r="1425">
      <c r="A1425" t="inlineStr">
        <is>
          <t>Milho</t>
        </is>
      </c>
      <c r="B1425" t="inlineStr">
        <is>
          <t>Maracaju - MS</t>
        </is>
      </c>
      <c r="C1425" t="n">
        <v>-21.6105</v>
      </c>
      <c r="D1425" t="n">
        <v>-55.1678</v>
      </c>
      <c r="E1425" t="inlineStr">
        <is>
          <t>2022-02</t>
        </is>
      </c>
      <c r="F1425" t="n">
        <v>0</v>
      </c>
    </row>
    <row r="1426">
      <c r="A1426" t="inlineStr">
        <is>
          <t>Milho</t>
        </is>
      </c>
      <c r="B1426" t="inlineStr">
        <is>
          <t>Maracaju - MS</t>
        </is>
      </c>
      <c r="C1426" t="n">
        <v>-21.6105</v>
      </c>
      <c r="D1426" t="n">
        <v>-55.1678</v>
      </c>
      <c r="E1426" t="inlineStr">
        <is>
          <t>2022-03</t>
        </is>
      </c>
      <c r="F1426" t="n">
        <v>0</v>
      </c>
    </row>
    <row r="1427">
      <c r="A1427" t="inlineStr">
        <is>
          <t>Milho</t>
        </is>
      </c>
      <c r="B1427" t="inlineStr">
        <is>
          <t>Maracaju - MS</t>
        </is>
      </c>
      <c r="C1427" t="n">
        <v>-21.6105</v>
      </c>
      <c r="D1427" t="n">
        <v>-55.1678</v>
      </c>
      <c r="E1427" t="inlineStr">
        <is>
          <t>2022-04</t>
        </is>
      </c>
      <c r="F1427" t="n">
        <v>0</v>
      </c>
    </row>
    <row r="1428">
      <c r="A1428" t="inlineStr">
        <is>
          <t>Milho</t>
        </is>
      </c>
      <c r="B1428" t="inlineStr">
        <is>
          <t>Maracaju - MS</t>
        </is>
      </c>
      <c r="C1428" t="n">
        <v>-21.6105</v>
      </c>
      <c r="D1428" t="n">
        <v>-55.1678</v>
      </c>
      <c r="E1428" t="inlineStr">
        <is>
          <t>2022-05</t>
        </is>
      </c>
      <c r="F1428" t="n">
        <v>0</v>
      </c>
    </row>
    <row r="1429">
      <c r="A1429" t="inlineStr">
        <is>
          <t>Milho</t>
        </is>
      </c>
      <c r="B1429" t="inlineStr">
        <is>
          <t>Maracaju - MS</t>
        </is>
      </c>
      <c r="C1429" t="n">
        <v>-21.6105</v>
      </c>
      <c r="D1429" t="n">
        <v>-55.1678</v>
      </c>
      <c r="E1429" t="inlineStr">
        <is>
          <t>2022-06</t>
        </is>
      </c>
      <c r="F1429" t="n">
        <v>0</v>
      </c>
    </row>
    <row r="1430">
      <c r="A1430" t="inlineStr">
        <is>
          <t>Milho</t>
        </is>
      </c>
      <c r="B1430" t="inlineStr">
        <is>
          <t>Maracaju - MS</t>
        </is>
      </c>
      <c r="C1430" t="n">
        <v>-21.6105</v>
      </c>
      <c r="D1430" t="n">
        <v>-55.1678</v>
      </c>
      <c r="E1430" t="inlineStr">
        <is>
          <t>2021-07</t>
        </is>
      </c>
      <c r="F1430" t="n">
        <v>0</v>
      </c>
    </row>
    <row r="1431">
      <c r="A1431" t="inlineStr">
        <is>
          <t>Milho</t>
        </is>
      </c>
      <c r="B1431" t="inlineStr">
        <is>
          <t>Maracaju - MS</t>
        </is>
      </c>
      <c r="C1431" t="n">
        <v>-21.6105</v>
      </c>
      <c r="D1431" t="n">
        <v>-55.1678</v>
      </c>
      <c r="E1431" t="inlineStr">
        <is>
          <t>2021-08</t>
        </is>
      </c>
      <c r="F1431" t="n">
        <v>0</v>
      </c>
    </row>
    <row r="1432">
      <c r="A1432" t="inlineStr">
        <is>
          <t>Milho</t>
        </is>
      </c>
      <c r="B1432" t="inlineStr">
        <is>
          <t>Maracaju - MS</t>
        </is>
      </c>
      <c r="C1432" t="n">
        <v>-21.6105</v>
      </c>
      <c r="D1432" t="n">
        <v>-55.1678</v>
      </c>
      <c r="E1432" t="inlineStr">
        <is>
          <t>2021-09</t>
        </is>
      </c>
      <c r="F1432" t="n">
        <v>0</v>
      </c>
    </row>
    <row r="1433">
      <c r="A1433" t="inlineStr">
        <is>
          <t>Milho</t>
        </is>
      </c>
      <c r="B1433" t="inlineStr">
        <is>
          <t>Maracaju - MS</t>
        </is>
      </c>
      <c r="C1433" t="n">
        <v>-21.6105</v>
      </c>
      <c r="D1433" t="n">
        <v>-55.1678</v>
      </c>
      <c r="E1433" t="inlineStr">
        <is>
          <t>2021-10</t>
        </is>
      </c>
      <c r="F1433" t="n">
        <v>0</v>
      </c>
    </row>
    <row r="1434">
      <c r="A1434" t="inlineStr">
        <is>
          <t>Milho</t>
        </is>
      </c>
      <c r="B1434" t="inlineStr">
        <is>
          <t>Maracaju - MS</t>
        </is>
      </c>
      <c r="C1434" t="n">
        <v>-21.6105</v>
      </c>
      <c r="D1434" t="n">
        <v>-55.1678</v>
      </c>
      <c r="E1434" t="inlineStr">
        <is>
          <t>2021-11</t>
        </is>
      </c>
      <c r="F1434" t="n">
        <v>0</v>
      </c>
    </row>
    <row r="1435">
      <c r="A1435" t="inlineStr">
        <is>
          <t>Milho</t>
        </is>
      </c>
      <c r="B1435" t="inlineStr">
        <is>
          <t>Maracaju - MS</t>
        </is>
      </c>
      <c r="C1435" t="n">
        <v>-21.6105</v>
      </c>
      <c r="D1435" t="n">
        <v>-55.1678</v>
      </c>
      <c r="E1435" t="inlineStr">
        <is>
          <t>2021-12</t>
        </is>
      </c>
      <c r="F1435" t="n">
        <v>0</v>
      </c>
    </row>
    <row r="1436">
      <c r="A1436" t="inlineStr">
        <is>
          <t>Milho</t>
        </is>
      </c>
      <c r="B1436" t="inlineStr">
        <is>
          <t>Sorriso - MT</t>
        </is>
      </c>
      <c r="C1436" t="n">
        <v>-12.5425</v>
      </c>
      <c r="D1436" t="n">
        <v>-55.7211</v>
      </c>
      <c r="E1436" t="inlineStr">
        <is>
          <t>2022-01</t>
        </is>
      </c>
      <c r="F1436" t="n">
        <v>0</v>
      </c>
    </row>
    <row r="1437">
      <c r="A1437" t="inlineStr">
        <is>
          <t>Milho</t>
        </is>
      </c>
      <c r="B1437" t="inlineStr">
        <is>
          <t>Sorriso - MT</t>
        </is>
      </c>
      <c r="C1437" t="n">
        <v>-12.5425</v>
      </c>
      <c r="D1437" t="n">
        <v>-55.7211</v>
      </c>
      <c r="E1437" t="inlineStr">
        <is>
          <t>2022-02</t>
        </is>
      </c>
      <c r="F1437" t="n">
        <v>0</v>
      </c>
    </row>
    <row r="1438">
      <c r="A1438" t="inlineStr">
        <is>
          <t>Milho</t>
        </is>
      </c>
      <c r="B1438" t="inlineStr">
        <is>
          <t>Sorriso - MT</t>
        </is>
      </c>
      <c r="C1438" t="n">
        <v>-12.5425</v>
      </c>
      <c r="D1438" t="n">
        <v>-55.7211</v>
      </c>
      <c r="E1438" t="inlineStr">
        <is>
          <t>2022-03</t>
        </is>
      </c>
      <c r="F1438" t="n">
        <v>0</v>
      </c>
    </row>
    <row r="1439">
      <c r="A1439" t="inlineStr">
        <is>
          <t>Milho</t>
        </is>
      </c>
      <c r="B1439" t="inlineStr">
        <is>
          <t>Sorriso - MT</t>
        </is>
      </c>
      <c r="C1439" t="n">
        <v>-12.5425</v>
      </c>
      <c r="D1439" t="n">
        <v>-55.7211</v>
      </c>
      <c r="E1439" t="inlineStr">
        <is>
          <t>2022-04</t>
        </is>
      </c>
      <c r="F1439" t="n">
        <v>0</v>
      </c>
    </row>
    <row r="1440">
      <c r="A1440" t="inlineStr">
        <is>
          <t>Milho</t>
        </is>
      </c>
      <c r="B1440" t="inlineStr">
        <is>
          <t>Sorriso - MT</t>
        </is>
      </c>
      <c r="C1440" t="n">
        <v>-12.5425</v>
      </c>
      <c r="D1440" t="n">
        <v>-55.7211</v>
      </c>
      <c r="E1440" t="inlineStr">
        <is>
          <t>2022-05</t>
        </is>
      </c>
      <c r="F1440" t="n">
        <v>0</v>
      </c>
    </row>
    <row r="1441">
      <c r="A1441" t="inlineStr">
        <is>
          <t>Milho</t>
        </is>
      </c>
      <c r="B1441" t="inlineStr">
        <is>
          <t>Sorriso - MT</t>
        </is>
      </c>
      <c r="C1441" t="n">
        <v>-12.5425</v>
      </c>
      <c r="D1441" t="n">
        <v>-55.7211</v>
      </c>
      <c r="E1441" t="inlineStr">
        <is>
          <t>2022-06</t>
        </is>
      </c>
      <c r="F1441" t="n">
        <v>0</v>
      </c>
    </row>
    <row r="1442">
      <c r="A1442" t="inlineStr">
        <is>
          <t>Milho</t>
        </is>
      </c>
      <c r="B1442" t="inlineStr">
        <is>
          <t>Sorriso - MT</t>
        </is>
      </c>
      <c r="C1442" t="n">
        <v>-12.5425</v>
      </c>
      <c r="D1442" t="n">
        <v>-55.7211</v>
      </c>
      <c r="E1442" t="inlineStr">
        <is>
          <t>2021-07</t>
        </is>
      </c>
      <c r="F1442" t="n">
        <v>0</v>
      </c>
    </row>
    <row r="1443">
      <c r="A1443" t="inlineStr">
        <is>
          <t>Milho</t>
        </is>
      </c>
      <c r="B1443" t="inlineStr">
        <is>
          <t>Sorriso - MT</t>
        </is>
      </c>
      <c r="C1443" t="n">
        <v>-12.5425</v>
      </c>
      <c r="D1443" t="n">
        <v>-55.7211</v>
      </c>
      <c r="E1443" t="inlineStr">
        <is>
          <t>2021-08</t>
        </is>
      </c>
      <c r="F1443" t="n">
        <v>0</v>
      </c>
    </row>
    <row r="1444">
      <c r="A1444" t="inlineStr">
        <is>
          <t>Milho</t>
        </is>
      </c>
      <c r="B1444" t="inlineStr">
        <is>
          <t>Sorriso - MT</t>
        </is>
      </c>
      <c r="C1444" t="n">
        <v>-12.5425</v>
      </c>
      <c r="D1444" t="n">
        <v>-55.7211</v>
      </c>
      <c r="E1444" t="inlineStr">
        <is>
          <t>2021-09</t>
        </is>
      </c>
      <c r="F1444" t="n">
        <v>0</v>
      </c>
    </row>
    <row r="1445">
      <c r="A1445" t="inlineStr">
        <is>
          <t>Milho</t>
        </is>
      </c>
      <c r="B1445" t="inlineStr">
        <is>
          <t>Sorriso - MT</t>
        </is>
      </c>
      <c r="C1445" t="n">
        <v>-12.5425</v>
      </c>
      <c r="D1445" t="n">
        <v>-55.7211</v>
      </c>
      <c r="E1445" t="inlineStr">
        <is>
          <t>2021-10</t>
        </is>
      </c>
      <c r="F1445" t="n">
        <v>0</v>
      </c>
    </row>
    <row r="1446">
      <c r="A1446" t="inlineStr">
        <is>
          <t>Milho</t>
        </is>
      </c>
      <c r="B1446" t="inlineStr">
        <is>
          <t>Sorriso - MT</t>
        </is>
      </c>
      <c r="C1446" t="n">
        <v>-12.5425</v>
      </c>
      <c r="D1446" t="n">
        <v>-55.7211</v>
      </c>
      <c r="E1446" t="inlineStr">
        <is>
          <t>2021-11</t>
        </is>
      </c>
      <c r="F1446" t="n">
        <v>0</v>
      </c>
    </row>
    <row r="1447">
      <c r="A1447" t="inlineStr">
        <is>
          <t>Milho</t>
        </is>
      </c>
      <c r="B1447" t="inlineStr">
        <is>
          <t>Sorriso - MT</t>
        </is>
      </c>
      <c r="C1447" t="n">
        <v>-12.5425</v>
      </c>
      <c r="D1447" t="n">
        <v>-55.7211</v>
      </c>
      <c r="E1447" t="inlineStr">
        <is>
          <t>2021-12</t>
        </is>
      </c>
      <c r="F1447" t="n">
        <v>0</v>
      </c>
    </row>
    <row r="1448">
      <c r="A1448" t="inlineStr">
        <is>
          <t>Milho</t>
        </is>
      </c>
      <c r="B1448" t="inlineStr">
        <is>
          <t>Santana do Araguaia - PA</t>
        </is>
      </c>
      <c r="C1448" t="n">
        <v>-9.328099999999999</v>
      </c>
      <c r="D1448" t="n">
        <v>-50.35</v>
      </c>
      <c r="E1448" t="inlineStr">
        <is>
          <t>2022-01</t>
        </is>
      </c>
      <c r="F1448" t="n">
        <v>0</v>
      </c>
    </row>
    <row r="1449">
      <c r="A1449" t="inlineStr">
        <is>
          <t>Milho</t>
        </is>
      </c>
      <c r="B1449" t="inlineStr">
        <is>
          <t>Santana do Araguaia - PA</t>
        </is>
      </c>
      <c r="C1449" t="n">
        <v>-9.328099999999999</v>
      </c>
      <c r="D1449" t="n">
        <v>-50.35</v>
      </c>
      <c r="E1449" t="inlineStr">
        <is>
          <t>2022-02</t>
        </is>
      </c>
      <c r="F1449" t="n">
        <v>0</v>
      </c>
    </row>
    <row r="1450">
      <c r="A1450" t="inlineStr">
        <is>
          <t>Milho</t>
        </is>
      </c>
      <c r="B1450" t="inlineStr">
        <is>
          <t>Santana do Araguaia - PA</t>
        </is>
      </c>
      <c r="C1450" t="n">
        <v>-9.328099999999999</v>
      </c>
      <c r="D1450" t="n">
        <v>-50.35</v>
      </c>
      <c r="E1450" t="inlineStr">
        <is>
          <t>2022-03</t>
        </is>
      </c>
      <c r="F1450" t="n">
        <v>0</v>
      </c>
    </row>
    <row r="1451">
      <c r="A1451" t="inlineStr">
        <is>
          <t>Milho</t>
        </is>
      </c>
      <c r="B1451" t="inlineStr">
        <is>
          <t>Santana do Araguaia - PA</t>
        </is>
      </c>
      <c r="C1451" t="n">
        <v>-9.328099999999999</v>
      </c>
      <c r="D1451" t="n">
        <v>-50.35</v>
      </c>
      <c r="E1451" t="inlineStr">
        <is>
          <t>2022-04</t>
        </is>
      </c>
      <c r="F1451" t="n">
        <v>0</v>
      </c>
    </row>
    <row r="1452">
      <c r="A1452" t="inlineStr">
        <is>
          <t>Milho</t>
        </is>
      </c>
      <c r="B1452" t="inlineStr">
        <is>
          <t>Santana do Araguaia - PA</t>
        </is>
      </c>
      <c r="C1452" t="n">
        <v>-9.328099999999999</v>
      </c>
      <c r="D1452" t="n">
        <v>-50.35</v>
      </c>
      <c r="E1452" t="inlineStr">
        <is>
          <t>2022-05</t>
        </is>
      </c>
      <c r="F1452" t="n">
        <v>0</v>
      </c>
    </row>
    <row r="1453">
      <c r="A1453" t="inlineStr">
        <is>
          <t>Milho</t>
        </is>
      </c>
      <c r="B1453" t="inlineStr">
        <is>
          <t>Santana do Araguaia - PA</t>
        </is>
      </c>
      <c r="C1453" t="n">
        <v>-9.328099999999999</v>
      </c>
      <c r="D1453" t="n">
        <v>-50.35</v>
      </c>
      <c r="E1453" t="inlineStr">
        <is>
          <t>2022-06</t>
        </is>
      </c>
      <c r="F1453" t="n">
        <v>0</v>
      </c>
    </row>
    <row r="1454">
      <c r="A1454" t="inlineStr">
        <is>
          <t>Milho</t>
        </is>
      </c>
      <c r="B1454" t="inlineStr">
        <is>
          <t>Santana do Araguaia - PA</t>
        </is>
      </c>
      <c r="C1454" t="n">
        <v>-9.328099999999999</v>
      </c>
      <c r="D1454" t="n">
        <v>-50.35</v>
      </c>
      <c r="E1454" t="inlineStr">
        <is>
          <t>2021-07</t>
        </is>
      </c>
      <c r="F1454" t="n">
        <v>0</v>
      </c>
    </row>
    <row r="1455">
      <c r="A1455" t="inlineStr">
        <is>
          <t>Milho</t>
        </is>
      </c>
      <c r="B1455" t="inlineStr">
        <is>
          <t>Santana do Araguaia - PA</t>
        </is>
      </c>
      <c r="C1455" t="n">
        <v>-9.328099999999999</v>
      </c>
      <c r="D1455" t="n">
        <v>-50.35</v>
      </c>
      <c r="E1455" t="inlineStr">
        <is>
          <t>2021-08</t>
        </is>
      </c>
      <c r="F1455" t="n">
        <v>0</v>
      </c>
    </row>
    <row r="1456">
      <c r="A1456" t="inlineStr">
        <is>
          <t>Milho</t>
        </is>
      </c>
      <c r="B1456" t="inlineStr">
        <is>
          <t>Santana do Araguaia - PA</t>
        </is>
      </c>
      <c r="C1456" t="n">
        <v>-9.328099999999999</v>
      </c>
      <c r="D1456" t="n">
        <v>-50.35</v>
      </c>
      <c r="E1456" t="inlineStr">
        <is>
          <t>2021-09</t>
        </is>
      </c>
      <c r="F1456" t="n">
        <v>0</v>
      </c>
    </row>
    <row r="1457">
      <c r="A1457" t="inlineStr">
        <is>
          <t>Milho</t>
        </is>
      </c>
      <c r="B1457" t="inlineStr">
        <is>
          <t>Santana do Araguaia - PA</t>
        </is>
      </c>
      <c r="C1457" t="n">
        <v>-9.328099999999999</v>
      </c>
      <c r="D1457" t="n">
        <v>-50.35</v>
      </c>
      <c r="E1457" t="inlineStr">
        <is>
          <t>2021-10</t>
        </is>
      </c>
      <c r="F1457" t="n">
        <v>0</v>
      </c>
    </row>
    <row r="1458">
      <c r="A1458" t="inlineStr">
        <is>
          <t>Milho</t>
        </is>
      </c>
      <c r="B1458" t="inlineStr">
        <is>
          <t>Santana do Araguaia - PA</t>
        </is>
      </c>
      <c r="C1458" t="n">
        <v>-9.328099999999999</v>
      </c>
      <c r="D1458" t="n">
        <v>-50.35</v>
      </c>
      <c r="E1458" t="inlineStr">
        <is>
          <t>2021-11</t>
        </is>
      </c>
      <c r="F1458" t="n">
        <v>0</v>
      </c>
    </row>
    <row r="1459">
      <c r="A1459" t="inlineStr">
        <is>
          <t>Milho</t>
        </is>
      </c>
      <c r="B1459" t="inlineStr">
        <is>
          <t>Santana do Araguaia - PA</t>
        </is>
      </c>
      <c r="C1459" t="n">
        <v>-9.328099999999999</v>
      </c>
      <c r="D1459" t="n">
        <v>-50.35</v>
      </c>
      <c r="E1459" t="inlineStr">
        <is>
          <t>2021-12</t>
        </is>
      </c>
      <c r="F1459" t="n">
        <v>0</v>
      </c>
    </row>
    <row r="1460">
      <c r="A1460" t="inlineStr">
        <is>
          <t>Milho</t>
        </is>
      </c>
      <c r="B1460" t="inlineStr">
        <is>
          <t>Sousa - PB</t>
        </is>
      </c>
      <c r="C1460" t="n">
        <v>-6.75148</v>
      </c>
      <c r="D1460" t="n">
        <v>-38.2311</v>
      </c>
      <c r="E1460" t="inlineStr">
        <is>
          <t>2022-01</t>
        </is>
      </c>
      <c r="F1460" t="n">
        <v>0</v>
      </c>
    </row>
    <row r="1461">
      <c r="A1461" t="inlineStr">
        <is>
          <t>Milho</t>
        </is>
      </c>
      <c r="B1461" t="inlineStr">
        <is>
          <t>Sousa - PB</t>
        </is>
      </c>
      <c r="C1461" t="n">
        <v>-6.75148</v>
      </c>
      <c r="D1461" t="n">
        <v>-38.2311</v>
      </c>
      <c r="E1461" t="inlineStr">
        <is>
          <t>2022-02</t>
        </is>
      </c>
      <c r="F1461" t="n">
        <v>0</v>
      </c>
    </row>
    <row r="1462">
      <c r="A1462" t="inlineStr">
        <is>
          <t>Milho</t>
        </is>
      </c>
      <c r="B1462" t="inlineStr">
        <is>
          <t>Sousa - PB</t>
        </is>
      </c>
      <c r="C1462" t="n">
        <v>-6.75148</v>
      </c>
      <c r="D1462" t="n">
        <v>-38.2311</v>
      </c>
      <c r="E1462" t="inlineStr">
        <is>
          <t>2022-03</t>
        </is>
      </c>
      <c r="F1462" t="n">
        <v>0</v>
      </c>
    </row>
    <row r="1463">
      <c r="A1463" t="inlineStr">
        <is>
          <t>Milho</t>
        </is>
      </c>
      <c r="B1463" t="inlineStr">
        <is>
          <t>Sousa - PB</t>
        </is>
      </c>
      <c r="C1463" t="n">
        <v>-6.75148</v>
      </c>
      <c r="D1463" t="n">
        <v>-38.2311</v>
      </c>
      <c r="E1463" t="inlineStr">
        <is>
          <t>2022-04</t>
        </is>
      </c>
      <c r="F1463" t="n">
        <v>0</v>
      </c>
    </row>
    <row r="1464">
      <c r="A1464" t="inlineStr">
        <is>
          <t>Milho</t>
        </is>
      </c>
      <c r="B1464" t="inlineStr">
        <is>
          <t>Sousa - PB</t>
        </is>
      </c>
      <c r="C1464" t="n">
        <v>-6.75148</v>
      </c>
      <c r="D1464" t="n">
        <v>-38.2311</v>
      </c>
      <c r="E1464" t="inlineStr">
        <is>
          <t>2022-05</t>
        </is>
      </c>
      <c r="F1464" t="n">
        <v>0</v>
      </c>
    </row>
    <row r="1465">
      <c r="A1465" t="inlineStr">
        <is>
          <t>Milho</t>
        </is>
      </c>
      <c r="B1465" t="inlineStr">
        <is>
          <t>Sousa - PB</t>
        </is>
      </c>
      <c r="C1465" t="n">
        <v>-6.75148</v>
      </c>
      <c r="D1465" t="n">
        <v>-38.2311</v>
      </c>
      <c r="E1465" t="inlineStr">
        <is>
          <t>2022-06</t>
        </is>
      </c>
      <c r="F1465" t="n">
        <v>0</v>
      </c>
    </row>
    <row r="1466">
      <c r="A1466" t="inlineStr">
        <is>
          <t>Milho</t>
        </is>
      </c>
      <c r="B1466" t="inlineStr">
        <is>
          <t>Sousa - PB</t>
        </is>
      </c>
      <c r="C1466" t="n">
        <v>-6.75148</v>
      </c>
      <c r="D1466" t="n">
        <v>-38.2311</v>
      </c>
      <c r="E1466" t="inlineStr">
        <is>
          <t>2021-07</t>
        </is>
      </c>
      <c r="F1466" t="n">
        <v>0</v>
      </c>
    </row>
    <row r="1467">
      <c r="A1467" t="inlineStr">
        <is>
          <t>Milho</t>
        </is>
      </c>
      <c r="B1467" t="inlineStr">
        <is>
          <t>Sousa - PB</t>
        </is>
      </c>
      <c r="C1467" t="n">
        <v>-6.75148</v>
      </c>
      <c r="D1467" t="n">
        <v>-38.2311</v>
      </c>
      <c r="E1467" t="inlineStr">
        <is>
          <t>2021-08</t>
        </is>
      </c>
      <c r="F1467" t="n">
        <v>0</v>
      </c>
    </row>
    <row r="1468">
      <c r="A1468" t="inlineStr">
        <is>
          <t>Milho</t>
        </is>
      </c>
      <c r="B1468" t="inlineStr">
        <is>
          <t>Sousa - PB</t>
        </is>
      </c>
      <c r="C1468" t="n">
        <v>-6.75148</v>
      </c>
      <c r="D1468" t="n">
        <v>-38.2311</v>
      </c>
      <c r="E1468" t="inlineStr">
        <is>
          <t>2021-09</t>
        </is>
      </c>
      <c r="F1468" t="n">
        <v>0</v>
      </c>
    </row>
    <row r="1469">
      <c r="A1469" t="inlineStr">
        <is>
          <t>Milho</t>
        </is>
      </c>
      <c r="B1469" t="inlineStr">
        <is>
          <t>Sousa - PB</t>
        </is>
      </c>
      <c r="C1469" t="n">
        <v>-6.75148</v>
      </c>
      <c r="D1469" t="n">
        <v>-38.2311</v>
      </c>
      <c r="E1469" t="inlineStr">
        <is>
          <t>2021-10</t>
        </is>
      </c>
      <c r="F1469" t="n">
        <v>0</v>
      </c>
    </row>
    <row r="1470">
      <c r="A1470" t="inlineStr">
        <is>
          <t>Milho</t>
        </is>
      </c>
      <c r="B1470" t="inlineStr">
        <is>
          <t>Sousa - PB</t>
        </is>
      </c>
      <c r="C1470" t="n">
        <v>-6.75148</v>
      </c>
      <c r="D1470" t="n">
        <v>-38.2311</v>
      </c>
      <c r="E1470" t="inlineStr">
        <is>
          <t>2021-11</t>
        </is>
      </c>
      <c r="F1470" t="n">
        <v>0</v>
      </c>
    </row>
    <row r="1471">
      <c r="A1471" t="inlineStr">
        <is>
          <t>Milho</t>
        </is>
      </c>
      <c r="B1471" t="inlineStr">
        <is>
          <t>Sousa - PB</t>
        </is>
      </c>
      <c r="C1471" t="n">
        <v>-6.75148</v>
      </c>
      <c r="D1471" t="n">
        <v>-38.2311</v>
      </c>
      <c r="E1471" t="inlineStr">
        <is>
          <t>2021-12</t>
        </is>
      </c>
      <c r="F1471" t="n">
        <v>0</v>
      </c>
    </row>
    <row r="1472">
      <c r="A1472" t="inlineStr">
        <is>
          <t>Milho</t>
        </is>
      </c>
      <c r="B1472" t="inlineStr">
        <is>
          <t>Exu - PE</t>
        </is>
      </c>
      <c r="C1472" t="n">
        <v>-7.50364</v>
      </c>
      <c r="D1472" t="n">
        <v>-39.7238</v>
      </c>
      <c r="E1472" t="inlineStr">
        <is>
          <t>2022-01</t>
        </is>
      </c>
      <c r="F1472" t="n">
        <v>0</v>
      </c>
    </row>
    <row r="1473">
      <c r="A1473" t="inlineStr">
        <is>
          <t>Milho</t>
        </is>
      </c>
      <c r="B1473" t="inlineStr">
        <is>
          <t>Exu - PE</t>
        </is>
      </c>
      <c r="C1473" t="n">
        <v>-7.50364</v>
      </c>
      <c r="D1473" t="n">
        <v>-39.7238</v>
      </c>
      <c r="E1473" t="inlineStr">
        <is>
          <t>2022-02</t>
        </is>
      </c>
      <c r="F1473" t="n">
        <v>0</v>
      </c>
    </row>
    <row r="1474">
      <c r="A1474" t="inlineStr">
        <is>
          <t>Milho</t>
        </is>
      </c>
      <c r="B1474" t="inlineStr">
        <is>
          <t>Exu - PE</t>
        </is>
      </c>
      <c r="C1474" t="n">
        <v>-7.50364</v>
      </c>
      <c r="D1474" t="n">
        <v>-39.7238</v>
      </c>
      <c r="E1474" t="inlineStr">
        <is>
          <t>2022-03</t>
        </is>
      </c>
      <c r="F1474" t="n">
        <v>0</v>
      </c>
    </row>
    <row r="1475">
      <c r="A1475" t="inlineStr">
        <is>
          <t>Milho</t>
        </is>
      </c>
      <c r="B1475" t="inlineStr">
        <is>
          <t>Exu - PE</t>
        </is>
      </c>
      <c r="C1475" t="n">
        <v>-7.50364</v>
      </c>
      <c r="D1475" t="n">
        <v>-39.7238</v>
      </c>
      <c r="E1475" t="inlineStr">
        <is>
          <t>2022-04</t>
        </is>
      </c>
      <c r="F1475" t="n">
        <v>0</v>
      </c>
    </row>
    <row r="1476">
      <c r="A1476" t="inlineStr">
        <is>
          <t>Milho</t>
        </is>
      </c>
      <c r="B1476" t="inlineStr">
        <is>
          <t>Exu - PE</t>
        </is>
      </c>
      <c r="C1476" t="n">
        <v>-7.50364</v>
      </c>
      <c r="D1476" t="n">
        <v>-39.7238</v>
      </c>
      <c r="E1476" t="inlineStr">
        <is>
          <t>2022-05</t>
        </is>
      </c>
      <c r="F1476" t="n">
        <v>5569.690608478052</v>
      </c>
    </row>
    <row r="1477">
      <c r="A1477" t="inlineStr">
        <is>
          <t>Milho</t>
        </is>
      </c>
      <c r="B1477" t="inlineStr">
        <is>
          <t>Exu - PE</t>
        </is>
      </c>
      <c r="C1477" t="n">
        <v>-7.50364</v>
      </c>
      <c r="D1477" t="n">
        <v>-39.7238</v>
      </c>
      <c r="E1477" t="inlineStr">
        <is>
          <t>2022-06</t>
        </is>
      </c>
      <c r="F1477" t="n">
        <v>4922.116746553145</v>
      </c>
    </row>
    <row r="1478">
      <c r="A1478" t="inlineStr">
        <is>
          <t>Milho</t>
        </is>
      </c>
      <c r="B1478" t="inlineStr">
        <is>
          <t>Exu - PE</t>
        </is>
      </c>
      <c r="C1478" t="n">
        <v>-7.50364</v>
      </c>
      <c r="D1478" t="n">
        <v>-39.7238</v>
      </c>
      <c r="E1478" t="inlineStr">
        <is>
          <t>2021-07</t>
        </is>
      </c>
      <c r="F1478" t="n">
        <v>4599.778377605294</v>
      </c>
    </row>
    <row r="1479">
      <c r="A1479" t="inlineStr">
        <is>
          <t>Milho</t>
        </is>
      </c>
      <c r="B1479" t="inlineStr">
        <is>
          <t>Exu - PE</t>
        </is>
      </c>
      <c r="C1479" t="n">
        <v>-7.50364</v>
      </c>
      <c r="D1479" t="n">
        <v>-39.7238</v>
      </c>
      <c r="E1479" t="inlineStr">
        <is>
          <t>2021-08</t>
        </is>
      </c>
      <c r="F1479" t="n">
        <v>12846.05465157911</v>
      </c>
    </row>
    <row r="1480">
      <c r="A1480" t="inlineStr">
        <is>
          <t>Milho</t>
        </is>
      </c>
      <c r="B1480" t="inlineStr">
        <is>
          <t>Exu - PE</t>
        </is>
      </c>
      <c r="C1480" t="n">
        <v>-7.50364</v>
      </c>
      <c r="D1480" t="n">
        <v>-39.7238</v>
      </c>
      <c r="E1480" t="inlineStr">
        <is>
          <t>2021-09</t>
        </is>
      </c>
      <c r="F1480" t="n">
        <v>5882.549108559935</v>
      </c>
    </row>
    <row r="1481">
      <c r="A1481" t="inlineStr">
        <is>
          <t>Milho</t>
        </is>
      </c>
      <c r="B1481" t="inlineStr">
        <is>
          <t>Exu - PE</t>
        </is>
      </c>
      <c r="C1481" t="n">
        <v>-7.50364</v>
      </c>
      <c r="D1481" t="n">
        <v>-39.7238</v>
      </c>
      <c r="E1481" t="inlineStr">
        <is>
          <t>2021-10</t>
        </is>
      </c>
      <c r="F1481" t="n">
        <v>17887.92394445006</v>
      </c>
    </row>
    <row r="1482">
      <c r="A1482" t="inlineStr">
        <is>
          <t>Milho</t>
        </is>
      </c>
      <c r="B1482" t="inlineStr">
        <is>
          <t>Exu - PE</t>
        </is>
      </c>
      <c r="C1482" t="n">
        <v>-7.50364</v>
      </c>
      <c r="D1482" t="n">
        <v>-39.7238</v>
      </c>
      <c r="E1482" t="inlineStr">
        <is>
          <t>2021-11</t>
        </is>
      </c>
      <c r="F1482" t="n">
        <v>65419.50616010571</v>
      </c>
    </row>
    <row r="1483">
      <c r="A1483" t="inlineStr">
        <is>
          <t>Milho</t>
        </is>
      </c>
      <c r="B1483" t="inlineStr">
        <is>
          <t>Exu - PE</t>
        </is>
      </c>
      <c r="C1483" t="n">
        <v>-7.50364</v>
      </c>
      <c r="D1483" t="n">
        <v>-39.7238</v>
      </c>
      <c r="E1483" t="inlineStr">
        <is>
          <t>2021-12</t>
        </is>
      </c>
      <c r="F1483" t="n">
        <v>0</v>
      </c>
    </row>
    <row r="1484">
      <c r="A1484" t="inlineStr">
        <is>
          <t>Milho</t>
        </is>
      </c>
      <c r="B1484" t="inlineStr">
        <is>
          <t>Baixa Grande do Ribeiro - PI</t>
        </is>
      </c>
      <c r="C1484" t="n">
        <v>-7.84903</v>
      </c>
      <c r="D1484" t="n">
        <v>-45.219</v>
      </c>
      <c r="E1484" t="inlineStr">
        <is>
          <t>2022-01</t>
        </is>
      </c>
      <c r="F1484" t="n">
        <v>0</v>
      </c>
    </row>
    <row r="1485">
      <c r="A1485" t="inlineStr">
        <is>
          <t>Milho</t>
        </is>
      </c>
      <c r="B1485" t="inlineStr">
        <is>
          <t>Baixa Grande do Ribeiro - PI</t>
        </is>
      </c>
      <c r="C1485" t="n">
        <v>-7.84903</v>
      </c>
      <c r="D1485" t="n">
        <v>-45.219</v>
      </c>
      <c r="E1485" t="inlineStr">
        <is>
          <t>2022-02</t>
        </is>
      </c>
      <c r="F1485" t="n">
        <v>0</v>
      </c>
    </row>
    <row r="1486">
      <c r="A1486" t="inlineStr">
        <is>
          <t>Milho</t>
        </is>
      </c>
      <c r="B1486" t="inlineStr">
        <is>
          <t>Baixa Grande do Ribeiro - PI</t>
        </is>
      </c>
      <c r="C1486" t="n">
        <v>-7.84903</v>
      </c>
      <c r="D1486" t="n">
        <v>-45.219</v>
      </c>
      <c r="E1486" t="inlineStr">
        <is>
          <t>2022-03</t>
        </is>
      </c>
      <c r="F1486" t="n">
        <v>0</v>
      </c>
    </row>
    <row r="1487">
      <c r="A1487" t="inlineStr">
        <is>
          <t>Milho</t>
        </is>
      </c>
      <c r="B1487" t="inlineStr">
        <is>
          <t>Baixa Grande do Ribeiro - PI</t>
        </is>
      </c>
      <c r="C1487" t="n">
        <v>-7.84903</v>
      </c>
      <c r="D1487" t="n">
        <v>-45.219</v>
      </c>
      <c r="E1487" t="inlineStr">
        <is>
          <t>2022-04</t>
        </is>
      </c>
      <c r="F1487" t="n">
        <v>0</v>
      </c>
    </row>
    <row r="1488">
      <c r="A1488" t="inlineStr">
        <is>
          <t>Milho</t>
        </is>
      </c>
      <c r="B1488" t="inlineStr">
        <is>
          <t>Baixa Grande do Ribeiro - PI</t>
        </is>
      </c>
      <c r="C1488" t="n">
        <v>-7.84903</v>
      </c>
      <c r="D1488" t="n">
        <v>-45.219</v>
      </c>
      <c r="E1488" t="inlineStr">
        <is>
          <t>2022-05</t>
        </is>
      </c>
      <c r="F1488" t="n">
        <v>0</v>
      </c>
    </row>
    <row r="1489">
      <c r="A1489" t="inlineStr">
        <is>
          <t>Milho</t>
        </is>
      </c>
      <c r="B1489" t="inlineStr">
        <is>
          <t>Baixa Grande do Ribeiro - PI</t>
        </is>
      </c>
      <c r="C1489" t="n">
        <v>-7.84903</v>
      </c>
      <c r="D1489" t="n">
        <v>-45.219</v>
      </c>
      <c r="E1489" t="inlineStr">
        <is>
          <t>2022-06</t>
        </is>
      </c>
      <c r="F1489" t="n">
        <v>0</v>
      </c>
    </row>
    <row r="1490">
      <c r="A1490" t="inlineStr">
        <is>
          <t>Milho</t>
        </is>
      </c>
      <c r="B1490" t="inlineStr">
        <is>
          <t>Baixa Grande do Ribeiro - PI</t>
        </is>
      </c>
      <c r="C1490" t="n">
        <v>-7.84903</v>
      </c>
      <c r="D1490" t="n">
        <v>-45.219</v>
      </c>
      <c r="E1490" t="inlineStr">
        <is>
          <t>2021-07</t>
        </is>
      </c>
      <c r="F1490" t="n">
        <v>0</v>
      </c>
    </row>
    <row r="1491">
      <c r="A1491" t="inlineStr">
        <is>
          <t>Milho</t>
        </is>
      </c>
      <c r="B1491" t="inlineStr">
        <is>
          <t>Baixa Grande do Ribeiro - PI</t>
        </is>
      </c>
      <c r="C1491" t="n">
        <v>-7.84903</v>
      </c>
      <c r="D1491" t="n">
        <v>-45.219</v>
      </c>
      <c r="E1491" t="inlineStr">
        <is>
          <t>2021-08</t>
        </is>
      </c>
      <c r="F1491" t="n">
        <v>0</v>
      </c>
    </row>
    <row r="1492">
      <c r="A1492" t="inlineStr">
        <is>
          <t>Milho</t>
        </is>
      </c>
      <c r="B1492" t="inlineStr">
        <is>
          <t>Baixa Grande do Ribeiro - PI</t>
        </is>
      </c>
      <c r="C1492" t="n">
        <v>-7.84903</v>
      </c>
      <c r="D1492" t="n">
        <v>-45.219</v>
      </c>
      <c r="E1492" t="inlineStr">
        <is>
          <t>2021-09</t>
        </is>
      </c>
      <c r="F1492" t="n">
        <v>0</v>
      </c>
    </row>
    <row r="1493">
      <c r="A1493" t="inlineStr">
        <is>
          <t>Milho</t>
        </is>
      </c>
      <c r="B1493" t="inlineStr">
        <is>
          <t>Baixa Grande do Ribeiro - PI</t>
        </is>
      </c>
      <c r="C1493" t="n">
        <v>-7.84903</v>
      </c>
      <c r="D1493" t="n">
        <v>-45.219</v>
      </c>
      <c r="E1493" t="inlineStr">
        <is>
          <t>2021-10</t>
        </is>
      </c>
      <c r="F1493" t="n">
        <v>0</v>
      </c>
    </row>
    <row r="1494">
      <c r="A1494" t="inlineStr">
        <is>
          <t>Milho</t>
        </is>
      </c>
      <c r="B1494" t="inlineStr">
        <is>
          <t>Baixa Grande do Ribeiro - PI</t>
        </is>
      </c>
      <c r="C1494" t="n">
        <v>-7.84903</v>
      </c>
      <c r="D1494" t="n">
        <v>-45.219</v>
      </c>
      <c r="E1494" t="inlineStr">
        <is>
          <t>2021-11</t>
        </is>
      </c>
      <c r="F1494" t="n">
        <v>0</v>
      </c>
    </row>
    <row r="1495">
      <c r="A1495" t="inlineStr">
        <is>
          <t>Milho</t>
        </is>
      </c>
      <c r="B1495" t="inlineStr">
        <is>
          <t>Baixa Grande do Ribeiro - PI</t>
        </is>
      </c>
      <c r="C1495" t="n">
        <v>-7.84903</v>
      </c>
      <c r="D1495" t="n">
        <v>-45.219</v>
      </c>
      <c r="E1495" t="inlineStr">
        <is>
          <t>2021-12</t>
        </is>
      </c>
      <c r="F1495" t="n">
        <v>0</v>
      </c>
    </row>
    <row r="1496">
      <c r="A1496" t="inlineStr">
        <is>
          <t>Milho</t>
        </is>
      </c>
      <c r="B1496" t="inlineStr">
        <is>
          <t>Toledo - PR</t>
        </is>
      </c>
      <c r="C1496" t="n">
        <v>-24.7246</v>
      </c>
      <c r="D1496" t="n">
        <v>-53.7412</v>
      </c>
      <c r="E1496" t="inlineStr">
        <is>
          <t>2022-01</t>
        </is>
      </c>
      <c r="F1496" t="n">
        <v>0</v>
      </c>
    </row>
    <row r="1497">
      <c r="A1497" t="inlineStr">
        <is>
          <t>Milho</t>
        </is>
      </c>
      <c r="B1497" t="inlineStr">
        <is>
          <t>Toledo - PR</t>
        </is>
      </c>
      <c r="C1497" t="n">
        <v>-24.7246</v>
      </c>
      <c r="D1497" t="n">
        <v>-53.7412</v>
      </c>
      <c r="E1497" t="inlineStr">
        <is>
          <t>2022-02</t>
        </is>
      </c>
      <c r="F1497" t="n">
        <v>0</v>
      </c>
    </row>
    <row r="1498">
      <c r="A1498" t="inlineStr">
        <is>
          <t>Milho</t>
        </is>
      </c>
      <c r="B1498" t="inlineStr">
        <is>
          <t>Toledo - PR</t>
        </is>
      </c>
      <c r="C1498" t="n">
        <v>-24.7246</v>
      </c>
      <c r="D1498" t="n">
        <v>-53.7412</v>
      </c>
      <c r="E1498" t="inlineStr">
        <is>
          <t>2022-03</t>
        </is>
      </c>
      <c r="F1498" t="n">
        <v>0</v>
      </c>
    </row>
    <row r="1499">
      <c r="A1499" t="inlineStr">
        <is>
          <t>Milho</t>
        </is>
      </c>
      <c r="B1499" t="inlineStr">
        <is>
          <t>Toledo - PR</t>
        </is>
      </c>
      <c r="C1499" t="n">
        <v>-24.7246</v>
      </c>
      <c r="D1499" t="n">
        <v>-53.7412</v>
      </c>
      <c r="E1499" t="inlineStr">
        <is>
          <t>2022-04</t>
        </is>
      </c>
      <c r="F1499" t="n">
        <v>0</v>
      </c>
    </row>
    <row r="1500">
      <c r="A1500" t="inlineStr">
        <is>
          <t>Milho</t>
        </is>
      </c>
      <c r="B1500" t="inlineStr">
        <is>
          <t>Toledo - PR</t>
        </is>
      </c>
      <c r="C1500" t="n">
        <v>-24.7246</v>
      </c>
      <c r="D1500" t="n">
        <v>-53.7412</v>
      </c>
      <c r="E1500" t="inlineStr">
        <is>
          <t>2022-05</t>
        </is>
      </c>
      <c r="F1500" t="n">
        <v>0</v>
      </c>
    </row>
    <row r="1501">
      <c r="A1501" t="inlineStr">
        <is>
          <t>Milho</t>
        </is>
      </c>
      <c r="B1501" t="inlineStr">
        <is>
          <t>Toledo - PR</t>
        </is>
      </c>
      <c r="C1501" t="n">
        <v>-24.7246</v>
      </c>
      <c r="D1501" t="n">
        <v>-53.7412</v>
      </c>
      <c r="E1501" t="inlineStr">
        <is>
          <t>2022-06</t>
        </is>
      </c>
      <c r="F1501" t="n">
        <v>0</v>
      </c>
    </row>
    <row r="1502">
      <c r="A1502" t="inlineStr">
        <is>
          <t>Milho</t>
        </is>
      </c>
      <c r="B1502" t="inlineStr">
        <is>
          <t>Toledo - PR</t>
        </is>
      </c>
      <c r="C1502" t="n">
        <v>-24.7246</v>
      </c>
      <c r="D1502" t="n">
        <v>-53.7412</v>
      </c>
      <c r="E1502" t="inlineStr">
        <is>
          <t>2021-07</t>
        </is>
      </c>
      <c r="F1502" t="n">
        <v>0</v>
      </c>
    </row>
    <row r="1503">
      <c r="A1503" t="inlineStr">
        <is>
          <t>Milho</t>
        </is>
      </c>
      <c r="B1503" t="inlineStr">
        <is>
          <t>Toledo - PR</t>
        </is>
      </c>
      <c r="C1503" t="n">
        <v>-24.7246</v>
      </c>
      <c r="D1503" t="n">
        <v>-53.7412</v>
      </c>
      <c r="E1503" t="inlineStr">
        <is>
          <t>2021-08</t>
        </is>
      </c>
      <c r="F1503" t="n">
        <v>0</v>
      </c>
    </row>
    <row r="1504">
      <c r="A1504" t="inlineStr">
        <is>
          <t>Milho</t>
        </is>
      </c>
      <c r="B1504" t="inlineStr">
        <is>
          <t>Toledo - PR</t>
        </is>
      </c>
      <c r="C1504" t="n">
        <v>-24.7246</v>
      </c>
      <c r="D1504" t="n">
        <v>-53.7412</v>
      </c>
      <c r="E1504" t="inlineStr">
        <is>
          <t>2021-09</t>
        </is>
      </c>
      <c r="F1504" t="n">
        <v>0</v>
      </c>
    </row>
    <row r="1505">
      <c r="A1505" t="inlineStr">
        <is>
          <t>Milho</t>
        </is>
      </c>
      <c r="B1505" t="inlineStr">
        <is>
          <t>Toledo - PR</t>
        </is>
      </c>
      <c r="C1505" t="n">
        <v>-24.7246</v>
      </c>
      <c r="D1505" t="n">
        <v>-53.7412</v>
      </c>
      <c r="E1505" t="inlineStr">
        <is>
          <t>2021-10</t>
        </is>
      </c>
      <c r="F1505" t="n">
        <v>0</v>
      </c>
    </row>
    <row r="1506">
      <c r="A1506" t="inlineStr">
        <is>
          <t>Milho</t>
        </is>
      </c>
      <c r="B1506" t="inlineStr">
        <is>
          <t>Toledo - PR</t>
        </is>
      </c>
      <c r="C1506" t="n">
        <v>-24.7246</v>
      </c>
      <c r="D1506" t="n">
        <v>-53.7412</v>
      </c>
      <c r="E1506" t="inlineStr">
        <is>
          <t>2021-11</t>
        </is>
      </c>
      <c r="F1506" t="n">
        <v>0</v>
      </c>
    </row>
    <row r="1507">
      <c r="A1507" t="inlineStr">
        <is>
          <t>Milho</t>
        </is>
      </c>
      <c r="B1507" t="inlineStr">
        <is>
          <t>Toledo - PR</t>
        </is>
      </c>
      <c r="C1507" t="n">
        <v>-24.7246</v>
      </c>
      <c r="D1507" t="n">
        <v>-53.7412</v>
      </c>
      <c r="E1507" t="inlineStr">
        <is>
          <t>2021-12</t>
        </is>
      </c>
      <c r="F1507" t="n">
        <v>0</v>
      </c>
    </row>
    <row r="1508">
      <c r="A1508" t="inlineStr">
        <is>
          <t>Milho</t>
        </is>
      </c>
      <c r="B1508" t="inlineStr">
        <is>
          <t>Macaé - RJ</t>
        </is>
      </c>
      <c r="C1508" t="n">
        <v>-22.3768</v>
      </c>
      <c r="D1508" t="n">
        <v>-41.7848</v>
      </c>
      <c r="E1508" t="inlineStr">
        <is>
          <t>2022-01</t>
        </is>
      </c>
      <c r="F1508" t="n">
        <v>0</v>
      </c>
    </row>
    <row r="1509">
      <c r="A1509" t="inlineStr">
        <is>
          <t>Milho</t>
        </is>
      </c>
      <c r="B1509" t="inlineStr">
        <is>
          <t>Macaé - RJ</t>
        </is>
      </c>
      <c r="C1509" t="n">
        <v>-22.3768</v>
      </c>
      <c r="D1509" t="n">
        <v>-41.7848</v>
      </c>
      <c r="E1509" t="inlineStr">
        <is>
          <t>2022-02</t>
        </is>
      </c>
      <c r="F1509" t="n">
        <v>0</v>
      </c>
    </row>
    <row r="1510">
      <c r="A1510" t="inlineStr">
        <is>
          <t>Milho</t>
        </is>
      </c>
      <c r="B1510" t="inlineStr">
        <is>
          <t>Macaé - RJ</t>
        </is>
      </c>
      <c r="C1510" t="n">
        <v>-22.3768</v>
      </c>
      <c r="D1510" t="n">
        <v>-41.7848</v>
      </c>
      <c r="E1510" t="inlineStr">
        <is>
          <t>2022-03</t>
        </is>
      </c>
      <c r="F1510" t="n">
        <v>0</v>
      </c>
    </row>
    <row r="1511">
      <c r="A1511" t="inlineStr">
        <is>
          <t>Milho</t>
        </is>
      </c>
      <c r="B1511" t="inlineStr">
        <is>
          <t>Macaé - RJ</t>
        </is>
      </c>
      <c r="C1511" t="n">
        <v>-22.3768</v>
      </c>
      <c r="D1511" t="n">
        <v>-41.7848</v>
      </c>
      <c r="E1511" t="inlineStr">
        <is>
          <t>2022-04</t>
        </is>
      </c>
      <c r="F1511" t="n">
        <v>0</v>
      </c>
    </row>
    <row r="1512">
      <c r="A1512" t="inlineStr">
        <is>
          <t>Milho</t>
        </is>
      </c>
      <c r="B1512" t="inlineStr">
        <is>
          <t>Macaé - RJ</t>
        </is>
      </c>
      <c r="C1512" t="n">
        <v>-22.3768</v>
      </c>
      <c r="D1512" t="n">
        <v>-41.7848</v>
      </c>
      <c r="E1512" t="inlineStr">
        <is>
          <t>2022-05</t>
        </is>
      </c>
      <c r="F1512" t="n">
        <v>0</v>
      </c>
    </row>
    <row r="1513">
      <c r="A1513" t="inlineStr">
        <is>
          <t>Milho</t>
        </is>
      </c>
      <c r="B1513" t="inlineStr">
        <is>
          <t>Macaé - RJ</t>
        </is>
      </c>
      <c r="C1513" t="n">
        <v>-22.3768</v>
      </c>
      <c r="D1513" t="n">
        <v>-41.7848</v>
      </c>
      <c r="E1513" t="inlineStr">
        <is>
          <t>2022-06</t>
        </is>
      </c>
      <c r="F1513" t="n">
        <v>0</v>
      </c>
    </row>
    <row r="1514">
      <c r="A1514" t="inlineStr">
        <is>
          <t>Milho</t>
        </is>
      </c>
      <c r="B1514" t="inlineStr">
        <is>
          <t>Macaé - RJ</t>
        </is>
      </c>
      <c r="C1514" t="n">
        <v>-22.3768</v>
      </c>
      <c r="D1514" t="n">
        <v>-41.7848</v>
      </c>
      <c r="E1514" t="inlineStr">
        <is>
          <t>2021-07</t>
        </is>
      </c>
      <c r="F1514" t="n">
        <v>0</v>
      </c>
    </row>
    <row r="1515">
      <c r="A1515" t="inlineStr">
        <is>
          <t>Milho</t>
        </is>
      </c>
      <c r="B1515" t="inlineStr">
        <is>
          <t>Macaé - RJ</t>
        </is>
      </c>
      <c r="C1515" t="n">
        <v>-22.3768</v>
      </c>
      <c r="D1515" t="n">
        <v>-41.7848</v>
      </c>
      <c r="E1515" t="inlineStr">
        <is>
          <t>2021-08</t>
        </is>
      </c>
      <c r="F1515" t="n">
        <v>0</v>
      </c>
    </row>
    <row r="1516">
      <c r="A1516" t="inlineStr">
        <is>
          <t>Milho</t>
        </is>
      </c>
      <c r="B1516" t="inlineStr">
        <is>
          <t>Macaé - RJ</t>
        </is>
      </c>
      <c r="C1516" t="n">
        <v>-22.3768</v>
      </c>
      <c r="D1516" t="n">
        <v>-41.7848</v>
      </c>
      <c r="E1516" t="inlineStr">
        <is>
          <t>2021-09</t>
        </is>
      </c>
      <c r="F1516" t="n">
        <v>0</v>
      </c>
    </row>
    <row r="1517">
      <c r="A1517" t="inlineStr">
        <is>
          <t>Milho</t>
        </is>
      </c>
      <c r="B1517" t="inlineStr">
        <is>
          <t>Macaé - RJ</t>
        </is>
      </c>
      <c r="C1517" t="n">
        <v>-22.3768</v>
      </c>
      <c r="D1517" t="n">
        <v>-41.7848</v>
      </c>
      <c r="E1517" t="inlineStr">
        <is>
          <t>2021-10</t>
        </is>
      </c>
      <c r="F1517" t="n">
        <v>0</v>
      </c>
    </row>
    <row r="1518">
      <c r="A1518" t="inlineStr">
        <is>
          <t>Milho</t>
        </is>
      </c>
      <c r="B1518" t="inlineStr">
        <is>
          <t>Macaé - RJ</t>
        </is>
      </c>
      <c r="C1518" t="n">
        <v>-22.3768</v>
      </c>
      <c r="D1518" t="n">
        <v>-41.7848</v>
      </c>
      <c r="E1518" t="inlineStr">
        <is>
          <t>2021-11</t>
        </is>
      </c>
      <c r="F1518" t="n">
        <v>0</v>
      </c>
    </row>
    <row r="1519">
      <c r="A1519" t="inlineStr">
        <is>
          <t>Milho</t>
        </is>
      </c>
      <c r="B1519" t="inlineStr">
        <is>
          <t>Macaé - RJ</t>
        </is>
      </c>
      <c r="C1519" t="n">
        <v>-22.3768</v>
      </c>
      <c r="D1519" t="n">
        <v>-41.7848</v>
      </c>
      <c r="E1519" t="inlineStr">
        <is>
          <t>2021-12</t>
        </is>
      </c>
      <c r="F1519" t="n">
        <v>0</v>
      </c>
    </row>
    <row r="1520">
      <c r="A1520" t="inlineStr">
        <is>
          <t>Milho</t>
        </is>
      </c>
      <c r="B1520" t="inlineStr">
        <is>
          <t>Apodi - RN</t>
        </is>
      </c>
      <c r="C1520" t="n">
        <v>-5.65349</v>
      </c>
      <c r="D1520" t="n">
        <v>-37.7946</v>
      </c>
      <c r="E1520" t="inlineStr">
        <is>
          <t>2022-01</t>
        </is>
      </c>
      <c r="F1520" t="n">
        <v>0</v>
      </c>
    </row>
    <row r="1521">
      <c r="A1521" t="inlineStr">
        <is>
          <t>Milho</t>
        </is>
      </c>
      <c r="B1521" t="inlineStr">
        <is>
          <t>Apodi - RN</t>
        </is>
      </c>
      <c r="C1521" t="n">
        <v>-5.65349</v>
      </c>
      <c r="D1521" t="n">
        <v>-37.7946</v>
      </c>
      <c r="E1521" t="inlineStr">
        <is>
          <t>2022-02</t>
        </is>
      </c>
      <c r="F1521" t="n">
        <v>0</v>
      </c>
    </row>
    <row r="1522">
      <c r="A1522" t="inlineStr">
        <is>
          <t>Milho</t>
        </is>
      </c>
      <c r="B1522" t="inlineStr">
        <is>
          <t>Apodi - RN</t>
        </is>
      </c>
      <c r="C1522" t="n">
        <v>-5.65349</v>
      </c>
      <c r="D1522" t="n">
        <v>-37.7946</v>
      </c>
      <c r="E1522" t="inlineStr">
        <is>
          <t>2022-03</t>
        </is>
      </c>
      <c r="F1522" t="n">
        <v>0</v>
      </c>
    </row>
    <row r="1523">
      <c r="A1523" t="inlineStr">
        <is>
          <t>Milho</t>
        </is>
      </c>
      <c r="B1523" t="inlineStr">
        <is>
          <t>Apodi - RN</t>
        </is>
      </c>
      <c r="C1523" t="n">
        <v>-5.65349</v>
      </c>
      <c r="D1523" t="n">
        <v>-37.7946</v>
      </c>
      <c r="E1523" t="inlineStr">
        <is>
          <t>2022-04</t>
        </is>
      </c>
      <c r="F1523" t="n">
        <v>0</v>
      </c>
    </row>
    <row r="1524">
      <c r="A1524" t="inlineStr">
        <is>
          <t>Milho</t>
        </is>
      </c>
      <c r="B1524" t="inlineStr">
        <is>
          <t>Apodi - RN</t>
        </is>
      </c>
      <c r="C1524" t="n">
        <v>-5.65349</v>
      </c>
      <c r="D1524" t="n">
        <v>-37.7946</v>
      </c>
      <c r="E1524" t="inlineStr">
        <is>
          <t>2022-05</t>
        </is>
      </c>
      <c r="F1524" t="n">
        <v>0</v>
      </c>
    </row>
    <row r="1525">
      <c r="A1525" t="inlineStr">
        <is>
          <t>Milho</t>
        </is>
      </c>
      <c r="B1525" t="inlineStr">
        <is>
          <t>Apodi - RN</t>
        </is>
      </c>
      <c r="C1525" t="n">
        <v>-5.65349</v>
      </c>
      <c r="D1525" t="n">
        <v>-37.7946</v>
      </c>
      <c r="E1525" t="inlineStr">
        <is>
          <t>2022-06</t>
        </is>
      </c>
      <c r="F1525" t="n">
        <v>0</v>
      </c>
    </row>
    <row r="1526">
      <c r="A1526" t="inlineStr">
        <is>
          <t>Milho</t>
        </is>
      </c>
      <c r="B1526" t="inlineStr">
        <is>
          <t>Apodi - RN</t>
        </is>
      </c>
      <c r="C1526" t="n">
        <v>-5.65349</v>
      </c>
      <c r="D1526" t="n">
        <v>-37.7946</v>
      </c>
      <c r="E1526" t="inlineStr">
        <is>
          <t>2021-07</t>
        </is>
      </c>
      <c r="F1526" t="n">
        <v>0</v>
      </c>
    </row>
    <row r="1527">
      <c r="A1527" t="inlineStr">
        <is>
          <t>Milho</t>
        </is>
      </c>
      <c r="B1527" t="inlineStr">
        <is>
          <t>Apodi - RN</t>
        </is>
      </c>
      <c r="C1527" t="n">
        <v>-5.65349</v>
      </c>
      <c r="D1527" t="n">
        <v>-37.7946</v>
      </c>
      <c r="E1527" t="inlineStr">
        <is>
          <t>2021-08</t>
        </is>
      </c>
      <c r="F1527" t="n">
        <v>0</v>
      </c>
    </row>
    <row r="1528">
      <c r="A1528" t="inlineStr">
        <is>
          <t>Milho</t>
        </is>
      </c>
      <c r="B1528" t="inlineStr">
        <is>
          <t>Apodi - RN</t>
        </is>
      </c>
      <c r="C1528" t="n">
        <v>-5.65349</v>
      </c>
      <c r="D1528" t="n">
        <v>-37.7946</v>
      </c>
      <c r="E1528" t="inlineStr">
        <is>
          <t>2021-09</t>
        </is>
      </c>
      <c r="F1528" t="n">
        <v>0</v>
      </c>
    </row>
    <row r="1529">
      <c r="A1529" t="inlineStr">
        <is>
          <t>Milho</t>
        </is>
      </c>
      <c r="B1529" t="inlineStr">
        <is>
          <t>Apodi - RN</t>
        </is>
      </c>
      <c r="C1529" t="n">
        <v>-5.65349</v>
      </c>
      <c r="D1529" t="n">
        <v>-37.7946</v>
      </c>
      <c r="E1529" t="inlineStr">
        <is>
          <t>2021-10</t>
        </is>
      </c>
      <c r="F1529" t="n">
        <v>0</v>
      </c>
    </row>
    <row r="1530">
      <c r="A1530" t="inlineStr">
        <is>
          <t>Milho</t>
        </is>
      </c>
      <c r="B1530" t="inlineStr">
        <is>
          <t>Apodi - RN</t>
        </is>
      </c>
      <c r="C1530" t="n">
        <v>-5.65349</v>
      </c>
      <c r="D1530" t="n">
        <v>-37.7946</v>
      </c>
      <c r="E1530" t="inlineStr">
        <is>
          <t>2021-11</t>
        </is>
      </c>
      <c r="F1530" t="n">
        <v>0</v>
      </c>
    </row>
    <row r="1531">
      <c r="A1531" t="inlineStr">
        <is>
          <t>Milho</t>
        </is>
      </c>
      <c r="B1531" t="inlineStr">
        <is>
          <t>Apodi - RN</t>
        </is>
      </c>
      <c r="C1531" t="n">
        <v>-5.65349</v>
      </c>
      <c r="D1531" t="n">
        <v>-37.7946</v>
      </c>
      <c r="E1531" t="inlineStr">
        <is>
          <t>2021-12</t>
        </is>
      </c>
      <c r="F1531" t="n">
        <v>0</v>
      </c>
    </row>
    <row r="1532">
      <c r="A1532" t="inlineStr">
        <is>
          <t>Milho</t>
        </is>
      </c>
      <c r="B1532" t="inlineStr">
        <is>
          <t>Pimenteiras do Oeste - RO</t>
        </is>
      </c>
      <c r="C1532" t="n">
        <v>-13.4823</v>
      </c>
      <c r="D1532" t="n">
        <v>-61.0471</v>
      </c>
      <c r="E1532" t="inlineStr">
        <is>
          <t>2022-01</t>
        </is>
      </c>
      <c r="F1532" t="n">
        <v>0</v>
      </c>
    </row>
    <row r="1533">
      <c r="A1533" t="inlineStr">
        <is>
          <t>Milho</t>
        </is>
      </c>
      <c r="B1533" t="inlineStr">
        <is>
          <t>Pimenteiras do Oeste - RO</t>
        </is>
      </c>
      <c r="C1533" t="n">
        <v>-13.4823</v>
      </c>
      <c r="D1533" t="n">
        <v>-61.0471</v>
      </c>
      <c r="E1533" t="inlineStr">
        <is>
          <t>2022-02</t>
        </is>
      </c>
      <c r="F1533" t="n">
        <v>0</v>
      </c>
    </row>
    <row r="1534">
      <c r="A1534" t="inlineStr">
        <is>
          <t>Milho</t>
        </is>
      </c>
      <c r="B1534" t="inlineStr">
        <is>
          <t>Pimenteiras do Oeste - RO</t>
        </is>
      </c>
      <c r="C1534" t="n">
        <v>-13.4823</v>
      </c>
      <c r="D1534" t="n">
        <v>-61.0471</v>
      </c>
      <c r="E1534" t="inlineStr">
        <is>
          <t>2022-03</t>
        </is>
      </c>
      <c r="F1534" t="n">
        <v>0</v>
      </c>
    </row>
    <row r="1535">
      <c r="A1535" t="inlineStr">
        <is>
          <t>Milho</t>
        </is>
      </c>
      <c r="B1535" t="inlineStr">
        <is>
          <t>Pimenteiras do Oeste - RO</t>
        </is>
      </c>
      <c r="C1535" t="n">
        <v>-13.4823</v>
      </c>
      <c r="D1535" t="n">
        <v>-61.0471</v>
      </c>
      <c r="E1535" t="inlineStr">
        <is>
          <t>2022-04</t>
        </is>
      </c>
      <c r="F1535" t="n">
        <v>0</v>
      </c>
    </row>
    <row r="1536">
      <c r="A1536" t="inlineStr">
        <is>
          <t>Milho</t>
        </is>
      </c>
      <c r="B1536" t="inlineStr">
        <is>
          <t>Pimenteiras do Oeste - RO</t>
        </is>
      </c>
      <c r="C1536" t="n">
        <v>-13.4823</v>
      </c>
      <c r="D1536" t="n">
        <v>-61.0471</v>
      </c>
      <c r="E1536" t="inlineStr">
        <is>
          <t>2022-05</t>
        </is>
      </c>
      <c r="F1536" t="n">
        <v>0</v>
      </c>
    </row>
    <row r="1537">
      <c r="A1537" t="inlineStr">
        <is>
          <t>Milho</t>
        </is>
      </c>
      <c r="B1537" t="inlineStr">
        <is>
          <t>Pimenteiras do Oeste - RO</t>
        </is>
      </c>
      <c r="C1537" t="n">
        <v>-13.4823</v>
      </c>
      <c r="D1537" t="n">
        <v>-61.0471</v>
      </c>
      <c r="E1537" t="inlineStr">
        <is>
          <t>2022-06</t>
        </is>
      </c>
      <c r="F1537" t="n">
        <v>0</v>
      </c>
    </row>
    <row r="1538">
      <c r="A1538" t="inlineStr">
        <is>
          <t>Milho</t>
        </is>
      </c>
      <c r="B1538" t="inlineStr">
        <is>
          <t>Pimenteiras do Oeste - RO</t>
        </is>
      </c>
      <c r="C1538" t="n">
        <v>-13.4823</v>
      </c>
      <c r="D1538" t="n">
        <v>-61.0471</v>
      </c>
      <c r="E1538" t="inlineStr">
        <is>
          <t>2021-07</t>
        </is>
      </c>
      <c r="F1538" t="n">
        <v>0</v>
      </c>
    </row>
    <row r="1539">
      <c r="A1539" t="inlineStr">
        <is>
          <t>Milho</t>
        </is>
      </c>
      <c r="B1539" t="inlineStr">
        <is>
          <t>Pimenteiras do Oeste - RO</t>
        </is>
      </c>
      <c r="C1539" t="n">
        <v>-13.4823</v>
      </c>
      <c r="D1539" t="n">
        <v>-61.0471</v>
      </c>
      <c r="E1539" t="inlineStr">
        <is>
          <t>2021-08</t>
        </is>
      </c>
      <c r="F1539" t="n">
        <v>0</v>
      </c>
    </row>
    <row r="1540">
      <c r="A1540" t="inlineStr">
        <is>
          <t>Milho</t>
        </is>
      </c>
      <c r="B1540" t="inlineStr">
        <is>
          <t>Pimenteiras do Oeste - RO</t>
        </is>
      </c>
      <c r="C1540" t="n">
        <v>-13.4823</v>
      </c>
      <c r="D1540" t="n">
        <v>-61.0471</v>
      </c>
      <c r="E1540" t="inlineStr">
        <is>
          <t>2021-09</t>
        </is>
      </c>
      <c r="F1540" t="n">
        <v>0</v>
      </c>
    </row>
    <row r="1541">
      <c r="A1541" t="inlineStr">
        <is>
          <t>Milho</t>
        </is>
      </c>
      <c r="B1541" t="inlineStr">
        <is>
          <t>Pimenteiras do Oeste - RO</t>
        </is>
      </c>
      <c r="C1541" t="n">
        <v>-13.4823</v>
      </c>
      <c r="D1541" t="n">
        <v>-61.0471</v>
      </c>
      <c r="E1541" t="inlineStr">
        <is>
          <t>2021-10</t>
        </is>
      </c>
      <c r="F1541" t="n">
        <v>0</v>
      </c>
    </row>
    <row r="1542">
      <c r="A1542" t="inlineStr">
        <is>
          <t>Milho</t>
        </is>
      </c>
      <c r="B1542" t="inlineStr">
        <is>
          <t>Pimenteiras do Oeste - RO</t>
        </is>
      </c>
      <c r="C1542" t="n">
        <v>-13.4823</v>
      </c>
      <c r="D1542" t="n">
        <v>-61.0471</v>
      </c>
      <c r="E1542" t="inlineStr">
        <is>
          <t>2021-11</t>
        </is>
      </c>
      <c r="F1542" t="n">
        <v>0</v>
      </c>
    </row>
    <row r="1543">
      <c r="A1543" t="inlineStr">
        <is>
          <t>Milho</t>
        </is>
      </c>
      <c r="B1543" t="inlineStr">
        <is>
          <t>Pimenteiras do Oeste - RO</t>
        </is>
      </c>
      <c r="C1543" t="n">
        <v>-13.4823</v>
      </c>
      <c r="D1543" t="n">
        <v>-61.0471</v>
      </c>
      <c r="E1543" t="inlineStr">
        <is>
          <t>2021-12</t>
        </is>
      </c>
      <c r="F1543" t="n">
        <v>0</v>
      </c>
    </row>
    <row r="1544">
      <c r="A1544" t="inlineStr">
        <is>
          <t>Milho</t>
        </is>
      </c>
      <c r="B1544" t="inlineStr">
        <is>
          <t>Bonfim - RR</t>
        </is>
      </c>
      <c r="C1544" t="n">
        <v>3.36161</v>
      </c>
      <c r="D1544" t="n">
        <v>-59.8333</v>
      </c>
      <c r="E1544" t="inlineStr">
        <is>
          <t>2022-01</t>
        </is>
      </c>
      <c r="F1544" t="n">
        <v>0</v>
      </c>
    </row>
    <row r="1545">
      <c r="A1545" t="inlineStr">
        <is>
          <t>Milho</t>
        </is>
      </c>
      <c r="B1545" t="inlineStr">
        <is>
          <t>Bonfim - RR</t>
        </is>
      </c>
      <c r="C1545" t="n">
        <v>3.36161</v>
      </c>
      <c r="D1545" t="n">
        <v>-59.8333</v>
      </c>
      <c r="E1545" t="inlineStr">
        <is>
          <t>2022-02</t>
        </is>
      </c>
      <c r="F1545" t="n">
        <v>0</v>
      </c>
    </row>
    <row r="1546">
      <c r="A1546" t="inlineStr">
        <is>
          <t>Milho</t>
        </is>
      </c>
      <c r="B1546" t="inlineStr">
        <is>
          <t>Bonfim - RR</t>
        </is>
      </c>
      <c r="C1546" t="n">
        <v>3.36161</v>
      </c>
      <c r="D1546" t="n">
        <v>-59.8333</v>
      </c>
      <c r="E1546" t="inlineStr">
        <is>
          <t>2022-03</t>
        </is>
      </c>
      <c r="F1546" t="n">
        <v>0</v>
      </c>
    </row>
    <row r="1547">
      <c r="A1547" t="inlineStr">
        <is>
          <t>Milho</t>
        </is>
      </c>
      <c r="B1547" t="inlineStr">
        <is>
          <t>Bonfim - RR</t>
        </is>
      </c>
      <c r="C1547" t="n">
        <v>3.36161</v>
      </c>
      <c r="D1547" t="n">
        <v>-59.8333</v>
      </c>
      <c r="E1547" t="inlineStr">
        <is>
          <t>2022-04</t>
        </is>
      </c>
      <c r="F1547" t="n">
        <v>0</v>
      </c>
    </row>
    <row r="1548">
      <c r="A1548" t="inlineStr">
        <is>
          <t>Milho</t>
        </is>
      </c>
      <c r="B1548" t="inlineStr">
        <is>
          <t>Bonfim - RR</t>
        </is>
      </c>
      <c r="C1548" t="n">
        <v>3.36161</v>
      </c>
      <c r="D1548" t="n">
        <v>-59.8333</v>
      </c>
      <c r="E1548" t="inlineStr">
        <is>
          <t>2022-05</t>
        </is>
      </c>
      <c r="F1548" t="n">
        <v>0</v>
      </c>
    </row>
    <row r="1549">
      <c r="A1549" t="inlineStr">
        <is>
          <t>Milho</t>
        </is>
      </c>
      <c r="B1549" t="inlineStr">
        <is>
          <t>Bonfim - RR</t>
        </is>
      </c>
      <c r="C1549" t="n">
        <v>3.36161</v>
      </c>
      <c r="D1549" t="n">
        <v>-59.8333</v>
      </c>
      <c r="E1549" t="inlineStr">
        <is>
          <t>2022-06</t>
        </is>
      </c>
      <c r="F1549" t="n">
        <v>0</v>
      </c>
    </row>
    <row r="1550">
      <c r="A1550" t="inlineStr">
        <is>
          <t>Milho</t>
        </is>
      </c>
      <c r="B1550" t="inlineStr">
        <is>
          <t>Bonfim - RR</t>
        </is>
      </c>
      <c r="C1550" t="n">
        <v>3.36161</v>
      </c>
      <c r="D1550" t="n">
        <v>-59.8333</v>
      </c>
      <c r="E1550" t="inlineStr">
        <is>
          <t>2021-07</t>
        </is>
      </c>
      <c r="F1550" t="n">
        <v>0</v>
      </c>
    </row>
    <row r="1551">
      <c r="A1551" t="inlineStr">
        <is>
          <t>Milho</t>
        </is>
      </c>
      <c r="B1551" t="inlineStr">
        <is>
          <t>Bonfim - RR</t>
        </is>
      </c>
      <c r="C1551" t="n">
        <v>3.36161</v>
      </c>
      <c r="D1551" t="n">
        <v>-59.8333</v>
      </c>
      <c r="E1551" t="inlineStr">
        <is>
          <t>2021-08</t>
        </is>
      </c>
      <c r="F1551" t="n">
        <v>10829.92392503174</v>
      </c>
    </row>
    <row r="1552">
      <c r="A1552" t="inlineStr">
        <is>
          <t>Milho</t>
        </is>
      </c>
      <c r="B1552" t="inlineStr">
        <is>
          <t>Bonfim - RR</t>
        </is>
      </c>
      <c r="C1552" t="n">
        <v>3.36161</v>
      </c>
      <c r="D1552" t="n">
        <v>-59.8333</v>
      </c>
      <c r="E1552" t="inlineStr">
        <is>
          <t>2021-09</t>
        </is>
      </c>
      <c r="F1552" t="n">
        <v>11571.72188692068</v>
      </c>
    </row>
    <row r="1553">
      <c r="A1553" t="inlineStr">
        <is>
          <t>Milho</t>
        </is>
      </c>
      <c r="B1553" t="inlineStr">
        <is>
          <t>Bonfim - RR</t>
        </is>
      </c>
      <c r="C1553" t="n">
        <v>3.36161</v>
      </c>
      <c r="D1553" t="n">
        <v>-59.8333</v>
      </c>
      <c r="E1553" t="inlineStr">
        <is>
          <t>2021-10</t>
        </is>
      </c>
      <c r="F1553" t="n">
        <v>82104.91406571325</v>
      </c>
    </row>
    <row r="1554">
      <c r="A1554" t="inlineStr">
        <is>
          <t>Milho</t>
        </is>
      </c>
      <c r="B1554" t="inlineStr">
        <is>
          <t>Bonfim - RR</t>
        </is>
      </c>
      <c r="C1554" t="n">
        <v>3.36161</v>
      </c>
      <c r="D1554" t="n">
        <v>-59.8333</v>
      </c>
      <c r="E1554" t="inlineStr">
        <is>
          <t>2021-11</t>
        </is>
      </c>
      <c r="F1554" t="n">
        <v>128688.4847527873</v>
      </c>
    </row>
    <row r="1555">
      <c r="A1555" t="inlineStr">
        <is>
          <t>Milho</t>
        </is>
      </c>
      <c r="B1555" t="inlineStr">
        <is>
          <t>Bonfim - RR</t>
        </is>
      </c>
      <c r="C1555" t="n">
        <v>3.36161</v>
      </c>
      <c r="D1555" t="n">
        <v>-59.8333</v>
      </c>
      <c r="E1555" t="inlineStr">
        <is>
          <t>2021-12</t>
        </is>
      </c>
      <c r="F1555" t="n">
        <v>143408.9235303142</v>
      </c>
    </row>
    <row r="1556">
      <c r="A1556" t="inlineStr">
        <is>
          <t>Milho</t>
        </is>
      </c>
      <c r="B1556" t="inlineStr">
        <is>
          <t>Campos Novos - SC</t>
        </is>
      </c>
      <c r="C1556" t="n">
        <v>-27.4002</v>
      </c>
      <c r="D1556" t="n">
        <v>-51.2276</v>
      </c>
      <c r="E1556" t="inlineStr">
        <is>
          <t>2022-01</t>
        </is>
      </c>
      <c r="F1556" t="n">
        <v>0</v>
      </c>
    </row>
    <row r="1557">
      <c r="A1557" t="inlineStr">
        <is>
          <t>Milho</t>
        </is>
      </c>
      <c r="B1557" t="inlineStr">
        <is>
          <t>Campos Novos - SC</t>
        </is>
      </c>
      <c r="C1557" t="n">
        <v>-27.4002</v>
      </c>
      <c r="D1557" t="n">
        <v>-51.2276</v>
      </c>
      <c r="E1557" t="inlineStr">
        <is>
          <t>2022-02</t>
        </is>
      </c>
      <c r="F1557" t="n">
        <v>0</v>
      </c>
    </row>
    <row r="1558">
      <c r="A1558" t="inlineStr">
        <is>
          <t>Milho</t>
        </is>
      </c>
      <c r="B1558" t="inlineStr">
        <is>
          <t>Campos Novos - SC</t>
        </is>
      </c>
      <c r="C1558" t="n">
        <v>-27.4002</v>
      </c>
      <c r="D1558" t="n">
        <v>-51.2276</v>
      </c>
      <c r="E1558" t="inlineStr">
        <is>
          <t>2022-03</t>
        </is>
      </c>
      <c r="F1558" t="n">
        <v>0</v>
      </c>
    </row>
    <row r="1559">
      <c r="A1559" t="inlineStr">
        <is>
          <t>Milho</t>
        </is>
      </c>
      <c r="B1559" t="inlineStr">
        <is>
          <t>Campos Novos - SC</t>
        </is>
      </c>
      <c r="C1559" t="n">
        <v>-27.4002</v>
      </c>
      <c r="D1559" t="n">
        <v>-51.2276</v>
      </c>
      <c r="E1559" t="inlineStr">
        <is>
          <t>2022-04</t>
        </is>
      </c>
      <c r="F1559" t="n">
        <v>0</v>
      </c>
    </row>
    <row r="1560">
      <c r="A1560" t="inlineStr">
        <is>
          <t>Milho</t>
        </is>
      </c>
      <c r="B1560" t="inlineStr">
        <is>
          <t>Campos Novos - SC</t>
        </is>
      </c>
      <c r="C1560" t="n">
        <v>-27.4002</v>
      </c>
      <c r="D1560" t="n">
        <v>-51.2276</v>
      </c>
      <c r="E1560" t="inlineStr">
        <is>
          <t>2022-05</t>
        </is>
      </c>
      <c r="F1560" t="n">
        <v>0</v>
      </c>
    </row>
    <row r="1561">
      <c r="A1561" t="inlineStr">
        <is>
          <t>Milho</t>
        </is>
      </c>
      <c r="B1561" t="inlineStr">
        <is>
          <t>Campos Novos - SC</t>
        </is>
      </c>
      <c r="C1561" t="n">
        <v>-27.4002</v>
      </c>
      <c r="D1561" t="n">
        <v>-51.2276</v>
      </c>
      <c r="E1561" t="inlineStr">
        <is>
          <t>2022-06</t>
        </is>
      </c>
      <c r="F1561" t="n">
        <v>0</v>
      </c>
    </row>
    <row r="1562">
      <c r="A1562" t="inlineStr">
        <is>
          <t>Milho</t>
        </is>
      </c>
      <c r="B1562" t="inlineStr">
        <is>
          <t>Campos Novos - SC</t>
        </is>
      </c>
      <c r="C1562" t="n">
        <v>-27.4002</v>
      </c>
      <c r="D1562" t="n">
        <v>-51.2276</v>
      </c>
      <c r="E1562" t="inlineStr">
        <is>
          <t>2021-07</t>
        </is>
      </c>
      <c r="F1562" t="n">
        <v>0</v>
      </c>
    </row>
    <row r="1563">
      <c r="A1563" t="inlineStr">
        <is>
          <t>Milho</t>
        </is>
      </c>
      <c r="B1563" t="inlineStr">
        <is>
          <t>Campos Novos - SC</t>
        </is>
      </c>
      <c r="C1563" t="n">
        <v>-27.4002</v>
      </c>
      <c r="D1563" t="n">
        <v>-51.2276</v>
      </c>
      <c r="E1563" t="inlineStr">
        <is>
          <t>2021-08</t>
        </is>
      </c>
      <c r="F1563" t="n">
        <v>0</v>
      </c>
    </row>
    <row r="1564">
      <c r="A1564" t="inlineStr">
        <is>
          <t>Milho</t>
        </is>
      </c>
      <c r="B1564" t="inlineStr">
        <is>
          <t>Campos Novos - SC</t>
        </is>
      </c>
      <c r="C1564" t="n">
        <v>-27.4002</v>
      </c>
      <c r="D1564" t="n">
        <v>-51.2276</v>
      </c>
      <c r="E1564" t="inlineStr">
        <is>
          <t>2021-09</t>
        </is>
      </c>
      <c r="F1564" t="n">
        <v>0</v>
      </c>
    </row>
    <row r="1565">
      <c r="A1565" t="inlineStr">
        <is>
          <t>Milho</t>
        </is>
      </c>
      <c r="B1565" t="inlineStr">
        <is>
          <t>Campos Novos - SC</t>
        </is>
      </c>
      <c r="C1565" t="n">
        <v>-27.4002</v>
      </c>
      <c r="D1565" t="n">
        <v>-51.2276</v>
      </c>
      <c r="E1565" t="inlineStr">
        <is>
          <t>2021-10</t>
        </is>
      </c>
      <c r="F1565" t="n">
        <v>0</v>
      </c>
    </row>
    <row r="1566">
      <c r="A1566" t="inlineStr">
        <is>
          <t>Milho</t>
        </is>
      </c>
      <c r="B1566" t="inlineStr">
        <is>
          <t>Campos Novos - SC</t>
        </is>
      </c>
      <c r="C1566" t="n">
        <v>-27.4002</v>
      </c>
      <c r="D1566" t="n">
        <v>-51.2276</v>
      </c>
      <c r="E1566" t="inlineStr">
        <is>
          <t>2021-11</t>
        </is>
      </c>
      <c r="F1566" t="n">
        <v>0</v>
      </c>
    </row>
    <row r="1567">
      <c r="A1567" t="inlineStr">
        <is>
          <t>Milho</t>
        </is>
      </c>
      <c r="B1567" t="inlineStr">
        <is>
          <t>Campos Novos - SC</t>
        </is>
      </c>
      <c r="C1567" t="n">
        <v>-27.4002</v>
      </c>
      <c r="D1567" t="n">
        <v>-51.2276</v>
      </c>
      <c r="E1567" t="inlineStr">
        <is>
          <t>2021-12</t>
        </is>
      </c>
      <c r="F1567" t="n">
        <v>0</v>
      </c>
    </row>
    <row r="1568">
      <c r="A1568" t="inlineStr">
        <is>
          <t>Milho</t>
        </is>
      </c>
      <c r="B1568" t="inlineStr">
        <is>
          <t>Carira - SE</t>
        </is>
      </c>
      <c r="C1568" t="n">
        <v>-10.3524</v>
      </c>
      <c r="D1568" t="n">
        <v>-37.7002</v>
      </c>
      <c r="E1568" t="inlineStr">
        <is>
          <t>2022-01</t>
        </is>
      </c>
      <c r="F1568" t="n">
        <v>0</v>
      </c>
    </row>
    <row r="1569">
      <c r="A1569" t="inlineStr">
        <is>
          <t>Milho</t>
        </is>
      </c>
      <c r="B1569" t="inlineStr">
        <is>
          <t>Carira - SE</t>
        </is>
      </c>
      <c r="C1569" t="n">
        <v>-10.3524</v>
      </c>
      <c r="D1569" t="n">
        <v>-37.7002</v>
      </c>
      <c r="E1569" t="inlineStr">
        <is>
          <t>2022-02</t>
        </is>
      </c>
      <c r="F1569" t="n">
        <v>0</v>
      </c>
    </row>
    <row r="1570">
      <c r="A1570" t="inlineStr">
        <is>
          <t>Milho</t>
        </is>
      </c>
      <c r="B1570" t="inlineStr">
        <is>
          <t>Carira - SE</t>
        </is>
      </c>
      <c r="C1570" t="n">
        <v>-10.3524</v>
      </c>
      <c r="D1570" t="n">
        <v>-37.7002</v>
      </c>
      <c r="E1570" t="inlineStr">
        <is>
          <t>2022-03</t>
        </is>
      </c>
      <c r="F1570" t="n">
        <v>0</v>
      </c>
    </row>
    <row r="1571">
      <c r="A1571" t="inlineStr">
        <is>
          <t>Milho</t>
        </is>
      </c>
      <c r="B1571" t="inlineStr">
        <is>
          <t>Carira - SE</t>
        </is>
      </c>
      <c r="C1571" t="n">
        <v>-10.3524</v>
      </c>
      <c r="D1571" t="n">
        <v>-37.7002</v>
      </c>
      <c r="E1571" t="inlineStr">
        <is>
          <t>2022-04</t>
        </is>
      </c>
      <c r="F1571" t="n">
        <v>0</v>
      </c>
    </row>
    <row r="1572">
      <c r="A1572" t="inlineStr">
        <is>
          <t>Milho</t>
        </is>
      </c>
      <c r="B1572" t="inlineStr">
        <is>
          <t>Carira - SE</t>
        </is>
      </c>
      <c r="C1572" t="n">
        <v>-10.3524</v>
      </c>
      <c r="D1572" t="n">
        <v>-37.7002</v>
      </c>
      <c r="E1572" t="inlineStr">
        <is>
          <t>2022-05</t>
        </is>
      </c>
      <c r="F1572" t="n">
        <v>0</v>
      </c>
    </row>
    <row r="1573">
      <c r="A1573" t="inlineStr">
        <is>
          <t>Milho</t>
        </is>
      </c>
      <c r="B1573" t="inlineStr">
        <is>
          <t>Carira - SE</t>
        </is>
      </c>
      <c r="C1573" t="n">
        <v>-10.3524</v>
      </c>
      <c r="D1573" t="n">
        <v>-37.7002</v>
      </c>
      <c r="E1573" t="inlineStr">
        <is>
          <t>2022-06</t>
        </is>
      </c>
      <c r="F1573" t="n">
        <v>0</v>
      </c>
    </row>
    <row r="1574">
      <c r="A1574" t="inlineStr">
        <is>
          <t>Milho</t>
        </is>
      </c>
      <c r="B1574" t="inlineStr">
        <is>
          <t>Carira - SE</t>
        </is>
      </c>
      <c r="C1574" t="n">
        <v>-10.3524</v>
      </c>
      <c r="D1574" t="n">
        <v>-37.7002</v>
      </c>
      <c r="E1574" t="inlineStr">
        <is>
          <t>2021-07</t>
        </is>
      </c>
      <c r="F1574" t="n">
        <v>0</v>
      </c>
    </row>
    <row r="1575">
      <c r="A1575" t="inlineStr">
        <is>
          <t>Milho</t>
        </is>
      </c>
      <c r="B1575" t="inlineStr">
        <is>
          <t>Carira - SE</t>
        </is>
      </c>
      <c r="C1575" t="n">
        <v>-10.3524</v>
      </c>
      <c r="D1575" t="n">
        <v>-37.7002</v>
      </c>
      <c r="E1575" t="inlineStr">
        <is>
          <t>2021-08</t>
        </is>
      </c>
      <c r="F1575" t="n">
        <v>70923.13858092421</v>
      </c>
    </row>
    <row r="1576">
      <c r="A1576" t="inlineStr">
        <is>
          <t>Milho</t>
        </is>
      </c>
      <c r="B1576" t="inlineStr">
        <is>
          <t>Carira - SE</t>
        </is>
      </c>
      <c r="C1576" t="n">
        <v>-10.3524</v>
      </c>
      <c r="D1576" t="n">
        <v>-37.7002</v>
      </c>
      <c r="E1576" t="inlineStr">
        <is>
          <t>2021-09</t>
        </is>
      </c>
      <c r="F1576" t="n">
        <v>151562.0683371669</v>
      </c>
    </row>
    <row r="1577">
      <c r="A1577" t="inlineStr">
        <is>
          <t>Milho</t>
        </is>
      </c>
      <c r="B1577" t="inlineStr">
        <is>
          <t>Carira - SE</t>
        </is>
      </c>
      <c r="C1577" t="n">
        <v>-10.3524</v>
      </c>
      <c r="D1577" t="n">
        <v>-37.7002</v>
      </c>
      <c r="E1577" t="inlineStr">
        <is>
          <t>2021-10</t>
        </is>
      </c>
      <c r="F1577" t="n">
        <v>1075379.335767661</v>
      </c>
    </row>
    <row r="1578">
      <c r="A1578" t="inlineStr">
        <is>
          <t>Milho</t>
        </is>
      </c>
      <c r="B1578" t="inlineStr">
        <is>
          <t>Carira - SE</t>
        </is>
      </c>
      <c r="C1578" t="n">
        <v>-10.3524</v>
      </c>
      <c r="D1578" t="n">
        <v>-37.7002</v>
      </c>
      <c r="E1578" t="inlineStr">
        <is>
          <t>2021-11</t>
        </is>
      </c>
      <c r="F1578" t="n">
        <v>1685513.453477807</v>
      </c>
    </row>
    <row r="1579">
      <c r="A1579" t="inlineStr">
        <is>
          <t>Milho</t>
        </is>
      </c>
      <c r="B1579" t="inlineStr">
        <is>
          <t>Carira - SE</t>
        </is>
      </c>
      <c r="C1579" t="n">
        <v>-10.3524</v>
      </c>
      <c r="D1579" t="n">
        <v>-37.7002</v>
      </c>
      <c r="E1579" t="inlineStr">
        <is>
          <t>2021-12</t>
        </is>
      </c>
      <c r="F1579" t="n">
        <v>0</v>
      </c>
    </row>
    <row r="1580">
      <c r="A1580" t="inlineStr">
        <is>
          <t>Milho</t>
        </is>
      </c>
      <c r="B1580" t="inlineStr">
        <is>
          <t>Itapeva - SP</t>
        </is>
      </c>
      <c r="C1580" t="n">
        <v>-23.9788</v>
      </c>
      <c r="D1580" t="n">
        <v>-48.8764</v>
      </c>
      <c r="E1580" t="inlineStr">
        <is>
          <t>2022-01</t>
        </is>
      </c>
      <c r="F1580" t="n">
        <v>0</v>
      </c>
    </row>
    <row r="1581">
      <c r="A1581" t="inlineStr">
        <is>
          <t>Milho</t>
        </is>
      </c>
      <c r="B1581" t="inlineStr">
        <is>
          <t>Itapeva - SP</t>
        </is>
      </c>
      <c r="C1581" t="n">
        <v>-23.9788</v>
      </c>
      <c r="D1581" t="n">
        <v>-48.8764</v>
      </c>
      <c r="E1581" t="inlineStr">
        <is>
          <t>2022-02</t>
        </is>
      </c>
      <c r="F1581" t="n">
        <v>0</v>
      </c>
    </row>
    <row r="1582">
      <c r="A1582" t="inlineStr">
        <is>
          <t>Milho</t>
        </is>
      </c>
      <c r="B1582" t="inlineStr">
        <is>
          <t>Itapeva - SP</t>
        </is>
      </c>
      <c r="C1582" t="n">
        <v>-23.9788</v>
      </c>
      <c r="D1582" t="n">
        <v>-48.8764</v>
      </c>
      <c r="E1582" t="inlineStr">
        <is>
          <t>2022-03</t>
        </is>
      </c>
      <c r="F1582" t="n">
        <v>0</v>
      </c>
    </row>
    <row r="1583">
      <c r="A1583" t="inlineStr">
        <is>
          <t>Milho</t>
        </is>
      </c>
      <c r="B1583" t="inlineStr">
        <is>
          <t>Itapeva - SP</t>
        </is>
      </c>
      <c r="C1583" t="n">
        <v>-23.9788</v>
      </c>
      <c r="D1583" t="n">
        <v>-48.8764</v>
      </c>
      <c r="E1583" t="inlineStr">
        <is>
          <t>2022-04</t>
        </is>
      </c>
      <c r="F1583" t="n">
        <v>0</v>
      </c>
    </row>
    <row r="1584">
      <c r="A1584" t="inlineStr">
        <is>
          <t>Milho</t>
        </is>
      </c>
      <c r="B1584" t="inlineStr">
        <is>
          <t>Itapeva - SP</t>
        </is>
      </c>
      <c r="C1584" t="n">
        <v>-23.9788</v>
      </c>
      <c r="D1584" t="n">
        <v>-48.8764</v>
      </c>
      <c r="E1584" t="inlineStr">
        <is>
          <t>2022-05</t>
        </is>
      </c>
      <c r="F1584" t="n">
        <v>0</v>
      </c>
    </row>
    <row r="1585">
      <c r="A1585" t="inlineStr">
        <is>
          <t>Milho</t>
        </is>
      </c>
      <c r="B1585" t="inlineStr">
        <is>
          <t>Itapeva - SP</t>
        </is>
      </c>
      <c r="C1585" t="n">
        <v>-23.9788</v>
      </c>
      <c r="D1585" t="n">
        <v>-48.8764</v>
      </c>
      <c r="E1585" t="inlineStr">
        <is>
          <t>2022-06</t>
        </is>
      </c>
      <c r="F1585" t="n">
        <v>0</v>
      </c>
    </row>
    <row r="1586">
      <c r="A1586" t="inlineStr">
        <is>
          <t>Milho</t>
        </is>
      </c>
      <c r="B1586" t="inlineStr">
        <is>
          <t>Itapeva - SP</t>
        </is>
      </c>
      <c r="C1586" t="n">
        <v>-23.9788</v>
      </c>
      <c r="D1586" t="n">
        <v>-48.8764</v>
      </c>
      <c r="E1586" t="inlineStr">
        <is>
          <t>2021-07</t>
        </is>
      </c>
      <c r="F1586" t="n">
        <v>0</v>
      </c>
    </row>
    <row r="1587">
      <c r="A1587" t="inlineStr">
        <is>
          <t>Milho</t>
        </is>
      </c>
      <c r="B1587" t="inlineStr">
        <is>
          <t>Itapeva - SP</t>
        </is>
      </c>
      <c r="C1587" t="n">
        <v>-23.9788</v>
      </c>
      <c r="D1587" t="n">
        <v>-48.8764</v>
      </c>
      <c r="E1587" t="inlineStr">
        <is>
          <t>2021-08</t>
        </is>
      </c>
      <c r="F1587" t="n">
        <v>0</v>
      </c>
    </row>
    <row r="1588">
      <c r="A1588" t="inlineStr">
        <is>
          <t>Milho</t>
        </is>
      </c>
      <c r="B1588" t="inlineStr">
        <is>
          <t>Itapeva - SP</t>
        </is>
      </c>
      <c r="C1588" t="n">
        <v>-23.9788</v>
      </c>
      <c r="D1588" t="n">
        <v>-48.8764</v>
      </c>
      <c r="E1588" t="inlineStr">
        <is>
          <t>2021-09</t>
        </is>
      </c>
      <c r="F1588" t="n">
        <v>0</v>
      </c>
    </row>
    <row r="1589">
      <c r="A1589" t="inlineStr">
        <is>
          <t>Milho</t>
        </is>
      </c>
      <c r="B1589" t="inlineStr">
        <is>
          <t>Itapeva - SP</t>
        </is>
      </c>
      <c r="C1589" t="n">
        <v>-23.9788</v>
      </c>
      <c r="D1589" t="n">
        <v>-48.8764</v>
      </c>
      <c r="E1589" t="inlineStr">
        <is>
          <t>2021-10</t>
        </is>
      </c>
      <c r="F1589" t="n">
        <v>0</v>
      </c>
    </row>
    <row r="1590">
      <c r="A1590" t="inlineStr">
        <is>
          <t>Milho</t>
        </is>
      </c>
      <c r="B1590" t="inlineStr">
        <is>
          <t>Itapeva - SP</t>
        </is>
      </c>
      <c r="C1590" t="n">
        <v>-23.9788</v>
      </c>
      <c r="D1590" t="n">
        <v>-48.8764</v>
      </c>
      <c r="E1590" t="inlineStr">
        <is>
          <t>2021-11</t>
        </is>
      </c>
      <c r="F1590" t="n">
        <v>0</v>
      </c>
    </row>
    <row r="1591">
      <c r="A1591" t="inlineStr">
        <is>
          <t>Milho</t>
        </is>
      </c>
      <c r="B1591" t="inlineStr">
        <is>
          <t>Itapeva - SP</t>
        </is>
      </c>
      <c r="C1591" t="n">
        <v>-23.9788</v>
      </c>
      <c r="D1591" t="n">
        <v>-48.8764</v>
      </c>
      <c r="E1591" t="inlineStr">
        <is>
          <t>2021-12</t>
        </is>
      </c>
      <c r="F1591" t="n">
        <v>0</v>
      </c>
    </row>
    <row r="1592">
      <c r="A1592" t="inlineStr">
        <is>
          <t>Milho</t>
        </is>
      </c>
      <c r="B1592" t="inlineStr">
        <is>
          <t>Campos Lindos - TO</t>
        </is>
      </c>
      <c r="C1592" t="n">
        <v>-7.98956</v>
      </c>
      <c r="D1592" t="n">
        <v>-46.8645</v>
      </c>
      <c r="E1592" t="inlineStr">
        <is>
          <t>2022-01</t>
        </is>
      </c>
      <c r="F1592" t="n">
        <v>0</v>
      </c>
    </row>
    <row r="1593">
      <c r="A1593" t="inlineStr">
        <is>
          <t>Milho</t>
        </is>
      </c>
      <c r="B1593" t="inlineStr">
        <is>
          <t>Campos Lindos - TO</t>
        </is>
      </c>
      <c r="C1593" t="n">
        <v>-7.98956</v>
      </c>
      <c r="D1593" t="n">
        <v>-46.8645</v>
      </c>
      <c r="E1593" t="inlineStr">
        <is>
          <t>2022-02</t>
        </is>
      </c>
      <c r="F1593" t="n">
        <v>0</v>
      </c>
    </row>
    <row r="1594">
      <c r="A1594" t="inlineStr">
        <is>
          <t>Milho</t>
        </is>
      </c>
      <c r="B1594" t="inlineStr">
        <is>
          <t>Campos Lindos - TO</t>
        </is>
      </c>
      <c r="C1594" t="n">
        <v>-7.98956</v>
      </c>
      <c r="D1594" t="n">
        <v>-46.8645</v>
      </c>
      <c r="E1594" t="inlineStr">
        <is>
          <t>2022-03</t>
        </is>
      </c>
      <c r="F1594" t="n">
        <v>0</v>
      </c>
    </row>
    <row r="1595">
      <c r="A1595" t="inlineStr">
        <is>
          <t>Milho</t>
        </is>
      </c>
      <c r="B1595" t="inlineStr">
        <is>
          <t>Campos Lindos - TO</t>
        </is>
      </c>
      <c r="C1595" t="n">
        <v>-7.98956</v>
      </c>
      <c r="D1595" t="n">
        <v>-46.8645</v>
      </c>
      <c r="E1595" t="inlineStr">
        <is>
          <t>2022-04</t>
        </is>
      </c>
      <c r="F1595" t="n">
        <v>0</v>
      </c>
    </row>
    <row r="1596">
      <c r="A1596" t="inlineStr">
        <is>
          <t>Milho</t>
        </is>
      </c>
      <c r="B1596" t="inlineStr">
        <is>
          <t>Campos Lindos - TO</t>
        </is>
      </c>
      <c r="C1596" t="n">
        <v>-7.98956</v>
      </c>
      <c r="D1596" t="n">
        <v>-46.8645</v>
      </c>
      <c r="E1596" t="inlineStr">
        <is>
          <t>2022-05</t>
        </is>
      </c>
      <c r="F1596" t="n">
        <v>0</v>
      </c>
    </row>
    <row r="1597">
      <c r="A1597" t="inlineStr">
        <is>
          <t>Milho</t>
        </is>
      </c>
      <c r="B1597" t="inlineStr">
        <is>
          <t>Campos Lindos - TO</t>
        </is>
      </c>
      <c r="C1597" t="n">
        <v>-7.98956</v>
      </c>
      <c r="D1597" t="n">
        <v>-46.8645</v>
      </c>
      <c r="E1597" t="inlineStr">
        <is>
          <t>2022-06</t>
        </is>
      </c>
      <c r="F1597" t="n">
        <v>0</v>
      </c>
    </row>
    <row r="1598">
      <c r="A1598" t="inlineStr">
        <is>
          <t>Milho</t>
        </is>
      </c>
      <c r="B1598" t="inlineStr">
        <is>
          <t>Campos Lindos - TO</t>
        </is>
      </c>
      <c r="C1598" t="n">
        <v>-7.98956</v>
      </c>
      <c r="D1598" t="n">
        <v>-46.8645</v>
      </c>
      <c r="E1598" t="inlineStr">
        <is>
          <t>2021-07</t>
        </is>
      </c>
      <c r="F1598" t="n">
        <v>0</v>
      </c>
    </row>
    <row r="1599">
      <c r="A1599" t="inlineStr">
        <is>
          <t>Milho</t>
        </is>
      </c>
      <c r="B1599" t="inlineStr">
        <is>
          <t>Campos Lindos - TO</t>
        </is>
      </c>
      <c r="C1599" t="n">
        <v>-7.98956</v>
      </c>
      <c r="D1599" t="n">
        <v>-46.8645</v>
      </c>
      <c r="E1599" t="inlineStr">
        <is>
          <t>2021-08</t>
        </is>
      </c>
      <c r="F1599" t="n">
        <v>0</v>
      </c>
    </row>
    <row r="1600">
      <c r="A1600" t="inlineStr">
        <is>
          <t>Milho</t>
        </is>
      </c>
      <c r="B1600" t="inlineStr">
        <is>
          <t>Campos Lindos - TO</t>
        </is>
      </c>
      <c r="C1600" t="n">
        <v>-7.98956</v>
      </c>
      <c r="D1600" t="n">
        <v>-46.8645</v>
      </c>
      <c r="E1600" t="inlineStr">
        <is>
          <t>2021-09</t>
        </is>
      </c>
      <c r="F1600" t="n">
        <v>0</v>
      </c>
    </row>
    <row r="1601">
      <c r="A1601" t="inlineStr">
        <is>
          <t>Milho</t>
        </is>
      </c>
      <c r="B1601" t="inlineStr">
        <is>
          <t>Campos Lindos - TO</t>
        </is>
      </c>
      <c r="C1601" t="n">
        <v>-7.98956</v>
      </c>
      <c r="D1601" t="n">
        <v>-46.8645</v>
      </c>
      <c r="E1601" t="inlineStr">
        <is>
          <t>2021-10</t>
        </is>
      </c>
      <c r="F1601" t="n">
        <v>0</v>
      </c>
    </row>
    <row r="1602">
      <c r="A1602" t="inlineStr">
        <is>
          <t>Milho</t>
        </is>
      </c>
      <c r="B1602" t="inlineStr">
        <is>
          <t>Campos Lindos - TO</t>
        </is>
      </c>
      <c r="C1602" t="n">
        <v>-7.98956</v>
      </c>
      <c r="D1602" t="n">
        <v>-46.8645</v>
      </c>
      <c r="E1602" t="inlineStr">
        <is>
          <t>2021-11</t>
        </is>
      </c>
      <c r="F1602" t="n">
        <v>0</v>
      </c>
    </row>
    <row r="1603">
      <c r="A1603" t="inlineStr">
        <is>
          <t>Milho</t>
        </is>
      </c>
      <c r="B1603" t="inlineStr">
        <is>
          <t>Campos Lindos - TO</t>
        </is>
      </c>
      <c r="C1603" t="n">
        <v>-7.98956</v>
      </c>
      <c r="D1603" t="n">
        <v>-46.8645</v>
      </c>
      <c r="E1603" t="inlineStr">
        <is>
          <t>2021-12</t>
        </is>
      </c>
      <c r="F1603" t="n">
        <v>0</v>
      </c>
    </row>
    <row r="1604">
      <c r="A1604" t="inlineStr">
        <is>
          <t>Soja</t>
        </is>
      </c>
      <c r="B1604" t="inlineStr">
        <is>
          <t>Plácido de Castro - AC</t>
        </is>
      </c>
      <c r="C1604" t="n">
        <v>-10.2806</v>
      </c>
      <c r="D1604" t="n">
        <v>-67.1371</v>
      </c>
      <c r="E1604" t="inlineStr">
        <is>
          <t>2022-01</t>
        </is>
      </c>
      <c r="F1604" t="n">
        <v>0</v>
      </c>
    </row>
    <row r="1605">
      <c r="A1605" t="inlineStr">
        <is>
          <t>Soja</t>
        </is>
      </c>
      <c r="B1605" t="inlineStr">
        <is>
          <t>Plácido de Castro - AC</t>
        </is>
      </c>
      <c r="C1605" t="n">
        <v>-10.2806</v>
      </c>
      <c r="D1605" t="n">
        <v>-67.1371</v>
      </c>
      <c r="E1605" t="inlineStr">
        <is>
          <t>2022-02</t>
        </is>
      </c>
      <c r="F1605" t="n">
        <v>0</v>
      </c>
    </row>
    <row r="1606">
      <c r="A1606" t="inlineStr">
        <is>
          <t>Soja</t>
        </is>
      </c>
      <c r="B1606" t="inlineStr">
        <is>
          <t>Plácido de Castro - AC</t>
        </is>
      </c>
      <c r="C1606" t="n">
        <v>-10.2806</v>
      </c>
      <c r="D1606" t="n">
        <v>-67.1371</v>
      </c>
      <c r="E1606" t="inlineStr">
        <is>
          <t>2022-03</t>
        </is>
      </c>
      <c r="F1606" t="n">
        <v>0</v>
      </c>
    </row>
    <row r="1607">
      <c r="A1607" t="inlineStr">
        <is>
          <t>Soja</t>
        </is>
      </c>
      <c r="B1607" t="inlineStr">
        <is>
          <t>Plácido de Castro - AC</t>
        </is>
      </c>
      <c r="C1607" t="n">
        <v>-10.2806</v>
      </c>
      <c r="D1607" t="n">
        <v>-67.1371</v>
      </c>
      <c r="E1607" t="inlineStr">
        <is>
          <t>2022-04</t>
        </is>
      </c>
      <c r="F1607" t="n">
        <v>0</v>
      </c>
    </row>
    <row r="1608">
      <c r="A1608" t="inlineStr">
        <is>
          <t>Soja</t>
        </is>
      </c>
      <c r="B1608" t="inlineStr">
        <is>
          <t>Plácido de Castro - AC</t>
        </is>
      </c>
      <c r="C1608" t="n">
        <v>-10.2806</v>
      </c>
      <c r="D1608" t="n">
        <v>-67.1371</v>
      </c>
      <c r="E1608" t="inlineStr">
        <is>
          <t>2022-05</t>
        </is>
      </c>
      <c r="F1608" t="n">
        <v>0</v>
      </c>
    </row>
    <row r="1609">
      <c r="A1609" t="inlineStr">
        <is>
          <t>Soja</t>
        </is>
      </c>
      <c r="B1609" t="inlineStr">
        <is>
          <t>Plácido de Castro - AC</t>
        </is>
      </c>
      <c r="C1609" t="n">
        <v>-10.2806</v>
      </c>
      <c r="D1609" t="n">
        <v>-67.1371</v>
      </c>
      <c r="E1609" t="inlineStr">
        <is>
          <t>2022-06</t>
        </is>
      </c>
      <c r="F1609" t="n">
        <v>0</v>
      </c>
    </row>
    <row r="1610">
      <c r="A1610" t="inlineStr">
        <is>
          <t>Soja</t>
        </is>
      </c>
      <c r="B1610" t="inlineStr">
        <is>
          <t>Plácido de Castro - AC</t>
        </is>
      </c>
      <c r="C1610" t="n">
        <v>-10.2806</v>
      </c>
      <c r="D1610" t="n">
        <v>-67.1371</v>
      </c>
      <c r="E1610" t="inlineStr">
        <is>
          <t>2021-07</t>
        </is>
      </c>
      <c r="F1610" t="n">
        <v>0</v>
      </c>
    </row>
    <row r="1611">
      <c r="A1611" t="inlineStr">
        <is>
          <t>Soja</t>
        </is>
      </c>
      <c r="B1611" t="inlineStr">
        <is>
          <t>Plácido de Castro - AC</t>
        </is>
      </c>
      <c r="C1611" t="n">
        <v>-10.2806</v>
      </c>
      <c r="D1611" t="n">
        <v>-67.1371</v>
      </c>
      <c r="E1611" t="inlineStr">
        <is>
          <t>2021-08</t>
        </is>
      </c>
      <c r="F1611" t="n">
        <v>0</v>
      </c>
    </row>
    <row r="1612">
      <c r="A1612" t="inlineStr">
        <is>
          <t>Soja</t>
        </is>
      </c>
      <c r="B1612" t="inlineStr">
        <is>
          <t>Plácido de Castro - AC</t>
        </is>
      </c>
      <c r="C1612" t="n">
        <v>-10.2806</v>
      </c>
      <c r="D1612" t="n">
        <v>-67.1371</v>
      </c>
      <c r="E1612" t="inlineStr">
        <is>
          <t>2021-09</t>
        </is>
      </c>
      <c r="F1612" t="n">
        <v>0</v>
      </c>
    </row>
    <row r="1613">
      <c r="A1613" t="inlineStr">
        <is>
          <t>Soja</t>
        </is>
      </c>
      <c r="B1613" t="inlineStr">
        <is>
          <t>Plácido de Castro - AC</t>
        </is>
      </c>
      <c r="C1613" t="n">
        <v>-10.2806</v>
      </c>
      <c r="D1613" t="n">
        <v>-67.1371</v>
      </c>
      <c r="E1613" t="inlineStr">
        <is>
          <t>2021-10</t>
        </is>
      </c>
      <c r="F1613" t="n">
        <v>0</v>
      </c>
    </row>
    <row r="1614">
      <c r="A1614" t="inlineStr">
        <is>
          <t>Soja</t>
        </is>
      </c>
      <c r="B1614" t="inlineStr">
        <is>
          <t>Plácido de Castro - AC</t>
        </is>
      </c>
      <c r="C1614" t="n">
        <v>-10.2806</v>
      </c>
      <c r="D1614" t="n">
        <v>-67.1371</v>
      </c>
      <c r="E1614" t="inlineStr">
        <is>
          <t>2021-11</t>
        </is>
      </c>
      <c r="F1614" t="n">
        <v>0</v>
      </c>
    </row>
    <row r="1615">
      <c r="A1615" t="inlineStr">
        <is>
          <t>Soja</t>
        </is>
      </c>
      <c r="B1615" t="inlineStr">
        <is>
          <t>Plácido de Castro - AC</t>
        </is>
      </c>
      <c r="C1615" t="n">
        <v>-10.2806</v>
      </c>
      <c r="D1615" t="n">
        <v>-67.1371</v>
      </c>
      <c r="E1615" t="inlineStr">
        <is>
          <t>2021-12</t>
        </is>
      </c>
      <c r="F1615" t="n">
        <v>0</v>
      </c>
    </row>
    <row r="1616">
      <c r="A1616" t="inlineStr">
        <is>
          <t>Soja</t>
        </is>
      </c>
      <c r="B1616" t="inlineStr">
        <is>
          <t>Anadia - AL</t>
        </is>
      </c>
      <c r="C1616" t="n">
        <v>-9.684889999999999</v>
      </c>
      <c r="D1616" t="n">
        <v>-36.3078</v>
      </c>
      <c r="E1616" t="inlineStr">
        <is>
          <t>2022-01</t>
        </is>
      </c>
      <c r="F1616" t="n">
        <v>0</v>
      </c>
    </row>
    <row r="1617">
      <c r="A1617" t="inlineStr">
        <is>
          <t>Soja</t>
        </is>
      </c>
      <c r="B1617" t="inlineStr">
        <is>
          <t>Anadia - AL</t>
        </is>
      </c>
      <c r="C1617" t="n">
        <v>-9.684889999999999</v>
      </c>
      <c r="D1617" t="n">
        <v>-36.3078</v>
      </c>
      <c r="E1617" t="inlineStr">
        <is>
          <t>2022-02</t>
        </is>
      </c>
      <c r="F1617" t="n">
        <v>0</v>
      </c>
    </row>
    <row r="1618">
      <c r="A1618" t="inlineStr">
        <is>
          <t>Soja</t>
        </is>
      </c>
      <c r="B1618" t="inlineStr">
        <is>
          <t>Anadia - AL</t>
        </is>
      </c>
      <c r="C1618" t="n">
        <v>-9.684889999999999</v>
      </c>
      <c r="D1618" t="n">
        <v>-36.3078</v>
      </c>
      <c r="E1618" t="inlineStr">
        <is>
          <t>2022-03</t>
        </is>
      </c>
      <c r="F1618" t="n">
        <v>0</v>
      </c>
    </row>
    <row r="1619">
      <c r="A1619" t="inlineStr">
        <is>
          <t>Soja</t>
        </is>
      </c>
      <c r="B1619" t="inlineStr">
        <is>
          <t>Anadia - AL</t>
        </is>
      </c>
      <c r="C1619" t="n">
        <v>-9.684889999999999</v>
      </c>
      <c r="D1619" t="n">
        <v>-36.3078</v>
      </c>
      <c r="E1619" t="inlineStr">
        <is>
          <t>2022-04</t>
        </is>
      </c>
      <c r="F1619" t="n">
        <v>0</v>
      </c>
    </row>
    <row r="1620">
      <c r="A1620" t="inlineStr">
        <is>
          <t>Soja</t>
        </is>
      </c>
      <c r="B1620" t="inlineStr">
        <is>
          <t>Anadia - AL</t>
        </is>
      </c>
      <c r="C1620" t="n">
        <v>-9.684889999999999</v>
      </c>
      <c r="D1620" t="n">
        <v>-36.3078</v>
      </c>
      <c r="E1620" t="inlineStr">
        <is>
          <t>2022-05</t>
        </is>
      </c>
      <c r="F1620" t="n">
        <v>0</v>
      </c>
    </row>
    <row r="1621">
      <c r="A1621" t="inlineStr">
        <is>
          <t>Soja</t>
        </is>
      </c>
      <c r="B1621" t="inlineStr">
        <is>
          <t>Anadia - AL</t>
        </is>
      </c>
      <c r="C1621" t="n">
        <v>-9.684889999999999</v>
      </c>
      <c r="D1621" t="n">
        <v>-36.3078</v>
      </c>
      <c r="E1621" t="inlineStr">
        <is>
          <t>2022-06</t>
        </is>
      </c>
      <c r="F1621" t="n">
        <v>0</v>
      </c>
    </row>
    <row r="1622">
      <c r="A1622" t="inlineStr">
        <is>
          <t>Soja</t>
        </is>
      </c>
      <c r="B1622" t="inlineStr">
        <is>
          <t>Anadia - AL</t>
        </is>
      </c>
      <c r="C1622" t="n">
        <v>-9.684889999999999</v>
      </c>
      <c r="D1622" t="n">
        <v>-36.3078</v>
      </c>
      <c r="E1622" t="inlineStr">
        <is>
          <t>2021-07</t>
        </is>
      </c>
      <c r="F1622" t="n">
        <v>0</v>
      </c>
    </row>
    <row r="1623">
      <c r="A1623" t="inlineStr">
        <is>
          <t>Soja</t>
        </is>
      </c>
      <c r="B1623" t="inlineStr">
        <is>
          <t>Anadia - AL</t>
        </is>
      </c>
      <c r="C1623" t="n">
        <v>-9.684889999999999</v>
      </c>
      <c r="D1623" t="n">
        <v>-36.3078</v>
      </c>
      <c r="E1623" t="inlineStr">
        <is>
          <t>2021-08</t>
        </is>
      </c>
      <c r="F1623" t="n">
        <v>0</v>
      </c>
    </row>
    <row r="1624">
      <c r="A1624" t="inlineStr">
        <is>
          <t>Soja</t>
        </is>
      </c>
      <c r="B1624" t="inlineStr">
        <is>
          <t>Anadia - AL</t>
        </is>
      </c>
      <c r="C1624" t="n">
        <v>-9.684889999999999</v>
      </c>
      <c r="D1624" t="n">
        <v>-36.3078</v>
      </c>
      <c r="E1624" t="inlineStr">
        <is>
          <t>2021-09</t>
        </is>
      </c>
      <c r="F1624" t="n">
        <v>0</v>
      </c>
    </row>
    <row r="1625">
      <c r="A1625" t="inlineStr">
        <is>
          <t>Soja</t>
        </is>
      </c>
      <c r="B1625" t="inlineStr">
        <is>
          <t>Anadia - AL</t>
        </is>
      </c>
      <c r="C1625" t="n">
        <v>-9.684889999999999</v>
      </c>
      <c r="D1625" t="n">
        <v>-36.3078</v>
      </c>
      <c r="E1625" t="inlineStr">
        <is>
          <t>2021-10</t>
        </is>
      </c>
      <c r="F1625" t="n">
        <v>0</v>
      </c>
    </row>
    <row r="1626">
      <c r="A1626" t="inlineStr">
        <is>
          <t>Soja</t>
        </is>
      </c>
      <c r="B1626" t="inlineStr">
        <is>
          <t>Anadia - AL</t>
        </is>
      </c>
      <c r="C1626" t="n">
        <v>-9.684889999999999</v>
      </c>
      <c r="D1626" t="n">
        <v>-36.3078</v>
      </c>
      <c r="E1626" t="inlineStr">
        <is>
          <t>2021-11</t>
        </is>
      </c>
      <c r="F1626" t="n">
        <v>0</v>
      </c>
    </row>
    <row r="1627">
      <c r="A1627" t="inlineStr">
        <is>
          <t>Soja</t>
        </is>
      </c>
      <c r="B1627" t="inlineStr">
        <is>
          <t>Anadia - AL</t>
        </is>
      </c>
      <c r="C1627" t="n">
        <v>-9.684889999999999</v>
      </c>
      <c r="D1627" t="n">
        <v>-36.3078</v>
      </c>
      <c r="E1627" t="inlineStr">
        <is>
          <t>2021-12</t>
        </is>
      </c>
      <c r="F1627" t="n">
        <v>0</v>
      </c>
    </row>
    <row r="1628">
      <c r="A1628" t="inlineStr">
        <is>
          <t>Soja</t>
        </is>
      </c>
      <c r="B1628" t="inlineStr">
        <is>
          <t>Macapá - AP</t>
        </is>
      </c>
      <c r="C1628" t="n">
        <v>0.034934</v>
      </c>
      <c r="D1628" t="n">
        <v>-51.0694</v>
      </c>
      <c r="E1628" t="inlineStr">
        <is>
          <t>2022-01</t>
        </is>
      </c>
      <c r="F1628" t="n">
        <v>0</v>
      </c>
    </row>
    <row r="1629">
      <c r="A1629" t="inlineStr">
        <is>
          <t>Soja</t>
        </is>
      </c>
      <c r="B1629" t="inlineStr">
        <is>
          <t>Macapá - AP</t>
        </is>
      </c>
      <c r="C1629" t="n">
        <v>0.034934</v>
      </c>
      <c r="D1629" t="n">
        <v>-51.0694</v>
      </c>
      <c r="E1629" t="inlineStr">
        <is>
          <t>2022-02</t>
        </is>
      </c>
      <c r="F1629" t="n">
        <v>0</v>
      </c>
    </row>
    <row r="1630">
      <c r="A1630" t="inlineStr">
        <is>
          <t>Soja</t>
        </is>
      </c>
      <c r="B1630" t="inlineStr">
        <is>
          <t>Macapá - AP</t>
        </is>
      </c>
      <c r="C1630" t="n">
        <v>0.034934</v>
      </c>
      <c r="D1630" t="n">
        <v>-51.0694</v>
      </c>
      <c r="E1630" t="inlineStr">
        <is>
          <t>2022-03</t>
        </is>
      </c>
      <c r="F1630" t="n">
        <v>0</v>
      </c>
    </row>
    <row r="1631">
      <c r="A1631" t="inlineStr">
        <is>
          <t>Soja</t>
        </is>
      </c>
      <c r="B1631" t="inlineStr">
        <is>
          <t>Macapá - AP</t>
        </is>
      </c>
      <c r="C1631" t="n">
        <v>0.034934</v>
      </c>
      <c r="D1631" t="n">
        <v>-51.0694</v>
      </c>
      <c r="E1631" t="inlineStr">
        <is>
          <t>2022-04</t>
        </is>
      </c>
      <c r="F1631" t="n">
        <v>0</v>
      </c>
    </row>
    <row r="1632">
      <c r="A1632" t="inlineStr">
        <is>
          <t>Soja</t>
        </is>
      </c>
      <c r="B1632" t="inlineStr">
        <is>
          <t>Macapá - AP</t>
        </is>
      </c>
      <c r="C1632" t="n">
        <v>0.034934</v>
      </c>
      <c r="D1632" t="n">
        <v>-51.0694</v>
      </c>
      <c r="E1632" t="inlineStr">
        <is>
          <t>2022-05</t>
        </is>
      </c>
      <c r="F1632" t="n">
        <v>0</v>
      </c>
    </row>
    <row r="1633">
      <c r="A1633" t="inlineStr">
        <is>
          <t>Soja</t>
        </is>
      </c>
      <c r="B1633" t="inlineStr">
        <is>
          <t>Macapá - AP</t>
        </is>
      </c>
      <c r="C1633" t="n">
        <v>0.034934</v>
      </c>
      <c r="D1633" t="n">
        <v>-51.0694</v>
      </c>
      <c r="E1633" t="inlineStr">
        <is>
          <t>2022-06</t>
        </is>
      </c>
      <c r="F1633" t="n">
        <v>0</v>
      </c>
    </row>
    <row r="1634">
      <c r="A1634" t="inlineStr">
        <is>
          <t>Soja</t>
        </is>
      </c>
      <c r="B1634" t="inlineStr">
        <is>
          <t>Macapá - AP</t>
        </is>
      </c>
      <c r="C1634" t="n">
        <v>0.034934</v>
      </c>
      <c r="D1634" t="n">
        <v>-51.0694</v>
      </c>
      <c r="E1634" t="inlineStr">
        <is>
          <t>2021-07</t>
        </is>
      </c>
      <c r="F1634" t="n">
        <v>0</v>
      </c>
    </row>
    <row r="1635">
      <c r="A1635" t="inlineStr">
        <is>
          <t>Soja</t>
        </is>
      </c>
      <c r="B1635" t="inlineStr">
        <is>
          <t>Macapá - AP</t>
        </is>
      </c>
      <c r="C1635" t="n">
        <v>0.034934</v>
      </c>
      <c r="D1635" t="n">
        <v>-51.0694</v>
      </c>
      <c r="E1635" t="inlineStr">
        <is>
          <t>2021-08</t>
        </is>
      </c>
      <c r="F1635" t="n">
        <v>0</v>
      </c>
    </row>
    <row r="1636">
      <c r="A1636" t="inlineStr">
        <is>
          <t>Soja</t>
        </is>
      </c>
      <c r="B1636" t="inlineStr">
        <is>
          <t>Macapá - AP</t>
        </is>
      </c>
      <c r="C1636" t="n">
        <v>0.034934</v>
      </c>
      <c r="D1636" t="n">
        <v>-51.0694</v>
      </c>
      <c r="E1636" t="inlineStr">
        <is>
          <t>2021-09</t>
        </is>
      </c>
      <c r="F1636" t="n">
        <v>0</v>
      </c>
    </row>
    <row r="1637">
      <c r="A1637" t="inlineStr">
        <is>
          <t>Soja</t>
        </is>
      </c>
      <c r="B1637" t="inlineStr">
        <is>
          <t>Macapá - AP</t>
        </is>
      </c>
      <c r="C1637" t="n">
        <v>0.034934</v>
      </c>
      <c r="D1637" t="n">
        <v>-51.0694</v>
      </c>
      <c r="E1637" t="inlineStr">
        <is>
          <t>2021-10</t>
        </is>
      </c>
      <c r="F1637" t="n">
        <v>0</v>
      </c>
    </row>
    <row r="1638">
      <c r="A1638" t="inlineStr">
        <is>
          <t>Soja</t>
        </is>
      </c>
      <c r="B1638" t="inlineStr">
        <is>
          <t>Macapá - AP</t>
        </is>
      </c>
      <c r="C1638" t="n">
        <v>0.034934</v>
      </c>
      <c r="D1638" t="n">
        <v>-51.0694</v>
      </c>
      <c r="E1638" t="inlineStr">
        <is>
          <t>2021-11</t>
        </is>
      </c>
      <c r="F1638" t="n">
        <v>0</v>
      </c>
    </row>
    <row r="1639">
      <c r="A1639" t="inlineStr">
        <is>
          <t>Soja</t>
        </is>
      </c>
      <c r="B1639" t="inlineStr">
        <is>
          <t>Macapá - AP</t>
        </is>
      </c>
      <c r="C1639" t="n">
        <v>0.034934</v>
      </c>
      <c r="D1639" t="n">
        <v>-51.0694</v>
      </c>
      <c r="E1639" t="inlineStr">
        <is>
          <t>2021-12</t>
        </is>
      </c>
      <c r="F1639" t="n">
        <v>0</v>
      </c>
    </row>
    <row r="1640">
      <c r="A1640" t="inlineStr">
        <is>
          <t>Soja</t>
        </is>
      </c>
      <c r="B1640" t="inlineStr">
        <is>
          <t>Limoeiro do Norte - CE</t>
        </is>
      </c>
      <c r="C1640" t="n">
        <v>-5.14392</v>
      </c>
      <c r="D1640" t="n">
        <v>-38.0847</v>
      </c>
      <c r="E1640" t="inlineStr">
        <is>
          <t>2022-01</t>
        </is>
      </c>
      <c r="F1640" t="n">
        <v>0</v>
      </c>
    </row>
    <row r="1641">
      <c r="A1641" t="inlineStr">
        <is>
          <t>Soja</t>
        </is>
      </c>
      <c r="B1641" t="inlineStr">
        <is>
          <t>Limoeiro do Norte - CE</t>
        </is>
      </c>
      <c r="C1641" t="n">
        <v>-5.14392</v>
      </c>
      <c r="D1641" t="n">
        <v>-38.0847</v>
      </c>
      <c r="E1641" t="inlineStr">
        <is>
          <t>2022-02</t>
        </is>
      </c>
      <c r="F1641" t="n">
        <v>0</v>
      </c>
    </row>
    <row r="1642">
      <c r="A1642" t="inlineStr">
        <is>
          <t>Soja</t>
        </is>
      </c>
      <c r="B1642" t="inlineStr">
        <is>
          <t>Limoeiro do Norte - CE</t>
        </is>
      </c>
      <c r="C1642" t="n">
        <v>-5.14392</v>
      </c>
      <c r="D1642" t="n">
        <v>-38.0847</v>
      </c>
      <c r="E1642" t="inlineStr">
        <is>
          <t>2022-03</t>
        </is>
      </c>
      <c r="F1642" t="n">
        <v>0</v>
      </c>
    </row>
    <row r="1643">
      <c r="A1643" t="inlineStr">
        <is>
          <t>Soja</t>
        </is>
      </c>
      <c r="B1643" t="inlineStr">
        <is>
          <t>Limoeiro do Norte - CE</t>
        </is>
      </c>
      <c r="C1643" t="n">
        <v>-5.14392</v>
      </c>
      <c r="D1643" t="n">
        <v>-38.0847</v>
      </c>
      <c r="E1643" t="inlineStr">
        <is>
          <t>2022-04</t>
        </is>
      </c>
      <c r="F1643" t="n">
        <v>0</v>
      </c>
    </row>
    <row r="1644">
      <c r="A1644" t="inlineStr">
        <is>
          <t>Soja</t>
        </is>
      </c>
      <c r="B1644" t="inlineStr">
        <is>
          <t>Limoeiro do Norte - CE</t>
        </is>
      </c>
      <c r="C1644" t="n">
        <v>-5.14392</v>
      </c>
      <c r="D1644" t="n">
        <v>-38.0847</v>
      </c>
      <c r="E1644" t="inlineStr">
        <is>
          <t>2022-05</t>
        </is>
      </c>
      <c r="F1644" t="n">
        <v>0</v>
      </c>
    </row>
    <row r="1645">
      <c r="A1645" t="inlineStr">
        <is>
          <t>Soja</t>
        </is>
      </c>
      <c r="B1645" t="inlineStr">
        <is>
          <t>Limoeiro do Norte - CE</t>
        </is>
      </c>
      <c r="C1645" t="n">
        <v>-5.14392</v>
      </c>
      <c r="D1645" t="n">
        <v>-38.0847</v>
      </c>
      <c r="E1645" t="inlineStr">
        <is>
          <t>2022-06</t>
        </is>
      </c>
      <c r="F1645" t="n">
        <v>0</v>
      </c>
    </row>
    <row r="1646">
      <c r="A1646" t="inlineStr">
        <is>
          <t>Soja</t>
        </is>
      </c>
      <c r="B1646" t="inlineStr">
        <is>
          <t>Limoeiro do Norte - CE</t>
        </is>
      </c>
      <c r="C1646" t="n">
        <v>-5.14392</v>
      </c>
      <c r="D1646" t="n">
        <v>-38.0847</v>
      </c>
      <c r="E1646" t="inlineStr">
        <is>
          <t>2021-07</t>
        </is>
      </c>
      <c r="F1646" t="n">
        <v>0</v>
      </c>
    </row>
    <row r="1647">
      <c r="A1647" t="inlineStr">
        <is>
          <t>Soja</t>
        </is>
      </c>
      <c r="B1647" t="inlineStr">
        <is>
          <t>Limoeiro do Norte - CE</t>
        </is>
      </c>
      <c r="C1647" t="n">
        <v>-5.14392</v>
      </c>
      <c r="D1647" t="n">
        <v>-38.0847</v>
      </c>
      <c r="E1647" t="inlineStr">
        <is>
          <t>2021-08</t>
        </is>
      </c>
      <c r="F1647" t="n">
        <v>0</v>
      </c>
    </row>
    <row r="1648">
      <c r="A1648" t="inlineStr">
        <is>
          <t>Soja</t>
        </is>
      </c>
      <c r="B1648" t="inlineStr">
        <is>
          <t>Limoeiro do Norte - CE</t>
        </is>
      </c>
      <c r="C1648" t="n">
        <v>-5.14392</v>
      </c>
      <c r="D1648" t="n">
        <v>-38.0847</v>
      </c>
      <c r="E1648" t="inlineStr">
        <is>
          <t>2021-09</t>
        </is>
      </c>
      <c r="F1648" t="n">
        <v>0</v>
      </c>
    </row>
    <row r="1649">
      <c r="A1649" t="inlineStr">
        <is>
          <t>Soja</t>
        </is>
      </c>
      <c r="B1649" t="inlineStr">
        <is>
          <t>Limoeiro do Norte - CE</t>
        </is>
      </c>
      <c r="C1649" t="n">
        <v>-5.14392</v>
      </c>
      <c r="D1649" t="n">
        <v>-38.0847</v>
      </c>
      <c r="E1649" t="inlineStr">
        <is>
          <t>2021-10</t>
        </is>
      </c>
      <c r="F1649" t="n">
        <v>0</v>
      </c>
    </row>
    <row r="1650">
      <c r="A1650" t="inlineStr">
        <is>
          <t>Soja</t>
        </is>
      </c>
      <c r="B1650" t="inlineStr">
        <is>
          <t>Limoeiro do Norte - CE</t>
        </is>
      </c>
      <c r="C1650" t="n">
        <v>-5.14392</v>
      </c>
      <c r="D1650" t="n">
        <v>-38.0847</v>
      </c>
      <c r="E1650" t="inlineStr">
        <is>
          <t>2021-11</t>
        </is>
      </c>
      <c r="F1650" t="n">
        <v>0</v>
      </c>
    </row>
    <row r="1651">
      <c r="A1651" t="inlineStr">
        <is>
          <t>Soja</t>
        </is>
      </c>
      <c r="B1651" t="inlineStr">
        <is>
          <t>Limoeiro do Norte - CE</t>
        </is>
      </c>
      <c r="C1651" t="n">
        <v>-5.14392</v>
      </c>
      <c r="D1651" t="n">
        <v>-38.0847</v>
      </c>
      <c r="E1651" t="inlineStr">
        <is>
          <t>2021-12</t>
        </is>
      </c>
      <c r="F1651" t="n">
        <v>0</v>
      </c>
    </row>
    <row r="1652">
      <c r="A1652" t="inlineStr">
        <is>
          <t>Soja</t>
        </is>
      </c>
      <c r="B1652" t="inlineStr">
        <is>
          <t>Pinheiros - ES</t>
        </is>
      </c>
      <c r="C1652" t="n">
        <v>-18.4141</v>
      </c>
      <c r="D1652" t="n">
        <v>-40.2171</v>
      </c>
      <c r="E1652" t="inlineStr">
        <is>
          <t>2022-01</t>
        </is>
      </c>
      <c r="F1652" t="n">
        <v>0</v>
      </c>
    </row>
    <row r="1653">
      <c r="A1653" t="inlineStr">
        <is>
          <t>Soja</t>
        </is>
      </c>
      <c r="B1653" t="inlineStr">
        <is>
          <t>Pinheiros - ES</t>
        </is>
      </c>
      <c r="C1653" t="n">
        <v>-18.4141</v>
      </c>
      <c r="D1653" t="n">
        <v>-40.2171</v>
      </c>
      <c r="E1653" t="inlineStr">
        <is>
          <t>2022-02</t>
        </is>
      </c>
      <c r="F1653" t="n">
        <v>0</v>
      </c>
    </row>
    <row r="1654">
      <c r="A1654" t="inlineStr">
        <is>
          <t>Soja</t>
        </is>
      </c>
      <c r="B1654" t="inlineStr">
        <is>
          <t>Pinheiros - ES</t>
        </is>
      </c>
      <c r="C1654" t="n">
        <v>-18.4141</v>
      </c>
      <c r="D1654" t="n">
        <v>-40.2171</v>
      </c>
      <c r="E1654" t="inlineStr">
        <is>
          <t>2022-03</t>
        </is>
      </c>
      <c r="F1654" t="n">
        <v>0</v>
      </c>
    </row>
    <row r="1655">
      <c r="A1655" t="inlineStr">
        <is>
          <t>Soja</t>
        </is>
      </c>
      <c r="B1655" t="inlineStr">
        <is>
          <t>Pinheiros - ES</t>
        </is>
      </c>
      <c r="C1655" t="n">
        <v>-18.4141</v>
      </c>
      <c r="D1655" t="n">
        <v>-40.2171</v>
      </c>
      <c r="E1655" t="inlineStr">
        <is>
          <t>2022-04</t>
        </is>
      </c>
      <c r="F1655" t="n">
        <v>0</v>
      </c>
    </row>
    <row r="1656">
      <c r="A1656" t="inlineStr">
        <is>
          <t>Soja</t>
        </is>
      </c>
      <c r="B1656" t="inlineStr">
        <is>
          <t>Pinheiros - ES</t>
        </is>
      </c>
      <c r="C1656" t="n">
        <v>-18.4141</v>
      </c>
      <c r="D1656" t="n">
        <v>-40.2171</v>
      </c>
      <c r="E1656" t="inlineStr">
        <is>
          <t>2022-05</t>
        </is>
      </c>
      <c r="F1656" t="n">
        <v>0</v>
      </c>
    </row>
    <row r="1657">
      <c r="A1657" t="inlineStr">
        <is>
          <t>Soja</t>
        </is>
      </c>
      <c r="B1657" t="inlineStr">
        <is>
          <t>Pinheiros - ES</t>
        </is>
      </c>
      <c r="C1657" t="n">
        <v>-18.4141</v>
      </c>
      <c r="D1657" t="n">
        <v>-40.2171</v>
      </c>
      <c r="E1657" t="inlineStr">
        <is>
          <t>2022-06</t>
        </is>
      </c>
      <c r="F1657" t="n">
        <v>0</v>
      </c>
    </row>
    <row r="1658">
      <c r="A1658" t="inlineStr">
        <is>
          <t>Soja</t>
        </is>
      </c>
      <c r="B1658" t="inlineStr">
        <is>
          <t>Pinheiros - ES</t>
        </is>
      </c>
      <c r="C1658" t="n">
        <v>-18.4141</v>
      </c>
      <c r="D1658" t="n">
        <v>-40.2171</v>
      </c>
      <c r="E1658" t="inlineStr">
        <is>
          <t>2021-07</t>
        </is>
      </c>
      <c r="F1658" t="n">
        <v>0</v>
      </c>
    </row>
    <row r="1659">
      <c r="A1659" t="inlineStr">
        <is>
          <t>Soja</t>
        </is>
      </c>
      <c r="B1659" t="inlineStr">
        <is>
          <t>Pinheiros - ES</t>
        </is>
      </c>
      <c r="C1659" t="n">
        <v>-18.4141</v>
      </c>
      <c r="D1659" t="n">
        <v>-40.2171</v>
      </c>
      <c r="E1659" t="inlineStr">
        <is>
          <t>2021-08</t>
        </is>
      </c>
      <c r="F1659" t="n">
        <v>0</v>
      </c>
    </row>
    <row r="1660">
      <c r="A1660" t="inlineStr">
        <is>
          <t>Soja</t>
        </is>
      </c>
      <c r="B1660" t="inlineStr">
        <is>
          <t>Pinheiros - ES</t>
        </is>
      </c>
      <c r="C1660" t="n">
        <v>-18.4141</v>
      </c>
      <c r="D1660" t="n">
        <v>-40.2171</v>
      </c>
      <c r="E1660" t="inlineStr">
        <is>
          <t>2021-09</t>
        </is>
      </c>
      <c r="F1660" t="n">
        <v>0</v>
      </c>
    </row>
    <row r="1661">
      <c r="A1661" t="inlineStr">
        <is>
          <t>Soja</t>
        </is>
      </c>
      <c r="B1661" t="inlineStr">
        <is>
          <t>Pinheiros - ES</t>
        </is>
      </c>
      <c r="C1661" t="n">
        <v>-18.4141</v>
      </c>
      <c r="D1661" t="n">
        <v>-40.2171</v>
      </c>
      <c r="E1661" t="inlineStr">
        <is>
          <t>2021-10</t>
        </is>
      </c>
      <c r="F1661" t="n">
        <v>0</v>
      </c>
    </row>
    <row r="1662">
      <c r="A1662" t="inlineStr">
        <is>
          <t>Soja</t>
        </is>
      </c>
      <c r="B1662" t="inlineStr">
        <is>
          <t>Pinheiros - ES</t>
        </is>
      </c>
      <c r="C1662" t="n">
        <v>-18.4141</v>
      </c>
      <c r="D1662" t="n">
        <v>-40.2171</v>
      </c>
      <c r="E1662" t="inlineStr">
        <is>
          <t>2021-11</t>
        </is>
      </c>
      <c r="F1662" t="n">
        <v>0</v>
      </c>
    </row>
    <row r="1663">
      <c r="A1663" t="inlineStr">
        <is>
          <t>Soja</t>
        </is>
      </c>
      <c r="B1663" t="inlineStr">
        <is>
          <t>Pinheiros - ES</t>
        </is>
      </c>
      <c r="C1663" t="n">
        <v>-18.4141</v>
      </c>
      <c r="D1663" t="n">
        <v>-40.2171</v>
      </c>
      <c r="E1663" t="inlineStr">
        <is>
          <t>2021-12</t>
        </is>
      </c>
      <c r="F1663" t="n">
        <v>0</v>
      </c>
    </row>
    <row r="1664">
      <c r="A1664" t="inlineStr">
        <is>
          <t>Soja</t>
        </is>
      </c>
      <c r="B1664" t="inlineStr">
        <is>
          <t>Campos dos Goytacazes - RJ</t>
        </is>
      </c>
      <c r="C1664" t="n">
        <v>-21.7622</v>
      </c>
      <c r="D1664" t="n">
        <v>-41.3181</v>
      </c>
      <c r="E1664" t="inlineStr">
        <is>
          <t>2022-01</t>
        </is>
      </c>
      <c r="F1664" t="n">
        <v>0</v>
      </c>
    </row>
    <row r="1665">
      <c r="A1665" t="inlineStr">
        <is>
          <t>Soja</t>
        </is>
      </c>
      <c r="B1665" t="inlineStr">
        <is>
          <t>Campos dos Goytacazes - RJ</t>
        </is>
      </c>
      <c r="C1665" t="n">
        <v>-21.7622</v>
      </c>
      <c r="D1665" t="n">
        <v>-41.3181</v>
      </c>
      <c r="E1665" t="inlineStr">
        <is>
          <t>2022-02</t>
        </is>
      </c>
      <c r="F1665" t="n">
        <v>0</v>
      </c>
    </row>
    <row r="1666">
      <c r="A1666" t="inlineStr">
        <is>
          <t>Soja</t>
        </is>
      </c>
      <c r="B1666" t="inlineStr">
        <is>
          <t>Campos dos Goytacazes - RJ</t>
        </is>
      </c>
      <c r="C1666" t="n">
        <v>-21.7622</v>
      </c>
      <c r="D1666" t="n">
        <v>-41.3181</v>
      </c>
      <c r="E1666" t="inlineStr">
        <is>
          <t>2022-03</t>
        </is>
      </c>
      <c r="F1666" t="n">
        <v>0</v>
      </c>
    </row>
    <row r="1667">
      <c r="A1667" t="inlineStr">
        <is>
          <t>Soja</t>
        </is>
      </c>
      <c r="B1667" t="inlineStr">
        <is>
          <t>Campos dos Goytacazes - RJ</t>
        </is>
      </c>
      <c r="C1667" t="n">
        <v>-21.7622</v>
      </c>
      <c r="D1667" t="n">
        <v>-41.3181</v>
      </c>
      <c r="E1667" t="inlineStr">
        <is>
          <t>2022-04</t>
        </is>
      </c>
      <c r="F1667" t="n">
        <v>0</v>
      </c>
    </row>
    <row r="1668">
      <c r="A1668" t="inlineStr">
        <is>
          <t>Soja</t>
        </is>
      </c>
      <c r="B1668" t="inlineStr">
        <is>
          <t>Campos dos Goytacazes - RJ</t>
        </is>
      </c>
      <c r="C1668" t="n">
        <v>-21.7622</v>
      </c>
      <c r="D1668" t="n">
        <v>-41.3181</v>
      </c>
      <c r="E1668" t="inlineStr">
        <is>
          <t>2022-05</t>
        </is>
      </c>
      <c r="F1668" t="n">
        <v>0</v>
      </c>
    </row>
    <row r="1669">
      <c r="A1669" t="inlineStr">
        <is>
          <t>Soja</t>
        </is>
      </c>
      <c r="B1669" t="inlineStr">
        <is>
          <t>Campos dos Goytacazes - RJ</t>
        </is>
      </c>
      <c r="C1669" t="n">
        <v>-21.7622</v>
      </c>
      <c r="D1669" t="n">
        <v>-41.3181</v>
      </c>
      <c r="E1669" t="inlineStr">
        <is>
          <t>2022-06</t>
        </is>
      </c>
      <c r="F1669" t="n">
        <v>0</v>
      </c>
    </row>
    <row r="1670">
      <c r="A1670" t="inlineStr">
        <is>
          <t>Soja</t>
        </is>
      </c>
      <c r="B1670" t="inlineStr">
        <is>
          <t>Campos dos Goytacazes - RJ</t>
        </is>
      </c>
      <c r="C1670" t="n">
        <v>-21.7622</v>
      </c>
      <c r="D1670" t="n">
        <v>-41.3181</v>
      </c>
      <c r="E1670" t="inlineStr">
        <is>
          <t>2021-07</t>
        </is>
      </c>
      <c r="F1670" t="n">
        <v>0</v>
      </c>
    </row>
    <row r="1671">
      <c r="A1671" t="inlineStr">
        <is>
          <t>Soja</t>
        </is>
      </c>
      <c r="B1671" t="inlineStr">
        <is>
          <t>Campos dos Goytacazes - RJ</t>
        </is>
      </c>
      <c r="C1671" t="n">
        <v>-21.7622</v>
      </c>
      <c r="D1671" t="n">
        <v>-41.3181</v>
      </c>
      <c r="E1671" t="inlineStr">
        <is>
          <t>2021-08</t>
        </is>
      </c>
      <c r="F1671" t="n">
        <v>0</v>
      </c>
    </row>
    <row r="1672">
      <c r="A1672" t="inlineStr">
        <is>
          <t>Soja</t>
        </is>
      </c>
      <c r="B1672" t="inlineStr">
        <is>
          <t>Campos dos Goytacazes - RJ</t>
        </is>
      </c>
      <c r="C1672" t="n">
        <v>-21.7622</v>
      </c>
      <c r="D1672" t="n">
        <v>-41.3181</v>
      </c>
      <c r="E1672" t="inlineStr">
        <is>
          <t>2021-09</t>
        </is>
      </c>
      <c r="F1672" t="n">
        <v>0</v>
      </c>
    </row>
    <row r="1673">
      <c r="A1673" t="inlineStr">
        <is>
          <t>Soja</t>
        </is>
      </c>
      <c r="B1673" t="inlineStr">
        <is>
          <t>Campos dos Goytacazes - RJ</t>
        </is>
      </c>
      <c r="C1673" t="n">
        <v>-21.7622</v>
      </c>
      <c r="D1673" t="n">
        <v>-41.3181</v>
      </c>
      <c r="E1673" t="inlineStr">
        <is>
          <t>2021-10</t>
        </is>
      </c>
      <c r="F1673" t="n">
        <v>0</v>
      </c>
    </row>
    <row r="1674">
      <c r="A1674" t="inlineStr">
        <is>
          <t>Soja</t>
        </is>
      </c>
      <c r="B1674" t="inlineStr">
        <is>
          <t>Campos dos Goytacazes - RJ</t>
        </is>
      </c>
      <c r="C1674" t="n">
        <v>-21.7622</v>
      </c>
      <c r="D1674" t="n">
        <v>-41.3181</v>
      </c>
      <c r="E1674" t="inlineStr">
        <is>
          <t>2021-11</t>
        </is>
      </c>
      <c r="F1674" t="n">
        <v>0</v>
      </c>
    </row>
    <row r="1675">
      <c r="A1675" t="inlineStr">
        <is>
          <t>Soja</t>
        </is>
      </c>
      <c r="B1675" t="inlineStr">
        <is>
          <t>Campos dos Goytacazes - RJ</t>
        </is>
      </c>
      <c r="C1675" t="n">
        <v>-21.7622</v>
      </c>
      <c r="D1675" t="n">
        <v>-41.3181</v>
      </c>
      <c r="E1675" t="inlineStr">
        <is>
          <t>2021-12</t>
        </is>
      </c>
      <c r="F1675" t="n">
        <v>0</v>
      </c>
    </row>
    <row r="1676">
      <c r="A1676" t="inlineStr">
        <is>
          <t>Soja</t>
        </is>
      </c>
      <c r="B1676" t="inlineStr">
        <is>
          <t>Alto do Rodrigues - RN</t>
        </is>
      </c>
      <c r="C1676" t="n">
        <v>-5.28186</v>
      </c>
      <c r="D1676" t="n">
        <v>-36.75</v>
      </c>
      <c r="E1676" t="inlineStr">
        <is>
          <t>2022-01</t>
        </is>
      </c>
      <c r="F1676" t="n">
        <v>0</v>
      </c>
    </row>
    <row r="1677">
      <c r="A1677" t="inlineStr">
        <is>
          <t>Soja</t>
        </is>
      </c>
      <c r="B1677" t="inlineStr">
        <is>
          <t>Alto do Rodrigues - RN</t>
        </is>
      </c>
      <c r="C1677" t="n">
        <v>-5.28186</v>
      </c>
      <c r="D1677" t="n">
        <v>-36.75</v>
      </c>
      <c r="E1677" t="inlineStr">
        <is>
          <t>2022-02</t>
        </is>
      </c>
      <c r="F1677" t="n">
        <v>0</v>
      </c>
    </row>
    <row r="1678">
      <c r="A1678" t="inlineStr">
        <is>
          <t>Soja</t>
        </is>
      </c>
      <c r="B1678" t="inlineStr">
        <is>
          <t>Alto do Rodrigues - RN</t>
        </is>
      </c>
      <c r="C1678" t="n">
        <v>-5.28186</v>
      </c>
      <c r="D1678" t="n">
        <v>-36.75</v>
      </c>
      <c r="E1678" t="inlineStr">
        <is>
          <t>2022-03</t>
        </is>
      </c>
      <c r="F1678" t="n">
        <v>0</v>
      </c>
    </row>
    <row r="1679">
      <c r="A1679" t="inlineStr">
        <is>
          <t>Soja</t>
        </is>
      </c>
      <c r="B1679" t="inlineStr">
        <is>
          <t>Alto do Rodrigues - RN</t>
        </is>
      </c>
      <c r="C1679" t="n">
        <v>-5.28186</v>
      </c>
      <c r="D1679" t="n">
        <v>-36.75</v>
      </c>
      <c r="E1679" t="inlineStr">
        <is>
          <t>2022-04</t>
        </is>
      </c>
      <c r="F1679" t="n">
        <v>0</v>
      </c>
    </row>
    <row r="1680">
      <c r="A1680" t="inlineStr">
        <is>
          <t>Soja</t>
        </is>
      </c>
      <c r="B1680" t="inlineStr">
        <is>
          <t>Alto do Rodrigues - RN</t>
        </is>
      </c>
      <c r="C1680" t="n">
        <v>-5.28186</v>
      </c>
      <c r="D1680" t="n">
        <v>-36.75</v>
      </c>
      <c r="E1680" t="inlineStr">
        <is>
          <t>2022-05</t>
        </is>
      </c>
      <c r="F1680" t="n">
        <v>0</v>
      </c>
    </row>
    <row r="1681">
      <c r="A1681" t="inlineStr">
        <is>
          <t>Soja</t>
        </is>
      </c>
      <c r="B1681" t="inlineStr">
        <is>
          <t>Alto do Rodrigues - RN</t>
        </is>
      </c>
      <c r="C1681" t="n">
        <v>-5.28186</v>
      </c>
      <c r="D1681" t="n">
        <v>-36.75</v>
      </c>
      <c r="E1681" t="inlineStr">
        <is>
          <t>2022-06</t>
        </is>
      </c>
      <c r="F1681" t="n">
        <v>0</v>
      </c>
    </row>
    <row r="1682">
      <c r="A1682" t="inlineStr">
        <is>
          <t>Soja</t>
        </is>
      </c>
      <c r="B1682" t="inlineStr">
        <is>
          <t>Alto do Rodrigues - RN</t>
        </is>
      </c>
      <c r="C1682" t="n">
        <v>-5.28186</v>
      </c>
      <c r="D1682" t="n">
        <v>-36.75</v>
      </c>
      <c r="E1682" t="inlineStr">
        <is>
          <t>2021-07</t>
        </is>
      </c>
      <c r="F1682" t="n">
        <v>0</v>
      </c>
    </row>
    <row r="1683">
      <c r="A1683" t="inlineStr">
        <is>
          <t>Soja</t>
        </is>
      </c>
      <c r="B1683" t="inlineStr">
        <is>
          <t>Alto do Rodrigues - RN</t>
        </is>
      </c>
      <c r="C1683" t="n">
        <v>-5.28186</v>
      </c>
      <c r="D1683" t="n">
        <v>-36.75</v>
      </c>
      <c r="E1683" t="inlineStr">
        <is>
          <t>2021-08</t>
        </is>
      </c>
      <c r="F1683" t="n">
        <v>0</v>
      </c>
    </row>
    <row r="1684">
      <c r="A1684" t="inlineStr">
        <is>
          <t>Soja</t>
        </is>
      </c>
      <c r="B1684" t="inlineStr">
        <is>
          <t>Alto do Rodrigues - RN</t>
        </is>
      </c>
      <c r="C1684" t="n">
        <v>-5.28186</v>
      </c>
      <c r="D1684" t="n">
        <v>-36.75</v>
      </c>
      <c r="E1684" t="inlineStr">
        <is>
          <t>2021-09</t>
        </is>
      </c>
      <c r="F1684" t="n">
        <v>0</v>
      </c>
    </row>
    <row r="1685">
      <c r="A1685" t="inlineStr">
        <is>
          <t>Soja</t>
        </is>
      </c>
      <c r="B1685" t="inlineStr">
        <is>
          <t>Alto do Rodrigues - RN</t>
        </is>
      </c>
      <c r="C1685" t="n">
        <v>-5.28186</v>
      </c>
      <c r="D1685" t="n">
        <v>-36.75</v>
      </c>
      <c r="E1685" t="inlineStr">
        <is>
          <t>2021-10</t>
        </is>
      </c>
      <c r="F1685" t="n">
        <v>0</v>
      </c>
    </row>
    <row r="1686">
      <c r="A1686" t="inlineStr">
        <is>
          <t>Soja</t>
        </is>
      </c>
      <c r="B1686" t="inlineStr">
        <is>
          <t>Alto do Rodrigues - RN</t>
        </is>
      </c>
      <c r="C1686" t="n">
        <v>-5.28186</v>
      </c>
      <c r="D1686" t="n">
        <v>-36.75</v>
      </c>
      <c r="E1686" t="inlineStr">
        <is>
          <t>2021-11</t>
        </is>
      </c>
      <c r="F1686" t="n">
        <v>0</v>
      </c>
    </row>
    <row r="1687">
      <c r="A1687" t="inlineStr">
        <is>
          <t>Soja</t>
        </is>
      </c>
      <c r="B1687" t="inlineStr">
        <is>
          <t>Alto do Rodrigues - RN</t>
        </is>
      </c>
      <c r="C1687" t="n">
        <v>-5.28186</v>
      </c>
      <c r="D1687" t="n">
        <v>-36.75</v>
      </c>
      <c r="E1687" t="inlineStr">
        <is>
          <t>2021-12</t>
        </is>
      </c>
      <c r="F1687" t="n">
        <v>0</v>
      </c>
    </row>
    <row r="1688">
      <c r="A1688" t="inlineStr">
        <is>
          <t>Soja</t>
        </is>
      </c>
      <c r="B1688" t="inlineStr">
        <is>
          <t>Humaitá - AM</t>
        </is>
      </c>
      <c r="C1688" t="n">
        <v>-7.51171</v>
      </c>
      <c r="D1688" t="n">
        <v>-63.0327</v>
      </c>
      <c r="E1688" t="inlineStr">
        <is>
          <t>2022-01</t>
        </is>
      </c>
      <c r="F1688" t="n">
        <v>4656.7314359105</v>
      </c>
    </row>
    <row r="1689">
      <c r="A1689" t="inlineStr">
        <is>
          <t>Soja</t>
        </is>
      </c>
      <c r="B1689" t="inlineStr">
        <is>
          <t>Humaitá - AM</t>
        </is>
      </c>
      <c r="C1689" t="n">
        <v>-7.51171</v>
      </c>
      <c r="D1689" t="n">
        <v>-63.0327</v>
      </c>
      <c r="E1689" t="inlineStr">
        <is>
          <t>2022-02</t>
        </is>
      </c>
      <c r="F1689" t="n">
        <v>4656.7314359105</v>
      </c>
    </row>
    <row r="1690">
      <c r="A1690" t="inlineStr">
        <is>
          <t>Soja</t>
        </is>
      </c>
      <c r="B1690" t="inlineStr">
        <is>
          <t>Humaitá - AM</t>
        </is>
      </c>
      <c r="C1690" t="n">
        <v>-7.51171</v>
      </c>
      <c r="D1690" t="n">
        <v>-63.0327</v>
      </c>
      <c r="E1690" t="inlineStr">
        <is>
          <t>2022-03</t>
        </is>
      </c>
      <c r="F1690" t="n">
        <v>2794.0388615463</v>
      </c>
    </row>
    <row r="1691">
      <c r="A1691" t="inlineStr">
        <is>
          <t>Soja</t>
        </is>
      </c>
      <c r="B1691" t="inlineStr">
        <is>
          <t>Humaitá - AM</t>
        </is>
      </c>
      <c r="C1691" t="n">
        <v>-7.51171</v>
      </c>
      <c r="D1691" t="n">
        <v>-63.0327</v>
      </c>
      <c r="E1691" t="inlineStr">
        <is>
          <t>2022-04</t>
        </is>
      </c>
      <c r="F1691" t="n">
        <v>0</v>
      </c>
    </row>
    <row r="1692">
      <c r="A1692" t="inlineStr">
        <is>
          <t>Soja</t>
        </is>
      </c>
      <c r="B1692" t="inlineStr">
        <is>
          <t>Humaitá - AM</t>
        </is>
      </c>
      <c r="C1692" t="n">
        <v>-7.51171</v>
      </c>
      <c r="D1692" t="n">
        <v>-63.0327</v>
      </c>
      <c r="E1692" t="inlineStr">
        <is>
          <t>2022-05</t>
        </is>
      </c>
      <c r="F1692" t="n">
        <v>0</v>
      </c>
    </row>
    <row r="1693">
      <c r="A1693" t="inlineStr">
        <is>
          <t>Soja</t>
        </is>
      </c>
      <c r="B1693" t="inlineStr">
        <is>
          <t>Humaitá - AM</t>
        </is>
      </c>
      <c r="C1693" t="n">
        <v>-7.51171</v>
      </c>
      <c r="D1693" t="n">
        <v>-63.0327</v>
      </c>
      <c r="E1693" t="inlineStr">
        <is>
          <t>2022-06</t>
        </is>
      </c>
      <c r="F1693" t="n">
        <v>0</v>
      </c>
    </row>
    <row r="1694">
      <c r="A1694" t="inlineStr">
        <is>
          <t>Soja</t>
        </is>
      </c>
      <c r="B1694" t="inlineStr">
        <is>
          <t>Humaitá - AM</t>
        </is>
      </c>
      <c r="C1694" t="n">
        <v>-7.51171</v>
      </c>
      <c r="D1694" t="n">
        <v>-63.0327</v>
      </c>
      <c r="E1694" t="inlineStr">
        <is>
          <t>2021-07</t>
        </is>
      </c>
      <c r="F1694" t="n">
        <v>0</v>
      </c>
    </row>
    <row r="1695">
      <c r="A1695" t="inlineStr">
        <is>
          <t>Soja</t>
        </is>
      </c>
      <c r="B1695" t="inlineStr">
        <is>
          <t>Humaitá - AM</t>
        </is>
      </c>
      <c r="C1695" t="n">
        <v>-7.51171</v>
      </c>
      <c r="D1695" t="n">
        <v>-63.0327</v>
      </c>
      <c r="E1695" t="inlineStr">
        <is>
          <t>2021-08</t>
        </is>
      </c>
      <c r="F1695" t="n">
        <v>0</v>
      </c>
    </row>
    <row r="1696">
      <c r="A1696" t="inlineStr">
        <is>
          <t>Soja</t>
        </is>
      </c>
      <c r="B1696" t="inlineStr">
        <is>
          <t>Humaitá - AM</t>
        </is>
      </c>
      <c r="C1696" t="n">
        <v>-7.51171</v>
      </c>
      <c r="D1696" t="n">
        <v>-63.0327</v>
      </c>
      <c r="E1696" t="inlineStr">
        <is>
          <t>2021-09</t>
        </is>
      </c>
      <c r="F1696" t="n">
        <v>0</v>
      </c>
    </row>
    <row r="1697">
      <c r="A1697" t="inlineStr">
        <is>
          <t>Soja</t>
        </is>
      </c>
      <c r="B1697" t="inlineStr">
        <is>
          <t>Humaitá - AM</t>
        </is>
      </c>
      <c r="C1697" t="n">
        <v>-7.51171</v>
      </c>
      <c r="D1697" t="n">
        <v>-63.0327</v>
      </c>
      <c r="E1697" t="inlineStr">
        <is>
          <t>2021-10</t>
        </is>
      </c>
      <c r="F1697" t="n">
        <v>0</v>
      </c>
    </row>
    <row r="1698">
      <c r="A1698" t="inlineStr">
        <is>
          <t>Soja</t>
        </is>
      </c>
      <c r="B1698" t="inlineStr">
        <is>
          <t>Humaitá - AM</t>
        </is>
      </c>
      <c r="C1698" t="n">
        <v>-7.51171</v>
      </c>
      <c r="D1698" t="n">
        <v>-63.0327</v>
      </c>
      <c r="E1698" t="inlineStr">
        <is>
          <t>2021-11</t>
        </is>
      </c>
      <c r="F1698" t="n">
        <v>0</v>
      </c>
    </row>
    <row r="1699">
      <c r="A1699" t="inlineStr">
        <is>
          <t>Soja</t>
        </is>
      </c>
      <c r="B1699" t="inlineStr">
        <is>
          <t>Humaitá - AM</t>
        </is>
      </c>
      <c r="C1699" t="n">
        <v>-7.51171</v>
      </c>
      <c r="D1699" t="n">
        <v>-63.0327</v>
      </c>
      <c r="E1699" t="inlineStr">
        <is>
          <t>2021-12</t>
        </is>
      </c>
      <c r="F1699" t="n">
        <v>1397.0194307732</v>
      </c>
    </row>
    <row r="1700">
      <c r="A1700" t="inlineStr">
        <is>
          <t>Soja</t>
        </is>
      </c>
      <c r="B1700" t="inlineStr">
        <is>
          <t>São Desidério - BA</t>
        </is>
      </c>
      <c r="C1700" t="n">
        <v>-12.3572</v>
      </c>
      <c r="D1700" t="n">
        <v>-44.9769</v>
      </c>
      <c r="E1700" t="inlineStr">
        <is>
          <t>2022-01</t>
        </is>
      </c>
      <c r="F1700" t="n">
        <v>0</v>
      </c>
    </row>
    <row r="1701">
      <c r="A1701" t="inlineStr">
        <is>
          <t>Soja</t>
        </is>
      </c>
      <c r="B1701" t="inlineStr">
        <is>
          <t>São Desidério - BA</t>
        </is>
      </c>
      <c r="C1701" t="n">
        <v>-12.3572</v>
      </c>
      <c r="D1701" t="n">
        <v>-44.9769</v>
      </c>
      <c r="E1701" t="inlineStr">
        <is>
          <t>2022-02</t>
        </is>
      </c>
      <c r="F1701" t="n">
        <v>1506587.147314091</v>
      </c>
    </row>
    <row r="1702">
      <c r="A1702" t="inlineStr">
        <is>
          <t>Soja</t>
        </is>
      </c>
      <c r="B1702" t="inlineStr">
        <is>
          <t>São Desidério - BA</t>
        </is>
      </c>
      <c r="C1702" t="n">
        <v>-12.3572</v>
      </c>
      <c r="D1702" t="n">
        <v>-44.9769</v>
      </c>
      <c r="E1702" t="inlineStr">
        <is>
          <t>2022-03</t>
        </is>
      </c>
      <c r="F1702" t="n">
        <v>2510978.578856818</v>
      </c>
    </row>
    <row r="1703">
      <c r="A1703" t="inlineStr">
        <is>
          <t>Soja</t>
        </is>
      </c>
      <c r="B1703" t="inlineStr">
        <is>
          <t>São Desidério - BA</t>
        </is>
      </c>
      <c r="C1703" t="n">
        <v>-12.3572</v>
      </c>
      <c r="D1703" t="n">
        <v>-44.9769</v>
      </c>
      <c r="E1703" t="inlineStr">
        <is>
          <t>2022-04</t>
        </is>
      </c>
      <c r="F1703" t="n">
        <v>2510978.578856818</v>
      </c>
    </row>
    <row r="1704">
      <c r="A1704" t="inlineStr">
        <is>
          <t>Soja</t>
        </is>
      </c>
      <c r="B1704" t="inlineStr">
        <is>
          <t>São Desidério - BA</t>
        </is>
      </c>
      <c r="C1704" t="n">
        <v>-12.3572</v>
      </c>
      <c r="D1704" t="n">
        <v>-44.9769</v>
      </c>
      <c r="E1704" t="inlineStr">
        <is>
          <t>2022-05</t>
        </is>
      </c>
      <c r="F1704" t="n">
        <v>753293.5736570454</v>
      </c>
    </row>
    <row r="1705">
      <c r="A1705" t="inlineStr">
        <is>
          <t>Soja</t>
        </is>
      </c>
      <c r="B1705" t="inlineStr">
        <is>
          <t>São Desidério - BA</t>
        </is>
      </c>
      <c r="C1705" t="n">
        <v>-12.3572</v>
      </c>
      <c r="D1705" t="n">
        <v>-44.9769</v>
      </c>
      <c r="E1705" t="inlineStr">
        <is>
          <t>2022-06</t>
        </is>
      </c>
      <c r="F1705" t="n">
        <v>0</v>
      </c>
    </row>
    <row r="1706">
      <c r="A1706" t="inlineStr">
        <is>
          <t>Soja</t>
        </is>
      </c>
      <c r="B1706" t="inlineStr">
        <is>
          <t>São Desidério - BA</t>
        </is>
      </c>
      <c r="C1706" t="n">
        <v>-12.3572</v>
      </c>
      <c r="D1706" t="n">
        <v>-44.9769</v>
      </c>
      <c r="E1706" t="inlineStr">
        <is>
          <t>2021-07</t>
        </is>
      </c>
      <c r="F1706" t="n">
        <v>0</v>
      </c>
    </row>
    <row r="1707">
      <c r="A1707" t="inlineStr">
        <is>
          <t>Soja</t>
        </is>
      </c>
      <c r="B1707" t="inlineStr">
        <is>
          <t>São Desidério - BA</t>
        </is>
      </c>
      <c r="C1707" t="n">
        <v>-12.3572</v>
      </c>
      <c r="D1707" t="n">
        <v>-44.9769</v>
      </c>
      <c r="E1707" t="inlineStr">
        <is>
          <t>2021-08</t>
        </is>
      </c>
      <c r="F1707" t="n">
        <v>0</v>
      </c>
    </row>
    <row r="1708">
      <c r="A1708" t="inlineStr">
        <is>
          <t>Soja</t>
        </is>
      </c>
      <c r="B1708" t="inlineStr">
        <is>
          <t>São Desidério - BA</t>
        </is>
      </c>
      <c r="C1708" t="n">
        <v>-12.3572</v>
      </c>
      <c r="D1708" t="n">
        <v>-44.9769</v>
      </c>
      <c r="E1708" t="inlineStr">
        <is>
          <t>2021-09</t>
        </is>
      </c>
      <c r="F1708" t="n">
        <v>0</v>
      </c>
    </row>
    <row r="1709">
      <c r="A1709" t="inlineStr">
        <is>
          <t>Soja</t>
        </is>
      </c>
      <c r="B1709" t="inlineStr">
        <is>
          <t>São Desidério - BA</t>
        </is>
      </c>
      <c r="C1709" t="n">
        <v>-12.3572</v>
      </c>
      <c r="D1709" t="n">
        <v>-44.9769</v>
      </c>
      <c r="E1709" t="inlineStr">
        <is>
          <t>2021-10</t>
        </is>
      </c>
      <c r="F1709" t="n">
        <v>0</v>
      </c>
    </row>
    <row r="1710">
      <c r="A1710" t="inlineStr">
        <is>
          <t>Soja</t>
        </is>
      </c>
      <c r="B1710" t="inlineStr">
        <is>
          <t>São Desidério - BA</t>
        </is>
      </c>
      <c r="C1710" t="n">
        <v>-12.3572</v>
      </c>
      <c r="D1710" t="n">
        <v>-44.9769</v>
      </c>
      <c r="E1710" t="inlineStr">
        <is>
          <t>2021-11</t>
        </is>
      </c>
      <c r="F1710" t="n">
        <v>0</v>
      </c>
    </row>
    <row r="1711">
      <c r="A1711" t="inlineStr">
        <is>
          <t>Soja</t>
        </is>
      </c>
      <c r="B1711" t="inlineStr">
        <is>
          <t>São Desidério - BA</t>
        </is>
      </c>
      <c r="C1711" t="n">
        <v>-12.3572</v>
      </c>
      <c r="D1711" t="n">
        <v>-44.9769</v>
      </c>
      <c r="E1711" t="inlineStr">
        <is>
          <t>2021-12</t>
        </is>
      </c>
      <c r="F1711" t="n">
        <v>0</v>
      </c>
    </row>
    <row r="1712">
      <c r="A1712" t="inlineStr">
        <is>
          <t>Soja</t>
        </is>
      </c>
      <c r="B1712" t="inlineStr">
        <is>
          <t>Brasília - DF</t>
        </is>
      </c>
      <c r="C1712" t="n">
        <v>-15.7795</v>
      </c>
      <c r="D1712" t="n">
        <v>-47.9297</v>
      </c>
      <c r="E1712" t="inlineStr">
        <is>
          <t>2022-01</t>
        </is>
      </c>
      <c r="F1712" t="n">
        <v>0</v>
      </c>
    </row>
    <row r="1713">
      <c r="A1713" t="inlineStr">
        <is>
          <t>Soja</t>
        </is>
      </c>
      <c r="B1713" t="inlineStr">
        <is>
          <t>Brasília - DF</t>
        </is>
      </c>
      <c r="C1713" t="n">
        <v>-15.7795</v>
      </c>
      <c r="D1713" t="n">
        <v>-47.9297</v>
      </c>
      <c r="E1713" t="inlineStr">
        <is>
          <t>2022-02</t>
        </is>
      </c>
      <c r="F1713" t="n">
        <v>59438.6494016129</v>
      </c>
    </row>
    <row r="1714">
      <c r="A1714" t="inlineStr">
        <is>
          <t>Soja</t>
        </is>
      </c>
      <c r="B1714" t="inlineStr">
        <is>
          <t>Brasília - DF</t>
        </is>
      </c>
      <c r="C1714" t="n">
        <v>-15.7795</v>
      </c>
      <c r="D1714" t="n">
        <v>-47.9297</v>
      </c>
      <c r="E1714" t="inlineStr">
        <is>
          <t>2022-03</t>
        </is>
      </c>
      <c r="F1714" t="n">
        <v>59438.6494016129</v>
      </c>
    </row>
    <row r="1715">
      <c r="A1715" t="inlineStr">
        <is>
          <t>Soja</t>
        </is>
      </c>
      <c r="B1715" t="inlineStr">
        <is>
          <t>Brasília - DF</t>
        </is>
      </c>
      <c r="C1715" t="n">
        <v>-15.7795</v>
      </c>
      <c r="D1715" t="n">
        <v>-47.9297</v>
      </c>
      <c r="E1715" t="inlineStr">
        <is>
          <t>2022-04</t>
        </is>
      </c>
      <c r="F1715" t="n">
        <v>138690.1819370967</v>
      </c>
    </row>
    <row r="1716">
      <c r="A1716" t="inlineStr">
        <is>
          <t>Soja</t>
        </is>
      </c>
      <c r="B1716" t="inlineStr">
        <is>
          <t>Brasília - DF</t>
        </is>
      </c>
      <c r="C1716" t="n">
        <v>-15.7795</v>
      </c>
      <c r="D1716" t="n">
        <v>-47.9297</v>
      </c>
      <c r="E1716" t="inlineStr">
        <is>
          <t>2022-05</t>
        </is>
      </c>
      <c r="F1716" t="n">
        <v>59438.6494016129</v>
      </c>
    </row>
    <row r="1717">
      <c r="A1717" t="inlineStr">
        <is>
          <t>Soja</t>
        </is>
      </c>
      <c r="B1717" t="inlineStr">
        <is>
          <t>Brasília - DF</t>
        </is>
      </c>
      <c r="C1717" t="n">
        <v>-15.7795</v>
      </c>
      <c r="D1717" t="n">
        <v>-47.9297</v>
      </c>
      <c r="E1717" t="inlineStr">
        <is>
          <t>2022-06</t>
        </is>
      </c>
      <c r="F1717" t="n">
        <v>0</v>
      </c>
    </row>
    <row r="1718">
      <c r="A1718" t="inlineStr">
        <is>
          <t>Soja</t>
        </is>
      </c>
      <c r="B1718" t="inlineStr">
        <is>
          <t>Brasília - DF</t>
        </is>
      </c>
      <c r="C1718" t="n">
        <v>-15.7795</v>
      </c>
      <c r="D1718" t="n">
        <v>-47.9297</v>
      </c>
      <c r="E1718" t="inlineStr">
        <is>
          <t>2021-07</t>
        </is>
      </c>
      <c r="F1718" t="n">
        <v>0</v>
      </c>
    </row>
    <row r="1719">
      <c r="A1719" t="inlineStr">
        <is>
          <t>Soja</t>
        </is>
      </c>
      <c r="B1719" t="inlineStr">
        <is>
          <t>Brasília - DF</t>
        </is>
      </c>
      <c r="C1719" t="n">
        <v>-15.7795</v>
      </c>
      <c r="D1719" t="n">
        <v>-47.9297</v>
      </c>
      <c r="E1719" t="inlineStr">
        <is>
          <t>2021-08</t>
        </is>
      </c>
      <c r="F1719" t="n">
        <v>0</v>
      </c>
    </row>
    <row r="1720">
      <c r="A1720" t="inlineStr">
        <is>
          <t>Soja</t>
        </is>
      </c>
      <c r="B1720" t="inlineStr">
        <is>
          <t>Brasília - DF</t>
        </is>
      </c>
      <c r="C1720" t="n">
        <v>-15.7795</v>
      </c>
      <c r="D1720" t="n">
        <v>-47.9297</v>
      </c>
      <c r="E1720" t="inlineStr">
        <is>
          <t>2021-09</t>
        </is>
      </c>
      <c r="F1720" t="n">
        <v>0</v>
      </c>
    </row>
    <row r="1721">
      <c r="A1721" t="inlineStr">
        <is>
          <t>Soja</t>
        </is>
      </c>
      <c r="B1721" t="inlineStr">
        <is>
          <t>Brasília - DF</t>
        </is>
      </c>
      <c r="C1721" t="n">
        <v>-15.7795</v>
      </c>
      <c r="D1721" t="n">
        <v>-47.9297</v>
      </c>
      <c r="E1721" t="inlineStr">
        <is>
          <t>2021-10</t>
        </is>
      </c>
      <c r="F1721" t="n">
        <v>0</v>
      </c>
    </row>
    <row r="1722">
      <c r="A1722" t="inlineStr">
        <is>
          <t>Soja</t>
        </is>
      </c>
      <c r="B1722" t="inlineStr">
        <is>
          <t>Brasília - DF</t>
        </is>
      </c>
      <c r="C1722" t="n">
        <v>-15.7795</v>
      </c>
      <c r="D1722" t="n">
        <v>-47.9297</v>
      </c>
      <c r="E1722" t="inlineStr">
        <is>
          <t>2021-11</t>
        </is>
      </c>
      <c r="F1722" t="n">
        <v>0</v>
      </c>
    </row>
    <row r="1723">
      <c r="A1723" t="inlineStr">
        <is>
          <t>Soja</t>
        </is>
      </c>
      <c r="B1723" t="inlineStr">
        <is>
          <t>Brasília - DF</t>
        </is>
      </c>
      <c r="C1723" t="n">
        <v>-15.7795</v>
      </c>
      <c r="D1723" t="n">
        <v>-47.9297</v>
      </c>
      <c r="E1723" t="inlineStr">
        <is>
          <t>2021-12</t>
        </is>
      </c>
      <c r="F1723" t="n">
        <v>0</v>
      </c>
    </row>
    <row r="1724">
      <c r="A1724" t="inlineStr">
        <is>
          <t>Soja</t>
        </is>
      </c>
      <c r="B1724" t="inlineStr">
        <is>
          <t>Rio Verde - GO</t>
        </is>
      </c>
      <c r="C1724" t="n">
        <v>-17.7923</v>
      </c>
      <c r="D1724" t="n">
        <v>-50.9192</v>
      </c>
      <c r="E1724" t="inlineStr">
        <is>
          <t>2022-01</t>
        </is>
      </c>
      <c r="F1724" t="n">
        <v>0</v>
      </c>
    </row>
    <row r="1725">
      <c r="A1725" t="inlineStr">
        <is>
          <t>Soja</t>
        </is>
      </c>
      <c r="B1725" t="inlineStr">
        <is>
          <t>Rio Verde - GO</t>
        </is>
      </c>
      <c r="C1725" t="n">
        <v>-17.7923</v>
      </c>
      <c r="D1725" t="n">
        <v>-50.9192</v>
      </c>
      <c r="E1725" t="inlineStr">
        <is>
          <t>2022-02</t>
        </is>
      </c>
      <c r="F1725" t="n">
        <v>4082335.951639207</v>
      </c>
    </row>
    <row r="1726">
      <c r="A1726" t="inlineStr">
        <is>
          <t>Soja</t>
        </is>
      </c>
      <c r="B1726" t="inlineStr">
        <is>
          <t>Rio Verde - GO</t>
        </is>
      </c>
      <c r="C1726" t="n">
        <v>-17.7923</v>
      </c>
      <c r="D1726" t="n">
        <v>-50.9192</v>
      </c>
      <c r="E1726" t="inlineStr">
        <is>
          <t>2022-03</t>
        </is>
      </c>
      <c r="F1726" t="n">
        <v>9525450.553824818</v>
      </c>
    </row>
    <row r="1727">
      <c r="A1727" t="inlineStr">
        <is>
          <t>Soja</t>
        </is>
      </c>
      <c r="B1727" t="inlineStr">
        <is>
          <t>Rio Verde - GO</t>
        </is>
      </c>
      <c r="C1727" t="n">
        <v>-17.7923</v>
      </c>
      <c r="D1727" t="n">
        <v>-50.9192</v>
      </c>
      <c r="E1727" t="inlineStr">
        <is>
          <t>2022-04</t>
        </is>
      </c>
      <c r="F1727" t="n">
        <v>4082335.951639207</v>
      </c>
    </row>
    <row r="1728">
      <c r="A1728" t="inlineStr">
        <is>
          <t>Soja</t>
        </is>
      </c>
      <c r="B1728" t="inlineStr">
        <is>
          <t>Rio Verde - GO</t>
        </is>
      </c>
      <c r="C1728" t="n">
        <v>-17.7923</v>
      </c>
      <c r="D1728" t="n">
        <v>-50.9192</v>
      </c>
      <c r="E1728" t="inlineStr">
        <is>
          <t>2022-05</t>
        </is>
      </c>
      <c r="F1728" t="n">
        <v>0</v>
      </c>
    </row>
    <row r="1729">
      <c r="A1729" t="inlineStr">
        <is>
          <t>Soja</t>
        </is>
      </c>
      <c r="B1729" t="inlineStr">
        <is>
          <t>Rio Verde - GO</t>
        </is>
      </c>
      <c r="C1729" t="n">
        <v>-17.7923</v>
      </c>
      <c r="D1729" t="n">
        <v>-50.9192</v>
      </c>
      <c r="E1729" t="inlineStr">
        <is>
          <t>2022-06</t>
        </is>
      </c>
      <c r="F1729" t="n">
        <v>0</v>
      </c>
    </row>
    <row r="1730">
      <c r="A1730" t="inlineStr">
        <is>
          <t>Soja</t>
        </is>
      </c>
      <c r="B1730" t="inlineStr">
        <is>
          <t>Rio Verde - GO</t>
        </is>
      </c>
      <c r="C1730" t="n">
        <v>-17.7923</v>
      </c>
      <c r="D1730" t="n">
        <v>-50.9192</v>
      </c>
      <c r="E1730" t="inlineStr">
        <is>
          <t>2021-07</t>
        </is>
      </c>
      <c r="F1730" t="n">
        <v>0</v>
      </c>
    </row>
    <row r="1731">
      <c r="A1731" t="inlineStr">
        <is>
          <t>Soja</t>
        </is>
      </c>
      <c r="B1731" t="inlineStr">
        <is>
          <t>Rio Verde - GO</t>
        </is>
      </c>
      <c r="C1731" t="n">
        <v>-17.7923</v>
      </c>
      <c r="D1731" t="n">
        <v>-50.9192</v>
      </c>
      <c r="E1731" t="inlineStr">
        <is>
          <t>2021-08</t>
        </is>
      </c>
      <c r="F1731" t="n">
        <v>0</v>
      </c>
    </row>
    <row r="1732">
      <c r="A1732" t="inlineStr">
        <is>
          <t>Soja</t>
        </is>
      </c>
      <c r="B1732" t="inlineStr">
        <is>
          <t>Rio Verde - GO</t>
        </is>
      </c>
      <c r="C1732" t="n">
        <v>-17.7923</v>
      </c>
      <c r="D1732" t="n">
        <v>-50.9192</v>
      </c>
      <c r="E1732" t="inlineStr">
        <is>
          <t>2021-09</t>
        </is>
      </c>
      <c r="F1732" t="n">
        <v>0</v>
      </c>
    </row>
    <row r="1733">
      <c r="A1733" t="inlineStr">
        <is>
          <t>Soja</t>
        </is>
      </c>
      <c r="B1733" t="inlineStr">
        <is>
          <t>Rio Verde - GO</t>
        </is>
      </c>
      <c r="C1733" t="n">
        <v>-17.7923</v>
      </c>
      <c r="D1733" t="n">
        <v>-50.9192</v>
      </c>
      <c r="E1733" t="inlineStr">
        <is>
          <t>2021-10</t>
        </is>
      </c>
      <c r="F1733" t="n">
        <v>0</v>
      </c>
    </row>
    <row r="1734">
      <c r="A1734" t="inlineStr">
        <is>
          <t>Soja</t>
        </is>
      </c>
      <c r="B1734" t="inlineStr">
        <is>
          <t>Rio Verde - GO</t>
        </is>
      </c>
      <c r="C1734" t="n">
        <v>-17.7923</v>
      </c>
      <c r="D1734" t="n">
        <v>-50.9192</v>
      </c>
      <c r="E1734" t="inlineStr">
        <is>
          <t>2021-11</t>
        </is>
      </c>
      <c r="F1734" t="n">
        <v>0</v>
      </c>
    </row>
    <row r="1735">
      <c r="A1735" t="inlineStr">
        <is>
          <t>Soja</t>
        </is>
      </c>
      <c r="B1735" t="inlineStr">
        <is>
          <t>Rio Verde - GO</t>
        </is>
      </c>
      <c r="C1735" t="n">
        <v>-17.7923</v>
      </c>
      <c r="D1735" t="n">
        <v>-50.9192</v>
      </c>
      <c r="E1735" t="inlineStr">
        <is>
          <t>2021-12</t>
        </is>
      </c>
      <c r="F1735" t="n">
        <v>0</v>
      </c>
    </row>
    <row r="1736">
      <c r="A1736" t="inlineStr">
        <is>
          <t>Soja</t>
        </is>
      </c>
      <c r="B1736" t="inlineStr">
        <is>
          <t>Balsas - MA</t>
        </is>
      </c>
      <c r="C1736" t="n">
        <v>-7.53214</v>
      </c>
      <c r="D1736" t="n">
        <v>-46.0372</v>
      </c>
      <c r="E1736" t="inlineStr">
        <is>
          <t>2022-01</t>
        </is>
      </c>
      <c r="F1736" t="n">
        <v>0</v>
      </c>
    </row>
    <row r="1737">
      <c r="A1737" t="inlineStr">
        <is>
          <t>Soja</t>
        </is>
      </c>
      <c r="B1737" t="inlineStr">
        <is>
          <t>Balsas - MA</t>
        </is>
      </c>
      <c r="C1737" t="n">
        <v>-7.53214</v>
      </c>
      <c r="D1737" t="n">
        <v>-46.0372</v>
      </c>
      <c r="E1737" t="inlineStr">
        <is>
          <t>2022-02</t>
        </is>
      </c>
      <c r="F1737" t="n">
        <v>364466.8470505967</v>
      </c>
    </row>
    <row r="1738">
      <c r="A1738" t="inlineStr">
        <is>
          <t>Soja</t>
        </is>
      </c>
      <c r="B1738" t="inlineStr">
        <is>
          <t>Balsas - MA</t>
        </is>
      </c>
      <c r="C1738" t="n">
        <v>-7.53214</v>
      </c>
      <c r="D1738" t="n">
        <v>-46.0372</v>
      </c>
      <c r="E1738" t="inlineStr">
        <is>
          <t>2022-03</t>
        </is>
      </c>
      <c r="F1738" t="n">
        <v>1214889.490168656</v>
      </c>
    </row>
    <row r="1739">
      <c r="A1739" t="inlineStr">
        <is>
          <t>Soja</t>
        </is>
      </c>
      <c r="B1739" t="inlineStr">
        <is>
          <t>Balsas - MA</t>
        </is>
      </c>
      <c r="C1739" t="n">
        <v>-7.53214</v>
      </c>
      <c r="D1739" t="n">
        <v>-46.0372</v>
      </c>
      <c r="E1739" t="inlineStr">
        <is>
          <t>2022-04</t>
        </is>
      </c>
      <c r="F1739" t="n">
        <v>1214889.490168656</v>
      </c>
    </row>
    <row r="1740">
      <c r="A1740" t="inlineStr">
        <is>
          <t>Soja</t>
        </is>
      </c>
      <c r="B1740" t="inlineStr">
        <is>
          <t>Balsas - MA</t>
        </is>
      </c>
      <c r="C1740" t="n">
        <v>-7.53214</v>
      </c>
      <c r="D1740" t="n">
        <v>-46.0372</v>
      </c>
      <c r="E1740" t="inlineStr">
        <is>
          <t>2022-05</t>
        </is>
      </c>
      <c r="F1740" t="n">
        <v>728933.6941011935</v>
      </c>
    </row>
    <row r="1741">
      <c r="A1741" t="inlineStr">
        <is>
          <t>Soja</t>
        </is>
      </c>
      <c r="B1741" t="inlineStr">
        <is>
          <t>Balsas - MA</t>
        </is>
      </c>
      <c r="C1741" t="n">
        <v>-7.53214</v>
      </c>
      <c r="D1741" t="n">
        <v>-46.0372</v>
      </c>
      <c r="E1741" t="inlineStr">
        <is>
          <t>2022-06</t>
        </is>
      </c>
      <c r="F1741" t="n">
        <v>0</v>
      </c>
    </row>
    <row r="1742">
      <c r="A1742" t="inlineStr">
        <is>
          <t>Soja</t>
        </is>
      </c>
      <c r="B1742" t="inlineStr">
        <is>
          <t>Balsas - MA</t>
        </is>
      </c>
      <c r="C1742" t="n">
        <v>-7.53214</v>
      </c>
      <c r="D1742" t="n">
        <v>-46.0372</v>
      </c>
      <c r="E1742" t="inlineStr">
        <is>
          <t>2021-07</t>
        </is>
      </c>
      <c r="F1742" t="n">
        <v>0</v>
      </c>
    </row>
    <row r="1743">
      <c r="A1743" t="inlineStr">
        <is>
          <t>Soja</t>
        </is>
      </c>
      <c r="B1743" t="inlineStr">
        <is>
          <t>Balsas - MA</t>
        </is>
      </c>
      <c r="C1743" t="n">
        <v>-7.53214</v>
      </c>
      <c r="D1743" t="n">
        <v>-46.0372</v>
      </c>
      <c r="E1743" t="inlineStr">
        <is>
          <t>2021-08</t>
        </is>
      </c>
      <c r="F1743" t="n">
        <v>0</v>
      </c>
    </row>
    <row r="1744">
      <c r="A1744" t="inlineStr">
        <is>
          <t>Soja</t>
        </is>
      </c>
      <c r="B1744" t="inlineStr">
        <is>
          <t>Balsas - MA</t>
        </is>
      </c>
      <c r="C1744" t="n">
        <v>-7.53214</v>
      </c>
      <c r="D1744" t="n">
        <v>-46.0372</v>
      </c>
      <c r="E1744" t="inlineStr">
        <is>
          <t>2021-09</t>
        </is>
      </c>
      <c r="F1744" t="n">
        <v>0</v>
      </c>
    </row>
    <row r="1745">
      <c r="A1745" t="inlineStr">
        <is>
          <t>Soja</t>
        </is>
      </c>
      <c r="B1745" t="inlineStr">
        <is>
          <t>Balsas - MA</t>
        </is>
      </c>
      <c r="C1745" t="n">
        <v>-7.53214</v>
      </c>
      <c r="D1745" t="n">
        <v>-46.0372</v>
      </c>
      <c r="E1745" t="inlineStr">
        <is>
          <t>2021-10</t>
        </is>
      </c>
      <c r="F1745" t="n">
        <v>0</v>
      </c>
    </row>
    <row r="1746">
      <c r="A1746" t="inlineStr">
        <is>
          <t>Soja</t>
        </is>
      </c>
      <c r="B1746" t="inlineStr">
        <is>
          <t>Balsas - MA</t>
        </is>
      </c>
      <c r="C1746" t="n">
        <v>-7.53214</v>
      </c>
      <c r="D1746" t="n">
        <v>-46.0372</v>
      </c>
      <c r="E1746" t="inlineStr">
        <is>
          <t>2021-11</t>
        </is>
      </c>
      <c r="F1746" t="n">
        <v>0</v>
      </c>
    </row>
    <row r="1747">
      <c r="A1747" t="inlineStr">
        <is>
          <t>Soja</t>
        </is>
      </c>
      <c r="B1747" t="inlineStr">
        <is>
          <t>Balsas - MA</t>
        </is>
      </c>
      <c r="C1747" t="n">
        <v>-7.53214</v>
      </c>
      <c r="D1747" t="n">
        <v>-46.0372</v>
      </c>
      <c r="E1747" t="inlineStr">
        <is>
          <t>2021-12</t>
        </is>
      </c>
      <c r="F1747" t="n">
        <v>0</v>
      </c>
    </row>
    <row r="1748">
      <c r="A1748" t="inlineStr">
        <is>
          <t>Soja</t>
        </is>
      </c>
      <c r="B1748" t="inlineStr">
        <is>
          <t>Unaí - MG</t>
        </is>
      </c>
      <c r="C1748" t="n">
        <v>-16.3592</v>
      </c>
      <c r="D1748" t="n">
        <v>-46.9022</v>
      </c>
      <c r="E1748" t="inlineStr">
        <is>
          <t>2022-01</t>
        </is>
      </c>
      <c r="F1748" t="n">
        <v>0</v>
      </c>
    </row>
    <row r="1749">
      <c r="A1749" t="inlineStr">
        <is>
          <t>Soja</t>
        </is>
      </c>
      <c r="B1749" t="inlineStr">
        <is>
          <t>Unaí - MG</t>
        </is>
      </c>
      <c r="C1749" t="n">
        <v>-16.3592</v>
      </c>
      <c r="D1749" t="n">
        <v>-46.9022</v>
      </c>
      <c r="E1749" t="inlineStr">
        <is>
          <t>2022-02</t>
        </is>
      </c>
      <c r="F1749" t="n">
        <v>879098.158482422</v>
      </c>
    </row>
    <row r="1750">
      <c r="A1750" t="inlineStr">
        <is>
          <t>Soja</t>
        </is>
      </c>
      <c r="B1750" t="inlineStr">
        <is>
          <t>Unaí - MG</t>
        </is>
      </c>
      <c r="C1750" t="n">
        <v>-16.3592</v>
      </c>
      <c r="D1750" t="n">
        <v>-46.9022</v>
      </c>
      <c r="E1750" t="inlineStr">
        <is>
          <t>2022-03</t>
        </is>
      </c>
      <c r="F1750" t="n">
        <v>1758196.316964844</v>
      </c>
    </row>
    <row r="1751">
      <c r="A1751" t="inlineStr">
        <is>
          <t>Soja</t>
        </is>
      </c>
      <c r="B1751" t="inlineStr">
        <is>
          <t>Unaí - MG</t>
        </is>
      </c>
      <c r="C1751" t="n">
        <v>-16.3592</v>
      </c>
      <c r="D1751" t="n">
        <v>-46.9022</v>
      </c>
      <c r="E1751" t="inlineStr">
        <is>
          <t>2022-04</t>
        </is>
      </c>
      <c r="F1751" t="n">
        <v>4102458.072917969</v>
      </c>
    </row>
    <row r="1752">
      <c r="A1752" t="inlineStr">
        <is>
          <t>Soja</t>
        </is>
      </c>
      <c r="B1752" t="inlineStr">
        <is>
          <t>Unaí - MG</t>
        </is>
      </c>
      <c r="C1752" t="n">
        <v>-16.3592</v>
      </c>
      <c r="D1752" t="n">
        <v>-46.9022</v>
      </c>
      <c r="E1752" t="inlineStr">
        <is>
          <t>2022-05</t>
        </is>
      </c>
      <c r="F1752" t="n">
        <v>879098.158482422</v>
      </c>
    </row>
    <row r="1753">
      <c r="A1753" t="inlineStr">
        <is>
          <t>Soja</t>
        </is>
      </c>
      <c r="B1753" t="inlineStr">
        <is>
          <t>Unaí - MG</t>
        </is>
      </c>
      <c r="C1753" t="n">
        <v>-16.3592</v>
      </c>
      <c r="D1753" t="n">
        <v>-46.9022</v>
      </c>
      <c r="E1753" t="inlineStr">
        <is>
          <t>2022-06</t>
        </is>
      </c>
      <c r="F1753" t="n">
        <v>0</v>
      </c>
    </row>
    <row r="1754">
      <c r="A1754" t="inlineStr">
        <is>
          <t>Soja</t>
        </is>
      </c>
      <c r="B1754" t="inlineStr">
        <is>
          <t>Unaí - MG</t>
        </is>
      </c>
      <c r="C1754" t="n">
        <v>-16.3592</v>
      </c>
      <c r="D1754" t="n">
        <v>-46.9022</v>
      </c>
      <c r="E1754" t="inlineStr">
        <is>
          <t>2021-07</t>
        </is>
      </c>
      <c r="F1754" t="n">
        <v>0</v>
      </c>
    </row>
    <row r="1755">
      <c r="A1755" t="inlineStr">
        <is>
          <t>Soja</t>
        </is>
      </c>
      <c r="B1755" t="inlineStr">
        <is>
          <t>Unaí - MG</t>
        </is>
      </c>
      <c r="C1755" t="n">
        <v>-16.3592</v>
      </c>
      <c r="D1755" t="n">
        <v>-46.9022</v>
      </c>
      <c r="E1755" t="inlineStr">
        <is>
          <t>2021-08</t>
        </is>
      </c>
      <c r="F1755" t="n">
        <v>0</v>
      </c>
    </row>
    <row r="1756">
      <c r="A1756" t="inlineStr">
        <is>
          <t>Soja</t>
        </is>
      </c>
      <c r="B1756" t="inlineStr">
        <is>
          <t>Unaí - MG</t>
        </is>
      </c>
      <c r="C1756" t="n">
        <v>-16.3592</v>
      </c>
      <c r="D1756" t="n">
        <v>-46.9022</v>
      </c>
      <c r="E1756" t="inlineStr">
        <is>
          <t>2021-09</t>
        </is>
      </c>
      <c r="F1756" t="n">
        <v>0</v>
      </c>
    </row>
    <row r="1757">
      <c r="A1757" t="inlineStr">
        <is>
          <t>Soja</t>
        </is>
      </c>
      <c r="B1757" t="inlineStr">
        <is>
          <t>Unaí - MG</t>
        </is>
      </c>
      <c r="C1757" t="n">
        <v>-16.3592</v>
      </c>
      <c r="D1757" t="n">
        <v>-46.9022</v>
      </c>
      <c r="E1757" t="inlineStr">
        <is>
          <t>2021-10</t>
        </is>
      </c>
      <c r="F1757" t="n">
        <v>0</v>
      </c>
    </row>
    <row r="1758">
      <c r="A1758" t="inlineStr">
        <is>
          <t>Soja</t>
        </is>
      </c>
      <c r="B1758" t="inlineStr">
        <is>
          <t>Unaí - MG</t>
        </is>
      </c>
      <c r="C1758" t="n">
        <v>-16.3592</v>
      </c>
      <c r="D1758" t="n">
        <v>-46.9022</v>
      </c>
      <c r="E1758" t="inlineStr">
        <is>
          <t>2021-11</t>
        </is>
      </c>
      <c r="F1758" t="n">
        <v>0</v>
      </c>
    </row>
    <row r="1759">
      <c r="A1759" t="inlineStr">
        <is>
          <t>Soja</t>
        </is>
      </c>
      <c r="B1759" t="inlineStr">
        <is>
          <t>Unaí - MG</t>
        </is>
      </c>
      <c r="C1759" t="n">
        <v>-16.3592</v>
      </c>
      <c r="D1759" t="n">
        <v>-46.9022</v>
      </c>
      <c r="E1759" t="inlineStr">
        <is>
          <t>2021-12</t>
        </is>
      </c>
      <c r="F1759" t="n">
        <v>0</v>
      </c>
    </row>
    <row r="1760">
      <c r="A1760" t="inlineStr">
        <is>
          <t>Soja</t>
        </is>
      </c>
      <c r="B1760" t="inlineStr">
        <is>
          <t>Ponta Porã - MS</t>
        </is>
      </c>
      <c r="C1760" t="n">
        <v>-22.5296</v>
      </c>
      <c r="D1760" t="n">
        <v>-55.7203</v>
      </c>
      <c r="E1760" t="inlineStr">
        <is>
          <t>2022-01</t>
        </is>
      </c>
      <c r="F1760" t="n">
        <v>0</v>
      </c>
    </row>
    <row r="1761">
      <c r="A1761" t="inlineStr">
        <is>
          <t>Soja</t>
        </is>
      </c>
      <c r="B1761" t="inlineStr">
        <is>
          <t>Ponta Porã - MS</t>
        </is>
      </c>
      <c r="C1761" t="n">
        <v>-22.5296</v>
      </c>
      <c r="D1761" t="n">
        <v>-55.7203</v>
      </c>
      <c r="E1761" t="inlineStr">
        <is>
          <t>2022-02</t>
        </is>
      </c>
      <c r="F1761" t="n">
        <v>2254377.817652085</v>
      </c>
    </row>
    <row r="1762">
      <c r="A1762" t="inlineStr">
        <is>
          <t>Soja</t>
        </is>
      </c>
      <c r="B1762" t="inlineStr">
        <is>
          <t>Ponta Porã - MS</t>
        </is>
      </c>
      <c r="C1762" t="n">
        <v>-22.5296</v>
      </c>
      <c r="D1762" t="n">
        <v>-55.7203</v>
      </c>
      <c r="E1762" t="inlineStr">
        <is>
          <t>2022-03</t>
        </is>
      </c>
      <c r="F1762" t="n">
        <v>5260214.907854866</v>
      </c>
    </row>
    <row r="1763">
      <c r="A1763" t="inlineStr">
        <is>
          <t>Soja</t>
        </is>
      </c>
      <c r="B1763" t="inlineStr">
        <is>
          <t>Ponta Porã - MS</t>
        </is>
      </c>
      <c r="C1763" t="n">
        <v>-22.5296</v>
      </c>
      <c r="D1763" t="n">
        <v>-55.7203</v>
      </c>
      <c r="E1763" t="inlineStr">
        <is>
          <t>2022-04</t>
        </is>
      </c>
      <c r="F1763" t="n">
        <v>2254377.817652085</v>
      </c>
    </row>
    <row r="1764">
      <c r="A1764" t="inlineStr">
        <is>
          <t>Soja</t>
        </is>
      </c>
      <c r="B1764" t="inlineStr">
        <is>
          <t>Ponta Porã - MS</t>
        </is>
      </c>
      <c r="C1764" t="n">
        <v>-22.5296</v>
      </c>
      <c r="D1764" t="n">
        <v>-55.7203</v>
      </c>
      <c r="E1764" t="inlineStr">
        <is>
          <t>2022-05</t>
        </is>
      </c>
      <c r="F1764" t="n">
        <v>0</v>
      </c>
    </row>
    <row r="1765">
      <c r="A1765" t="inlineStr">
        <is>
          <t>Soja</t>
        </is>
      </c>
      <c r="B1765" t="inlineStr">
        <is>
          <t>Ponta Porã - MS</t>
        </is>
      </c>
      <c r="C1765" t="n">
        <v>-22.5296</v>
      </c>
      <c r="D1765" t="n">
        <v>-55.7203</v>
      </c>
      <c r="E1765" t="inlineStr">
        <is>
          <t>2022-06</t>
        </is>
      </c>
      <c r="F1765" t="n">
        <v>0</v>
      </c>
    </row>
    <row r="1766">
      <c r="A1766" t="inlineStr">
        <is>
          <t>Soja</t>
        </is>
      </c>
      <c r="B1766" t="inlineStr">
        <is>
          <t>Ponta Porã - MS</t>
        </is>
      </c>
      <c r="C1766" t="n">
        <v>-22.5296</v>
      </c>
      <c r="D1766" t="n">
        <v>-55.7203</v>
      </c>
      <c r="E1766" t="inlineStr">
        <is>
          <t>2021-07</t>
        </is>
      </c>
      <c r="F1766" t="n">
        <v>0</v>
      </c>
    </row>
    <row r="1767">
      <c r="A1767" t="inlineStr">
        <is>
          <t>Soja</t>
        </is>
      </c>
      <c r="B1767" t="inlineStr">
        <is>
          <t>Ponta Porã - MS</t>
        </is>
      </c>
      <c r="C1767" t="n">
        <v>-22.5296</v>
      </c>
      <c r="D1767" t="n">
        <v>-55.7203</v>
      </c>
      <c r="E1767" t="inlineStr">
        <is>
          <t>2021-08</t>
        </is>
      </c>
      <c r="F1767" t="n">
        <v>0</v>
      </c>
    </row>
    <row r="1768">
      <c r="A1768" t="inlineStr">
        <is>
          <t>Soja</t>
        </is>
      </c>
      <c r="B1768" t="inlineStr">
        <is>
          <t>Ponta Porã - MS</t>
        </is>
      </c>
      <c r="C1768" t="n">
        <v>-22.5296</v>
      </c>
      <c r="D1768" t="n">
        <v>-55.7203</v>
      </c>
      <c r="E1768" t="inlineStr">
        <is>
          <t>2021-09</t>
        </is>
      </c>
      <c r="F1768" t="n">
        <v>0</v>
      </c>
    </row>
    <row r="1769">
      <c r="A1769" t="inlineStr">
        <is>
          <t>Soja</t>
        </is>
      </c>
      <c r="B1769" t="inlineStr">
        <is>
          <t>Ponta Porã - MS</t>
        </is>
      </c>
      <c r="C1769" t="n">
        <v>-22.5296</v>
      </c>
      <c r="D1769" t="n">
        <v>-55.7203</v>
      </c>
      <c r="E1769" t="inlineStr">
        <is>
          <t>2021-10</t>
        </is>
      </c>
      <c r="F1769" t="n">
        <v>0</v>
      </c>
    </row>
    <row r="1770">
      <c r="A1770" t="inlineStr">
        <is>
          <t>Soja</t>
        </is>
      </c>
      <c r="B1770" t="inlineStr">
        <is>
          <t>Ponta Porã - MS</t>
        </is>
      </c>
      <c r="C1770" t="n">
        <v>-22.5296</v>
      </c>
      <c r="D1770" t="n">
        <v>-55.7203</v>
      </c>
      <c r="E1770" t="inlineStr">
        <is>
          <t>2021-11</t>
        </is>
      </c>
      <c r="F1770" t="n">
        <v>0</v>
      </c>
    </row>
    <row r="1771">
      <c r="A1771" t="inlineStr">
        <is>
          <t>Soja</t>
        </is>
      </c>
      <c r="B1771" t="inlineStr">
        <is>
          <t>Ponta Porã - MS</t>
        </is>
      </c>
      <c r="C1771" t="n">
        <v>-22.5296</v>
      </c>
      <c r="D1771" t="n">
        <v>-55.7203</v>
      </c>
      <c r="E1771" t="inlineStr">
        <is>
          <t>2021-12</t>
        </is>
      </c>
      <c r="F1771" t="n">
        <v>0</v>
      </c>
    </row>
    <row r="1772">
      <c r="A1772" t="inlineStr">
        <is>
          <t>Soja</t>
        </is>
      </c>
      <c r="B1772" t="inlineStr">
        <is>
          <t>Sorriso - MT</t>
        </is>
      </c>
      <c r="C1772" t="n">
        <v>-12.5425</v>
      </c>
      <c r="D1772" t="n">
        <v>-55.7211</v>
      </c>
      <c r="E1772" t="inlineStr">
        <is>
          <t>2022-01</t>
        </is>
      </c>
      <c r="F1772" t="n">
        <v>8040385.582055917</v>
      </c>
    </row>
    <row r="1773">
      <c r="A1773" t="inlineStr">
        <is>
          <t>Soja</t>
        </is>
      </c>
      <c r="B1773" t="inlineStr">
        <is>
          <t>Sorriso - MT</t>
        </is>
      </c>
      <c r="C1773" t="n">
        <v>-12.5425</v>
      </c>
      <c r="D1773" t="n">
        <v>-55.7211</v>
      </c>
      <c r="E1773" t="inlineStr">
        <is>
          <t>2022-02</t>
        </is>
      </c>
      <c r="F1773" t="n">
        <v>13400642.63675986</v>
      </c>
    </row>
    <row r="1774">
      <c r="A1774" t="inlineStr">
        <is>
          <t>Soja</t>
        </is>
      </c>
      <c r="B1774" t="inlineStr">
        <is>
          <t>Sorriso - MT</t>
        </is>
      </c>
      <c r="C1774" t="n">
        <v>-12.5425</v>
      </c>
      <c r="D1774" t="n">
        <v>-55.7211</v>
      </c>
      <c r="E1774" t="inlineStr">
        <is>
          <t>2022-03</t>
        </is>
      </c>
      <c r="F1774" t="n">
        <v>13400642.63675986</v>
      </c>
    </row>
    <row r="1775">
      <c r="A1775" t="inlineStr">
        <is>
          <t>Soja</t>
        </is>
      </c>
      <c r="B1775" t="inlineStr">
        <is>
          <t>Sorriso - MT</t>
        </is>
      </c>
      <c r="C1775" t="n">
        <v>-12.5425</v>
      </c>
      <c r="D1775" t="n">
        <v>-55.7211</v>
      </c>
      <c r="E1775" t="inlineStr">
        <is>
          <t>2022-04</t>
        </is>
      </c>
      <c r="F1775" t="n">
        <v>8040385.582055917</v>
      </c>
    </row>
    <row r="1776">
      <c r="A1776" t="inlineStr">
        <is>
          <t>Soja</t>
        </is>
      </c>
      <c r="B1776" t="inlineStr">
        <is>
          <t>Sorriso - MT</t>
        </is>
      </c>
      <c r="C1776" t="n">
        <v>-12.5425</v>
      </c>
      <c r="D1776" t="n">
        <v>-55.7211</v>
      </c>
      <c r="E1776" t="inlineStr">
        <is>
          <t>2022-05</t>
        </is>
      </c>
      <c r="F1776" t="n">
        <v>0</v>
      </c>
    </row>
    <row r="1777">
      <c r="A1777" t="inlineStr">
        <is>
          <t>Soja</t>
        </is>
      </c>
      <c r="B1777" t="inlineStr">
        <is>
          <t>Sorriso - MT</t>
        </is>
      </c>
      <c r="C1777" t="n">
        <v>-12.5425</v>
      </c>
      <c r="D1777" t="n">
        <v>-55.7211</v>
      </c>
      <c r="E1777" t="inlineStr">
        <is>
          <t>2022-06</t>
        </is>
      </c>
      <c r="F1777" t="n">
        <v>0</v>
      </c>
    </row>
    <row r="1778">
      <c r="A1778" t="inlineStr">
        <is>
          <t>Soja</t>
        </is>
      </c>
      <c r="B1778" t="inlineStr">
        <is>
          <t>Sorriso - MT</t>
        </is>
      </c>
      <c r="C1778" t="n">
        <v>-12.5425</v>
      </c>
      <c r="D1778" t="n">
        <v>-55.7211</v>
      </c>
      <c r="E1778" t="inlineStr">
        <is>
          <t>2021-07</t>
        </is>
      </c>
      <c r="F1778" t="n">
        <v>0</v>
      </c>
    </row>
    <row r="1779">
      <c r="A1779" t="inlineStr">
        <is>
          <t>Soja</t>
        </is>
      </c>
      <c r="B1779" t="inlineStr">
        <is>
          <t>Sorriso - MT</t>
        </is>
      </c>
      <c r="C1779" t="n">
        <v>-12.5425</v>
      </c>
      <c r="D1779" t="n">
        <v>-55.7211</v>
      </c>
      <c r="E1779" t="inlineStr">
        <is>
          <t>2021-08</t>
        </is>
      </c>
      <c r="F1779" t="n">
        <v>0</v>
      </c>
    </row>
    <row r="1780">
      <c r="A1780" t="inlineStr">
        <is>
          <t>Soja</t>
        </is>
      </c>
      <c r="B1780" t="inlineStr">
        <is>
          <t>Sorriso - MT</t>
        </is>
      </c>
      <c r="C1780" t="n">
        <v>-12.5425</v>
      </c>
      <c r="D1780" t="n">
        <v>-55.7211</v>
      </c>
      <c r="E1780" t="inlineStr">
        <is>
          <t>2021-09</t>
        </is>
      </c>
      <c r="F1780" t="n">
        <v>0</v>
      </c>
    </row>
    <row r="1781">
      <c r="A1781" t="inlineStr">
        <is>
          <t>Soja</t>
        </is>
      </c>
      <c r="B1781" t="inlineStr">
        <is>
          <t>Sorriso - MT</t>
        </is>
      </c>
      <c r="C1781" t="n">
        <v>-12.5425</v>
      </c>
      <c r="D1781" t="n">
        <v>-55.7211</v>
      </c>
      <c r="E1781" t="inlineStr">
        <is>
          <t>2021-10</t>
        </is>
      </c>
      <c r="F1781" t="n">
        <v>0</v>
      </c>
    </row>
    <row r="1782">
      <c r="A1782" t="inlineStr">
        <is>
          <t>Soja</t>
        </is>
      </c>
      <c r="B1782" t="inlineStr">
        <is>
          <t>Sorriso - MT</t>
        </is>
      </c>
      <c r="C1782" t="n">
        <v>-12.5425</v>
      </c>
      <c r="D1782" t="n">
        <v>-55.7211</v>
      </c>
      <c r="E1782" t="inlineStr">
        <is>
          <t>2021-11</t>
        </is>
      </c>
      <c r="F1782" t="n">
        <v>0</v>
      </c>
    </row>
    <row r="1783">
      <c r="A1783" t="inlineStr">
        <is>
          <t>Soja</t>
        </is>
      </c>
      <c r="B1783" t="inlineStr">
        <is>
          <t>Sorriso - MT</t>
        </is>
      </c>
      <c r="C1783" t="n">
        <v>-12.5425</v>
      </c>
      <c r="D1783" t="n">
        <v>-55.7211</v>
      </c>
      <c r="E1783" t="inlineStr">
        <is>
          <t>2021-12</t>
        </is>
      </c>
      <c r="F1783" t="n">
        <v>0</v>
      </c>
    </row>
    <row r="1784">
      <c r="A1784" t="inlineStr">
        <is>
          <t>Soja</t>
        </is>
      </c>
      <c r="B1784" t="inlineStr">
        <is>
          <t>Paragominas - PA</t>
        </is>
      </c>
      <c r="C1784" t="n">
        <v>-3.00212</v>
      </c>
      <c r="D1784" t="n">
        <v>-47.3527</v>
      </c>
      <c r="E1784" t="inlineStr">
        <is>
          <t>2022-01</t>
        </is>
      </c>
      <c r="F1784" t="n">
        <v>0</v>
      </c>
    </row>
    <row r="1785">
      <c r="A1785" t="inlineStr">
        <is>
          <t>Soja</t>
        </is>
      </c>
      <c r="B1785" t="inlineStr">
        <is>
          <t>Paragominas - PA</t>
        </is>
      </c>
      <c r="C1785" t="n">
        <v>-3.00212</v>
      </c>
      <c r="D1785" t="n">
        <v>-47.3527</v>
      </c>
      <c r="E1785" t="inlineStr">
        <is>
          <t>2022-02</t>
        </is>
      </c>
      <c r="F1785" t="n">
        <v>0</v>
      </c>
    </row>
    <row r="1786">
      <c r="A1786" t="inlineStr">
        <is>
          <t>Soja</t>
        </is>
      </c>
      <c r="B1786" t="inlineStr">
        <is>
          <t>Paragominas - PA</t>
        </is>
      </c>
      <c r="C1786" t="n">
        <v>-3.00212</v>
      </c>
      <c r="D1786" t="n">
        <v>-47.3527</v>
      </c>
      <c r="E1786" t="inlineStr">
        <is>
          <t>2022-03</t>
        </is>
      </c>
      <c r="F1786" t="n">
        <v>0</v>
      </c>
    </row>
    <row r="1787">
      <c r="A1787" t="inlineStr">
        <is>
          <t>Soja</t>
        </is>
      </c>
      <c r="B1787" t="inlineStr">
        <is>
          <t>Paragominas - PA</t>
        </is>
      </c>
      <c r="C1787" t="n">
        <v>-3.00212</v>
      </c>
      <c r="D1787" t="n">
        <v>-47.3527</v>
      </c>
      <c r="E1787" t="inlineStr">
        <is>
          <t>2022-04</t>
        </is>
      </c>
      <c r="F1787" t="n">
        <v>0</v>
      </c>
    </row>
    <row r="1788">
      <c r="A1788" t="inlineStr">
        <is>
          <t>Soja</t>
        </is>
      </c>
      <c r="B1788" t="inlineStr">
        <is>
          <t>Paragominas - PA</t>
        </is>
      </c>
      <c r="C1788" t="n">
        <v>-3.00212</v>
      </c>
      <c r="D1788" t="n">
        <v>-47.3527</v>
      </c>
      <c r="E1788" t="inlineStr">
        <is>
          <t>2022-05</t>
        </is>
      </c>
      <c r="F1788" t="n">
        <v>0</v>
      </c>
    </row>
    <row r="1789">
      <c r="A1789" t="inlineStr">
        <is>
          <t>Soja</t>
        </is>
      </c>
      <c r="B1789" t="inlineStr">
        <is>
          <t>Paragominas - PA</t>
        </is>
      </c>
      <c r="C1789" t="n">
        <v>-3.00212</v>
      </c>
      <c r="D1789" t="n">
        <v>-47.3527</v>
      </c>
      <c r="E1789" t="inlineStr">
        <is>
          <t>2022-06</t>
        </is>
      </c>
      <c r="F1789" t="n">
        <v>605510.4104878728</v>
      </c>
    </row>
    <row r="1790">
      <c r="A1790" t="inlineStr">
        <is>
          <t>Soja</t>
        </is>
      </c>
      <c r="B1790" t="inlineStr">
        <is>
          <t>Paragominas - PA</t>
        </is>
      </c>
      <c r="C1790" t="n">
        <v>-3.00212</v>
      </c>
      <c r="D1790" t="n">
        <v>-47.3527</v>
      </c>
      <c r="E1790" t="inlineStr">
        <is>
          <t>2021-07</t>
        </is>
      </c>
      <c r="F1790" t="n">
        <v>1412857.624471703</v>
      </c>
    </row>
    <row r="1791">
      <c r="A1791" t="inlineStr">
        <is>
          <t>Soja</t>
        </is>
      </c>
      <c r="B1791" t="inlineStr">
        <is>
          <t>Paragominas - PA</t>
        </is>
      </c>
      <c r="C1791" t="n">
        <v>-3.00212</v>
      </c>
      <c r="D1791" t="n">
        <v>-47.3527</v>
      </c>
      <c r="E1791" t="inlineStr">
        <is>
          <t>2021-08</t>
        </is>
      </c>
      <c r="F1791" t="n">
        <v>605510.4104878728</v>
      </c>
    </row>
    <row r="1792">
      <c r="A1792" t="inlineStr">
        <is>
          <t>Soja</t>
        </is>
      </c>
      <c r="B1792" t="inlineStr">
        <is>
          <t>Paragominas - PA</t>
        </is>
      </c>
      <c r="C1792" t="n">
        <v>-3.00212</v>
      </c>
      <c r="D1792" t="n">
        <v>-47.3527</v>
      </c>
      <c r="E1792" t="inlineStr">
        <is>
          <t>2021-09</t>
        </is>
      </c>
      <c r="F1792" t="n">
        <v>0</v>
      </c>
    </row>
    <row r="1793">
      <c r="A1793" t="inlineStr">
        <is>
          <t>Soja</t>
        </is>
      </c>
      <c r="B1793" t="inlineStr">
        <is>
          <t>Paragominas - PA</t>
        </is>
      </c>
      <c r="C1793" t="n">
        <v>-3.00212</v>
      </c>
      <c r="D1793" t="n">
        <v>-47.3527</v>
      </c>
      <c r="E1793" t="inlineStr">
        <is>
          <t>2021-10</t>
        </is>
      </c>
      <c r="F1793" t="n">
        <v>0</v>
      </c>
    </row>
    <row r="1794">
      <c r="A1794" t="inlineStr">
        <is>
          <t>Soja</t>
        </is>
      </c>
      <c r="B1794" t="inlineStr">
        <is>
          <t>Paragominas - PA</t>
        </is>
      </c>
      <c r="C1794" t="n">
        <v>-3.00212</v>
      </c>
      <c r="D1794" t="n">
        <v>-47.3527</v>
      </c>
      <c r="E1794" t="inlineStr">
        <is>
          <t>2021-11</t>
        </is>
      </c>
      <c r="F1794" t="n">
        <v>0</v>
      </c>
    </row>
    <row r="1795">
      <c r="A1795" t="inlineStr">
        <is>
          <t>Soja</t>
        </is>
      </c>
      <c r="B1795" t="inlineStr">
        <is>
          <t>Paragominas - PA</t>
        </is>
      </c>
      <c r="C1795" t="n">
        <v>-3.00212</v>
      </c>
      <c r="D1795" t="n">
        <v>-47.3527</v>
      </c>
      <c r="E1795" t="inlineStr">
        <is>
          <t>2021-12</t>
        </is>
      </c>
      <c r="F1795" t="n">
        <v>0</v>
      </c>
    </row>
    <row r="1796">
      <c r="A1796" t="inlineStr">
        <is>
          <t>Soja</t>
        </is>
      </c>
      <c r="B1796" t="inlineStr">
        <is>
          <t>Baixa Grande do Ribeiro - PI</t>
        </is>
      </c>
      <c r="C1796" t="n">
        <v>-7.84903</v>
      </c>
      <c r="D1796" t="n">
        <v>-45.219</v>
      </c>
      <c r="E1796" t="inlineStr">
        <is>
          <t>2022-01</t>
        </is>
      </c>
      <c r="F1796" t="n">
        <v>0</v>
      </c>
    </row>
    <row r="1797">
      <c r="A1797" t="inlineStr">
        <is>
          <t>Soja</t>
        </is>
      </c>
      <c r="B1797" t="inlineStr">
        <is>
          <t>Baixa Grande do Ribeiro - PI</t>
        </is>
      </c>
      <c r="C1797" t="n">
        <v>-7.84903</v>
      </c>
      <c r="D1797" t="n">
        <v>-45.219</v>
      </c>
      <c r="E1797" t="inlineStr">
        <is>
          <t>2022-02</t>
        </is>
      </c>
      <c r="F1797" t="n">
        <v>576493.0034736426</v>
      </c>
    </row>
    <row r="1798">
      <c r="A1798" t="inlineStr">
        <is>
          <t>Soja</t>
        </is>
      </c>
      <c r="B1798" t="inlineStr">
        <is>
          <t>Baixa Grande do Ribeiro - PI</t>
        </is>
      </c>
      <c r="C1798" t="n">
        <v>-7.84903</v>
      </c>
      <c r="D1798" t="n">
        <v>-45.219</v>
      </c>
      <c r="E1798" t="inlineStr">
        <is>
          <t>2022-03</t>
        </is>
      </c>
      <c r="F1798" t="n">
        <v>576493.0034736426</v>
      </c>
    </row>
    <row r="1799">
      <c r="A1799" t="inlineStr">
        <is>
          <t>Soja</t>
        </is>
      </c>
      <c r="B1799" t="inlineStr">
        <is>
          <t>Baixa Grande do Ribeiro - PI</t>
        </is>
      </c>
      <c r="C1799" t="n">
        <v>-7.84903</v>
      </c>
      <c r="D1799" t="n">
        <v>-45.219</v>
      </c>
      <c r="E1799" t="inlineStr">
        <is>
          <t>2022-04</t>
        </is>
      </c>
      <c r="F1799" t="n">
        <v>1345150.3414385</v>
      </c>
    </row>
    <row r="1800">
      <c r="A1800" t="inlineStr">
        <is>
          <t>Soja</t>
        </is>
      </c>
      <c r="B1800" t="inlineStr">
        <is>
          <t>Baixa Grande do Ribeiro - PI</t>
        </is>
      </c>
      <c r="C1800" t="n">
        <v>-7.84903</v>
      </c>
      <c r="D1800" t="n">
        <v>-45.219</v>
      </c>
      <c r="E1800" t="inlineStr">
        <is>
          <t>2022-05</t>
        </is>
      </c>
      <c r="F1800" t="n">
        <v>576493.0034736426</v>
      </c>
    </row>
    <row r="1801">
      <c r="A1801" t="inlineStr">
        <is>
          <t>Soja</t>
        </is>
      </c>
      <c r="B1801" t="inlineStr">
        <is>
          <t>Baixa Grande do Ribeiro - PI</t>
        </is>
      </c>
      <c r="C1801" t="n">
        <v>-7.84903</v>
      </c>
      <c r="D1801" t="n">
        <v>-45.219</v>
      </c>
      <c r="E1801" t="inlineStr">
        <is>
          <t>2022-06</t>
        </is>
      </c>
      <c r="F1801" t="n">
        <v>0</v>
      </c>
    </row>
    <row r="1802">
      <c r="A1802" t="inlineStr">
        <is>
          <t>Soja</t>
        </is>
      </c>
      <c r="B1802" t="inlineStr">
        <is>
          <t>Baixa Grande do Ribeiro - PI</t>
        </is>
      </c>
      <c r="C1802" t="n">
        <v>-7.84903</v>
      </c>
      <c r="D1802" t="n">
        <v>-45.219</v>
      </c>
      <c r="E1802" t="inlineStr">
        <is>
          <t>2021-07</t>
        </is>
      </c>
      <c r="F1802" t="n">
        <v>0</v>
      </c>
    </row>
    <row r="1803">
      <c r="A1803" t="inlineStr">
        <is>
          <t>Soja</t>
        </is>
      </c>
      <c r="B1803" t="inlineStr">
        <is>
          <t>Baixa Grande do Ribeiro - PI</t>
        </is>
      </c>
      <c r="C1803" t="n">
        <v>-7.84903</v>
      </c>
      <c r="D1803" t="n">
        <v>-45.219</v>
      </c>
      <c r="E1803" t="inlineStr">
        <is>
          <t>2021-08</t>
        </is>
      </c>
      <c r="F1803" t="n">
        <v>0</v>
      </c>
    </row>
    <row r="1804">
      <c r="A1804" t="inlineStr">
        <is>
          <t>Soja</t>
        </is>
      </c>
      <c r="B1804" t="inlineStr">
        <is>
          <t>Baixa Grande do Ribeiro - PI</t>
        </is>
      </c>
      <c r="C1804" t="n">
        <v>-7.84903</v>
      </c>
      <c r="D1804" t="n">
        <v>-45.219</v>
      </c>
      <c r="E1804" t="inlineStr">
        <is>
          <t>2021-09</t>
        </is>
      </c>
      <c r="F1804" t="n">
        <v>0</v>
      </c>
    </row>
    <row r="1805">
      <c r="A1805" t="inlineStr">
        <is>
          <t>Soja</t>
        </is>
      </c>
      <c r="B1805" t="inlineStr">
        <is>
          <t>Baixa Grande do Ribeiro - PI</t>
        </is>
      </c>
      <c r="C1805" t="n">
        <v>-7.84903</v>
      </c>
      <c r="D1805" t="n">
        <v>-45.219</v>
      </c>
      <c r="E1805" t="inlineStr">
        <is>
          <t>2021-10</t>
        </is>
      </c>
      <c r="F1805" t="n">
        <v>0</v>
      </c>
    </row>
    <row r="1806">
      <c r="A1806" t="inlineStr">
        <is>
          <t>Soja</t>
        </is>
      </c>
      <c r="B1806" t="inlineStr">
        <is>
          <t>Baixa Grande do Ribeiro - PI</t>
        </is>
      </c>
      <c r="C1806" t="n">
        <v>-7.84903</v>
      </c>
      <c r="D1806" t="n">
        <v>-45.219</v>
      </c>
      <c r="E1806" t="inlineStr">
        <is>
          <t>2021-11</t>
        </is>
      </c>
      <c r="F1806" t="n">
        <v>0</v>
      </c>
    </row>
    <row r="1807">
      <c r="A1807" t="inlineStr">
        <is>
          <t>Soja</t>
        </is>
      </c>
      <c r="B1807" t="inlineStr">
        <is>
          <t>Baixa Grande do Ribeiro - PI</t>
        </is>
      </c>
      <c r="C1807" t="n">
        <v>-7.84903</v>
      </c>
      <c r="D1807" t="n">
        <v>-45.219</v>
      </c>
      <c r="E1807" t="inlineStr">
        <is>
          <t>2021-12</t>
        </is>
      </c>
      <c r="F1807" t="n">
        <v>0</v>
      </c>
    </row>
    <row r="1808">
      <c r="A1808" t="inlineStr">
        <is>
          <t>Soja</t>
        </is>
      </c>
      <c r="B1808" t="inlineStr">
        <is>
          <t>Tibagi - PR</t>
        </is>
      </c>
      <c r="C1808" t="n">
        <v>-24.5153</v>
      </c>
      <c r="D1808" t="n">
        <v>-50.4176</v>
      </c>
      <c r="E1808" t="inlineStr">
        <is>
          <t>2022-01</t>
        </is>
      </c>
      <c r="F1808" t="n">
        <v>1581445.450424323</v>
      </c>
    </row>
    <row r="1809">
      <c r="A1809" t="inlineStr">
        <is>
          <t>Soja</t>
        </is>
      </c>
      <c r="B1809" t="inlineStr">
        <is>
          <t>Tibagi - PR</t>
        </is>
      </c>
      <c r="C1809" t="n">
        <v>-24.5153</v>
      </c>
      <c r="D1809" t="n">
        <v>-50.4176</v>
      </c>
      <c r="E1809" t="inlineStr">
        <is>
          <t>2022-02</t>
        </is>
      </c>
      <c r="F1809" t="n">
        <v>3162890.900848646</v>
      </c>
    </row>
    <row r="1810">
      <c r="A1810" t="inlineStr">
        <is>
          <t>Soja</t>
        </is>
      </c>
      <c r="B1810" t="inlineStr">
        <is>
          <t>Tibagi - PR</t>
        </is>
      </c>
      <c r="C1810" t="n">
        <v>-24.5153</v>
      </c>
      <c r="D1810" t="n">
        <v>-50.4176</v>
      </c>
      <c r="E1810" t="inlineStr">
        <is>
          <t>2022-03</t>
        </is>
      </c>
      <c r="F1810" t="n">
        <v>5271484.834747743</v>
      </c>
    </row>
    <row r="1811">
      <c r="A1811" t="inlineStr">
        <is>
          <t>Soja</t>
        </is>
      </c>
      <c r="B1811" t="inlineStr">
        <is>
          <t>Tibagi - PR</t>
        </is>
      </c>
      <c r="C1811" t="n">
        <v>-24.5153</v>
      </c>
      <c r="D1811" t="n">
        <v>-50.4176</v>
      </c>
      <c r="E1811" t="inlineStr">
        <is>
          <t>2022-04</t>
        </is>
      </c>
      <c r="F1811" t="n">
        <v>3162890.900848646</v>
      </c>
    </row>
    <row r="1812">
      <c r="A1812" t="inlineStr">
        <is>
          <t>Soja</t>
        </is>
      </c>
      <c r="B1812" t="inlineStr">
        <is>
          <t>Tibagi - PR</t>
        </is>
      </c>
      <c r="C1812" t="n">
        <v>-24.5153</v>
      </c>
      <c r="D1812" t="n">
        <v>-50.4176</v>
      </c>
      <c r="E1812" t="inlineStr">
        <is>
          <t>2022-05</t>
        </is>
      </c>
      <c r="F1812" t="n">
        <v>0</v>
      </c>
    </row>
    <row r="1813">
      <c r="A1813" t="inlineStr">
        <is>
          <t>Soja</t>
        </is>
      </c>
      <c r="B1813" t="inlineStr">
        <is>
          <t>Tibagi - PR</t>
        </is>
      </c>
      <c r="C1813" t="n">
        <v>-24.5153</v>
      </c>
      <c r="D1813" t="n">
        <v>-50.4176</v>
      </c>
      <c r="E1813" t="inlineStr">
        <is>
          <t>2022-06</t>
        </is>
      </c>
      <c r="F1813" t="n">
        <v>0</v>
      </c>
    </row>
    <row r="1814">
      <c r="A1814" t="inlineStr">
        <is>
          <t>Soja</t>
        </is>
      </c>
      <c r="B1814" t="inlineStr">
        <is>
          <t>Tibagi - PR</t>
        </is>
      </c>
      <c r="C1814" t="n">
        <v>-24.5153</v>
      </c>
      <c r="D1814" t="n">
        <v>-50.4176</v>
      </c>
      <c r="E1814" t="inlineStr">
        <is>
          <t>2021-07</t>
        </is>
      </c>
      <c r="F1814" t="n">
        <v>0</v>
      </c>
    </row>
    <row r="1815">
      <c r="A1815" t="inlineStr">
        <is>
          <t>Soja</t>
        </is>
      </c>
      <c r="B1815" t="inlineStr">
        <is>
          <t>Tibagi - PR</t>
        </is>
      </c>
      <c r="C1815" t="n">
        <v>-24.5153</v>
      </c>
      <c r="D1815" t="n">
        <v>-50.4176</v>
      </c>
      <c r="E1815" t="inlineStr">
        <is>
          <t>2021-08</t>
        </is>
      </c>
      <c r="F1815" t="n">
        <v>0</v>
      </c>
    </row>
    <row r="1816">
      <c r="A1816" t="inlineStr">
        <is>
          <t>Soja</t>
        </is>
      </c>
      <c r="B1816" t="inlineStr">
        <is>
          <t>Tibagi - PR</t>
        </is>
      </c>
      <c r="C1816" t="n">
        <v>-24.5153</v>
      </c>
      <c r="D1816" t="n">
        <v>-50.4176</v>
      </c>
      <c r="E1816" t="inlineStr">
        <is>
          <t>2021-09</t>
        </is>
      </c>
      <c r="F1816" t="n">
        <v>0</v>
      </c>
    </row>
    <row r="1817">
      <c r="A1817" t="inlineStr">
        <is>
          <t>Soja</t>
        </is>
      </c>
      <c r="B1817" t="inlineStr">
        <is>
          <t>Tibagi - PR</t>
        </is>
      </c>
      <c r="C1817" t="n">
        <v>-24.5153</v>
      </c>
      <c r="D1817" t="n">
        <v>-50.4176</v>
      </c>
      <c r="E1817" t="inlineStr">
        <is>
          <t>2021-10</t>
        </is>
      </c>
      <c r="F1817" t="n">
        <v>0</v>
      </c>
    </row>
    <row r="1818">
      <c r="A1818" t="inlineStr">
        <is>
          <t>Soja</t>
        </is>
      </c>
      <c r="B1818" t="inlineStr">
        <is>
          <t>Tibagi - PR</t>
        </is>
      </c>
      <c r="C1818" t="n">
        <v>-24.5153</v>
      </c>
      <c r="D1818" t="n">
        <v>-50.4176</v>
      </c>
      <c r="E1818" t="inlineStr">
        <is>
          <t>2021-11</t>
        </is>
      </c>
      <c r="F1818" t="n">
        <v>0</v>
      </c>
    </row>
    <row r="1819">
      <c r="A1819" t="inlineStr">
        <is>
          <t>Soja</t>
        </is>
      </c>
      <c r="B1819" t="inlineStr">
        <is>
          <t>Tibagi - PR</t>
        </is>
      </c>
      <c r="C1819" t="n">
        <v>-24.5153</v>
      </c>
      <c r="D1819" t="n">
        <v>-50.4176</v>
      </c>
      <c r="E1819" t="inlineStr">
        <is>
          <t>2021-12</t>
        </is>
      </c>
      <c r="F1819" t="n">
        <v>0</v>
      </c>
    </row>
    <row r="1820">
      <c r="A1820" t="inlineStr">
        <is>
          <t>Soja</t>
        </is>
      </c>
      <c r="B1820" t="inlineStr">
        <is>
          <t>Pimenteiras do Oeste - RO</t>
        </is>
      </c>
      <c r="C1820" t="n">
        <v>-13.4823</v>
      </c>
      <c r="D1820" t="n">
        <v>-61.0471</v>
      </c>
      <c r="E1820" t="inlineStr">
        <is>
          <t>2022-01</t>
        </is>
      </c>
      <c r="F1820" t="n">
        <v>0</v>
      </c>
    </row>
    <row r="1821">
      <c r="A1821" t="inlineStr">
        <is>
          <t>Soja</t>
        </is>
      </c>
      <c r="B1821" t="inlineStr">
        <is>
          <t>Pimenteiras do Oeste - RO</t>
        </is>
      </c>
      <c r="C1821" t="n">
        <v>-13.4823</v>
      </c>
      <c r="D1821" t="n">
        <v>-61.0471</v>
      </c>
      <c r="E1821" t="inlineStr">
        <is>
          <t>2022-02</t>
        </is>
      </c>
      <c r="F1821" t="n">
        <v>199201.4730559741</v>
      </c>
    </row>
    <row r="1822">
      <c r="A1822" t="inlineStr">
        <is>
          <t>Soja</t>
        </is>
      </c>
      <c r="B1822" t="inlineStr">
        <is>
          <t>Pimenteiras do Oeste - RO</t>
        </is>
      </c>
      <c r="C1822" t="n">
        <v>-13.4823</v>
      </c>
      <c r="D1822" t="n">
        <v>-61.0471</v>
      </c>
      <c r="E1822" t="inlineStr">
        <is>
          <t>2022-03</t>
        </is>
      </c>
      <c r="F1822" t="n">
        <v>929606.8742612124</v>
      </c>
    </row>
    <row r="1823">
      <c r="A1823" t="inlineStr">
        <is>
          <t>Soja</t>
        </is>
      </c>
      <c r="B1823" t="inlineStr">
        <is>
          <t>Pimenteiras do Oeste - RO</t>
        </is>
      </c>
      <c r="C1823" t="n">
        <v>-13.4823</v>
      </c>
      <c r="D1823" t="n">
        <v>-61.0471</v>
      </c>
      <c r="E1823" t="inlineStr">
        <is>
          <t>2022-04</t>
        </is>
      </c>
      <c r="F1823" t="n">
        <v>398402.9461119481</v>
      </c>
    </row>
    <row r="1824">
      <c r="A1824" t="inlineStr">
        <is>
          <t>Soja</t>
        </is>
      </c>
      <c r="B1824" t="inlineStr">
        <is>
          <t>Pimenteiras do Oeste - RO</t>
        </is>
      </c>
      <c r="C1824" t="n">
        <v>-13.4823</v>
      </c>
      <c r="D1824" t="n">
        <v>-61.0471</v>
      </c>
      <c r="E1824" t="inlineStr">
        <is>
          <t>2022-05</t>
        </is>
      </c>
      <c r="F1824" t="n">
        <v>0</v>
      </c>
    </row>
    <row r="1825">
      <c r="A1825" t="inlineStr">
        <is>
          <t>Soja</t>
        </is>
      </c>
      <c r="B1825" t="inlineStr">
        <is>
          <t>Pimenteiras do Oeste - RO</t>
        </is>
      </c>
      <c r="C1825" t="n">
        <v>-13.4823</v>
      </c>
      <c r="D1825" t="n">
        <v>-61.0471</v>
      </c>
      <c r="E1825" t="inlineStr">
        <is>
          <t>2022-06</t>
        </is>
      </c>
      <c r="F1825" t="n">
        <v>0</v>
      </c>
    </row>
    <row r="1826">
      <c r="A1826" t="inlineStr">
        <is>
          <t>Soja</t>
        </is>
      </c>
      <c r="B1826" t="inlineStr">
        <is>
          <t>Pimenteiras do Oeste - RO</t>
        </is>
      </c>
      <c r="C1826" t="n">
        <v>-13.4823</v>
      </c>
      <c r="D1826" t="n">
        <v>-61.0471</v>
      </c>
      <c r="E1826" t="inlineStr">
        <is>
          <t>2021-07</t>
        </is>
      </c>
      <c r="F1826" t="n">
        <v>0</v>
      </c>
    </row>
    <row r="1827">
      <c r="A1827" t="inlineStr">
        <is>
          <t>Soja</t>
        </is>
      </c>
      <c r="B1827" t="inlineStr">
        <is>
          <t>Pimenteiras do Oeste - RO</t>
        </is>
      </c>
      <c r="C1827" t="n">
        <v>-13.4823</v>
      </c>
      <c r="D1827" t="n">
        <v>-61.0471</v>
      </c>
      <c r="E1827" t="inlineStr">
        <is>
          <t>2021-08</t>
        </is>
      </c>
      <c r="F1827" t="n">
        <v>0</v>
      </c>
    </row>
    <row r="1828">
      <c r="A1828" t="inlineStr">
        <is>
          <t>Soja</t>
        </is>
      </c>
      <c r="B1828" t="inlineStr">
        <is>
          <t>Pimenteiras do Oeste - RO</t>
        </is>
      </c>
      <c r="C1828" t="n">
        <v>-13.4823</v>
      </c>
      <c r="D1828" t="n">
        <v>-61.0471</v>
      </c>
      <c r="E1828" t="inlineStr">
        <is>
          <t>2021-09</t>
        </is>
      </c>
      <c r="F1828" t="n">
        <v>0</v>
      </c>
    </row>
    <row r="1829">
      <c r="A1829" t="inlineStr">
        <is>
          <t>Soja</t>
        </is>
      </c>
      <c r="B1829" t="inlineStr">
        <is>
          <t>Pimenteiras do Oeste - RO</t>
        </is>
      </c>
      <c r="C1829" t="n">
        <v>-13.4823</v>
      </c>
      <c r="D1829" t="n">
        <v>-61.0471</v>
      </c>
      <c r="E1829" t="inlineStr">
        <is>
          <t>2021-10</t>
        </is>
      </c>
      <c r="F1829" t="n">
        <v>0</v>
      </c>
    </row>
    <row r="1830">
      <c r="A1830" t="inlineStr">
        <is>
          <t>Soja</t>
        </is>
      </c>
      <c r="B1830" t="inlineStr">
        <is>
          <t>Pimenteiras do Oeste - RO</t>
        </is>
      </c>
      <c r="C1830" t="n">
        <v>-13.4823</v>
      </c>
      <c r="D1830" t="n">
        <v>-61.0471</v>
      </c>
      <c r="E1830" t="inlineStr">
        <is>
          <t>2021-11</t>
        </is>
      </c>
      <c r="F1830" t="n">
        <v>0</v>
      </c>
    </row>
    <row r="1831">
      <c r="A1831" t="inlineStr">
        <is>
          <t>Soja</t>
        </is>
      </c>
      <c r="B1831" t="inlineStr">
        <is>
          <t>Pimenteiras do Oeste - RO</t>
        </is>
      </c>
      <c r="C1831" t="n">
        <v>-13.4823</v>
      </c>
      <c r="D1831" t="n">
        <v>-61.0471</v>
      </c>
      <c r="E1831" t="inlineStr">
        <is>
          <t>2021-12</t>
        </is>
      </c>
      <c r="F1831" t="n">
        <v>0</v>
      </c>
    </row>
    <row r="1832">
      <c r="A1832" t="inlineStr">
        <is>
          <t>Soja</t>
        </is>
      </c>
      <c r="B1832" t="inlineStr">
        <is>
          <t>Bonfim - RR</t>
        </is>
      </c>
      <c r="C1832" t="n">
        <v>3.36161</v>
      </c>
      <c r="D1832" t="n">
        <v>-59.8333</v>
      </c>
      <c r="E1832" t="inlineStr">
        <is>
          <t>2022-01</t>
        </is>
      </c>
      <c r="F1832" t="n">
        <v>0</v>
      </c>
    </row>
    <row r="1833">
      <c r="A1833" t="inlineStr">
        <is>
          <t>Soja</t>
        </is>
      </c>
      <c r="B1833" t="inlineStr">
        <is>
          <t>Bonfim - RR</t>
        </is>
      </c>
      <c r="C1833" t="n">
        <v>3.36161</v>
      </c>
      <c r="D1833" t="n">
        <v>-59.8333</v>
      </c>
      <c r="E1833" t="inlineStr">
        <is>
          <t>2022-02</t>
        </is>
      </c>
      <c r="F1833" t="n">
        <v>0</v>
      </c>
    </row>
    <row r="1834">
      <c r="A1834" t="inlineStr">
        <is>
          <t>Soja</t>
        </is>
      </c>
      <c r="B1834" t="inlineStr">
        <is>
          <t>Bonfim - RR</t>
        </is>
      </c>
      <c r="C1834" t="n">
        <v>3.36161</v>
      </c>
      <c r="D1834" t="n">
        <v>-59.8333</v>
      </c>
      <c r="E1834" t="inlineStr">
        <is>
          <t>2022-03</t>
        </is>
      </c>
      <c r="F1834" t="n">
        <v>0</v>
      </c>
    </row>
    <row r="1835">
      <c r="A1835" t="inlineStr">
        <is>
          <t>Soja</t>
        </is>
      </c>
      <c r="B1835" t="inlineStr">
        <is>
          <t>Bonfim - RR</t>
        </is>
      </c>
      <c r="C1835" t="n">
        <v>3.36161</v>
      </c>
      <c r="D1835" t="n">
        <v>-59.8333</v>
      </c>
      <c r="E1835" t="inlineStr">
        <is>
          <t>2022-04</t>
        </is>
      </c>
      <c r="F1835" t="n">
        <v>0</v>
      </c>
    </row>
    <row r="1836">
      <c r="A1836" t="inlineStr">
        <is>
          <t>Soja</t>
        </is>
      </c>
      <c r="B1836" t="inlineStr">
        <is>
          <t>Bonfim - RR</t>
        </is>
      </c>
      <c r="C1836" t="n">
        <v>3.36161</v>
      </c>
      <c r="D1836" t="n">
        <v>-59.8333</v>
      </c>
      <c r="E1836" t="inlineStr">
        <is>
          <t>2022-05</t>
        </is>
      </c>
      <c r="F1836" t="n">
        <v>0</v>
      </c>
    </row>
    <row r="1837">
      <c r="A1837" t="inlineStr">
        <is>
          <t>Soja</t>
        </is>
      </c>
      <c r="B1837" t="inlineStr">
        <is>
          <t>Bonfim - RR</t>
        </is>
      </c>
      <c r="C1837" t="n">
        <v>3.36161</v>
      </c>
      <c r="D1837" t="n">
        <v>-59.8333</v>
      </c>
      <c r="E1837" t="inlineStr">
        <is>
          <t>2022-06</t>
        </is>
      </c>
      <c r="F1837" t="n">
        <v>0</v>
      </c>
    </row>
    <row r="1838">
      <c r="A1838" t="inlineStr">
        <is>
          <t>Soja</t>
        </is>
      </c>
      <c r="B1838" t="inlineStr">
        <is>
          <t>Bonfim - RR</t>
        </is>
      </c>
      <c r="C1838" t="n">
        <v>3.36161</v>
      </c>
      <c r="D1838" t="n">
        <v>-59.8333</v>
      </c>
      <c r="E1838" t="inlineStr">
        <is>
          <t>2021-07</t>
        </is>
      </c>
      <c r="F1838" t="n">
        <v>26727.6981373614</v>
      </c>
    </row>
    <row r="1839">
      <c r="A1839" t="inlineStr">
        <is>
          <t>Soja</t>
        </is>
      </c>
      <c r="B1839" t="inlineStr">
        <is>
          <t>Bonfim - RR</t>
        </is>
      </c>
      <c r="C1839" t="n">
        <v>3.36161</v>
      </c>
      <c r="D1839" t="n">
        <v>-59.8333</v>
      </c>
      <c r="E1839" t="inlineStr">
        <is>
          <t>2021-08</t>
        </is>
      </c>
      <c r="F1839" t="n">
        <v>53455.3962747229</v>
      </c>
    </row>
    <row r="1840">
      <c r="A1840" t="inlineStr">
        <is>
          <t>Soja</t>
        </is>
      </c>
      <c r="B1840" t="inlineStr">
        <is>
          <t>Bonfim - RR</t>
        </is>
      </c>
      <c r="C1840" t="n">
        <v>3.36161</v>
      </c>
      <c r="D1840" t="n">
        <v>-59.8333</v>
      </c>
      <c r="E1840" t="inlineStr">
        <is>
          <t>2021-09</t>
        </is>
      </c>
      <c r="F1840" t="n">
        <v>124729.2579743533</v>
      </c>
    </row>
    <row r="1841">
      <c r="A1841" t="inlineStr">
        <is>
          <t>Soja</t>
        </is>
      </c>
      <c r="B1841" t="inlineStr">
        <is>
          <t>Bonfim - RR</t>
        </is>
      </c>
      <c r="C1841" t="n">
        <v>3.36161</v>
      </c>
      <c r="D1841" t="n">
        <v>-59.8333</v>
      </c>
      <c r="E1841" t="inlineStr">
        <is>
          <t>2021-10</t>
        </is>
      </c>
      <c r="F1841" t="n">
        <v>53455.3962747229</v>
      </c>
    </row>
    <row r="1842">
      <c r="A1842" t="inlineStr">
        <is>
          <t>Soja</t>
        </is>
      </c>
      <c r="B1842" t="inlineStr">
        <is>
          <t>Bonfim - RR</t>
        </is>
      </c>
      <c r="C1842" t="n">
        <v>3.36161</v>
      </c>
      <c r="D1842" t="n">
        <v>-59.8333</v>
      </c>
      <c r="E1842" t="inlineStr">
        <is>
          <t>2021-11</t>
        </is>
      </c>
      <c r="F1842" t="n">
        <v>26727.6981373614</v>
      </c>
    </row>
    <row r="1843">
      <c r="A1843" t="inlineStr">
        <is>
          <t>Soja</t>
        </is>
      </c>
      <c r="B1843" t="inlineStr">
        <is>
          <t>Bonfim - RR</t>
        </is>
      </c>
      <c r="C1843" t="n">
        <v>3.36161</v>
      </c>
      <c r="D1843" t="n">
        <v>-59.8333</v>
      </c>
      <c r="E1843" t="inlineStr">
        <is>
          <t>2021-12</t>
        </is>
      </c>
      <c r="F1843" t="n">
        <v>0</v>
      </c>
    </row>
    <row r="1844">
      <c r="A1844" t="inlineStr">
        <is>
          <t>Soja</t>
        </is>
      </c>
      <c r="B1844" t="inlineStr">
        <is>
          <t>Tupanciretã - RS</t>
        </is>
      </c>
      <c r="C1844" t="n">
        <v>-29.0858</v>
      </c>
      <c r="D1844" t="n">
        <v>-53.8445</v>
      </c>
      <c r="E1844" t="inlineStr">
        <is>
          <t>2022-01</t>
        </is>
      </c>
      <c r="F1844" t="n">
        <v>978468.2053198612</v>
      </c>
    </row>
    <row r="1845">
      <c r="A1845" t="inlineStr">
        <is>
          <t>Soja</t>
        </is>
      </c>
      <c r="B1845" t="inlineStr">
        <is>
          <t>Tupanciretã - RS</t>
        </is>
      </c>
      <c r="C1845" t="n">
        <v>-29.0858</v>
      </c>
      <c r="D1845" t="n">
        <v>-53.8445</v>
      </c>
      <c r="E1845" t="inlineStr">
        <is>
          <t>2022-02</t>
        </is>
      </c>
      <c r="F1845" t="n">
        <v>1956936.410639722</v>
      </c>
    </row>
    <row r="1846">
      <c r="A1846" t="inlineStr">
        <is>
          <t>Soja</t>
        </is>
      </c>
      <c r="B1846" t="inlineStr">
        <is>
          <t>Tupanciretã - RS</t>
        </is>
      </c>
      <c r="C1846" t="n">
        <v>-29.0858</v>
      </c>
      <c r="D1846" t="n">
        <v>-53.8445</v>
      </c>
      <c r="E1846" t="inlineStr">
        <is>
          <t>2022-03</t>
        </is>
      </c>
      <c r="F1846" t="n">
        <v>4566184.958159352</v>
      </c>
    </row>
    <row r="1847">
      <c r="A1847" t="inlineStr">
        <is>
          <t>Soja</t>
        </is>
      </c>
      <c r="B1847" t="inlineStr">
        <is>
          <t>Tupanciretã - RS</t>
        </is>
      </c>
      <c r="C1847" t="n">
        <v>-29.0858</v>
      </c>
      <c r="D1847" t="n">
        <v>-53.8445</v>
      </c>
      <c r="E1847" t="inlineStr">
        <is>
          <t>2022-04</t>
        </is>
      </c>
      <c r="F1847" t="n">
        <v>1956936.410639722</v>
      </c>
    </row>
    <row r="1848">
      <c r="A1848" t="inlineStr">
        <is>
          <t>Soja</t>
        </is>
      </c>
      <c r="B1848" t="inlineStr">
        <is>
          <t>Tupanciretã - RS</t>
        </is>
      </c>
      <c r="C1848" t="n">
        <v>-29.0858</v>
      </c>
      <c r="D1848" t="n">
        <v>-53.8445</v>
      </c>
      <c r="E1848" t="inlineStr">
        <is>
          <t>2022-05</t>
        </is>
      </c>
      <c r="F1848" t="n">
        <v>978468.2053198612</v>
      </c>
    </row>
    <row r="1849">
      <c r="A1849" t="inlineStr">
        <is>
          <t>Soja</t>
        </is>
      </c>
      <c r="B1849" t="inlineStr">
        <is>
          <t>Tupanciretã - RS</t>
        </is>
      </c>
      <c r="C1849" t="n">
        <v>-29.0858</v>
      </c>
      <c r="D1849" t="n">
        <v>-53.8445</v>
      </c>
      <c r="E1849" t="inlineStr">
        <is>
          <t>2022-06</t>
        </is>
      </c>
      <c r="F1849" t="n">
        <v>0</v>
      </c>
    </row>
    <row r="1850">
      <c r="A1850" t="inlineStr">
        <is>
          <t>Soja</t>
        </is>
      </c>
      <c r="B1850" t="inlineStr">
        <is>
          <t>Tupanciretã - RS</t>
        </is>
      </c>
      <c r="C1850" t="n">
        <v>-29.0858</v>
      </c>
      <c r="D1850" t="n">
        <v>-53.8445</v>
      </c>
      <c r="E1850" t="inlineStr">
        <is>
          <t>2021-07</t>
        </is>
      </c>
      <c r="F1850" t="n">
        <v>0</v>
      </c>
    </row>
    <row r="1851">
      <c r="A1851" t="inlineStr">
        <is>
          <t>Soja</t>
        </is>
      </c>
      <c r="B1851" t="inlineStr">
        <is>
          <t>Tupanciretã - RS</t>
        </is>
      </c>
      <c r="C1851" t="n">
        <v>-29.0858</v>
      </c>
      <c r="D1851" t="n">
        <v>-53.8445</v>
      </c>
      <c r="E1851" t="inlineStr">
        <is>
          <t>2021-08</t>
        </is>
      </c>
      <c r="F1851" t="n">
        <v>0</v>
      </c>
    </row>
    <row r="1852">
      <c r="A1852" t="inlineStr">
        <is>
          <t>Soja</t>
        </is>
      </c>
      <c r="B1852" t="inlineStr">
        <is>
          <t>Tupanciretã - RS</t>
        </is>
      </c>
      <c r="C1852" t="n">
        <v>-29.0858</v>
      </c>
      <c r="D1852" t="n">
        <v>-53.8445</v>
      </c>
      <c r="E1852" t="inlineStr">
        <is>
          <t>2021-09</t>
        </is>
      </c>
      <c r="F1852" t="n">
        <v>0</v>
      </c>
    </row>
    <row r="1853">
      <c r="A1853" t="inlineStr">
        <is>
          <t>Soja</t>
        </is>
      </c>
      <c r="B1853" t="inlineStr">
        <is>
          <t>Tupanciretã - RS</t>
        </is>
      </c>
      <c r="C1853" t="n">
        <v>-29.0858</v>
      </c>
      <c r="D1853" t="n">
        <v>-53.8445</v>
      </c>
      <c r="E1853" t="inlineStr">
        <is>
          <t>2021-10</t>
        </is>
      </c>
      <c r="F1853" t="n">
        <v>0</v>
      </c>
    </row>
    <row r="1854">
      <c r="A1854" t="inlineStr">
        <is>
          <t>Soja</t>
        </is>
      </c>
      <c r="B1854" t="inlineStr">
        <is>
          <t>Tupanciretã - RS</t>
        </is>
      </c>
      <c r="C1854" t="n">
        <v>-29.0858</v>
      </c>
      <c r="D1854" t="n">
        <v>-53.8445</v>
      </c>
      <c r="E1854" t="inlineStr">
        <is>
          <t>2021-11</t>
        </is>
      </c>
      <c r="F1854" t="n">
        <v>0</v>
      </c>
    </row>
    <row r="1855">
      <c r="A1855" t="inlineStr">
        <is>
          <t>Soja</t>
        </is>
      </c>
      <c r="B1855" t="inlineStr">
        <is>
          <t>Tupanciretã - RS</t>
        </is>
      </c>
      <c r="C1855" t="n">
        <v>-29.0858</v>
      </c>
      <c r="D1855" t="n">
        <v>-53.8445</v>
      </c>
      <c r="E1855" t="inlineStr">
        <is>
          <t>2021-12</t>
        </is>
      </c>
      <c r="F1855" t="n">
        <v>0</v>
      </c>
    </row>
    <row r="1856">
      <c r="A1856" t="inlineStr">
        <is>
          <t>Soja</t>
        </is>
      </c>
      <c r="B1856" t="inlineStr">
        <is>
          <t>Campos Novos - SC</t>
        </is>
      </c>
      <c r="C1856" t="n">
        <v>-27.4002</v>
      </c>
      <c r="D1856" t="n">
        <v>-51.2276</v>
      </c>
      <c r="E1856" t="inlineStr">
        <is>
          <t>2022-01</t>
        </is>
      </c>
      <c r="F1856" t="n">
        <v>0</v>
      </c>
    </row>
    <row r="1857">
      <c r="A1857" t="inlineStr">
        <is>
          <t>Soja</t>
        </is>
      </c>
      <c r="B1857" t="inlineStr">
        <is>
          <t>Campos Novos - SC</t>
        </is>
      </c>
      <c r="C1857" t="n">
        <v>-27.4002</v>
      </c>
      <c r="D1857" t="n">
        <v>-51.2276</v>
      </c>
      <c r="E1857" t="inlineStr">
        <is>
          <t>2022-02</t>
        </is>
      </c>
      <c r="F1857" t="n">
        <v>395363.613359608</v>
      </c>
    </row>
    <row r="1858">
      <c r="A1858" t="inlineStr">
        <is>
          <t>Soja</t>
        </is>
      </c>
      <c r="B1858" t="inlineStr">
        <is>
          <t>Campos Novos - SC</t>
        </is>
      </c>
      <c r="C1858" t="n">
        <v>-27.4002</v>
      </c>
      <c r="D1858" t="n">
        <v>-51.2276</v>
      </c>
      <c r="E1858" t="inlineStr">
        <is>
          <t>2022-03</t>
        </is>
      </c>
      <c r="F1858" t="n">
        <v>658939.3555993468</v>
      </c>
    </row>
    <row r="1859">
      <c r="A1859" t="inlineStr">
        <is>
          <t>Soja</t>
        </is>
      </c>
      <c r="B1859" t="inlineStr">
        <is>
          <t>Campos Novos - SC</t>
        </is>
      </c>
      <c r="C1859" t="n">
        <v>-27.4002</v>
      </c>
      <c r="D1859" t="n">
        <v>-51.2276</v>
      </c>
      <c r="E1859" t="inlineStr">
        <is>
          <t>2022-04</t>
        </is>
      </c>
      <c r="F1859" t="n">
        <v>658939.3555993468</v>
      </c>
    </row>
    <row r="1860">
      <c r="A1860" t="inlineStr">
        <is>
          <t>Soja</t>
        </is>
      </c>
      <c r="B1860" t="inlineStr">
        <is>
          <t>Campos Novos - SC</t>
        </is>
      </c>
      <c r="C1860" t="n">
        <v>-27.4002</v>
      </c>
      <c r="D1860" t="n">
        <v>-51.2276</v>
      </c>
      <c r="E1860" t="inlineStr">
        <is>
          <t>2022-05</t>
        </is>
      </c>
      <c r="F1860" t="n">
        <v>395363.613359608</v>
      </c>
    </row>
    <row r="1861">
      <c r="A1861" t="inlineStr">
        <is>
          <t>Soja</t>
        </is>
      </c>
      <c r="B1861" t="inlineStr">
        <is>
          <t>Campos Novos - SC</t>
        </is>
      </c>
      <c r="C1861" t="n">
        <v>-27.4002</v>
      </c>
      <c r="D1861" t="n">
        <v>-51.2276</v>
      </c>
      <c r="E1861" t="inlineStr">
        <is>
          <t>2022-06</t>
        </is>
      </c>
      <c r="F1861" t="n">
        <v>0</v>
      </c>
    </row>
    <row r="1862">
      <c r="A1862" t="inlineStr">
        <is>
          <t>Soja</t>
        </is>
      </c>
      <c r="B1862" t="inlineStr">
        <is>
          <t>Campos Novos - SC</t>
        </is>
      </c>
      <c r="C1862" t="n">
        <v>-27.4002</v>
      </c>
      <c r="D1862" t="n">
        <v>-51.2276</v>
      </c>
      <c r="E1862" t="inlineStr">
        <is>
          <t>2021-07</t>
        </is>
      </c>
      <c r="F1862" t="n">
        <v>0</v>
      </c>
    </row>
    <row r="1863">
      <c r="A1863" t="inlineStr">
        <is>
          <t>Soja</t>
        </is>
      </c>
      <c r="B1863" t="inlineStr">
        <is>
          <t>Campos Novos - SC</t>
        </is>
      </c>
      <c r="C1863" t="n">
        <v>-27.4002</v>
      </c>
      <c r="D1863" t="n">
        <v>-51.2276</v>
      </c>
      <c r="E1863" t="inlineStr">
        <is>
          <t>2021-08</t>
        </is>
      </c>
      <c r="F1863" t="n">
        <v>0</v>
      </c>
    </row>
    <row r="1864">
      <c r="A1864" t="inlineStr">
        <is>
          <t>Soja</t>
        </is>
      </c>
      <c r="B1864" t="inlineStr">
        <is>
          <t>Campos Novos - SC</t>
        </is>
      </c>
      <c r="C1864" t="n">
        <v>-27.4002</v>
      </c>
      <c r="D1864" t="n">
        <v>-51.2276</v>
      </c>
      <c r="E1864" t="inlineStr">
        <is>
          <t>2021-09</t>
        </is>
      </c>
      <c r="F1864" t="n">
        <v>0</v>
      </c>
    </row>
    <row r="1865">
      <c r="A1865" t="inlineStr">
        <is>
          <t>Soja</t>
        </is>
      </c>
      <c r="B1865" t="inlineStr">
        <is>
          <t>Campos Novos - SC</t>
        </is>
      </c>
      <c r="C1865" t="n">
        <v>-27.4002</v>
      </c>
      <c r="D1865" t="n">
        <v>-51.2276</v>
      </c>
      <c r="E1865" t="inlineStr">
        <is>
          <t>2021-10</t>
        </is>
      </c>
      <c r="F1865" t="n">
        <v>0</v>
      </c>
    </row>
    <row r="1866">
      <c r="A1866" t="inlineStr">
        <is>
          <t>Soja</t>
        </is>
      </c>
      <c r="B1866" t="inlineStr">
        <is>
          <t>Campos Novos - SC</t>
        </is>
      </c>
      <c r="C1866" t="n">
        <v>-27.4002</v>
      </c>
      <c r="D1866" t="n">
        <v>-51.2276</v>
      </c>
      <c r="E1866" t="inlineStr">
        <is>
          <t>2021-11</t>
        </is>
      </c>
      <c r="F1866" t="n">
        <v>0</v>
      </c>
    </row>
    <row r="1867">
      <c r="A1867" t="inlineStr">
        <is>
          <t>Soja</t>
        </is>
      </c>
      <c r="B1867" t="inlineStr">
        <is>
          <t>Campos Novos - SC</t>
        </is>
      </c>
      <c r="C1867" t="n">
        <v>-27.4002</v>
      </c>
      <c r="D1867" t="n">
        <v>-51.2276</v>
      </c>
      <c r="E1867" t="inlineStr">
        <is>
          <t>2021-12</t>
        </is>
      </c>
      <c r="F1867" t="n">
        <v>0</v>
      </c>
    </row>
    <row r="1868">
      <c r="A1868" t="inlineStr">
        <is>
          <t>Soja</t>
        </is>
      </c>
      <c r="B1868" t="inlineStr">
        <is>
          <t>Itapeva - SP</t>
        </is>
      </c>
      <c r="C1868" t="n">
        <v>-23.9788</v>
      </c>
      <c r="D1868" t="n">
        <v>-48.8764</v>
      </c>
      <c r="E1868" t="inlineStr">
        <is>
          <t>2022-01</t>
        </is>
      </c>
      <c r="F1868" t="n">
        <v>788138.8601627559</v>
      </c>
    </row>
    <row r="1869">
      <c r="A1869" t="inlineStr">
        <is>
          <t>Soja</t>
        </is>
      </c>
      <c r="B1869" t="inlineStr">
        <is>
          <t>Itapeva - SP</t>
        </is>
      </c>
      <c r="C1869" t="n">
        <v>-23.9788</v>
      </c>
      <c r="D1869" t="n">
        <v>-48.8764</v>
      </c>
      <c r="E1869" t="inlineStr">
        <is>
          <t>2022-02</t>
        </is>
      </c>
      <c r="F1869" t="n">
        <v>788138.8601627559</v>
      </c>
    </row>
    <row r="1870">
      <c r="A1870" t="inlineStr">
        <is>
          <t>Soja</t>
        </is>
      </c>
      <c r="B1870" t="inlineStr">
        <is>
          <t>Itapeva - SP</t>
        </is>
      </c>
      <c r="C1870" t="n">
        <v>-23.9788</v>
      </c>
      <c r="D1870" t="n">
        <v>-48.8764</v>
      </c>
      <c r="E1870" t="inlineStr">
        <is>
          <t>2022-03</t>
        </is>
      </c>
      <c r="F1870" t="n">
        <v>1838990.673713097</v>
      </c>
    </row>
    <row r="1871">
      <c r="A1871" t="inlineStr">
        <is>
          <t>Soja</t>
        </is>
      </c>
      <c r="B1871" t="inlineStr">
        <is>
          <t>Itapeva - SP</t>
        </is>
      </c>
      <c r="C1871" t="n">
        <v>-23.9788</v>
      </c>
      <c r="D1871" t="n">
        <v>-48.8764</v>
      </c>
      <c r="E1871" t="inlineStr">
        <is>
          <t>2022-04</t>
        </is>
      </c>
      <c r="F1871" t="n">
        <v>788138.8601627559</v>
      </c>
    </row>
    <row r="1872">
      <c r="A1872" t="inlineStr">
        <is>
          <t>Soja</t>
        </is>
      </c>
      <c r="B1872" t="inlineStr">
        <is>
          <t>Itapeva - SP</t>
        </is>
      </c>
      <c r="C1872" t="n">
        <v>-23.9788</v>
      </c>
      <c r="D1872" t="n">
        <v>-48.8764</v>
      </c>
      <c r="E1872" t="inlineStr">
        <is>
          <t>2022-05</t>
        </is>
      </c>
      <c r="F1872" t="n">
        <v>0</v>
      </c>
    </row>
    <row r="1873">
      <c r="A1873" t="inlineStr">
        <is>
          <t>Soja</t>
        </is>
      </c>
      <c r="B1873" t="inlineStr">
        <is>
          <t>Itapeva - SP</t>
        </is>
      </c>
      <c r="C1873" t="n">
        <v>-23.9788</v>
      </c>
      <c r="D1873" t="n">
        <v>-48.8764</v>
      </c>
      <c r="E1873" t="inlineStr">
        <is>
          <t>2022-06</t>
        </is>
      </c>
      <c r="F1873" t="n">
        <v>0</v>
      </c>
    </row>
    <row r="1874">
      <c r="A1874" t="inlineStr">
        <is>
          <t>Soja</t>
        </is>
      </c>
      <c r="B1874" t="inlineStr">
        <is>
          <t>Itapeva - SP</t>
        </is>
      </c>
      <c r="C1874" t="n">
        <v>-23.9788</v>
      </c>
      <c r="D1874" t="n">
        <v>-48.8764</v>
      </c>
      <c r="E1874" t="inlineStr">
        <is>
          <t>2021-07</t>
        </is>
      </c>
      <c r="F1874" t="n">
        <v>0</v>
      </c>
    </row>
    <row r="1875">
      <c r="A1875" t="inlineStr">
        <is>
          <t>Soja</t>
        </is>
      </c>
      <c r="B1875" t="inlineStr">
        <is>
          <t>Itapeva - SP</t>
        </is>
      </c>
      <c r="C1875" t="n">
        <v>-23.9788</v>
      </c>
      <c r="D1875" t="n">
        <v>-48.8764</v>
      </c>
      <c r="E1875" t="inlineStr">
        <is>
          <t>2021-08</t>
        </is>
      </c>
      <c r="F1875" t="n">
        <v>0</v>
      </c>
    </row>
    <row r="1876">
      <c r="A1876" t="inlineStr">
        <is>
          <t>Soja</t>
        </is>
      </c>
      <c r="B1876" t="inlineStr">
        <is>
          <t>Itapeva - SP</t>
        </is>
      </c>
      <c r="C1876" t="n">
        <v>-23.9788</v>
      </c>
      <c r="D1876" t="n">
        <v>-48.8764</v>
      </c>
      <c r="E1876" t="inlineStr">
        <is>
          <t>2021-09</t>
        </is>
      </c>
      <c r="F1876" t="n">
        <v>0</v>
      </c>
    </row>
    <row r="1877">
      <c r="A1877" t="inlineStr">
        <is>
          <t>Soja</t>
        </is>
      </c>
      <c r="B1877" t="inlineStr">
        <is>
          <t>Itapeva - SP</t>
        </is>
      </c>
      <c r="C1877" t="n">
        <v>-23.9788</v>
      </c>
      <c r="D1877" t="n">
        <v>-48.8764</v>
      </c>
      <c r="E1877" t="inlineStr">
        <is>
          <t>2021-10</t>
        </is>
      </c>
      <c r="F1877" t="n">
        <v>0</v>
      </c>
    </row>
    <row r="1878">
      <c r="A1878" t="inlineStr">
        <is>
          <t>Soja</t>
        </is>
      </c>
      <c r="B1878" t="inlineStr">
        <is>
          <t>Itapeva - SP</t>
        </is>
      </c>
      <c r="C1878" t="n">
        <v>-23.9788</v>
      </c>
      <c r="D1878" t="n">
        <v>-48.8764</v>
      </c>
      <c r="E1878" t="inlineStr">
        <is>
          <t>2021-11</t>
        </is>
      </c>
      <c r="F1878" t="n">
        <v>0</v>
      </c>
    </row>
    <row r="1879">
      <c r="A1879" t="inlineStr">
        <is>
          <t>Soja</t>
        </is>
      </c>
      <c r="B1879" t="inlineStr">
        <is>
          <t>Itapeva - SP</t>
        </is>
      </c>
      <c r="C1879" t="n">
        <v>-23.9788</v>
      </c>
      <c r="D1879" t="n">
        <v>-48.8764</v>
      </c>
      <c r="E1879" t="inlineStr">
        <is>
          <t>2021-12</t>
        </is>
      </c>
      <c r="F1879" t="n">
        <v>0</v>
      </c>
    </row>
    <row r="1880">
      <c r="A1880" t="inlineStr">
        <is>
          <t>Soja</t>
        </is>
      </c>
      <c r="B1880" t="inlineStr">
        <is>
          <t>Campos Lindos - TO</t>
        </is>
      </c>
      <c r="C1880" t="n">
        <v>-7.98956</v>
      </c>
      <c r="D1880" t="n">
        <v>-46.8645</v>
      </c>
      <c r="E1880" t="inlineStr">
        <is>
          <t>2022-01</t>
        </is>
      </c>
      <c r="F1880" t="n">
        <v>0</v>
      </c>
    </row>
    <row r="1881">
      <c r="A1881" t="inlineStr">
        <is>
          <t>Soja</t>
        </is>
      </c>
      <c r="B1881" t="inlineStr">
        <is>
          <t>Campos Lindos - TO</t>
        </is>
      </c>
      <c r="C1881" t="n">
        <v>-7.98956</v>
      </c>
      <c r="D1881" t="n">
        <v>-46.8645</v>
      </c>
      <c r="E1881" t="inlineStr">
        <is>
          <t>2022-02</t>
        </is>
      </c>
      <c r="F1881" t="n">
        <v>805244.5869706671</v>
      </c>
    </row>
    <row r="1882">
      <c r="A1882" t="inlineStr">
        <is>
          <t>Soja</t>
        </is>
      </c>
      <c r="B1882" t="inlineStr">
        <is>
          <t>Campos Lindos - TO</t>
        </is>
      </c>
      <c r="C1882" t="n">
        <v>-7.98956</v>
      </c>
      <c r="D1882" t="n">
        <v>-46.8645</v>
      </c>
      <c r="E1882" t="inlineStr">
        <is>
          <t>2022-03</t>
        </is>
      </c>
      <c r="F1882" t="n">
        <v>1342074.311617779</v>
      </c>
    </row>
    <row r="1883">
      <c r="A1883" t="inlineStr">
        <is>
          <t>Soja</t>
        </is>
      </c>
      <c r="B1883" t="inlineStr">
        <is>
          <t>Campos Lindos - TO</t>
        </is>
      </c>
      <c r="C1883" t="n">
        <v>-7.98956</v>
      </c>
      <c r="D1883" t="n">
        <v>-46.8645</v>
      </c>
      <c r="E1883" t="inlineStr">
        <is>
          <t>2022-04</t>
        </is>
      </c>
      <c r="F1883" t="n">
        <v>1342074.311617779</v>
      </c>
    </row>
    <row r="1884">
      <c r="A1884" t="inlineStr">
        <is>
          <t>Soja</t>
        </is>
      </c>
      <c r="B1884" t="inlineStr">
        <is>
          <t>Campos Lindos - TO</t>
        </is>
      </c>
      <c r="C1884" t="n">
        <v>-7.98956</v>
      </c>
      <c r="D1884" t="n">
        <v>-46.8645</v>
      </c>
      <c r="E1884" t="inlineStr">
        <is>
          <t>2022-05</t>
        </is>
      </c>
      <c r="F1884" t="n">
        <v>805244.5869706671</v>
      </c>
    </row>
    <row r="1885">
      <c r="A1885" t="inlineStr">
        <is>
          <t>Soja</t>
        </is>
      </c>
      <c r="B1885" t="inlineStr">
        <is>
          <t>Campos Lindos - TO</t>
        </is>
      </c>
      <c r="C1885" t="n">
        <v>-7.98956</v>
      </c>
      <c r="D1885" t="n">
        <v>-46.8645</v>
      </c>
      <c r="E1885" t="inlineStr">
        <is>
          <t>2022-06</t>
        </is>
      </c>
      <c r="F1885" t="n">
        <v>0</v>
      </c>
    </row>
    <row r="1886">
      <c r="A1886" t="inlineStr">
        <is>
          <t>Soja</t>
        </is>
      </c>
      <c r="B1886" t="inlineStr">
        <is>
          <t>Campos Lindos - TO</t>
        </is>
      </c>
      <c r="C1886" t="n">
        <v>-7.98956</v>
      </c>
      <c r="D1886" t="n">
        <v>-46.8645</v>
      </c>
      <c r="E1886" t="inlineStr">
        <is>
          <t>2021-07</t>
        </is>
      </c>
      <c r="F1886" t="n">
        <v>0</v>
      </c>
    </row>
    <row r="1887">
      <c r="A1887" t="inlineStr">
        <is>
          <t>Soja</t>
        </is>
      </c>
      <c r="B1887" t="inlineStr">
        <is>
          <t>Campos Lindos - TO</t>
        </is>
      </c>
      <c r="C1887" t="n">
        <v>-7.98956</v>
      </c>
      <c r="D1887" t="n">
        <v>-46.8645</v>
      </c>
      <c r="E1887" t="inlineStr">
        <is>
          <t>2021-08</t>
        </is>
      </c>
      <c r="F1887" t="n">
        <v>0</v>
      </c>
    </row>
    <row r="1888">
      <c r="A1888" t="inlineStr">
        <is>
          <t>Soja</t>
        </is>
      </c>
      <c r="B1888" t="inlineStr">
        <is>
          <t>Campos Lindos - TO</t>
        </is>
      </c>
      <c r="C1888" t="n">
        <v>-7.98956</v>
      </c>
      <c r="D1888" t="n">
        <v>-46.8645</v>
      </c>
      <c r="E1888" t="inlineStr">
        <is>
          <t>2021-09</t>
        </is>
      </c>
      <c r="F1888" t="n">
        <v>0</v>
      </c>
    </row>
    <row r="1889">
      <c r="A1889" t="inlineStr">
        <is>
          <t>Soja</t>
        </is>
      </c>
      <c r="B1889" t="inlineStr">
        <is>
          <t>Campos Lindos - TO</t>
        </is>
      </c>
      <c r="C1889" t="n">
        <v>-7.98956</v>
      </c>
      <c r="D1889" t="n">
        <v>-46.8645</v>
      </c>
      <c r="E1889" t="inlineStr">
        <is>
          <t>2021-10</t>
        </is>
      </c>
      <c r="F1889" t="n">
        <v>0</v>
      </c>
    </row>
    <row r="1890">
      <c r="A1890" t="inlineStr">
        <is>
          <t>Soja</t>
        </is>
      </c>
      <c r="B1890" t="inlineStr">
        <is>
          <t>Campos Lindos - TO</t>
        </is>
      </c>
      <c r="C1890" t="n">
        <v>-7.98956</v>
      </c>
      <c r="D1890" t="n">
        <v>-46.8645</v>
      </c>
      <c r="E1890" t="inlineStr">
        <is>
          <t>2021-11</t>
        </is>
      </c>
      <c r="F1890" t="n">
        <v>0</v>
      </c>
    </row>
    <row r="1891">
      <c r="A1891" t="inlineStr">
        <is>
          <t>Soja</t>
        </is>
      </c>
      <c r="B1891" t="inlineStr">
        <is>
          <t>Campos Lindos - TO</t>
        </is>
      </c>
      <c r="C1891" t="n">
        <v>-7.98956</v>
      </c>
      <c r="D1891" t="n">
        <v>-46.8645</v>
      </c>
      <c r="E1891" t="inlineStr">
        <is>
          <t>2021-12</t>
        </is>
      </c>
      <c r="F1891" t="n">
        <v>0</v>
      </c>
    </row>
    <row r="1892">
      <c r="A1892" t="inlineStr">
        <is>
          <t>Milho</t>
        </is>
      </c>
      <c r="B1892" t="inlineStr">
        <is>
          <t>Limoeiro de Anadia - AL</t>
        </is>
      </c>
      <c r="C1892" t="n">
        <v>-9.74098</v>
      </c>
      <c r="D1892" t="n">
        <v>-36.5121</v>
      </c>
      <c r="E1892" t="inlineStr">
        <is>
          <t>2023-01</t>
        </is>
      </c>
      <c r="F1892" t="n">
        <v>0</v>
      </c>
    </row>
    <row r="1893">
      <c r="A1893" t="inlineStr">
        <is>
          <t>Milho</t>
        </is>
      </c>
      <c r="B1893" t="inlineStr">
        <is>
          <t>Limoeiro de Anadia - AL</t>
        </is>
      </c>
      <c r="C1893" t="n">
        <v>-9.74098</v>
      </c>
      <c r="D1893" t="n">
        <v>-36.5121</v>
      </c>
      <c r="E1893" t="inlineStr">
        <is>
          <t>2023-02</t>
        </is>
      </c>
      <c r="F1893" t="n">
        <v>0</v>
      </c>
    </row>
    <row r="1894">
      <c r="A1894" t="inlineStr">
        <is>
          <t>Milho</t>
        </is>
      </c>
      <c r="B1894" t="inlineStr">
        <is>
          <t>Limoeiro de Anadia - AL</t>
        </is>
      </c>
      <c r="C1894" t="n">
        <v>-9.74098</v>
      </c>
      <c r="D1894" t="n">
        <v>-36.5121</v>
      </c>
      <c r="E1894" t="inlineStr">
        <is>
          <t>2023-03</t>
        </is>
      </c>
      <c r="F1894" t="n">
        <v>0</v>
      </c>
    </row>
    <row r="1895">
      <c r="A1895" t="inlineStr">
        <is>
          <t>Milho</t>
        </is>
      </c>
      <c r="B1895" t="inlineStr">
        <is>
          <t>Limoeiro de Anadia - AL</t>
        </is>
      </c>
      <c r="C1895" t="n">
        <v>-9.74098</v>
      </c>
      <c r="D1895" t="n">
        <v>-36.5121</v>
      </c>
      <c r="E1895" t="inlineStr">
        <is>
          <t>2023-04</t>
        </is>
      </c>
      <c r="F1895" t="n">
        <v>0</v>
      </c>
    </row>
    <row r="1896">
      <c r="A1896" t="inlineStr">
        <is>
          <t>Milho</t>
        </is>
      </c>
      <c r="B1896" t="inlineStr">
        <is>
          <t>Limoeiro de Anadia - AL</t>
        </is>
      </c>
      <c r="C1896" t="n">
        <v>-9.74098</v>
      </c>
      <c r="D1896" t="n">
        <v>-36.5121</v>
      </c>
      <c r="E1896" t="inlineStr">
        <is>
          <t>2023-05</t>
        </is>
      </c>
      <c r="F1896" t="n">
        <v>0</v>
      </c>
    </row>
    <row r="1897">
      <c r="A1897" t="inlineStr">
        <is>
          <t>Milho</t>
        </is>
      </c>
      <c r="B1897" t="inlineStr">
        <is>
          <t>Limoeiro de Anadia - AL</t>
        </is>
      </c>
      <c r="C1897" t="n">
        <v>-9.74098</v>
      </c>
      <c r="D1897" t="n">
        <v>-36.5121</v>
      </c>
      <c r="E1897" t="inlineStr">
        <is>
          <t>2023-06</t>
        </is>
      </c>
      <c r="F1897" t="n">
        <v>0</v>
      </c>
    </row>
    <row r="1898">
      <c r="A1898" t="inlineStr">
        <is>
          <t>Milho</t>
        </is>
      </c>
      <c r="B1898" t="inlineStr">
        <is>
          <t>Limoeiro de Anadia - AL</t>
        </is>
      </c>
      <c r="C1898" t="n">
        <v>-9.74098</v>
      </c>
      <c r="D1898" t="n">
        <v>-36.5121</v>
      </c>
      <c r="E1898" t="inlineStr">
        <is>
          <t>2022-07</t>
        </is>
      </c>
      <c r="F1898" t="n">
        <v>0</v>
      </c>
    </row>
    <row r="1899">
      <c r="A1899" t="inlineStr">
        <is>
          <t>Milho</t>
        </is>
      </c>
      <c r="B1899" t="inlineStr">
        <is>
          <t>Limoeiro de Anadia - AL</t>
        </is>
      </c>
      <c r="C1899" t="n">
        <v>-9.74098</v>
      </c>
      <c r="D1899" t="n">
        <v>-36.5121</v>
      </c>
      <c r="E1899" t="inlineStr">
        <is>
          <t>2022-08</t>
        </is>
      </c>
      <c r="F1899" t="n">
        <v>0</v>
      </c>
    </row>
    <row r="1900">
      <c r="A1900" t="inlineStr">
        <is>
          <t>Milho</t>
        </is>
      </c>
      <c r="B1900" t="inlineStr">
        <is>
          <t>Limoeiro de Anadia - AL</t>
        </is>
      </c>
      <c r="C1900" t="n">
        <v>-9.74098</v>
      </c>
      <c r="D1900" t="n">
        <v>-36.5121</v>
      </c>
      <c r="E1900" t="inlineStr">
        <is>
          <t>2022-09</t>
        </is>
      </c>
      <c r="F1900" t="n">
        <v>0</v>
      </c>
    </row>
    <row r="1901">
      <c r="A1901" t="inlineStr">
        <is>
          <t>Milho</t>
        </is>
      </c>
      <c r="B1901" t="inlineStr">
        <is>
          <t>Limoeiro de Anadia - AL</t>
        </is>
      </c>
      <c r="C1901" t="n">
        <v>-9.74098</v>
      </c>
      <c r="D1901" t="n">
        <v>-36.5121</v>
      </c>
      <c r="E1901" t="inlineStr">
        <is>
          <t>2022-10</t>
        </is>
      </c>
      <c r="F1901" t="n">
        <v>0</v>
      </c>
    </row>
    <row r="1902">
      <c r="A1902" t="inlineStr">
        <is>
          <t>Milho</t>
        </is>
      </c>
      <c r="B1902" t="inlineStr">
        <is>
          <t>Limoeiro de Anadia - AL</t>
        </is>
      </c>
      <c r="C1902" t="n">
        <v>-9.74098</v>
      </c>
      <c r="D1902" t="n">
        <v>-36.5121</v>
      </c>
      <c r="E1902" t="inlineStr">
        <is>
          <t>2022-11</t>
        </is>
      </c>
      <c r="F1902" t="n">
        <v>0</v>
      </c>
    </row>
    <row r="1903">
      <c r="A1903" t="inlineStr">
        <is>
          <t>Milho</t>
        </is>
      </c>
      <c r="B1903" t="inlineStr">
        <is>
          <t>Limoeiro de Anadia - AL</t>
        </is>
      </c>
      <c r="C1903" t="n">
        <v>-9.74098</v>
      </c>
      <c r="D1903" t="n">
        <v>-36.5121</v>
      </c>
      <c r="E1903" t="inlineStr">
        <is>
          <t>2022-12</t>
        </is>
      </c>
      <c r="F1903" t="n">
        <v>0</v>
      </c>
    </row>
    <row r="1904">
      <c r="A1904" t="inlineStr">
        <is>
          <t>Milho</t>
        </is>
      </c>
      <c r="B1904" t="inlineStr">
        <is>
          <t>Macapá - AP</t>
        </is>
      </c>
      <c r="C1904" t="n">
        <v>0.034934</v>
      </c>
      <c r="D1904" t="n">
        <v>-51.0694</v>
      </c>
      <c r="E1904" t="inlineStr">
        <is>
          <t>2023-01</t>
        </is>
      </c>
      <c r="F1904" t="n">
        <v>0</v>
      </c>
    </row>
    <row r="1905">
      <c r="A1905" t="inlineStr">
        <is>
          <t>Milho</t>
        </is>
      </c>
      <c r="B1905" t="inlineStr">
        <is>
          <t>Macapá - AP</t>
        </is>
      </c>
      <c r="C1905" t="n">
        <v>0.034934</v>
      </c>
      <c r="D1905" t="n">
        <v>-51.0694</v>
      </c>
      <c r="E1905" t="inlineStr">
        <is>
          <t>2023-02</t>
        </is>
      </c>
      <c r="F1905" t="n">
        <v>0</v>
      </c>
    </row>
    <row r="1906">
      <c r="A1906" t="inlineStr">
        <is>
          <t>Milho</t>
        </is>
      </c>
      <c r="B1906" t="inlineStr">
        <is>
          <t>Macapá - AP</t>
        </is>
      </c>
      <c r="C1906" t="n">
        <v>0.034934</v>
      </c>
      <c r="D1906" t="n">
        <v>-51.0694</v>
      </c>
      <c r="E1906" t="inlineStr">
        <is>
          <t>2023-03</t>
        </is>
      </c>
      <c r="F1906" t="n">
        <v>0</v>
      </c>
    </row>
    <row r="1907">
      <c r="A1907" t="inlineStr">
        <is>
          <t>Milho</t>
        </is>
      </c>
      <c r="B1907" t="inlineStr">
        <is>
          <t>Macapá - AP</t>
        </is>
      </c>
      <c r="C1907" t="n">
        <v>0.034934</v>
      </c>
      <c r="D1907" t="n">
        <v>-51.0694</v>
      </c>
      <c r="E1907" t="inlineStr">
        <is>
          <t>2023-04</t>
        </is>
      </c>
      <c r="F1907" t="n">
        <v>0</v>
      </c>
    </row>
    <row r="1908">
      <c r="A1908" t="inlineStr">
        <is>
          <t>Milho</t>
        </is>
      </c>
      <c r="B1908" t="inlineStr">
        <is>
          <t>Macapá - AP</t>
        </is>
      </c>
      <c r="C1908" t="n">
        <v>0.034934</v>
      </c>
      <c r="D1908" t="n">
        <v>-51.0694</v>
      </c>
      <c r="E1908" t="inlineStr">
        <is>
          <t>2023-05</t>
        </is>
      </c>
      <c r="F1908" t="n">
        <v>0</v>
      </c>
    </row>
    <row r="1909">
      <c r="A1909" t="inlineStr">
        <is>
          <t>Milho</t>
        </is>
      </c>
      <c r="B1909" t="inlineStr">
        <is>
          <t>Macapá - AP</t>
        </is>
      </c>
      <c r="C1909" t="n">
        <v>0.034934</v>
      </c>
      <c r="D1909" t="n">
        <v>-51.0694</v>
      </c>
      <c r="E1909" t="inlineStr">
        <is>
          <t>2023-06</t>
        </is>
      </c>
      <c r="F1909" t="n">
        <v>0</v>
      </c>
    </row>
    <row r="1910">
      <c r="A1910" t="inlineStr">
        <is>
          <t>Milho</t>
        </is>
      </c>
      <c r="B1910" t="inlineStr">
        <is>
          <t>Macapá - AP</t>
        </is>
      </c>
      <c r="C1910" t="n">
        <v>0.034934</v>
      </c>
      <c r="D1910" t="n">
        <v>-51.0694</v>
      </c>
      <c r="E1910" t="inlineStr">
        <is>
          <t>2022-07</t>
        </is>
      </c>
      <c r="F1910" t="n">
        <v>0</v>
      </c>
    </row>
    <row r="1911">
      <c r="A1911" t="inlineStr">
        <is>
          <t>Milho</t>
        </is>
      </c>
      <c r="B1911" t="inlineStr">
        <is>
          <t>Macapá - AP</t>
        </is>
      </c>
      <c r="C1911" t="n">
        <v>0.034934</v>
      </c>
      <c r="D1911" t="n">
        <v>-51.0694</v>
      </c>
      <c r="E1911" t="inlineStr">
        <is>
          <t>2022-08</t>
        </is>
      </c>
      <c r="F1911" t="n">
        <v>0</v>
      </c>
    </row>
    <row r="1912">
      <c r="A1912" t="inlineStr">
        <is>
          <t>Milho</t>
        </is>
      </c>
      <c r="B1912" t="inlineStr">
        <is>
          <t>Macapá - AP</t>
        </is>
      </c>
      <c r="C1912" t="n">
        <v>0.034934</v>
      </c>
      <c r="D1912" t="n">
        <v>-51.0694</v>
      </c>
      <c r="E1912" t="inlineStr">
        <is>
          <t>2022-09</t>
        </is>
      </c>
      <c r="F1912" t="n">
        <v>0</v>
      </c>
    </row>
    <row r="1913">
      <c r="A1913" t="inlineStr">
        <is>
          <t>Milho</t>
        </is>
      </c>
      <c r="B1913" t="inlineStr">
        <is>
          <t>Macapá - AP</t>
        </is>
      </c>
      <c r="C1913" t="n">
        <v>0.034934</v>
      </c>
      <c r="D1913" t="n">
        <v>-51.0694</v>
      </c>
      <c r="E1913" t="inlineStr">
        <is>
          <t>2022-10</t>
        </is>
      </c>
      <c r="F1913" t="n">
        <v>0</v>
      </c>
    </row>
    <row r="1914">
      <c r="A1914" t="inlineStr">
        <is>
          <t>Milho</t>
        </is>
      </c>
      <c r="B1914" t="inlineStr">
        <is>
          <t>Macapá - AP</t>
        </is>
      </c>
      <c r="C1914" t="n">
        <v>0.034934</v>
      </c>
      <c r="D1914" t="n">
        <v>-51.0694</v>
      </c>
      <c r="E1914" t="inlineStr">
        <is>
          <t>2022-11</t>
        </is>
      </c>
      <c r="F1914" t="n">
        <v>0</v>
      </c>
    </row>
    <row r="1915">
      <c r="A1915" t="inlineStr">
        <is>
          <t>Milho</t>
        </is>
      </c>
      <c r="B1915" t="inlineStr">
        <is>
          <t>Macapá - AP</t>
        </is>
      </c>
      <c r="C1915" t="n">
        <v>0.034934</v>
      </c>
      <c r="D1915" t="n">
        <v>-51.0694</v>
      </c>
      <c r="E1915" t="inlineStr">
        <is>
          <t>2022-12</t>
        </is>
      </c>
      <c r="F1915" t="n">
        <v>0</v>
      </c>
    </row>
    <row r="1916">
      <c r="A1916" t="inlineStr">
        <is>
          <t>Milho</t>
        </is>
      </c>
      <c r="B1916" t="inlineStr">
        <is>
          <t>Crateús - CE</t>
        </is>
      </c>
      <c r="C1916" t="n">
        <v>-5.16768</v>
      </c>
      <c r="D1916" t="n">
        <v>-40.6536</v>
      </c>
      <c r="E1916" t="inlineStr">
        <is>
          <t>2023-01</t>
        </is>
      </c>
      <c r="F1916" t="n">
        <v>0</v>
      </c>
    </row>
    <row r="1917">
      <c r="A1917" t="inlineStr">
        <is>
          <t>Milho</t>
        </is>
      </c>
      <c r="B1917" t="inlineStr">
        <is>
          <t>Crateús - CE</t>
        </is>
      </c>
      <c r="C1917" t="n">
        <v>-5.16768</v>
      </c>
      <c r="D1917" t="n">
        <v>-40.6536</v>
      </c>
      <c r="E1917" t="inlineStr">
        <is>
          <t>2023-02</t>
        </is>
      </c>
      <c r="F1917" t="n">
        <v>0</v>
      </c>
    </row>
    <row r="1918">
      <c r="A1918" t="inlineStr">
        <is>
          <t>Milho</t>
        </is>
      </c>
      <c r="B1918" t="inlineStr">
        <is>
          <t>Crateús - CE</t>
        </is>
      </c>
      <c r="C1918" t="n">
        <v>-5.16768</v>
      </c>
      <c r="D1918" t="n">
        <v>-40.6536</v>
      </c>
      <c r="E1918" t="inlineStr">
        <is>
          <t>2023-03</t>
        </is>
      </c>
      <c r="F1918" t="n">
        <v>0</v>
      </c>
    </row>
    <row r="1919">
      <c r="A1919" t="inlineStr">
        <is>
          <t>Milho</t>
        </is>
      </c>
      <c r="B1919" t="inlineStr">
        <is>
          <t>Crateús - CE</t>
        </is>
      </c>
      <c r="C1919" t="n">
        <v>-5.16768</v>
      </c>
      <c r="D1919" t="n">
        <v>-40.6536</v>
      </c>
      <c r="E1919" t="inlineStr">
        <is>
          <t>2023-04</t>
        </is>
      </c>
      <c r="F1919" t="n">
        <v>0</v>
      </c>
    </row>
    <row r="1920">
      <c r="A1920" t="inlineStr">
        <is>
          <t>Milho</t>
        </is>
      </c>
      <c r="B1920" t="inlineStr">
        <is>
          <t>Crateús - CE</t>
        </is>
      </c>
      <c r="C1920" t="n">
        <v>-5.16768</v>
      </c>
      <c r="D1920" t="n">
        <v>-40.6536</v>
      </c>
      <c r="E1920" t="inlineStr">
        <is>
          <t>2023-05</t>
        </is>
      </c>
      <c r="F1920" t="n">
        <v>0</v>
      </c>
    </row>
    <row r="1921">
      <c r="A1921" t="inlineStr">
        <is>
          <t>Milho</t>
        </is>
      </c>
      <c r="B1921" t="inlineStr">
        <is>
          <t>Crateús - CE</t>
        </is>
      </c>
      <c r="C1921" t="n">
        <v>-5.16768</v>
      </c>
      <c r="D1921" t="n">
        <v>-40.6536</v>
      </c>
      <c r="E1921" t="inlineStr">
        <is>
          <t>2023-06</t>
        </is>
      </c>
      <c r="F1921" t="n">
        <v>0</v>
      </c>
    </row>
    <row r="1922">
      <c r="A1922" t="inlineStr">
        <is>
          <t>Milho</t>
        </is>
      </c>
      <c r="B1922" t="inlineStr">
        <is>
          <t>Crateús - CE</t>
        </is>
      </c>
      <c r="C1922" t="n">
        <v>-5.16768</v>
      </c>
      <c r="D1922" t="n">
        <v>-40.6536</v>
      </c>
      <c r="E1922" t="inlineStr">
        <is>
          <t>2022-07</t>
        </is>
      </c>
      <c r="F1922" t="n">
        <v>0</v>
      </c>
    </row>
    <row r="1923">
      <c r="A1923" t="inlineStr">
        <is>
          <t>Milho</t>
        </is>
      </c>
      <c r="B1923" t="inlineStr">
        <is>
          <t>Crateús - CE</t>
        </is>
      </c>
      <c r="C1923" t="n">
        <v>-5.16768</v>
      </c>
      <c r="D1923" t="n">
        <v>-40.6536</v>
      </c>
      <c r="E1923" t="inlineStr">
        <is>
          <t>2022-08</t>
        </is>
      </c>
      <c r="F1923" t="n">
        <v>0</v>
      </c>
    </row>
    <row r="1924">
      <c r="A1924" t="inlineStr">
        <is>
          <t>Milho</t>
        </is>
      </c>
      <c r="B1924" t="inlineStr">
        <is>
          <t>Crateús - CE</t>
        </is>
      </c>
      <c r="C1924" t="n">
        <v>-5.16768</v>
      </c>
      <c r="D1924" t="n">
        <v>-40.6536</v>
      </c>
      <c r="E1924" t="inlineStr">
        <is>
          <t>2022-09</t>
        </is>
      </c>
      <c r="F1924" t="n">
        <v>0</v>
      </c>
    </row>
    <row r="1925">
      <c r="A1925" t="inlineStr">
        <is>
          <t>Milho</t>
        </is>
      </c>
      <c r="B1925" t="inlineStr">
        <is>
          <t>Crateús - CE</t>
        </is>
      </c>
      <c r="C1925" t="n">
        <v>-5.16768</v>
      </c>
      <c r="D1925" t="n">
        <v>-40.6536</v>
      </c>
      <c r="E1925" t="inlineStr">
        <is>
          <t>2022-10</t>
        </is>
      </c>
      <c r="F1925" t="n">
        <v>0</v>
      </c>
    </row>
    <row r="1926">
      <c r="A1926" t="inlineStr">
        <is>
          <t>Milho</t>
        </is>
      </c>
      <c r="B1926" t="inlineStr">
        <is>
          <t>Crateús - CE</t>
        </is>
      </c>
      <c r="C1926" t="n">
        <v>-5.16768</v>
      </c>
      <c r="D1926" t="n">
        <v>-40.6536</v>
      </c>
      <c r="E1926" t="inlineStr">
        <is>
          <t>2022-11</t>
        </is>
      </c>
      <c r="F1926" t="n">
        <v>0</v>
      </c>
    </row>
    <row r="1927">
      <c r="A1927" t="inlineStr">
        <is>
          <t>Milho</t>
        </is>
      </c>
      <c r="B1927" t="inlineStr">
        <is>
          <t>Crateús - CE</t>
        </is>
      </c>
      <c r="C1927" t="n">
        <v>-5.16768</v>
      </c>
      <c r="D1927" t="n">
        <v>-40.6536</v>
      </c>
      <c r="E1927" t="inlineStr">
        <is>
          <t>2022-12</t>
        </is>
      </c>
      <c r="F1927" t="n">
        <v>0</v>
      </c>
    </row>
    <row r="1928">
      <c r="A1928" t="inlineStr">
        <is>
          <t>Milho</t>
        </is>
      </c>
      <c r="B1928" t="inlineStr">
        <is>
          <t>Sousa - PB</t>
        </is>
      </c>
      <c r="C1928" t="n">
        <v>-6.75148</v>
      </c>
      <c r="D1928" t="n">
        <v>-38.2311</v>
      </c>
      <c r="E1928" t="inlineStr">
        <is>
          <t>2023-01</t>
        </is>
      </c>
      <c r="F1928" t="n">
        <v>0</v>
      </c>
    </row>
    <row r="1929">
      <c r="A1929" t="inlineStr">
        <is>
          <t>Milho</t>
        </is>
      </c>
      <c r="B1929" t="inlineStr">
        <is>
          <t>Sousa - PB</t>
        </is>
      </c>
      <c r="C1929" t="n">
        <v>-6.75148</v>
      </c>
      <c r="D1929" t="n">
        <v>-38.2311</v>
      </c>
      <c r="E1929" t="inlineStr">
        <is>
          <t>2023-02</t>
        </is>
      </c>
      <c r="F1929" t="n">
        <v>0</v>
      </c>
    </row>
    <row r="1930">
      <c r="A1930" t="inlineStr">
        <is>
          <t>Milho</t>
        </is>
      </c>
      <c r="B1930" t="inlineStr">
        <is>
          <t>Sousa - PB</t>
        </is>
      </c>
      <c r="C1930" t="n">
        <v>-6.75148</v>
      </c>
      <c r="D1930" t="n">
        <v>-38.2311</v>
      </c>
      <c r="E1930" t="inlineStr">
        <is>
          <t>2023-03</t>
        </is>
      </c>
      <c r="F1930" t="n">
        <v>0</v>
      </c>
    </row>
    <row r="1931">
      <c r="A1931" t="inlineStr">
        <is>
          <t>Milho</t>
        </is>
      </c>
      <c r="B1931" t="inlineStr">
        <is>
          <t>Sousa - PB</t>
        </is>
      </c>
      <c r="C1931" t="n">
        <v>-6.75148</v>
      </c>
      <c r="D1931" t="n">
        <v>-38.2311</v>
      </c>
      <c r="E1931" t="inlineStr">
        <is>
          <t>2023-04</t>
        </is>
      </c>
      <c r="F1931" t="n">
        <v>0</v>
      </c>
    </row>
    <row r="1932">
      <c r="A1932" t="inlineStr">
        <is>
          <t>Milho</t>
        </is>
      </c>
      <c r="B1932" t="inlineStr">
        <is>
          <t>Sousa - PB</t>
        </is>
      </c>
      <c r="C1932" t="n">
        <v>-6.75148</v>
      </c>
      <c r="D1932" t="n">
        <v>-38.2311</v>
      </c>
      <c r="E1932" t="inlineStr">
        <is>
          <t>2023-05</t>
        </is>
      </c>
      <c r="F1932" t="n">
        <v>0</v>
      </c>
    </row>
    <row r="1933">
      <c r="A1933" t="inlineStr">
        <is>
          <t>Milho</t>
        </is>
      </c>
      <c r="B1933" t="inlineStr">
        <is>
          <t>Sousa - PB</t>
        </is>
      </c>
      <c r="C1933" t="n">
        <v>-6.75148</v>
      </c>
      <c r="D1933" t="n">
        <v>-38.2311</v>
      </c>
      <c r="E1933" t="inlineStr">
        <is>
          <t>2023-06</t>
        </is>
      </c>
      <c r="F1933" t="n">
        <v>0</v>
      </c>
    </row>
    <row r="1934">
      <c r="A1934" t="inlineStr">
        <is>
          <t>Milho</t>
        </is>
      </c>
      <c r="B1934" t="inlineStr">
        <is>
          <t>Sousa - PB</t>
        </is>
      </c>
      <c r="C1934" t="n">
        <v>-6.75148</v>
      </c>
      <c r="D1934" t="n">
        <v>-38.2311</v>
      </c>
      <c r="E1934" t="inlineStr">
        <is>
          <t>2022-07</t>
        </is>
      </c>
      <c r="F1934" t="n">
        <v>0</v>
      </c>
    </row>
    <row r="1935">
      <c r="A1935" t="inlineStr">
        <is>
          <t>Milho</t>
        </is>
      </c>
      <c r="B1935" t="inlineStr">
        <is>
          <t>Sousa - PB</t>
        </is>
      </c>
      <c r="C1935" t="n">
        <v>-6.75148</v>
      </c>
      <c r="D1935" t="n">
        <v>-38.2311</v>
      </c>
      <c r="E1935" t="inlineStr">
        <is>
          <t>2022-08</t>
        </is>
      </c>
      <c r="F1935" t="n">
        <v>0</v>
      </c>
    </row>
    <row r="1936">
      <c r="A1936" t="inlineStr">
        <is>
          <t>Milho</t>
        </is>
      </c>
      <c r="B1936" t="inlineStr">
        <is>
          <t>Sousa - PB</t>
        </is>
      </c>
      <c r="C1936" t="n">
        <v>-6.75148</v>
      </c>
      <c r="D1936" t="n">
        <v>-38.2311</v>
      </c>
      <c r="E1936" t="inlineStr">
        <is>
          <t>2022-09</t>
        </is>
      </c>
      <c r="F1936" t="n">
        <v>0</v>
      </c>
    </row>
    <row r="1937">
      <c r="A1937" t="inlineStr">
        <is>
          <t>Milho</t>
        </is>
      </c>
      <c r="B1937" t="inlineStr">
        <is>
          <t>Sousa - PB</t>
        </is>
      </c>
      <c r="C1937" t="n">
        <v>-6.75148</v>
      </c>
      <c r="D1937" t="n">
        <v>-38.2311</v>
      </c>
      <c r="E1937" t="inlineStr">
        <is>
          <t>2022-10</t>
        </is>
      </c>
      <c r="F1937" t="n">
        <v>0</v>
      </c>
    </row>
    <row r="1938">
      <c r="A1938" t="inlineStr">
        <is>
          <t>Milho</t>
        </is>
      </c>
      <c r="B1938" t="inlineStr">
        <is>
          <t>Sousa - PB</t>
        </is>
      </c>
      <c r="C1938" t="n">
        <v>-6.75148</v>
      </c>
      <c r="D1938" t="n">
        <v>-38.2311</v>
      </c>
      <c r="E1938" t="inlineStr">
        <is>
          <t>2022-11</t>
        </is>
      </c>
      <c r="F1938" t="n">
        <v>0</v>
      </c>
    </row>
    <row r="1939">
      <c r="A1939" t="inlineStr">
        <is>
          <t>Milho</t>
        </is>
      </c>
      <c r="B1939" t="inlineStr">
        <is>
          <t>Sousa - PB</t>
        </is>
      </c>
      <c r="C1939" t="n">
        <v>-6.75148</v>
      </c>
      <c r="D1939" t="n">
        <v>-38.2311</v>
      </c>
      <c r="E1939" t="inlineStr">
        <is>
          <t>2022-12</t>
        </is>
      </c>
      <c r="F1939" t="n">
        <v>0</v>
      </c>
    </row>
    <row r="1940">
      <c r="A1940" t="inlineStr">
        <is>
          <t>Milho</t>
        </is>
      </c>
      <c r="B1940" t="inlineStr">
        <is>
          <t>Apodi - RN</t>
        </is>
      </c>
      <c r="C1940" t="n">
        <v>-5.65349</v>
      </c>
      <c r="D1940" t="n">
        <v>-37.7946</v>
      </c>
      <c r="E1940" t="inlineStr">
        <is>
          <t>2023-01</t>
        </is>
      </c>
      <c r="F1940" t="n">
        <v>0</v>
      </c>
    </row>
    <row r="1941">
      <c r="A1941" t="inlineStr">
        <is>
          <t>Milho</t>
        </is>
      </c>
      <c r="B1941" t="inlineStr">
        <is>
          <t>Apodi - RN</t>
        </is>
      </c>
      <c r="C1941" t="n">
        <v>-5.65349</v>
      </c>
      <c r="D1941" t="n">
        <v>-37.7946</v>
      </c>
      <c r="E1941" t="inlineStr">
        <is>
          <t>2023-02</t>
        </is>
      </c>
      <c r="F1941" t="n">
        <v>0</v>
      </c>
    </row>
    <row r="1942">
      <c r="A1942" t="inlineStr">
        <is>
          <t>Milho</t>
        </is>
      </c>
      <c r="B1942" t="inlineStr">
        <is>
          <t>Apodi - RN</t>
        </is>
      </c>
      <c r="C1942" t="n">
        <v>-5.65349</v>
      </c>
      <c r="D1942" t="n">
        <v>-37.7946</v>
      </c>
      <c r="E1942" t="inlineStr">
        <is>
          <t>2023-03</t>
        </is>
      </c>
      <c r="F1942" t="n">
        <v>0</v>
      </c>
    </row>
    <row r="1943">
      <c r="A1943" t="inlineStr">
        <is>
          <t>Milho</t>
        </is>
      </c>
      <c r="B1943" t="inlineStr">
        <is>
          <t>Apodi - RN</t>
        </is>
      </c>
      <c r="C1943" t="n">
        <v>-5.65349</v>
      </c>
      <c r="D1943" t="n">
        <v>-37.7946</v>
      </c>
      <c r="E1943" t="inlineStr">
        <is>
          <t>2023-04</t>
        </is>
      </c>
      <c r="F1943" t="n">
        <v>0</v>
      </c>
    </row>
    <row r="1944">
      <c r="A1944" t="inlineStr">
        <is>
          <t>Milho</t>
        </is>
      </c>
      <c r="B1944" t="inlineStr">
        <is>
          <t>Apodi - RN</t>
        </is>
      </c>
      <c r="C1944" t="n">
        <v>-5.65349</v>
      </c>
      <c r="D1944" t="n">
        <v>-37.7946</v>
      </c>
      <c r="E1944" t="inlineStr">
        <is>
          <t>2023-05</t>
        </is>
      </c>
      <c r="F1944" t="n">
        <v>0</v>
      </c>
    </row>
    <row r="1945">
      <c r="A1945" t="inlineStr">
        <is>
          <t>Milho</t>
        </is>
      </c>
      <c r="B1945" t="inlineStr">
        <is>
          <t>Apodi - RN</t>
        </is>
      </c>
      <c r="C1945" t="n">
        <v>-5.65349</v>
      </c>
      <c r="D1945" t="n">
        <v>-37.7946</v>
      </c>
      <c r="E1945" t="inlineStr">
        <is>
          <t>2023-06</t>
        </is>
      </c>
      <c r="F1945" t="n">
        <v>0</v>
      </c>
    </row>
    <row r="1946">
      <c r="A1946" t="inlineStr">
        <is>
          <t>Milho</t>
        </is>
      </c>
      <c r="B1946" t="inlineStr">
        <is>
          <t>Apodi - RN</t>
        </is>
      </c>
      <c r="C1946" t="n">
        <v>-5.65349</v>
      </c>
      <c r="D1946" t="n">
        <v>-37.7946</v>
      </c>
      <c r="E1946" t="inlineStr">
        <is>
          <t>2022-07</t>
        </is>
      </c>
      <c r="F1946" t="n">
        <v>0</v>
      </c>
    </row>
    <row r="1947">
      <c r="A1947" t="inlineStr">
        <is>
          <t>Milho</t>
        </is>
      </c>
      <c r="B1947" t="inlineStr">
        <is>
          <t>Apodi - RN</t>
        </is>
      </c>
      <c r="C1947" t="n">
        <v>-5.65349</v>
      </c>
      <c r="D1947" t="n">
        <v>-37.7946</v>
      </c>
      <c r="E1947" t="inlineStr">
        <is>
          <t>2022-08</t>
        </is>
      </c>
      <c r="F1947" t="n">
        <v>0</v>
      </c>
    </row>
    <row r="1948">
      <c r="A1948" t="inlineStr">
        <is>
          <t>Milho</t>
        </is>
      </c>
      <c r="B1948" t="inlineStr">
        <is>
          <t>Apodi - RN</t>
        </is>
      </c>
      <c r="C1948" t="n">
        <v>-5.65349</v>
      </c>
      <c r="D1948" t="n">
        <v>-37.7946</v>
      </c>
      <c r="E1948" t="inlineStr">
        <is>
          <t>2022-09</t>
        </is>
      </c>
      <c r="F1948" t="n">
        <v>0</v>
      </c>
    </row>
    <row r="1949">
      <c r="A1949" t="inlineStr">
        <is>
          <t>Milho</t>
        </is>
      </c>
      <c r="B1949" t="inlineStr">
        <is>
          <t>Apodi - RN</t>
        </is>
      </c>
      <c r="C1949" t="n">
        <v>-5.65349</v>
      </c>
      <c r="D1949" t="n">
        <v>-37.7946</v>
      </c>
      <c r="E1949" t="inlineStr">
        <is>
          <t>2022-10</t>
        </is>
      </c>
      <c r="F1949" t="n">
        <v>0</v>
      </c>
    </row>
    <row r="1950">
      <c r="A1950" t="inlineStr">
        <is>
          <t>Milho</t>
        </is>
      </c>
      <c r="B1950" t="inlineStr">
        <is>
          <t>Apodi - RN</t>
        </is>
      </c>
      <c r="C1950" t="n">
        <v>-5.65349</v>
      </c>
      <c r="D1950" t="n">
        <v>-37.7946</v>
      </c>
      <c r="E1950" t="inlineStr">
        <is>
          <t>2022-11</t>
        </is>
      </c>
      <c r="F1950" t="n">
        <v>0</v>
      </c>
    </row>
    <row r="1951">
      <c r="A1951" t="inlineStr">
        <is>
          <t>Milho</t>
        </is>
      </c>
      <c r="B1951" t="inlineStr">
        <is>
          <t>Apodi - RN</t>
        </is>
      </c>
      <c r="C1951" t="n">
        <v>-5.65349</v>
      </c>
      <c r="D1951" t="n">
        <v>-37.7946</v>
      </c>
      <c r="E1951" t="inlineStr">
        <is>
          <t>2022-12</t>
        </is>
      </c>
      <c r="F1951" t="n">
        <v>0</v>
      </c>
    </row>
    <row r="1952">
      <c r="A1952" t="inlineStr">
        <is>
          <t>Milho</t>
        </is>
      </c>
      <c r="B1952" t="inlineStr">
        <is>
          <t>Bonfim - RR</t>
        </is>
      </c>
      <c r="C1952" t="n">
        <v>3.36161</v>
      </c>
      <c r="D1952" t="n">
        <v>-59.8333</v>
      </c>
      <c r="E1952" t="inlineStr">
        <is>
          <t>2023-01</t>
        </is>
      </c>
      <c r="F1952" t="n">
        <v>0</v>
      </c>
    </row>
    <row r="1953">
      <c r="A1953" t="inlineStr">
        <is>
          <t>Milho</t>
        </is>
      </c>
      <c r="B1953" t="inlineStr">
        <is>
          <t>Bonfim - RR</t>
        </is>
      </c>
      <c r="C1953" t="n">
        <v>3.36161</v>
      </c>
      <c r="D1953" t="n">
        <v>-59.8333</v>
      </c>
      <c r="E1953" t="inlineStr">
        <is>
          <t>2023-02</t>
        </is>
      </c>
      <c r="F1953" t="n">
        <v>0</v>
      </c>
    </row>
    <row r="1954">
      <c r="A1954" t="inlineStr">
        <is>
          <t>Milho</t>
        </is>
      </c>
      <c r="B1954" t="inlineStr">
        <is>
          <t>Bonfim - RR</t>
        </is>
      </c>
      <c r="C1954" t="n">
        <v>3.36161</v>
      </c>
      <c r="D1954" t="n">
        <v>-59.8333</v>
      </c>
      <c r="E1954" t="inlineStr">
        <is>
          <t>2023-03</t>
        </is>
      </c>
      <c r="F1954" t="n">
        <v>0</v>
      </c>
    </row>
    <row r="1955">
      <c r="A1955" t="inlineStr">
        <is>
          <t>Milho</t>
        </is>
      </c>
      <c r="B1955" t="inlineStr">
        <is>
          <t>Bonfim - RR</t>
        </is>
      </c>
      <c r="C1955" t="n">
        <v>3.36161</v>
      </c>
      <c r="D1955" t="n">
        <v>-59.8333</v>
      </c>
      <c r="E1955" t="inlineStr">
        <is>
          <t>2023-04</t>
        </is>
      </c>
      <c r="F1955" t="n">
        <v>0</v>
      </c>
    </row>
    <row r="1956">
      <c r="A1956" t="inlineStr">
        <is>
          <t>Milho</t>
        </is>
      </c>
      <c r="B1956" t="inlineStr">
        <is>
          <t>Bonfim - RR</t>
        </is>
      </c>
      <c r="C1956" t="n">
        <v>3.36161</v>
      </c>
      <c r="D1956" t="n">
        <v>-59.8333</v>
      </c>
      <c r="E1956" t="inlineStr">
        <is>
          <t>2023-05</t>
        </is>
      </c>
      <c r="F1956" t="n">
        <v>0</v>
      </c>
    </row>
    <row r="1957">
      <c r="A1957" t="inlineStr">
        <is>
          <t>Milho</t>
        </is>
      </c>
      <c r="B1957" t="inlineStr">
        <is>
          <t>Bonfim - RR</t>
        </is>
      </c>
      <c r="C1957" t="n">
        <v>3.36161</v>
      </c>
      <c r="D1957" t="n">
        <v>-59.8333</v>
      </c>
      <c r="E1957" t="inlineStr">
        <is>
          <t>2023-06</t>
        </is>
      </c>
      <c r="F1957" t="n">
        <v>0</v>
      </c>
    </row>
    <row r="1958">
      <c r="A1958" t="inlineStr">
        <is>
          <t>Milho</t>
        </is>
      </c>
      <c r="B1958" t="inlineStr">
        <is>
          <t>Bonfim - RR</t>
        </is>
      </c>
      <c r="C1958" t="n">
        <v>3.36161</v>
      </c>
      <c r="D1958" t="n">
        <v>-59.8333</v>
      </c>
      <c r="E1958" t="inlineStr">
        <is>
          <t>2022-07</t>
        </is>
      </c>
      <c r="F1958" t="n">
        <v>0</v>
      </c>
    </row>
    <row r="1959">
      <c r="A1959" t="inlineStr">
        <is>
          <t>Milho</t>
        </is>
      </c>
      <c r="B1959" t="inlineStr">
        <is>
          <t>Bonfim - RR</t>
        </is>
      </c>
      <c r="C1959" t="n">
        <v>3.36161</v>
      </c>
      <c r="D1959" t="n">
        <v>-59.8333</v>
      </c>
      <c r="E1959" t="inlineStr">
        <is>
          <t>2022-08</t>
        </is>
      </c>
      <c r="F1959" t="n">
        <v>0</v>
      </c>
    </row>
    <row r="1960">
      <c r="A1960" t="inlineStr">
        <is>
          <t>Milho</t>
        </is>
      </c>
      <c r="B1960" t="inlineStr">
        <is>
          <t>Bonfim - RR</t>
        </is>
      </c>
      <c r="C1960" t="n">
        <v>3.36161</v>
      </c>
      <c r="D1960" t="n">
        <v>-59.8333</v>
      </c>
      <c r="E1960" t="inlineStr">
        <is>
          <t>2022-09</t>
        </is>
      </c>
      <c r="F1960" t="n">
        <v>0</v>
      </c>
    </row>
    <row r="1961">
      <c r="A1961" t="inlineStr">
        <is>
          <t>Milho</t>
        </is>
      </c>
      <c r="B1961" t="inlineStr">
        <is>
          <t>Bonfim - RR</t>
        </is>
      </c>
      <c r="C1961" t="n">
        <v>3.36161</v>
      </c>
      <c r="D1961" t="n">
        <v>-59.8333</v>
      </c>
      <c r="E1961" t="inlineStr">
        <is>
          <t>2022-10</t>
        </is>
      </c>
      <c r="F1961" t="n">
        <v>0</v>
      </c>
    </row>
    <row r="1962">
      <c r="A1962" t="inlineStr">
        <is>
          <t>Milho</t>
        </is>
      </c>
      <c r="B1962" t="inlineStr">
        <is>
          <t>Bonfim - RR</t>
        </is>
      </c>
      <c r="C1962" t="n">
        <v>3.36161</v>
      </c>
      <c r="D1962" t="n">
        <v>-59.8333</v>
      </c>
      <c r="E1962" t="inlineStr">
        <is>
          <t>2022-11</t>
        </is>
      </c>
      <c r="F1962" t="n">
        <v>0</v>
      </c>
    </row>
    <row r="1963">
      <c r="A1963" t="inlineStr">
        <is>
          <t>Milho</t>
        </is>
      </c>
      <c r="B1963" t="inlineStr">
        <is>
          <t>Bonfim - RR</t>
        </is>
      </c>
      <c r="C1963" t="n">
        <v>3.36161</v>
      </c>
      <c r="D1963" t="n">
        <v>-59.8333</v>
      </c>
      <c r="E1963" t="inlineStr">
        <is>
          <t>2022-12</t>
        </is>
      </c>
      <c r="F1963" t="n">
        <v>0</v>
      </c>
    </row>
    <row r="1964">
      <c r="A1964" t="inlineStr">
        <is>
          <t>Milho</t>
        </is>
      </c>
      <c r="B1964" t="inlineStr">
        <is>
          <t>Carira - SE</t>
        </is>
      </c>
      <c r="C1964" t="n">
        <v>-10.3524</v>
      </c>
      <c r="D1964" t="n">
        <v>-37.7002</v>
      </c>
      <c r="E1964" t="inlineStr">
        <is>
          <t>2023-01</t>
        </is>
      </c>
      <c r="F1964" t="n">
        <v>0</v>
      </c>
    </row>
    <row r="1965">
      <c r="A1965" t="inlineStr">
        <is>
          <t>Milho</t>
        </is>
      </c>
      <c r="B1965" t="inlineStr">
        <is>
          <t>Carira - SE</t>
        </is>
      </c>
      <c r="C1965" t="n">
        <v>-10.3524</v>
      </c>
      <c r="D1965" t="n">
        <v>-37.7002</v>
      </c>
      <c r="E1965" t="inlineStr">
        <is>
          <t>2023-02</t>
        </is>
      </c>
      <c r="F1965" t="n">
        <v>0</v>
      </c>
    </row>
    <row r="1966">
      <c r="A1966" t="inlineStr">
        <is>
          <t>Milho</t>
        </is>
      </c>
      <c r="B1966" t="inlineStr">
        <is>
          <t>Carira - SE</t>
        </is>
      </c>
      <c r="C1966" t="n">
        <v>-10.3524</v>
      </c>
      <c r="D1966" t="n">
        <v>-37.7002</v>
      </c>
      <c r="E1966" t="inlineStr">
        <is>
          <t>2023-03</t>
        </is>
      </c>
      <c r="F1966" t="n">
        <v>0</v>
      </c>
    </row>
    <row r="1967">
      <c r="A1967" t="inlineStr">
        <is>
          <t>Milho</t>
        </is>
      </c>
      <c r="B1967" t="inlineStr">
        <is>
          <t>Carira - SE</t>
        </is>
      </c>
      <c r="C1967" t="n">
        <v>-10.3524</v>
      </c>
      <c r="D1967" t="n">
        <v>-37.7002</v>
      </c>
      <c r="E1967" t="inlineStr">
        <is>
          <t>2023-04</t>
        </is>
      </c>
      <c r="F1967" t="n">
        <v>0</v>
      </c>
    </row>
    <row r="1968">
      <c r="A1968" t="inlineStr">
        <is>
          <t>Milho</t>
        </is>
      </c>
      <c r="B1968" t="inlineStr">
        <is>
          <t>Carira - SE</t>
        </is>
      </c>
      <c r="C1968" t="n">
        <v>-10.3524</v>
      </c>
      <c r="D1968" t="n">
        <v>-37.7002</v>
      </c>
      <c r="E1968" t="inlineStr">
        <is>
          <t>2023-05</t>
        </is>
      </c>
      <c r="F1968" t="n">
        <v>0</v>
      </c>
    </row>
    <row r="1969">
      <c r="A1969" t="inlineStr">
        <is>
          <t>Milho</t>
        </is>
      </c>
      <c r="B1969" t="inlineStr">
        <is>
          <t>Carira - SE</t>
        </is>
      </c>
      <c r="C1969" t="n">
        <v>-10.3524</v>
      </c>
      <c r="D1969" t="n">
        <v>-37.7002</v>
      </c>
      <c r="E1969" t="inlineStr">
        <is>
          <t>2023-06</t>
        </is>
      </c>
      <c r="F1969" t="n">
        <v>0</v>
      </c>
    </row>
    <row r="1970">
      <c r="A1970" t="inlineStr">
        <is>
          <t>Milho</t>
        </is>
      </c>
      <c r="B1970" t="inlineStr">
        <is>
          <t>Carira - SE</t>
        </is>
      </c>
      <c r="C1970" t="n">
        <v>-10.3524</v>
      </c>
      <c r="D1970" t="n">
        <v>-37.7002</v>
      </c>
      <c r="E1970" t="inlineStr">
        <is>
          <t>2022-07</t>
        </is>
      </c>
      <c r="F1970" t="n">
        <v>0</v>
      </c>
    </row>
    <row r="1971">
      <c r="A1971" t="inlineStr">
        <is>
          <t>Milho</t>
        </is>
      </c>
      <c r="B1971" t="inlineStr">
        <is>
          <t>Carira - SE</t>
        </is>
      </c>
      <c r="C1971" t="n">
        <v>-10.3524</v>
      </c>
      <c r="D1971" t="n">
        <v>-37.7002</v>
      </c>
      <c r="E1971" t="inlineStr">
        <is>
          <t>2022-08</t>
        </is>
      </c>
      <c r="F1971" t="n">
        <v>0</v>
      </c>
    </row>
    <row r="1972">
      <c r="A1972" t="inlineStr">
        <is>
          <t>Milho</t>
        </is>
      </c>
      <c r="B1972" t="inlineStr">
        <is>
          <t>Carira - SE</t>
        </is>
      </c>
      <c r="C1972" t="n">
        <v>-10.3524</v>
      </c>
      <c r="D1972" t="n">
        <v>-37.7002</v>
      </c>
      <c r="E1972" t="inlineStr">
        <is>
          <t>2022-09</t>
        </is>
      </c>
      <c r="F1972" t="n">
        <v>0</v>
      </c>
    </row>
    <row r="1973">
      <c r="A1973" t="inlineStr">
        <is>
          <t>Milho</t>
        </is>
      </c>
      <c r="B1973" t="inlineStr">
        <is>
          <t>Carira - SE</t>
        </is>
      </c>
      <c r="C1973" t="n">
        <v>-10.3524</v>
      </c>
      <c r="D1973" t="n">
        <v>-37.7002</v>
      </c>
      <c r="E1973" t="inlineStr">
        <is>
          <t>2022-10</t>
        </is>
      </c>
      <c r="F1973" t="n">
        <v>0</v>
      </c>
    </row>
    <row r="1974">
      <c r="A1974" t="inlineStr">
        <is>
          <t>Milho</t>
        </is>
      </c>
      <c r="B1974" t="inlineStr">
        <is>
          <t>Carira - SE</t>
        </is>
      </c>
      <c r="C1974" t="n">
        <v>-10.3524</v>
      </c>
      <c r="D1974" t="n">
        <v>-37.7002</v>
      </c>
      <c r="E1974" t="inlineStr">
        <is>
          <t>2022-11</t>
        </is>
      </c>
      <c r="F1974" t="n">
        <v>0</v>
      </c>
    </row>
    <row r="1975">
      <c r="A1975" t="inlineStr">
        <is>
          <t>Milho</t>
        </is>
      </c>
      <c r="B1975" t="inlineStr">
        <is>
          <t>Carira - SE</t>
        </is>
      </c>
      <c r="C1975" t="n">
        <v>-10.3524</v>
      </c>
      <c r="D1975" t="n">
        <v>-37.7002</v>
      </c>
      <c r="E1975" t="inlineStr">
        <is>
          <t>2022-12</t>
        </is>
      </c>
      <c r="F1975" t="n">
        <v>0</v>
      </c>
    </row>
    <row r="1976">
      <c r="A1976" t="inlineStr">
        <is>
          <t>Milho</t>
        </is>
      </c>
      <c r="B1976" t="inlineStr">
        <is>
          <t>Senador Guiomard - AC</t>
        </is>
      </c>
      <c r="C1976" t="n">
        <v>-10.1497</v>
      </c>
      <c r="D1976" t="n">
        <v>-67.7362</v>
      </c>
      <c r="E1976" t="inlineStr">
        <is>
          <t>2023-01</t>
        </is>
      </c>
      <c r="F1976" t="n">
        <v>35779.71090189263</v>
      </c>
    </row>
    <row r="1977">
      <c r="A1977" t="inlineStr">
        <is>
          <t>Milho</t>
        </is>
      </c>
      <c r="B1977" t="inlineStr">
        <is>
          <t>Senador Guiomard - AC</t>
        </is>
      </c>
      <c r="C1977" t="n">
        <v>-10.1497</v>
      </c>
      <c r="D1977" t="n">
        <v>-67.7362</v>
      </c>
      <c r="E1977" t="inlineStr">
        <is>
          <t>2023-02</t>
        </is>
      </c>
      <c r="F1977" t="n">
        <v>41074.07844917779</v>
      </c>
    </row>
    <row r="1978">
      <c r="A1978" t="inlineStr">
        <is>
          <t>Milho</t>
        </is>
      </c>
      <c r="B1978" t="inlineStr">
        <is>
          <t>Senador Guiomard - AC</t>
        </is>
      </c>
      <c r="C1978" t="n">
        <v>-10.1497</v>
      </c>
      <c r="D1978" t="n">
        <v>-67.7362</v>
      </c>
      <c r="E1978" t="inlineStr">
        <is>
          <t>2023-03</t>
        </is>
      </c>
      <c r="F1978" t="n">
        <v>57695.15924614405</v>
      </c>
    </row>
    <row r="1979">
      <c r="A1979" t="inlineStr">
        <is>
          <t>Milho</t>
        </is>
      </c>
      <c r="B1979" t="inlineStr">
        <is>
          <t>Senador Guiomard - AC</t>
        </is>
      </c>
      <c r="C1979" t="n">
        <v>-10.1497</v>
      </c>
      <c r="D1979" t="n">
        <v>-67.7362</v>
      </c>
      <c r="E1979" t="inlineStr">
        <is>
          <t>2023-04</t>
        </is>
      </c>
      <c r="F1979" t="n">
        <v>20253.04307962695</v>
      </c>
    </row>
    <row r="1980">
      <c r="A1980" t="inlineStr">
        <is>
          <t>Milho</t>
        </is>
      </c>
      <c r="B1980" t="inlineStr">
        <is>
          <t>Senador Guiomard - AC</t>
        </is>
      </c>
      <c r="C1980" t="n">
        <v>-10.1497</v>
      </c>
      <c r="D1980" t="n">
        <v>-67.7362</v>
      </c>
      <c r="E1980" t="inlineStr">
        <is>
          <t>2023-05</t>
        </is>
      </c>
      <c r="F1980" t="n">
        <v>6101.342179582076</v>
      </c>
    </row>
    <row r="1981">
      <c r="A1981" t="inlineStr">
        <is>
          <t>Milho</t>
        </is>
      </c>
      <c r="B1981" t="inlineStr">
        <is>
          <t>Senador Guiomard - AC</t>
        </is>
      </c>
      <c r="C1981" t="n">
        <v>-10.1497</v>
      </c>
      <c r="D1981" t="n">
        <v>-67.7362</v>
      </c>
      <c r="E1981" t="inlineStr">
        <is>
          <t>2023-06</t>
        </is>
      </c>
      <c r="F1981" t="n">
        <v>0</v>
      </c>
    </row>
    <row r="1982">
      <c r="A1982" t="inlineStr">
        <is>
          <t>Milho</t>
        </is>
      </c>
      <c r="B1982" t="inlineStr">
        <is>
          <t>Senador Guiomard - AC</t>
        </is>
      </c>
      <c r="C1982" t="n">
        <v>-10.1497</v>
      </c>
      <c r="D1982" t="n">
        <v>-67.7362</v>
      </c>
      <c r="E1982" t="inlineStr">
        <is>
          <t>2022-07</t>
        </is>
      </c>
      <c r="F1982" t="n">
        <v>0</v>
      </c>
    </row>
    <row r="1983">
      <c r="A1983" t="inlineStr">
        <is>
          <t>Milho</t>
        </is>
      </c>
      <c r="B1983" t="inlineStr">
        <is>
          <t>Senador Guiomard - AC</t>
        </is>
      </c>
      <c r="C1983" t="n">
        <v>-10.1497</v>
      </c>
      <c r="D1983" t="n">
        <v>-67.7362</v>
      </c>
      <c r="E1983" t="inlineStr">
        <is>
          <t>2022-08</t>
        </is>
      </c>
      <c r="F1983" t="n">
        <v>0</v>
      </c>
    </row>
    <row r="1984">
      <c r="A1984" t="inlineStr">
        <is>
          <t>Milho</t>
        </is>
      </c>
      <c r="B1984" t="inlineStr">
        <is>
          <t>Senador Guiomard - AC</t>
        </is>
      </c>
      <c r="C1984" t="n">
        <v>-10.1497</v>
      </c>
      <c r="D1984" t="n">
        <v>-67.7362</v>
      </c>
      <c r="E1984" t="inlineStr">
        <is>
          <t>2022-09</t>
        </is>
      </c>
      <c r="F1984" t="n">
        <v>0</v>
      </c>
    </row>
    <row r="1985">
      <c r="A1985" t="inlineStr">
        <is>
          <t>Milho</t>
        </is>
      </c>
      <c r="B1985" t="inlineStr">
        <is>
          <t>Senador Guiomard - AC</t>
        </is>
      </c>
      <c r="C1985" t="n">
        <v>-10.1497</v>
      </c>
      <c r="D1985" t="n">
        <v>-67.7362</v>
      </c>
      <c r="E1985" t="inlineStr">
        <is>
          <t>2022-10</t>
        </is>
      </c>
      <c r="F1985" t="n">
        <v>0</v>
      </c>
    </row>
    <row r="1986">
      <c r="A1986" t="inlineStr">
        <is>
          <t>Milho</t>
        </is>
      </c>
      <c r="B1986" t="inlineStr">
        <is>
          <t>Senador Guiomard - AC</t>
        </is>
      </c>
      <c r="C1986" t="n">
        <v>-10.1497</v>
      </c>
      <c r="D1986" t="n">
        <v>-67.7362</v>
      </c>
      <c r="E1986" t="inlineStr">
        <is>
          <t>2022-11</t>
        </is>
      </c>
      <c r="F1986" t="n">
        <v>0</v>
      </c>
    </row>
    <row r="1987">
      <c r="A1987" t="inlineStr">
        <is>
          <t>Milho</t>
        </is>
      </c>
      <c r="B1987" t="inlineStr">
        <is>
          <t>Senador Guiomard - AC</t>
        </is>
      </c>
      <c r="C1987" t="n">
        <v>-10.1497</v>
      </c>
      <c r="D1987" t="n">
        <v>-67.7362</v>
      </c>
      <c r="E1987" t="inlineStr">
        <is>
          <t>2022-12</t>
        </is>
      </c>
      <c r="F1987" t="n">
        <v>0</v>
      </c>
    </row>
    <row r="1988">
      <c r="A1988" t="inlineStr">
        <is>
          <t>Milho</t>
        </is>
      </c>
      <c r="B1988" t="inlineStr">
        <is>
          <t>Humaitá - AM</t>
        </is>
      </c>
      <c r="C1988" t="n">
        <v>-7.51171</v>
      </c>
      <c r="D1988" t="n">
        <v>-63.0327</v>
      </c>
      <c r="E1988" t="inlineStr">
        <is>
          <t>2023-01</t>
        </is>
      </c>
      <c r="F1988" t="n">
        <v>0</v>
      </c>
    </row>
    <row r="1989">
      <c r="A1989" t="inlineStr">
        <is>
          <t>Milho</t>
        </is>
      </c>
      <c r="B1989" t="inlineStr">
        <is>
          <t>Humaitá - AM</t>
        </is>
      </c>
      <c r="C1989" t="n">
        <v>-7.51171</v>
      </c>
      <c r="D1989" t="n">
        <v>-63.0327</v>
      </c>
      <c r="E1989" t="inlineStr">
        <is>
          <t>2023-02</t>
        </is>
      </c>
      <c r="F1989" t="n">
        <v>6355.384310504503</v>
      </c>
    </row>
    <row r="1990">
      <c r="A1990" t="inlineStr">
        <is>
          <t>Milho</t>
        </is>
      </c>
      <c r="B1990" t="inlineStr">
        <is>
          <t>Humaitá - AM</t>
        </is>
      </c>
      <c r="C1990" t="n">
        <v>-7.51171</v>
      </c>
      <c r="D1990" t="n">
        <v>-63.0327</v>
      </c>
      <c r="E1990" t="inlineStr">
        <is>
          <t>2023-03</t>
        </is>
      </c>
      <c r="F1990" t="n">
        <v>3825.926128484807</v>
      </c>
    </row>
    <row r="1991">
      <c r="A1991" t="inlineStr">
        <is>
          <t>Milho</t>
        </is>
      </c>
      <c r="B1991" t="inlineStr">
        <is>
          <t>Humaitá - AM</t>
        </is>
      </c>
      <c r="C1991" t="n">
        <v>-7.51171</v>
      </c>
      <c r="D1991" t="n">
        <v>-63.0327</v>
      </c>
      <c r="E1991" t="inlineStr">
        <is>
          <t>2023-04</t>
        </is>
      </c>
      <c r="F1991" t="n">
        <v>7312.082134011429</v>
      </c>
    </row>
    <row r="1992">
      <c r="A1992" t="inlineStr">
        <is>
          <t>Milho</t>
        </is>
      </c>
      <c r="B1992" t="inlineStr">
        <is>
          <t>Humaitá - AM</t>
        </is>
      </c>
      <c r="C1992" t="n">
        <v>-7.51171</v>
      </c>
      <c r="D1992" t="n">
        <v>-63.0327</v>
      </c>
      <c r="E1992" t="inlineStr">
        <is>
          <t>2023-05</t>
        </is>
      </c>
      <c r="F1992" t="n">
        <v>1888.119019352532</v>
      </c>
    </row>
    <row r="1993">
      <c r="A1993" t="inlineStr">
        <is>
          <t>Milho</t>
        </is>
      </c>
      <c r="B1993" t="inlineStr">
        <is>
          <t>Humaitá - AM</t>
        </is>
      </c>
      <c r="C1993" t="n">
        <v>-7.51171</v>
      </c>
      <c r="D1993" t="n">
        <v>-63.0327</v>
      </c>
      <c r="E1993" t="inlineStr">
        <is>
          <t>2023-06</t>
        </is>
      </c>
      <c r="F1993" t="n">
        <v>1679.621418210973</v>
      </c>
    </row>
    <row r="1994">
      <c r="A1994" t="inlineStr">
        <is>
          <t>Milho</t>
        </is>
      </c>
      <c r="B1994" t="inlineStr">
        <is>
          <t>Humaitá - AM</t>
        </is>
      </c>
      <c r="C1994" t="n">
        <v>-7.51171</v>
      </c>
      <c r="D1994" t="n">
        <v>-63.0327</v>
      </c>
      <c r="E1994" t="inlineStr">
        <is>
          <t>2022-07</t>
        </is>
      </c>
      <c r="F1994" t="n">
        <v>0</v>
      </c>
    </row>
    <row r="1995">
      <c r="A1995" t="inlineStr">
        <is>
          <t>Milho</t>
        </is>
      </c>
      <c r="B1995" t="inlineStr">
        <is>
          <t>Humaitá - AM</t>
        </is>
      </c>
      <c r="C1995" t="n">
        <v>-7.51171</v>
      </c>
      <c r="D1995" t="n">
        <v>-63.0327</v>
      </c>
      <c r="E1995" t="inlineStr">
        <is>
          <t>2022-08</t>
        </is>
      </c>
      <c r="F1995" t="n">
        <v>0</v>
      </c>
    </row>
    <row r="1996">
      <c r="A1996" t="inlineStr">
        <is>
          <t>Milho</t>
        </is>
      </c>
      <c r="B1996" t="inlineStr">
        <is>
          <t>Humaitá - AM</t>
        </is>
      </c>
      <c r="C1996" t="n">
        <v>-7.51171</v>
      </c>
      <c r="D1996" t="n">
        <v>-63.0327</v>
      </c>
      <c r="E1996" t="inlineStr">
        <is>
          <t>2022-09</t>
        </is>
      </c>
      <c r="F1996" t="n">
        <v>0</v>
      </c>
    </row>
    <row r="1997">
      <c r="A1997" t="inlineStr">
        <is>
          <t>Milho</t>
        </is>
      </c>
      <c r="B1997" t="inlineStr">
        <is>
          <t>Humaitá - AM</t>
        </is>
      </c>
      <c r="C1997" t="n">
        <v>-7.51171</v>
      </c>
      <c r="D1997" t="n">
        <v>-63.0327</v>
      </c>
      <c r="E1997" t="inlineStr">
        <is>
          <t>2022-10</t>
        </is>
      </c>
      <c r="F1997" t="n">
        <v>0</v>
      </c>
    </row>
    <row r="1998">
      <c r="A1998" t="inlineStr">
        <is>
          <t>Milho</t>
        </is>
      </c>
      <c r="B1998" t="inlineStr">
        <is>
          <t>Humaitá - AM</t>
        </is>
      </c>
      <c r="C1998" t="n">
        <v>-7.51171</v>
      </c>
      <c r="D1998" t="n">
        <v>-63.0327</v>
      </c>
      <c r="E1998" t="inlineStr">
        <is>
          <t>2022-11</t>
        </is>
      </c>
      <c r="F1998" t="n">
        <v>0</v>
      </c>
    </row>
    <row r="1999">
      <c r="A1999" t="inlineStr">
        <is>
          <t>Milho</t>
        </is>
      </c>
      <c r="B1999" t="inlineStr">
        <is>
          <t>Humaitá - AM</t>
        </is>
      </c>
      <c r="C1999" t="n">
        <v>-7.51171</v>
      </c>
      <c r="D1999" t="n">
        <v>-63.0327</v>
      </c>
      <c r="E1999" t="inlineStr">
        <is>
          <t>2022-12</t>
        </is>
      </c>
      <c r="F1999" t="n">
        <v>0</v>
      </c>
    </row>
    <row r="2000">
      <c r="A2000" t="inlineStr">
        <is>
          <t>Milho</t>
        </is>
      </c>
      <c r="B2000" t="inlineStr">
        <is>
          <t>Correntina - BA</t>
        </is>
      </c>
      <c r="C2000" t="n">
        <v>-13.3477</v>
      </c>
      <c r="D2000" t="n">
        <v>-44.6333</v>
      </c>
      <c r="E2000" t="inlineStr">
        <is>
          <t>2023-01</t>
        </is>
      </c>
      <c r="F2000" t="n">
        <v>0</v>
      </c>
    </row>
    <row r="2001">
      <c r="A2001" t="inlineStr">
        <is>
          <t>Milho</t>
        </is>
      </c>
      <c r="B2001" t="inlineStr">
        <is>
          <t>Correntina - BA</t>
        </is>
      </c>
      <c r="C2001" t="n">
        <v>-13.3477</v>
      </c>
      <c r="D2001" t="n">
        <v>-44.6333</v>
      </c>
      <c r="E2001" t="inlineStr">
        <is>
          <t>2023-02</t>
        </is>
      </c>
      <c r="F2001" t="n">
        <v>534406.3412274042</v>
      </c>
    </row>
    <row r="2002">
      <c r="A2002" t="inlineStr">
        <is>
          <t>Milho</t>
        </is>
      </c>
      <c r="B2002" t="inlineStr">
        <is>
          <t>Correntina - BA</t>
        </is>
      </c>
      <c r="C2002" t="n">
        <v>-13.3477</v>
      </c>
      <c r="D2002" t="n">
        <v>-44.6333</v>
      </c>
      <c r="E2002" t="inlineStr">
        <is>
          <t>2023-03</t>
        </is>
      </c>
      <c r="F2002" t="n">
        <v>643422.6741411926</v>
      </c>
    </row>
    <row r="2003">
      <c r="A2003" t="inlineStr">
        <is>
          <t>Milho</t>
        </is>
      </c>
      <c r="B2003" t="inlineStr">
        <is>
          <t>Correntina - BA</t>
        </is>
      </c>
      <c r="C2003" t="n">
        <v>-13.3477</v>
      </c>
      <c r="D2003" t="n">
        <v>-44.6333</v>
      </c>
      <c r="E2003" t="inlineStr">
        <is>
          <t>2023-04</t>
        </is>
      </c>
      <c r="F2003" t="n">
        <v>878360.5183251612</v>
      </c>
    </row>
    <row r="2004">
      <c r="A2004" t="inlineStr">
        <is>
          <t>Milho</t>
        </is>
      </c>
      <c r="B2004" t="inlineStr">
        <is>
          <t>Correntina - BA</t>
        </is>
      </c>
      <c r="C2004" t="n">
        <v>-13.3477</v>
      </c>
      <c r="D2004" t="n">
        <v>-44.6333</v>
      </c>
      <c r="E2004" t="inlineStr">
        <is>
          <t>2023-05</t>
        </is>
      </c>
      <c r="F2004" t="n">
        <v>740910.8134094611</v>
      </c>
    </row>
    <row r="2005">
      <c r="A2005" t="inlineStr">
        <is>
          <t>Milho</t>
        </is>
      </c>
      <c r="B2005" t="inlineStr">
        <is>
          <t>Correntina - BA</t>
        </is>
      </c>
      <c r="C2005" t="n">
        <v>-13.3477</v>
      </c>
      <c r="D2005" t="n">
        <v>-44.6333</v>
      </c>
      <c r="E2005" t="inlineStr">
        <is>
          <t>2023-06</t>
        </is>
      </c>
      <c r="F2005" t="n">
        <v>282469.2553272381</v>
      </c>
    </row>
    <row r="2006">
      <c r="A2006" t="inlineStr">
        <is>
          <t>Milho</t>
        </is>
      </c>
      <c r="B2006" t="inlineStr">
        <is>
          <t>Correntina - BA</t>
        </is>
      </c>
      <c r="C2006" t="n">
        <v>-13.3477</v>
      </c>
      <c r="D2006" t="n">
        <v>-44.6333</v>
      </c>
      <c r="E2006" t="inlineStr">
        <is>
          <t>2022-07</t>
        </is>
      </c>
      <c r="F2006" t="n">
        <v>0</v>
      </c>
    </row>
    <row r="2007">
      <c r="A2007" t="inlineStr">
        <is>
          <t>Milho</t>
        </is>
      </c>
      <c r="B2007" t="inlineStr">
        <is>
          <t>Correntina - BA</t>
        </is>
      </c>
      <c r="C2007" t="n">
        <v>-13.3477</v>
      </c>
      <c r="D2007" t="n">
        <v>-44.6333</v>
      </c>
      <c r="E2007" t="inlineStr">
        <is>
          <t>2022-08</t>
        </is>
      </c>
      <c r="F2007" t="n">
        <v>0</v>
      </c>
    </row>
    <row r="2008">
      <c r="A2008" t="inlineStr">
        <is>
          <t>Milho</t>
        </is>
      </c>
      <c r="B2008" t="inlineStr">
        <is>
          <t>Correntina - BA</t>
        </is>
      </c>
      <c r="C2008" t="n">
        <v>-13.3477</v>
      </c>
      <c r="D2008" t="n">
        <v>-44.6333</v>
      </c>
      <c r="E2008" t="inlineStr">
        <is>
          <t>2022-09</t>
        </is>
      </c>
      <c r="F2008" t="n">
        <v>0</v>
      </c>
    </row>
    <row r="2009">
      <c r="A2009" t="inlineStr">
        <is>
          <t>Milho</t>
        </is>
      </c>
      <c r="B2009" t="inlineStr">
        <is>
          <t>Correntina - BA</t>
        </is>
      </c>
      <c r="C2009" t="n">
        <v>-13.3477</v>
      </c>
      <c r="D2009" t="n">
        <v>-44.6333</v>
      </c>
      <c r="E2009" t="inlineStr">
        <is>
          <t>2022-10</t>
        </is>
      </c>
      <c r="F2009" t="n">
        <v>0</v>
      </c>
    </row>
    <row r="2010">
      <c r="A2010" t="inlineStr">
        <is>
          <t>Milho</t>
        </is>
      </c>
      <c r="B2010" t="inlineStr">
        <is>
          <t>Correntina - BA</t>
        </is>
      </c>
      <c r="C2010" t="n">
        <v>-13.3477</v>
      </c>
      <c r="D2010" t="n">
        <v>-44.6333</v>
      </c>
      <c r="E2010" t="inlineStr">
        <is>
          <t>2022-11</t>
        </is>
      </c>
      <c r="F2010" t="n">
        <v>0</v>
      </c>
    </row>
    <row r="2011">
      <c r="A2011" t="inlineStr">
        <is>
          <t>Milho</t>
        </is>
      </c>
      <c r="B2011" t="inlineStr">
        <is>
          <t>Correntina - BA</t>
        </is>
      </c>
      <c r="C2011" t="n">
        <v>-13.3477</v>
      </c>
      <c r="D2011" t="n">
        <v>-44.6333</v>
      </c>
      <c r="E2011" t="inlineStr">
        <is>
          <t>2022-12</t>
        </is>
      </c>
      <c r="F2011" t="n">
        <v>0</v>
      </c>
    </row>
    <row r="2012">
      <c r="A2012" t="inlineStr">
        <is>
          <t>Milho</t>
        </is>
      </c>
      <c r="B2012" t="inlineStr">
        <is>
          <t>Brasília - DF</t>
        </is>
      </c>
      <c r="C2012" t="n">
        <v>-15.7795</v>
      </c>
      <c r="D2012" t="n">
        <v>-47.9297</v>
      </c>
      <c r="E2012" t="inlineStr">
        <is>
          <t>2023-01</t>
        </is>
      </c>
      <c r="F2012" t="n">
        <v>0</v>
      </c>
    </row>
    <row r="2013">
      <c r="A2013" t="inlineStr">
        <is>
          <t>Milho</t>
        </is>
      </c>
      <c r="B2013" t="inlineStr">
        <is>
          <t>Brasília - DF</t>
        </is>
      </c>
      <c r="C2013" t="n">
        <v>-15.7795</v>
      </c>
      <c r="D2013" t="n">
        <v>-47.9297</v>
      </c>
      <c r="E2013" t="inlineStr">
        <is>
          <t>2023-02</t>
        </is>
      </c>
      <c r="F2013" t="n">
        <v>35036.46335419842</v>
      </c>
    </row>
    <row r="2014">
      <c r="A2014" t="inlineStr">
        <is>
          <t>Milho</t>
        </is>
      </c>
      <c r="B2014" t="inlineStr">
        <is>
          <t>Brasília - DF</t>
        </is>
      </c>
      <c r="C2014" t="n">
        <v>-15.7795</v>
      </c>
      <c r="D2014" t="n">
        <v>-47.9297</v>
      </c>
      <c r="E2014" t="inlineStr">
        <is>
          <t>2023-03</t>
        </is>
      </c>
      <c r="F2014" t="n">
        <v>42183.73399543081</v>
      </c>
    </row>
    <row r="2015">
      <c r="A2015" t="inlineStr">
        <is>
          <t>Milho</t>
        </is>
      </c>
      <c r="B2015" t="inlineStr">
        <is>
          <t>Brasília - DF</t>
        </is>
      </c>
      <c r="C2015" t="n">
        <v>-15.7795</v>
      </c>
      <c r="D2015" t="n">
        <v>-47.9297</v>
      </c>
      <c r="E2015" t="inlineStr">
        <is>
          <t>2023-04</t>
        </is>
      </c>
      <c r="F2015" t="n">
        <v>80621.24498363752</v>
      </c>
    </row>
    <row r="2016">
      <c r="A2016" t="inlineStr">
        <is>
          <t>Milho</t>
        </is>
      </c>
      <c r="B2016" t="inlineStr">
        <is>
          <t>Brasília - DF</t>
        </is>
      </c>
      <c r="C2016" t="n">
        <v>-15.7795</v>
      </c>
      <c r="D2016" t="n">
        <v>-47.9297</v>
      </c>
      <c r="E2016" t="inlineStr">
        <is>
          <t>2023-05</t>
        </is>
      </c>
      <c r="F2016" t="n">
        <v>20817.94258155844</v>
      </c>
    </row>
    <row r="2017">
      <c r="A2017" t="inlineStr">
        <is>
          <t>Milho</t>
        </is>
      </c>
      <c r="B2017" t="inlineStr">
        <is>
          <t>Brasília - DF</t>
        </is>
      </c>
      <c r="C2017" t="n">
        <v>-15.7795</v>
      </c>
      <c r="D2017" t="n">
        <v>-47.9297</v>
      </c>
      <c r="E2017" t="inlineStr">
        <is>
          <t>2023-06</t>
        </is>
      </c>
      <c r="F2017" t="n">
        <v>9259.549288122289</v>
      </c>
    </row>
    <row r="2018">
      <c r="A2018" t="inlineStr">
        <is>
          <t>Milho</t>
        </is>
      </c>
      <c r="B2018" t="inlineStr">
        <is>
          <t>Brasília - DF</t>
        </is>
      </c>
      <c r="C2018" t="n">
        <v>-15.7795</v>
      </c>
      <c r="D2018" t="n">
        <v>-47.9297</v>
      </c>
      <c r="E2018" t="inlineStr">
        <is>
          <t>2022-07</t>
        </is>
      </c>
      <c r="F2018" t="n">
        <v>0</v>
      </c>
    </row>
    <row r="2019">
      <c r="A2019" t="inlineStr">
        <is>
          <t>Milho</t>
        </is>
      </c>
      <c r="B2019" t="inlineStr">
        <is>
          <t>Brasília - DF</t>
        </is>
      </c>
      <c r="C2019" t="n">
        <v>-15.7795</v>
      </c>
      <c r="D2019" t="n">
        <v>-47.9297</v>
      </c>
      <c r="E2019" t="inlineStr">
        <is>
          <t>2022-08</t>
        </is>
      </c>
      <c r="F2019" t="n">
        <v>0</v>
      </c>
    </row>
    <row r="2020">
      <c r="A2020" t="inlineStr">
        <is>
          <t>Milho</t>
        </is>
      </c>
      <c r="B2020" t="inlineStr">
        <is>
          <t>Brasília - DF</t>
        </is>
      </c>
      <c r="C2020" t="n">
        <v>-15.7795</v>
      </c>
      <c r="D2020" t="n">
        <v>-47.9297</v>
      </c>
      <c r="E2020" t="inlineStr">
        <is>
          <t>2022-09</t>
        </is>
      </c>
      <c r="F2020" t="n">
        <v>0</v>
      </c>
    </row>
    <row r="2021">
      <c r="A2021" t="inlineStr">
        <is>
          <t>Milho</t>
        </is>
      </c>
      <c r="B2021" t="inlineStr">
        <is>
          <t>Brasília - DF</t>
        </is>
      </c>
      <c r="C2021" t="n">
        <v>-15.7795</v>
      </c>
      <c r="D2021" t="n">
        <v>-47.9297</v>
      </c>
      <c r="E2021" t="inlineStr">
        <is>
          <t>2022-10</t>
        </is>
      </c>
      <c r="F2021" t="n">
        <v>0</v>
      </c>
    </row>
    <row r="2022">
      <c r="A2022" t="inlineStr">
        <is>
          <t>Milho</t>
        </is>
      </c>
      <c r="B2022" t="inlineStr">
        <is>
          <t>Brasília - DF</t>
        </is>
      </c>
      <c r="C2022" t="n">
        <v>-15.7795</v>
      </c>
      <c r="D2022" t="n">
        <v>-47.9297</v>
      </c>
      <c r="E2022" t="inlineStr">
        <is>
          <t>2022-11</t>
        </is>
      </c>
      <c r="F2022" t="n">
        <v>0</v>
      </c>
    </row>
    <row r="2023">
      <c r="A2023" t="inlineStr">
        <is>
          <t>Milho</t>
        </is>
      </c>
      <c r="B2023" t="inlineStr">
        <is>
          <t>Brasília - DF</t>
        </is>
      </c>
      <c r="C2023" t="n">
        <v>-15.7795</v>
      </c>
      <c r="D2023" t="n">
        <v>-47.9297</v>
      </c>
      <c r="E2023" t="inlineStr">
        <is>
          <t>2022-12</t>
        </is>
      </c>
      <c r="F2023" t="n">
        <v>0</v>
      </c>
    </row>
    <row r="2024">
      <c r="A2024" t="inlineStr">
        <is>
          <t>Milho</t>
        </is>
      </c>
      <c r="B2024" t="inlineStr">
        <is>
          <t>Pinheiros - ES</t>
        </is>
      </c>
      <c r="C2024" t="n">
        <v>-18.4141</v>
      </c>
      <c r="D2024" t="n">
        <v>-40.2171</v>
      </c>
      <c r="E2024" t="inlineStr">
        <is>
          <t>2023-01</t>
        </is>
      </c>
      <c r="F2024" t="n">
        <v>20001.57558212706</v>
      </c>
    </row>
    <row r="2025">
      <c r="A2025" t="inlineStr">
        <is>
          <t>Milho</t>
        </is>
      </c>
      <c r="B2025" t="inlineStr">
        <is>
          <t>Pinheiros - ES</t>
        </is>
      </c>
      <c r="C2025" t="n">
        <v>-18.4141</v>
      </c>
      <c r="D2025" t="n">
        <v>-40.2171</v>
      </c>
      <c r="E2025" t="inlineStr">
        <is>
          <t>2023-02</t>
        </is>
      </c>
      <c r="F2025" t="n">
        <v>22961.2331642397</v>
      </c>
    </row>
    <row r="2026">
      <c r="A2026" t="inlineStr">
        <is>
          <t>Milho</t>
        </is>
      </c>
      <c r="B2026" t="inlineStr">
        <is>
          <t>Pinheiros - ES</t>
        </is>
      </c>
      <c r="C2026" t="n">
        <v>-18.4141</v>
      </c>
      <c r="D2026" t="n">
        <v>-40.2171</v>
      </c>
      <c r="E2026" t="inlineStr">
        <is>
          <t>2023-03</t>
        </is>
      </c>
      <c r="F2026" t="n">
        <v>32252.75049171973</v>
      </c>
    </row>
    <row r="2027">
      <c r="A2027" t="inlineStr">
        <is>
          <t>Milho</t>
        </is>
      </c>
      <c r="B2027" t="inlineStr">
        <is>
          <t>Pinheiros - ES</t>
        </is>
      </c>
      <c r="C2027" t="n">
        <v>-18.4141</v>
      </c>
      <c r="D2027" t="n">
        <v>-40.2171</v>
      </c>
      <c r="E2027" t="inlineStr">
        <is>
          <t>2023-04</t>
        </is>
      </c>
      <c r="F2027" t="n">
        <v>11321.85704451306</v>
      </c>
    </row>
    <row r="2028">
      <c r="A2028" t="inlineStr">
        <is>
          <t>Milho</t>
        </is>
      </c>
      <c r="B2028" t="inlineStr">
        <is>
          <t>Pinheiros - ES</t>
        </is>
      </c>
      <c r="C2028" t="n">
        <v>-18.4141</v>
      </c>
      <c r="D2028" t="n">
        <v>-40.2171</v>
      </c>
      <c r="E2028" t="inlineStr">
        <is>
          <t>2023-05</t>
        </is>
      </c>
      <c r="F2028" t="n">
        <v>3410.772577004679</v>
      </c>
    </row>
    <row r="2029">
      <c r="A2029" t="inlineStr">
        <is>
          <t>Milho</t>
        </is>
      </c>
      <c r="B2029" t="inlineStr">
        <is>
          <t>Pinheiros - ES</t>
        </is>
      </c>
      <c r="C2029" t="n">
        <v>-18.4141</v>
      </c>
      <c r="D2029" t="n">
        <v>-40.2171</v>
      </c>
      <c r="E2029" t="inlineStr">
        <is>
          <t>2023-06</t>
        </is>
      </c>
      <c r="F2029" t="n">
        <v>0</v>
      </c>
    </row>
    <row r="2030">
      <c r="A2030" t="inlineStr">
        <is>
          <t>Milho</t>
        </is>
      </c>
      <c r="B2030" t="inlineStr">
        <is>
          <t>Pinheiros - ES</t>
        </is>
      </c>
      <c r="C2030" t="n">
        <v>-18.4141</v>
      </c>
      <c r="D2030" t="n">
        <v>-40.2171</v>
      </c>
      <c r="E2030" t="inlineStr">
        <is>
          <t>2022-07</t>
        </is>
      </c>
      <c r="F2030" t="n">
        <v>0</v>
      </c>
    </row>
    <row r="2031">
      <c r="A2031" t="inlineStr">
        <is>
          <t>Milho</t>
        </is>
      </c>
      <c r="B2031" t="inlineStr">
        <is>
          <t>Pinheiros - ES</t>
        </is>
      </c>
      <c r="C2031" t="n">
        <v>-18.4141</v>
      </c>
      <c r="D2031" t="n">
        <v>-40.2171</v>
      </c>
      <c r="E2031" t="inlineStr">
        <is>
          <t>2022-08</t>
        </is>
      </c>
      <c r="F2031" t="n">
        <v>0</v>
      </c>
    </row>
    <row r="2032">
      <c r="A2032" t="inlineStr">
        <is>
          <t>Milho</t>
        </is>
      </c>
      <c r="B2032" t="inlineStr">
        <is>
          <t>Pinheiros - ES</t>
        </is>
      </c>
      <c r="C2032" t="n">
        <v>-18.4141</v>
      </c>
      <c r="D2032" t="n">
        <v>-40.2171</v>
      </c>
      <c r="E2032" t="inlineStr">
        <is>
          <t>2022-09</t>
        </is>
      </c>
      <c r="F2032" t="n">
        <v>0</v>
      </c>
    </row>
    <row r="2033">
      <c r="A2033" t="inlineStr">
        <is>
          <t>Milho</t>
        </is>
      </c>
      <c r="B2033" t="inlineStr">
        <is>
          <t>Pinheiros - ES</t>
        </is>
      </c>
      <c r="C2033" t="n">
        <v>-18.4141</v>
      </c>
      <c r="D2033" t="n">
        <v>-40.2171</v>
      </c>
      <c r="E2033" t="inlineStr">
        <is>
          <t>2022-10</t>
        </is>
      </c>
      <c r="F2033" t="n">
        <v>0</v>
      </c>
    </row>
    <row r="2034">
      <c r="A2034" t="inlineStr">
        <is>
          <t>Milho</t>
        </is>
      </c>
      <c r="B2034" t="inlineStr">
        <is>
          <t>Pinheiros - ES</t>
        </is>
      </c>
      <c r="C2034" t="n">
        <v>-18.4141</v>
      </c>
      <c r="D2034" t="n">
        <v>-40.2171</v>
      </c>
      <c r="E2034" t="inlineStr">
        <is>
          <t>2022-11</t>
        </is>
      </c>
      <c r="F2034" t="n">
        <v>0</v>
      </c>
    </row>
    <row r="2035">
      <c r="A2035" t="inlineStr">
        <is>
          <t>Milho</t>
        </is>
      </c>
      <c r="B2035" t="inlineStr">
        <is>
          <t>Pinheiros - ES</t>
        </is>
      </c>
      <c r="C2035" t="n">
        <v>-18.4141</v>
      </c>
      <c r="D2035" t="n">
        <v>-40.2171</v>
      </c>
      <c r="E2035" t="inlineStr">
        <is>
          <t>2022-12</t>
        </is>
      </c>
      <c r="F2035" t="n">
        <v>0</v>
      </c>
    </row>
    <row r="2036">
      <c r="A2036" t="inlineStr">
        <is>
          <t>Milho</t>
        </is>
      </c>
      <c r="B2036" t="inlineStr">
        <is>
          <t>Rio Verde - GO</t>
        </is>
      </c>
      <c r="C2036" t="n">
        <v>-17.7923</v>
      </c>
      <c r="D2036" t="n">
        <v>-50.9192</v>
      </c>
      <c r="E2036" t="inlineStr">
        <is>
          <t>2023-01</t>
        </is>
      </c>
      <c r="F2036" t="n">
        <v>0</v>
      </c>
    </row>
    <row r="2037">
      <c r="A2037" t="inlineStr">
        <is>
          <t>Milho</t>
        </is>
      </c>
      <c r="B2037" t="inlineStr">
        <is>
          <t>Rio Verde - GO</t>
        </is>
      </c>
      <c r="C2037" t="n">
        <v>-17.7923</v>
      </c>
      <c r="D2037" t="n">
        <v>-50.9192</v>
      </c>
      <c r="E2037" t="inlineStr">
        <is>
          <t>2023-02</t>
        </is>
      </c>
      <c r="F2037" t="n">
        <v>356493.7276535542</v>
      </c>
    </row>
    <row r="2038">
      <c r="A2038" t="inlineStr">
        <is>
          <t>Milho</t>
        </is>
      </c>
      <c r="B2038" t="inlineStr">
        <is>
          <t>Rio Verde - GO</t>
        </is>
      </c>
      <c r="C2038" t="n">
        <v>-17.7923</v>
      </c>
      <c r="D2038" t="n">
        <v>-50.9192</v>
      </c>
      <c r="E2038" t="inlineStr">
        <is>
          <t>2023-03</t>
        </is>
      </c>
      <c r="F2038" t="n">
        <v>429216.7398960675</v>
      </c>
    </row>
    <row r="2039">
      <c r="A2039" t="inlineStr">
        <is>
          <t>Milho</t>
        </is>
      </c>
      <c r="B2039" t="inlineStr">
        <is>
          <t>Rio Verde - GO</t>
        </is>
      </c>
      <c r="C2039" t="n">
        <v>-17.7923</v>
      </c>
      <c r="D2039" t="n">
        <v>-50.9192</v>
      </c>
      <c r="E2039" t="inlineStr">
        <is>
          <t>2023-04</t>
        </is>
      </c>
      <c r="F2039" t="n">
        <v>820315.9052251576</v>
      </c>
    </row>
    <row r="2040">
      <c r="A2040" t="inlineStr">
        <is>
          <t>Milho</t>
        </is>
      </c>
      <c r="B2040" t="inlineStr">
        <is>
          <t>Rio Verde - GO</t>
        </is>
      </c>
      <c r="C2040" t="n">
        <v>-17.7923</v>
      </c>
      <c r="D2040" t="n">
        <v>-50.9192</v>
      </c>
      <c r="E2040" t="inlineStr">
        <is>
          <t>2023-05</t>
        </is>
      </c>
      <c r="F2040" t="n">
        <v>211821.2068938205</v>
      </c>
    </row>
    <row r="2041">
      <c r="A2041" t="inlineStr">
        <is>
          <t>Milho</t>
        </is>
      </c>
      <c r="B2041" t="inlineStr">
        <is>
          <t>Rio Verde - GO</t>
        </is>
      </c>
      <c r="C2041" t="n">
        <v>-17.7923</v>
      </c>
      <c r="D2041" t="n">
        <v>-50.9192</v>
      </c>
      <c r="E2041" t="inlineStr">
        <is>
          <t>2023-06</t>
        </is>
      </c>
      <c r="F2041" t="n">
        <v>94215.30959742183</v>
      </c>
    </row>
    <row r="2042">
      <c r="A2042" t="inlineStr">
        <is>
          <t>Milho</t>
        </is>
      </c>
      <c r="B2042" t="inlineStr">
        <is>
          <t>Rio Verde - GO</t>
        </is>
      </c>
      <c r="C2042" t="n">
        <v>-17.7923</v>
      </c>
      <c r="D2042" t="n">
        <v>-50.9192</v>
      </c>
      <c r="E2042" t="inlineStr">
        <is>
          <t>2022-07</t>
        </is>
      </c>
      <c r="F2042" t="n">
        <v>0</v>
      </c>
    </row>
    <row r="2043">
      <c r="A2043" t="inlineStr">
        <is>
          <t>Milho</t>
        </is>
      </c>
      <c r="B2043" t="inlineStr">
        <is>
          <t>Rio Verde - GO</t>
        </is>
      </c>
      <c r="C2043" t="n">
        <v>-17.7923</v>
      </c>
      <c r="D2043" t="n">
        <v>-50.9192</v>
      </c>
      <c r="E2043" t="inlineStr">
        <is>
          <t>2022-08</t>
        </is>
      </c>
      <c r="F2043" t="n">
        <v>0</v>
      </c>
    </row>
    <row r="2044">
      <c r="A2044" t="inlineStr">
        <is>
          <t>Milho</t>
        </is>
      </c>
      <c r="B2044" t="inlineStr">
        <is>
          <t>Rio Verde - GO</t>
        </is>
      </c>
      <c r="C2044" t="n">
        <v>-17.7923</v>
      </c>
      <c r="D2044" t="n">
        <v>-50.9192</v>
      </c>
      <c r="E2044" t="inlineStr">
        <is>
          <t>2022-09</t>
        </is>
      </c>
      <c r="F2044" t="n">
        <v>0</v>
      </c>
    </row>
    <row r="2045">
      <c r="A2045" t="inlineStr">
        <is>
          <t>Milho</t>
        </is>
      </c>
      <c r="B2045" t="inlineStr">
        <is>
          <t>Rio Verde - GO</t>
        </is>
      </c>
      <c r="C2045" t="n">
        <v>-17.7923</v>
      </c>
      <c r="D2045" t="n">
        <v>-50.9192</v>
      </c>
      <c r="E2045" t="inlineStr">
        <is>
          <t>2022-10</t>
        </is>
      </c>
      <c r="F2045" t="n">
        <v>0</v>
      </c>
    </row>
    <row r="2046">
      <c r="A2046" t="inlineStr">
        <is>
          <t>Milho</t>
        </is>
      </c>
      <c r="B2046" t="inlineStr">
        <is>
          <t>Rio Verde - GO</t>
        </is>
      </c>
      <c r="C2046" t="n">
        <v>-17.7923</v>
      </c>
      <c r="D2046" t="n">
        <v>-50.9192</v>
      </c>
      <c r="E2046" t="inlineStr">
        <is>
          <t>2022-11</t>
        </is>
      </c>
      <c r="F2046" t="n">
        <v>0</v>
      </c>
    </row>
    <row r="2047">
      <c r="A2047" t="inlineStr">
        <is>
          <t>Milho</t>
        </is>
      </c>
      <c r="B2047" t="inlineStr">
        <is>
          <t>Rio Verde - GO</t>
        </is>
      </c>
      <c r="C2047" t="n">
        <v>-17.7923</v>
      </c>
      <c r="D2047" t="n">
        <v>-50.9192</v>
      </c>
      <c r="E2047" t="inlineStr">
        <is>
          <t>2022-12</t>
        </is>
      </c>
      <c r="F2047" t="n">
        <v>0</v>
      </c>
    </row>
    <row r="2048">
      <c r="A2048" t="inlineStr">
        <is>
          <t>Milho</t>
        </is>
      </c>
      <c r="B2048" t="inlineStr">
        <is>
          <t>Balsas - MA</t>
        </is>
      </c>
      <c r="C2048" t="n">
        <v>-7.53214</v>
      </c>
      <c r="D2048" t="n">
        <v>-46.0372</v>
      </c>
      <c r="E2048" t="inlineStr">
        <is>
          <t>2023-01</t>
        </is>
      </c>
      <c r="F2048" t="n">
        <v>0</v>
      </c>
    </row>
    <row r="2049">
      <c r="A2049" t="inlineStr">
        <is>
          <t>Milho</t>
        </is>
      </c>
      <c r="B2049" t="inlineStr">
        <is>
          <t>Balsas - MA</t>
        </is>
      </c>
      <c r="C2049" t="n">
        <v>-7.53214</v>
      </c>
      <c r="D2049" t="n">
        <v>-46.0372</v>
      </c>
      <c r="E2049" t="inlineStr">
        <is>
          <t>2023-02</t>
        </is>
      </c>
      <c r="F2049" t="n">
        <v>326731.6830273508</v>
      </c>
    </row>
    <row r="2050">
      <c r="A2050" t="inlineStr">
        <is>
          <t>Milho</t>
        </is>
      </c>
      <c r="B2050" t="inlineStr">
        <is>
          <t>Balsas - MA</t>
        </is>
      </c>
      <c r="C2050" t="n">
        <v>-7.53214</v>
      </c>
      <c r="D2050" t="n">
        <v>-46.0372</v>
      </c>
      <c r="E2050" t="inlineStr">
        <is>
          <t>2023-03</t>
        </is>
      </c>
      <c r="F2050" t="n">
        <v>393383.3807758906</v>
      </c>
    </row>
    <row r="2051">
      <c r="A2051" t="inlineStr">
        <is>
          <t>Milho</t>
        </is>
      </c>
      <c r="B2051" t="inlineStr">
        <is>
          <t>Balsas - MA</t>
        </is>
      </c>
      <c r="C2051" t="n">
        <v>-7.53214</v>
      </c>
      <c r="D2051" t="n">
        <v>-46.0372</v>
      </c>
      <c r="E2051" t="inlineStr">
        <is>
          <t>2023-04</t>
        </is>
      </c>
      <c r="F2051" t="n">
        <v>751831.4504225706</v>
      </c>
    </row>
    <row r="2052">
      <c r="A2052" t="inlineStr">
        <is>
          <t>Milho</t>
        </is>
      </c>
      <c r="B2052" t="inlineStr">
        <is>
          <t>Balsas - MA</t>
        </is>
      </c>
      <c r="C2052" t="n">
        <v>-7.53214</v>
      </c>
      <c r="D2052" t="n">
        <v>-46.0372</v>
      </c>
      <c r="E2052" t="inlineStr">
        <is>
          <t>2023-05</t>
        </is>
      </c>
      <c r="F2052" t="n">
        <v>194137.2149373709</v>
      </c>
    </row>
    <row r="2053">
      <c r="A2053" t="inlineStr">
        <is>
          <t>Milho</t>
        </is>
      </c>
      <c r="B2053" t="inlineStr">
        <is>
          <t>Balsas - MA</t>
        </is>
      </c>
      <c r="C2053" t="n">
        <v>-7.53214</v>
      </c>
      <c r="D2053" t="n">
        <v>-46.0372</v>
      </c>
      <c r="E2053" t="inlineStr">
        <is>
          <t>2023-06</t>
        </is>
      </c>
      <c r="F2053" t="n">
        <v>172699.4013292937</v>
      </c>
    </row>
    <row r="2054">
      <c r="A2054" t="inlineStr">
        <is>
          <t>Milho</t>
        </is>
      </c>
      <c r="B2054" t="inlineStr">
        <is>
          <t>Balsas - MA</t>
        </is>
      </c>
      <c r="C2054" t="n">
        <v>-7.53214</v>
      </c>
      <c r="D2054" t="n">
        <v>-46.0372</v>
      </c>
      <c r="E2054" t="inlineStr">
        <is>
          <t>2022-07</t>
        </is>
      </c>
      <c r="F2054" t="n">
        <v>0</v>
      </c>
    </row>
    <row r="2055">
      <c r="A2055" t="inlineStr">
        <is>
          <t>Milho</t>
        </is>
      </c>
      <c r="B2055" t="inlineStr">
        <is>
          <t>Balsas - MA</t>
        </is>
      </c>
      <c r="C2055" t="n">
        <v>-7.53214</v>
      </c>
      <c r="D2055" t="n">
        <v>-46.0372</v>
      </c>
      <c r="E2055" t="inlineStr">
        <is>
          <t>2022-08</t>
        </is>
      </c>
      <c r="F2055" t="n">
        <v>0</v>
      </c>
    </row>
    <row r="2056">
      <c r="A2056" t="inlineStr">
        <is>
          <t>Milho</t>
        </is>
      </c>
      <c r="B2056" t="inlineStr">
        <is>
          <t>Balsas - MA</t>
        </is>
      </c>
      <c r="C2056" t="n">
        <v>-7.53214</v>
      </c>
      <c r="D2056" t="n">
        <v>-46.0372</v>
      </c>
      <c r="E2056" t="inlineStr">
        <is>
          <t>2022-09</t>
        </is>
      </c>
      <c r="F2056" t="n">
        <v>0</v>
      </c>
    </row>
    <row r="2057">
      <c r="A2057" t="inlineStr">
        <is>
          <t>Milho</t>
        </is>
      </c>
      <c r="B2057" t="inlineStr">
        <is>
          <t>Balsas - MA</t>
        </is>
      </c>
      <c r="C2057" t="n">
        <v>-7.53214</v>
      </c>
      <c r="D2057" t="n">
        <v>-46.0372</v>
      </c>
      <c r="E2057" t="inlineStr">
        <is>
          <t>2022-10</t>
        </is>
      </c>
      <c r="F2057" t="n">
        <v>0</v>
      </c>
    </row>
    <row r="2058">
      <c r="A2058" t="inlineStr">
        <is>
          <t>Milho</t>
        </is>
      </c>
      <c r="B2058" t="inlineStr">
        <is>
          <t>Balsas - MA</t>
        </is>
      </c>
      <c r="C2058" t="n">
        <v>-7.53214</v>
      </c>
      <c r="D2058" t="n">
        <v>-46.0372</v>
      </c>
      <c r="E2058" t="inlineStr">
        <is>
          <t>2022-11</t>
        </is>
      </c>
      <c r="F2058" t="n">
        <v>0</v>
      </c>
    </row>
    <row r="2059">
      <c r="A2059" t="inlineStr">
        <is>
          <t>Milho</t>
        </is>
      </c>
      <c r="B2059" t="inlineStr">
        <is>
          <t>Balsas - MA</t>
        </is>
      </c>
      <c r="C2059" t="n">
        <v>-7.53214</v>
      </c>
      <c r="D2059" t="n">
        <v>-46.0372</v>
      </c>
      <c r="E2059" t="inlineStr">
        <is>
          <t>2022-12</t>
        </is>
      </c>
      <c r="F2059" t="n">
        <v>0</v>
      </c>
    </row>
    <row r="2060">
      <c r="A2060" t="inlineStr">
        <is>
          <t>Milho</t>
        </is>
      </c>
      <c r="B2060" t="inlineStr">
        <is>
          <t>Unaí - MG</t>
        </is>
      </c>
      <c r="C2060" t="n">
        <v>-16.3592</v>
      </c>
      <c r="D2060" t="n">
        <v>-46.9022</v>
      </c>
      <c r="E2060" t="inlineStr">
        <is>
          <t>2023-01</t>
        </is>
      </c>
      <c r="F2060" t="n">
        <v>0</v>
      </c>
    </row>
    <row r="2061">
      <c r="A2061" t="inlineStr">
        <is>
          <t>Milho</t>
        </is>
      </c>
      <c r="B2061" t="inlineStr">
        <is>
          <t>Unaí - MG</t>
        </is>
      </c>
      <c r="C2061" t="n">
        <v>-16.3592</v>
      </c>
      <c r="D2061" t="n">
        <v>-46.9022</v>
      </c>
      <c r="E2061" t="inlineStr">
        <is>
          <t>2023-02</t>
        </is>
      </c>
      <c r="F2061" t="n">
        <v>1077131.442433825</v>
      </c>
    </row>
    <row r="2062">
      <c r="A2062" t="inlineStr">
        <is>
          <t>Milho</t>
        </is>
      </c>
      <c r="B2062" t="inlineStr">
        <is>
          <t>Unaí - MG</t>
        </is>
      </c>
      <c r="C2062" t="n">
        <v>-16.3592</v>
      </c>
      <c r="D2062" t="n">
        <v>-46.9022</v>
      </c>
      <c r="E2062" t="inlineStr">
        <is>
          <t>2023-03</t>
        </is>
      </c>
      <c r="F2062" t="n">
        <v>1296861.095436403</v>
      </c>
    </row>
    <row r="2063">
      <c r="A2063" t="inlineStr">
        <is>
          <t>Milho</t>
        </is>
      </c>
      <c r="B2063" t="inlineStr">
        <is>
          <t>Unaí - MG</t>
        </is>
      </c>
      <c r="C2063" t="n">
        <v>-16.3592</v>
      </c>
      <c r="D2063" t="n">
        <v>-46.9022</v>
      </c>
      <c r="E2063" t="inlineStr">
        <is>
          <t>2023-04</t>
        </is>
      </c>
      <c r="F2063" t="n">
        <v>1770393.910198583</v>
      </c>
    </row>
    <row r="2064">
      <c r="A2064" t="inlineStr">
        <is>
          <t>Milho</t>
        </is>
      </c>
      <c r="B2064" t="inlineStr">
        <is>
          <t>Unaí - MG</t>
        </is>
      </c>
      <c r="C2064" t="n">
        <v>-16.3592</v>
      </c>
      <c r="D2064" t="n">
        <v>-46.9022</v>
      </c>
      <c r="E2064" t="inlineStr">
        <is>
          <t>2023-05</t>
        </is>
      </c>
      <c r="F2064" t="n">
        <v>1066682.077977273</v>
      </c>
    </row>
    <row r="2065">
      <c r="A2065" t="inlineStr">
        <is>
          <t>Milho</t>
        </is>
      </c>
      <c r="B2065" t="inlineStr">
        <is>
          <t>Unaí - MG</t>
        </is>
      </c>
      <c r="C2065" t="n">
        <v>-16.3592</v>
      </c>
      <c r="D2065" t="n">
        <v>-46.9022</v>
      </c>
      <c r="E2065" t="inlineStr">
        <is>
          <t>2023-06</t>
        </is>
      </c>
      <c r="F2065" t="n">
        <v>569335.5279711529</v>
      </c>
    </row>
    <row r="2066">
      <c r="A2066" t="inlineStr">
        <is>
          <t>Milho</t>
        </is>
      </c>
      <c r="B2066" t="inlineStr">
        <is>
          <t>Unaí - MG</t>
        </is>
      </c>
      <c r="C2066" t="n">
        <v>-16.3592</v>
      </c>
      <c r="D2066" t="n">
        <v>-46.9022</v>
      </c>
      <c r="E2066" t="inlineStr">
        <is>
          <t>2022-07</t>
        </is>
      </c>
      <c r="F2066" t="n">
        <v>0</v>
      </c>
    </row>
    <row r="2067">
      <c r="A2067" t="inlineStr">
        <is>
          <t>Milho</t>
        </is>
      </c>
      <c r="B2067" t="inlineStr">
        <is>
          <t>Unaí - MG</t>
        </is>
      </c>
      <c r="C2067" t="n">
        <v>-16.3592</v>
      </c>
      <c r="D2067" t="n">
        <v>-46.9022</v>
      </c>
      <c r="E2067" t="inlineStr">
        <is>
          <t>2022-08</t>
        </is>
      </c>
      <c r="F2067" t="n">
        <v>0</v>
      </c>
    </row>
    <row r="2068">
      <c r="A2068" t="inlineStr">
        <is>
          <t>Milho</t>
        </is>
      </c>
      <c r="B2068" t="inlineStr">
        <is>
          <t>Unaí - MG</t>
        </is>
      </c>
      <c r="C2068" t="n">
        <v>-16.3592</v>
      </c>
      <c r="D2068" t="n">
        <v>-46.9022</v>
      </c>
      <c r="E2068" t="inlineStr">
        <is>
          <t>2022-09</t>
        </is>
      </c>
      <c r="F2068" t="n">
        <v>0</v>
      </c>
    </row>
    <row r="2069">
      <c r="A2069" t="inlineStr">
        <is>
          <t>Milho</t>
        </is>
      </c>
      <c r="B2069" t="inlineStr">
        <is>
          <t>Unaí - MG</t>
        </is>
      </c>
      <c r="C2069" t="n">
        <v>-16.3592</v>
      </c>
      <c r="D2069" t="n">
        <v>-46.9022</v>
      </c>
      <c r="E2069" t="inlineStr">
        <is>
          <t>2022-10</t>
        </is>
      </c>
      <c r="F2069" t="n">
        <v>0</v>
      </c>
    </row>
    <row r="2070">
      <c r="A2070" t="inlineStr">
        <is>
          <t>Milho</t>
        </is>
      </c>
      <c r="B2070" t="inlineStr">
        <is>
          <t>Unaí - MG</t>
        </is>
      </c>
      <c r="C2070" t="n">
        <v>-16.3592</v>
      </c>
      <c r="D2070" t="n">
        <v>-46.9022</v>
      </c>
      <c r="E2070" t="inlineStr">
        <is>
          <t>2022-11</t>
        </is>
      </c>
      <c r="F2070" t="n">
        <v>0</v>
      </c>
    </row>
    <row r="2071">
      <c r="A2071" t="inlineStr">
        <is>
          <t>Milho</t>
        </is>
      </c>
      <c r="B2071" t="inlineStr">
        <is>
          <t>Unaí - MG</t>
        </is>
      </c>
      <c r="C2071" t="n">
        <v>-16.3592</v>
      </c>
      <c r="D2071" t="n">
        <v>-46.9022</v>
      </c>
      <c r="E2071" t="inlineStr">
        <is>
          <t>2022-12</t>
        </is>
      </c>
      <c r="F2071" t="n">
        <v>0</v>
      </c>
    </row>
    <row r="2072">
      <c r="A2072" t="inlineStr">
        <is>
          <t>Milho</t>
        </is>
      </c>
      <c r="B2072" t="inlineStr">
        <is>
          <t>Maracaju - MS</t>
        </is>
      </c>
      <c r="C2072" t="n">
        <v>-21.6105</v>
      </c>
      <c r="D2072" t="n">
        <v>-55.1678</v>
      </c>
      <c r="E2072" t="inlineStr">
        <is>
          <t>2023-01</t>
        </is>
      </c>
      <c r="F2072" t="n">
        <v>59140.4232964639</v>
      </c>
    </row>
    <row r="2073">
      <c r="A2073" t="inlineStr">
        <is>
          <t>Milho</t>
        </is>
      </c>
      <c r="B2073" t="inlineStr">
        <is>
          <t>Maracaju - MS</t>
        </is>
      </c>
      <c r="C2073" t="n">
        <v>-21.6105</v>
      </c>
      <c r="D2073" t="n">
        <v>-55.1678</v>
      </c>
      <c r="E2073" t="inlineStr">
        <is>
          <t>2023-02</t>
        </is>
      </c>
      <c r="F2073" t="n">
        <v>67891.50400508255</v>
      </c>
    </row>
    <row r="2074">
      <c r="A2074" t="inlineStr">
        <is>
          <t>Milho</t>
        </is>
      </c>
      <c r="B2074" t="inlineStr">
        <is>
          <t>Maracaju - MS</t>
        </is>
      </c>
      <c r="C2074" t="n">
        <v>-21.6105</v>
      </c>
      <c r="D2074" t="n">
        <v>-55.1678</v>
      </c>
      <c r="E2074" t="inlineStr">
        <is>
          <t>2023-03</t>
        </is>
      </c>
      <c r="F2074" t="n">
        <v>95364.55309350652</v>
      </c>
    </row>
    <row r="2075">
      <c r="A2075" t="inlineStr">
        <is>
          <t>Milho</t>
        </is>
      </c>
      <c r="B2075" t="inlineStr">
        <is>
          <t>Maracaju - MS</t>
        </is>
      </c>
      <c r="C2075" t="n">
        <v>-21.6105</v>
      </c>
      <c r="D2075" t="n">
        <v>-55.1678</v>
      </c>
      <c r="E2075" t="inlineStr">
        <is>
          <t>2023-04</t>
        </is>
      </c>
      <c r="F2075" t="n">
        <v>55793.88945012875</v>
      </c>
    </row>
    <row r="2076">
      <c r="A2076" t="inlineStr">
        <is>
          <t>Milho</t>
        </is>
      </c>
      <c r="B2076" t="inlineStr">
        <is>
          <t>Maracaju - MS</t>
        </is>
      </c>
      <c r="C2076" t="n">
        <v>-21.6105</v>
      </c>
      <c r="D2076" t="n">
        <v>-55.1678</v>
      </c>
      <c r="E2076" t="inlineStr">
        <is>
          <t>2023-05</t>
        </is>
      </c>
      <c r="F2076" t="n">
        <v>20169.86443330745</v>
      </c>
    </row>
    <row r="2077">
      <c r="A2077" t="inlineStr">
        <is>
          <t>Milho</t>
        </is>
      </c>
      <c r="B2077" t="inlineStr">
        <is>
          <t>Maracaju - MS</t>
        </is>
      </c>
      <c r="C2077" t="n">
        <v>-21.6105</v>
      </c>
      <c r="D2077" t="n">
        <v>-55.1678</v>
      </c>
      <c r="E2077" t="inlineStr">
        <is>
          <t>2023-06</t>
        </is>
      </c>
      <c r="F2077" t="n">
        <v>0</v>
      </c>
    </row>
    <row r="2078">
      <c r="A2078" t="inlineStr">
        <is>
          <t>Milho</t>
        </is>
      </c>
      <c r="B2078" t="inlineStr">
        <is>
          <t>Maracaju - MS</t>
        </is>
      </c>
      <c r="C2078" t="n">
        <v>-21.6105</v>
      </c>
      <c r="D2078" t="n">
        <v>-55.1678</v>
      </c>
      <c r="E2078" t="inlineStr">
        <is>
          <t>2022-07</t>
        </is>
      </c>
      <c r="F2078" t="n">
        <v>0</v>
      </c>
    </row>
    <row r="2079">
      <c r="A2079" t="inlineStr">
        <is>
          <t>Milho</t>
        </is>
      </c>
      <c r="B2079" t="inlineStr">
        <is>
          <t>Maracaju - MS</t>
        </is>
      </c>
      <c r="C2079" t="n">
        <v>-21.6105</v>
      </c>
      <c r="D2079" t="n">
        <v>-55.1678</v>
      </c>
      <c r="E2079" t="inlineStr">
        <is>
          <t>2022-08</t>
        </is>
      </c>
      <c r="F2079" t="n">
        <v>0</v>
      </c>
    </row>
    <row r="2080">
      <c r="A2080" t="inlineStr">
        <is>
          <t>Milho</t>
        </is>
      </c>
      <c r="B2080" t="inlineStr">
        <is>
          <t>Maracaju - MS</t>
        </is>
      </c>
      <c r="C2080" t="n">
        <v>-21.6105</v>
      </c>
      <c r="D2080" t="n">
        <v>-55.1678</v>
      </c>
      <c r="E2080" t="inlineStr">
        <is>
          <t>2022-09</t>
        </is>
      </c>
      <c r="F2080" t="n">
        <v>0</v>
      </c>
    </row>
    <row r="2081">
      <c r="A2081" t="inlineStr">
        <is>
          <t>Milho</t>
        </is>
      </c>
      <c r="B2081" t="inlineStr">
        <is>
          <t>Maracaju - MS</t>
        </is>
      </c>
      <c r="C2081" t="n">
        <v>-21.6105</v>
      </c>
      <c r="D2081" t="n">
        <v>-55.1678</v>
      </c>
      <c r="E2081" t="inlineStr">
        <is>
          <t>2022-10</t>
        </is>
      </c>
      <c r="F2081" t="n">
        <v>0</v>
      </c>
    </row>
    <row r="2082">
      <c r="A2082" t="inlineStr">
        <is>
          <t>Milho</t>
        </is>
      </c>
      <c r="B2082" t="inlineStr">
        <is>
          <t>Maracaju - MS</t>
        </is>
      </c>
      <c r="C2082" t="n">
        <v>-21.6105</v>
      </c>
      <c r="D2082" t="n">
        <v>-55.1678</v>
      </c>
      <c r="E2082" t="inlineStr">
        <is>
          <t>2022-11</t>
        </is>
      </c>
      <c r="F2082" t="n">
        <v>0</v>
      </c>
    </row>
    <row r="2083">
      <c r="A2083" t="inlineStr">
        <is>
          <t>Milho</t>
        </is>
      </c>
      <c r="B2083" t="inlineStr">
        <is>
          <t>Maracaju - MS</t>
        </is>
      </c>
      <c r="C2083" t="n">
        <v>-21.6105</v>
      </c>
      <c r="D2083" t="n">
        <v>-55.1678</v>
      </c>
      <c r="E2083" t="inlineStr">
        <is>
          <t>2022-12</t>
        </is>
      </c>
      <c r="F2083" t="n">
        <v>0</v>
      </c>
    </row>
    <row r="2084">
      <c r="A2084" t="inlineStr">
        <is>
          <t>Milho</t>
        </is>
      </c>
      <c r="B2084" t="inlineStr">
        <is>
          <t>Sorriso - MT</t>
        </is>
      </c>
      <c r="C2084" t="n">
        <v>-12.5425</v>
      </c>
      <c r="D2084" t="n">
        <v>-55.7211</v>
      </c>
      <c r="E2084" t="inlineStr">
        <is>
          <t>2023-01</t>
        </is>
      </c>
      <c r="F2084" t="n">
        <v>0</v>
      </c>
    </row>
    <row r="2085">
      <c r="A2085" t="inlineStr">
        <is>
          <t>Milho</t>
        </is>
      </c>
      <c r="B2085" t="inlineStr">
        <is>
          <t>Sorriso - MT</t>
        </is>
      </c>
      <c r="C2085" t="n">
        <v>-12.5425</v>
      </c>
      <c r="D2085" t="n">
        <v>-55.7211</v>
      </c>
      <c r="E2085" t="inlineStr">
        <is>
          <t>2023-02</t>
        </is>
      </c>
      <c r="F2085" t="n">
        <v>196208.0465315781</v>
      </c>
    </row>
    <row r="2086">
      <c r="A2086" t="inlineStr">
        <is>
          <t>Milho</t>
        </is>
      </c>
      <c r="B2086" t="inlineStr">
        <is>
          <t>Sorriso - MT</t>
        </is>
      </c>
      <c r="C2086" t="n">
        <v>-12.5425</v>
      </c>
      <c r="D2086" t="n">
        <v>-55.7211</v>
      </c>
      <c r="E2086" t="inlineStr">
        <is>
          <t>2023-03</t>
        </is>
      </c>
      <c r="F2086" t="n">
        <v>196861.2898838574</v>
      </c>
    </row>
    <row r="2087">
      <c r="A2087" t="inlineStr">
        <is>
          <t>Milho</t>
        </is>
      </c>
      <c r="B2087" t="inlineStr">
        <is>
          <t>Sorriso - MT</t>
        </is>
      </c>
      <c r="C2087" t="n">
        <v>-12.5425</v>
      </c>
      <c r="D2087" t="n">
        <v>-55.7211</v>
      </c>
      <c r="E2087" t="inlineStr">
        <is>
          <t>2023-04</t>
        </is>
      </c>
      <c r="F2087" t="n">
        <v>161245.6553707963</v>
      </c>
    </row>
    <row r="2088">
      <c r="A2088" t="inlineStr">
        <is>
          <t>Milho</t>
        </is>
      </c>
      <c r="B2088" t="inlineStr">
        <is>
          <t>Sorriso - MT</t>
        </is>
      </c>
      <c r="C2088" t="n">
        <v>-12.5425</v>
      </c>
      <c r="D2088" t="n">
        <v>-55.7211</v>
      </c>
      <c r="E2088" t="inlineStr">
        <is>
          <t>2023-05</t>
        </is>
      </c>
      <c r="F2088" t="n">
        <v>58291.3835429208</v>
      </c>
    </row>
    <row r="2089">
      <c r="A2089" t="inlineStr">
        <is>
          <t>Milho</t>
        </is>
      </c>
      <c r="B2089" t="inlineStr">
        <is>
          <t>Sorriso - MT</t>
        </is>
      </c>
      <c r="C2089" t="n">
        <v>-12.5425</v>
      </c>
      <c r="D2089" t="n">
        <v>-55.7211</v>
      </c>
      <c r="E2089" t="inlineStr">
        <is>
          <t>2023-06</t>
        </is>
      </c>
      <c r="F2089" t="n">
        <v>51854.49396585948</v>
      </c>
    </row>
    <row r="2090">
      <c r="A2090" t="inlineStr">
        <is>
          <t>Milho</t>
        </is>
      </c>
      <c r="B2090" t="inlineStr">
        <is>
          <t>Sorriso - MT</t>
        </is>
      </c>
      <c r="C2090" t="n">
        <v>-12.5425</v>
      </c>
      <c r="D2090" t="n">
        <v>-55.7211</v>
      </c>
      <c r="E2090" t="inlineStr">
        <is>
          <t>2022-07</t>
        </is>
      </c>
      <c r="F2090" t="n">
        <v>0</v>
      </c>
    </row>
    <row r="2091">
      <c r="A2091" t="inlineStr">
        <is>
          <t>Milho</t>
        </is>
      </c>
      <c r="B2091" t="inlineStr">
        <is>
          <t>Sorriso - MT</t>
        </is>
      </c>
      <c r="C2091" t="n">
        <v>-12.5425</v>
      </c>
      <c r="D2091" t="n">
        <v>-55.7211</v>
      </c>
      <c r="E2091" t="inlineStr">
        <is>
          <t>2022-08</t>
        </is>
      </c>
      <c r="F2091" t="n">
        <v>0</v>
      </c>
    </row>
    <row r="2092">
      <c r="A2092" t="inlineStr">
        <is>
          <t>Milho</t>
        </is>
      </c>
      <c r="B2092" t="inlineStr">
        <is>
          <t>Sorriso - MT</t>
        </is>
      </c>
      <c r="C2092" t="n">
        <v>-12.5425</v>
      </c>
      <c r="D2092" t="n">
        <v>-55.7211</v>
      </c>
      <c r="E2092" t="inlineStr">
        <is>
          <t>2022-09</t>
        </is>
      </c>
      <c r="F2092" t="n">
        <v>0</v>
      </c>
    </row>
    <row r="2093">
      <c r="A2093" t="inlineStr">
        <is>
          <t>Milho</t>
        </is>
      </c>
      <c r="B2093" t="inlineStr">
        <is>
          <t>Sorriso - MT</t>
        </is>
      </c>
      <c r="C2093" t="n">
        <v>-12.5425</v>
      </c>
      <c r="D2093" t="n">
        <v>-55.7211</v>
      </c>
      <c r="E2093" t="inlineStr">
        <is>
          <t>2022-10</t>
        </is>
      </c>
      <c r="F2093" t="n">
        <v>0</v>
      </c>
    </row>
    <row r="2094">
      <c r="A2094" t="inlineStr">
        <is>
          <t>Milho</t>
        </is>
      </c>
      <c r="B2094" t="inlineStr">
        <is>
          <t>Sorriso - MT</t>
        </is>
      </c>
      <c r="C2094" t="n">
        <v>-12.5425</v>
      </c>
      <c r="D2094" t="n">
        <v>-55.7211</v>
      </c>
      <c r="E2094" t="inlineStr">
        <is>
          <t>2022-11</t>
        </is>
      </c>
      <c r="F2094" t="n">
        <v>0</v>
      </c>
    </row>
    <row r="2095">
      <c r="A2095" t="inlineStr">
        <is>
          <t>Milho</t>
        </is>
      </c>
      <c r="B2095" t="inlineStr">
        <is>
          <t>Sorriso - MT</t>
        </is>
      </c>
      <c r="C2095" t="n">
        <v>-12.5425</v>
      </c>
      <c r="D2095" t="n">
        <v>-55.7211</v>
      </c>
      <c r="E2095" t="inlineStr">
        <is>
          <t>2022-12</t>
        </is>
      </c>
      <c r="F2095" t="n">
        <v>0</v>
      </c>
    </row>
    <row r="2096">
      <c r="A2096" t="inlineStr">
        <is>
          <t>Milho</t>
        </is>
      </c>
      <c r="B2096" t="inlineStr">
        <is>
          <t>Santana do Araguaia - PA</t>
        </is>
      </c>
      <c r="C2096" t="n">
        <v>-9.328099999999999</v>
      </c>
      <c r="D2096" t="n">
        <v>-50.35</v>
      </c>
      <c r="E2096" t="inlineStr">
        <is>
          <t>2023-01</t>
        </is>
      </c>
      <c r="F2096" t="n">
        <v>0</v>
      </c>
    </row>
    <row r="2097">
      <c r="A2097" t="inlineStr">
        <is>
          <t>Milho</t>
        </is>
      </c>
      <c r="B2097" t="inlineStr">
        <is>
          <t>Santana do Araguaia - PA</t>
        </is>
      </c>
      <c r="C2097" t="n">
        <v>-9.328099999999999</v>
      </c>
      <c r="D2097" t="n">
        <v>-50.35</v>
      </c>
      <c r="E2097" t="inlineStr">
        <is>
          <t>2023-02</t>
        </is>
      </c>
      <c r="F2097" t="n">
        <v>211538.0038381286</v>
      </c>
    </row>
    <row r="2098">
      <c r="A2098" t="inlineStr">
        <is>
          <t>Milho</t>
        </is>
      </c>
      <c r="B2098" t="inlineStr">
        <is>
          <t>Santana do Araguaia - PA</t>
        </is>
      </c>
      <c r="C2098" t="n">
        <v>-9.328099999999999</v>
      </c>
      <c r="D2098" t="n">
        <v>-50.35</v>
      </c>
      <c r="E2098" t="inlineStr">
        <is>
          <t>2023-03</t>
        </is>
      </c>
      <c r="F2098" t="n">
        <v>127345.3715008415</v>
      </c>
    </row>
    <row r="2099">
      <c r="A2099" t="inlineStr">
        <is>
          <t>Milho</t>
        </is>
      </c>
      <c r="B2099" t="inlineStr">
        <is>
          <t>Santana do Araguaia - PA</t>
        </is>
      </c>
      <c r="C2099" t="n">
        <v>-9.328099999999999</v>
      </c>
      <c r="D2099" t="n">
        <v>-50.35</v>
      </c>
      <c r="E2099" t="inlineStr">
        <is>
          <t>2023-04</t>
        </is>
      </c>
      <c r="F2099" t="n">
        <v>173843.9613852401</v>
      </c>
    </row>
    <row r="2100">
      <c r="A2100" t="inlineStr">
        <is>
          <t>Milho</t>
        </is>
      </c>
      <c r="B2100" t="inlineStr">
        <is>
          <t>Santana do Araguaia - PA</t>
        </is>
      </c>
      <c r="C2100" t="n">
        <v>-9.328099999999999</v>
      </c>
      <c r="D2100" t="n">
        <v>-50.35</v>
      </c>
      <c r="E2100" t="inlineStr">
        <is>
          <t>2023-05</t>
        </is>
      </c>
      <c r="F2100" t="n">
        <v>104742.9258008511</v>
      </c>
    </row>
    <row r="2101">
      <c r="A2101" t="inlineStr">
        <is>
          <t>Milho</t>
        </is>
      </c>
      <c r="B2101" t="inlineStr">
        <is>
          <t>Santana do Araguaia - PA</t>
        </is>
      </c>
      <c r="C2101" t="n">
        <v>-9.328099999999999</v>
      </c>
      <c r="D2101" t="n">
        <v>-50.35</v>
      </c>
      <c r="E2101" t="inlineStr">
        <is>
          <t>2023-06</t>
        </is>
      </c>
      <c r="F2101" t="n">
        <v>55905.94441705934</v>
      </c>
    </row>
    <row r="2102">
      <c r="A2102" t="inlineStr">
        <is>
          <t>Milho</t>
        </is>
      </c>
      <c r="B2102" t="inlineStr">
        <is>
          <t>Santana do Araguaia - PA</t>
        </is>
      </c>
      <c r="C2102" t="n">
        <v>-9.328099999999999</v>
      </c>
      <c r="D2102" t="n">
        <v>-50.35</v>
      </c>
      <c r="E2102" t="inlineStr">
        <is>
          <t>2022-07</t>
        </is>
      </c>
      <c r="F2102" t="n">
        <v>0</v>
      </c>
    </row>
    <row r="2103">
      <c r="A2103" t="inlineStr">
        <is>
          <t>Milho</t>
        </is>
      </c>
      <c r="B2103" t="inlineStr">
        <is>
          <t>Santana do Araguaia - PA</t>
        </is>
      </c>
      <c r="C2103" t="n">
        <v>-9.328099999999999</v>
      </c>
      <c r="D2103" t="n">
        <v>-50.35</v>
      </c>
      <c r="E2103" t="inlineStr">
        <is>
          <t>2022-08</t>
        </is>
      </c>
      <c r="F2103" t="n">
        <v>0</v>
      </c>
    </row>
    <row r="2104">
      <c r="A2104" t="inlineStr">
        <is>
          <t>Milho</t>
        </is>
      </c>
      <c r="B2104" t="inlineStr">
        <is>
          <t>Santana do Araguaia - PA</t>
        </is>
      </c>
      <c r="C2104" t="n">
        <v>-9.328099999999999</v>
      </c>
      <c r="D2104" t="n">
        <v>-50.35</v>
      </c>
      <c r="E2104" t="inlineStr">
        <is>
          <t>2022-09</t>
        </is>
      </c>
      <c r="F2104" t="n">
        <v>0</v>
      </c>
    </row>
    <row r="2105">
      <c r="A2105" t="inlineStr">
        <is>
          <t>Milho</t>
        </is>
      </c>
      <c r="B2105" t="inlineStr">
        <is>
          <t>Santana do Araguaia - PA</t>
        </is>
      </c>
      <c r="C2105" t="n">
        <v>-9.328099999999999</v>
      </c>
      <c r="D2105" t="n">
        <v>-50.35</v>
      </c>
      <c r="E2105" t="inlineStr">
        <is>
          <t>2022-10</t>
        </is>
      </c>
      <c r="F2105" t="n">
        <v>0</v>
      </c>
    </row>
    <row r="2106">
      <c r="A2106" t="inlineStr">
        <is>
          <t>Milho</t>
        </is>
      </c>
      <c r="B2106" t="inlineStr">
        <is>
          <t>Santana do Araguaia - PA</t>
        </is>
      </c>
      <c r="C2106" t="n">
        <v>-9.328099999999999</v>
      </c>
      <c r="D2106" t="n">
        <v>-50.35</v>
      </c>
      <c r="E2106" t="inlineStr">
        <is>
          <t>2022-11</t>
        </is>
      </c>
      <c r="F2106" t="n">
        <v>0</v>
      </c>
    </row>
    <row r="2107">
      <c r="A2107" t="inlineStr">
        <is>
          <t>Milho</t>
        </is>
      </c>
      <c r="B2107" t="inlineStr">
        <is>
          <t>Santana do Araguaia - PA</t>
        </is>
      </c>
      <c r="C2107" t="n">
        <v>-9.328099999999999</v>
      </c>
      <c r="D2107" t="n">
        <v>-50.35</v>
      </c>
      <c r="E2107" t="inlineStr">
        <is>
          <t>2022-12</t>
        </is>
      </c>
      <c r="F2107" t="n">
        <v>0</v>
      </c>
    </row>
    <row r="2108">
      <c r="A2108" t="inlineStr">
        <is>
          <t>Milho</t>
        </is>
      </c>
      <c r="B2108" t="inlineStr">
        <is>
          <t>Exu - PE</t>
        </is>
      </c>
      <c r="C2108" t="n">
        <v>-7.50364</v>
      </c>
      <c r="D2108" t="n">
        <v>-39.7238</v>
      </c>
      <c r="E2108" t="inlineStr">
        <is>
          <t>2023-01</t>
        </is>
      </c>
      <c r="F2108" t="n">
        <v>0</v>
      </c>
    </row>
    <row r="2109">
      <c r="A2109" t="inlineStr">
        <is>
          <t>Milho</t>
        </is>
      </c>
      <c r="B2109" t="inlineStr">
        <is>
          <t>Exu - PE</t>
        </is>
      </c>
      <c r="C2109" t="n">
        <v>-7.50364</v>
      </c>
      <c r="D2109" t="n">
        <v>-39.7238</v>
      </c>
      <c r="E2109" t="inlineStr">
        <is>
          <t>2023-02</t>
        </is>
      </c>
      <c r="F2109" t="n">
        <v>0</v>
      </c>
    </row>
    <row r="2110">
      <c r="A2110" t="inlineStr">
        <is>
          <t>Milho</t>
        </is>
      </c>
      <c r="B2110" t="inlineStr">
        <is>
          <t>Exu - PE</t>
        </is>
      </c>
      <c r="C2110" t="n">
        <v>-7.50364</v>
      </c>
      <c r="D2110" t="n">
        <v>-39.7238</v>
      </c>
      <c r="E2110" t="inlineStr">
        <is>
          <t>2023-03</t>
        </is>
      </c>
      <c r="F2110" t="n">
        <v>0</v>
      </c>
    </row>
    <row r="2111">
      <c r="A2111" t="inlineStr">
        <is>
          <t>Milho</t>
        </is>
      </c>
      <c r="B2111" t="inlineStr">
        <is>
          <t>Exu - PE</t>
        </is>
      </c>
      <c r="C2111" t="n">
        <v>-7.50364</v>
      </c>
      <c r="D2111" t="n">
        <v>-39.7238</v>
      </c>
      <c r="E2111" t="inlineStr">
        <is>
          <t>2023-04</t>
        </is>
      </c>
      <c r="F2111" t="n">
        <v>0</v>
      </c>
    </row>
    <row r="2112">
      <c r="A2112" t="inlineStr">
        <is>
          <t>Milho</t>
        </is>
      </c>
      <c r="B2112" t="inlineStr">
        <is>
          <t>Exu - PE</t>
        </is>
      </c>
      <c r="C2112" t="n">
        <v>-7.50364</v>
      </c>
      <c r="D2112" t="n">
        <v>-39.7238</v>
      </c>
      <c r="E2112" t="inlineStr">
        <is>
          <t>2023-05</t>
        </is>
      </c>
      <c r="F2112" t="n">
        <v>0</v>
      </c>
    </row>
    <row r="2113">
      <c r="A2113" t="inlineStr">
        <is>
          <t>Milho</t>
        </is>
      </c>
      <c r="B2113" t="inlineStr">
        <is>
          <t>Exu - PE</t>
        </is>
      </c>
      <c r="C2113" t="n">
        <v>-7.50364</v>
      </c>
      <c r="D2113" t="n">
        <v>-39.7238</v>
      </c>
      <c r="E2113" t="inlineStr">
        <is>
          <t>2023-06</t>
        </is>
      </c>
      <c r="F2113" t="n">
        <v>0</v>
      </c>
    </row>
    <row r="2114">
      <c r="A2114" t="inlineStr">
        <is>
          <t>Milho</t>
        </is>
      </c>
      <c r="B2114" t="inlineStr">
        <is>
          <t>Exu - PE</t>
        </is>
      </c>
      <c r="C2114" t="n">
        <v>-7.50364</v>
      </c>
      <c r="D2114" t="n">
        <v>-39.7238</v>
      </c>
      <c r="E2114" t="inlineStr">
        <is>
          <t>2022-07</t>
        </is>
      </c>
      <c r="F2114" t="n">
        <v>0</v>
      </c>
    </row>
    <row r="2115">
      <c r="A2115" t="inlineStr">
        <is>
          <t>Milho</t>
        </is>
      </c>
      <c r="B2115" t="inlineStr">
        <is>
          <t>Exu - PE</t>
        </is>
      </c>
      <c r="C2115" t="n">
        <v>-7.50364</v>
      </c>
      <c r="D2115" t="n">
        <v>-39.7238</v>
      </c>
      <c r="E2115" t="inlineStr">
        <is>
          <t>2022-08</t>
        </is>
      </c>
      <c r="F2115" t="n">
        <v>0</v>
      </c>
    </row>
    <row r="2116">
      <c r="A2116" t="inlineStr">
        <is>
          <t>Milho</t>
        </is>
      </c>
      <c r="B2116" t="inlineStr">
        <is>
          <t>Exu - PE</t>
        </is>
      </c>
      <c r="C2116" t="n">
        <v>-7.50364</v>
      </c>
      <c r="D2116" t="n">
        <v>-39.7238</v>
      </c>
      <c r="E2116" t="inlineStr">
        <is>
          <t>2022-09</t>
        </is>
      </c>
      <c r="F2116" t="n">
        <v>0</v>
      </c>
    </row>
    <row r="2117">
      <c r="A2117" t="inlineStr">
        <is>
          <t>Milho</t>
        </is>
      </c>
      <c r="B2117" t="inlineStr">
        <is>
          <t>Exu - PE</t>
        </is>
      </c>
      <c r="C2117" t="n">
        <v>-7.50364</v>
      </c>
      <c r="D2117" t="n">
        <v>-39.7238</v>
      </c>
      <c r="E2117" t="inlineStr">
        <is>
          <t>2022-10</t>
        </is>
      </c>
      <c r="F2117" t="n">
        <v>0</v>
      </c>
    </row>
    <row r="2118">
      <c r="A2118" t="inlineStr">
        <is>
          <t>Milho</t>
        </is>
      </c>
      <c r="B2118" t="inlineStr">
        <is>
          <t>Exu - PE</t>
        </is>
      </c>
      <c r="C2118" t="n">
        <v>-7.50364</v>
      </c>
      <c r="D2118" t="n">
        <v>-39.7238</v>
      </c>
      <c r="E2118" t="inlineStr">
        <is>
          <t>2022-11</t>
        </is>
      </c>
      <c r="F2118" t="n">
        <v>0</v>
      </c>
    </row>
    <row r="2119">
      <c r="A2119" t="inlineStr">
        <is>
          <t>Milho</t>
        </is>
      </c>
      <c r="B2119" t="inlineStr">
        <is>
          <t>Exu - PE</t>
        </is>
      </c>
      <c r="C2119" t="n">
        <v>-7.50364</v>
      </c>
      <c r="D2119" t="n">
        <v>-39.7238</v>
      </c>
      <c r="E2119" t="inlineStr">
        <is>
          <t>2022-12</t>
        </is>
      </c>
      <c r="F2119" t="n">
        <v>0</v>
      </c>
    </row>
    <row r="2120">
      <c r="A2120" t="inlineStr">
        <is>
          <t>Milho</t>
        </is>
      </c>
      <c r="B2120" t="inlineStr">
        <is>
          <t>Baixa Grande do Ribeiro - PI</t>
        </is>
      </c>
      <c r="C2120" t="n">
        <v>-7.84903</v>
      </c>
      <c r="D2120" t="n">
        <v>-45.219</v>
      </c>
      <c r="E2120" t="inlineStr">
        <is>
          <t>2023-01</t>
        </is>
      </c>
      <c r="F2120" t="n">
        <v>0</v>
      </c>
    </row>
    <row r="2121">
      <c r="A2121" t="inlineStr">
        <is>
          <t>Milho</t>
        </is>
      </c>
      <c r="B2121" t="inlineStr">
        <is>
          <t>Baixa Grande do Ribeiro - PI</t>
        </is>
      </c>
      <c r="C2121" t="n">
        <v>-7.84903</v>
      </c>
      <c r="D2121" t="n">
        <v>-45.219</v>
      </c>
      <c r="E2121" t="inlineStr">
        <is>
          <t>2023-02</t>
        </is>
      </c>
      <c r="F2121" t="n">
        <v>444849.3892491289</v>
      </c>
    </row>
    <row r="2122">
      <c r="A2122" t="inlineStr">
        <is>
          <t>Milho</t>
        </is>
      </c>
      <c r="B2122" t="inlineStr">
        <is>
          <t>Baixa Grande do Ribeiro - PI</t>
        </is>
      </c>
      <c r="C2122" t="n">
        <v>-7.84903</v>
      </c>
      <c r="D2122" t="n">
        <v>-45.219</v>
      </c>
      <c r="E2122" t="inlineStr">
        <is>
          <t>2023-03</t>
        </is>
      </c>
      <c r="F2122" t="n">
        <v>535596.5330863352</v>
      </c>
    </row>
    <row r="2123">
      <c r="A2123" t="inlineStr">
        <is>
          <t>Milho</t>
        </is>
      </c>
      <c r="B2123" t="inlineStr">
        <is>
          <t>Baixa Grande do Ribeiro - PI</t>
        </is>
      </c>
      <c r="C2123" t="n">
        <v>-7.84903</v>
      </c>
      <c r="D2123" t="n">
        <v>-45.219</v>
      </c>
      <c r="E2123" t="inlineStr">
        <is>
          <t>2023-04</t>
        </is>
      </c>
      <c r="F2123" t="n">
        <v>731162.9933508341</v>
      </c>
    </row>
    <row r="2124">
      <c r="A2124" t="inlineStr">
        <is>
          <t>Milho</t>
        </is>
      </c>
      <c r="B2124" t="inlineStr">
        <is>
          <t>Baixa Grande do Ribeiro - PI</t>
        </is>
      </c>
      <c r="C2124" t="n">
        <v>-7.84903</v>
      </c>
      <c r="D2124" t="n">
        <v>-45.219</v>
      </c>
      <c r="E2124" t="inlineStr">
        <is>
          <t>2023-05</t>
        </is>
      </c>
      <c r="F2124" t="n">
        <v>440533.8589309022</v>
      </c>
    </row>
    <row r="2125">
      <c r="A2125" t="inlineStr">
        <is>
          <t>Milho</t>
        </is>
      </c>
      <c r="B2125" t="inlineStr">
        <is>
          <t>Baixa Grande do Ribeiro - PI</t>
        </is>
      </c>
      <c r="C2125" t="n">
        <v>-7.84903</v>
      </c>
      <c r="D2125" t="n">
        <v>-45.219</v>
      </c>
      <c r="E2125" t="inlineStr">
        <is>
          <t>2023-06</t>
        </is>
      </c>
      <c r="F2125" t="n">
        <v>235132.4563727584</v>
      </c>
    </row>
    <row r="2126">
      <c r="A2126" t="inlineStr">
        <is>
          <t>Milho</t>
        </is>
      </c>
      <c r="B2126" t="inlineStr">
        <is>
          <t>Baixa Grande do Ribeiro - PI</t>
        </is>
      </c>
      <c r="C2126" t="n">
        <v>-7.84903</v>
      </c>
      <c r="D2126" t="n">
        <v>-45.219</v>
      </c>
      <c r="E2126" t="inlineStr">
        <is>
          <t>2022-07</t>
        </is>
      </c>
      <c r="F2126" t="n">
        <v>0</v>
      </c>
    </row>
    <row r="2127">
      <c r="A2127" t="inlineStr">
        <is>
          <t>Milho</t>
        </is>
      </c>
      <c r="B2127" t="inlineStr">
        <is>
          <t>Baixa Grande do Ribeiro - PI</t>
        </is>
      </c>
      <c r="C2127" t="n">
        <v>-7.84903</v>
      </c>
      <c r="D2127" t="n">
        <v>-45.219</v>
      </c>
      <c r="E2127" t="inlineStr">
        <is>
          <t>2022-08</t>
        </is>
      </c>
      <c r="F2127" t="n">
        <v>0</v>
      </c>
    </row>
    <row r="2128">
      <c r="A2128" t="inlineStr">
        <is>
          <t>Milho</t>
        </is>
      </c>
      <c r="B2128" t="inlineStr">
        <is>
          <t>Baixa Grande do Ribeiro - PI</t>
        </is>
      </c>
      <c r="C2128" t="n">
        <v>-7.84903</v>
      </c>
      <c r="D2128" t="n">
        <v>-45.219</v>
      </c>
      <c r="E2128" t="inlineStr">
        <is>
          <t>2022-09</t>
        </is>
      </c>
      <c r="F2128" t="n">
        <v>0</v>
      </c>
    </row>
    <row r="2129">
      <c r="A2129" t="inlineStr">
        <is>
          <t>Milho</t>
        </is>
      </c>
      <c r="B2129" t="inlineStr">
        <is>
          <t>Baixa Grande do Ribeiro - PI</t>
        </is>
      </c>
      <c r="C2129" t="n">
        <v>-7.84903</v>
      </c>
      <c r="D2129" t="n">
        <v>-45.219</v>
      </c>
      <c r="E2129" t="inlineStr">
        <is>
          <t>2022-10</t>
        </is>
      </c>
      <c r="F2129" t="n">
        <v>0</v>
      </c>
    </row>
    <row r="2130">
      <c r="A2130" t="inlineStr">
        <is>
          <t>Milho</t>
        </is>
      </c>
      <c r="B2130" t="inlineStr">
        <is>
          <t>Baixa Grande do Ribeiro - PI</t>
        </is>
      </c>
      <c r="C2130" t="n">
        <v>-7.84903</v>
      </c>
      <c r="D2130" t="n">
        <v>-45.219</v>
      </c>
      <c r="E2130" t="inlineStr">
        <is>
          <t>2022-11</t>
        </is>
      </c>
      <c r="F2130" t="n">
        <v>0</v>
      </c>
    </row>
    <row r="2131">
      <c r="A2131" t="inlineStr">
        <is>
          <t>Milho</t>
        </is>
      </c>
      <c r="B2131" t="inlineStr">
        <is>
          <t>Baixa Grande do Ribeiro - PI</t>
        </is>
      </c>
      <c r="C2131" t="n">
        <v>-7.84903</v>
      </c>
      <c r="D2131" t="n">
        <v>-45.219</v>
      </c>
      <c r="E2131" t="inlineStr">
        <is>
          <t>2022-12</t>
        </is>
      </c>
      <c r="F2131" t="n">
        <v>0</v>
      </c>
    </row>
    <row r="2132">
      <c r="A2132" t="inlineStr">
        <is>
          <t>Milho</t>
        </is>
      </c>
      <c r="B2132" t="inlineStr">
        <is>
          <t>Toledo - PR</t>
        </is>
      </c>
      <c r="C2132" t="n">
        <v>-24.7246</v>
      </c>
      <c r="D2132" t="n">
        <v>-53.7412</v>
      </c>
      <c r="E2132" t="inlineStr">
        <is>
          <t>2023-01</t>
        </is>
      </c>
      <c r="F2132" t="n">
        <v>2219370.769771984</v>
      </c>
    </row>
    <row r="2133">
      <c r="A2133" t="inlineStr">
        <is>
          <t>Milho</t>
        </is>
      </c>
      <c r="B2133" t="inlineStr">
        <is>
          <t>Toledo - PR</t>
        </is>
      </c>
      <c r="C2133" t="n">
        <v>-24.7246</v>
      </c>
      <c r="D2133" t="n">
        <v>-53.7412</v>
      </c>
      <c r="E2133" t="inlineStr">
        <is>
          <t>2023-02</t>
        </is>
      </c>
      <c r="F2133" t="n">
        <v>1273886.887395232</v>
      </c>
    </row>
    <row r="2134">
      <c r="A2134" t="inlineStr">
        <is>
          <t>Milho</t>
        </is>
      </c>
      <c r="B2134" t="inlineStr">
        <is>
          <t>Toledo - PR</t>
        </is>
      </c>
      <c r="C2134" t="n">
        <v>-24.7246</v>
      </c>
      <c r="D2134" t="n">
        <v>-53.7412</v>
      </c>
      <c r="E2134" t="inlineStr">
        <is>
          <t>2023-03</t>
        </is>
      </c>
      <c r="F2134" t="n">
        <v>1278128.090319664</v>
      </c>
    </row>
    <row r="2135">
      <c r="A2135" t="inlineStr">
        <is>
          <t>Milho</t>
        </is>
      </c>
      <c r="B2135" t="inlineStr">
        <is>
          <t>Toledo - PR</t>
        </is>
      </c>
      <c r="C2135" t="n">
        <v>-24.7246</v>
      </c>
      <c r="D2135" t="n">
        <v>-53.7412</v>
      </c>
      <c r="E2135" t="inlineStr">
        <is>
          <t>2023-04</t>
        </is>
      </c>
      <c r="F2135" t="n">
        <v>1046892.467752331</v>
      </c>
    </row>
    <row r="2136">
      <c r="A2136" t="inlineStr">
        <is>
          <t>Milho</t>
        </is>
      </c>
      <c r="B2136" t="inlineStr">
        <is>
          <t>Toledo - PR</t>
        </is>
      </c>
      <c r="C2136" t="n">
        <v>-24.7246</v>
      </c>
      <c r="D2136" t="n">
        <v>-53.7412</v>
      </c>
      <c r="E2136" t="inlineStr">
        <is>
          <t>2023-05</t>
        </is>
      </c>
      <c r="F2136" t="n">
        <v>378458.6333542751</v>
      </c>
    </row>
    <row r="2137">
      <c r="A2137" t="inlineStr">
        <is>
          <t>Milho</t>
        </is>
      </c>
      <c r="B2137" t="inlineStr">
        <is>
          <t>Toledo - PR</t>
        </is>
      </c>
      <c r="C2137" t="n">
        <v>-24.7246</v>
      </c>
      <c r="D2137" t="n">
        <v>-53.7412</v>
      </c>
      <c r="E2137" t="inlineStr">
        <is>
          <t>2023-06</t>
        </is>
      </c>
      <c r="F2137" t="n">
        <v>168333.463085043</v>
      </c>
    </row>
    <row r="2138">
      <c r="A2138" t="inlineStr">
        <is>
          <t>Milho</t>
        </is>
      </c>
      <c r="B2138" t="inlineStr">
        <is>
          <t>Toledo - PR</t>
        </is>
      </c>
      <c r="C2138" t="n">
        <v>-24.7246</v>
      </c>
      <c r="D2138" t="n">
        <v>-53.7412</v>
      </c>
      <c r="E2138" t="inlineStr">
        <is>
          <t>2022-07</t>
        </is>
      </c>
      <c r="F2138" t="n">
        <v>0</v>
      </c>
    </row>
    <row r="2139">
      <c r="A2139" t="inlineStr">
        <is>
          <t>Milho</t>
        </is>
      </c>
      <c r="B2139" t="inlineStr">
        <is>
          <t>Toledo - PR</t>
        </is>
      </c>
      <c r="C2139" t="n">
        <v>-24.7246</v>
      </c>
      <c r="D2139" t="n">
        <v>-53.7412</v>
      </c>
      <c r="E2139" t="inlineStr">
        <is>
          <t>2022-08</t>
        </is>
      </c>
      <c r="F2139" t="n">
        <v>0</v>
      </c>
    </row>
    <row r="2140">
      <c r="A2140" t="inlineStr">
        <is>
          <t>Milho</t>
        </is>
      </c>
      <c r="B2140" t="inlineStr">
        <is>
          <t>Toledo - PR</t>
        </is>
      </c>
      <c r="C2140" t="n">
        <v>-24.7246</v>
      </c>
      <c r="D2140" t="n">
        <v>-53.7412</v>
      </c>
      <c r="E2140" t="inlineStr">
        <is>
          <t>2022-09</t>
        </is>
      </c>
      <c r="F2140" t="n">
        <v>0</v>
      </c>
    </row>
    <row r="2141">
      <c r="A2141" t="inlineStr">
        <is>
          <t>Milho</t>
        </is>
      </c>
      <c r="B2141" t="inlineStr">
        <is>
          <t>Toledo - PR</t>
        </is>
      </c>
      <c r="C2141" t="n">
        <v>-24.7246</v>
      </c>
      <c r="D2141" t="n">
        <v>-53.7412</v>
      </c>
      <c r="E2141" t="inlineStr">
        <is>
          <t>2022-10</t>
        </is>
      </c>
      <c r="F2141" t="n">
        <v>0</v>
      </c>
    </row>
    <row r="2142">
      <c r="A2142" t="inlineStr">
        <is>
          <t>Milho</t>
        </is>
      </c>
      <c r="B2142" t="inlineStr">
        <is>
          <t>Toledo - PR</t>
        </is>
      </c>
      <c r="C2142" t="n">
        <v>-24.7246</v>
      </c>
      <c r="D2142" t="n">
        <v>-53.7412</v>
      </c>
      <c r="E2142" t="inlineStr">
        <is>
          <t>2022-11</t>
        </is>
      </c>
      <c r="F2142" t="n">
        <v>0</v>
      </c>
    </row>
    <row r="2143">
      <c r="A2143" t="inlineStr">
        <is>
          <t>Milho</t>
        </is>
      </c>
      <c r="B2143" t="inlineStr">
        <is>
          <t>Toledo - PR</t>
        </is>
      </c>
      <c r="C2143" t="n">
        <v>-24.7246</v>
      </c>
      <c r="D2143" t="n">
        <v>-53.7412</v>
      </c>
      <c r="E2143" t="inlineStr">
        <is>
          <t>2022-12</t>
        </is>
      </c>
      <c r="F2143" t="n">
        <v>2469009.95602424</v>
      </c>
    </row>
    <row r="2144">
      <c r="A2144" t="inlineStr">
        <is>
          <t>Milho</t>
        </is>
      </c>
      <c r="B2144" t="inlineStr">
        <is>
          <t>Macaé - RJ</t>
        </is>
      </c>
      <c r="C2144" t="n">
        <v>-22.3768</v>
      </c>
      <c r="D2144" t="n">
        <v>-41.7848</v>
      </c>
      <c r="E2144" t="inlineStr">
        <is>
          <t>2023-01</t>
        </is>
      </c>
      <c r="F2144" t="n">
        <v>0</v>
      </c>
    </row>
    <row r="2145">
      <c r="A2145" t="inlineStr">
        <is>
          <t>Milho</t>
        </is>
      </c>
      <c r="B2145" t="inlineStr">
        <is>
          <t>Macaé - RJ</t>
        </is>
      </c>
      <c r="C2145" t="n">
        <v>-22.3768</v>
      </c>
      <c r="D2145" t="n">
        <v>-41.7848</v>
      </c>
      <c r="E2145" t="inlineStr">
        <is>
          <t>2023-02</t>
        </is>
      </c>
      <c r="F2145" t="n">
        <v>3842.118696805049</v>
      </c>
    </row>
    <row r="2146">
      <c r="A2146" t="inlineStr">
        <is>
          <t>Milho</t>
        </is>
      </c>
      <c r="B2146" t="inlineStr">
        <is>
          <t>Macaé - RJ</t>
        </is>
      </c>
      <c r="C2146" t="n">
        <v>-22.3768</v>
      </c>
      <c r="D2146" t="n">
        <v>-41.7848</v>
      </c>
      <c r="E2146" t="inlineStr">
        <is>
          <t>2023-03</t>
        </is>
      </c>
      <c r="F2146" t="n">
        <v>3854.910417337019</v>
      </c>
    </row>
    <row r="2147">
      <c r="A2147" t="inlineStr">
        <is>
          <t>Milho</t>
        </is>
      </c>
      <c r="B2147" t="inlineStr">
        <is>
          <t>Macaé - RJ</t>
        </is>
      </c>
      <c r="C2147" t="n">
        <v>-22.3768</v>
      </c>
      <c r="D2147" t="n">
        <v>-41.7848</v>
      </c>
      <c r="E2147" t="inlineStr">
        <is>
          <t>2023-04</t>
        </is>
      </c>
      <c r="F2147" t="n">
        <v>3157.490012414002</v>
      </c>
    </row>
    <row r="2148">
      <c r="A2148" t="inlineStr">
        <is>
          <t>Milho</t>
        </is>
      </c>
      <c r="B2148" t="inlineStr">
        <is>
          <t>Macaé - RJ</t>
        </is>
      </c>
      <c r="C2148" t="n">
        <v>-22.3768</v>
      </c>
      <c r="D2148" t="n">
        <v>-41.7848</v>
      </c>
      <c r="E2148" t="inlineStr">
        <is>
          <t>2023-05</t>
        </is>
      </c>
      <c r="F2148" t="n">
        <v>1141.453770790411</v>
      </c>
    </row>
    <row r="2149">
      <c r="A2149" t="inlineStr">
        <is>
          <t>Milho</t>
        </is>
      </c>
      <c r="B2149" t="inlineStr">
        <is>
          <t>Macaé - RJ</t>
        </is>
      </c>
      <c r="C2149" t="n">
        <v>-22.3768</v>
      </c>
      <c r="D2149" t="n">
        <v>-41.7848</v>
      </c>
      <c r="E2149" t="inlineStr">
        <is>
          <t>2023-06</t>
        </is>
      </c>
      <c r="F2149" t="n">
        <v>0</v>
      </c>
    </row>
    <row r="2150">
      <c r="A2150" t="inlineStr">
        <is>
          <t>Milho</t>
        </is>
      </c>
      <c r="B2150" t="inlineStr">
        <is>
          <t>Macaé - RJ</t>
        </is>
      </c>
      <c r="C2150" t="n">
        <v>-22.3768</v>
      </c>
      <c r="D2150" t="n">
        <v>-41.7848</v>
      </c>
      <c r="E2150" t="inlineStr">
        <is>
          <t>2022-07</t>
        </is>
      </c>
      <c r="F2150" t="n">
        <v>0</v>
      </c>
    </row>
    <row r="2151">
      <c r="A2151" t="inlineStr">
        <is>
          <t>Milho</t>
        </is>
      </c>
      <c r="B2151" t="inlineStr">
        <is>
          <t>Macaé - RJ</t>
        </is>
      </c>
      <c r="C2151" t="n">
        <v>-22.3768</v>
      </c>
      <c r="D2151" t="n">
        <v>-41.7848</v>
      </c>
      <c r="E2151" t="inlineStr">
        <is>
          <t>2022-08</t>
        </is>
      </c>
      <c r="F2151" t="n">
        <v>0</v>
      </c>
    </row>
    <row r="2152">
      <c r="A2152" t="inlineStr">
        <is>
          <t>Milho</t>
        </is>
      </c>
      <c r="B2152" t="inlineStr">
        <is>
          <t>Macaé - RJ</t>
        </is>
      </c>
      <c r="C2152" t="n">
        <v>-22.3768</v>
      </c>
      <c r="D2152" t="n">
        <v>-41.7848</v>
      </c>
      <c r="E2152" t="inlineStr">
        <is>
          <t>2022-09</t>
        </is>
      </c>
      <c r="F2152" t="n">
        <v>0</v>
      </c>
    </row>
    <row r="2153">
      <c r="A2153" t="inlineStr">
        <is>
          <t>Milho</t>
        </is>
      </c>
      <c r="B2153" t="inlineStr">
        <is>
          <t>Macaé - RJ</t>
        </is>
      </c>
      <c r="C2153" t="n">
        <v>-22.3768</v>
      </c>
      <c r="D2153" t="n">
        <v>-41.7848</v>
      </c>
      <c r="E2153" t="inlineStr">
        <is>
          <t>2022-10</t>
        </is>
      </c>
      <c r="F2153" t="n">
        <v>0</v>
      </c>
    </row>
    <row r="2154">
      <c r="A2154" t="inlineStr">
        <is>
          <t>Milho</t>
        </is>
      </c>
      <c r="B2154" t="inlineStr">
        <is>
          <t>Macaé - RJ</t>
        </is>
      </c>
      <c r="C2154" t="n">
        <v>-22.3768</v>
      </c>
      <c r="D2154" t="n">
        <v>-41.7848</v>
      </c>
      <c r="E2154" t="inlineStr">
        <is>
          <t>2022-11</t>
        </is>
      </c>
      <c r="F2154" t="n">
        <v>0</v>
      </c>
    </row>
    <row r="2155">
      <c r="A2155" t="inlineStr">
        <is>
          <t>Milho</t>
        </is>
      </c>
      <c r="B2155" t="inlineStr">
        <is>
          <t>Macaé - RJ</t>
        </is>
      </c>
      <c r="C2155" t="n">
        <v>-22.3768</v>
      </c>
      <c r="D2155" t="n">
        <v>-41.7848</v>
      </c>
      <c r="E2155" t="inlineStr">
        <is>
          <t>2022-12</t>
        </is>
      </c>
      <c r="F2155" t="n">
        <v>0</v>
      </c>
    </row>
    <row r="2156">
      <c r="A2156" t="inlineStr">
        <is>
          <t>Milho</t>
        </is>
      </c>
      <c r="B2156" t="inlineStr">
        <is>
          <t>Pimenteiras do Oeste - RO</t>
        </is>
      </c>
      <c r="C2156" t="n">
        <v>-13.4823</v>
      </c>
      <c r="D2156" t="n">
        <v>-61.0471</v>
      </c>
      <c r="E2156" t="inlineStr">
        <is>
          <t>2023-01</t>
        </is>
      </c>
      <c r="F2156" t="n">
        <v>32076.33676915646</v>
      </c>
    </row>
    <row r="2157">
      <c r="A2157" t="inlineStr">
        <is>
          <t>Milho</t>
        </is>
      </c>
      <c r="B2157" t="inlineStr">
        <is>
          <t>Pimenteiras do Oeste - RO</t>
        </is>
      </c>
      <c r="C2157" t="n">
        <v>-13.4823</v>
      </c>
      <c r="D2157" t="n">
        <v>-61.0471</v>
      </c>
      <c r="E2157" t="inlineStr">
        <is>
          <t>2023-02</t>
        </is>
      </c>
      <c r="F2157" t="n">
        <v>42959.83010696646</v>
      </c>
    </row>
    <row r="2158">
      <c r="A2158" t="inlineStr">
        <is>
          <t>Milho</t>
        </is>
      </c>
      <c r="B2158" t="inlineStr">
        <is>
          <t>Pimenteiras do Oeste - RO</t>
        </is>
      </c>
      <c r="C2158" t="n">
        <v>-13.4823</v>
      </c>
      <c r="D2158" t="n">
        <v>-61.0471</v>
      </c>
      <c r="E2158" t="inlineStr">
        <is>
          <t>2023-03</t>
        </is>
      </c>
      <c r="F2158" t="n">
        <v>11083.59205706519</v>
      </c>
    </row>
    <row r="2159">
      <c r="A2159" t="inlineStr">
        <is>
          <t>Milho</t>
        </is>
      </c>
      <c r="B2159" t="inlineStr">
        <is>
          <t>Pimenteiras do Oeste - RO</t>
        </is>
      </c>
      <c r="C2159" t="n">
        <v>-13.4823</v>
      </c>
      <c r="D2159" t="n">
        <v>-61.0471</v>
      </c>
      <c r="E2159" t="inlineStr">
        <is>
          <t>2023-04</t>
        </is>
      </c>
      <c r="F2159" t="n">
        <v>9078.377298850444</v>
      </c>
    </row>
    <row r="2160">
      <c r="A2160" t="inlineStr">
        <is>
          <t>Milho</t>
        </is>
      </c>
      <c r="B2160" t="inlineStr">
        <is>
          <t>Pimenteiras do Oeste - RO</t>
        </is>
      </c>
      <c r="C2160" t="n">
        <v>-13.4823</v>
      </c>
      <c r="D2160" t="n">
        <v>-61.0471</v>
      </c>
      <c r="E2160" t="inlineStr">
        <is>
          <t>2023-05</t>
        </is>
      </c>
      <c r="F2160" t="n">
        <v>0</v>
      </c>
    </row>
    <row r="2161">
      <c r="A2161" t="inlineStr">
        <is>
          <t>Milho</t>
        </is>
      </c>
      <c r="B2161" t="inlineStr">
        <is>
          <t>Pimenteiras do Oeste - RO</t>
        </is>
      </c>
      <c r="C2161" t="n">
        <v>-13.4823</v>
      </c>
      <c r="D2161" t="n">
        <v>-61.0471</v>
      </c>
      <c r="E2161" t="inlineStr">
        <is>
          <t>2023-06</t>
        </is>
      </c>
      <c r="F2161" t="n">
        <v>0</v>
      </c>
    </row>
    <row r="2162">
      <c r="A2162" t="inlineStr">
        <is>
          <t>Milho</t>
        </is>
      </c>
      <c r="B2162" t="inlineStr">
        <is>
          <t>Pimenteiras do Oeste - RO</t>
        </is>
      </c>
      <c r="C2162" t="n">
        <v>-13.4823</v>
      </c>
      <c r="D2162" t="n">
        <v>-61.0471</v>
      </c>
      <c r="E2162" t="inlineStr">
        <is>
          <t>2022-07</t>
        </is>
      </c>
      <c r="F2162" t="n">
        <v>0</v>
      </c>
    </row>
    <row r="2163">
      <c r="A2163" t="inlineStr">
        <is>
          <t>Milho</t>
        </is>
      </c>
      <c r="B2163" t="inlineStr">
        <is>
          <t>Pimenteiras do Oeste - RO</t>
        </is>
      </c>
      <c r="C2163" t="n">
        <v>-13.4823</v>
      </c>
      <c r="D2163" t="n">
        <v>-61.0471</v>
      </c>
      <c r="E2163" t="inlineStr">
        <is>
          <t>2022-08</t>
        </is>
      </c>
      <c r="F2163" t="n">
        <v>0</v>
      </c>
    </row>
    <row r="2164">
      <c r="A2164" t="inlineStr">
        <is>
          <t>Milho</t>
        </is>
      </c>
      <c r="B2164" t="inlineStr">
        <is>
          <t>Pimenteiras do Oeste - RO</t>
        </is>
      </c>
      <c r="C2164" t="n">
        <v>-13.4823</v>
      </c>
      <c r="D2164" t="n">
        <v>-61.0471</v>
      </c>
      <c r="E2164" t="inlineStr">
        <is>
          <t>2022-09</t>
        </is>
      </c>
      <c r="F2164" t="n">
        <v>0</v>
      </c>
    </row>
    <row r="2165">
      <c r="A2165" t="inlineStr">
        <is>
          <t>Milho</t>
        </is>
      </c>
      <c r="B2165" t="inlineStr">
        <is>
          <t>Pimenteiras do Oeste - RO</t>
        </is>
      </c>
      <c r="C2165" t="n">
        <v>-13.4823</v>
      </c>
      <c r="D2165" t="n">
        <v>-61.0471</v>
      </c>
      <c r="E2165" t="inlineStr">
        <is>
          <t>2022-10</t>
        </is>
      </c>
      <c r="F2165" t="n">
        <v>0</v>
      </c>
    </row>
    <row r="2166">
      <c r="A2166" t="inlineStr">
        <is>
          <t>Milho</t>
        </is>
      </c>
      <c r="B2166" t="inlineStr">
        <is>
          <t>Pimenteiras do Oeste - RO</t>
        </is>
      </c>
      <c r="C2166" t="n">
        <v>-13.4823</v>
      </c>
      <c r="D2166" t="n">
        <v>-61.0471</v>
      </c>
      <c r="E2166" t="inlineStr">
        <is>
          <t>2022-11</t>
        </is>
      </c>
      <c r="F2166" t="n">
        <v>0</v>
      </c>
    </row>
    <row r="2167">
      <c r="A2167" t="inlineStr">
        <is>
          <t>Milho</t>
        </is>
      </c>
      <c r="B2167" t="inlineStr">
        <is>
          <t>Pimenteiras do Oeste - RO</t>
        </is>
      </c>
      <c r="C2167" t="n">
        <v>-13.4823</v>
      </c>
      <c r="D2167" t="n">
        <v>-61.0471</v>
      </c>
      <c r="E2167" t="inlineStr">
        <is>
          <t>2022-12</t>
        </is>
      </c>
      <c r="F2167" t="n">
        <v>71368.69234694869</v>
      </c>
    </row>
    <row r="2168">
      <c r="A2168" t="inlineStr">
        <is>
          <t>Milho</t>
        </is>
      </c>
      <c r="B2168" t="inlineStr">
        <is>
          <t>Palmeira das Missões - RS</t>
        </is>
      </c>
      <c r="C2168" t="n">
        <v>-27.9007</v>
      </c>
      <c r="D2168" t="n">
        <v>-53.3134</v>
      </c>
      <c r="E2168" t="inlineStr">
        <is>
          <t>2023-01</t>
        </is>
      </c>
      <c r="F2168" t="n">
        <v>1730199.313463395</v>
      </c>
    </row>
    <row r="2169">
      <c r="A2169" t="inlineStr">
        <is>
          <t>Milho</t>
        </is>
      </c>
      <c r="B2169" t="inlineStr">
        <is>
          <t>Palmeira das Missões - RS</t>
        </is>
      </c>
      <c r="C2169" t="n">
        <v>-27.9007</v>
      </c>
      <c r="D2169" t="n">
        <v>-53.3134</v>
      </c>
      <c r="E2169" t="inlineStr">
        <is>
          <t>2023-02</t>
        </is>
      </c>
      <c r="F2169" t="n">
        <v>993109.5101462912</v>
      </c>
    </row>
    <row r="2170">
      <c r="A2170" t="inlineStr">
        <is>
          <t>Milho</t>
        </is>
      </c>
      <c r="B2170" t="inlineStr">
        <is>
          <t>Palmeira das Missões - RS</t>
        </is>
      </c>
      <c r="C2170" t="n">
        <v>-27.9007</v>
      </c>
      <c r="D2170" t="n">
        <v>-53.3134</v>
      </c>
      <c r="E2170" t="inlineStr">
        <is>
          <t>2023-03</t>
        </is>
      </c>
      <c r="F2170" t="n">
        <v>1394982.273495106</v>
      </c>
    </row>
    <row r="2171">
      <c r="A2171" t="inlineStr">
        <is>
          <t>Milho</t>
        </is>
      </c>
      <c r="B2171" t="inlineStr">
        <is>
          <t>Palmeira das Missões - RS</t>
        </is>
      </c>
      <c r="C2171" t="n">
        <v>-27.9007</v>
      </c>
      <c r="D2171" t="n">
        <v>-53.3134</v>
      </c>
      <c r="E2171" t="inlineStr">
        <is>
          <t>2023-04</t>
        </is>
      </c>
      <c r="F2171" t="n">
        <v>1142605.694868031</v>
      </c>
    </row>
    <row r="2172">
      <c r="A2172" t="inlineStr">
        <is>
          <t>Milho</t>
        </is>
      </c>
      <c r="B2172" t="inlineStr">
        <is>
          <t>Palmeira das Missões - RS</t>
        </is>
      </c>
      <c r="C2172" t="n">
        <v>-27.9007</v>
      </c>
      <c r="D2172" t="n">
        <v>-53.3134</v>
      </c>
      <c r="E2172" t="inlineStr">
        <is>
          <t>2023-05</t>
        </is>
      </c>
      <c r="F2172" t="n">
        <v>295042.57536524</v>
      </c>
    </row>
    <row r="2173">
      <c r="A2173" t="inlineStr">
        <is>
          <t>Milho</t>
        </is>
      </c>
      <c r="B2173" t="inlineStr">
        <is>
          <t>Palmeira das Missões - RS</t>
        </is>
      </c>
      <c r="C2173" t="n">
        <v>-27.9007</v>
      </c>
      <c r="D2173" t="n">
        <v>-53.3134</v>
      </c>
      <c r="E2173" t="inlineStr">
        <is>
          <t>2023-06</t>
        </is>
      </c>
      <c r="F2173" t="n">
        <v>262462.1773247738</v>
      </c>
    </row>
    <row r="2174">
      <c r="A2174" t="inlineStr">
        <is>
          <t>Milho</t>
        </is>
      </c>
      <c r="B2174" t="inlineStr">
        <is>
          <t>Palmeira das Missões - RS</t>
        </is>
      </c>
      <c r="C2174" t="n">
        <v>-27.9007</v>
      </c>
      <c r="D2174" t="n">
        <v>-53.3134</v>
      </c>
      <c r="E2174" t="inlineStr">
        <is>
          <t>2022-07</t>
        </is>
      </c>
      <c r="F2174" t="n">
        <v>0</v>
      </c>
    </row>
    <row r="2175">
      <c r="A2175" t="inlineStr">
        <is>
          <t>Milho</t>
        </is>
      </c>
      <c r="B2175" t="inlineStr">
        <is>
          <t>Palmeira das Missões - RS</t>
        </is>
      </c>
      <c r="C2175" t="n">
        <v>-27.9007</v>
      </c>
      <c r="D2175" t="n">
        <v>-53.3134</v>
      </c>
      <c r="E2175" t="inlineStr">
        <is>
          <t>2022-08</t>
        </is>
      </c>
      <c r="F2175" t="n">
        <v>0</v>
      </c>
    </row>
    <row r="2176">
      <c r="A2176" t="inlineStr">
        <is>
          <t>Milho</t>
        </is>
      </c>
      <c r="B2176" t="inlineStr">
        <is>
          <t>Palmeira das Missões - RS</t>
        </is>
      </c>
      <c r="C2176" t="n">
        <v>-27.9007</v>
      </c>
      <c r="D2176" t="n">
        <v>-53.3134</v>
      </c>
      <c r="E2176" t="inlineStr">
        <is>
          <t>2022-09</t>
        </is>
      </c>
      <c r="F2176" t="n">
        <v>0</v>
      </c>
    </row>
    <row r="2177">
      <c r="A2177" t="inlineStr">
        <is>
          <t>Milho</t>
        </is>
      </c>
      <c r="B2177" t="inlineStr">
        <is>
          <t>Palmeira das Missões - RS</t>
        </is>
      </c>
      <c r="C2177" t="n">
        <v>-27.9007</v>
      </c>
      <c r="D2177" t="n">
        <v>-53.3134</v>
      </c>
      <c r="E2177" t="inlineStr">
        <is>
          <t>2022-10</t>
        </is>
      </c>
      <c r="F2177" t="n">
        <v>0</v>
      </c>
    </row>
    <row r="2178">
      <c r="A2178" t="inlineStr">
        <is>
          <t>Milho</t>
        </is>
      </c>
      <c r="B2178" t="inlineStr">
        <is>
          <t>Palmeira das Missões - RS</t>
        </is>
      </c>
      <c r="C2178" t="n">
        <v>-27.9007</v>
      </c>
      <c r="D2178" t="n">
        <v>-53.3134</v>
      </c>
      <c r="E2178" t="inlineStr">
        <is>
          <t>2022-11</t>
        </is>
      </c>
      <c r="F2178" t="n">
        <v>0</v>
      </c>
    </row>
    <row r="2179">
      <c r="A2179" t="inlineStr">
        <is>
          <t>Milho</t>
        </is>
      </c>
      <c r="B2179" t="inlineStr">
        <is>
          <t>Palmeira das Missões - RS</t>
        </is>
      </c>
      <c r="C2179" t="n">
        <v>-27.9007</v>
      </c>
      <c r="D2179" t="n">
        <v>-53.3134</v>
      </c>
      <c r="E2179" t="inlineStr">
        <is>
          <t>2022-12</t>
        </is>
      </c>
      <c r="F2179" t="n">
        <v>1924815.532866695</v>
      </c>
    </row>
    <row r="2180">
      <c r="A2180" t="inlineStr">
        <is>
          <t>Milho</t>
        </is>
      </c>
      <c r="B2180" t="inlineStr">
        <is>
          <t>Campos Novos - SC</t>
        </is>
      </c>
      <c r="C2180" t="n">
        <v>-27.4002</v>
      </c>
      <c r="D2180" t="n">
        <v>-51.2276</v>
      </c>
      <c r="E2180" t="inlineStr">
        <is>
          <t>2023-01</t>
        </is>
      </c>
      <c r="F2180" t="n">
        <v>1180975.317877153</v>
      </c>
    </row>
    <row r="2181">
      <c r="A2181" t="inlineStr">
        <is>
          <t>Milho</t>
        </is>
      </c>
      <c r="B2181" t="inlineStr">
        <is>
          <t>Campos Novos - SC</t>
        </is>
      </c>
      <c r="C2181" t="n">
        <v>-27.4002</v>
      </c>
      <c r="D2181" t="n">
        <v>-51.2276</v>
      </c>
      <c r="E2181" t="inlineStr">
        <is>
          <t>2023-02</t>
        </is>
      </c>
      <c r="F2181" t="n">
        <v>677862.8394460134</v>
      </c>
    </row>
    <row r="2182">
      <c r="A2182" t="inlineStr">
        <is>
          <t>Milho</t>
        </is>
      </c>
      <c r="B2182" t="inlineStr">
        <is>
          <t>Campos Novos - SC</t>
        </is>
      </c>
      <c r="C2182" t="n">
        <v>-27.4002</v>
      </c>
      <c r="D2182" t="n">
        <v>-51.2276</v>
      </c>
      <c r="E2182" t="inlineStr">
        <is>
          <t>2023-03</t>
        </is>
      </c>
      <c r="F2182" t="n">
        <v>952167.5457009313</v>
      </c>
    </row>
    <row r="2183">
      <c r="A2183" t="inlineStr">
        <is>
          <t>Milho</t>
        </is>
      </c>
      <c r="B2183" t="inlineStr">
        <is>
          <t>Campos Novos - SC</t>
        </is>
      </c>
      <c r="C2183" t="n">
        <v>-27.4002</v>
      </c>
      <c r="D2183" t="n">
        <v>-51.2276</v>
      </c>
      <c r="E2183" t="inlineStr">
        <is>
          <t>2023-04</t>
        </is>
      </c>
      <c r="F2183" t="n">
        <v>779903.8603268794</v>
      </c>
    </row>
    <row r="2184">
      <c r="A2184" t="inlineStr">
        <is>
          <t>Milho</t>
        </is>
      </c>
      <c r="B2184" t="inlineStr">
        <is>
          <t>Campos Novos - SC</t>
        </is>
      </c>
      <c r="C2184" t="n">
        <v>-27.4002</v>
      </c>
      <c r="D2184" t="n">
        <v>-51.2276</v>
      </c>
      <c r="E2184" t="inlineStr">
        <is>
          <t>2023-05</t>
        </is>
      </c>
      <c r="F2184" t="n">
        <v>201386.0464039712</v>
      </c>
    </row>
    <row r="2185">
      <c r="A2185" t="inlineStr">
        <is>
          <t>Milho</t>
        </is>
      </c>
      <c r="B2185" t="inlineStr">
        <is>
          <t>Campos Novos - SC</t>
        </is>
      </c>
      <c r="C2185" t="n">
        <v>-27.4002</v>
      </c>
      <c r="D2185" t="n">
        <v>-51.2276</v>
      </c>
      <c r="E2185" t="inlineStr">
        <is>
          <t>2023-06</t>
        </is>
      </c>
      <c r="F2185" t="n">
        <v>179147.7726785101</v>
      </c>
    </row>
    <row r="2186">
      <c r="A2186" t="inlineStr">
        <is>
          <t>Milho</t>
        </is>
      </c>
      <c r="B2186" t="inlineStr">
        <is>
          <t>Campos Novos - SC</t>
        </is>
      </c>
      <c r="C2186" t="n">
        <v>-27.4002</v>
      </c>
      <c r="D2186" t="n">
        <v>-51.2276</v>
      </c>
      <c r="E2186" t="inlineStr">
        <is>
          <t>2022-07</t>
        </is>
      </c>
      <c r="F2186" t="n">
        <v>0</v>
      </c>
    </row>
    <row r="2187">
      <c r="A2187" t="inlineStr">
        <is>
          <t>Milho</t>
        </is>
      </c>
      <c r="B2187" t="inlineStr">
        <is>
          <t>Campos Novos - SC</t>
        </is>
      </c>
      <c r="C2187" t="n">
        <v>-27.4002</v>
      </c>
      <c r="D2187" t="n">
        <v>-51.2276</v>
      </c>
      <c r="E2187" t="inlineStr">
        <is>
          <t>2022-08</t>
        </is>
      </c>
      <c r="F2187" t="n">
        <v>0</v>
      </c>
    </row>
    <row r="2188">
      <c r="A2188" t="inlineStr">
        <is>
          <t>Milho</t>
        </is>
      </c>
      <c r="B2188" t="inlineStr">
        <is>
          <t>Campos Novos - SC</t>
        </is>
      </c>
      <c r="C2188" t="n">
        <v>-27.4002</v>
      </c>
      <c r="D2188" t="n">
        <v>-51.2276</v>
      </c>
      <c r="E2188" t="inlineStr">
        <is>
          <t>2022-09</t>
        </is>
      </c>
      <c r="F2188" t="n">
        <v>0</v>
      </c>
    </row>
    <row r="2189">
      <c r="A2189" t="inlineStr">
        <is>
          <t>Milho</t>
        </is>
      </c>
      <c r="B2189" t="inlineStr">
        <is>
          <t>Campos Novos - SC</t>
        </is>
      </c>
      <c r="C2189" t="n">
        <v>-27.4002</v>
      </c>
      <c r="D2189" t="n">
        <v>-51.2276</v>
      </c>
      <c r="E2189" t="inlineStr">
        <is>
          <t>2022-10</t>
        </is>
      </c>
      <c r="F2189" t="n">
        <v>0</v>
      </c>
    </row>
    <row r="2190">
      <c r="A2190" t="inlineStr">
        <is>
          <t>Milho</t>
        </is>
      </c>
      <c r="B2190" t="inlineStr">
        <is>
          <t>Campos Novos - SC</t>
        </is>
      </c>
      <c r="C2190" t="n">
        <v>-27.4002</v>
      </c>
      <c r="D2190" t="n">
        <v>-51.2276</v>
      </c>
      <c r="E2190" t="inlineStr">
        <is>
          <t>2022-11</t>
        </is>
      </c>
      <c r="F2190" t="n">
        <v>0</v>
      </c>
    </row>
    <row r="2191">
      <c r="A2191" t="inlineStr">
        <is>
          <t>Milho</t>
        </is>
      </c>
      <c r="B2191" t="inlineStr">
        <is>
          <t>Campos Novos - SC</t>
        </is>
      </c>
      <c r="C2191" t="n">
        <v>-27.4002</v>
      </c>
      <c r="D2191" t="n">
        <v>-51.2276</v>
      </c>
      <c r="E2191" t="inlineStr">
        <is>
          <t>2022-12</t>
        </is>
      </c>
      <c r="F2191" t="n">
        <v>1313813.742783119</v>
      </c>
    </row>
    <row r="2192">
      <c r="A2192" t="inlineStr">
        <is>
          <t>Milho</t>
        </is>
      </c>
      <c r="B2192" t="inlineStr">
        <is>
          <t>Itapeva - SP</t>
        </is>
      </c>
      <c r="C2192" t="n">
        <v>-23.9788</v>
      </c>
      <c r="D2192" t="n">
        <v>-48.8764</v>
      </c>
      <c r="E2192" t="inlineStr">
        <is>
          <t>2023-01</t>
        </is>
      </c>
      <c r="F2192" t="n">
        <v>1187837.14054698</v>
      </c>
    </row>
    <row r="2193">
      <c r="A2193" t="inlineStr">
        <is>
          <t>Milho</t>
        </is>
      </c>
      <c r="B2193" t="inlineStr">
        <is>
          <t>Itapeva - SP</t>
        </is>
      </c>
      <c r="C2193" t="n">
        <v>-23.9788</v>
      </c>
      <c r="D2193" t="n">
        <v>-48.8764</v>
      </c>
      <c r="E2193" t="inlineStr">
        <is>
          <t>2023-02</t>
        </is>
      </c>
      <c r="F2193" t="n">
        <v>681801.4269239506</v>
      </c>
    </row>
    <row r="2194">
      <c r="A2194" t="inlineStr">
        <is>
          <t>Milho</t>
        </is>
      </c>
      <c r="B2194" t="inlineStr">
        <is>
          <t>Itapeva - SP</t>
        </is>
      </c>
      <c r="C2194" t="n">
        <v>-23.9788</v>
      </c>
      <c r="D2194" t="n">
        <v>-48.8764</v>
      </c>
      <c r="E2194" t="inlineStr">
        <is>
          <t>2023-03</t>
        </is>
      </c>
      <c r="F2194" t="n">
        <v>684071.3758765329</v>
      </c>
    </row>
    <row r="2195">
      <c r="A2195" t="inlineStr">
        <is>
          <t>Milho</t>
        </is>
      </c>
      <c r="B2195" t="inlineStr">
        <is>
          <t>Itapeva - SP</t>
        </is>
      </c>
      <c r="C2195" t="n">
        <v>-23.9788</v>
      </c>
      <c r="D2195" t="n">
        <v>-48.8764</v>
      </c>
      <c r="E2195" t="inlineStr">
        <is>
          <t>2023-04</t>
        </is>
      </c>
      <c r="F2195" t="n">
        <v>560310.9549301937</v>
      </c>
    </row>
    <row r="2196">
      <c r="A2196" t="inlineStr">
        <is>
          <t>Milho</t>
        </is>
      </c>
      <c r="B2196" t="inlineStr">
        <is>
          <t>Itapeva - SP</t>
        </is>
      </c>
      <c r="C2196" t="n">
        <v>-23.9788</v>
      </c>
      <c r="D2196" t="n">
        <v>-48.8764</v>
      </c>
      <c r="E2196" t="inlineStr">
        <is>
          <t>2023-05</t>
        </is>
      </c>
      <c r="F2196" t="n">
        <v>202556.1600529892</v>
      </c>
    </row>
    <row r="2197">
      <c r="A2197" t="inlineStr">
        <is>
          <t>Milho</t>
        </is>
      </c>
      <c r="B2197" t="inlineStr">
        <is>
          <t>Itapeva - SP</t>
        </is>
      </c>
      <c r="C2197" t="n">
        <v>-23.9788</v>
      </c>
      <c r="D2197" t="n">
        <v>-48.8764</v>
      </c>
      <c r="E2197" t="inlineStr">
        <is>
          <t>2023-06</t>
        </is>
      </c>
      <c r="F2197" t="n">
        <v>180188.6752521761</v>
      </c>
    </row>
    <row r="2198">
      <c r="A2198" t="inlineStr">
        <is>
          <t>Milho</t>
        </is>
      </c>
      <c r="B2198" t="inlineStr">
        <is>
          <t>Itapeva - SP</t>
        </is>
      </c>
      <c r="C2198" t="n">
        <v>-23.9788</v>
      </c>
      <c r="D2198" t="n">
        <v>-48.8764</v>
      </c>
      <c r="E2198" t="inlineStr">
        <is>
          <t>2022-07</t>
        </is>
      </c>
      <c r="F2198" t="n">
        <v>0</v>
      </c>
    </row>
    <row r="2199">
      <c r="A2199" t="inlineStr">
        <is>
          <t>Milho</t>
        </is>
      </c>
      <c r="B2199" t="inlineStr">
        <is>
          <t>Itapeva - SP</t>
        </is>
      </c>
      <c r="C2199" t="n">
        <v>-23.9788</v>
      </c>
      <c r="D2199" t="n">
        <v>-48.8764</v>
      </c>
      <c r="E2199" t="inlineStr">
        <is>
          <t>2022-08</t>
        </is>
      </c>
      <c r="F2199" t="n">
        <v>0</v>
      </c>
    </row>
    <row r="2200">
      <c r="A2200" t="inlineStr">
        <is>
          <t>Milho</t>
        </is>
      </c>
      <c r="B2200" t="inlineStr">
        <is>
          <t>Itapeva - SP</t>
        </is>
      </c>
      <c r="C2200" t="n">
        <v>-23.9788</v>
      </c>
      <c r="D2200" t="n">
        <v>-48.8764</v>
      </c>
      <c r="E2200" t="inlineStr">
        <is>
          <t>2022-09</t>
        </is>
      </c>
      <c r="F2200" t="n">
        <v>0</v>
      </c>
    </row>
    <row r="2201">
      <c r="A2201" t="inlineStr">
        <is>
          <t>Milho</t>
        </is>
      </c>
      <c r="B2201" t="inlineStr">
        <is>
          <t>Itapeva - SP</t>
        </is>
      </c>
      <c r="C2201" t="n">
        <v>-23.9788</v>
      </c>
      <c r="D2201" t="n">
        <v>-48.8764</v>
      </c>
      <c r="E2201" t="inlineStr">
        <is>
          <t>2022-10</t>
        </is>
      </c>
      <c r="F2201" t="n">
        <v>0</v>
      </c>
    </row>
    <row r="2202">
      <c r="A2202" t="inlineStr">
        <is>
          <t>Milho</t>
        </is>
      </c>
      <c r="B2202" t="inlineStr">
        <is>
          <t>Itapeva - SP</t>
        </is>
      </c>
      <c r="C2202" t="n">
        <v>-23.9788</v>
      </c>
      <c r="D2202" t="n">
        <v>-48.8764</v>
      </c>
      <c r="E2202" t="inlineStr">
        <is>
          <t>2022-11</t>
        </is>
      </c>
      <c r="F2202" t="n">
        <v>0</v>
      </c>
    </row>
    <row r="2203">
      <c r="A2203" t="inlineStr">
        <is>
          <t>Milho</t>
        </is>
      </c>
      <c r="B2203" t="inlineStr">
        <is>
          <t>Itapeva - SP</t>
        </is>
      </c>
      <c r="C2203" t="n">
        <v>-23.9788</v>
      </c>
      <c r="D2203" t="n">
        <v>-48.8764</v>
      </c>
      <c r="E2203" t="inlineStr">
        <is>
          <t>2022-12</t>
        </is>
      </c>
      <c r="F2203" t="n">
        <v>0</v>
      </c>
    </row>
    <row r="2204">
      <c r="A2204" t="inlineStr">
        <is>
          <t>Milho</t>
        </is>
      </c>
      <c r="B2204" t="inlineStr">
        <is>
          <t>Campos Lindos - TO</t>
        </is>
      </c>
      <c r="C2204" t="n">
        <v>-7.98956</v>
      </c>
      <c r="D2204" t="n">
        <v>-46.8645</v>
      </c>
      <c r="E2204" t="inlineStr">
        <is>
          <t>2023-01</t>
        </is>
      </c>
      <c r="F2204" t="n">
        <v>0</v>
      </c>
    </row>
    <row r="2205">
      <c r="A2205" t="inlineStr">
        <is>
          <t>Milho</t>
        </is>
      </c>
      <c r="B2205" t="inlineStr">
        <is>
          <t>Campos Lindos - TO</t>
        </is>
      </c>
      <c r="C2205" t="n">
        <v>-7.98956</v>
      </c>
      <c r="D2205" t="n">
        <v>-46.8645</v>
      </c>
      <c r="E2205" t="inlineStr">
        <is>
          <t>2023-02</t>
        </is>
      </c>
      <c r="F2205" t="n">
        <v>75587.80456571569</v>
      </c>
    </row>
    <row r="2206">
      <c r="A2206" t="inlineStr">
        <is>
          <t>Milho</t>
        </is>
      </c>
      <c r="B2206" t="inlineStr">
        <is>
          <t>Campos Lindos - TO</t>
        </is>
      </c>
      <c r="C2206" t="n">
        <v>-7.98956</v>
      </c>
      <c r="D2206" t="n">
        <v>-46.8645</v>
      </c>
      <c r="E2206" t="inlineStr">
        <is>
          <t>2023-03</t>
        </is>
      </c>
      <c r="F2206" t="n">
        <v>91007.35450562176</v>
      </c>
    </row>
    <row r="2207">
      <c r="A2207" t="inlineStr">
        <is>
          <t>Milho</t>
        </is>
      </c>
      <c r="B2207" t="inlineStr">
        <is>
          <t>Campos Lindos - TO</t>
        </is>
      </c>
      <c r="C2207" t="n">
        <v>-7.98956</v>
      </c>
      <c r="D2207" t="n">
        <v>-46.8645</v>
      </c>
      <c r="E2207" t="inlineStr">
        <is>
          <t>2023-04</t>
        </is>
      </c>
      <c r="F2207" t="n">
        <v>124237.5662027387</v>
      </c>
    </row>
    <row r="2208">
      <c r="A2208" t="inlineStr">
        <is>
          <t>Milho</t>
        </is>
      </c>
      <c r="B2208" t="inlineStr">
        <is>
          <t>Campos Lindos - TO</t>
        </is>
      </c>
      <c r="C2208" t="n">
        <v>-7.98956</v>
      </c>
      <c r="D2208" t="n">
        <v>-46.8645</v>
      </c>
      <c r="E2208" t="inlineStr">
        <is>
          <t>2023-05</t>
        </is>
      </c>
      <c r="F2208" t="n">
        <v>74854.51939060925</v>
      </c>
    </row>
    <row r="2209">
      <c r="A2209" t="inlineStr">
        <is>
          <t>Milho</t>
        </is>
      </c>
      <c r="B2209" t="inlineStr">
        <is>
          <t>Campos Lindos - TO</t>
        </is>
      </c>
      <c r="C2209" t="n">
        <v>-7.98956</v>
      </c>
      <c r="D2209" t="n">
        <v>-46.8645</v>
      </c>
      <c r="E2209" t="inlineStr">
        <is>
          <t>2023-06</t>
        </is>
      </c>
      <c r="F2209" t="n">
        <v>39953.17648825017</v>
      </c>
    </row>
    <row r="2210">
      <c r="A2210" t="inlineStr">
        <is>
          <t>Milho</t>
        </is>
      </c>
      <c r="B2210" t="inlineStr">
        <is>
          <t>Campos Lindos - TO</t>
        </is>
      </c>
      <c r="C2210" t="n">
        <v>-7.98956</v>
      </c>
      <c r="D2210" t="n">
        <v>-46.8645</v>
      </c>
      <c r="E2210" t="inlineStr">
        <is>
          <t>2022-07</t>
        </is>
      </c>
      <c r="F2210" t="n">
        <v>0</v>
      </c>
    </row>
    <row r="2211">
      <c r="A2211" t="inlineStr">
        <is>
          <t>Milho</t>
        </is>
      </c>
      <c r="B2211" t="inlineStr">
        <is>
          <t>Campos Lindos - TO</t>
        </is>
      </c>
      <c r="C2211" t="n">
        <v>-7.98956</v>
      </c>
      <c r="D2211" t="n">
        <v>-46.8645</v>
      </c>
      <c r="E2211" t="inlineStr">
        <is>
          <t>2022-08</t>
        </is>
      </c>
      <c r="F2211" t="n">
        <v>0</v>
      </c>
    </row>
    <row r="2212">
      <c r="A2212" t="inlineStr">
        <is>
          <t>Milho</t>
        </is>
      </c>
      <c r="B2212" t="inlineStr">
        <is>
          <t>Campos Lindos - TO</t>
        </is>
      </c>
      <c r="C2212" t="n">
        <v>-7.98956</v>
      </c>
      <c r="D2212" t="n">
        <v>-46.8645</v>
      </c>
      <c r="E2212" t="inlineStr">
        <is>
          <t>2022-09</t>
        </is>
      </c>
      <c r="F2212" t="n">
        <v>0</v>
      </c>
    </row>
    <row r="2213">
      <c r="A2213" t="inlineStr">
        <is>
          <t>Milho</t>
        </is>
      </c>
      <c r="B2213" t="inlineStr">
        <is>
          <t>Campos Lindos - TO</t>
        </is>
      </c>
      <c r="C2213" t="n">
        <v>-7.98956</v>
      </c>
      <c r="D2213" t="n">
        <v>-46.8645</v>
      </c>
      <c r="E2213" t="inlineStr">
        <is>
          <t>2022-10</t>
        </is>
      </c>
      <c r="F2213" t="n">
        <v>0</v>
      </c>
    </row>
    <row r="2214">
      <c r="A2214" t="inlineStr">
        <is>
          <t>Milho</t>
        </is>
      </c>
      <c r="B2214" t="inlineStr">
        <is>
          <t>Campos Lindos - TO</t>
        </is>
      </c>
      <c r="C2214" t="n">
        <v>-7.98956</v>
      </c>
      <c r="D2214" t="n">
        <v>-46.8645</v>
      </c>
      <c r="E2214" t="inlineStr">
        <is>
          <t>2022-11</t>
        </is>
      </c>
      <c r="F2214" t="n">
        <v>0</v>
      </c>
    </row>
    <row r="2215">
      <c r="A2215" t="inlineStr">
        <is>
          <t>Milho</t>
        </is>
      </c>
      <c r="B2215" t="inlineStr">
        <is>
          <t>Campos Lindos - TO</t>
        </is>
      </c>
      <c r="C2215" t="n">
        <v>-7.98956</v>
      </c>
      <c r="D2215" t="n">
        <v>-46.8645</v>
      </c>
      <c r="E2215" t="inlineStr">
        <is>
          <t>2022-12</t>
        </is>
      </c>
      <c r="F2215" t="n">
        <v>0</v>
      </c>
    </row>
    <row r="2216">
      <c r="A2216" t="inlineStr">
        <is>
          <t>Milho</t>
        </is>
      </c>
      <c r="B2216" t="inlineStr">
        <is>
          <t>Senador Guiomard - AC</t>
        </is>
      </c>
      <c r="C2216" t="n">
        <v>-10.1497</v>
      </c>
      <c r="D2216" t="n">
        <v>-67.7362</v>
      </c>
      <c r="E2216" t="inlineStr">
        <is>
          <t>2023-01</t>
        </is>
      </c>
      <c r="F2216" t="n">
        <v>0</v>
      </c>
    </row>
    <row r="2217">
      <c r="A2217" t="inlineStr">
        <is>
          <t>Milho</t>
        </is>
      </c>
      <c r="B2217" t="inlineStr">
        <is>
          <t>Senador Guiomard - AC</t>
        </is>
      </c>
      <c r="C2217" t="n">
        <v>-10.1497</v>
      </c>
      <c r="D2217" t="n">
        <v>-67.7362</v>
      </c>
      <c r="E2217" t="inlineStr">
        <is>
          <t>2023-02</t>
        </is>
      </c>
      <c r="F2217" t="n">
        <v>0</v>
      </c>
    </row>
    <row r="2218">
      <c r="A2218" t="inlineStr">
        <is>
          <t>Milho</t>
        </is>
      </c>
      <c r="B2218" t="inlineStr">
        <is>
          <t>Senador Guiomard - AC</t>
        </is>
      </c>
      <c r="C2218" t="n">
        <v>-10.1497</v>
      </c>
      <c r="D2218" t="n">
        <v>-67.7362</v>
      </c>
      <c r="E2218" t="inlineStr">
        <is>
          <t>2023-03</t>
        </is>
      </c>
      <c r="F2218" t="n">
        <v>0</v>
      </c>
    </row>
    <row r="2219">
      <c r="A2219" t="inlineStr">
        <is>
          <t>Milho</t>
        </is>
      </c>
      <c r="B2219" t="inlineStr">
        <is>
          <t>Senador Guiomard - AC</t>
        </is>
      </c>
      <c r="C2219" t="n">
        <v>-10.1497</v>
      </c>
      <c r="D2219" t="n">
        <v>-67.7362</v>
      </c>
      <c r="E2219" t="inlineStr">
        <is>
          <t>2023-04</t>
        </is>
      </c>
      <c r="F2219" t="n">
        <v>0</v>
      </c>
    </row>
    <row r="2220">
      <c r="A2220" t="inlineStr">
        <is>
          <t>Milho</t>
        </is>
      </c>
      <c r="B2220" t="inlineStr">
        <is>
          <t>Senador Guiomard - AC</t>
        </is>
      </c>
      <c r="C2220" t="n">
        <v>-10.1497</v>
      </c>
      <c r="D2220" t="n">
        <v>-67.7362</v>
      </c>
      <c r="E2220" t="inlineStr">
        <is>
          <t>2023-05</t>
        </is>
      </c>
      <c r="F2220" t="n">
        <v>0</v>
      </c>
    </row>
    <row r="2221">
      <c r="A2221" t="inlineStr">
        <is>
          <t>Milho</t>
        </is>
      </c>
      <c r="B2221" t="inlineStr">
        <is>
          <t>Senador Guiomard - AC</t>
        </is>
      </c>
      <c r="C2221" t="n">
        <v>-10.1497</v>
      </c>
      <c r="D2221" t="n">
        <v>-67.7362</v>
      </c>
      <c r="E2221" t="inlineStr">
        <is>
          <t>2023-06</t>
        </is>
      </c>
      <c r="F2221" t="n">
        <v>0</v>
      </c>
    </row>
    <row r="2222">
      <c r="A2222" t="inlineStr">
        <is>
          <t>Milho</t>
        </is>
      </c>
      <c r="B2222" t="inlineStr">
        <is>
          <t>Senador Guiomard - AC</t>
        </is>
      </c>
      <c r="C2222" t="n">
        <v>-10.1497</v>
      </c>
      <c r="D2222" t="n">
        <v>-67.7362</v>
      </c>
      <c r="E2222" t="inlineStr">
        <is>
          <t>2022-07</t>
        </is>
      </c>
      <c r="F2222" t="n">
        <v>0</v>
      </c>
    </row>
    <row r="2223">
      <c r="A2223" t="inlineStr">
        <is>
          <t>Milho</t>
        </is>
      </c>
      <c r="B2223" t="inlineStr">
        <is>
          <t>Senador Guiomard - AC</t>
        </is>
      </c>
      <c r="C2223" t="n">
        <v>-10.1497</v>
      </c>
      <c r="D2223" t="n">
        <v>-67.7362</v>
      </c>
      <c r="E2223" t="inlineStr">
        <is>
          <t>2022-08</t>
        </is>
      </c>
      <c r="F2223" t="n">
        <v>0</v>
      </c>
    </row>
    <row r="2224">
      <c r="A2224" t="inlineStr">
        <is>
          <t>Milho</t>
        </is>
      </c>
      <c r="B2224" t="inlineStr">
        <is>
          <t>Senador Guiomard - AC</t>
        </is>
      </c>
      <c r="C2224" t="n">
        <v>-10.1497</v>
      </c>
      <c r="D2224" t="n">
        <v>-67.7362</v>
      </c>
      <c r="E2224" t="inlineStr">
        <is>
          <t>2022-09</t>
        </is>
      </c>
      <c r="F2224" t="n">
        <v>0</v>
      </c>
    </row>
    <row r="2225">
      <c r="A2225" t="inlineStr">
        <is>
          <t>Milho</t>
        </is>
      </c>
      <c r="B2225" t="inlineStr">
        <is>
          <t>Senador Guiomard - AC</t>
        </is>
      </c>
      <c r="C2225" t="n">
        <v>-10.1497</v>
      </c>
      <c r="D2225" t="n">
        <v>-67.7362</v>
      </c>
      <c r="E2225" t="inlineStr">
        <is>
          <t>2022-10</t>
        </is>
      </c>
      <c r="F2225" t="n">
        <v>0</v>
      </c>
    </row>
    <row r="2226">
      <c r="A2226" t="inlineStr">
        <is>
          <t>Milho</t>
        </is>
      </c>
      <c r="B2226" t="inlineStr">
        <is>
          <t>Senador Guiomard - AC</t>
        </is>
      </c>
      <c r="C2226" t="n">
        <v>-10.1497</v>
      </c>
      <c r="D2226" t="n">
        <v>-67.7362</v>
      </c>
      <c r="E2226" t="inlineStr">
        <is>
          <t>2022-11</t>
        </is>
      </c>
      <c r="F2226" t="n">
        <v>0</v>
      </c>
    </row>
    <row r="2227">
      <c r="A2227" t="inlineStr">
        <is>
          <t>Milho</t>
        </is>
      </c>
      <c r="B2227" t="inlineStr">
        <is>
          <t>Senador Guiomard - AC</t>
        </is>
      </c>
      <c r="C2227" t="n">
        <v>-10.1497</v>
      </c>
      <c r="D2227" t="n">
        <v>-67.7362</v>
      </c>
      <c r="E2227" t="inlineStr">
        <is>
          <t>2022-12</t>
        </is>
      </c>
      <c r="F2227" t="n">
        <v>0</v>
      </c>
    </row>
    <row r="2228">
      <c r="A2228" t="inlineStr">
        <is>
          <t>Milho</t>
        </is>
      </c>
      <c r="B2228" t="inlineStr">
        <is>
          <t>Humaitá - AM</t>
        </is>
      </c>
      <c r="C2228" t="n">
        <v>-7.51171</v>
      </c>
      <c r="D2228" t="n">
        <v>-63.0327</v>
      </c>
      <c r="E2228" t="inlineStr">
        <is>
          <t>2023-01</t>
        </is>
      </c>
      <c r="F2228" t="n">
        <v>0</v>
      </c>
    </row>
    <row r="2229">
      <c r="A2229" t="inlineStr">
        <is>
          <t>Milho</t>
        </is>
      </c>
      <c r="B2229" t="inlineStr">
        <is>
          <t>Humaitá - AM</t>
        </is>
      </c>
      <c r="C2229" t="n">
        <v>-7.51171</v>
      </c>
      <c r="D2229" t="n">
        <v>-63.0327</v>
      </c>
      <c r="E2229" t="inlineStr">
        <is>
          <t>2023-02</t>
        </is>
      </c>
      <c r="F2229" t="n">
        <v>0</v>
      </c>
    </row>
    <row r="2230">
      <c r="A2230" t="inlineStr">
        <is>
          <t>Milho</t>
        </is>
      </c>
      <c r="B2230" t="inlineStr">
        <is>
          <t>Humaitá - AM</t>
        </is>
      </c>
      <c r="C2230" t="n">
        <v>-7.51171</v>
      </c>
      <c r="D2230" t="n">
        <v>-63.0327</v>
      </c>
      <c r="E2230" t="inlineStr">
        <is>
          <t>2023-03</t>
        </is>
      </c>
      <c r="F2230" t="n">
        <v>0</v>
      </c>
    </row>
    <row r="2231">
      <c r="A2231" t="inlineStr">
        <is>
          <t>Milho</t>
        </is>
      </c>
      <c r="B2231" t="inlineStr">
        <is>
          <t>Humaitá - AM</t>
        </is>
      </c>
      <c r="C2231" t="n">
        <v>-7.51171</v>
      </c>
      <c r="D2231" t="n">
        <v>-63.0327</v>
      </c>
      <c r="E2231" t="inlineStr">
        <is>
          <t>2023-04</t>
        </is>
      </c>
      <c r="F2231" t="n">
        <v>0</v>
      </c>
    </row>
    <row r="2232">
      <c r="A2232" t="inlineStr">
        <is>
          <t>Milho</t>
        </is>
      </c>
      <c r="B2232" t="inlineStr">
        <is>
          <t>Humaitá - AM</t>
        </is>
      </c>
      <c r="C2232" t="n">
        <v>-7.51171</v>
      </c>
      <c r="D2232" t="n">
        <v>-63.0327</v>
      </c>
      <c r="E2232" t="inlineStr">
        <is>
          <t>2023-05</t>
        </is>
      </c>
      <c r="F2232" t="n">
        <v>0</v>
      </c>
    </row>
    <row r="2233">
      <c r="A2233" t="inlineStr">
        <is>
          <t>Milho</t>
        </is>
      </c>
      <c r="B2233" t="inlineStr">
        <is>
          <t>Humaitá - AM</t>
        </is>
      </c>
      <c r="C2233" t="n">
        <v>-7.51171</v>
      </c>
      <c r="D2233" t="n">
        <v>-63.0327</v>
      </c>
      <c r="E2233" t="inlineStr">
        <is>
          <t>2023-06</t>
        </is>
      </c>
      <c r="F2233" t="n">
        <v>0</v>
      </c>
    </row>
    <row r="2234">
      <c r="A2234" t="inlineStr">
        <is>
          <t>Milho</t>
        </is>
      </c>
      <c r="B2234" t="inlineStr">
        <is>
          <t>Humaitá - AM</t>
        </is>
      </c>
      <c r="C2234" t="n">
        <v>-7.51171</v>
      </c>
      <c r="D2234" t="n">
        <v>-63.0327</v>
      </c>
      <c r="E2234" t="inlineStr">
        <is>
          <t>2022-07</t>
        </is>
      </c>
      <c r="F2234" t="n">
        <v>0</v>
      </c>
    </row>
    <row r="2235">
      <c r="A2235" t="inlineStr">
        <is>
          <t>Milho</t>
        </is>
      </c>
      <c r="B2235" t="inlineStr">
        <is>
          <t>Humaitá - AM</t>
        </is>
      </c>
      <c r="C2235" t="n">
        <v>-7.51171</v>
      </c>
      <c r="D2235" t="n">
        <v>-63.0327</v>
      </c>
      <c r="E2235" t="inlineStr">
        <is>
          <t>2022-08</t>
        </is>
      </c>
      <c r="F2235" t="n">
        <v>0</v>
      </c>
    </row>
    <row r="2236">
      <c r="A2236" t="inlineStr">
        <is>
          <t>Milho</t>
        </is>
      </c>
      <c r="B2236" t="inlineStr">
        <is>
          <t>Humaitá - AM</t>
        </is>
      </c>
      <c r="C2236" t="n">
        <v>-7.51171</v>
      </c>
      <c r="D2236" t="n">
        <v>-63.0327</v>
      </c>
      <c r="E2236" t="inlineStr">
        <is>
          <t>2022-09</t>
        </is>
      </c>
      <c r="F2236" t="n">
        <v>0</v>
      </c>
    </row>
    <row r="2237">
      <c r="A2237" t="inlineStr">
        <is>
          <t>Milho</t>
        </is>
      </c>
      <c r="B2237" t="inlineStr">
        <is>
          <t>Humaitá - AM</t>
        </is>
      </c>
      <c r="C2237" t="n">
        <v>-7.51171</v>
      </c>
      <c r="D2237" t="n">
        <v>-63.0327</v>
      </c>
      <c r="E2237" t="inlineStr">
        <is>
          <t>2022-10</t>
        </is>
      </c>
      <c r="F2237" t="n">
        <v>0</v>
      </c>
    </row>
    <row r="2238">
      <c r="A2238" t="inlineStr">
        <is>
          <t>Milho</t>
        </is>
      </c>
      <c r="B2238" t="inlineStr">
        <is>
          <t>Humaitá - AM</t>
        </is>
      </c>
      <c r="C2238" t="n">
        <v>-7.51171</v>
      </c>
      <c r="D2238" t="n">
        <v>-63.0327</v>
      </c>
      <c r="E2238" t="inlineStr">
        <is>
          <t>2022-11</t>
        </is>
      </c>
      <c r="F2238" t="n">
        <v>0</v>
      </c>
    </row>
    <row r="2239">
      <c r="A2239" t="inlineStr">
        <is>
          <t>Milho</t>
        </is>
      </c>
      <c r="B2239" t="inlineStr">
        <is>
          <t>Humaitá - AM</t>
        </is>
      </c>
      <c r="C2239" t="n">
        <v>-7.51171</v>
      </c>
      <c r="D2239" t="n">
        <v>-63.0327</v>
      </c>
      <c r="E2239" t="inlineStr">
        <is>
          <t>2022-12</t>
        </is>
      </c>
      <c r="F2239" t="n">
        <v>0</v>
      </c>
    </row>
    <row r="2240">
      <c r="A2240" t="inlineStr">
        <is>
          <t>Milho</t>
        </is>
      </c>
      <c r="B2240" t="inlineStr">
        <is>
          <t>Palmeira das Missões - RS</t>
        </is>
      </c>
      <c r="C2240" t="n">
        <v>-27.9007</v>
      </c>
      <c r="D2240" t="n">
        <v>-53.3134</v>
      </c>
      <c r="E2240" t="inlineStr">
        <is>
          <t>2023-01</t>
        </is>
      </c>
      <c r="F2240" t="n">
        <v>0</v>
      </c>
    </row>
    <row r="2241">
      <c r="A2241" t="inlineStr">
        <is>
          <t>Milho</t>
        </is>
      </c>
      <c r="B2241" t="inlineStr">
        <is>
          <t>Palmeira das Missões - RS</t>
        </is>
      </c>
      <c r="C2241" t="n">
        <v>-27.9007</v>
      </c>
      <c r="D2241" t="n">
        <v>-53.3134</v>
      </c>
      <c r="E2241" t="inlineStr">
        <is>
          <t>2023-02</t>
        </is>
      </c>
      <c r="F2241" t="n">
        <v>0</v>
      </c>
    </row>
    <row r="2242">
      <c r="A2242" t="inlineStr">
        <is>
          <t>Milho</t>
        </is>
      </c>
      <c r="B2242" t="inlineStr">
        <is>
          <t>Palmeira das Missões - RS</t>
        </is>
      </c>
      <c r="C2242" t="n">
        <v>-27.9007</v>
      </c>
      <c r="D2242" t="n">
        <v>-53.3134</v>
      </c>
      <c r="E2242" t="inlineStr">
        <is>
          <t>2023-03</t>
        </is>
      </c>
      <c r="F2242" t="n">
        <v>0</v>
      </c>
    </row>
    <row r="2243">
      <c r="A2243" t="inlineStr">
        <is>
          <t>Milho</t>
        </is>
      </c>
      <c r="B2243" t="inlineStr">
        <is>
          <t>Palmeira das Missões - RS</t>
        </is>
      </c>
      <c r="C2243" t="n">
        <v>-27.9007</v>
      </c>
      <c r="D2243" t="n">
        <v>-53.3134</v>
      </c>
      <c r="E2243" t="inlineStr">
        <is>
          <t>2023-04</t>
        </is>
      </c>
      <c r="F2243" t="n">
        <v>0</v>
      </c>
    </row>
    <row r="2244">
      <c r="A2244" t="inlineStr">
        <is>
          <t>Milho</t>
        </is>
      </c>
      <c r="B2244" t="inlineStr">
        <is>
          <t>Palmeira das Missões - RS</t>
        </is>
      </c>
      <c r="C2244" t="n">
        <v>-27.9007</v>
      </c>
      <c r="D2244" t="n">
        <v>-53.3134</v>
      </c>
      <c r="E2244" t="inlineStr">
        <is>
          <t>2023-05</t>
        </is>
      </c>
      <c r="F2244" t="n">
        <v>0</v>
      </c>
    </row>
    <row r="2245">
      <c r="A2245" t="inlineStr">
        <is>
          <t>Milho</t>
        </is>
      </c>
      <c r="B2245" t="inlineStr">
        <is>
          <t>Palmeira das Missões - RS</t>
        </is>
      </c>
      <c r="C2245" t="n">
        <v>-27.9007</v>
      </c>
      <c r="D2245" t="n">
        <v>-53.3134</v>
      </c>
      <c r="E2245" t="inlineStr">
        <is>
          <t>2023-06</t>
        </is>
      </c>
      <c r="F2245" t="n">
        <v>0</v>
      </c>
    </row>
    <row r="2246">
      <c r="A2246" t="inlineStr">
        <is>
          <t>Milho</t>
        </is>
      </c>
      <c r="B2246" t="inlineStr">
        <is>
          <t>Palmeira das Missões - RS</t>
        </is>
      </c>
      <c r="C2246" t="n">
        <v>-27.9007</v>
      </c>
      <c r="D2246" t="n">
        <v>-53.3134</v>
      </c>
      <c r="E2246" t="inlineStr">
        <is>
          <t>2022-07</t>
        </is>
      </c>
      <c r="F2246" t="n">
        <v>0</v>
      </c>
    </row>
    <row r="2247">
      <c r="A2247" t="inlineStr">
        <is>
          <t>Milho</t>
        </is>
      </c>
      <c r="B2247" t="inlineStr">
        <is>
          <t>Palmeira das Missões - RS</t>
        </is>
      </c>
      <c r="C2247" t="n">
        <v>-27.9007</v>
      </c>
      <c r="D2247" t="n">
        <v>-53.3134</v>
      </c>
      <c r="E2247" t="inlineStr">
        <is>
          <t>2022-08</t>
        </is>
      </c>
      <c r="F2247" t="n">
        <v>0</v>
      </c>
    </row>
    <row r="2248">
      <c r="A2248" t="inlineStr">
        <is>
          <t>Milho</t>
        </is>
      </c>
      <c r="B2248" t="inlineStr">
        <is>
          <t>Palmeira das Missões - RS</t>
        </is>
      </c>
      <c r="C2248" t="n">
        <v>-27.9007</v>
      </c>
      <c r="D2248" t="n">
        <v>-53.3134</v>
      </c>
      <c r="E2248" t="inlineStr">
        <is>
          <t>2022-09</t>
        </is>
      </c>
      <c r="F2248" t="n">
        <v>0</v>
      </c>
    </row>
    <row r="2249">
      <c r="A2249" t="inlineStr">
        <is>
          <t>Milho</t>
        </is>
      </c>
      <c r="B2249" t="inlineStr">
        <is>
          <t>Palmeira das Missões - RS</t>
        </is>
      </c>
      <c r="C2249" t="n">
        <v>-27.9007</v>
      </c>
      <c r="D2249" t="n">
        <v>-53.3134</v>
      </c>
      <c r="E2249" t="inlineStr">
        <is>
          <t>2022-10</t>
        </is>
      </c>
      <c r="F2249" t="n">
        <v>0</v>
      </c>
    </row>
    <row r="2250">
      <c r="A2250" t="inlineStr">
        <is>
          <t>Milho</t>
        </is>
      </c>
      <c r="B2250" t="inlineStr">
        <is>
          <t>Palmeira das Missões - RS</t>
        </is>
      </c>
      <c r="C2250" t="n">
        <v>-27.9007</v>
      </c>
      <c r="D2250" t="n">
        <v>-53.3134</v>
      </c>
      <c r="E2250" t="inlineStr">
        <is>
          <t>2022-11</t>
        </is>
      </c>
      <c r="F2250" t="n">
        <v>0</v>
      </c>
    </row>
    <row r="2251">
      <c r="A2251" t="inlineStr">
        <is>
          <t>Milho</t>
        </is>
      </c>
      <c r="B2251" t="inlineStr">
        <is>
          <t>Palmeira das Missões - RS</t>
        </is>
      </c>
      <c r="C2251" t="n">
        <v>-27.9007</v>
      </c>
      <c r="D2251" t="n">
        <v>-53.3134</v>
      </c>
      <c r="E2251" t="inlineStr">
        <is>
          <t>2022-12</t>
        </is>
      </c>
      <c r="F2251" t="n">
        <v>0</v>
      </c>
    </row>
    <row r="2252">
      <c r="A2252" t="inlineStr">
        <is>
          <t>Milho</t>
        </is>
      </c>
      <c r="B2252" t="inlineStr">
        <is>
          <t>Limoeiro de Anadia - AL</t>
        </is>
      </c>
      <c r="C2252" t="n">
        <v>-9.74098</v>
      </c>
      <c r="D2252" t="n">
        <v>-36.5121</v>
      </c>
      <c r="E2252" t="inlineStr">
        <is>
          <t>2023-01</t>
        </is>
      </c>
      <c r="F2252" t="n">
        <v>0</v>
      </c>
    </row>
    <row r="2253">
      <c r="A2253" t="inlineStr">
        <is>
          <t>Milho</t>
        </is>
      </c>
      <c r="B2253" t="inlineStr">
        <is>
          <t>Limoeiro de Anadia - AL</t>
        </is>
      </c>
      <c r="C2253" t="n">
        <v>-9.74098</v>
      </c>
      <c r="D2253" t="n">
        <v>-36.5121</v>
      </c>
      <c r="E2253" t="inlineStr">
        <is>
          <t>2023-02</t>
        </is>
      </c>
      <c r="F2253" t="n">
        <v>0</v>
      </c>
    </row>
    <row r="2254">
      <c r="A2254" t="inlineStr">
        <is>
          <t>Milho</t>
        </is>
      </c>
      <c r="B2254" t="inlineStr">
        <is>
          <t>Limoeiro de Anadia - AL</t>
        </is>
      </c>
      <c r="C2254" t="n">
        <v>-9.74098</v>
      </c>
      <c r="D2254" t="n">
        <v>-36.5121</v>
      </c>
      <c r="E2254" t="inlineStr">
        <is>
          <t>2023-03</t>
        </is>
      </c>
      <c r="F2254" t="n">
        <v>0</v>
      </c>
    </row>
    <row r="2255">
      <c r="A2255" t="inlineStr">
        <is>
          <t>Milho</t>
        </is>
      </c>
      <c r="B2255" t="inlineStr">
        <is>
          <t>Limoeiro de Anadia - AL</t>
        </is>
      </c>
      <c r="C2255" t="n">
        <v>-9.74098</v>
      </c>
      <c r="D2255" t="n">
        <v>-36.5121</v>
      </c>
      <c r="E2255" t="inlineStr">
        <is>
          <t>2023-04</t>
        </is>
      </c>
      <c r="F2255" t="n">
        <v>0</v>
      </c>
    </row>
    <row r="2256">
      <c r="A2256" t="inlineStr">
        <is>
          <t>Milho</t>
        </is>
      </c>
      <c r="B2256" t="inlineStr">
        <is>
          <t>Limoeiro de Anadia - AL</t>
        </is>
      </c>
      <c r="C2256" t="n">
        <v>-9.74098</v>
      </c>
      <c r="D2256" t="n">
        <v>-36.5121</v>
      </c>
      <c r="E2256" t="inlineStr">
        <is>
          <t>2023-05</t>
        </is>
      </c>
      <c r="F2256" t="n">
        <v>0</v>
      </c>
    </row>
    <row r="2257">
      <c r="A2257" t="inlineStr">
        <is>
          <t>Milho</t>
        </is>
      </c>
      <c r="B2257" t="inlineStr">
        <is>
          <t>Limoeiro de Anadia - AL</t>
        </is>
      </c>
      <c r="C2257" t="n">
        <v>-9.74098</v>
      </c>
      <c r="D2257" t="n">
        <v>-36.5121</v>
      </c>
      <c r="E2257" t="inlineStr">
        <is>
          <t>2023-06</t>
        </is>
      </c>
      <c r="F2257" t="n">
        <v>0</v>
      </c>
    </row>
    <row r="2258">
      <c r="A2258" t="inlineStr">
        <is>
          <t>Milho</t>
        </is>
      </c>
      <c r="B2258" t="inlineStr">
        <is>
          <t>Limoeiro de Anadia - AL</t>
        </is>
      </c>
      <c r="C2258" t="n">
        <v>-9.74098</v>
      </c>
      <c r="D2258" t="n">
        <v>-36.5121</v>
      </c>
      <c r="E2258" t="inlineStr">
        <is>
          <t>2022-07</t>
        </is>
      </c>
      <c r="F2258" t="n">
        <v>0</v>
      </c>
    </row>
    <row r="2259">
      <c r="A2259" t="inlineStr">
        <is>
          <t>Milho</t>
        </is>
      </c>
      <c r="B2259" t="inlineStr">
        <is>
          <t>Limoeiro de Anadia - AL</t>
        </is>
      </c>
      <c r="C2259" t="n">
        <v>-9.74098</v>
      </c>
      <c r="D2259" t="n">
        <v>-36.5121</v>
      </c>
      <c r="E2259" t="inlineStr">
        <is>
          <t>2022-08</t>
        </is>
      </c>
      <c r="F2259" t="n">
        <v>0</v>
      </c>
    </row>
    <row r="2260">
      <c r="A2260" t="inlineStr">
        <is>
          <t>Milho</t>
        </is>
      </c>
      <c r="B2260" t="inlineStr">
        <is>
          <t>Limoeiro de Anadia - AL</t>
        </is>
      </c>
      <c r="C2260" t="n">
        <v>-9.74098</v>
      </c>
      <c r="D2260" t="n">
        <v>-36.5121</v>
      </c>
      <c r="E2260" t="inlineStr">
        <is>
          <t>2022-09</t>
        </is>
      </c>
      <c r="F2260" t="n">
        <v>0</v>
      </c>
    </row>
    <row r="2261">
      <c r="A2261" t="inlineStr">
        <is>
          <t>Milho</t>
        </is>
      </c>
      <c r="B2261" t="inlineStr">
        <is>
          <t>Limoeiro de Anadia - AL</t>
        </is>
      </c>
      <c r="C2261" t="n">
        <v>-9.74098</v>
      </c>
      <c r="D2261" t="n">
        <v>-36.5121</v>
      </c>
      <c r="E2261" t="inlineStr">
        <is>
          <t>2022-10</t>
        </is>
      </c>
      <c r="F2261" t="n">
        <v>0</v>
      </c>
    </row>
    <row r="2262">
      <c r="A2262" t="inlineStr">
        <is>
          <t>Milho</t>
        </is>
      </c>
      <c r="B2262" t="inlineStr">
        <is>
          <t>Limoeiro de Anadia - AL</t>
        </is>
      </c>
      <c r="C2262" t="n">
        <v>-9.74098</v>
      </c>
      <c r="D2262" t="n">
        <v>-36.5121</v>
      </c>
      <c r="E2262" t="inlineStr">
        <is>
          <t>2022-11</t>
        </is>
      </c>
      <c r="F2262" t="n">
        <v>0</v>
      </c>
    </row>
    <row r="2263">
      <c r="A2263" t="inlineStr">
        <is>
          <t>Milho</t>
        </is>
      </c>
      <c r="B2263" t="inlineStr">
        <is>
          <t>Limoeiro de Anadia - AL</t>
        </is>
      </c>
      <c r="C2263" t="n">
        <v>-9.74098</v>
      </c>
      <c r="D2263" t="n">
        <v>-36.5121</v>
      </c>
      <c r="E2263" t="inlineStr">
        <is>
          <t>2022-12</t>
        </is>
      </c>
      <c r="F2263" t="n">
        <v>0</v>
      </c>
    </row>
    <row r="2264">
      <c r="A2264" t="inlineStr">
        <is>
          <t>Milho</t>
        </is>
      </c>
      <c r="B2264" t="inlineStr">
        <is>
          <t>Macapá - AP</t>
        </is>
      </c>
      <c r="C2264" t="n">
        <v>0.034934</v>
      </c>
      <c r="D2264" t="n">
        <v>-51.0694</v>
      </c>
      <c r="E2264" t="inlineStr">
        <is>
          <t>2023-01</t>
        </is>
      </c>
      <c r="F2264" t="n">
        <v>0</v>
      </c>
    </row>
    <row r="2265">
      <c r="A2265" t="inlineStr">
        <is>
          <t>Milho</t>
        </is>
      </c>
      <c r="B2265" t="inlineStr">
        <is>
          <t>Macapá - AP</t>
        </is>
      </c>
      <c r="C2265" t="n">
        <v>0.034934</v>
      </c>
      <c r="D2265" t="n">
        <v>-51.0694</v>
      </c>
      <c r="E2265" t="inlineStr">
        <is>
          <t>2023-02</t>
        </is>
      </c>
      <c r="F2265" t="n">
        <v>0</v>
      </c>
    </row>
    <row r="2266">
      <c r="A2266" t="inlineStr">
        <is>
          <t>Milho</t>
        </is>
      </c>
      <c r="B2266" t="inlineStr">
        <is>
          <t>Macapá - AP</t>
        </is>
      </c>
      <c r="C2266" t="n">
        <v>0.034934</v>
      </c>
      <c r="D2266" t="n">
        <v>-51.0694</v>
      </c>
      <c r="E2266" t="inlineStr">
        <is>
          <t>2023-03</t>
        </is>
      </c>
      <c r="F2266" t="n">
        <v>0</v>
      </c>
    </row>
    <row r="2267">
      <c r="A2267" t="inlineStr">
        <is>
          <t>Milho</t>
        </is>
      </c>
      <c r="B2267" t="inlineStr">
        <is>
          <t>Macapá - AP</t>
        </is>
      </c>
      <c r="C2267" t="n">
        <v>0.034934</v>
      </c>
      <c r="D2267" t="n">
        <v>-51.0694</v>
      </c>
      <c r="E2267" t="inlineStr">
        <is>
          <t>2023-04</t>
        </is>
      </c>
      <c r="F2267" t="n">
        <v>0</v>
      </c>
    </row>
    <row r="2268">
      <c r="A2268" t="inlineStr">
        <is>
          <t>Milho</t>
        </is>
      </c>
      <c r="B2268" t="inlineStr">
        <is>
          <t>Macapá - AP</t>
        </is>
      </c>
      <c r="C2268" t="n">
        <v>0.034934</v>
      </c>
      <c r="D2268" t="n">
        <v>-51.0694</v>
      </c>
      <c r="E2268" t="inlineStr">
        <is>
          <t>2023-05</t>
        </is>
      </c>
      <c r="F2268" t="n">
        <v>0</v>
      </c>
    </row>
    <row r="2269">
      <c r="A2269" t="inlineStr">
        <is>
          <t>Milho</t>
        </is>
      </c>
      <c r="B2269" t="inlineStr">
        <is>
          <t>Macapá - AP</t>
        </is>
      </c>
      <c r="C2269" t="n">
        <v>0.034934</v>
      </c>
      <c r="D2269" t="n">
        <v>-51.0694</v>
      </c>
      <c r="E2269" t="inlineStr">
        <is>
          <t>2023-06</t>
        </is>
      </c>
      <c r="F2269" t="n">
        <v>0</v>
      </c>
    </row>
    <row r="2270">
      <c r="A2270" t="inlineStr">
        <is>
          <t>Milho</t>
        </is>
      </c>
      <c r="B2270" t="inlineStr">
        <is>
          <t>Macapá - AP</t>
        </is>
      </c>
      <c r="C2270" t="n">
        <v>0.034934</v>
      </c>
      <c r="D2270" t="n">
        <v>-51.0694</v>
      </c>
      <c r="E2270" t="inlineStr">
        <is>
          <t>2022-07</t>
        </is>
      </c>
      <c r="F2270" t="n">
        <v>0</v>
      </c>
    </row>
    <row r="2271">
      <c r="A2271" t="inlineStr">
        <is>
          <t>Milho</t>
        </is>
      </c>
      <c r="B2271" t="inlineStr">
        <is>
          <t>Macapá - AP</t>
        </is>
      </c>
      <c r="C2271" t="n">
        <v>0.034934</v>
      </c>
      <c r="D2271" t="n">
        <v>-51.0694</v>
      </c>
      <c r="E2271" t="inlineStr">
        <is>
          <t>2022-08</t>
        </is>
      </c>
      <c r="F2271" t="n">
        <v>0</v>
      </c>
    </row>
    <row r="2272">
      <c r="A2272" t="inlineStr">
        <is>
          <t>Milho</t>
        </is>
      </c>
      <c r="B2272" t="inlineStr">
        <is>
          <t>Macapá - AP</t>
        </is>
      </c>
      <c r="C2272" t="n">
        <v>0.034934</v>
      </c>
      <c r="D2272" t="n">
        <v>-51.0694</v>
      </c>
      <c r="E2272" t="inlineStr">
        <is>
          <t>2022-09</t>
        </is>
      </c>
      <c r="F2272" t="n">
        <v>0</v>
      </c>
    </row>
    <row r="2273">
      <c r="A2273" t="inlineStr">
        <is>
          <t>Milho</t>
        </is>
      </c>
      <c r="B2273" t="inlineStr">
        <is>
          <t>Macapá - AP</t>
        </is>
      </c>
      <c r="C2273" t="n">
        <v>0.034934</v>
      </c>
      <c r="D2273" t="n">
        <v>-51.0694</v>
      </c>
      <c r="E2273" t="inlineStr">
        <is>
          <t>2022-10</t>
        </is>
      </c>
      <c r="F2273" t="n">
        <v>0</v>
      </c>
    </row>
    <row r="2274">
      <c r="A2274" t="inlineStr">
        <is>
          <t>Milho</t>
        </is>
      </c>
      <c r="B2274" t="inlineStr">
        <is>
          <t>Macapá - AP</t>
        </is>
      </c>
      <c r="C2274" t="n">
        <v>0.034934</v>
      </c>
      <c r="D2274" t="n">
        <v>-51.0694</v>
      </c>
      <c r="E2274" t="inlineStr">
        <is>
          <t>2022-11</t>
        </is>
      </c>
      <c r="F2274" t="n">
        <v>0</v>
      </c>
    </row>
    <row r="2275">
      <c r="A2275" t="inlineStr">
        <is>
          <t>Milho</t>
        </is>
      </c>
      <c r="B2275" t="inlineStr">
        <is>
          <t>Macapá - AP</t>
        </is>
      </c>
      <c r="C2275" t="n">
        <v>0.034934</v>
      </c>
      <c r="D2275" t="n">
        <v>-51.0694</v>
      </c>
      <c r="E2275" t="inlineStr">
        <is>
          <t>2022-12</t>
        </is>
      </c>
      <c r="F2275" t="n">
        <v>0</v>
      </c>
    </row>
    <row r="2276">
      <c r="A2276" t="inlineStr">
        <is>
          <t>Milho</t>
        </is>
      </c>
      <c r="B2276" t="inlineStr">
        <is>
          <t>Correntina - BA</t>
        </is>
      </c>
      <c r="C2276" t="n">
        <v>-13.3477</v>
      </c>
      <c r="D2276" t="n">
        <v>-44.6333</v>
      </c>
      <c r="E2276" t="inlineStr">
        <is>
          <t>2023-01</t>
        </is>
      </c>
      <c r="F2276" t="n">
        <v>0</v>
      </c>
    </row>
    <row r="2277">
      <c r="A2277" t="inlineStr">
        <is>
          <t>Milho</t>
        </is>
      </c>
      <c r="B2277" t="inlineStr">
        <is>
          <t>Correntina - BA</t>
        </is>
      </c>
      <c r="C2277" t="n">
        <v>-13.3477</v>
      </c>
      <c r="D2277" t="n">
        <v>-44.6333</v>
      </c>
      <c r="E2277" t="inlineStr">
        <is>
          <t>2023-02</t>
        </is>
      </c>
      <c r="F2277" t="n">
        <v>0</v>
      </c>
    </row>
    <row r="2278">
      <c r="A2278" t="inlineStr">
        <is>
          <t>Milho</t>
        </is>
      </c>
      <c r="B2278" t="inlineStr">
        <is>
          <t>Correntina - BA</t>
        </is>
      </c>
      <c r="C2278" t="n">
        <v>-13.3477</v>
      </c>
      <c r="D2278" t="n">
        <v>-44.6333</v>
      </c>
      <c r="E2278" t="inlineStr">
        <is>
          <t>2023-03</t>
        </is>
      </c>
      <c r="F2278" t="n">
        <v>0</v>
      </c>
    </row>
    <row r="2279">
      <c r="A2279" t="inlineStr">
        <is>
          <t>Milho</t>
        </is>
      </c>
      <c r="B2279" t="inlineStr">
        <is>
          <t>Correntina - BA</t>
        </is>
      </c>
      <c r="C2279" t="n">
        <v>-13.3477</v>
      </c>
      <c r="D2279" t="n">
        <v>-44.6333</v>
      </c>
      <c r="E2279" t="inlineStr">
        <is>
          <t>2023-04</t>
        </is>
      </c>
      <c r="F2279" t="n">
        <v>0</v>
      </c>
    </row>
    <row r="2280">
      <c r="A2280" t="inlineStr">
        <is>
          <t>Milho</t>
        </is>
      </c>
      <c r="B2280" t="inlineStr">
        <is>
          <t>Correntina - BA</t>
        </is>
      </c>
      <c r="C2280" t="n">
        <v>-13.3477</v>
      </c>
      <c r="D2280" t="n">
        <v>-44.6333</v>
      </c>
      <c r="E2280" t="inlineStr">
        <is>
          <t>2023-05</t>
        </is>
      </c>
      <c r="F2280" t="n">
        <v>0</v>
      </c>
    </row>
    <row r="2281">
      <c r="A2281" t="inlineStr">
        <is>
          <t>Milho</t>
        </is>
      </c>
      <c r="B2281" t="inlineStr">
        <is>
          <t>Correntina - BA</t>
        </is>
      </c>
      <c r="C2281" t="n">
        <v>-13.3477</v>
      </c>
      <c r="D2281" t="n">
        <v>-44.6333</v>
      </c>
      <c r="E2281" t="inlineStr">
        <is>
          <t>2023-06</t>
        </is>
      </c>
      <c r="F2281" t="n">
        <v>0</v>
      </c>
    </row>
    <row r="2282">
      <c r="A2282" t="inlineStr">
        <is>
          <t>Milho</t>
        </is>
      </c>
      <c r="B2282" t="inlineStr">
        <is>
          <t>Correntina - BA</t>
        </is>
      </c>
      <c r="C2282" t="n">
        <v>-13.3477</v>
      </c>
      <c r="D2282" t="n">
        <v>-44.6333</v>
      </c>
      <c r="E2282" t="inlineStr">
        <is>
          <t>2022-07</t>
        </is>
      </c>
      <c r="F2282" t="n">
        <v>0</v>
      </c>
    </row>
    <row r="2283">
      <c r="A2283" t="inlineStr">
        <is>
          <t>Milho</t>
        </is>
      </c>
      <c r="B2283" t="inlineStr">
        <is>
          <t>Correntina - BA</t>
        </is>
      </c>
      <c r="C2283" t="n">
        <v>-13.3477</v>
      </c>
      <c r="D2283" t="n">
        <v>-44.6333</v>
      </c>
      <c r="E2283" t="inlineStr">
        <is>
          <t>2022-08</t>
        </is>
      </c>
      <c r="F2283" t="n">
        <v>9993.408532278996</v>
      </c>
    </row>
    <row r="2284">
      <c r="A2284" t="inlineStr">
        <is>
          <t>Milho</t>
        </is>
      </c>
      <c r="B2284" t="inlineStr">
        <is>
          <t>Correntina - BA</t>
        </is>
      </c>
      <c r="C2284" t="n">
        <v>-13.3477</v>
      </c>
      <c r="D2284" t="n">
        <v>-44.6333</v>
      </c>
      <c r="E2284" t="inlineStr">
        <is>
          <t>2022-09</t>
        </is>
      </c>
      <c r="F2284" t="n">
        <v>21836.36478933982</v>
      </c>
    </row>
    <row r="2285">
      <c r="A2285" t="inlineStr">
        <is>
          <t>Milho</t>
        </is>
      </c>
      <c r="B2285" t="inlineStr">
        <is>
          <t>Correntina - BA</t>
        </is>
      </c>
      <c r="C2285" t="n">
        <v>-13.3477</v>
      </c>
      <c r="D2285" t="n">
        <v>-44.6333</v>
      </c>
      <c r="E2285" t="inlineStr">
        <is>
          <t>2022-10</t>
        </is>
      </c>
      <c r="F2285" t="n">
        <v>165680.5172672259</v>
      </c>
    </row>
    <row r="2286">
      <c r="A2286" t="inlineStr">
        <is>
          <t>Milho</t>
        </is>
      </c>
      <c r="B2286" t="inlineStr">
        <is>
          <t>Correntina - BA</t>
        </is>
      </c>
      <c r="C2286" t="n">
        <v>-13.3477</v>
      </c>
      <c r="D2286" t="n">
        <v>-44.6333</v>
      </c>
      <c r="E2286" t="inlineStr">
        <is>
          <t>2022-11</t>
        </is>
      </c>
      <c r="F2286" t="n">
        <v>255182.8847647606</v>
      </c>
    </row>
    <row r="2287">
      <c r="A2287" t="inlineStr">
        <is>
          <t>Milho</t>
        </is>
      </c>
      <c r="B2287" t="inlineStr">
        <is>
          <t>Correntina - BA</t>
        </is>
      </c>
      <c r="C2287" t="n">
        <v>-13.3477</v>
      </c>
      <c r="D2287" t="n">
        <v>-44.6333</v>
      </c>
      <c r="E2287" t="inlineStr">
        <is>
          <t>2022-12</t>
        </is>
      </c>
      <c r="F2287" t="n">
        <v>0</v>
      </c>
    </row>
    <row r="2288">
      <c r="A2288" t="inlineStr">
        <is>
          <t>Milho</t>
        </is>
      </c>
      <c r="B2288" t="inlineStr">
        <is>
          <t>Crateús - CE</t>
        </is>
      </c>
      <c r="C2288" t="n">
        <v>-5.16768</v>
      </c>
      <c r="D2288" t="n">
        <v>-40.6536</v>
      </c>
      <c r="E2288" t="inlineStr">
        <is>
          <t>2023-01</t>
        </is>
      </c>
      <c r="F2288" t="n">
        <v>0</v>
      </c>
    </row>
    <row r="2289">
      <c r="A2289" t="inlineStr">
        <is>
          <t>Milho</t>
        </is>
      </c>
      <c r="B2289" t="inlineStr">
        <is>
          <t>Crateús - CE</t>
        </is>
      </c>
      <c r="C2289" t="n">
        <v>-5.16768</v>
      </c>
      <c r="D2289" t="n">
        <v>-40.6536</v>
      </c>
      <c r="E2289" t="inlineStr">
        <is>
          <t>2023-02</t>
        </is>
      </c>
      <c r="F2289" t="n">
        <v>0</v>
      </c>
    </row>
    <row r="2290">
      <c r="A2290" t="inlineStr">
        <is>
          <t>Milho</t>
        </is>
      </c>
      <c r="B2290" t="inlineStr">
        <is>
          <t>Crateús - CE</t>
        </is>
      </c>
      <c r="C2290" t="n">
        <v>-5.16768</v>
      </c>
      <c r="D2290" t="n">
        <v>-40.6536</v>
      </c>
      <c r="E2290" t="inlineStr">
        <is>
          <t>2023-03</t>
        </is>
      </c>
      <c r="F2290" t="n">
        <v>0</v>
      </c>
    </row>
    <row r="2291">
      <c r="A2291" t="inlineStr">
        <is>
          <t>Milho</t>
        </is>
      </c>
      <c r="B2291" t="inlineStr">
        <is>
          <t>Crateús - CE</t>
        </is>
      </c>
      <c r="C2291" t="n">
        <v>-5.16768</v>
      </c>
      <c r="D2291" t="n">
        <v>-40.6536</v>
      </c>
      <c r="E2291" t="inlineStr">
        <is>
          <t>2023-04</t>
        </is>
      </c>
      <c r="F2291" t="n">
        <v>0</v>
      </c>
    </row>
    <row r="2292">
      <c r="A2292" t="inlineStr">
        <is>
          <t>Milho</t>
        </is>
      </c>
      <c r="B2292" t="inlineStr">
        <is>
          <t>Crateús - CE</t>
        </is>
      </c>
      <c r="C2292" t="n">
        <v>-5.16768</v>
      </c>
      <c r="D2292" t="n">
        <v>-40.6536</v>
      </c>
      <c r="E2292" t="inlineStr">
        <is>
          <t>2023-05</t>
        </is>
      </c>
      <c r="F2292" t="n">
        <v>51944.80465454231</v>
      </c>
    </row>
    <row r="2293">
      <c r="A2293" t="inlineStr">
        <is>
          <t>Milho</t>
        </is>
      </c>
      <c r="B2293" t="inlineStr">
        <is>
          <t>Crateús - CE</t>
        </is>
      </c>
      <c r="C2293" t="n">
        <v>-5.16768</v>
      </c>
      <c r="D2293" t="n">
        <v>-40.6536</v>
      </c>
      <c r="E2293" t="inlineStr">
        <is>
          <t>2023-06</t>
        </is>
      </c>
      <c r="F2293" t="n">
        <v>46208.74297027788</v>
      </c>
    </row>
    <row r="2294">
      <c r="A2294" t="inlineStr">
        <is>
          <t>Milho</t>
        </is>
      </c>
      <c r="B2294" t="inlineStr">
        <is>
          <t>Crateús - CE</t>
        </is>
      </c>
      <c r="C2294" t="n">
        <v>-5.16768</v>
      </c>
      <c r="D2294" t="n">
        <v>-40.6536</v>
      </c>
      <c r="E2294" t="inlineStr">
        <is>
          <t>2022-07</t>
        </is>
      </c>
      <c r="F2294" t="n">
        <v>106134.4607791863</v>
      </c>
    </row>
    <row r="2295">
      <c r="A2295" t="inlineStr">
        <is>
          <t>Milho</t>
        </is>
      </c>
      <c r="B2295" t="inlineStr">
        <is>
          <t>Crateús - CE</t>
        </is>
      </c>
      <c r="C2295" t="n">
        <v>-5.16768</v>
      </c>
      <c r="D2295" t="n">
        <v>-40.6536</v>
      </c>
      <c r="E2295" t="inlineStr">
        <is>
          <t>2022-08</t>
        </is>
      </c>
      <c r="F2295" t="n">
        <v>54407.51003753038</v>
      </c>
    </row>
    <row r="2296">
      <c r="A2296" t="inlineStr">
        <is>
          <t>Milho</t>
        </is>
      </c>
      <c r="B2296" t="inlineStr">
        <is>
          <t>Crateús - CE</t>
        </is>
      </c>
      <c r="C2296" t="n">
        <v>-5.16768</v>
      </c>
      <c r="D2296" t="n">
        <v>-40.6536</v>
      </c>
      <c r="E2296" t="inlineStr">
        <is>
          <t>2022-09</t>
        </is>
      </c>
      <c r="F2296" t="n">
        <v>29721.14650926424</v>
      </c>
    </row>
    <row r="2297">
      <c r="A2297" t="inlineStr">
        <is>
          <t>Milho</t>
        </is>
      </c>
      <c r="B2297" t="inlineStr">
        <is>
          <t>Crateús - CE</t>
        </is>
      </c>
      <c r="C2297" t="n">
        <v>-5.16768</v>
      </c>
      <c r="D2297" t="n">
        <v>-40.6536</v>
      </c>
      <c r="E2297" t="inlineStr">
        <is>
          <t>2022-10</t>
        </is>
      </c>
      <c r="F2297" t="n">
        <v>0</v>
      </c>
    </row>
    <row r="2298">
      <c r="A2298" t="inlineStr">
        <is>
          <t>Milho</t>
        </is>
      </c>
      <c r="B2298" t="inlineStr">
        <is>
          <t>Crateús - CE</t>
        </is>
      </c>
      <c r="C2298" t="n">
        <v>-5.16768</v>
      </c>
      <c r="D2298" t="n">
        <v>-40.6536</v>
      </c>
      <c r="E2298" t="inlineStr">
        <is>
          <t>2022-11</t>
        </is>
      </c>
      <c r="F2298" t="n">
        <v>0</v>
      </c>
    </row>
    <row r="2299">
      <c r="A2299" t="inlineStr">
        <is>
          <t>Milho</t>
        </is>
      </c>
      <c r="B2299" t="inlineStr">
        <is>
          <t>Crateús - CE</t>
        </is>
      </c>
      <c r="C2299" t="n">
        <v>-5.16768</v>
      </c>
      <c r="D2299" t="n">
        <v>-40.6536</v>
      </c>
      <c r="E2299" t="inlineStr">
        <is>
          <t>2022-12</t>
        </is>
      </c>
      <c r="F2299" t="n">
        <v>0</v>
      </c>
    </row>
    <row r="2300">
      <c r="A2300" t="inlineStr">
        <is>
          <t>Milho</t>
        </is>
      </c>
      <c r="B2300" t="inlineStr">
        <is>
          <t>Brasília - DF</t>
        </is>
      </c>
      <c r="C2300" t="n">
        <v>-15.7795</v>
      </c>
      <c r="D2300" t="n">
        <v>-47.9297</v>
      </c>
      <c r="E2300" t="inlineStr">
        <is>
          <t>2023-01</t>
        </is>
      </c>
      <c r="F2300" t="n">
        <v>0</v>
      </c>
    </row>
    <row r="2301">
      <c r="A2301" t="inlineStr">
        <is>
          <t>Milho</t>
        </is>
      </c>
      <c r="B2301" t="inlineStr">
        <is>
          <t>Brasília - DF</t>
        </is>
      </c>
      <c r="C2301" t="n">
        <v>-15.7795</v>
      </c>
      <c r="D2301" t="n">
        <v>-47.9297</v>
      </c>
      <c r="E2301" t="inlineStr">
        <is>
          <t>2023-02</t>
        </is>
      </c>
      <c r="F2301" t="n">
        <v>0</v>
      </c>
    </row>
    <row r="2302">
      <c r="A2302" t="inlineStr">
        <is>
          <t>Milho</t>
        </is>
      </c>
      <c r="B2302" t="inlineStr">
        <is>
          <t>Brasília - DF</t>
        </is>
      </c>
      <c r="C2302" t="n">
        <v>-15.7795</v>
      </c>
      <c r="D2302" t="n">
        <v>-47.9297</v>
      </c>
      <c r="E2302" t="inlineStr">
        <is>
          <t>2023-03</t>
        </is>
      </c>
      <c r="F2302" t="n">
        <v>0</v>
      </c>
    </row>
    <row r="2303">
      <c r="A2303" t="inlineStr">
        <is>
          <t>Milho</t>
        </is>
      </c>
      <c r="B2303" t="inlineStr">
        <is>
          <t>Brasília - DF</t>
        </is>
      </c>
      <c r="C2303" t="n">
        <v>-15.7795</v>
      </c>
      <c r="D2303" t="n">
        <v>-47.9297</v>
      </c>
      <c r="E2303" t="inlineStr">
        <is>
          <t>2023-04</t>
        </is>
      </c>
      <c r="F2303" t="n">
        <v>0</v>
      </c>
    </row>
    <row r="2304">
      <c r="A2304" t="inlineStr">
        <is>
          <t>Milho</t>
        </is>
      </c>
      <c r="B2304" t="inlineStr">
        <is>
          <t>Brasília - DF</t>
        </is>
      </c>
      <c r="C2304" t="n">
        <v>-15.7795</v>
      </c>
      <c r="D2304" t="n">
        <v>-47.9297</v>
      </c>
      <c r="E2304" t="inlineStr">
        <is>
          <t>2023-05</t>
        </is>
      </c>
      <c r="F2304" t="n">
        <v>30235.87875620341</v>
      </c>
    </row>
    <row r="2305">
      <c r="A2305" t="inlineStr">
        <is>
          <t>Milho</t>
        </is>
      </c>
      <c r="B2305" t="inlineStr">
        <is>
          <t>Brasília - DF</t>
        </is>
      </c>
      <c r="C2305" t="n">
        <v>-15.7795</v>
      </c>
      <c r="D2305" t="n">
        <v>-47.9297</v>
      </c>
      <c r="E2305" t="inlineStr">
        <is>
          <t>2023-06</t>
        </is>
      </c>
      <c r="F2305" t="n">
        <v>44828.41480226564</v>
      </c>
    </row>
    <row r="2306">
      <c r="A2306" t="inlineStr">
        <is>
          <t>Milho</t>
        </is>
      </c>
      <c r="B2306" t="inlineStr">
        <is>
          <t>Brasília - DF</t>
        </is>
      </c>
      <c r="C2306" t="n">
        <v>-15.7795</v>
      </c>
      <c r="D2306" t="n">
        <v>-47.9297</v>
      </c>
      <c r="E2306" t="inlineStr">
        <is>
          <t>2022-07</t>
        </is>
      </c>
      <c r="F2306" t="n">
        <v>44127.4528843829</v>
      </c>
    </row>
    <row r="2307">
      <c r="A2307" t="inlineStr">
        <is>
          <t>Milho</t>
        </is>
      </c>
      <c r="B2307" t="inlineStr">
        <is>
          <t>Brasília - DF</t>
        </is>
      </c>
      <c r="C2307" t="n">
        <v>-15.7795</v>
      </c>
      <c r="D2307" t="n">
        <v>-47.9297</v>
      </c>
      <c r="E2307" t="inlineStr">
        <is>
          <t>2022-08</t>
        </is>
      </c>
      <c r="F2307" t="n">
        <v>31669.36304529614</v>
      </c>
    </row>
    <row r="2308">
      <c r="A2308" t="inlineStr">
        <is>
          <t>Milho</t>
        </is>
      </c>
      <c r="B2308" t="inlineStr">
        <is>
          <t>Brasília - DF</t>
        </is>
      </c>
      <c r="C2308" t="n">
        <v>-15.7795</v>
      </c>
      <c r="D2308" t="n">
        <v>-47.9297</v>
      </c>
      <c r="E2308" t="inlineStr">
        <is>
          <t>2022-09</t>
        </is>
      </c>
      <c r="F2308" t="n">
        <v>0</v>
      </c>
    </row>
    <row r="2309">
      <c r="A2309" t="inlineStr">
        <is>
          <t>Milho</t>
        </is>
      </c>
      <c r="B2309" t="inlineStr">
        <is>
          <t>Brasília - DF</t>
        </is>
      </c>
      <c r="C2309" t="n">
        <v>-15.7795</v>
      </c>
      <c r="D2309" t="n">
        <v>-47.9297</v>
      </c>
      <c r="E2309" t="inlineStr">
        <is>
          <t>2022-10</t>
        </is>
      </c>
      <c r="F2309" t="n">
        <v>0</v>
      </c>
    </row>
    <row r="2310">
      <c r="A2310" t="inlineStr">
        <is>
          <t>Milho</t>
        </is>
      </c>
      <c r="B2310" t="inlineStr">
        <is>
          <t>Brasília - DF</t>
        </is>
      </c>
      <c r="C2310" t="n">
        <v>-15.7795</v>
      </c>
      <c r="D2310" t="n">
        <v>-47.9297</v>
      </c>
      <c r="E2310" t="inlineStr">
        <is>
          <t>2022-11</t>
        </is>
      </c>
      <c r="F2310" t="n">
        <v>0</v>
      </c>
    </row>
    <row r="2311">
      <c r="A2311" t="inlineStr">
        <is>
          <t>Milho</t>
        </is>
      </c>
      <c r="B2311" t="inlineStr">
        <is>
          <t>Brasília - DF</t>
        </is>
      </c>
      <c r="C2311" t="n">
        <v>-15.7795</v>
      </c>
      <c r="D2311" t="n">
        <v>-47.9297</v>
      </c>
      <c r="E2311" t="inlineStr">
        <is>
          <t>2022-12</t>
        </is>
      </c>
      <c r="F2311" t="n">
        <v>0</v>
      </c>
    </row>
    <row r="2312">
      <c r="A2312" t="inlineStr">
        <is>
          <t>Milho</t>
        </is>
      </c>
      <c r="B2312" t="inlineStr">
        <is>
          <t>Pinheiros - ES</t>
        </is>
      </c>
      <c r="C2312" t="n">
        <v>-18.4141</v>
      </c>
      <c r="D2312" t="n">
        <v>-40.2171</v>
      </c>
      <c r="E2312" t="inlineStr">
        <is>
          <t>2023-01</t>
        </is>
      </c>
      <c r="F2312" t="n">
        <v>0</v>
      </c>
    </row>
    <row r="2313">
      <c r="A2313" t="inlineStr">
        <is>
          <t>Milho</t>
        </is>
      </c>
      <c r="B2313" t="inlineStr">
        <is>
          <t>Pinheiros - ES</t>
        </is>
      </c>
      <c r="C2313" t="n">
        <v>-18.4141</v>
      </c>
      <c r="D2313" t="n">
        <v>-40.2171</v>
      </c>
      <c r="E2313" t="inlineStr">
        <is>
          <t>2023-02</t>
        </is>
      </c>
      <c r="F2313" t="n">
        <v>0</v>
      </c>
    </row>
    <row r="2314">
      <c r="A2314" t="inlineStr">
        <is>
          <t>Milho</t>
        </is>
      </c>
      <c r="B2314" t="inlineStr">
        <is>
          <t>Pinheiros - ES</t>
        </is>
      </c>
      <c r="C2314" t="n">
        <v>-18.4141</v>
      </c>
      <c r="D2314" t="n">
        <v>-40.2171</v>
      </c>
      <c r="E2314" t="inlineStr">
        <is>
          <t>2023-03</t>
        </is>
      </c>
      <c r="F2314" t="n">
        <v>0</v>
      </c>
    </row>
    <row r="2315">
      <c r="A2315" t="inlineStr">
        <is>
          <t>Milho</t>
        </is>
      </c>
      <c r="B2315" t="inlineStr">
        <is>
          <t>Pinheiros - ES</t>
        </is>
      </c>
      <c r="C2315" t="n">
        <v>-18.4141</v>
      </c>
      <c r="D2315" t="n">
        <v>-40.2171</v>
      </c>
      <c r="E2315" t="inlineStr">
        <is>
          <t>2023-04</t>
        </is>
      </c>
      <c r="F2315" t="n">
        <v>0</v>
      </c>
    </row>
    <row r="2316">
      <c r="A2316" t="inlineStr">
        <is>
          <t>Milho</t>
        </is>
      </c>
      <c r="B2316" t="inlineStr">
        <is>
          <t>Pinheiros - ES</t>
        </is>
      </c>
      <c r="C2316" t="n">
        <v>-18.4141</v>
      </c>
      <c r="D2316" t="n">
        <v>-40.2171</v>
      </c>
      <c r="E2316" t="inlineStr">
        <is>
          <t>2023-05</t>
        </is>
      </c>
      <c r="F2316" t="n">
        <v>0</v>
      </c>
    </row>
    <row r="2317">
      <c r="A2317" t="inlineStr">
        <is>
          <t>Milho</t>
        </is>
      </c>
      <c r="B2317" t="inlineStr">
        <is>
          <t>Pinheiros - ES</t>
        </is>
      </c>
      <c r="C2317" t="n">
        <v>-18.4141</v>
      </c>
      <c r="D2317" t="n">
        <v>-40.2171</v>
      </c>
      <c r="E2317" t="inlineStr">
        <is>
          <t>2023-06</t>
        </is>
      </c>
      <c r="F2317" t="n">
        <v>0</v>
      </c>
    </row>
    <row r="2318">
      <c r="A2318" t="inlineStr">
        <is>
          <t>Milho</t>
        </is>
      </c>
      <c r="B2318" t="inlineStr">
        <is>
          <t>Pinheiros - ES</t>
        </is>
      </c>
      <c r="C2318" t="n">
        <v>-18.4141</v>
      </c>
      <c r="D2318" t="n">
        <v>-40.2171</v>
      </c>
      <c r="E2318" t="inlineStr">
        <is>
          <t>2022-07</t>
        </is>
      </c>
      <c r="F2318" t="n">
        <v>0</v>
      </c>
    </row>
    <row r="2319">
      <c r="A2319" t="inlineStr">
        <is>
          <t>Milho</t>
        </is>
      </c>
      <c r="B2319" t="inlineStr">
        <is>
          <t>Pinheiros - ES</t>
        </is>
      </c>
      <c r="C2319" t="n">
        <v>-18.4141</v>
      </c>
      <c r="D2319" t="n">
        <v>-40.2171</v>
      </c>
      <c r="E2319" t="inlineStr">
        <is>
          <t>2022-08</t>
        </is>
      </c>
      <c r="F2319" t="n">
        <v>0</v>
      </c>
    </row>
    <row r="2320">
      <c r="A2320" t="inlineStr">
        <is>
          <t>Milho</t>
        </is>
      </c>
      <c r="B2320" t="inlineStr">
        <is>
          <t>Pinheiros - ES</t>
        </is>
      </c>
      <c r="C2320" t="n">
        <v>-18.4141</v>
      </c>
      <c r="D2320" t="n">
        <v>-40.2171</v>
      </c>
      <c r="E2320" t="inlineStr">
        <is>
          <t>2022-09</t>
        </is>
      </c>
      <c r="F2320" t="n">
        <v>0</v>
      </c>
    </row>
    <row r="2321">
      <c r="A2321" t="inlineStr">
        <is>
          <t>Milho</t>
        </is>
      </c>
      <c r="B2321" t="inlineStr">
        <is>
          <t>Pinheiros - ES</t>
        </is>
      </c>
      <c r="C2321" t="n">
        <v>-18.4141</v>
      </c>
      <c r="D2321" t="n">
        <v>-40.2171</v>
      </c>
      <c r="E2321" t="inlineStr">
        <is>
          <t>2022-10</t>
        </is>
      </c>
      <c r="F2321" t="n">
        <v>0</v>
      </c>
    </row>
    <row r="2322">
      <c r="A2322" t="inlineStr">
        <is>
          <t>Milho</t>
        </is>
      </c>
      <c r="B2322" t="inlineStr">
        <is>
          <t>Pinheiros - ES</t>
        </is>
      </c>
      <c r="C2322" t="n">
        <v>-18.4141</v>
      </c>
      <c r="D2322" t="n">
        <v>-40.2171</v>
      </c>
      <c r="E2322" t="inlineStr">
        <is>
          <t>2022-11</t>
        </is>
      </c>
      <c r="F2322" t="n">
        <v>0</v>
      </c>
    </row>
    <row r="2323">
      <c r="A2323" t="inlineStr">
        <is>
          <t>Milho</t>
        </is>
      </c>
      <c r="B2323" t="inlineStr">
        <is>
          <t>Pinheiros - ES</t>
        </is>
      </c>
      <c r="C2323" t="n">
        <v>-18.4141</v>
      </c>
      <c r="D2323" t="n">
        <v>-40.2171</v>
      </c>
      <c r="E2323" t="inlineStr">
        <is>
          <t>2022-12</t>
        </is>
      </c>
      <c r="F2323" t="n">
        <v>0</v>
      </c>
    </row>
    <row r="2324">
      <c r="A2324" t="inlineStr">
        <is>
          <t>Milho</t>
        </is>
      </c>
      <c r="B2324" t="inlineStr">
        <is>
          <t>Rio Verde - GO</t>
        </is>
      </c>
      <c r="C2324" t="n">
        <v>-17.7923</v>
      </c>
      <c r="D2324" t="n">
        <v>-50.9192</v>
      </c>
      <c r="E2324" t="inlineStr">
        <is>
          <t>2023-01</t>
        </is>
      </c>
      <c r="F2324" t="n">
        <v>0</v>
      </c>
    </row>
    <row r="2325">
      <c r="A2325" t="inlineStr">
        <is>
          <t>Milho</t>
        </is>
      </c>
      <c r="B2325" t="inlineStr">
        <is>
          <t>Rio Verde - GO</t>
        </is>
      </c>
      <c r="C2325" t="n">
        <v>-17.7923</v>
      </c>
      <c r="D2325" t="n">
        <v>-50.9192</v>
      </c>
      <c r="E2325" t="inlineStr">
        <is>
          <t>2023-02</t>
        </is>
      </c>
      <c r="F2325" t="n">
        <v>0</v>
      </c>
    </row>
    <row r="2326">
      <c r="A2326" t="inlineStr">
        <is>
          <t>Milho</t>
        </is>
      </c>
      <c r="B2326" t="inlineStr">
        <is>
          <t>Rio Verde - GO</t>
        </is>
      </c>
      <c r="C2326" t="n">
        <v>-17.7923</v>
      </c>
      <c r="D2326" t="n">
        <v>-50.9192</v>
      </c>
      <c r="E2326" t="inlineStr">
        <is>
          <t>2023-03</t>
        </is>
      </c>
      <c r="F2326" t="n">
        <v>0</v>
      </c>
    </row>
    <row r="2327">
      <c r="A2327" t="inlineStr">
        <is>
          <t>Milho</t>
        </is>
      </c>
      <c r="B2327" t="inlineStr">
        <is>
          <t>Rio Verde - GO</t>
        </is>
      </c>
      <c r="C2327" t="n">
        <v>-17.7923</v>
      </c>
      <c r="D2327" t="n">
        <v>-50.9192</v>
      </c>
      <c r="E2327" t="inlineStr">
        <is>
          <t>2023-04</t>
        </is>
      </c>
      <c r="F2327" t="n">
        <v>0</v>
      </c>
    </row>
    <row r="2328">
      <c r="A2328" t="inlineStr">
        <is>
          <t>Milho</t>
        </is>
      </c>
      <c r="B2328" t="inlineStr">
        <is>
          <t>Rio Verde - GO</t>
        </is>
      </c>
      <c r="C2328" t="n">
        <v>-17.7923</v>
      </c>
      <c r="D2328" t="n">
        <v>-50.9192</v>
      </c>
      <c r="E2328" t="inlineStr">
        <is>
          <t>2023-05</t>
        </is>
      </c>
      <c r="F2328" t="n">
        <v>1377525.50519989</v>
      </c>
    </row>
    <row r="2329">
      <c r="A2329" t="inlineStr">
        <is>
          <t>Milho</t>
        </is>
      </c>
      <c r="B2329" t="inlineStr">
        <is>
          <t>Rio Verde - GO</t>
        </is>
      </c>
      <c r="C2329" t="n">
        <v>-17.7923</v>
      </c>
      <c r="D2329" t="n">
        <v>-50.9192</v>
      </c>
      <c r="E2329" t="inlineStr">
        <is>
          <t>2023-06</t>
        </is>
      </c>
      <c r="F2329" t="n">
        <v>2042351.249180468</v>
      </c>
    </row>
    <row r="2330">
      <c r="A2330" t="inlineStr">
        <is>
          <t>Milho</t>
        </is>
      </c>
      <c r="B2330" t="inlineStr">
        <is>
          <t>Rio Verde - GO</t>
        </is>
      </c>
      <c r="C2330" t="n">
        <v>-17.7923</v>
      </c>
      <c r="D2330" t="n">
        <v>-50.9192</v>
      </c>
      <c r="E2330" t="inlineStr">
        <is>
          <t>2022-07</t>
        </is>
      </c>
      <c r="F2330" t="n">
        <v>2010415.914082618</v>
      </c>
    </row>
    <row r="2331">
      <c r="A2331" t="inlineStr">
        <is>
          <t>Milho</t>
        </is>
      </c>
      <c r="B2331" t="inlineStr">
        <is>
          <t>Rio Verde - GO</t>
        </is>
      </c>
      <c r="C2331" t="n">
        <v>-17.7923</v>
      </c>
      <c r="D2331" t="n">
        <v>-50.9192</v>
      </c>
      <c r="E2331" t="inlineStr">
        <is>
          <t>2022-08</t>
        </is>
      </c>
      <c r="F2331" t="n">
        <v>1442834.047592541</v>
      </c>
    </row>
    <row r="2332">
      <c r="A2332" t="inlineStr">
        <is>
          <t>Milho</t>
        </is>
      </c>
      <c r="B2332" t="inlineStr">
        <is>
          <t>Rio Verde - GO</t>
        </is>
      </c>
      <c r="C2332" t="n">
        <v>-17.7923</v>
      </c>
      <c r="D2332" t="n">
        <v>-50.9192</v>
      </c>
      <c r="E2332" t="inlineStr">
        <is>
          <t>2022-09</t>
        </is>
      </c>
      <c r="F2332" t="n">
        <v>788175.7883695118</v>
      </c>
    </row>
    <row r="2333">
      <c r="A2333" t="inlineStr">
        <is>
          <t>Milho</t>
        </is>
      </c>
      <c r="B2333" t="inlineStr">
        <is>
          <t>Rio Verde - GO</t>
        </is>
      </c>
      <c r="C2333" t="n">
        <v>-17.7923</v>
      </c>
      <c r="D2333" t="n">
        <v>-50.9192</v>
      </c>
      <c r="E2333" t="inlineStr">
        <is>
          <t>2022-10</t>
        </is>
      </c>
      <c r="F2333" t="n">
        <v>0</v>
      </c>
    </row>
    <row r="2334">
      <c r="A2334" t="inlineStr">
        <is>
          <t>Milho</t>
        </is>
      </c>
      <c r="B2334" t="inlineStr">
        <is>
          <t>Rio Verde - GO</t>
        </is>
      </c>
      <c r="C2334" t="n">
        <v>-17.7923</v>
      </c>
      <c r="D2334" t="n">
        <v>-50.9192</v>
      </c>
      <c r="E2334" t="inlineStr">
        <is>
          <t>2022-11</t>
        </is>
      </c>
      <c r="F2334" t="n">
        <v>0</v>
      </c>
    </row>
    <row r="2335">
      <c r="A2335" t="inlineStr">
        <is>
          <t>Milho</t>
        </is>
      </c>
      <c r="B2335" t="inlineStr">
        <is>
          <t>Rio Verde - GO</t>
        </is>
      </c>
      <c r="C2335" t="n">
        <v>-17.7923</v>
      </c>
      <c r="D2335" t="n">
        <v>-50.9192</v>
      </c>
      <c r="E2335" t="inlineStr">
        <is>
          <t>2022-12</t>
        </is>
      </c>
      <c r="F2335" t="n">
        <v>0</v>
      </c>
    </row>
    <row r="2336">
      <c r="A2336" t="inlineStr">
        <is>
          <t>Milho</t>
        </is>
      </c>
      <c r="B2336" t="inlineStr">
        <is>
          <t>Balsas - MA</t>
        </is>
      </c>
      <c r="C2336" t="n">
        <v>-7.53214</v>
      </c>
      <c r="D2336" t="n">
        <v>-46.0372</v>
      </c>
      <c r="E2336" t="inlineStr">
        <is>
          <t>2023-01</t>
        </is>
      </c>
      <c r="F2336" t="n">
        <v>0</v>
      </c>
    </row>
    <row r="2337">
      <c r="A2337" t="inlineStr">
        <is>
          <t>Milho</t>
        </is>
      </c>
      <c r="B2337" t="inlineStr">
        <is>
          <t>Balsas - MA</t>
        </is>
      </c>
      <c r="C2337" t="n">
        <v>-7.53214</v>
      </c>
      <c r="D2337" t="n">
        <v>-46.0372</v>
      </c>
      <c r="E2337" t="inlineStr">
        <is>
          <t>2023-02</t>
        </is>
      </c>
      <c r="F2337" t="n">
        <v>0</v>
      </c>
    </row>
    <row r="2338">
      <c r="A2338" t="inlineStr">
        <is>
          <t>Milho</t>
        </is>
      </c>
      <c r="B2338" t="inlineStr">
        <is>
          <t>Balsas - MA</t>
        </is>
      </c>
      <c r="C2338" t="n">
        <v>-7.53214</v>
      </c>
      <c r="D2338" t="n">
        <v>-46.0372</v>
      </c>
      <c r="E2338" t="inlineStr">
        <is>
          <t>2023-03</t>
        </is>
      </c>
      <c r="F2338" t="n">
        <v>0</v>
      </c>
    </row>
    <row r="2339">
      <c r="A2339" t="inlineStr">
        <is>
          <t>Milho</t>
        </is>
      </c>
      <c r="B2339" t="inlineStr">
        <is>
          <t>Balsas - MA</t>
        </is>
      </c>
      <c r="C2339" t="n">
        <v>-7.53214</v>
      </c>
      <c r="D2339" t="n">
        <v>-46.0372</v>
      </c>
      <c r="E2339" t="inlineStr">
        <is>
          <t>2023-04</t>
        </is>
      </c>
      <c r="F2339" t="n">
        <v>0</v>
      </c>
    </row>
    <row r="2340">
      <c r="A2340" t="inlineStr">
        <is>
          <t>Milho</t>
        </is>
      </c>
      <c r="B2340" t="inlineStr">
        <is>
          <t>Balsas - MA</t>
        </is>
      </c>
      <c r="C2340" t="n">
        <v>-7.53214</v>
      </c>
      <c r="D2340" t="n">
        <v>-46.0372</v>
      </c>
      <c r="E2340" t="inlineStr">
        <is>
          <t>2023-05</t>
        </is>
      </c>
      <c r="F2340" t="n">
        <v>214968.3969843024</v>
      </c>
    </row>
    <row r="2341">
      <c r="A2341" t="inlineStr">
        <is>
          <t>Milho</t>
        </is>
      </c>
      <c r="B2341" t="inlineStr">
        <is>
          <t>Balsas - MA</t>
        </is>
      </c>
      <c r="C2341" t="n">
        <v>-7.53214</v>
      </c>
      <c r="D2341" t="n">
        <v>-46.0372</v>
      </c>
      <c r="E2341" t="inlineStr">
        <is>
          <t>2023-06</t>
        </is>
      </c>
      <c r="F2341" t="n">
        <v>318717.1289808563</v>
      </c>
    </row>
    <row r="2342">
      <c r="A2342" t="inlineStr">
        <is>
          <t>Milho</t>
        </is>
      </c>
      <c r="B2342" t="inlineStr">
        <is>
          <t>Balsas - MA</t>
        </is>
      </c>
      <c r="C2342" t="n">
        <v>-7.53214</v>
      </c>
      <c r="D2342" t="n">
        <v>-46.0372</v>
      </c>
      <c r="E2342" t="inlineStr">
        <is>
          <t>2022-07</t>
        </is>
      </c>
      <c r="F2342" t="n">
        <v>313733.4914603699</v>
      </c>
    </row>
    <row r="2343">
      <c r="A2343" t="inlineStr">
        <is>
          <t>Milho</t>
        </is>
      </c>
      <c r="B2343" t="inlineStr">
        <is>
          <t>Balsas - MA</t>
        </is>
      </c>
      <c r="C2343" t="n">
        <v>-7.53214</v>
      </c>
      <c r="D2343" t="n">
        <v>-46.0372</v>
      </c>
      <c r="E2343" t="inlineStr">
        <is>
          <t>2022-08</t>
        </is>
      </c>
      <c r="F2343" t="n">
        <v>225160.0577662872</v>
      </c>
    </row>
    <row r="2344">
      <c r="A2344" t="inlineStr">
        <is>
          <t>Milho</t>
        </is>
      </c>
      <c r="B2344" t="inlineStr">
        <is>
          <t>Balsas - MA</t>
        </is>
      </c>
      <c r="C2344" t="n">
        <v>-7.53214</v>
      </c>
      <c r="D2344" t="n">
        <v>-46.0372</v>
      </c>
      <c r="E2344" t="inlineStr">
        <is>
          <t>2022-09</t>
        </is>
      </c>
      <c r="F2344" t="n">
        <v>0</v>
      </c>
    </row>
    <row r="2345">
      <c r="A2345" t="inlineStr">
        <is>
          <t>Milho</t>
        </is>
      </c>
      <c r="B2345" t="inlineStr">
        <is>
          <t>Balsas - MA</t>
        </is>
      </c>
      <c r="C2345" t="n">
        <v>-7.53214</v>
      </c>
      <c r="D2345" t="n">
        <v>-46.0372</v>
      </c>
      <c r="E2345" t="inlineStr">
        <is>
          <t>2022-10</t>
        </is>
      </c>
      <c r="F2345" t="n">
        <v>0</v>
      </c>
    </row>
    <row r="2346">
      <c r="A2346" t="inlineStr">
        <is>
          <t>Milho</t>
        </is>
      </c>
      <c r="B2346" t="inlineStr">
        <is>
          <t>Balsas - MA</t>
        </is>
      </c>
      <c r="C2346" t="n">
        <v>-7.53214</v>
      </c>
      <c r="D2346" t="n">
        <v>-46.0372</v>
      </c>
      <c r="E2346" t="inlineStr">
        <is>
          <t>2022-11</t>
        </is>
      </c>
      <c r="F2346" t="n">
        <v>0</v>
      </c>
    </row>
    <row r="2347">
      <c r="A2347" t="inlineStr">
        <is>
          <t>Milho</t>
        </is>
      </c>
      <c r="B2347" t="inlineStr">
        <is>
          <t>Balsas - MA</t>
        </is>
      </c>
      <c r="C2347" t="n">
        <v>-7.53214</v>
      </c>
      <c r="D2347" t="n">
        <v>-46.0372</v>
      </c>
      <c r="E2347" t="inlineStr">
        <is>
          <t>2022-12</t>
        </is>
      </c>
      <c r="F2347" t="n">
        <v>0</v>
      </c>
    </row>
    <row r="2348">
      <c r="A2348" t="inlineStr">
        <is>
          <t>Milho</t>
        </is>
      </c>
      <c r="B2348" t="inlineStr">
        <is>
          <t>Unaí - MG</t>
        </is>
      </c>
      <c r="C2348" t="n">
        <v>-16.3592</v>
      </c>
      <c r="D2348" t="n">
        <v>-46.9022</v>
      </c>
      <c r="E2348" t="inlineStr">
        <is>
          <t>2023-01</t>
        </is>
      </c>
      <c r="F2348" t="n">
        <v>0</v>
      </c>
    </row>
    <row r="2349">
      <c r="A2349" t="inlineStr">
        <is>
          <t>Milho</t>
        </is>
      </c>
      <c r="B2349" t="inlineStr">
        <is>
          <t>Unaí - MG</t>
        </is>
      </c>
      <c r="C2349" t="n">
        <v>-16.3592</v>
      </c>
      <c r="D2349" t="n">
        <v>-46.9022</v>
      </c>
      <c r="E2349" t="inlineStr">
        <is>
          <t>2023-02</t>
        </is>
      </c>
      <c r="F2349" t="n">
        <v>0</v>
      </c>
    </row>
    <row r="2350">
      <c r="A2350" t="inlineStr">
        <is>
          <t>Milho</t>
        </is>
      </c>
      <c r="B2350" t="inlineStr">
        <is>
          <t>Unaí - MG</t>
        </is>
      </c>
      <c r="C2350" t="n">
        <v>-16.3592</v>
      </c>
      <c r="D2350" t="n">
        <v>-46.9022</v>
      </c>
      <c r="E2350" t="inlineStr">
        <is>
          <t>2023-03</t>
        </is>
      </c>
      <c r="F2350" t="n">
        <v>0</v>
      </c>
    </row>
    <row r="2351">
      <c r="A2351" t="inlineStr">
        <is>
          <t>Milho</t>
        </is>
      </c>
      <c r="B2351" t="inlineStr">
        <is>
          <t>Unaí - MG</t>
        </is>
      </c>
      <c r="C2351" t="n">
        <v>-16.3592</v>
      </c>
      <c r="D2351" t="n">
        <v>-46.9022</v>
      </c>
      <c r="E2351" t="inlineStr">
        <is>
          <t>2023-04</t>
        </is>
      </c>
      <c r="F2351" t="n">
        <v>0</v>
      </c>
    </row>
    <row r="2352">
      <c r="A2352" t="inlineStr">
        <is>
          <t>Milho</t>
        </is>
      </c>
      <c r="B2352" t="inlineStr">
        <is>
          <t>Unaí - MG</t>
        </is>
      </c>
      <c r="C2352" t="n">
        <v>-16.3592</v>
      </c>
      <c r="D2352" t="n">
        <v>-46.9022</v>
      </c>
      <c r="E2352" t="inlineStr">
        <is>
          <t>2023-05</t>
        </is>
      </c>
      <c r="F2352" t="n">
        <v>190231.8046295758</v>
      </c>
    </row>
    <row r="2353">
      <c r="A2353" t="inlineStr">
        <is>
          <t>Milho</t>
        </is>
      </c>
      <c r="B2353" t="inlineStr">
        <is>
          <t>Unaí - MG</t>
        </is>
      </c>
      <c r="C2353" t="n">
        <v>-16.3592</v>
      </c>
      <c r="D2353" t="n">
        <v>-46.9022</v>
      </c>
      <c r="E2353" t="inlineStr">
        <is>
          <t>2023-06</t>
        </is>
      </c>
      <c r="F2353" t="n">
        <v>338450.5004248394</v>
      </c>
    </row>
    <row r="2354">
      <c r="A2354" t="inlineStr">
        <is>
          <t>Milho</t>
        </is>
      </c>
      <c r="B2354" t="inlineStr">
        <is>
          <t>Unaí - MG</t>
        </is>
      </c>
      <c r="C2354" t="n">
        <v>-16.3592</v>
      </c>
      <c r="D2354" t="n">
        <v>-46.9022</v>
      </c>
      <c r="E2354" t="inlineStr">
        <is>
          <t>2022-07</t>
        </is>
      </c>
      <c r="F2354" t="n">
        <v>777369.3689555931</v>
      </c>
    </row>
    <row r="2355">
      <c r="A2355" t="inlineStr">
        <is>
          <t>Milho</t>
        </is>
      </c>
      <c r="B2355" t="inlineStr">
        <is>
          <t>Unaí - MG</t>
        </is>
      </c>
      <c r="C2355" t="n">
        <v>-16.3592</v>
      </c>
      <c r="D2355" t="n">
        <v>-46.9022</v>
      </c>
      <c r="E2355" t="inlineStr">
        <is>
          <t>2022-08</t>
        </is>
      </c>
      <c r="F2355" t="n">
        <v>398501.4050461389</v>
      </c>
    </row>
    <row r="2356">
      <c r="A2356" t="inlineStr">
        <is>
          <t>Milho</t>
        </is>
      </c>
      <c r="B2356" t="inlineStr">
        <is>
          <t>Unaí - MG</t>
        </is>
      </c>
      <c r="C2356" t="n">
        <v>-16.3592</v>
      </c>
      <c r="D2356" t="n">
        <v>-46.9022</v>
      </c>
      <c r="E2356" t="inlineStr">
        <is>
          <t>2022-09</t>
        </is>
      </c>
      <c r="F2356" t="n">
        <v>217689.0402695142</v>
      </c>
    </row>
    <row r="2357">
      <c r="A2357" t="inlineStr">
        <is>
          <t>Milho</t>
        </is>
      </c>
      <c r="B2357" t="inlineStr">
        <is>
          <t>Unaí - MG</t>
        </is>
      </c>
      <c r="C2357" t="n">
        <v>-16.3592</v>
      </c>
      <c r="D2357" t="n">
        <v>-46.9022</v>
      </c>
      <c r="E2357" t="inlineStr">
        <is>
          <t>2022-10</t>
        </is>
      </c>
      <c r="F2357" t="n">
        <v>0</v>
      </c>
    </row>
    <row r="2358">
      <c r="A2358" t="inlineStr">
        <is>
          <t>Milho</t>
        </is>
      </c>
      <c r="B2358" t="inlineStr">
        <is>
          <t>Unaí - MG</t>
        </is>
      </c>
      <c r="C2358" t="n">
        <v>-16.3592</v>
      </c>
      <c r="D2358" t="n">
        <v>-46.9022</v>
      </c>
      <c r="E2358" t="inlineStr">
        <is>
          <t>2022-11</t>
        </is>
      </c>
      <c r="F2358" t="n">
        <v>0</v>
      </c>
    </row>
    <row r="2359">
      <c r="A2359" t="inlineStr">
        <is>
          <t>Milho</t>
        </is>
      </c>
      <c r="B2359" t="inlineStr">
        <is>
          <t>Unaí - MG</t>
        </is>
      </c>
      <c r="C2359" t="n">
        <v>-16.3592</v>
      </c>
      <c r="D2359" t="n">
        <v>-46.9022</v>
      </c>
      <c r="E2359" t="inlineStr">
        <is>
          <t>2022-12</t>
        </is>
      </c>
      <c r="F2359" t="n">
        <v>0</v>
      </c>
    </row>
    <row r="2360">
      <c r="A2360" t="inlineStr">
        <is>
          <t>Milho</t>
        </is>
      </c>
      <c r="B2360" t="inlineStr">
        <is>
          <t>Maracaju - MS</t>
        </is>
      </c>
      <c r="C2360" t="n">
        <v>-21.6105</v>
      </c>
      <c r="D2360" t="n">
        <v>-55.1678</v>
      </c>
      <c r="E2360" t="inlineStr">
        <is>
          <t>2023-01</t>
        </is>
      </c>
      <c r="F2360" t="n">
        <v>0</v>
      </c>
    </row>
    <row r="2361">
      <c r="A2361" t="inlineStr">
        <is>
          <t>Milho</t>
        </is>
      </c>
      <c r="B2361" t="inlineStr">
        <is>
          <t>Maracaju - MS</t>
        </is>
      </c>
      <c r="C2361" t="n">
        <v>-21.6105</v>
      </c>
      <c r="D2361" t="n">
        <v>-55.1678</v>
      </c>
      <c r="E2361" t="inlineStr">
        <is>
          <t>2023-02</t>
        </is>
      </c>
      <c r="F2361" t="n">
        <v>0</v>
      </c>
    </row>
    <row r="2362">
      <c r="A2362" t="inlineStr">
        <is>
          <t>Milho</t>
        </is>
      </c>
      <c r="B2362" t="inlineStr">
        <is>
          <t>Maracaju - MS</t>
        </is>
      </c>
      <c r="C2362" t="n">
        <v>-21.6105</v>
      </c>
      <c r="D2362" t="n">
        <v>-55.1678</v>
      </c>
      <c r="E2362" t="inlineStr">
        <is>
          <t>2023-03</t>
        </is>
      </c>
      <c r="F2362" t="n">
        <v>0</v>
      </c>
    </row>
    <row r="2363">
      <c r="A2363" t="inlineStr">
        <is>
          <t>Milho</t>
        </is>
      </c>
      <c r="B2363" t="inlineStr">
        <is>
          <t>Maracaju - MS</t>
        </is>
      </c>
      <c r="C2363" t="n">
        <v>-21.6105</v>
      </c>
      <c r="D2363" t="n">
        <v>-55.1678</v>
      </c>
      <c r="E2363" t="inlineStr">
        <is>
          <t>2023-04</t>
        </is>
      </c>
      <c r="F2363" t="n">
        <v>0</v>
      </c>
    </row>
    <row r="2364">
      <c r="A2364" t="inlineStr">
        <is>
          <t>Milho</t>
        </is>
      </c>
      <c r="B2364" t="inlineStr">
        <is>
          <t>Maracaju - MS</t>
        </is>
      </c>
      <c r="C2364" t="n">
        <v>-21.6105</v>
      </c>
      <c r="D2364" t="n">
        <v>-55.1678</v>
      </c>
      <c r="E2364" t="inlineStr">
        <is>
          <t>2023-05</t>
        </is>
      </c>
      <c r="F2364" t="n">
        <v>788606.4097876961</v>
      </c>
    </row>
    <row r="2365">
      <c r="A2365" t="inlineStr">
        <is>
          <t>Milho</t>
        </is>
      </c>
      <c r="B2365" t="inlineStr">
        <is>
          <t>Maracaju - MS</t>
        </is>
      </c>
      <c r="C2365" t="n">
        <v>-21.6105</v>
      </c>
      <c r="D2365" t="n">
        <v>-55.1678</v>
      </c>
      <c r="E2365" t="inlineStr">
        <is>
          <t>2023-06</t>
        </is>
      </c>
      <c r="F2365" t="n">
        <v>1403047.374494524</v>
      </c>
    </row>
    <row r="2366">
      <c r="A2366" t="inlineStr">
        <is>
          <t>Milho</t>
        </is>
      </c>
      <c r="B2366" t="inlineStr">
        <is>
          <t>Maracaju - MS</t>
        </is>
      </c>
      <c r="C2366" t="n">
        <v>-21.6105</v>
      </c>
      <c r="D2366" t="n">
        <v>-55.1678</v>
      </c>
      <c r="E2366" t="inlineStr">
        <is>
          <t>2022-07</t>
        </is>
      </c>
      <c r="F2366" t="n">
        <v>3222586.613866809</v>
      </c>
    </row>
    <row r="2367">
      <c r="A2367" t="inlineStr">
        <is>
          <t>Milho</t>
        </is>
      </c>
      <c r="B2367" t="inlineStr">
        <is>
          <t>Maracaju - MS</t>
        </is>
      </c>
      <c r="C2367" t="n">
        <v>-21.6105</v>
      </c>
      <c r="D2367" t="n">
        <v>-55.1678</v>
      </c>
      <c r="E2367" t="inlineStr">
        <is>
          <t>2022-08</t>
        </is>
      </c>
      <c r="F2367" t="n">
        <v>1651988.545978022</v>
      </c>
    </row>
    <row r="2368">
      <c r="A2368" t="inlineStr">
        <is>
          <t>Milho</t>
        </is>
      </c>
      <c r="B2368" t="inlineStr">
        <is>
          <t>Maracaju - MS</t>
        </is>
      </c>
      <c r="C2368" t="n">
        <v>-21.6105</v>
      </c>
      <c r="D2368" t="n">
        <v>-55.1678</v>
      </c>
      <c r="E2368" t="inlineStr">
        <is>
          <t>2022-09</t>
        </is>
      </c>
      <c r="F2368" t="n">
        <v>1804860.894121809</v>
      </c>
    </row>
    <row r="2369">
      <c r="A2369" t="inlineStr">
        <is>
          <t>Milho</t>
        </is>
      </c>
      <c r="B2369" t="inlineStr">
        <is>
          <t>Maracaju - MS</t>
        </is>
      </c>
      <c r="C2369" t="n">
        <v>-21.6105</v>
      </c>
      <c r="D2369" t="n">
        <v>-55.1678</v>
      </c>
      <c r="E2369" t="inlineStr">
        <is>
          <t>2022-10</t>
        </is>
      </c>
      <c r="F2369" t="n">
        <v>0</v>
      </c>
    </row>
    <row r="2370">
      <c r="A2370" t="inlineStr">
        <is>
          <t>Milho</t>
        </is>
      </c>
      <c r="B2370" t="inlineStr">
        <is>
          <t>Maracaju - MS</t>
        </is>
      </c>
      <c r="C2370" t="n">
        <v>-21.6105</v>
      </c>
      <c r="D2370" t="n">
        <v>-55.1678</v>
      </c>
      <c r="E2370" t="inlineStr">
        <is>
          <t>2022-11</t>
        </is>
      </c>
      <c r="F2370" t="n">
        <v>0</v>
      </c>
    </row>
    <row r="2371">
      <c r="A2371" t="inlineStr">
        <is>
          <t>Milho</t>
        </is>
      </c>
      <c r="B2371" t="inlineStr">
        <is>
          <t>Maracaju - MS</t>
        </is>
      </c>
      <c r="C2371" t="n">
        <v>-21.6105</v>
      </c>
      <c r="D2371" t="n">
        <v>-55.1678</v>
      </c>
      <c r="E2371" t="inlineStr">
        <is>
          <t>2022-12</t>
        </is>
      </c>
      <c r="F2371" t="n">
        <v>0</v>
      </c>
    </row>
    <row r="2372">
      <c r="A2372" t="inlineStr">
        <is>
          <t>Milho</t>
        </is>
      </c>
      <c r="B2372" t="inlineStr">
        <is>
          <t>Sorriso - MT</t>
        </is>
      </c>
      <c r="C2372" t="n">
        <v>-12.5425</v>
      </c>
      <c r="D2372" t="n">
        <v>-55.7211</v>
      </c>
      <c r="E2372" t="inlineStr">
        <is>
          <t>2023-01</t>
        </is>
      </c>
      <c r="F2372" t="n">
        <v>0</v>
      </c>
    </row>
    <row r="2373">
      <c r="A2373" t="inlineStr">
        <is>
          <t>Milho</t>
        </is>
      </c>
      <c r="B2373" t="inlineStr">
        <is>
          <t>Sorriso - MT</t>
        </is>
      </c>
      <c r="C2373" t="n">
        <v>-12.5425</v>
      </c>
      <c r="D2373" t="n">
        <v>-55.7211</v>
      </c>
      <c r="E2373" t="inlineStr">
        <is>
          <t>2023-02</t>
        </is>
      </c>
      <c r="F2373" t="n">
        <v>0</v>
      </c>
    </row>
    <row r="2374">
      <c r="A2374" t="inlineStr">
        <is>
          <t>Milho</t>
        </is>
      </c>
      <c r="B2374" t="inlineStr">
        <is>
          <t>Sorriso - MT</t>
        </is>
      </c>
      <c r="C2374" t="n">
        <v>-12.5425</v>
      </c>
      <c r="D2374" t="n">
        <v>-55.7211</v>
      </c>
      <c r="E2374" t="inlineStr">
        <is>
          <t>2023-03</t>
        </is>
      </c>
      <c r="F2374" t="n">
        <v>0</v>
      </c>
    </row>
    <row r="2375">
      <c r="A2375" t="inlineStr">
        <is>
          <t>Milho</t>
        </is>
      </c>
      <c r="B2375" t="inlineStr">
        <is>
          <t>Sorriso - MT</t>
        </is>
      </c>
      <c r="C2375" t="n">
        <v>-12.5425</v>
      </c>
      <c r="D2375" t="n">
        <v>-55.7211</v>
      </c>
      <c r="E2375" t="inlineStr">
        <is>
          <t>2023-04</t>
        </is>
      </c>
      <c r="F2375" t="n">
        <v>0</v>
      </c>
    </row>
    <row r="2376">
      <c r="A2376" t="inlineStr">
        <is>
          <t>Milho</t>
        </is>
      </c>
      <c r="B2376" t="inlineStr">
        <is>
          <t>Sorriso - MT</t>
        </is>
      </c>
      <c r="C2376" t="n">
        <v>-12.5425</v>
      </c>
      <c r="D2376" t="n">
        <v>-55.7211</v>
      </c>
      <c r="E2376" t="inlineStr">
        <is>
          <t>2023-05</t>
        </is>
      </c>
      <c r="F2376" t="n">
        <v>6305868.087797358</v>
      </c>
    </row>
    <row r="2377">
      <c r="A2377" t="inlineStr">
        <is>
          <t>Milho</t>
        </is>
      </c>
      <c r="B2377" t="inlineStr">
        <is>
          <t>Sorriso - MT</t>
        </is>
      </c>
      <c r="C2377" t="n">
        <v>-12.5425</v>
      </c>
      <c r="D2377" t="n">
        <v>-55.7211</v>
      </c>
      <c r="E2377" t="inlineStr">
        <is>
          <t>2023-06</t>
        </is>
      </c>
      <c r="F2377" t="n">
        <v>9349226.21589599</v>
      </c>
    </row>
    <row r="2378">
      <c r="A2378" t="inlineStr">
        <is>
          <t>Milho</t>
        </is>
      </c>
      <c r="B2378" t="inlineStr">
        <is>
          <t>Sorriso - MT</t>
        </is>
      </c>
      <c r="C2378" t="n">
        <v>-12.5425</v>
      </c>
      <c r="D2378" t="n">
        <v>-55.7211</v>
      </c>
      <c r="E2378" t="inlineStr">
        <is>
          <t>2022-07</t>
        </is>
      </c>
      <c r="F2378" t="n">
        <v>9203036.537587695</v>
      </c>
    </row>
    <row r="2379">
      <c r="A2379" t="inlineStr">
        <is>
          <t>Milho</t>
        </is>
      </c>
      <c r="B2379" t="inlineStr">
        <is>
          <t>Sorriso - MT</t>
        </is>
      </c>
      <c r="C2379" t="n">
        <v>-12.5425</v>
      </c>
      <c r="D2379" t="n">
        <v>-55.7211</v>
      </c>
      <c r="E2379" t="inlineStr">
        <is>
          <t>2022-08</t>
        </is>
      </c>
      <c r="F2379" t="n">
        <v>6604829.560220053</v>
      </c>
    </row>
    <row r="2380">
      <c r="A2380" t="inlineStr">
        <is>
          <t>Milho</t>
        </is>
      </c>
      <c r="B2380" t="inlineStr">
        <is>
          <t>Sorriso - MT</t>
        </is>
      </c>
      <c r="C2380" t="n">
        <v>-12.5425</v>
      </c>
      <c r="D2380" t="n">
        <v>-55.7211</v>
      </c>
      <c r="E2380" t="inlineStr">
        <is>
          <t>2022-09</t>
        </is>
      </c>
      <c r="F2380" t="n">
        <v>3608014.90258623</v>
      </c>
    </row>
    <row r="2381">
      <c r="A2381" t="inlineStr">
        <is>
          <t>Milho</t>
        </is>
      </c>
      <c r="B2381" t="inlineStr">
        <is>
          <t>Sorriso - MT</t>
        </is>
      </c>
      <c r="C2381" t="n">
        <v>-12.5425</v>
      </c>
      <c r="D2381" t="n">
        <v>-55.7211</v>
      </c>
      <c r="E2381" t="inlineStr">
        <is>
          <t>2022-10</t>
        </is>
      </c>
      <c r="F2381" t="n">
        <v>0</v>
      </c>
    </row>
    <row r="2382">
      <c r="A2382" t="inlineStr">
        <is>
          <t>Milho</t>
        </is>
      </c>
      <c r="B2382" t="inlineStr">
        <is>
          <t>Sorriso - MT</t>
        </is>
      </c>
      <c r="C2382" t="n">
        <v>-12.5425</v>
      </c>
      <c r="D2382" t="n">
        <v>-55.7211</v>
      </c>
      <c r="E2382" t="inlineStr">
        <is>
          <t>2022-11</t>
        </is>
      </c>
      <c r="F2382" t="n">
        <v>0</v>
      </c>
    </row>
    <row r="2383">
      <c r="A2383" t="inlineStr">
        <is>
          <t>Milho</t>
        </is>
      </c>
      <c r="B2383" t="inlineStr">
        <is>
          <t>Sorriso - MT</t>
        </is>
      </c>
      <c r="C2383" t="n">
        <v>-12.5425</v>
      </c>
      <c r="D2383" t="n">
        <v>-55.7211</v>
      </c>
      <c r="E2383" t="inlineStr">
        <is>
          <t>2022-12</t>
        </is>
      </c>
      <c r="F2383" t="n">
        <v>0</v>
      </c>
    </row>
    <row r="2384">
      <c r="A2384" t="inlineStr">
        <is>
          <t>Milho</t>
        </is>
      </c>
      <c r="B2384" t="inlineStr">
        <is>
          <t>Santana do Araguaia - PA</t>
        </is>
      </c>
      <c r="C2384" t="n">
        <v>-9.328099999999999</v>
      </c>
      <c r="D2384" t="n">
        <v>-50.35</v>
      </c>
      <c r="E2384" t="inlineStr">
        <is>
          <t>2023-01</t>
        </is>
      </c>
      <c r="F2384" t="n">
        <v>0</v>
      </c>
    </row>
    <row r="2385">
      <c r="A2385" t="inlineStr">
        <is>
          <t>Milho</t>
        </is>
      </c>
      <c r="B2385" t="inlineStr">
        <is>
          <t>Santana do Araguaia - PA</t>
        </is>
      </c>
      <c r="C2385" t="n">
        <v>-9.328099999999999</v>
      </c>
      <c r="D2385" t="n">
        <v>-50.35</v>
      </c>
      <c r="E2385" t="inlineStr">
        <is>
          <t>2023-02</t>
        </is>
      </c>
      <c r="F2385" t="n">
        <v>0</v>
      </c>
    </row>
    <row r="2386">
      <c r="A2386" t="inlineStr">
        <is>
          <t>Milho</t>
        </is>
      </c>
      <c r="B2386" t="inlineStr">
        <is>
          <t>Santana do Araguaia - PA</t>
        </is>
      </c>
      <c r="C2386" t="n">
        <v>-9.328099999999999</v>
      </c>
      <c r="D2386" t="n">
        <v>-50.35</v>
      </c>
      <c r="E2386" t="inlineStr">
        <is>
          <t>2023-03</t>
        </is>
      </c>
      <c r="F2386" t="n">
        <v>0</v>
      </c>
    </row>
    <row r="2387">
      <c r="A2387" t="inlineStr">
        <is>
          <t>Milho</t>
        </is>
      </c>
      <c r="B2387" t="inlineStr">
        <is>
          <t>Santana do Araguaia - PA</t>
        </is>
      </c>
      <c r="C2387" t="n">
        <v>-9.328099999999999</v>
      </c>
      <c r="D2387" t="n">
        <v>-50.35</v>
      </c>
      <c r="E2387" t="inlineStr">
        <is>
          <t>2023-04</t>
        </is>
      </c>
      <c r="F2387" t="n">
        <v>0</v>
      </c>
    </row>
    <row r="2388">
      <c r="A2388" t="inlineStr">
        <is>
          <t>Milho</t>
        </is>
      </c>
      <c r="B2388" t="inlineStr">
        <is>
          <t>Santana do Araguaia - PA</t>
        </is>
      </c>
      <c r="C2388" t="n">
        <v>-9.328099999999999</v>
      </c>
      <c r="D2388" t="n">
        <v>-50.35</v>
      </c>
      <c r="E2388" t="inlineStr">
        <is>
          <t>2023-05</t>
        </is>
      </c>
      <c r="F2388" t="n">
        <v>190252.5600739258</v>
      </c>
    </row>
    <row r="2389">
      <c r="A2389" t="inlineStr">
        <is>
          <t>Milho</t>
        </is>
      </c>
      <c r="B2389" t="inlineStr">
        <is>
          <t>Santana do Araguaia - PA</t>
        </is>
      </c>
      <c r="C2389" t="n">
        <v>-9.328099999999999</v>
      </c>
      <c r="D2389" t="n">
        <v>-50.35</v>
      </c>
      <c r="E2389" t="inlineStr">
        <is>
          <t>2023-06</t>
        </is>
      </c>
      <c r="F2389" t="n">
        <v>72533.02016322847</v>
      </c>
    </row>
    <row r="2390">
      <c r="A2390" t="inlineStr">
        <is>
          <t>Milho</t>
        </is>
      </c>
      <c r="B2390" t="inlineStr">
        <is>
          <t>Santana do Araguaia - PA</t>
        </is>
      </c>
      <c r="C2390" t="n">
        <v>-9.328099999999999</v>
      </c>
      <c r="D2390" t="n">
        <v>-50.35</v>
      </c>
      <c r="E2390" t="inlineStr">
        <is>
          <t>2022-07</t>
        </is>
      </c>
      <c r="F2390" t="n">
        <v>71398.85369431121</v>
      </c>
    </row>
    <row r="2391">
      <c r="A2391" t="inlineStr">
        <is>
          <t>Milho</t>
        </is>
      </c>
      <c r="B2391" t="inlineStr">
        <is>
          <t>Santana do Araguaia - PA</t>
        </is>
      </c>
      <c r="C2391" t="n">
        <v>-9.328099999999999</v>
      </c>
      <c r="D2391" t="n">
        <v>-50.35</v>
      </c>
      <c r="E2391" t="inlineStr">
        <is>
          <t>2022-08</t>
        </is>
      </c>
      <c r="F2391" t="n">
        <v>85402.47513596267</v>
      </c>
    </row>
    <row r="2392">
      <c r="A2392" t="inlineStr">
        <is>
          <t>Milho</t>
        </is>
      </c>
      <c r="B2392" t="inlineStr">
        <is>
          <t>Santana do Araguaia - PA</t>
        </is>
      </c>
      <c r="C2392" t="n">
        <v>-9.328099999999999</v>
      </c>
      <c r="D2392" t="n">
        <v>-50.35</v>
      </c>
      <c r="E2392" t="inlineStr">
        <is>
          <t>2022-09</t>
        </is>
      </c>
      <c r="F2392" t="n">
        <v>93305.48205638697</v>
      </c>
    </row>
    <row r="2393">
      <c r="A2393" t="inlineStr">
        <is>
          <t>Milho</t>
        </is>
      </c>
      <c r="B2393" t="inlineStr">
        <is>
          <t>Santana do Araguaia - PA</t>
        </is>
      </c>
      <c r="C2393" t="n">
        <v>-9.328099999999999</v>
      </c>
      <c r="D2393" t="n">
        <v>-50.35</v>
      </c>
      <c r="E2393" t="inlineStr">
        <is>
          <t>2022-10</t>
        </is>
      </c>
      <c r="F2393" t="n">
        <v>303404.1219139088</v>
      </c>
    </row>
    <row r="2394">
      <c r="A2394" t="inlineStr">
        <is>
          <t>Milho</t>
        </is>
      </c>
      <c r="B2394" t="inlineStr">
        <is>
          <t>Santana do Araguaia - PA</t>
        </is>
      </c>
      <c r="C2394" t="n">
        <v>-9.328099999999999</v>
      </c>
      <c r="D2394" t="n">
        <v>-50.35</v>
      </c>
      <c r="E2394" t="inlineStr">
        <is>
          <t>2022-11</t>
        </is>
      </c>
      <c r="F2394" t="n">
        <v>1090381.21982369</v>
      </c>
    </row>
    <row r="2395">
      <c r="A2395" t="inlineStr">
        <is>
          <t>Milho</t>
        </is>
      </c>
      <c r="B2395" t="inlineStr">
        <is>
          <t>Santana do Araguaia - PA</t>
        </is>
      </c>
      <c r="C2395" t="n">
        <v>-9.328099999999999</v>
      </c>
      <c r="D2395" t="n">
        <v>-50.35</v>
      </c>
      <c r="E2395" t="inlineStr">
        <is>
          <t>2022-12</t>
        </is>
      </c>
      <c r="F2395" t="n">
        <v>0</v>
      </c>
    </row>
    <row r="2396">
      <c r="A2396" t="inlineStr">
        <is>
          <t>Milho</t>
        </is>
      </c>
      <c r="B2396" t="inlineStr">
        <is>
          <t>Sousa - PB</t>
        </is>
      </c>
      <c r="C2396" t="n">
        <v>-6.75148</v>
      </c>
      <c r="D2396" t="n">
        <v>-38.2311</v>
      </c>
      <c r="E2396" t="inlineStr">
        <is>
          <t>2023-01</t>
        </is>
      </c>
      <c r="F2396" t="n">
        <v>0</v>
      </c>
    </row>
    <row r="2397">
      <c r="A2397" t="inlineStr">
        <is>
          <t>Milho</t>
        </is>
      </c>
      <c r="B2397" t="inlineStr">
        <is>
          <t>Sousa - PB</t>
        </is>
      </c>
      <c r="C2397" t="n">
        <v>-6.75148</v>
      </c>
      <c r="D2397" t="n">
        <v>-38.2311</v>
      </c>
      <c r="E2397" t="inlineStr">
        <is>
          <t>2023-02</t>
        </is>
      </c>
      <c r="F2397" t="n">
        <v>0</v>
      </c>
    </row>
    <row r="2398">
      <c r="A2398" t="inlineStr">
        <is>
          <t>Milho</t>
        </is>
      </c>
      <c r="B2398" t="inlineStr">
        <is>
          <t>Sousa - PB</t>
        </is>
      </c>
      <c r="C2398" t="n">
        <v>-6.75148</v>
      </c>
      <c r="D2398" t="n">
        <v>-38.2311</v>
      </c>
      <c r="E2398" t="inlineStr">
        <is>
          <t>2023-03</t>
        </is>
      </c>
      <c r="F2398" t="n">
        <v>0</v>
      </c>
    </row>
    <row r="2399">
      <c r="A2399" t="inlineStr">
        <is>
          <t>Milho</t>
        </is>
      </c>
      <c r="B2399" t="inlineStr">
        <is>
          <t>Sousa - PB</t>
        </is>
      </c>
      <c r="C2399" t="n">
        <v>-6.75148</v>
      </c>
      <c r="D2399" t="n">
        <v>-38.2311</v>
      </c>
      <c r="E2399" t="inlineStr">
        <is>
          <t>2023-04</t>
        </is>
      </c>
      <c r="F2399" t="n">
        <v>0</v>
      </c>
    </row>
    <row r="2400">
      <c r="A2400" t="inlineStr">
        <is>
          <t>Milho</t>
        </is>
      </c>
      <c r="B2400" t="inlineStr">
        <is>
          <t>Sousa - PB</t>
        </is>
      </c>
      <c r="C2400" t="n">
        <v>-6.75148</v>
      </c>
      <c r="D2400" t="n">
        <v>-38.2311</v>
      </c>
      <c r="E2400" t="inlineStr">
        <is>
          <t>2023-05</t>
        </is>
      </c>
      <c r="F2400" t="n">
        <v>9117.508212110923</v>
      </c>
    </row>
    <row r="2401">
      <c r="A2401" t="inlineStr">
        <is>
          <t>Milho</t>
        </is>
      </c>
      <c r="B2401" t="inlineStr">
        <is>
          <t>Sousa - PB</t>
        </is>
      </c>
      <c r="C2401" t="n">
        <v>-6.75148</v>
      </c>
      <c r="D2401" t="n">
        <v>-38.2311</v>
      </c>
      <c r="E2401" t="inlineStr">
        <is>
          <t>2023-06</t>
        </is>
      </c>
      <c r="F2401" t="n">
        <v>8110.697427870493</v>
      </c>
    </row>
    <row r="2402">
      <c r="A2402" t="inlineStr">
        <is>
          <t>Milho</t>
        </is>
      </c>
      <c r="B2402" t="inlineStr">
        <is>
          <t>Sousa - PB</t>
        </is>
      </c>
      <c r="C2402" t="n">
        <v>-6.75148</v>
      </c>
      <c r="D2402" t="n">
        <v>-38.2311</v>
      </c>
      <c r="E2402" t="inlineStr">
        <is>
          <t>2022-07</t>
        </is>
      </c>
      <c r="F2402" t="n">
        <v>13306.45678589227</v>
      </c>
    </row>
    <row r="2403">
      <c r="A2403" t="inlineStr">
        <is>
          <t>Milho</t>
        </is>
      </c>
      <c r="B2403" t="inlineStr">
        <is>
          <t>Sousa - PB</t>
        </is>
      </c>
      <c r="C2403" t="n">
        <v>-6.75148</v>
      </c>
      <c r="D2403" t="n">
        <v>-38.2311</v>
      </c>
      <c r="E2403" t="inlineStr">
        <is>
          <t>2022-08</t>
        </is>
      </c>
      <c r="F2403" t="n">
        <v>15916.28276933347</v>
      </c>
    </row>
    <row r="2404">
      <c r="A2404" t="inlineStr">
        <is>
          <t>Milho</t>
        </is>
      </c>
      <c r="B2404" t="inlineStr">
        <is>
          <t>Sousa - PB</t>
        </is>
      </c>
      <c r="C2404" t="n">
        <v>-6.75148</v>
      </c>
      <c r="D2404" t="n">
        <v>-38.2311</v>
      </c>
      <c r="E2404" t="inlineStr">
        <is>
          <t>2022-09</t>
        </is>
      </c>
      <c r="F2404" t="n">
        <v>10433.48990043309</v>
      </c>
    </row>
    <row r="2405">
      <c r="A2405" t="inlineStr">
        <is>
          <t>Milho</t>
        </is>
      </c>
      <c r="B2405" t="inlineStr">
        <is>
          <t>Sousa - PB</t>
        </is>
      </c>
      <c r="C2405" t="n">
        <v>-6.75148</v>
      </c>
      <c r="D2405" t="n">
        <v>-38.2311</v>
      </c>
      <c r="E2405" t="inlineStr">
        <is>
          <t>2022-10</t>
        </is>
      </c>
      <c r="F2405" t="n">
        <v>33926.87944986453</v>
      </c>
    </row>
    <row r="2406">
      <c r="A2406" t="inlineStr">
        <is>
          <t>Milho</t>
        </is>
      </c>
      <c r="B2406" t="inlineStr">
        <is>
          <t>Sousa - PB</t>
        </is>
      </c>
      <c r="C2406" t="n">
        <v>-6.75148</v>
      </c>
      <c r="D2406" t="n">
        <v>-38.2311</v>
      </c>
      <c r="E2406" t="inlineStr">
        <is>
          <t>2022-11</t>
        </is>
      </c>
      <c r="F2406" t="n">
        <v>60963.62825593293</v>
      </c>
    </row>
    <row r="2407">
      <c r="A2407" t="inlineStr">
        <is>
          <t>Milho</t>
        </is>
      </c>
      <c r="B2407" t="inlineStr">
        <is>
          <t>Sousa - PB</t>
        </is>
      </c>
      <c r="C2407" t="n">
        <v>-6.75148</v>
      </c>
      <c r="D2407" t="n">
        <v>-38.2311</v>
      </c>
      <c r="E2407" t="inlineStr">
        <is>
          <t>2022-12</t>
        </is>
      </c>
      <c r="F2407" t="n">
        <v>0</v>
      </c>
    </row>
    <row r="2408">
      <c r="A2408" t="inlineStr">
        <is>
          <t>Milho</t>
        </is>
      </c>
      <c r="B2408" t="inlineStr">
        <is>
          <t>Exu - PE</t>
        </is>
      </c>
      <c r="C2408" t="n">
        <v>-7.50364</v>
      </c>
      <c r="D2408" t="n">
        <v>-39.7238</v>
      </c>
      <c r="E2408" t="inlineStr">
        <is>
          <t>2023-01</t>
        </is>
      </c>
      <c r="F2408" t="n">
        <v>0</v>
      </c>
    </row>
    <row r="2409">
      <c r="A2409" t="inlineStr">
        <is>
          <t>Milho</t>
        </is>
      </c>
      <c r="B2409" t="inlineStr">
        <is>
          <t>Exu - PE</t>
        </is>
      </c>
      <c r="C2409" t="n">
        <v>-7.50364</v>
      </c>
      <c r="D2409" t="n">
        <v>-39.7238</v>
      </c>
      <c r="E2409" t="inlineStr">
        <is>
          <t>2023-02</t>
        </is>
      </c>
      <c r="F2409" t="n">
        <v>0</v>
      </c>
    </row>
    <row r="2410">
      <c r="A2410" t="inlineStr">
        <is>
          <t>Milho</t>
        </is>
      </c>
      <c r="B2410" t="inlineStr">
        <is>
          <t>Exu - PE</t>
        </is>
      </c>
      <c r="C2410" t="n">
        <v>-7.50364</v>
      </c>
      <c r="D2410" t="n">
        <v>-39.7238</v>
      </c>
      <c r="E2410" t="inlineStr">
        <is>
          <t>2023-03</t>
        </is>
      </c>
      <c r="F2410" t="n">
        <v>0</v>
      </c>
    </row>
    <row r="2411">
      <c r="A2411" t="inlineStr">
        <is>
          <t>Milho</t>
        </is>
      </c>
      <c r="B2411" t="inlineStr">
        <is>
          <t>Exu - PE</t>
        </is>
      </c>
      <c r="C2411" t="n">
        <v>-7.50364</v>
      </c>
      <c r="D2411" t="n">
        <v>-39.7238</v>
      </c>
      <c r="E2411" t="inlineStr">
        <is>
          <t>2023-04</t>
        </is>
      </c>
      <c r="F2411" t="n">
        <v>0</v>
      </c>
    </row>
    <row r="2412">
      <c r="A2412" t="inlineStr">
        <is>
          <t>Milho</t>
        </is>
      </c>
      <c r="B2412" t="inlineStr">
        <is>
          <t>Exu - PE</t>
        </is>
      </c>
      <c r="C2412" t="n">
        <v>-7.50364</v>
      </c>
      <c r="D2412" t="n">
        <v>-39.7238</v>
      </c>
      <c r="E2412" t="inlineStr">
        <is>
          <t>2023-05</t>
        </is>
      </c>
      <c r="F2412" t="n">
        <v>8822.785916198623</v>
      </c>
    </row>
    <row r="2413">
      <c r="A2413" t="inlineStr">
        <is>
          <t>Milho</t>
        </is>
      </c>
      <c r="B2413" t="inlineStr">
        <is>
          <t>Exu - PE</t>
        </is>
      </c>
      <c r="C2413" t="n">
        <v>-7.50364</v>
      </c>
      <c r="D2413" t="n">
        <v>-39.7238</v>
      </c>
      <c r="E2413" t="inlineStr">
        <is>
          <t>2023-06</t>
        </is>
      </c>
      <c r="F2413" t="n">
        <v>7848.520162790899</v>
      </c>
    </row>
    <row r="2414">
      <c r="A2414" t="inlineStr">
        <is>
          <t>Milho</t>
        </is>
      </c>
      <c r="B2414" t="inlineStr">
        <is>
          <t>Exu - PE</t>
        </is>
      </c>
      <c r="C2414" t="n">
        <v>-7.50364</v>
      </c>
      <c r="D2414" t="n">
        <v>-39.7238</v>
      </c>
      <c r="E2414" t="inlineStr">
        <is>
          <t>2022-07</t>
        </is>
      </c>
      <c r="F2414" t="n">
        <v>7725.79635535497</v>
      </c>
    </row>
    <row r="2415">
      <c r="A2415" t="inlineStr">
        <is>
          <t>Milho</t>
        </is>
      </c>
      <c r="B2415" t="inlineStr">
        <is>
          <t>Exu - PE</t>
        </is>
      </c>
      <c r="C2415" t="n">
        <v>-7.50364</v>
      </c>
      <c r="D2415" t="n">
        <v>-39.7238</v>
      </c>
      <c r="E2415" t="inlineStr">
        <is>
          <t>2022-08</t>
        </is>
      </c>
      <c r="F2415" t="n">
        <v>21562.50732810666</v>
      </c>
    </row>
    <row r="2416">
      <c r="A2416" t="inlineStr">
        <is>
          <t>Milho</t>
        </is>
      </c>
      <c r="B2416" t="inlineStr">
        <is>
          <t>Exu - PE</t>
        </is>
      </c>
      <c r="C2416" t="n">
        <v>-7.50364</v>
      </c>
      <c r="D2416" t="n">
        <v>-39.7238</v>
      </c>
      <c r="E2416" t="inlineStr">
        <is>
          <t>2022-09</t>
        </is>
      </c>
      <c r="F2416" t="n">
        <v>10096.22866344853</v>
      </c>
    </row>
    <row r="2417">
      <c r="A2417" t="inlineStr">
        <is>
          <t>Milho</t>
        </is>
      </c>
      <c r="B2417" t="inlineStr">
        <is>
          <t>Exu - PE</t>
        </is>
      </c>
      <c r="C2417" t="n">
        <v>-7.50364</v>
      </c>
      <c r="D2417" t="n">
        <v>-39.7238</v>
      </c>
      <c r="E2417" t="inlineStr">
        <is>
          <t>2022-10</t>
        </is>
      </c>
      <c r="F2417" t="n">
        <v>32830.1973770892</v>
      </c>
    </row>
    <row r="2418">
      <c r="A2418" t="inlineStr">
        <is>
          <t>Milho</t>
        </is>
      </c>
      <c r="B2418" t="inlineStr">
        <is>
          <t>Exu - PE</t>
        </is>
      </c>
      <c r="C2418" t="n">
        <v>-7.50364</v>
      </c>
      <c r="D2418" t="n">
        <v>-39.7238</v>
      </c>
      <c r="E2418" t="inlineStr">
        <is>
          <t>2022-11</t>
        </is>
      </c>
      <c r="F2418" t="n">
        <v>117985.9734181218</v>
      </c>
    </row>
    <row r="2419">
      <c r="A2419" t="inlineStr">
        <is>
          <t>Milho</t>
        </is>
      </c>
      <c r="B2419" t="inlineStr">
        <is>
          <t>Exu - PE</t>
        </is>
      </c>
      <c r="C2419" t="n">
        <v>-7.50364</v>
      </c>
      <c r="D2419" t="n">
        <v>-39.7238</v>
      </c>
      <c r="E2419" t="inlineStr">
        <is>
          <t>2022-12</t>
        </is>
      </c>
      <c r="F2419" t="n">
        <v>0</v>
      </c>
    </row>
    <row r="2420">
      <c r="A2420" t="inlineStr">
        <is>
          <t>Milho</t>
        </is>
      </c>
      <c r="B2420" t="inlineStr">
        <is>
          <t>Baixa Grande do Ribeiro - PI</t>
        </is>
      </c>
      <c r="C2420" t="n">
        <v>-7.84903</v>
      </c>
      <c r="D2420" t="n">
        <v>-45.219</v>
      </c>
      <c r="E2420" t="inlineStr">
        <is>
          <t>2023-01</t>
        </is>
      </c>
      <c r="F2420" t="n">
        <v>0</v>
      </c>
    </row>
    <row r="2421">
      <c r="A2421" t="inlineStr">
        <is>
          <t>Milho</t>
        </is>
      </c>
      <c r="B2421" t="inlineStr">
        <is>
          <t>Baixa Grande do Ribeiro - PI</t>
        </is>
      </c>
      <c r="C2421" t="n">
        <v>-7.84903</v>
      </c>
      <c r="D2421" t="n">
        <v>-45.219</v>
      </c>
      <c r="E2421" t="inlineStr">
        <is>
          <t>2023-02</t>
        </is>
      </c>
      <c r="F2421" t="n">
        <v>0</v>
      </c>
    </row>
    <row r="2422">
      <c r="A2422" t="inlineStr">
        <is>
          <t>Milho</t>
        </is>
      </c>
      <c r="B2422" t="inlineStr">
        <is>
          <t>Baixa Grande do Ribeiro - PI</t>
        </is>
      </c>
      <c r="C2422" t="n">
        <v>-7.84903</v>
      </c>
      <c r="D2422" t="n">
        <v>-45.219</v>
      </c>
      <c r="E2422" t="inlineStr">
        <is>
          <t>2023-03</t>
        </is>
      </c>
      <c r="F2422" t="n">
        <v>0</v>
      </c>
    </row>
    <row r="2423">
      <c r="A2423" t="inlineStr">
        <is>
          <t>Milho</t>
        </is>
      </c>
      <c r="B2423" t="inlineStr">
        <is>
          <t>Baixa Grande do Ribeiro - PI</t>
        </is>
      </c>
      <c r="C2423" t="n">
        <v>-7.84903</v>
      </c>
      <c r="D2423" t="n">
        <v>-45.219</v>
      </c>
      <c r="E2423" t="inlineStr">
        <is>
          <t>2023-04</t>
        </is>
      </c>
      <c r="F2423" t="n">
        <v>0</v>
      </c>
    </row>
    <row r="2424">
      <c r="A2424" t="inlineStr">
        <is>
          <t>Milho</t>
        </is>
      </c>
      <c r="B2424" t="inlineStr">
        <is>
          <t>Baixa Grande do Ribeiro - PI</t>
        </is>
      </c>
      <c r="C2424" t="n">
        <v>-7.84903</v>
      </c>
      <c r="D2424" t="n">
        <v>-45.219</v>
      </c>
      <c r="E2424" t="inlineStr">
        <is>
          <t>2023-05</t>
        </is>
      </c>
      <c r="F2424" t="n">
        <v>103949.4284936742</v>
      </c>
    </row>
    <row r="2425">
      <c r="A2425" t="inlineStr">
        <is>
          <t>Milho</t>
        </is>
      </c>
      <c r="B2425" t="inlineStr">
        <is>
          <t>Baixa Grande do Ribeiro - PI</t>
        </is>
      </c>
      <c r="C2425" t="n">
        <v>-7.84903</v>
      </c>
      <c r="D2425" t="n">
        <v>-45.219</v>
      </c>
      <c r="E2425" t="inlineStr">
        <is>
          <t>2023-06</t>
        </is>
      </c>
      <c r="F2425" t="n">
        <v>154117.8325441201</v>
      </c>
    </row>
    <row r="2426">
      <c r="A2426" t="inlineStr">
        <is>
          <t>Milho</t>
        </is>
      </c>
      <c r="B2426" t="inlineStr">
        <is>
          <t>Baixa Grande do Ribeiro - PI</t>
        </is>
      </c>
      <c r="C2426" t="n">
        <v>-7.84903</v>
      </c>
      <c r="D2426" t="n">
        <v>-45.219</v>
      </c>
      <c r="E2426" t="inlineStr">
        <is>
          <t>2022-07</t>
        </is>
      </c>
      <c r="F2426" t="n">
        <v>151707.9607706798</v>
      </c>
    </row>
    <row r="2427">
      <c r="A2427" t="inlineStr">
        <is>
          <t>Milho</t>
        </is>
      </c>
      <c r="B2427" t="inlineStr">
        <is>
          <t>Baixa Grande do Ribeiro - PI</t>
        </is>
      </c>
      <c r="C2427" t="n">
        <v>-7.84903</v>
      </c>
      <c r="D2427" t="n">
        <v>-45.219</v>
      </c>
      <c r="E2427" t="inlineStr">
        <is>
          <t>2022-08</t>
        </is>
      </c>
      <c r="F2427" t="n">
        <v>108877.6752897187</v>
      </c>
    </row>
    <row r="2428">
      <c r="A2428" t="inlineStr">
        <is>
          <t>Milho</t>
        </is>
      </c>
      <c r="B2428" t="inlineStr">
        <is>
          <t>Baixa Grande do Ribeiro - PI</t>
        </is>
      </c>
      <c r="C2428" t="n">
        <v>-7.84903</v>
      </c>
      <c r="D2428" t="n">
        <v>-45.219</v>
      </c>
      <c r="E2428" t="inlineStr">
        <is>
          <t>2022-09</t>
        </is>
      </c>
      <c r="F2428" t="n">
        <v>0</v>
      </c>
    </row>
    <row r="2429">
      <c r="A2429" t="inlineStr">
        <is>
          <t>Milho</t>
        </is>
      </c>
      <c r="B2429" t="inlineStr">
        <is>
          <t>Baixa Grande do Ribeiro - PI</t>
        </is>
      </c>
      <c r="C2429" t="n">
        <v>-7.84903</v>
      </c>
      <c r="D2429" t="n">
        <v>-45.219</v>
      </c>
      <c r="E2429" t="inlineStr">
        <is>
          <t>2022-10</t>
        </is>
      </c>
      <c r="F2429" t="n">
        <v>0</v>
      </c>
    </row>
    <row r="2430">
      <c r="A2430" t="inlineStr">
        <is>
          <t>Milho</t>
        </is>
      </c>
      <c r="B2430" t="inlineStr">
        <is>
          <t>Baixa Grande do Ribeiro - PI</t>
        </is>
      </c>
      <c r="C2430" t="n">
        <v>-7.84903</v>
      </c>
      <c r="D2430" t="n">
        <v>-45.219</v>
      </c>
      <c r="E2430" t="inlineStr">
        <is>
          <t>2022-11</t>
        </is>
      </c>
      <c r="F2430" t="n">
        <v>0</v>
      </c>
    </row>
    <row r="2431">
      <c r="A2431" t="inlineStr">
        <is>
          <t>Milho</t>
        </is>
      </c>
      <c r="B2431" t="inlineStr">
        <is>
          <t>Baixa Grande do Ribeiro - PI</t>
        </is>
      </c>
      <c r="C2431" t="n">
        <v>-7.84903</v>
      </c>
      <c r="D2431" t="n">
        <v>-45.219</v>
      </c>
      <c r="E2431" t="inlineStr">
        <is>
          <t>2022-12</t>
        </is>
      </c>
      <c r="F2431" t="n">
        <v>0</v>
      </c>
    </row>
    <row r="2432">
      <c r="A2432" t="inlineStr">
        <is>
          <t>Milho</t>
        </is>
      </c>
      <c r="B2432" t="inlineStr">
        <is>
          <t>Toledo - PR</t>
        </is>
      </c>
      <c r="C2432" t="n">
        <v>-24.7246</v>
      </c>
      <c r="D2432" t="n">
        <v>-53.7412</v>
      </c>
      <c r="E2432" t="inlineStr">
        <is>
          <t>2023-01</t>
        </is>
      </c>
      <c r="F2432" t="n">
        <v>0</v>
      </c>
    </row>
    <row r="2433">
      <c r="A2433" t="inlineStr">
        <is>
          <t>Milho</t>
        </is>
      </c>
      <c r="B2433" t="inlineStr">
        <is>
          <t>Toledo - PR</t>
        </is>
      </c>
      <c r="C2433" t="n">
        <v>-24.7246</v>
      </c>
      <c r="D2433" t="n">
        <v>-53.7412</v>
      </c>
      <c r="E2433" t="inlineStr">
        <is>
          <t>2023-02</t>
        </is>
      </c>
      <c r="F2433" t="n">
        <v>0</v>
      </c>
    </row>
    <row r="2434">
      <c r="A2434" t="inlineStr">
        <is>
          <t>Milho</t>
        </is>
      </c>
      <c r="B2434" t="inlineStr">
        <is>
          <t>Toledo - PR</t>
        </is>
      </c>
      <c r="C2434" t="n">
        <v>-24.7246</v>
      </c>
      <c r="D2434" t="n">
        <v>-53.7412</v>
      </c>
      <c r="E2434" t="inlineStr">
        <is>
          <t>2023-03</t>
        </is>
      </c>
      <c r="F2434" t="n">
        <v>0</v>
      </c>
    </row>
    <row r="2435">
      <c r="A2435" t="inlineStr">
        <is>
          <t>Milho</t>
        </is>
      </c>
      <c r="B2435" t="inlineStr">
        <is>
          <t>Toledo - PR</t>
        </is>
      </c>
      <c r="C2435" t="n">
        <v>-24.7246</v>
      </c>
      <c r="D2435" t="n">
        <v>-53.7412</v>
      </c>
      <c r="E2435" t="inlineStr">
        <is>
          <t>2023-04</t>
        </is>
      </c>
      <c r="F2435" t="n">
        <v>0</v>
      </c>
    </row>
    <row r="2436">
      <c r="A2436" t="inlineStr">
        <is>
          <t>Milho</t>
        </is>
      </c>
      <c r="B2436" t="inlineStr">
        <is>
          <t>Toledo - PR</t>
        </is>
      </c>
      <c r="C2436" t="n">
        <v>-24.7246</v>
      </c>
      <c r="D2436" t="n">
        <v>-53.7412</v>
      </c>
      <c r="E2436" t="inlineStr">
        <is>
          <t>2023-05</t>
        </is>
      </c>
      <c r="F2436" t="n">
        <v>840313.5732249898</v>
      </c>
    </row>
    <row r="2437">
      <c r="A2437" t="inlineStr">
        <is>
          <t>Milho</t>
        </is>
      </c>
      <c r="B2437" t="inlineStr">
        <is>
          <t>Toledo - PR</t>
        </is>
      </c>
      <c r="C2437" t="n">
        <v>-24.7246</v>
      </c>
      <c r="D2437" t="n">
        <v>-53.7412</v>
      </c>
      <c r="E2437" t="inlineStr">
        <is>
          <t>2023-06</t>
        </is>
      </c>
      <c r="F2437" t="n">
        <v>1495042.061581566</v>
      </c>
    </row>
    <row r="2438">
      <c r="A2438" t="inlineStr">
        <is>
          <t>Milho</t>
        </is>
      </c>
      <c r="B2438" t="inlineStr">
        <is>
          <t>Toledo - PR</t>
        </is>
      </c>
      <c r="C2438" t="n">
        <v>-24.7246</v>
      </c>
      <c r="D2438" t="n">
        <v>-53.7412</v>
      </c>
      <c r="E2438" t="inlineStr">
        <is>
          <t>2022-07</t>
        </is>
      </c>
      <c r="F2438" t="n">
        <v>1471664.756017136</v>
      </c>
    </row>
    <row r="2439">
      <c r="A2439" t="inlineStr">
        <is>
          <t>Milho</t>
        </is>
      </c>
      <c r="B2439" t="inlineStr">
        <is>
          <t>Toledo - PR</t>
        </is>
      </c>
      <c r="C2439" t="n">
        <v>-24.7246</v>
      </c>
      <c r="D2439" t="n">
        <v>-53.7412</v>
      </c>
      <c r="E2439" t="inlineStr">
        <is>
          <t>2022-08</t>
        </is>
      </c>
      <c r="F2439" t="n">
        <v>1760305.750458288</v>
      </c>
    </row>
    <row r="2440">
      <c r="A2440" t="inlineStr">
        <is>
          <t>Milho</t>
        </is>
      </c>
      <c r="B2440" t="inlineStr">
        <is>
          <t>Toledo - PR</t>
        </is>
      </c>
      <c r="C2440" t="n">
        <v>-24.7246</v>
      </c>
      <c r="D2440" t="n">
        <v>-53.7412</v>
      </c>
      <c r="E2440" t="inlineStr">
        <is>
          <t>2022-09</t>
        </is>
      </c>
      <c r="F2440" t="n">
        <v>4487470.39419954</v>
      </c>
    </row>
    <row r="2441">
      <c r="A2441" t="inlineStr">
        <is>
          <t>Milho</t>
        </is>
      </c>
      <c r="B2441" t="inlineStr">
        <is>
          <t>Toledo - PR</t>
        </is>
      </c>
      <c r="C2441" t="n">
        <v>-24.7246</v>
      </c>
      <c r="D2441" t="n">
        <v>-53.7412</v>
      </c>
      <c r="E2441" t="inlineStr">
        <is>
          <t>2022-10</t>
        </is>
      </c>
      <c r="F2441" t="n">
        <v>3126864.998160344</v>
      </c>
    </row>
    <row r="2442">
      <c r="A2442" t="inlineStr">
        <is>
          <t>Milho</t>
        </is>
      </c>
      <c r="B2442" t="inlineStr">
        <is>
          <t>Toledo - PR</t>
        </is>
      </c>
      <c r="C2442" t="n">
        <v>-24.7246</v>
      </c>
      <c r="D2442" t="n">
        <v>-53.7412</v>
      </c>
      <c r="E2442" t="inlineStr">
        <is>
          <t>2022-11</t>
        </is>
      </c>
      <c r="F2442" t="n">
        <v>0</v>
      </c>
    </row>
    <row r="2443">
      <c r="A2443" t="inlineStr">
        <is>
          <t>Milho</t>
        </is>
      </c>
      <c r="B2443" t="inlineStr">
        <is>
          <t>Toledo - PR</t>
        </is>
      </c>
      <c r="C2443" t="n">
        <v>-24.7246</v>
      </c>
      <c r="D2443" t="n">
        <v>-53.7412</v>
      </c>
      <c r="E2443" t="inlineStr">
        <is>
          <t>2022-12</t>
        </is>
      </c>
      <c r="F2443" t="n">
        <v>0</v>
      </c>
    </row>
    <row r="2444">
      <c r="A2444" t="inlineStr">
        <is>
          <t>Milho</t>
        </is>
      </c>
      <c r="B2444" t="inlineStr">
        <is>
          <t>Macaé - RJ</t>
        </is>
      </c>
      <c r="C2444" t="n">
        <v>-22.3768</v>
      </c>
      <c r="D2444" t="n">
        <v>-41.7848</v>
      </c>
      <c r="E2444" t="inlineStr">
        <is>
          <t>2023-01</t>
        </is>
      </c>
      <c r="F2444" t="n">
        <v>0</v>
      </c>
    </row>
    <row r="2445">
      <c r="A2445" t="inlineStr">
        <is>
          <t>Milho</t>
        </is>
      </c>
      <c r="B2445" t="inlineStr">
        <is>
          <t>Macaé - RJ</t>
        </is>
      </c>
      <c r="C2445" t="n">
        <v>-22.3768</v>
      </c>
      <c r="D2445" t="n">
        <v>-41.7848</v>
      </c>
      <c r="E2445" t="inlineStr">
        <is>
          <t>2023-02</t>
        </is>
      </c>
      <c r="F2445" t="n">
        <v>0</v>
      </c>
    </row>
    <row r="2446">
      <c r="A2446" t="inlineStr">
        <is>
          <t>Milho</t>
        </is>
      </c>
      <c r="B2446" t="inlineStr">
        <is>
          <t>Macaé - RJ</t>
        </is>
      </c>
      <c r="C2446" t="n">
        <v>-22.3768</v>
      </c>
      <c r="D2446" t="n">
        <v>-41.7848</v>
      </c>
      <c r="E2446" t="inlineStr">
        <is>
          <t>2023-03</t>
        </is>
      </c>
      <c r="F2446" t="n">
        <v>0</v>
      </c>
    </row>
    <row r="2447">
      <c r="A2447" t="inlineStr">
        <is>
          <t>Milho</t>
        </is>
      </c>
      <c r="B2447" t="inlineStr">
        <is>
          <t>Macaé - RJ</t>
        </is>
      </c>
      <c r="C2447" t="n">
        <v>-22.3768</v>
      </c>
      <c r="D2447" t="n">
        <v>-41.7848</v>
      </c>
      <c r="E2447" t="inlineStr">
        <is>
          <t>2023-04</t>
        </is>
      </c>
      <c r="F2447" t="n">
        <v>0</v>
      </c>
    </row>
    <row r="2448">
      <c r="A2448" t="inlineStr">
        <is>
          <t>Milho</t>
        </is>
      </c>
      <c r="B2448" t="inlineStr">
        <is>
          <t>Macaé - RJ</t>
        </is>
      </c>
      <c r="C2448" t="n">
        <v>-22.3768</v>
      </c>
      <c r="D2448" t="n">
        <v>-41.7848</v>
      </c>
      <c r="E2448" t="inlineStr">
        <is>
          <t>2023-05</t>
        </is>
      </c>
      <c r="F2448" t="n">
        <v>0</v>
      </c>
    </row>
    <row r="2449">
      <c r="A2449" t="inlineStr">
        <is>
          <t>Milho</t>
        </is>
      </c>
      <c r="B2449" t="inlineStr">
        <is>
          <t>Macaé - RJ</t>
        </is>
      </c>
      <c r="C2449" t="n">
        <v>-22.3768</v>
      </c>
      <c r="D2449" t="n">
        <v>-41.7848</v>
      </c>
      <c r="E2449" t="inlineStr">
        <is>
          <t>2023-06</t>
        </is>
      </c>
      <c r="F2449" t="n">
        <v>0</v>
      </c>
    </row>
    <row r="2450">
      <c r="A2450" t="inlineStr">
        <is>
          <t>Milho</t>
        </is>
      </c>
      <c r="B2450" t="inlineStr">
        <is>
          <t>Macaé - RJ</t>
        </is>
      </c>
      <c r="C2450" t="n">
        <v>-22.3768</v>
      </c>
      <c r="D2450" t="n">
        <v>-41.7848</v>
      </c>
      <c r="E2450" t="inlineStr">
        <is>
          <t>2022-07</t>
        </is>
      </c>
      <c r="F2450" t="n">
        <v>0</v>
      </c>
    </row>
    <row r="2451">
      <c r="A2451" t="inlineStr">
        <is>
          <t>Milho</t>
        </is>
      </c>
      <c r="B2451" t="inlineStr">
        <is>
          <t>Macaé - RJ</t>
        </is>
      </c>
      <c r="C2451" t="n">
        <v>-22.3768</v>
      </c>
      <c r="D2451" t="n">
        <v>-41.7848</v>
      </c>
      <c r="E2451" t="inlineStr">
        <is>
          <t>2022-08</t>
        </is>
      </c>
      <c r="F2451" t="n">
        <v>0</v>
      </c>
    </row>
    <row r="2452">
      <c r="A2452" t="inlineStr">
        <is>
          <t>Milho</t>
        </is>
      </c>
      <c r="B2452" t="inlineStr">
        <is>
          <t>Macaé - RJ</t>
        </is>
      </c>
      <c r="C2452" t="n">
        <v>-22.3768</v>
      </c>
      <c r="D2452" t="n">
        <v>-41.7848</v>
      </c>
      <c r="E2452" t="inlineStr">
        <is>
          <t>2022-09</t>
        </is>
      </c>
      <c r="F2452" t="n">
        <v>0</v>
      </c>
    </row>
    <row r="2453">
      <c r="A2453" t="inlineStr">
        <is>
          <t>Milho</t>
        </is>
      </c>
      <c r="B2453" t="inlineStr">
        <is>
          <t>Macaé - RJ</t>
        </is>
      </c>
      <c r="C2453" t="n">
        <v>-22.3768</v>
      </c>
      <c r="D2453" t="n">
        <v>-41.7848</v>
      </c>
      <c r="E2453" t="inlineStr">
        <is>
          <t>2022-10</t>
        </is>
      </c>
      <c r="F2453" t="n">
        <v>0</v>
      </c>
    </row>
    <row r="2454">
      <c r="A2454" t="inlineStr">
        <is>
          <t>Milho</t>
        </is>
      </c>
      <c r="B2454" t="inlineStr">
        <is>
          <t>Macaé - RJ</t>
        </is>
      </c>
      <c r="C2454" t="n">
        <v>-22.3768</v>
      </c>
      <c r="D2454" t="n">
        <v>-41.7848</v>
      </c>
      <c r="E2454" t="inlineStr">
        <is>
          <t>2022-11</t>
        </is>
      </c>
      <c r="F2454" t="n">
        <v>0</v>
      </c>
    </row>
    <row r="2455">
      <c r="A2455" t="inlineStr">
        <is>
          <t>Milho</t>
        </is>
      </c>
      <c r="B2455" t="inlineStr">
        <is>
          <t>Macaé - RJ</t>
        </is>
      </c>
      <c r="C2455" t="n">
        <v>-22.3768</v>
      </c>
      <c r="D2455" t="n">
        <v>-41.7848</v>
      </c>
      <c r="E2455" t="inlineStr">
        <is>
          <t>2022-12</t>
        </is>
      </c>
      <c r="F2455" t="n">
        <v>0</v>
      </c>
    </row>
    <row r="2456">
      <c r="A2456" t="inlineStr">
        <is>
          <t>Milho</t>
        </is>
      </c>
      <c r="B2456" t="inlineStr">
        <is>
          <t>Apodi - RN</t>
        </is>
      </c>
      <c r="C2456" t="n">
        <v>-5.65349</v>
      </c>
      <c r="D2456" t="n">
        <v>-37.7946</v>
      </c>
      <c r="E2456" t="inlineStr">
        <is>
          <t>2023-01</t>
        </is>
      </c>
      <c r="F2456" t="n">
        <v>0</v>
      </c>
    </row>
    <row r="2457">
      <c r="A2457" t="inlineStr">
        <is>
          <t>Milho</t>
        </is>
      </c>
      <c r="B2457" t="inlineStr">
        <is>
          <t>Apodi - RN</t>
        </is>
      </c>
      <c r="C2457" t="n">
        <v>-5.65349</v>
      </c>
      <c r="D2457" t="n">
        <v>-37.7946</v>
      </c>
      <c r="E2457" t="inlineStr">
        <is>
          <t>2023-02</t>
        </is>
      </c>
      <c r="F2457" t="n">
        <v>0</v>
      </c>
    </row>
    <row r="2458">
      <c r="A2458" t="inlineStr">
        <is>
          <t>Milho</t>
        </is>
      </c>
      <c r="B2458" t="inlineStr">
        <is>
          <t>Apodi - RN</t>
        </is>
      </c>
      <c r="C2458" t="n">
        <v>-5.65349</v>
      </c>
      <c r="D2458" t="n">
        <v>-37.7946</v>
      </c>
      <c r="E2458" t="inlineStr">
        <is>
          <t>2023-03</t>
        </is>
      </c>
      <c r="F2458" t="n">
        <v>0</v>
      </c>
    </row>
    <row r="2459">
      <c r="A2459" t="inlineStr">
        <is>
          <t>Milho</t>
        </is>
      </c>
      <c r="B2459" t="inlineStr">
        <is>
          <t>Apodi - RN</t>
        </is>
      </c>
      <c r="C2459" t="n">
        <v>-5.65349</v>
      </c>
      <c r="D2459" t="n">
        <v>-37.7946</v>
      </c>
      <c r="E2459" t="inlineStr">
        <is>
          <t>2023-04</t>
        </is>
      </c>
      <c r="F2459" t="n">
        <v>0</v>
      </c>
    </row>
    <row r="2460">
      <c r="A2460" t="inlineStr">
        <is>
          <t>Milho</t>
        </is>
      </c>
      <c r="B2460" t="inlineStr">
        <is>
          <t>Apodi - RN</t>
        </is>
      </c>
      <c r="C2460" t="n">
        <v>-5.65349</v>
      </c>
      <c r="D2460" t="n">
        <v>-37.7946</v>
      </c>
      <c r="E2460" t="inlineStr">
        <is>
          <t>2023-05</t>
        </is>
      </c>
      <c r="F2460" t="n">
        <v>3182.724079600363</v>
      </c>
    </row>
    <row r="2461">
      <c r="A2461" t="inlineStr">
        <is>
          <t>Milho</t>
        </is>
      </c>
      <c r="B2461" t="inlineStr">
        <is>
          <t>Apodi - RN</t>
        </is>
      </c>
      <c r="C2461" t="n">
        <v>-5.65349</v>
      </c>
      <c r="D2461" t="n">
        <v>-37.7946</v>
      </c>
      <c r="E2461" t="inlineStr">
        <is>
          <t>2023-06</t>
        </is>
      </c>
      <c r="F2461" t="n">
        <v>2831.268303300991</v>
      </c>
    </row>
    <row r="2462">
      <c r="A2462" t="inlineStr">
        <is>
          <t>Milho</t>
        </is>
      </c>
      <c r="B2462" t="inlineStr">
        <is>
          <t>Apodi - RN</t>
        </is>
      </c>
      <c r="C2462" t="n">
        <v>-5.65349</v>
      </c>
      <c r="D2462" t="n">
        <v>-37.7946</v>
      </c>
      <c r="E2462" t="inlineStr">
        <is>
          <t>2022-07</t>
        </is>
      </c>
      <c r="F2462" t="n">
        <v>4644.995040461385</v>
      </c>
    </row>
    <row r="2463">
      <c r="A2463" t="inlineStr">
        <is>
          <t>Milho</t>
        </is>
      </c>
      <c r="B2463" t="inlineStr">
        <is>
          <t>Apodi - RN</t>
        </is>
      </c>
      <c r="C2463" t="n">
        <v>-5.65349</v>
      </c>
      <c r="D2463" t="n">
        <v>-37.7946</v>
      </c>
      <c r="E2463" t="inlineStr">
        <is>
          <t>2022-08</t>
        </is>
      </c>
      <c r="F2463" t="n">
        <v>5556.02860443795</v>
      </c>
    </row>
    <row r="2464">
      <c r="A2464" t="inlineStr">
        <is>
          <t>Milho</t>
        </is>
      </c>
      <c r="B2464" t="inlineStr">
        <is>
          <t>Apodi - RN</t>
        </is>
      </c>
      <c r="C2464" t="n">
        <v>-5.65349</v>
      </c>
      <c r="D2464" t="n">
        <v>-37.7946</v>
      </c>
      <c r="E2464" t="inlineStr">
        <is>
          <t>2022-09</t>
        </is>
      </c>
      <c r="F2464" t="n">
        <v>3642.104703154131</v>
      </c>
    </row>
    <row r="2465">
      <c r="A2465" t="inlineStr">
        <is>
          <t>Milho</t>
        </is>
      </c>
      <c r="B2465" t="inlineStr">
        <is>
          <t>Apodi - RN</t>
        </is>
      </c>
      <c r="C2465" t="n">
        <v>-5.65349</v>
      </c>
      <c r="D2465" t="n">
        <v>-37.7946</v>
      </c>
      <c r="E2465" t="inlineStr">
        <is>
          <t>2022-10</t>
        </is>
      </c>
      <c r="F2465" t="n">
        <v>0</v>
      </c>
    </row>
    <row r="2466">
      <c r="A2466" t="inlineStr">
        <is>
          <t>Milho</t>
        </is>
      </c>
      <c r="B2466" t="inlineStr">
        <is>
          <t>Apodi - RN</t>
        </is>
      </c>
      <c r="C2466" t="n">
        <v>-5.65349</v>
      </c>
      <c r="D2466" t="n">
        <v>-37.7946</v>
      </c>
      <c r="E2466" t="inlineStr">
        <is>
          <t>2022-11</t>
        </is>
      </c>
      <c r="F2466" t="n">
        <v>0</v>
      </c>
    </row>
    <row r="2467">
      <c r="A2467" t="inlineStr">
        <is>
          <t>Milho</t>
        </is>
      </c>
      <c r="B2467" t="inlineStr">
        <is>
          <t>Apodi - RN</t>
        </is>
      </c>
      <c r="C2467" t="n">
        <v>-5.65349</v>
      </c>
      <c r="D2467" t="n">
        <v>-37.7946</v>
      </c>
      <c r="E2467" t="inlineStr">
        <is>
          <t>2022-12</t>
        </is>
      </c>
      <c r="F2467" t="n">
        <v>0</v>
      </c>
    </row>
    <row r="2468">
      <c r="A2468" t="inlineStr">
        <is>
          <t>Milho</t>
        </is>
      </c>
      <c r="B2468" t="inlineStr">
        <is>
          <t>Pimenteiras do Oeste - RO</t>
        </is>
      </c>
      <c r="C2468" t="n">
        <v>-13.4823</v>
      </c>
      <c r="D2468" t="n">
        <v>-61.0471</v>
      </c>
      <c r="E2468" t="inlineStr">
        <is>
          <t>2023-01</t>
        </is>
      </c>
      <c r="F2468" t="n">
        <v>0</v>
      </c>
    </row>
    <row r="2469">
      <c r="A2469" t="inlineStr">
        <is>
          <t>Milho</t>
        </is>
      </c>
      <c r="B2469" t="inlineStr">
        <is>
          <t>Pimenteiras do Oeste - RO</t>
        </is>
      </c>
      <c r="C2469" t="n">
        <v>-13.4823</v>
      </c>
      <c r="D2469" t="n">
        <v>-61.0471</v>
      </c>
      <c r="E2469" t="inlineStr">
        <is>
          <t>2023-02</t>
        </is>
      </c>
      <c r="F2469" t="n">
        <v>0</v>
      </c>
    </row>
    <row r="2470">
      <c r="A2470" t="inlineStr">
        <is>
          <t>Milho</t>
        </is>
      </c>
      <c r="B2470" t="inlineStr">
        <is>
          <t>Pimenteiras do Oeste - RO</t>
        </is>
      </c>
      <c r="C2470" t="n">
        <v>-13.4823</v>
      </c>
      <c r="D2470" t="n">
        <v>-61.0471</v>
      </c>
      <c r="E2470" t="inlineStr">
        <is>
          <t>2023-03</t>
        </is>
      </c>
      <c r="F2470" t="n">
        <v>0</v>
      </c>
    </row>
    <row r="2471">
      <c r="A2471" t="inlineStr">
        <is>
          <t>Milho</t>
        </is>
      </c>
      <c r="B2471" t="inlineStr">
        <is>
          <t>Pimenteiras do Oeste - RO</t>
        </is>
      </c>
      <c r="C2471" t="n">
        <v>-13.4823</v>
      </c>
      <c r="D2471" t="n">
        <v>-61.0471</v>
      </c>
      <c r="E2471" t="inlineStr">
        <is>
          <t>2023-04</t>
        </is>
      </c>
      <c r="F2471" t="n">
        <v>0</v>
      </c>
    </row>
    <row r="2472">
      <c r="A2472" t="inlineStr">
        <is>
          <t>Milho</t>
        </is>
      </c>
      <c r="B2472" t="inlineStr">
        <is>
          <t>Pimenteiras do Oeste - RO</t>
        </is>
      </c>
      <c r="C2472" t="n">
        <v>-13.4823</v>
      </c>
      <c r="D2472" t="n">
        <v>-61.0471</v>
      </c>
      <c r="E2472" t="inlineStr">
        <is>
          <t>2023-05</t>
        </is>
      </c>
      <c r="F2472" t="n">
        <v>87273.0419381063</v>
      </c>
    </row>
    <row r="2473">
      <c r="A2473" t="inlineStr">
        <is>
          <t>Milho</t>
        </is>
      </c>
      <c r="B2473" t="inlineStr">
        <is>
          <t>Pimenteiras do Oeste - RO</t>
        </is>
      </c>
      <c r="C2473" t="n">
        <v>-13.4823</v>
      </c>
      <c r="D2473" t="n">
        <v>-61.0471</v>
      </c>
      <c r="E2473" t="inlineStr">
        <is>
          <t>2023-06</t>
        </is>
      </c>
      <c r="F2473" t="n">
        <v>155271.6422738377</v>
      </c>
    </row>
    <row r="2474">
      <c r="A2474" t="inlineStr">
        <is>
          <t>Milho</t>
        </is>
      </c>
      <c r="B2474" t="inlineStr">
        <is>
          <t>Pimenteiras do Oeste - RO</t>
        </is>
      </c>
      <c r="C2474" t="n">
        <v>-13.4823</v>
      </c>
      <c r="D2474" t="n">
        <v>-61.0471</v>
      </c>
      <c r="E2474" t="inlineStr">
        <is>
          <t>2022-07</t>
        </is>
      </c>
      <c r="F2474" t="n">
        <v>254739.5481542227</v>
      </c>
    </row>
    <row r="2475">
      <c r="A2475" t="inlineStr">
        <is>
          <t>Milho</t>
        </is>
      </c>
      <c r="B2475" t="inlineStr">
        <is>
          <t>Pimenteiras do Oeste - RO</t>
        </is>
      </c>
      <c r="C2475" t="n">
        <v>-13.4823</v>
      </c>
      <c r="D2475" t="n">
        <v>-61.0471</v>
      </c>
      <c r="E2475" t="inlineStr">
        <is>
          <t>2022-08</t>
        </is>
      </c>
      <c r="F2475" t="n">
        <v>304702.2018102898</v>
      </c>
    </row>
    <row r="2476">
      <c r="A2476" t="inlineStr">
        <is>
          <t>Milho</t>
        </is>
      </c>
      <c r="B2476" t="inlineStr">
        <is>
          <t>Pimenteiras do Oeste - RO</t>
        </is>
      </c>
      <c r="C2476" t="n">
        <v>-13.4823</v>
      </c>
      <c r="D2476" t="n">
        <v>-61.0471</v>
      </c>
      <c r="E2476" t="inlineStr">
        <is>
          <t>2022-09</t>
        </is>
      </c>
      <c r="F2476" t="n">
        <v>199739.3104470786</v>
      </c>
    </row>
    <row r="2477">
      <c r="A2477" t="inlineStr">
        <is>
          <t>Milho</t>
        </is>
      </c>
      <c r="B2477" t="inlineStr">
        <is>
          <t>Pimenteiras do Oeste - RO</t>
        </is>
      </c>
      <c r="C2477" t="n">
        <v>-13.4823</v>
      </c>
      <c r="D2477" t="n">
        <v>-61.0471</v>
      </c>
      <c r="E2477" t="inlineStr">
        <is>
          <t>2022-10</t>
        </is>
      </c>
      <c r="F2477" t="n">
        <v>324749.0327592021</v>
      </c>
    </row>
    <row r="2478">
      <c r="A2478" t="inlineStr">
        <is>
          <t>Milho</t>
        </is>
      </c>
      <c r="B2478" t="inlineStr">
        <is>
          <t>Pimenteiras do Oeste - RO</t>
        </is>
      </c>
      <c r="C2478" t="n">
        <v>-13.4823</v>
      </c>
      <c r="D2478" t="n">
        <v>-61.0471</v>
      </c>
      <c r="E2478" t="inlineStr">
        <is>
          <t>2022-11</t>
        </is>
      </c>
      <c r="F2478" t="n">
        <v>0</v>
      </c>
    </row>
    <row r="2479">
      <c r="A2479" t="inlineStr">
        <is>
          <t>Milho</t>
        </is>
      </c>
      <c r="B2479" t="inlineStr">
        <is>
          <t>Pimenteiras do Oeste - RO</t>
        </is>
      </c>
      <c r="C2479" t="n">
        <v>-13.4823</v>
      </c>
      <c r="D2479" t="n">
        <v>-61.0471</v>
      </c>
      <c r="E2479" t="inlineStr">
        <is>
          <t>2022-12</t>
        </is>
      </c>
      <c r="F2479" t="n">
        <v>0</v>
      </c>
    </row>
    <row r="2480">
      <c r="A2480" t="inlineStr">
        <is>
          <t>Milho</t>
        </is>
      </c>
      <c r="B2480" t="inlineStr">
        <is>
          <t>Bonfim - RR</t>
        </is>
      </c>
      <c r="C2480" t="n">
        <v>3.36161</v>
      </c>
      <c r="D2480" t="n">
        <v>-59.8333</v>
      </c>
      <c r="E2480" t="inlineStr">
        <is>
          <t>2023-01</t>
        </is>
      </c>
      <c r="F2480" t="n">
        <v>0</v>
      </c>
    </row>
    <row r="2481">
      <c r="A2481" t="inlineStr">
        <is>
          <t>Milho</t>
        </is>
      </c>
      <c r="B2481" t="inlineStr">
        <is>
          <t>Bonfim - RR</t>
        </is>
      </c>
      <c r="C2481" t="n">
        <v>3.36161</v>
      </c>
      <c r="D2481" t="n">
        <v>-59.8333</v>
      </c>
      <c r="E2481" t="inlineStr">
        <is>
          <t>2023-02</t>
        </is>
      </c>
      <c r="F2481" t="n">
        <v>0</v>
      </c>
    </row>
    <row r="2482">
      <c r="A2482" t="inlineStr">
        <is>
          <t>Milho</t>
        </is>
      </c>
      <c r="B2482" t="inlineStr">
        <is>
          <t>Bonfim - RR</t>
        </is>
      </c>
      <c r="C2482" t="n">
        <v>3.36161</v>
      </c>
      <c r="D2482" t="n">
        <v>-59.8333</v>
      </c>
      <c r="E2482" t="inlineStr">
        <is>
          <t>2023-03</t>
        </is>
      </c>
      <c r="F2482" t="n">
        <v>0</v>
      </c>
    </row>
    <row r="2483">
      <c r="A2483" t="inlineStr">
        <is>
          <t>Milho</t>
        </is>
      </c>
      <c r="B2483" t="inlineStr">
        <is>
          <t>Bonfim - RR</t>
        </is>
      </c>
      <c r="C2483" t="n">
        <v>3.36161</v>
      </c>
      <c r="D2483" t="n">
        <v>-59.8333</v>
      </c>
      <c r="E2483" t="inlineStr">
        <is>
          <t>2023-04</t>
        </is>
      </c>
      <c r="F2483" t="n">
        <v>0</v>
      </c>
    </row>
    <row r="2484">
      <c r="A2484" t="inlineStr">
        <is>
          <t>Milho</t>
        </is>
      </c>
      <c r="B2484" t="inlineStr">
        <is>
          <t>Bonfim - RR</t>
        </is>
      </c>
      <c r="C2484" t="n">
        <v>3.36161</v>
      </c>
      <c r="D2484" t="n">
        <v>-59.8333</v>
      </c>
      <c r="E2484" t="inlineStr">
        <is>
          <t>2023-05</t>
        </is>
      </c>
      <c r="F2484" t="n">
        <v>0</v>
      </c>
    </row>
    <row r="2485">
      <c r="A2485" t="inlineStr">
        <is>
          <t>Milho</t>
        </is>
      </c>
      <c r="B2485" t="inlineStr">
        <is>
          <t>Bonfim - RR</t>
        </is>
      </c>
      <c r="C2485" t="n">
        <v>3.36161</v>
      </c>
      <c r="D2485" t="n">
        <v>-59.8333</v>
      </c>
      <c r="E2485" t="inlineStr">
        <is>
          <t>2023-06</t>
        </is>
      </c>
      <c r="F2485" t="n">
        <v>0</v>
      </c>
    </row>
    <row r="2486">
      <c r="A2486" t="inlineStr">
        <is>
          <t>Milho</t>
        </is>
      </c>
      <c r="B2486" t="inlineStr">
        <is>
          <t>Bonfim - RR</t>
        </is>
      </c>
      <c r="C2486" t="n">
        <v>3.36161</v>
      </c>
      <c r="D2486" t="n">
        <v>-59.8333</v>
      </c>
      <c r="E2486" t="inlineStr">
        <is>
          <t>2022-07</t>
        </is>
      </c>
      <c r="F2486" t="n">
        <v>0</v>
      </c>
    </row>
    <row r="2487">
      <c r="A2487" t="inlineStr">
        <is>
          <t>Milho</t>
        </is>
      </c>
      <c r="B2487" t="inlineStr">
        <is>
          <t>Bonfim - RR</t>
        </is>
      </c>
      <c r="C2487" t="n">
        <v>3.36161</v>
      </c>
      <c r="D2487" t="n">
        <v>-59.8333</v>
      </c>
      <c r="E2487" t="inlineStr">
        <is>
          <t>2022-08</t>
        </is>
      </c>
      <c r="F2487" t="n">
        <v>0</v>
      </c>
    </row>
    <row r="2488">
      <c r="A2488" t="inlineStr">
        <is>
          <t>Milho</t>
        </is>
      </c>
      <c r="B2488" t="inlineStr">
        <is>
          <t>Bonfim - RR</t>
        </is>
      </c>
      <c r="C2488" t="n">
        <v>3.36161</v>
      </c>
      <c r="D2488" t="n">
        <v>-59.8333</v>
      </c>
      <c r="E2488" t="inlineStr">
        <is>
          <t>2022-09</t>
        </is>
      </c>
      <c r="F2488" t="n">
        <v>0</v>
      </c>
    </row>
    <row r="2489">
      <c r="A2489" t="inlineStr">
        <is>
          <t>Milho</t>
        </is>
      </c>
      <c r="B2489" t="inlineStr">
        <is>
          <t>Bonfim - RR</t>
        </is>
      </c>
      <c r="C2489" t="n">
        <v>3.36161</v>
      </c>
      <c r="D2489" t="n">
        <v>-59.8333</v>
      </c>
      <c r="E2489" t="inlineStr">
        <is>
          <t>2022-10</t>
        </is>
      </c>
      <c r="F2489" t="n">
        <v>0</v>
      </c>
    </row>
    <row r="2490">
      <c r="A2490" t="inlineStr">
        <is>
          <t>Milho</t>
        </is>
      </c>
      <c r="B2490" t="inlineStr">
        <is>
          <t>Bonfim - RR</t>
        </is>
      </c>
      <c r="C2490" t="n">
        <v>3.36161</v>
      </c>
      <c r="D2490" t="n">
        <v>-59.8333</v>
      </c>
      <c r="E2490" t="inlineStr">
        <is>
          <t>2022-11</t>
        </is>
      </c>
      <c r="F2490" t="n">
        <v>0</v>
      </c>
    </row>
    <row r="2491">
      <c r="A2491" t="inlineStr">
        <is>
          <t>Milho</t>
        </is>
      </c>
      <c r="B2491" t="inlineStr">
        <is>
          <t>Bonfim - RR</t>
        </is>
      </c>
      <c r="C2491" t="n">
        <v>3.36161</v>
      </c>
      <c r="D2491" t="n">
        <v>-59.8333</v>
      </c>
      <c r="E2491" t="inlineStr">
        <is>
          <t>2022-12</t>
        </is>
      </c>
      <c r="F2491" t="n">
        <v>0</v>
      </c>
    </row>
    <row r="2492">
      <c r="A2492" t="inlineStr">
        <is>
          <t>Milho</t>
        </is>
      </c>
      <c r="B2492" t="inlineStr">
        <is>
          <t>Campos Novos - SC</t>
        </is>
      </c>
      <c r="C2492" t="n">
        <v>-27.4002</v>
      </c>
      <c r="D2492" t="n">
        <v>-51.2276</v>
      </c>
      <c r="E2492" t="inlineStr">
        <is>
          <t>2023-01</t>
        </is>
      </c>
      <c r="F2492" t="n">
        <v>0</v>
      </c>
    </row>
    <row r="2493">
      <c r="A2493" t="inlineStr">
        <is>
          <t>Milho</t>
        </is>
      </c>
      <c r="B2493" t="inlineStr">
        <is>
          <t>Campos Novos - SC</t>
        </is>
      </c>
      <c r="C2493" t="n">
        <v>-27.4002</v>
      </c>
      <c r="D2493" t="n">
        <v>-51.2276</v>
      </c>
      <c r="E2493" t="inlineStr">
        <is>
          <t>2023-02</t>
        </is>
      </c>
      <c r="F2493" t="n">
        <v>0</v>
      </c>
    </row>
    <row r="2494">
      <c r="A2494" t="inlineStr">
        <is>
          <t>Milho</t>
        </is>
      </c>
      <c r="B2494" t="inlineStr">
        <is>
          <t>Campos Novos - SC</t>
        </is>
      </c>
      <c r="C2494" t="n">
        <v>-27.4002</v>
      </c>
      <c r="D2494" t="n">
        <v>-51.2276</v>
      </c>
      <c r="E2494" t="inlineStr">
        <is>
          <t>2023-03</t>
        </is>
      </c>
      <c r="F2494" t="n">
        <v>0</v>
      </c>
    </row>
    <row r="2495">
      <c r="A2495" t="inlineStr">
        <is>
          <t>Milho</t>
        </is>
      </c>
      <c r="B2495" t="inlineStr">
        <is>
          <t>Campos Novos - SC</t>
        </is>
      </c>
      <c r="C2495" t="n">
        <v>-27.4002</v>
      </c>
      <c r="D2495" t="n">
        <v>-51.2276</v>
      </c>
      <c r="E2495" t="inlineStr">
        <is>
          <t>2023-04</t>
        </is>
      </c>
      <c r="F2495" t="n">
        <v>0</v>
      </c>
    </row>
    <row r="2496">
      <c r="A2496" t="inlineStr">
        <is>
          <t>Milho</t>
        </is>
      </c>
      <c r="B2496" t="inlineStr">
        <is>
          <t>Campos Novos - SC</t>
        </is>
      </c>
      <c r="C2496" t="n">
        <v>-27.4002</v>
      </c>
      <c r="D2496" t="n">
        <v>-51.2276</v>
      </c>
      <c r="E2496" t="inlineStr">
        <is>
          <t>2023-05</t>
        </is>
      </c>
      <c r="F2496" t="n">
        <v>0</v>
      </c>
    </row>
    <row r="2497">
      <c r="A2497" t="inlineStr">
        <is>
          <t>Milho</t>
        </is>
      </c>
      <c r="B2497" t="inlineStr">
        <is>
          <t>Campos Novos - SC</t>
        </is>
      </c>
      <c r="C2497" t="n">
        <v>-27.4002</v>
      </c>
      <c r="D2497" t="n">
        <v>-51.2276</v>
      </c>
      <c r="E2497" t="inlineStr">
        <is>
          <t>2023-06</t>
        </is>
      </c>
      <c r="F2497" t="n">
        <v>0</v>
      </c>
    </row>
    <row r="2498">
      <c r="A2498" t="inlineStr">
        <is>
          <t>Milho</t>
        </is>
      </c>
      <c r="B2498" t="inlineStr">
        <is>
          <t>Campos Novos - SC</t>
        </is>
      </c>
      <c r="C2498" t="n">
        <v>-27.4002</v>
      </c>
      <c r="D2498" t="n">
        <v>-51.2276</v>
      </c>
      <c r="E2498" t="inlineStr">
        <is>
          <t>2022-07</t>
        </is>
      </c>
      <c r="F2498" t="n">
        <v>0</v>
      </c>
    </row>
    <row r="2499">
      <c r="A2499" t="inlineStr">
        <is>
          <t>Milho</t>
        </is>
      </c>
      <c r="B2499" t="inlineStr">
        <is>
          <t>Campos Novos - SC</t>
        </is>
      </c>
      <c r="C2499" t="n">
        <v>-27.4002</v>
      </c>
      <c r="D2499" t="n">
        <v>-51.2276</v>
      </c>
      <c r="E2499" t="inlineStr">
        <is>
          <t>2022-08</t>
        </is>
      </c>
      <c r="F2499" t="n">
        <v>0</v>
      </c>
    </row>
    <row r="2500">
      <c r="A2500" t="inlineStr">
        <is>
          <t>Milho</t>
        </is>
      </c>
      <c r="B2500" t="inlineStr">
        <is>
          <t>Campos Novos - SC</t>
        </is>
      </c>
      <c r="C2500" t="n">
        <v>-27.4002</v>
      </c>
      <c r="D2500" t="n">
        <v>-51.2276</v>
      </c>
      <c r="E2500" t="inlineStr">
        <is>
          <t>2022-09</t>
        </is>
      </c>
      <c r="F2500" t="n">
        <v>0</v>
      </c>
    </row>
    <row r="2501">
      <c r="A2501" t="inlineStr">
        <is>
          <t>Milho</t>
        </is>
      </c>
      <c r="B2501" t="inlineStr">
        <is>
          <t>Campos Novos - SC</t>
        </is>
      </c>
      <c r="C2501" t="n">
        <v>-27.4002</v>
      </c>
      <c r="D2501" t="n">
        <v>-51.2276</v>
      </c>
      <c r="E2501" t="inlineStr">
        <is>
          <t>2022-10</t>
        </is>
      </c>
      <c r="F2501" t="n">
        <v>0</v>
      </c>
    </row>
    <row r="2502">
      <c r="A2502" t="inlineStr">
        <is>
          <t>Milho</t>
        </is>
      </c>
      <c r="B2502" t="inlineStr">
        <is>
          <t>Campos Novos - SC</t>
        </is>
      </c>
      <c r="C2502" t="n">
        <v>-27.4002</v>
      </c>
      <c r="D2502" t="n">
        <v>-51.2276</v>
      </c>
      <c r="E2502" t="inlineStr">
        <is>
          <t>2022-11</t>
        </is>
      </c>
      <c r="F2502" t="n">
        <v>0</v>
      </c>
    </row>
    <row r="2503">
      <c r="A2503" t="inlineStr">
        <is>
          <t>Milho</t>
        </is>
      </c>
      <c r="B2503" t="inlineStr">
        <is>
          <t>Campos Novos - SC</t>
        </is>
      </c>
      <c r="C2503" t="n">
        <v>-27.4002</v>
      </c>
      <c r="D2503" t="n">
        <v>-51.2276</v>
      </c>
      <c r="E2503" t="inlineStr">
        <is>
          <t>2022-12</t>
        </is>
      </c>
      <c r="F2503" t="n">
        <v>0</v>
      </c>
    </row>
    <row r="2504">
      <c r="A2504" t="inlineStr">
        <is>
          <t>Milho</t>
        </is>
      </c>
      <c r="B2504" t="inlineStr">
        <is>
          <t>Carira - SE</t>
        </is>
      </c>
      <c r="C2504" t="n">
        <v>-10.3524</v>
      </c>
      <c r="D2504" t="n">
        <v>-37.7002</v>
      </c>
      <c r="E2504" t="inlineStr">
        <is>
          <t>2023-01</t>
        </is>
      </c>
      <c r="F2504" t="n">
        <v>0</v>
      </c>
    </row>
    <row r="2505">
      <c r="A2505" t="inlineStr">
        <is>
          <t>Milho</t>
        </is>
      </c>
      <c r="B2505" t="inlineStr">
        <is>
          <t>Carira - SE</t>
        </is>
      </c>
      <c r="C2505" t="n">
        <v>-10.3524</v>
      </c>
      <c r="D2505" t="n">
        <v>-37.7002</v>
      </c>
      <c r="E2505" t="inlineStr">
        <is>
          <t>2023-02</t>
        </is>
      </c>
      <c r="F2505" t="n">
        <v>0</v>
      </c>
    </row>
    <row r="2506">
      <c r="A2506" t="inlineStr">
        <is>
          <t>Milho</t>
        </is>
      </c>
      <c r="B2506" t="inlineStr">
        <is>
          <t>Carira - SE</t>
        </is>
      </c>
      <c r="C2506" t="n">
        <v>-10.3524</v>
      </c>
      <c r="D2506" t="n">
        <v>-37.7002</v>
      </c>
      <c r="E2506" t="inlineStr">
        <is>
          <t>2023-03</t>
        </is>
      </c>
      <c r="F2506" t="n">
        <v>0</v>
      </c>
    </row>
    <row r="2507">
      <c r="A2507" t="inlineStr">
        <is>
          <t>Milho</t>
        </is>
      </c>
      <c r="B2507" t="inlineStr">
        <is>
          <t>Carira - SE</t>
        </is>
      </c>
      <c r="C2507" t="n">
        <v>-10.3524</v>
      </c>
      <c r="D2507" t="n">
        <v>-37.7002</v>
      </c>
      <c r="E2507" t="inlineStr">
        <is>
          <t>2023-04</t>
        </is>
      </c>
      <c r="F2507" t="n">
        <v>0</v>
      </c>
    </row>
    <row r="2508">
      <c r="A2508" t="inlineStr">
        <is>
          <t>Milho</t>
        </is>
      </c>
      <c r="B2508" t="inlineStr">
        <is>
          <t>Carira - SE</t>
        </is>
      </c>
      <c r="C2508" t="n">
        <v>-10.3524</v>
      </c>
      <c r="D2508" t="n">
        <v>-37.7002</v>
      </c>
      <c r="E2508" t="inlineStr">
        <is>
          <t>2023-05</t>
        </is>
      </c>
      <c r="F2508" t="n">
        <v>0</v>
      </c>
    </row>
    <row r="2509">
      <c r="A2509" t="inlineStr">
        <is>
          <t>Milho</t>
        </is>
      </c>
      <c r="B2509" t="inlineStr">
        <is>
          <t>Carira - SE</t>
        </is>
      </c>
      <c r="C2509" t="n">
        <v>-10.3524</v>
      </c>
      <c r="D2509" t="n">
        <v>-37.7002</v>
      </c>
      <c r="E2509" t="inlineStr">
        <is>
          <t>2023-06</t>
        </is>
      </c>
      <c r="F2509" t="n">
        <v>0</v>
      </c>
    </row>
    <row r="2510">
      <c r="A2510" t="inlineStr">
        <is>
          <t>Milho</t>
        </is>
      </c>
      <c r="B2510" t="inlineStr">
        <is>
          <t>Carira - SE</t>
        </is>
      </c>
      <c r="C2510" t="n">
        <v>-10.3524</v>
      </c>
      <c r="D2510" t="n">
        <v>-37.7002</v>
      </c>
      <c r="E2510" t="inlineStr">
        <is>
          <t>2022-07</t>
        </is>
      </c>
      <c r="F2510" t="n">
        <v>0</v>
      </c>
    </row>
    <row r="2511">
      <c r="A2511" t="inlineStr">
        <is>
          <t>Milho</t>
        </is>
      </c>
      <c r="B2511" t="inlineStr">
        <is>
          <t>Carira - SE</t>
        </is>
      </c>
      <c r="C2511" t="n">
        <v>-10.3524</v>
      </c>
      <c r="D2511" t="n">
        <v>-37.7002</v>
      </c>
      <c r="E2511" t="inlineStr">
        <is>
          <t>2022-08</t>
        </is>
      </c>
      <c r="F2511" t="n">
        <v>0</v>
      </c>
    </row>
    <row r="2512">
      <c r="A2512" t="inlineStr">
        <is>
          <t>Milho</t>
        </is>
      </c>
      <c r="B2512" t="inlineStr">
        <is>
          <t>Carira - SE</t>
        </is>
      </c>
      <c r="C2512" t="n">
        <v>-10.3524</v>
      </c>
      <c r="D2512" t="n">
        <v>-37.7002</v>
      </c>
      <c r="E2512" t="inlineStr">
        <is>
          <t>2022-09</t>
        </is>
      </c>
      <c r="F2512" t="n">
        <v>0</v>
      </c>
    </row>
    <row r="2513">
      <c r="A2513" t="inlineStr">
        <is>
          <t>Milho</t>
        </is>
      </c>
      <c r="B2513" t="inlineStr">
        <is>
          <t>Carira - SE</t>
        </is>
      </c>
      <c r="C2513" t="n">
        <v>-10.3524</v>
      </c>
      <c r="D2513" t="n">
        <v>-37.7002</v>
      </c>
      <c r="E2513" t="inlineStr">
        <is>
          <t>2022-10</t>
        </is>
      </c>
      <c r="F2513" t="n">
        <v>0</v>
      </c>
    </row>
    <row r="2514">
      <c r="A2514" t="inlineStr">
        <is>
          <t>Milho</t>
        </is>
      </c>
      <c r="B2514" t="inlineStr">
        <is>
          <t>Carira - SE</t>
        </is>
      </c>
      <c r="C2514" t="n">
        <v>-10.3524</v>
      </c>
      <c r="D2514" t="n">
        <v>-37.7002</v>
      </c>
      <c r="E2514" t="inlineStr">
        <is>
          <t>2022-11</t>
        </is>
      </c>
      <c r="F2514" t="n">
        <v>0</v>
      </c>
    </row>
    <row r="2515">
      <c r="A2515" t="inlineStr">
        <is>
          <t>Milho</t>
        </is>
      </c>
      <c r="B2515" t="inlineStr">
        <is>
          <t>Carira - SE</t>
        </is>
      </c>
      <c r="C2515" t="n">
        <v>-10.3524</v>
      </c>
      <c r="D2515" t="n">
        <v>-37.7002</v>
      </c>
      <c r="E2515" t="inlineStr">
        <is>
          <t>2022-12</t>
        </is>
      </c>
      <c r="F2515" t="n">
        <v>0</v>
      </c>
    </row>
    <row r="2516">
      <c r="A2516" t="inlineStr">
        <is>
          <t>Milho</t>
        </is>
      </c>
      <c r="B2516" t="inlineStr">
        <is>
          <t>Itapeva - SP</t>
        </is>
      </c>
      <c r="C2516" t="n">
        <v>-23.9788</v>
      </c>
      <c r="D2516" t="n">
        <v>-48.8764</v>
      </c>
      <c r="E2516" t="inlineStr">
        <is>
          <t>2023-01</t>
        </is>
      </c>
      <c r="F2516" t="n">
        <v>0</v>
      </c>
    </row>
    <row r="2517">
      <c r="A2517" t="inlineStr">
        <is>
          <t>Milho</t>
        </is>
      </c>
      <c r="B2517" t="inlineStr">
        <is>
          <t>Itapeva - SP</t>
        </is>
      </c>
      <c r="C2517" t="n">
        <v>-23.9788</v>
      </c>
      <c r="D2517" t="n">
        <v>-48.8764</v>
      </c>
      <c r="E2517" t="inlineStr">
        <is>
          <t>2023-02</t>
        </is>
      </c>
      <c r="F2517" t="n">
        <v>0</v>
      </c>
    </row>
    <row r="2518">
      <c r="A2518" t="inlineStr">
        <is>
          <t>Milho</t>
        </is>
      </c>
      <c r="B2518" t="inlineStr">
        <is>
          <t>Itapeva - SP</t>
        </is>
      </c>
      <c r="C2518" t="n">
        <v>-23.9788</v>
      </c>
      <c r="D2518" t="n">
        <v>-48.8764</v>
      </c>
      <c r="E2518" t="inlineStr">
        <is>
          <t>2023-03</t>
        </is>
      </c>
      <c r="F2518" t="n">
        <v>0</v>
      </c>
    </row>
    <row r="2519">
      <c r="A2519" t="inlineStr">
        <is>
          <t>Milho</t>
        </is>
      </c>
      <c r="B2519" t="inlineStr">
        <is>
          <t>Itapeva - SP</t>
        </is>
      </c>
      <c r="C2519" t="n">
        <v>-23.9788</v>
      </c>
      <c r="D2519" t="n">
        <v>-48.8764</v>
      </c>
      <c r="E2519" t="inlineStr">
        <is>
          <t>2023-04</t>
        </is>
      </c>
      <c r="F2519" t="n">
        <v>0</v>
      </c>
    </row>
    <row r="2520">
      <c r="A2520" t="inlineStr">
        <is>
          <t>Milho</t>
        </is>
      </c>
      <c r="B2520" t="inlineStr">
        <is>
          <t>Itapeva - SP</t>
        </is>
      </c>
      <c r="C2520" t="n">
        <v>-23.9788</v>
      </c>
      <c r="D2520" t="n">
        <v>-48.8764</v>
      </c>
      <c r="E2520" t="inlineStr">
        <is>
          <t>2023-05</t>
        </is>
      </c>
      <c r="F2520" t="n">
        <v>273832.028365534</v>
      </c>
    </row>
    <row r="2521">
      <c r="A2521" t="inlineStr">
        <is>
          <t>Milho</t>
        </is>
      </c>
      <c r="B2521" t="inlineStr">
        <is>
          <t>Itapeva - SP</t>
        </is>
      </c>
      <c r="C2521" t="n">
        <v>-23.9788</v>
      </c>
      <c r="D2521" t="n">
        <v>-48.8764</v>
      </c>
      <c r="E2521" t="inlineStr">
        <is>
          <t>2023-06</t>
        </is>
      </c>
      <c r="F2521" t="n">
        <v>243593.8281012734</v>
      </c>
    </row>
    <row r="2522">
      <c r="A2522" t="inlineStr">
        <is>
          <t>Milho</t>
        </is>
      </c>
      <c r="B2522" t="inlineStr">
        <is>
          <t>Itapeva - SP</t>
        </is>
      </c>
      <c r="C2522" t="n">
        <v>-23.9788</v>
      </c>
      <c r="D2522" t="n">
        <v>-48.8764</v>
      </c>
      <c r="E2522" t="inlineStr">
        <is>
          <t>2022-07</t>
        </is>
      </c>
      <c r="F2522" t="n">
        <v>559498.0069311976</v>
      </c>
    </row>
    <row r="2523">
      <c r="A2523" t="inlineStr">
        <is>
          <t>Milho</t>
        </is>
      </c>
      <c r="B2523" t="inlineStr">
        <is>
          <t>Itapeva - SP</t>
        </is>
      </c>
      <c r="C2523" t="n">
        <v>-23.9788</v>
      </c>
      <c r="D2523" t="n">
        <v>-48.8764</v>
      </c>
      <c r="E2523" t="inlineStr">
        <is>
          <t>2022-08</t>
        </is>
      </c>
      <c r="F2523" t="n">
        <v>478024.0273298213</v>
      </c>
    </row>
    <row r="2524">
      <c r="A2524" t="inlineStr">
        <is>
          <t>Milho</t>
        </is>
      </c>
      <c r="B2524" t="inlineStr">
        <is>
          <t>Itapeva - SP</t>
        </is>
      </c>
      <c r="C2524" t="n">
        <v>-23.9788</v>
      </c>
      <c r="D2524" t="n">
        <v>-48.8764</v>
      </c>
      <c r="E2524" t="inlineStr">
        <is>
          <t>2022-09</t>
        </is>
      </c>
      <c r="F2524" t="n">
        <v>313355.7586021015</v>
      </c>
    </row>
    <row r="2525">
      <c r="A2525" t="inlineStr">
        <is>
          <t>Milho</t>
        </is>
      </c>
      <c r="B2525" t="inlineStr">
        <is>
          <t>Itapeva - SP</t>
        </is>
      </c>
      <c r="C2525" t="n">
        <v>-23.9788</v>
      </c>
      <c r="D2525" t="n">
        <v>-48.8764</v>
      </c>
      <c r="E2525" t="inlineStr">
        <is>
          <t>2022-10</t>
        </is>
      </c>
      <c r="F2525" t="n">
        <v>0</v>
      </c>
    </row>
    <row r="2526">
      <c r="A2526" t="inlineStr">
        <is>
          <t>Milho</t>
        </is>
      </c>
      <c r="B2526" t="inlineStr">
        <is>
          <t>Itapeva - SP</t>
        </is>
      </c>
      <c r="C2526" t="n">
        <v>-23.9788</v>
      </c>
      <c r="D2526" t="n">
        <v>-48.8764</v>
      </c>
      <c r="E2526" t="inlineStr">
        <is>
          <t>2022-11</t>
        </is>
      </c>
      <c r="F2526" t="n">
        <v>0</v>
      </c>
    </row>
    <row r="2527">
      <c r="A2527" t="inlineStr">
        <is>
          <t>Milho</t>
        </is>
      </c>
      <c r="B2527" t="inlineStr">
        <is>
          <t>Itapeva - SP</t>
        </is>
      </c>
      <c r="C2527" t="n">
        <v>-23.9788</v>
      </c>
      <c r="D2527" t="n">
        <v>-48.8764</v>
      </c>
      <c r="E2527" t="inlineStr">
        <is>
          <t>2022-12</t>
        </is>
      </c>
      <c r="F2527" t="n">
        <v>0</v>
      </c>
    </row>
    <row r="2528">
      <c r="A2528" t="inlineStr">
        <is>
          <t>Milho</t>
        </is>
      </c>
      <c r="B2528" t="inlineStr">
        <is>
          <t>Campos Lindos - TO</t>
        </is>
      </c>
      <c r="C2528" t="n">
        <v>-7.98956</v>
      </c>
      <c r="D2528" t="n">
        <v>-46.8645</v>
      </c>
      <c r="E2528" t="inlineStr">
        <is>
          <t>2023-01</t>
        </is>
      </c>
      <c r="F2528" t="n">
        <v>0</v>
      </c>
    </row>
    <row r="2529">
      <c r="A2529" t="inlineStr">
        <is>
          <t>Milho</t>
        </is>
      </c>
      <c r="B2529" t="inlineStr">
        <is>
          <t>Campos Lindos - TO</t>
        </is>
      </c>
      <c r="C2529" t="n">
        <v>-7.98956</v>
      </c>
      <c r="D2529" t="n">
        <v>-46.8645</v>
      </c>
      <c r="E2529" t="inlineStr">
        <is>
          <t>2023-02</t>
        </is>
      </c>
      <c r="F2529" t="n">
        <v>0</v>
      </c>
    </row>
    <row r="2530">
      <c r="A2530" t="inlineStr">
        <is>
          <t>Milho</t>
        </is>
      </c>
      <c r="B2530" t="inlineStr">
        <is>
          <t>Campos Lindos - TO</t>
        </is>
      </c>
      <c r="C2530" t="n">
        <v>-7.98956</v>
      </c>
      <c r="D2530" t="n">
        <v>-46.8645</v>
      </c>
      <c r="E2530" t="inlineStr">
        <is>
          <t>2023-03</t>
        </is>
      </c>
      <c r="F2530" t="n">
        <v>0</v>
      </c>
    </row>
    <row r="2531">
      <c r="A2531" t="inlineStr">
        <is>
          <t>Milho</t>
        </is>
      </c>
      <c r="B2531" t="inlineStr">
        <is>
          <t>Campos Lindos - TO</t>
        </is>
      </c>
      <c r="C2531" t="n">
        <v>-7.98956</v>
      </c>
      <c r="D2531" t="n">
        <v>-46.8645</v>
      </c>
      <c r="E2531" t="inlineStr">
        <is>
          <t>2023-04</t>
        </is>
      </c>
      <c r="F2531" t="n">
        <v>0</v>
      </c>
    </row>
    <row r="2532">
      <c r="A2532" t="inlineStr">
        <is>
          <t>Milho</t>
        </is>
      </c>
      <c r="B2532" t="inlineStr">
        <is>
          <t>Campos Lindos - TO</t>
        </is>
      </c>
      <c r="C2532" t="n">
        <v>-7.98956</v>
      </c>
      <c r="D2532" t="n">
        <v>-46.8645</v>
      </c>
      <c r="E2532" t="inlineStr">
        <is>
          <t>2023-05</t>
        </is>
      </c>
      <c r="F2532" t="n">
        <v>193310.4175685327</v>
      </c>
    </row>
    <row r="2533">
      <c r="A2533" t="inlineStr">
        <is>
          <t>Milho</t>
        </is>
      </c>
      <c r="B2533" t="inlineStr">
        <is>
          <t>Campos Lindos - TO</t>
        </is>
      </c>
      <c r="C2533" t="n">
        <v>-7.98956</v>
      </c>
      <c r="D2533" t="n">
        <v>-46.8645</v>
      </c>
      <c r="E2533" t="inlineStr">
        <is>
          <t>2023-06</t>
        </is>
      </c>
      <c r="F2533" t="n">
        <v>171963.9039612849</v>
      </c>
    </row>
    <row r="2534">
      <c r="A2534" t="inlineStr">
        <is>
          <t>Milho</t>
        </is>
      </c>
      <c r="B2534" t="inlineStr">
        <is>
          <t>Campos Lindos - TO</t>
        </is>
      </c>
      <c r="C2534" t="n">
        <v>-7.98956</v>
      </c>
      <c r="D2534" t="n">
        <v>-46.8645</v>
      </c>
      <c r="E2534" t="inlineStr">
        <is>
          <t>2022-07</t>
        </is>
      </c>
      <c r="F2534" t="n">
        <v>394974.9559764967</v>
      </c>
    </row>
    <row r="2535">
      <c r="A2535" t="inlineStr">
        <is>
          <t>Milho</t>
        </is>
      </c>
      <c r="B2535" t="inlineStr">
        <is>
          <t>Campos Lindos - TO</t>
        </is>
      </c>
      <c r="C2535" t="n">
        <v>-7.98956</v>
      </c>
      <c r="D2535" t="n">
        <v>-46.8645</v>
      </c>
      <c r="E2535" t="inlineStr">
        <is>
          <t>2022-08</t>
        </is>
      </c>
      <c r="F2535" t="n">
        <v>202475.2726315129</v>
      </c>
    </row>
    <row r="2536">
      <c r="A2536" t="inlineStr">
        <is>
          <t>Milho</t>
        </is>
      </c>
      <c r="B2536" t="inlineStr">
        <is>
          <t>Campos Lindos - TO</t>
        </is>
      </c>
      <c r="C2536" t="n">
        <v>-7.98956</v>
      </c>
      <c r="D2536" t="n">
        <v>-46.8645</v>
      </c>
      <c r="E2536" t="inlineStr">
        <is>
          <t>2022-09</t>
        </is>
      </c>
      <c r="F2536" t="n">
        <v>221212.0068804225</v>
      </c>
    </row>
    <row r="2537">
      <c r="A2537" t="inlineStr">
        <is>
          <t>Milho</t>
        </is>
      </c>
      <c r="B2537" t="inlineStr">
        <is>
          <t>Campos Lindos - TO</t>
        </is>
      </c>
      <c r="C2537" t="n">
        <v>-7.98956</v>
      </c>
      <c r="D2537" t="n">
        <v>-46.8645</v>
      </c>
      <c r="E2537" t="inlineStr">
        <is>
          <t>2022-10</t>
        </is>
      </c>
      <c r="F2537" t="n">
        <v>0</v>
      </c>
    </row>
    <row r="2538">
      <c r="A2538" t="inlineStr">
        <is>
          <t>Milho</t>
        </is>
      </c>
      <c r="B2538" t="inlineStr">
        <is>
          <t>Campos Lindos - TO</t>
        </is>
      </c>
      <c r="C2538" t="n">
        <v>-7.98956</v>
      </c>
      <c r="D2538" t="n">
        <v>-46.8645</v>
      </c>
      <c r="E2538" t="inlineStr">
        <is>
          <t>2022-11</t>
        </is>
      </c>
      <c r="F2538" t="n">
        <v>0</v>
      </c>
    </row>
    <row r="2539">
      <c r="A2539" t="inlineStr">
        <is>
          <t>Milho</t>
        </is>
      </c>
      <c r="B2539" t="inlineStr">
        <is>
          <t>Campos Lindos - TO</t>
        </is>
      </c>
      <c r="C2539" t="n">
        <v>-7.98956</v>
      </c>
      <c r="D2539" t="n">
        <v>-46.8645</v>
      </c>
      <c r="E2539" t="inlineStr">
        <is>
          <t>2022-12</t>
        </is>
      </c>
      <c r="F2539" t="n">
        <v>0</v>
      </c>
    </row>
    <row r="2540">
      <c r="A2540" t="inlineStr">
        <is>
          <t>Milho</t>
        </is>
      </c>
      <c r="B2540" t="inlineStr">
        <is>
          <t>Senador Guiomard - AC</t>
        </is>
      </c>
      <c r="C2540" t="n">
        <v>-10.1497</v>
      </c>
      <c r="D2540" t="n">
        <v>-67.7362</v>
      </c>
      <c r="E2540" t="inlineStr">
        <is>
          <t>2023-01</t>
        </is>
      </c>
      <c r="F2540" t="n">
        <v>0</v>
      </c>
    </row>
    <row r="2541">
      <c r="A2541" t="inlineStr">
        <is>
          <t>Milho</t>
        </is>
      </c>
      <c r="B2541" t="inlineStr">
        <is>
          <t>Senador Guiomard - AC</t>
        </is>
      </c>
      <c r="C2541" t="n">
        <v>-10.1497</v>
      </c>
      <c r="D2541" t="n">
        <v>-67.7362</v>
      </c>
      <c r="E2541" t="inlineStr">
        <is>
          <t>2023-02</t>
        </is>
      </c>
      <c r="F2541" t="n">
        <v>0</v>
      </c>
    </row>
    <row r="2542">
      <c r="A2542" t="inlineStr">
        <is>
          <t>Milho</t>
        </is>
      </c>
      <c r="B2542" t="inlineStr">
        <is>
          <t>Senador Guiomard - AC</t>
        </is>
      </c>
      <c r="C2542" t="n">
        <v>-10.1497</v>
      </c>
      <c r="D2542" t="n">
        <v>-67.7362</v>
      </c>
      <c r="E2542" t="inlineStr">
        <is>
          <t>2023-03</t>
        </is>
      </c>
      <c r="F2542" t="n">
        <v>0</v>
      </c>
    </row>
    <row r="2543">
      <c r="A2543" t="inlineStr">
        <is>
          <t>Milho</t>
        </is>
      </c>
      <c r="B2543" t="inlineStr">
        <is>
          <t>Senador Guiomard - AC</t>
        </is>
      </c>
      <c r="C2543" t="n">
        <v>-10.1497</v>
      </c>
      <c r="D2543" t="n">
        <v>-67.7362</v>
      </c>
      <c r="E2543" t="inlineStr">
        <is>
          <t>2023-04</t>
        </is>
      </c>
      <c r="F2543" t="n">
        <v>0</v>
      </c>
    </row>
    <row r="2544">
      <c r="A2544" t="inlineStr">
        <is>
          <t>Milho</t>
        </is>
      </c>
      <c r="B2544" t="inlineStr">
        <is>
          <t>Senador Guiomard - AC</t>
        </is>
      </c>
      <c r="C2544" t="n">
        <v>-10.1497</v>
      </c>
      <c r="D2544" t="n">
        <v>-67.7362</v>
      </c>
      <c r="E2544" t="inlineStr">
        <is>
          <t>2023-05</t>
        </is>
      </c>
      <c r="F2544" t="n">
        <v>0</v>
      </c>
    </row>
    <row r="2545">
      <c r="A2545" t="inlineStr">
        <is>
          <t>Milho</t>
        </is>
      </c>
      <c r="B2545" t="inlineStr">
        <is>
          <t>Senador Guiomard - AC</t>
        </is>
      </c>
      <c r="C2545" t="n">
        <v>-10.1497</v>
      </c>
      <c r="D2545" t="n">
        <v>-67.7362</v>
      </c>
      <c r="E2545" t="inlineStr">
        <is>
          <t>2023-06</t>
        </is>
      </c>
      <c r="F2545" t="n">
        <v>0</v>
      </c>
    </row>
    <row r="2546">
      <c r="A2546" t="inlineStr">
        <is>
          <t>Milho</t>
        </is>
      </c>
      <c r="B2546" t="inlineStr">
        <is>
          <t>Senador Guiomard - AC</t>
        </is>
      </c>
      <c r="C2546" t="n">
        <v>-10.1497</v>
      </c>
      <c r="D2546" t="n">
        <v>-67.7362</v>
      </c>
      <c r="E2546" t="inlineStr">
        <is>
          <t>2022-07</t>
        </is>
      </c>
      <c r="F2546" t="n">
        <v>0</v>
      </c>
    </row>
    <row r="2547">
      <c r="A2547" t="inlineStr">
        <is>
          <t>Milho</t>
        </is>
      </c>
      <c r="B2547" t="inlineStr">
        <is>
          <t>Senador Guiomard - AC</t>
        </is>
      </c>
      <c r="C2547" t="n">
        <v>-10.1497</v>
      </c>
      <c r="D2547" t="n">
        <v>-67.7362</v>
      </c>
      <c r="E2547" t="inlineStr">
        <is>
          <t>2022-08</t>
        </is>
      </c>
      <c r="F2547" t="n">
        <v>0</v>
      </c>
    </row>
    <row r="2548">
      <c r="A2548" t="inlineStr">
        <is>
          <t>Milho</t>
        </is>
      </c>
      <c r="B2548" t="inlineStr">
        <is>
          <t>Senador Guiomard - AC</t>
        </is>
      </c>
      <c r="C2548" t="n">
        <v>-10.1497</v>
      </c>
      <c r="D2548" t="n">
        <v>-67.7362</v>
      </c>
      <c r="E2548" t="inlineStr">
        <is>
          <t>2022-09</t>
        </is>
      </c>
      <c r="F2548" t="n">
        <v>0</v>
      </c>
    </row>
    <row r="2549">
      <c r="A2549" t="inlineStr">
        <is>
          <t>Milho</t>
        </is>
      </c>
      <c r="B2549" t="inlineStr">
        <is>
          <t>Senador Guiomard - AC</t>
        </is>
      </c>
      <c r="C2549" t="n">
        <v>-10.1497</v>
      </c>
      <c r="D2549" t="n">
        <v>-67.7362</v>
      </c>
      <c r="E2549" t="inlineStr">
        <is>
          <t>2022-10</t>
        </is>
      </c>
      <c r="F2549" t="n">
        <v>0</v>
      </c>
    </row>
    <row r="2550">
      <c r="A2550" t="inlineStr">
        <is>
          <t>Milho</t>
        </is>
      </c>
      <c r="B2550" t="inlineStr">
        <is>
          <t>Senador Guiomard - AC</t>
        </is>
      </c>
      <c r="C2550" t="n">
        <v>-10.1497</v>
      </c>
      <c r="D2550" t="n">
        <v>-67.7362</v>
      </c>
      <c r="E2550" t="inlineStr">
        <is>
          <t>2022-11</t>
        </is>
      </c>
      <c r="F2550" t="n">
        <v>0</v>
      </c>
    </row>
    <row r="2551">
      <c r="A2551" t="inlineStr">
        <is>
          <t>Milho</t>
        </is>
      </c>
      <c r="B2551" t="inlineStr">
        <is>
          <t>Senador Guiomard - AC</t>
        </is>
      </c>
      <c r="C2551" t="n">
        <v>-10.1497</v>
      </c>
      <c r="D2551" t="n">
        <v>-67.7362</v>
      </c>
      <c r="E2551" t="inlineStr">
        <is>
          <t>2022-12</t>
        </is>
      </c>
      <c r="F2551" t="n">
        <v>0</v>
      </c>
    </row>
    <row r="2552">
      <c r="A2552" t="inlineStr">
        <is>
          <t>Milho</t>
        </is>
      </c>
      <c r="B2552" t="inlineStr">
        <is>
          <t>Humaitá - AM</t>
        </is>
      </c>
      <c r="C2552" t="n">
        <v>-7.51171</v>
      </c>
      <c r="D2552" t="n">
        <v>-63.0327</v>
      </c>
      <c r="E2552" t="inlineStr">
        <is>
          <t>2023-01</t>
        </is>
      </c>
      <c r="F2552" t="n">
        <v>0</v>
      </c>
    </row>
    <row r="2553">
      <c r="A2553" t="inlineStr">
        <is>
          <t>Milho</t>
        </is>
      </c>
      <c r="B2553" t="inlineStr">
        <is>
          <t>Humaitá - AM</t>
        </is>
      </c>
      <c r="C2553" t="n">
        <v>-7.51171</v>
      </c>
      <c r="D2553" t="n">
        <v>-63.0327</v>
      </c>
      <c r="E2553" t="inlineStr">
        <is>
          <t>2023-02</t>
        </is>
      </c>
      <c r="F2553" t="n">
        <v>0</v>
      </c>
    </row>
    <row r="2554">
      <c r="A2554" t="inlineStr">
        <is>
          <t>Milho</t>
        </is>
      </c>
      <c r="B2554" t="inlineStr">
        <is>
          <t>Humaitá - AM</t>
        </is>
      </c>
      <c r="C2554" t="n">
        <v>-7.51171</v>
      </c>
      <c r="D2554" t="n">
        <v>-63.0327</v>
      </c>
      <c r="E2554" t="inlineStr">
        <is>
          <t>2023-03</t>
        </is>
      </c>
      <c r="F2554" t="n">
        <v>0</v>
      </c>
    </row>
    <row r="2555">
      <c r="A2555" t="inlineStr">
        <is>
          <t>Milho</t>
        </is>
      </c>
      <c r="B2555" t="inlineStr">
        <is>
          <t>Humaitá - AM</t>
        </is>
      </c>
      <c r="C2555" t="n">
        <v>-7.51171</v>
      </c>
      <c r="D2555" t="n">
        <v>-63.0327</v>
      </c>
      <c r="E2555" t="inlineStr">
        <is>
          <t>2023-04</t>
        </is>
      </c>
      <c r="F2555" t="n">
        <v>0</v>
      </c>
    </row>
    <row r="2556">
      <c r="A2556" t="inlineStr">
        <is>
          <t>Milho</t>
        </is>
      </c>
      <c r="B2556" t="inlineStr">
        <is>
          <t>Humaitá - AM</t>
        </is>
      </c>
      <c r="C2556" t="n">
        <v>-7.51171</v>
      </c>
      <c r="D2556" t="n">
        <v>-63.0327</v>
      </c>
      <c r="E2556" t="inlineStr">
        <is>
          <t>2023-05</t>
        </is>
      </c>
      <c r="F2556" t="n">
        <v>0</v>
      </c>
    </row>
    <row r="2557">
      <c r="A2557" t="inlineStr">
        <is>
          <t>Milho</t>
        </is>
      </c>
      <c r="B2557" t="inlineStr">
        <is>
          <t>Humaitá - AM</t>
        </is>
      </c>
      <c r="C2557" t="n">
        <v>-7.51171</v>
      </c>
      <c r="D2557" t="n">
        <v>-63.0327</v>
      </c>
      <c r="E2557" t="inlineStr">
        <is>
          <t>2023-06</t>
        </is>
      </c>
      <c r="F2557" t="n">
        <v>0</v>
      </c>
    </row>
    <row r="2558">
      <c r="A2558" t="inlineStr">
        <is>
          <t>Milho</t>
        </is>
      </c>
      <c r="B2558" t="inlineStr">
        <is>
          <t>Humaitá - AM</t>
        </is>
      </c>
      <c r="C2558" t="n">
        <v>-7.51171</v>
      </c>
      <c r="D2558" t="n">
        <v>-63.0327</v>
      </c>
      <c r="E2558" t="inlineStr">
        <is>
          <t>2022-07</t>
        </is>
      </c>
      <c r="F2558" t="n">
        <v>0</v>
      </c>
    </row>
    <row r="2559">
      <c r="A2559" t="inlineStr">
        <is>
          <t>Milho</t>
        </is>
      </c>
      <c r="B2559" t="inlineStr">
        <is>
          <t>Humaitá - AM</t>
        </is>
      </c>
      <c r="C2559" t="n">
        <v>-7.51171</v>
      </c>
      <c r="D2559" t="n">
        <v>-63.0327</v>
      </c>
      <c r="E2559" t="inlineStr">
        <is>
          <t>2022-08</t>
        </is>
      </c>
      <c r="F2559" t="n">
        <v>0</v>
      </c>
    </row>
    <row r="2560">
      <c r="A2560" t="inlineStr">
        <is>
          <t>Milho</t>
        </is>
      </c>
      <c r="B2560" t="inlineStr">
        <is>
          <t>Humaitá - AM</t>
        </is>
      </c>
      <c r="C2560" t="n">
        <v>-7.51171</v>
      </c>
      <c r="D2560" t="n">
        <v>-63.0327</v>
      </c>
      <c r="E2560" t="inlineStr">
        <is>
          <t>2022-09</t>
        </is>
      </c>
      <c r="F2560" t="n">
        <v>0</v>
      </c>
    </row>
    <row r="2561">
      <c r="A2561" t="inlineStr">
        <is>
          <t>Milho</t>
        </is>
      </c>
      <c r="B2561" t="inlineStr">
        <is>
          <t>Humaitá - AM</t>
        </is>
      </c>
      <c r="C2561" t="n">
        <v>-7.51171</v>
      </c>
      <c r="D2561" t="n">
        <v>-63.0327</v>
      </c>
      <c r="E2561" t="inlineStr">
        <is>
          <t>2022-10</t>
        </is>
      </c>
      <c r="F2561" t="n">
        <v>0</v>
      </c>
    </row>
    <row r="2562">
      <c r="A2562" t="inlineStr">
        <is>
          <t>Milho</t>
        </is>
      </c>
      <c r="B2562" t="inlineStr">
        <is>
          <t>Humaitá - AM</t>
        </is>
      </c>
      <c r="C2562" t="n">
        <v>-7.51171</v>
      </c>
      <c r="D2562" t="n">
        <v>-63.0327</v>
      </c>
      <c r="E2562" t="inlineStr">
        <is>
          <t>2022-11</t>
        </is>
      </c>
      <c r="F2562" t="n">
        <v>0</v>
      </c>
    </row>
    <row r="2563">
      <c r="A2563" t="inlineStr">
        <is>
          <t>Milho</t>
        </is>
      </c>
      <c r="B2563" t="inlineStr">
        <is>
          <t>Humaitá - AM</t>
        </is>
      </c>
      <c r="C2563" t="n">
        <v>-7.51171</v>
      </c>
      <c r="D2563" t="n">
        <v>-63.0327</v>
      </c>
      <c r="E2563" t="inlineStr">
        <is>
          <t>2022-12</t>
        </is>
      </c>
      <c r="F2563" t="n">
        <v>0</v>
      </c>
    </row>
    <row r="2564">
      <c r="A2564" t="inlineStr">
        <is>
          <t>Milho</t>
        </is>
      </c>
      <c r="B2564" t="inlineStr">
        <is>
          <t>Palmeira das Missões - RS</t>
        </is>
      </c>
      <c r="C2564" t="n">
        <v>-27.9007</v>
      </c>
      <c r="D2564" t="n">
        <v>-53.3134</v>
      </c>
      <c r="E2564" t="inlineStr">
        <is>
          <t>2023-01</t>
        </is>
      </c>
      <c r="F2564" t="n">
        <v>0</v>
      </c>
    </row>
    <row r="2565">
      <c r="A2565" t="inlineStr">
        <is>
          <t>Milho</t>
        </is>
      </c>
      <c r="B2565" t="inlineStr">
        <is>
          <t>Palmeira das Missões - RS</t>
        </is>
      </c>
      <c r="C2565" t="n">
        <v>-27.9007</v>
      </c>
      <c r="D2565" t="n">
        <v>-53.3134</v>
      </c>
      <c r="E2565" t="inlineStr">
        <is>
          <t>2023-02</t>
        </is>
      </c>
      <c r="F2565" t="n">
        <v>0</v>
      </c>
    </row>
    <row r="2566">
      <c r="A2566" t="inlineStr">
        <is>
          <t>Milho</t>
        </is>
      </c>
      <c r="B2566" t="inlineStr">
        <is>
          <t>Palmeira das Missões - RS</t>
        </is>
      </c>
      <c r="C2566" t="n">
        <v>-27.9007</v>
      </c>
      <c r="D2566" t="n">
        <v>-53.3134</v>
      </c>
      <c r="E2566" t="inlineStr">
        <is>
          <t>2023-03</t>
        </is>
      </c>
      <c r="F2566" t="n">
        <v>0</v>
      </c>
    </row>
    <row r="2567">
      <c r="A2567" t="inlineStr">
        <is>
          <t>Milho</t>
        </is>
      </c>
      <c r="B2567" t="inlineStr">
        <is>
          <t>Palmeira das Missões - RS</t>
        </is>
      </c>
      <c r="C2567" t="n">
        <v>-27.9007</v>
      </c>
      <c r="D2567" t="n">
        <v>-53.3134</v>
      </c>
      <c r="E2567" t="inlineStr">
        <is>
          <t>2023-04</t>
        </is>
      </c>
      <c r="F2567" t="n">
        <v>0</v>
      </c>
    </row>
    <row r="2568">
      <c r="A2568" t="inlineStr">
        <is>
          <t>Milho</t>
        </is>
      </c>
      <c r="B2568" t="inlineStr">
        <is>
          <t>Palmeira das Missões - RS</t>
        </is>
      </c>
      <c r="C2568" t="n">
        <v>-27.9007</v>
      </c>
      <c r="D2568" t="n">
        <v>-53.3134</v>
      </c>
      <c r="E2568" t="inlineStr">
        <is>
          <t>2023-05</t>
        </is>
      </c>
      <c r="F2568" t="n">
        <v>0</v>
      </c>
    </row>
    <row r="2569">
      <c r="A2569" t="inlineStr">
        <is>
          <t>Milho</t>
        </is>
      </c>
      <c r="B2569" t="inlineStr">
        <is>
          <t>Palmeira das Missões - RS</t>
        </is>
      </c>
      <c r="C2569" t="n">
        <v>-27.9007</v>
      </c>
      <c r="D2569" t="n">
        <v>-53.3134</v>
      </c>
      <c r="E2569" t="inlineStr">
        <is>
          <t>2023-06</t>
        </is>
      </c>
      <c r="F2569" t="n">
        <v>0</v>
      </c>
    </row>
    <row r="2570">
      <c r="A2570" t="inlineStr">
        <is>
          <t>Milho</t>
        </is>
      </c>
      <c r="B2570" t="inlineStr">
        <is>
          <t>Palmeira das Missões - RS</t>
        </is>
      </c>
      <c r="C2570" t="n">
        <v>-27.9007</v>
      </c>
      <c r="D2570" t="n">
        <v>-53.3134</v>
      </c>
      <c r="E2570" t="inlineStr">
        <is>
          <t>2022-07</t>
        </is>
      </c>
      <c r="F2570" t="n">
        <v>0</v>
      </c>
    </row>
    <row r="2571">
      <c r="A2571" t="inlineStr">
        <is>
          <t>Milho</t>
        </is>
      </c>
      <c r="B2571" t="inlineStr">
        <is>
          <t>Palmeira das Missões - RS</t>
        </is>
      </c>
      <c r="C2571" t="n">
        <v>-27.9007</v>
      </c>
      <c r="D2571" t="n">
        <v>-53.3134</v>
      </c>
      <c r="E2571" t="inlineStr">
        <is>
          <t>2022-08</t>
        </is>
      </c>
      <c r="F2571" t="n">
        <v>0</v>
      </c>
    </row>
    <row r="2572">
      <c r="A2572" t="inlineStr">
        <is>
          <t>Milho</t>
        </is>
      </c>
      <c r="B2572" t="inlineStr">
        <is>
          <t>Palmeira das Missões - RS</t>
        </is>
      </c>
      <c r="C2572" t="n">
        <v>-27.9007</v>
      </c>
      <c r="D2572" t="n">
        <v>-53.3134</v>
      </c>
      <c r="E2572" t="inlineStr">
        <is>
          <t>2022-09</t>
        </is>
      </c>
      <c r="F2572" t="n">
        <v>0</v>
      </c>
    </row>
    <row r="2573">
      <c r="A2573" t="inlineStr">
        <is>
          <t>Milho</t>
        </is>
      </c>
      <c r="B2573" t="inlineStr">
        <is>
          <t>Palmeira das Missões - RS</t>
        </is>
      </c>
      <c r="C2573" t="n">
        <v>-27.9007</v>
      </c>
      <c r="D2573" t="n">
        <v>-53.3134</v>
      </c>
      <c r="E2573" t="inlineStr">
        <is>
          <t>2022-10</t>
        </is>
      </c>
      <c r="F2573" t="n">
        <v>0</v>
      </c>
    </row>
    <row r="2574">
      <c r="A2574" t="inlineStr">
        <is>
          <t>Milho</t>
        </is>
      </c>
      <c r="B2574" t="inlineStr">
        <is>
          <t>Palmeira das Missões - RS</t>
        </is>
      </c>
      <c r="C2574" t="n">
        <v>-27.9007</v>
      </c>
      <c r="D2574" t="n">
        <v>-53.3134</v>
      </c>
      <c r="E2574" t="inlineStr">
        <is>
          <t>2022-11</t>
        </is>
      </c>
      <c r="F2574" t="n">
        <v>0</v>
      </c>
    </row>
    <row r="2575">
      <c r="A2575" t="inlineStr">
        <is>
          <t>Milho</t>
        </is>
      </c>
      <c r="B2575" t="inlineStr">
        <is>
          <t>Palmeira das Missões - RS</t>
        </is>
      </c>
      <c r="C2575" t="n">
        <v>-27.9007</v>
      </c>
      <c r="D2575" t="n">
        <v>-53.3134</v>
      </c>
      <c r="E2575" t="inlineStr">
        <is>
          <t>2022-12</t>
        </is>
      </c>
      <c r="F2575" t="n">
        <v>0</v>
      </c>
    </row>
    <row r="2576">
      <c r="A2576" t="inlineStr">
        <is>
          <t>Milho</t>
        </is>
      </c>
      <c r="B2576" t="inlineStr">
        <is>
          <t>Limoeiro de Anadia - AL</t>
        </is>
      </c>
      <c r="C2576" t="n">
        <v>-9.74098</v>
      </c>
      <c r="D2576" t="n">
        <v>-36.5121</v>
      </c>
      <c r="E2576" t="inlineStr">
        <is>
          <t>2023-01</t>
        </is>
      </c>
      <c r="F2576" t="n">
        <v>0</v>
      </c>
    </row>
    <row r="2577">
      <c r="A2577" t="inlineStr">
        <is>
          <t>Milho</t>
        </is>
      </c>
      <c r="B2577" t="inlineStr">
        <is>
          <t>Limoeiro de Anadia - AL</t>
        </is>
      </c>
      <c r="C2577" t="n">
        <v>-9.74098</v>
      </c>
      <c r="D2577" t="n">
        <v>-36.5121</v>
      </c>
      <c r="E2577" t="inlineStr">
        <is>
          <t>2023-02</t>
        </is>
      </c>
      <c r="F2577" t="n">
        <v>0</v>
      </c>
    </row>
    <row r="2578">
      <c r="A2578" t="inlineStr">
        <is>
          <t>Milho</t>
        </is>
      </c>
      <c r="B2578" t="inlineStr">
        <is>
          <t>Limoeiro de Anadia - AL</t>
        </is>
      </c>
      <c r="C2578" t="n">
        <v>-9.74098</v>
      </c>
      <c r="D2578" t="n">
        <v>-36.5121</v>
      </c>
      <c r="E2578" t="inlineStr">
        <is>
          <t>2023-03</t>
        </is>
      </c>
      <c r="F2578" t="n">
        <v>0</v>
      </c>
    </row>
    <row r="2579">
      <c r="A2579" t="inlineStr">
        <is>
          <t>Milho</t>
        </is>
      </c>
      <c r="B2579" t="inlineStr">
        <is>
          <t>Limoeiro de Anadia - AL</t>
        </is>
      </c>
      <c r="C2579" t="n">
        <v>-9.74098</v>
      </c>
      <c r="D2579" t="n">
        <v>-36.5121</v>
      </c>
      <c r="E2579" t="inlineStr">
        <is>
          <t>2023-04</t>
        </is>
      </c>
      <c r="F2579" t="n">
        <v>0</v>
      </c>
    </row>
    <row r="2580">
      <c r="A2580" t="inlineStr">
        <is>
          <t>Milho</t>
        </is>
      </c>
      <c r="B2580" t="inlineStr">
        <is>
          <t>Limoeiro de Anadia - AL</t>
        </is>
      </c>
      <c r="C2580" t="n">
        <v>-9.74098</v>
      </c>
      <c r="D2580" t="n">
        <v>-36.5121</v>
      </c>
      <c r="E2580" t="inlineStr">
        <is>
          <t>2023-05</t>
        </is>
      </c>
      <c r="F2580" t="n">
        <v>0</v>
      </c>
    </row>
    <row r="2581">
      <c r="A2581" t="inlineStr">
        <is>
          <t>Milho</t>
        </is>
      </c>
      <c r="B2581" t="inlineStr">
        <is>
          <t>Limoeiro de Anadia - AL</t>
        </is>
      </c>
      <c r="C2581" t="n">
        <v>-9.74098</v>
      </c>
      <c r="D2581" t="n">
        <v>-36.5121</v>
      </c>
      <c r="E2581" t="inlineStr">
        <is>
          <t>2023-06</t>
        </is>
      </c>
      <c r="F2581" t="n">
        <v>0</v>
      </c>
    </row>
    <row r="2582">
      <c r="A2582" t="inlineStr">
        <is>
          <t>Milho</t>
        </is>
      </c>
      <c r="B2582" t="inlineStr">
        <is>
          <t>Limoeiro de Anadia - AL</t>
        </is>
      </c>
      <c r="C2582" t="n">
        <v>-9.74098</v>
      </c>
      <c r="D2582" t="n">
        <v>-36.5121</v>
      </c>
      <c r="E2582" t="inlineStr">
        <is>
          <t>2022-07</t>
        </is>
      </c>
      <c r="F2582" t="n">
        <v>0</v>
      </c>
    </row>
    <row r="2583">
      <c r="A2583" t="inlineStr">
        <is>
          <t>Milho</t>
        </is>
      </c>
      <c r="B2583" t="inlineStr">
        <is>
          <t>Limoeiro de Anadia - AL</t>
        </is>
      </c>
      <c r="C2583" t="n">
        <v>-9.74098</v>
      </c>
      <c r="D2583" t="n">
        <v>-36.5121</v>
      </c>
      <c r="E2583" t="inlineStr">
        <is>
          <t>2022-08</t>
        </is>
      </c>
      <c r="F2583" t="n">
        <v>17008.00191524284</v>
      </c>
    </row>
    <row r="2584">
      <c r="A2584" t="inlineStr">
        <is>
          <t>Milho</t>
        </is>
      </c>
      <c r="B2584" t="inlineStr">
        <is>
          <t>Limoeiro de Anadia - AL</t>
        </is>
      </c>
      <c r="C2584" t="n">
        <v>-9.74098</v>
      </c>
      <c r="D2584" t="n">
        <v>-36.5121</v>
      </c>
      <c r="E2584" t="inlineStr">
        <is>
          <t>2022-09</t>
        </is>
      </c>
      <c r="F2584" t="n">
        <v>18581.89490399712</v>
      </c>
    </row>
    <row r="2585">
      <c r="A2585" t="inlineStr">
        <is>
          <t>Milho</t>
        </is>
      </c>
      <c r="B2585" t="inlineStr">
        <is>
          <t>Limoeiro de Anadia - AL</t>
        </is>
      </c>
      <c r="C2585" t="n">
        <v>-9.74098</v>
      </c>
      <c r="D2585" t="n">
        <v>-36.5121</v>
      </c>
      <c r="E2585" t="inlineStr">
        <is>
          <t>2022-10</t>
        </is>
      </c>
      <c r="F2585" t="n">
        <v>140987.6593105103</v>
      </c>
    </row>
    <row r="2586">
      <c r="A2586" t="inlineStr">
        <is>
          <t>Milho</t>
        </is>
      </c>
      <c r="B2586" t="inlineStr">
        <is>
          <t>Limoeiro de Anadia - AL</t>
        </is>
      </c>
      <c r="C2586" t="n">
        <v>-9.74098</v>
      </c>
      <c r="D2586" t="n">
        <v>-36.5121</v>
      </c>
      <c r="E2586" t="inlineStr">
        <is>
          <t>2022-11</t>
        </is>
      </c>
      <c r="F2586" t="n">
        <v>217150.6838131068</v>
      </c>
    </row>
    <row r="2587">
      <c r="A2587" t="inlineStr">
        <is>
          <t>Milho</t>
        </is>
      </c>
      <c r="B2587" t="inlineStr">
        <is>
          <t>Limoeiro de Anadia - AL</t>
        </is>
      </c>
      <c r="C2587" t="n">
        <v>-9.74098</v>
      </c>
      <c r="D2587" t="n">
        <v>-36.5121</v>
      </c>
      <c r="E2587" t="inlineStr">
        <is>
          <t>2022-12</t>
        </is>
      </c>
      <c r="F2587" t="n">
        <v>105935.369817799</v>
      </c>
    </row>
    <row r="2588">
      <c r="A2588" t="inlineStr">
        <is>
          <t>Milho</t>
        </is>
      </c>
      <c r="B2588" t="inlineStr">
        <is>
          <t>Macapá - AP</t>
        </is>
      </c>
      <c r="C2588" t="n">
        <v>0.034934</v>
      </c>
      <c r="D2588" t="n">
        <v>-51.0694</v>
      </c>
      <c r="E2588" t="inlineStr">
        <is>
          <t>2023-01</t>
        </is>
      </c>
      <c r="F2588" t="n">
        <v>0</v>
      </c>
    </row>
    <row r="2589">
      <c r="A2589" t="inlineStr">
        <is>
          <t>Milho</t>
        </is>
      </c>
      <c r="B2589" t="inlineStr">
        <is>
          <t>Macapá - AP</t>
        </is>
      </c>
      <c r="C2589" t="n">
        <v>0.034934</v>
      </c>
      <c r="D2589" t="n">
        <v>-51.0694</v>
      </c>
      <c r="E2589" t="inlineStr">
        <is>
          <t>2023-02</t>
        </is>
      </c>
      <c r="F2589" t="n">
        <v>0</v>
      </c>
    </row>
    <row r="2590">
      <c r="A2590" t="inlineStr">
        <is>
          <t>Milho</t>
        </is>
      </c>
      <c r="B2590" t="inlineStr">
        <is>
          <t>Macapá - AP</t>
        </is>
      </c>
      <c r="C2590" t="n">
        <v>0.034934</v>
      </c>
      <c r="D2590" t="n">
        <v>-51.0694</v>
      </c>
      <c r="E2590" t="inlineStr">
        <is>
          <t>2023-03</t>
        </is>
      </c>
      <c r="F2590" t="n">
        <v>0</v>
      </c>
    </row>
    <row r="2591">
      <c r="A2591" t="inlineStr">
        <is>
          <t>Milho</t>
        </is>
      </c>
      <c r="B2591" t="inlineStr">
        <is>
          <t>Macapá - AP</t>
        </is>
      </c>
      <c r="C2591" t="n">
        <v>0.034934</v>
      </c>
      <c r="D2591" t="n">
        <v>-51.0694</v>
      </c>
      <c r="E2591" t="inlineStr">
        <is>
          <t>2023-04</t>
        </is>
      </c>
      <c r="F2591" t="n">
        <v>293.1955011527288</v>
      </c>
    </row>
    <row r="2592">
      <c r="A2592" t="inlineStr">
        <is>
          <t>Milho</t>
        </is>
      </c>
      <c r="B2592" t="inlineStr">
        <is>
          <t>Macapá - AP</t>
        </is>
      </c>
      <c r="C2592" t="n">
        <v>0.034934</v>
      </c>
      <c r="D2592" t="n">
        <v>-51.0694</v>
      </c>
      <c r="E2592" t="inlineStr">
        <is>
          <t>2023-05</t>
        </is>
      </c>
      <c r="F2592" t="n">
        <v>588.8451992172753</v>
      </c>
    </row>
    <row r="2593">
      <c r="A2593" t="inlineStr">
        <is>
          <t>Milho</t>
        </is>
      </c>
      <c r="B2593" t="inlineStr">
        <is>
          <t>Macapá - AP</t>
        </is>
      </c>
      <c r="C2593" t="n">
        <v>0.034934</v>
      </c>
      <c r="D2593" t="n">
        <v>-51.0694</v>
      </c>
      <c r="E2593" t="inlineStr">
        <is>
          <t>2023-06</t>
        </is>
      </c>
      <c r="F2593" t="n">
        <v>523.8213261339851</v>
      </c>
    </row>
    <row r="2594">
      <c r="A2594" t="inlineStr">
        <is>
          <t>Milho</t>
        </is>
      </c>
      <c r="B2594" t="inlineStr">
        <is>
          <t>Macapá - AP</t>
        </is>
      </c>
      <c r="C2594" t="n">
        <v>0.034934</v>
      </c>
      <c r="D2594" t="n">
        <v>-51.0694</v>
      </c>
      <c r="E2594" t="inlineStr">
        <is>
          <t>2022-07</t>
        </is>
      </c>
      <c r="F2594" t="n">
        <v>309.3783394853948</v>
      </c>
    </row>
    <row r="2595">
      <c r="A2595" t="inlineStr">
        <is>
          <t>Milho</t>
        </is>
      </c>
      <c r="B2595" t="inlineStr">
        <is>
          <t>Macapá - AP</t>
        </is>
      </c>
      <c r="C2595" t="n">
        <v>0.034934</v>
      </c>
      <c r="D2595" t="n">
        <v>-51.0694</v>
      </c>
      <c r="E2595" t="inlineStr">
        <is>
          <t>2022-08</t>
        </is>
      </c>
      <c r="F2595" t="n">
        <v>185.0287124960665</v>
      </c>
    </row>
    <row r="2596">
      <c r="A2596" t="inlineStr">
        <is>
          <t>Milho</t>
        </is>
      </c>
      <c r="B2596" t="inlineStr">
        <is>
          <t>Macapá - AP</t>
        </is>
      </c>
      <c r="C2596" t="n">
        <v>0.034934</v>
      </c>
      <c r="D2596" t="n">
        <v>-51.0694</v>
      </c>
      <c r="E2596" t="inlineStr">
        <is>
          <t>2022-09</t>
        </is>
      </c>
      <c r="F2596" t="n">
        <v>0</v>
      </c>
    </row>
    <row r="2597">
      <c r="A2597" t="inlineStr">
        <is>
          <t>Milho</t>
        </is>
      </c>
      <c r="B2597" t="inlineStr">
        <is>
          <t>Macapá - AP</t>
        </is>
      </c>
      <c r="C2597" t="n">
        <v>0.034934</v>
      </c>
      <c r="D2597" t="n">
        <v>-51.0694</v>
      </c>
      <c r="E2597" t="inlineStr">
        <is>
          <t>2022-10</t>
        </is>
      </c>
      <c r="F2597" t="n">
        <v>0</v>
      </c>
    </row>
    <row r="2598">
      <c r="A2598" t="inlineStr">
        <is>
          <t>Milho</t>
        </is>
      </c>
      <c r="B2598" t="inlineStr">
        <is>
          <t>Macapá - AP</t>
        </is>
      </c>
      <c r="C2598" t="n">
        <v>0.034934</v>
      </c>
      <c r="D2598" t="n">
        <v>-51.0694</v>
      </c>
      <c r="E2598" t="inlineStr">
        <is>
          <t>2022-11</t>
        </is>
      </c>
      <c r="F2598" t="n">
        <v>0</v>
      </c>
    </row>
    <row r="2599">
      <c r="A2599" t="inlineStr">
        <is>
          <t>Milho</t>
        </is>
      </c>
      <c r="B2599" t="inlineStr">
        <is>
          <t>Macapá - AP</t>
        </is>
      </c>
      <c r="C2599" t="n">
        <v>0.034934</v>
      </c>
      <c r="D2599" t="n">
        <v>-51.0694</v>
      </c>
      <c r="E2599" t="inlineStr">
        <is>
          <t>2022-12</t>
        </is>
      </c>
      <c r="F2599" t="n">
        <v>0</v>
      </c>
    </row>
    <row r="2600">
      <c r="A2600" t="inlineStr">
        <is>
          <t>Milho</t>
        </is>
      </c>
      <c r="B2600" t="inlineStr">
        <is>
          <t>Correntina - BA</t>
        </is>
      </c>
      <c r="C2600" t="n">
        <v>-13.3477</v>
      </c>
      <c r="D2600" t="n">
        <v>-44.6333</v>
      </c>
      <c r="E2600" t="inlineStr">
        <is>
          <t>2023-01</t>
        </is>
      </c>
      <c r="F2600" t="n">
        <v>0</v>
      </c>
    </row>
    <row r="2601">
      <c r="A2601" t="inlineStr">
        <is>
          <t>Milho</t>
        </is>
      </c>
      <c r="B2601" t="inlineStr">
        <is>
          <t>Correntina - BA</t>
        </is>
      </c>
      <c r="C2601" t="n">
        <v>-13.3477</v>
      </c>
      <c r="D2601" t="n">
        <v>-44.6333</v>
      </c>
      <c r="E2601" t="inlineStr">
        <is>
          <t>2023-02</t>
        </is>
      </c>
      <c r="F2601" t="n">
        <v>0</v>
      </c>
    </row>
    <row r="2602">
      <c r="A2602" t="inlineStr">
        <is>
          <t>Milho</t>
        </is>
      </c>
      <c r="B2602" t="inlineStr">
        <is>
          <t>Correntina - BA</t>
        </is>
      </c>
      <c r="C2602" t="n">
        <v>-13.3477</v>
      </c>
      <c r="D2602" t="n">
        <v>-44.6333</v>
      </c>
      <c r="E2602" t="inlineStr">
        <is>
          <t>2023-03</t>
        </is>
      </c>
      <c r="F2602" t="n">
        <v>0</v>
      </c>
    </row>
    <row r="2603">
      <c r="A2603" t="inlineStr">
        <is>
          <t>Milho</t>
        </is>
      </c>
      <c r="B2603" t="inlineStr">
        <is>
          <t>Correntina - BA</t>
        </is>
      </c>
      <c r="C2603" t="n">
        <v>-13.3477</v>
      </c>
      <c r="D2603" t="n">
        <v>-44.6333</v>
      </c>
      <c r="E2603" t="inlineStr">
        <is>
          <t>2023-04</t>
        </is>
      </c>
      <c r="F2603" t="n">
        <v>0</v>
      </c>
    </row>
    <row r="2604">
      <c r="A2604" t="inlineStr">
        <is>
          <t>Milho</t>
        </is>
      </c>
      <c r="B2604" t="inlineStr">
        <is>
          <t>Correntina - BA</t>
        </is>
      </c>
      <c r="C2604" t="n">
        <v>-13.3477</v>
      </c>
      <c r="D2604" t="n">
        <v>-44.6333</v>
      </c>
      <c r="E2604" t="inlineStr">
        <is>
          <t>2023-05</t>
        </is>
      </c>
      <c r="F2604" t="n">
        <v>0</v>
      </c>
    </row>
    <row r="2605">
      <c r="A2605" t="inlineStr">
        <is>
          <t>Milho</t>
        </is>
      </c>
      <c r="B2605" t="inlineStr">
        <is>
          <t>Correntina - BA</t>
        </is>
      </c>
      <c r="C2605" t="n">
        <v>-13.3477</v>
      </c>
      <c r="D2605" t="n">
        <v>-44.6333</v>
      </c>
      <c r="E2605" t="inlineStr">
        <is>
          <t>2023-06</t>
        </is>
      </c>
      <c r="F2605" t="n">
        <v>0</v>
      </c>
    </row>
    <row r="2606">
      <c r="A2606" t="inlineStr">
        <is>
          <t>Milho</t>
        </is>
      </c>
      <c r="B2606" t="inlineStr">
        <is>
          <t>Correntina - BA</t>
        </is>
      </c>
      <c r="C2606" t="n">
        <v>-13.3477</v>
      </c>
      <c r="D2606" t="n">
        <v>-44.6333</v>
      </c>
      <c r="E2606" t="inlineStr">
        <is>
          <t>2022-07</t>
        </is>
      </c>
      <c r="F2606" t="n">
        <v>0</v>
      </c>
    </row>
    <row r="2607">
      <c r="A2607" t="inlineStr">
        <is>
          <t>Milho</t>
        </is>
      </c>
      <c r="B2607" t="inlineStr">
        <is>
          <t>Correntina - BA</t>
        </is>
      </c>
      <c r="C2607" t="n">
        <v>-13.3477</v>
      </c>
      <c r="D2607" t="n">
        <v>-44.6333</v>
      </c>
      <c r="E2607" t="inlineStr">
        <is>
          <t>2022-08</t>
        </is>
      </c>
      <c r="F2607" t="n">
        <v>82531.64003538075</v>
      </c>
    </row>
    <row r="2608">
      <c r="A2608" t="inlineStr">
        <is>
          <t>Milho</t>
        </is>
      </c>
      <c r="B2608" t="inlineStr">
        <is>
          <t>Correntina - BA</t>
        </is>
      </c>
      <c r="C2608" t="n">
        <v>-13.3477</v>
      </c>
      <c r="D2608" t="n">
        <v>-44.6333</v>
      </c>
      <c r="E2608" t="inlineStr">
        <is>
          <t>2022-09</t>
        </is>
      </c>
      <c r="F2608" t="n">
        <v>180337.969037684</v>
      </c>
    </row>
    <row r="2609">
      <c r="A2609" t="inlineStr">
        <is>
          <t>Milho</t>
        </is>
      </c>
      <c r="B2609" t="inlineStr">
        <is>
          <t>Correntina - BA</t>
        </is>
      </c>
      <c r="C2609" t="n">
        <v>-13.3477</v>
      </c>
      <c r="D2609" t="n">
        <v>-44.6333</v>
      </c>
      <c r="E2609" t="inlineStr">
        <is>
          <t>2022-10</t>
        </is>
      </c>
      <c r="F2609" t="n">
        <v>1368290.38538826</v>
      </c>
    </row>
    <row r="2610">
      <c r="A2610" t="inlineStr">
        <is>
          <t>Milho</t>
        </is>
      </c>
      <c r="B2610" t="inlineStr">
        <is>
          <t>Correntina - BA</t>
        </is>
      </c>
      <c r="C2610" t="n">
        <v>-13.3477</v>
      </c>
      <c r="D2610" t="n">
        <v>-44.6333</v>
      </c>
      <c r="E2610" t="inlineStr">
        <is>
          <t>2022-11</t>
        </is>
      </c>
      <c r="F2610" t="n">
        <v>2107455.321231863</v>
      </c>
    </row>
    <row r="2611">
      <c r="A2611" t="inlineStr">
        <is>
          <t>Milho</t>
        </is>
      </c>
      <c r="B2611" t="inlineStr">
        <is>
          <t>Correntina - BA</t>
        </is>
      </c>
      <c r="C2611" t="n">
        <v>-13.3477</v>
      </c>
      <c r="D2611" t="n">
        <v>-44.6333</v>
      </c>
      <c r="E2611" t="inlineStr">
        <is>
          <t>2022-12</t>
        </is>
      </c>
      <c r="F2611" t="n">
        <v>0</v>
      </c>
    </row>
    <row r="2612">
      <c r="A2612" t="inlineStr">
        <is>
          <t>Milho</t>
        </is>
      </c>
      <c r="B2612" t="inlineStr">
        <is>
          <t>Crateús - CE</t>
        </is>
      </c>
      <c r="C2612" t="n">
        <v>-5.16768</v>
      </c>
      <c r="D2612" t="n">
        <v>-40.6536</v>
      </c>
      <c r="E2612" t="inlineStr">
        <is>
          <t>2023-01</t>
        </is>
      </c>
      <c r="F2612" t="n">
        <v>0</v>
      </c>
    </row>
    <row r="2613">
      <c r="A2613" t="inlineStr">
        <is>
          <t>Milho</t>
        </is>
      </c>
      <c r="B2613" t="inlineStr">
        <is>
          <t>Crateús - CE</t>
        </is>
      </c>
      <c r="C2613" t="n">
        <v>-5.16768</v>
      </c>
      <c r="D2613" t="n">
        <v>-40.6536</v>
      </c>
      <c r="E2613" t="inlineStr">
        <is>
          <t>2023-02</t>
        </is>
      </c>
      <c r="F2613" t="n">
        <v>0</v>
      </c>
    </row>
    <row r="2614">
      <c r="A2614" t="inlineStr">
        <is>
          <t>Milho</t>
        </is>
      </c>
      <c r="B2614" t="inlineStr">
        <is>
          <t>Crateús - CE</t>
        </is>
      </c>
      <c r="C2614" t="n">
        <v>-5.16768</v>
      </c>
      <c r="D2614" t="n">
        <v>-40.6536</v>
      </c>
      <c r="E2614" t="inlineStr">
        <is>
          <t>2023-03</t>
        </is>
      </c>
      <c r="F2614" t="n">
        <v>0</v>
      </c>
    </row>
    <row r="2615">
      <c r="A2615" t="inlineStr">
        <is>
          <t>Milho</t>
        </is>
      </c>
      <c r="B2615" t="inlineStr">
        <is>
          <t>Crateús - CE</t>
        </is>
      </c>
      <c r="C2615" t="n">
        <v>-5.16768</v>
      </c>
      <c r="D2615" t="n">
        <v>-40.6536</v>
      </c>
      <c r="E2615" t="inlineStr">
        <is>
          <t>2023-04</t>
        </is>
      </c>
      <c r="F2615" t="n">
        <v>0</v>
      </c>
    </row>
    <row r="2616">
      <c r="A2616" t="inlineStr">
        <is>
          <t>Milho</t>
        </is>
      </c>
      <c r="B2616" t="inlineStr">
        <is>
          <t>Crateús - CE</t>
        </is>
      </c>
      <c r="C2616" t="n">
        <v>-5.16768</v>
      </c>
      <c r="D2616" t="n">
        <v>-40.6536</v>
      </c>
      <c r="E2616" t="inlineStr">
        <is>
          <t>2023-05</t>
        </is>
      </c>
      <c r="F2616" t="n">
        <v>0</v>
      </c>
    </row>
    <row r="2617">
      <c r="A2617" t="inlineStr">
        <is>
          <t>Milho</t>
        </is>
      </c>
      <c r="B2617" t="inlineStr">
        <is>
          <t>Crateús - CE</t>
        </is>
      </c>
      <c r="C2617" t="n">
        <v>-5.16768</v>
      </c>
      <c r="D2617" t="n">
        <v>-40.6536</v>
      </c>
      <c r="E2617" t="inlineStr">
        <is>
          <t>2023-06</t>
        </is>
      </c>
      <c r="F2617" t="n">
        <v>0</v>
      </c>
    </row>
    <row r="2618">
      <c r="A2618" t="inlineStr">
        <is>
          <t>Milho</t>
        </is>
      </c>
      <c r="B2618" t="inlineStr">
        <is>
          <t>Crateús - CE</t>
        </is>
      </c>
      <c r="C2618" t="n">
        <v>-5.16768</v>
      </c>
      <c r="D2618" t="n">
        <v>-40.6536</v>
      </c>
      <c r="E2618" t="inlineStr">
        <is>
          <t>2022-07</t>
        </is>
      </c>
      <c r="F2618" t="n">
        <v>0</v>
      </c>
    </row>
    <row r="2619">
      <c r="A2619" t="inlineStr">
        <is>
          <t>Milho</t>
        </is>
      </c>
      <c r="B2619" t="inlineStr">
        <is>
          <t>Crateús - CE</t>
        </is>
      </c>
      <c r="C2619" t="n">
        <v>-5.16768</v>
      </c>
      <c r="D2619" t="n">
        <v>-40.6536</v>
      </c>
      <c r="E2619" t="inlineStr">
        <is>
          <t>2022-08</t>
        </is>
      </c>
      <c r="F2619" t="n">
        <v>0</v>
      </c>
    </row>
    <row r="2620">
      <c r="A2620" t="inlineStr">
        <is>
          <t>Milho</t>
        </is>
      </c>
      <c r="B2620" t="inlineStr">
        <is>
          <t>Crateús - CE</t>
        </is>
      </c>
      <c r="C2620" t="n">
        <v>-5.16768</v>
      </c>
      <c r="D2620" t="n">
        <v>-40.6536</v>
      </c>
      <c r="E2620" t="inlineStr">
        <is>
          <t>2022-09</t>
        </is>
      </c>
      <c r="F2620" t="n">
        <v>0</v>
      </c>
    </row>
    <row r="2621">
      <c r="A2621" t="inlineStr">
        <is>
          <t>Milho</t>
        </is>
      </c>
      <c r="B2621" t="inlineStr">
        <is>
          <t>Crateús - CE</t>
        </is>
      </c>
      <c r="C2621" t="n">
        <v>-5.16768</v>
      </c>
      <c r="D2621" t="n">
        <v>-40.6536</v>
      </c>
      <c r="E2621" t="inlineStr">
        <is>
          <t>2022-10</t>
        </is>
      </c>
      <c r="F2621" t="n">
        <v>0</v>
      </c>
    </row>
    <row r="2622">
      <c r="A2622" t="inlineStr">
        <is>
          <t>Milho</t>
        </is>
      </c>
      <c r="B2622" t="inlineStr">
        <is>
          <t>Crateús - CE</t>
        </is>
      </c>
      <c r="C2622" t="n">
        <v>-5.16768</v>
      </c>
      <c r="D2622" t="n">
        <v>-40.6536</v>
      </c>
      <c r="E2622" t="inlineStr">
        <is>
          <t>2022-11</t>
        </is>
      </c>
      <c r="F2622" t="n">
        <v>0</v>
      </c>
    </row>
    <row r="2623">
      <c r="A2623" t="inlineStr">
        <is>
          <t>Milho</t>
        </is>
      </c>
      <c r="B2623" t="inlineStr">
        <is>
          <t>Crateús - CE</t>
        </is>
      </c>
      <c r="C2623" t="n">
        <v>-5.16768</v>
      </c>
      <c r="D2623" t="n">
        <v>-40.6536</v>
      </c>
      <c r="E2623" t="inlineStr">
        <is>
          <t>2022-12</t>
        </is>
      </c>
      <c r="F2623" t="n">
        <v>0</v>
      </c>
    </row>
    <row r="2624">
      <c r="A2624" t="inlineStr">
        <is>
          <t>Milho</t>
        </is>
      </c>
      <c r="B2624" t="inlineStr">
        <is>
          <t>Brasília - DF</t>
        </is>
      </c>
      <c r="C2624" t="n">
        <v>-15.7795</v>
      </c>
      <c r="D2624" t="n">
        <v>-47.9297</v>
      </c>
      <c r="E2624" t="inlineStr">
        <is>
          <t>2023-01</t>
        </is>
      </c>
      <c r="F2624" t="n">
        <v>0</v>
      </c>
    </row>
    <row r="2625">
      <c r="A2625" t="inlineStr">
        <is>
          <t>Milho</t>
        </is>
      </c>
      <c r="B2625" t="inlineStr">
        <is>
          <t>Brasília - DF</t>
        </is>
      </c>
      <c r="C2625" t="n">
        <v>-15.7795</v>
      </c>
      <c r="D2625" t="n">
        <v>-47.9297</v>
      </c>
      <c r="E2625" t="inlineStr">
        <is>
          <t>2023-02</t>
        </is>
      </c>
      <c r="F2625" t="n">
        <v>0</v>
      </c>
    </row>
    <row r="2626">
      <c r="A2626" t="inlineStr">
        <is>
          <t>Milho</t>
        </is>
      </c>
      <c r="B2626" t="inlineStr">
        <is>
          <t>Brasília - DF</t>
        </is>
      </c>
      <c r="C2626" t="n">
        <v>-15.7795</v>
      </c>
      <c r="D2626" t="n">
        <v>-47.9297</v>
      </c>
      <c r="E2626" t="inlineStr">
        <is>
          <t>2023-03</t>
        </is>
      </c>
      <c r="F2626" t="n">
        <v>0</v>
      </c>
    </row>
    <row r="2627">
      <c r="A2627" t="inlineStr">
        <is>
          <t>Milho</t>
        </is>
      </c>
      <c r="B2627" t="inlineStr">
        <is>
          <t>Brasília - DF</t>
        </is>
      </c>
      <c r="C2627" t="n">
        <v>-15.7795</v>
      </c>
      <c r="D2627" t="n">
        <v>-47.9297</v>
      </c>
      <c r="E2627" t="inlineStr">
        <is>
          <t>2023-04</t>
        </is>
      </c>
      <c r="F2627" t="n">
        <v>0</v>
      </c>
    </row>
    <row r="2628">
      <c r="A2628" t="inlineStr">
        <is>
          <t>Milho</t>
        </is>
      </c>
      <c r="B2628" t="inlineStr">
        <is>
          <t>Brasília - DF</t>
        </is>
      </c>
      <c r="C2628" t="n">
        <v>-15.7795</v>
      </c>
      <c r="D2628" t="n">
        <v>-47.9297</v>
      </c>
      <c r="E2628" t="inlineStr">
        <is>
          <t>2023-05</t>
        </is>
      </c>
      <c r="F2628" t="n">
        <v>0</v>
      </c>
    </row>
    <row r="2629">
      <c r="A2629" t="inlineStr">
        <is>
          <t>Milho</t>
        </is>
      </c>
      <c r="B2629" t="inlineStr">
        <is>
          <t>Brasília - DF</t>
        </is>
      </c>
      <c r="C2629" t="n">
        <v>-15.7795</v>
      </c>
      <c r="D2629" t="n">
        <v>-47.9297</v>
      </c>
      <c r="E2629" t="inlineStr">
        <is>
          <t>2023-06</t>
        </is>
      </c>
      <c r="F2629" t="n">
        <v>0</v>
      </c>
    </row>
    <row r="2630">
      <c r="A2630" t="inlineStr">
        <is>
          <t>Milho</t>
        </is>
      </c>
      <c r="B2630" t="inlineStr">
        <is>
          <t>Brasília - DF</t>
        </is>
      </c>
      <c r="C2630" t="n">
        <v>-15.7795</v>
      </c>
      <c r="D2630" t="n">
        <v>-47.9297</v>
      </c>
      <c r="E2630" t="inlineStr">
        <is>
          <t>2022-07</t>
        </is>
      </c>
      <c r="F2630" t="n">
        <v>0</v>
      </c>
    </row>
    <row r="2631">
      <c r="A2631" t="inlineStr">
        <is>
          <t>Milho</t>
        </is>
      </c>
      <c r="B2631" t="inlineStr">
        <is>
          <t>Brasília - DF</t>
        </is>
      </c>
      <c r="C2631" t="n">
        <v>-15.7795</v>
      </c>
      <c r="D2631" t="n">
        <v>-47.9297</v>
      </c>
      <c r="E2631" t="inlineStr">
        <is>
          <t>2022-08</t>
        </is>
      </c>
      <c r="F2631" t="n">
        <v>0</v>
      </c>
    </row>
    <row r="2632">
      <c r="A2632" t="inlineStr">
        <is>
          <t>Milho</t>
        </is>
      </c>
      <c r="B2632" t="inlineStr">
        <is>
          <t>Brasília - DF</t>
        </is>
      </c>
      <c r="C2632" t="n">
        <v>-15.7795</v>
      </c>
      <c r="D2632" t="n">
        <v>-47.9297</v>
      </c>
      <c r="E2632" t="inlineStr">
        <is>
          <t>2022-09</t>
        </is>
      </c>
      <c r="F2632" t="n">
        <v>0</v>
      </c>
    </row>
    <row r="2633">
      <c r="A2633" t="inlineStr">
        <is>
          <t>Milho</t>
        </is>
      </c>
      <c r="B2633" t="inlineStr">
        <is>
          <t>Brasília - DF</t>
        </is>
      </c>
      <c r="C2633" t="n">
        <v>-15.7795</v>
      </c>
      <c r="D2633" t="n">
        <v>-47.9297</v>
      </c>
      <c r="E2633" t="inlineStr">
        <is>
          <t>2022-10</t>
        </is>
      </c>
      <c r="F2633" t="n">
        <v>0</v>
      </c>
    </row>
    <row r="2634">
      <c r="A2634" t="inlineStr">
        <is>
          <t>Milho</t>
        </is>
      </c>
      <c r="B2634" t="inlineStr">
        <is>
          <t>Brasília - DF</t>
        </is>
      </c>
      <c r="C2634" t="n">
        <v>-15.7795</v>
      </c>
      <c r="D2634" t="n">
        <v>-47.9297</v>
      </c>
      <c r="E2634" t="inlineStr">
        <is>
          <t>2022-11</t>
        </is>
      </c>
      <c r="F2634" t="n">
        <v>0</v>
      </c>
    </row>
    <row r="2635">
      <c r="A2635" t="inlineStr">
        <is>
          <t>Milho</t>
        </is>
      </c>
      <c r="B2635" t="inlineStr">
        <is>
          <t>Brasília - DF</t>
        </is>
      </c>
      <c r="C2635" t="n">
        <v>-15.7795</v>
      </c>
      <c r="D2635" t="n">
        <v>-47.9297</v>
      </c>
      <c r="E2635" t="inlineStr">
        <is>
          <t>2022-12</t>
        </is>
      </c>
      <c r="F2635" t="n">
        <v>0</v>
      </c>
    </row>
    <row r="2636">
      <c r="A2636" t="inlineStr">
        <is>
          <t>Milho</t>
        </is>
      </c>
      <c r="B2636" t="inlineStr">
        <is>
          <t>Pinheiros - ES</t>
        </is>
      </c>
      <c r="C2636" t="n">
        <v>-18.4141</v>
      </c>
      <c r="D2636" t="n">
        <v>-40.2171</v>
      </c>
      <c r="E2636" t="inlineStr">
        <is>
          <t>2023-01</t>
        </is>
      </c>
      <c r="F2636" t="n">
        <v>0</v>
      </c>
    </row>
    <row r="2637">
      <c r="A2637" t="inlineStr">
        <is>
          <t>Milho</t>
        </is>
      </c>
      <c r="B2637" t="inlineStr">
        <is>
          <t>Pinheiros - ES</t>
        </is>
      </c>
      <c r="C2637" t="n">
        <v>-18.4141</v>
      </c>
      <c r="D2637" t="n">
        <v>-40.2171</v>
      </c>
      <c r="E2637" t="inlineStr">
        <is>
          <t>2023-02</t>
        </is>
      </c>
      <c r="F2637" t="n">
        <v>0</v>
      </c>
    </row>
    <row r="2638">
      <c r="A2638" t="inlineStr">
        <is>
          <t>Milho</t>
        </is>
      </c>
      <c r="B2638" t="inlineStr">
        <is>
          <t>Pinheiros - ES</t>
        </is>
      </c>
      <c r="C2638" t="n">
        <v>-18.4141</v>
      </c>
      <c r="D2638" t="n">
        <v>-40.2171</v>
      </c>
      <c r="E2638" t="inlineStr">
        <is>
          <t>2023-03</t>
        </is>
      </c>
      <c r="F2638" t="n">
        <v>0</v>
      </c>
    </row>
    <row r="2639">
      <c r="A2639" t="inlineStr">
        <is>
          <t>Milho</t>
        </is>
      </c>
      <c r="B2639" t="inlineStr">
        <is>
          <t>Pinheiros - ES</t>
        </is>
      </c>
      <c r="C2639" t="n">
        <v>-18.4141</v>
      </c>
      <c r="D2639" t="n">
        <v>-40.2171</v>
      </c>
      <c r="E2639" t="inlineStr">
        <is>
          <t>2023-04</t>
        </is>
      </c>
      <c r="F2639" t="n">
        <v>0</v>
      </c>
    </row>
    <row r="2640">
      <c r="A2640" t="inlineStr">
        <is>
          <t>Milho</t>
        </is>
      </c>
      <c r="B2640" t="inlineStr">
        <is>
          <t>Pinheiros - ES</t>
        </is>
      </c>
      <c r="C2640" t="n">
        <v>-18.4141</v>
      </c>
      <c r="D2640" t="n">
        <v>-40.2171</v>
      </c>
      <c r="E2640" t="inlineStr">
        <is>
          <t>2023-05</t>
        </is>
      </c>
      <c r="F2640" t="n">
        <v>0</v>
      </c>
    </row>
    <row r="2641">
      <c r="A2641" t="inlineStr">
        <is>
          <t>Milho</t>
        </is>
      </c>
      <c r="B2641" t="inlineStr">
        <is>
          <t>Pinheiros - ES</t>
        </is>
      </c>
      <c r="C2641" t="n">
        <v>-18.4141</v>
      </c>
      <c r="D2641" t="n">
        <v>-40.2171</v>
      </c>
      <c r="E2641" t="inlineStr">
        <is>
          <t>2023-06</t>
        </is>
      </c>
      <c r="F2641" t="n">
        <v>0</v>
      </c>
    </row>
    <row r="2642">
      <c r="A2642" t="inlineStr">
        <is>
          <t>Milho</t>
        </is>
      </c>
      <c r="B2642" t="inlineStr">
        <is>
          <t>Pinheiros - ES</t>
        </is>
      </c>
      <c r="C2642" t="n">
        <v>-18.4141</v>
      </c>
      <c r="D2642" t="n">
        <v>-40.2171</v>
      </c>
      <c r="E2642" t="inlineStr">
        <is>
          <t>2022-07</t>
        </is>
      </c>
      <c r="F2642" t="n">
        <v>0</v>
      </c>
    </row>
    <row r="2643">
      <c r="A2643" t="inlineStr">
        <is>
          <t>Milho</t>
        </is>
      </c>
      <c r="B2643" t="inlineStr">
        <is>
          <t>Pinheiros - ES</t>
        </is>
      </c>
      <c r="C2643" t="n">
        <v>-18.4141</v>
      </c>
      <c r="D2643" t="n">
        <v>-40.2171</v>
      </c>
      <c r="E2643" t="inlineStr">
        <is>
          <t>2022-08</t>
        </is>
      </c>
      <c r="F2643" t="n">
        <v>0</v>
      </c>
    </row>
    <row r="2644">
      <c r="A2644" t="inlineStr">
        <is>
          <t>Milho</t>
        </is>
      </c>
      <c r="B2644" t="inlineStr">
        <is>
          <t>Pinheiros - ES</t>
        </is>
      </c>
      <c r="C2644" t="n">
        <v>-18.4141</v>
      </c>
      <c r="D2644" t="n">
        <v>-40.2171</v>
      </c>
      <c r="E2644" t="inlineStr">
        <is>
          <t>2022-09</t>
        </is>
      </c>
      <c r="F2644" t="n">
        <v>0</v>
      </c>
    </row>
    <row r="2645">
      <c r="A2645" t="inlineStr">
        <is>
          <t>Milho</t>
        </is>
      </c>
      <c r="B2645" t="inlineStr">
        <is>
          <t>Pinheiros - ES</t>
        </is>
      </c>
      <c r="C2645" t="n">
        <v>-18.4141</v>
      </c>
      <c r="D2645" t="n">
        <v>-40.2171</v>
      </c>
      <c r="E2645" t="inlineStr">
        <is>
          <t>2022-10</t>
        </is>
      </c>
      <c r="F2645" t="n">
        <v>0</v>
      </c>
    </row>
    <row r="2646">
      <c r="A2646" t="inlineStr">
        <is>
          <t>Milho</t>
        </is>
      </c>
      <c r="B2646" t="inlineStr">
        <is>
          <t>Pinheiros - ES</t>
        </is>
      </c>
      <c r="C2646" t="n">
        <v>-18.4141</v>
      </c>
      <c r="D2646" t="n">
        <v>-40.2171</v>
      </c>
      <c r="E2646" t="inlineStr">
        <is>
          <t>2022-11</t>
        </is>
      </c>
      <c r="F2646" t="n">
        <v>0</v>
      </c>
    </row>
    <row r="2647">
      <c r="A2647" t="inlineStr">
        <is>
          <t>Milho</t>
        </is>
      </c>
      <c r="B2647" t="inlineStr">
        <is>
          <t>Pinheiros - ES</t>
        </is>
      </c>
      <c r="C2647" t="n">
        <v>-18.4141</v>
      </c>
      <c r="D2647" t="n">
        <v>-40.2171</v>
      </c>
      <c r="E2647" t="inlineStr">
        <is>
          <t>2022-12</t>
        </is>
      </c>
      <c r="F2647" t="n">
        <v>0</v>
      </c>
    </row>
    <row r="2648">
      <c r="A2648" t="inlineStr">
        <is>
          <t>Milho</t>
        </is>
      </c>
      <c r="B2648" t="inlineStr">
        <is>
          <t>Rio Verde - GO</t>
        </is>
      </c>
      <c r="C2648" t="n">
        <v>-17.7923</v>
      </c>
      <c r="D2648" t="n">
        <v>-50.9192</v>
      </c>
      <c r="E2648" t="inlineStr">
        <is>
          <t>2023-01</t>
        </is>
      </c>
      <c r="F2648" t="n">
        <v>0</v>
      </c>
    </row>
    <row r="2649">
      <c r="A2649" t="inlineStr">
        <is>
          <t>Milho</t>
        </is>
      </c>
      <c r="B2649" t="inlineStr">
        <is>
          <t>Rio Verde - GO</t>
        </is>
      </c>
      <c r="C2649" t="n">
        <v>-17.7923</v>
      </c>
      <c r="D2649" t="n">
        <v>-50.9192</v>
      </c>
      <c r="E2649" t="inlineStr">
        <is>
          <t>2023-02</t>
        </is>
      </c>
      <c r="F2649" t="n">
        <v>0</v>
      </c>
    </row>
    <row r="2650">
      <c r="A2650" t="inlineStr">
        <is>
          <t>Milho</t>
        </is>
      </c>
      <c r="B2650" t="inlineStr">
        <is>
          <t>Rio Verde - GO</t>
        </is>
      </c>
      <c r="C2650" t="n">
        <v>-17.7923</v>
      </c>
      <c r="D2650" t="n">
        <v>-50.9192</v>
      </c>
      <c r="E2650" t="inlineStr">
        <is>
          <t>2023-03</t>
        </is>
      </c>
      <c r="F2650" t="n">
        <v>0</v>
      </c>
    </row>
    <row r="2651">
      <c r="A2651" t="inlineStr">
        <is>
          <t>Milho</t>
        </is>
      </c>
      <c r="B2651" t="inlineStr">
        <is>
          <t>Rio Verde - GO</t>
        </is>
      </c>
      <c r="C2651" t="n">
        <v>-17.7923</v>
      </c>
      <c r="D2651" t="n">
        <v>-50.9192</v>
      </c>
      <c r="E2651" t="inlineStr">
        <is>
          <t>2023-04</t>
        </is>
      </c>
      <c r="F2651" t="n">
        <v>0</v>
      </c>
    </row>
    <row r="2652">
      <c r="A2652" t="inlineStr">
        <is>
          <t>Milho</t>
        </is>
      </c>
      <c r="B2652" t="inlineStr">
        <is>
          <t>Rio Verde - GO</t>
        </is>
      </c>
      <c r="C2652" t="n">
        <v>-17.7923</v>
      </c>
      <c r="D2652" t="n">
        <v>-50.9192</v>
      </c>
      <c r="E2652" t="inlineStr">
        <is>
          <t>2023-05</t>
        </is>
      </c>
      <c r="F2652" t="n">
        <v>0</v>
      </c>
    </row>
    <row r="2653">
      <c r="A2653" t="inlineStr">
        <is>
          <t>Milho</t>
        </is>
      </c>
      <c r="B2653" t="inlineStr">
        <is>
          <t>Rio Verde - GO</t>
        </is>
      </c>
      <c r="C2653" t="n">
        <v>-17.7923</v>
      </c>
      <c r="D2653" t="n">
        <v>-50.9192</v>
      </c>
      <c r="E2653" t="inlineStr">
        <is>
          <t>2023-06</t>
        </is>
      </c>
      <c r="F2653" t="n">
        <v>0</v>
      </c>
    </row>
    <row r="2654">
      <c r="A2654" t="inlineStr">
        <is>
          <t>Milho</t>
        </is>
      </c>
      <c r="B2654" t="inlineStr">
        <is>
          <t>Rio Verde - GO</t>
        </is>
      </c>
      <c r="C2654" t="n">
        <v>-17.7923</v>
      </c>
      <c r="D2654" t="n">
        <v>-50.9192</v>
      </c>
      <c r="E2654" t="inlineStr">
        <is>
          <t>2022-07</t>
        </is>
      </c>
      <c r="F2654" t="n">
        <v>0</v>
      </c>
    </row>
    <row r="2655">
      <c r="A2655" t="inlineStr">
        <is>
          <t>Milho</t>
        </is>
      </c>
      <c r="B2655" t="inlineStr">
        <is>
          <t>Rio Verde - GO</t>
        </is>
      </c>
      <c r="C2655" t="n">
        <v>-17.7923</v>
      </c>
      <c r="D2655" t="n">
        <v>-50.9192</v>
      </c>
      <c r="E2655" t="inlineStr">
        <is>
          <t>2022-08</t>
        </is>
      </c>
      <c r="F2655" t="n">
        <v>0</v>
      </c>
    </row>
    <row r="2656">
      <c r="A2656" t="inlineStr">
        <is>
          <t>Milho</t>
        </is>
      </c>
      <c r="B2656" t="inlineStr">
        <is>
          <t>Rio Verde - GO</t>
        </is>
      </c>
      <c r="C2656" t="n">
        <v>-17.7923</v>
      </c>
      <c r="D2656" t="n">
        <v>-50.9192</v>
      </c>
      <c r="E2656" t="inlineStr">
        <is>
          <t>2022-09</t>
        </is>
      </c>
      <c r="F2656" t="n">
        <v>0</v>
      </c>
    </row>
    <row r="2657">
      <c r="A2657" t="inlineStr">
        <is>
          <t>Milho</t>
        </is>
      </c>
      <c r="B2657" t="inlineStr">
        <is>
          <t>Rio Verde - GO</t>
        </is>
      </c>
      <c r="C2657" t="n">
        <v>-17.7923</v>
      </c>
      <c r="D2657" t="n">
        <v>-50.9192</v>
      </c>
      <c r="E2657" t="inlineStr">
        <is>
          <t>2022-10</t>
        </is>
      </c>
      <c r="F2657" t="n">
        <v>0</v>
      </c>
    </row>
    <row r="2658">
      <c r="A2658" t="inlineStr">
        <is>
          <t>Milho</t>
        </is>
      </c>
      <c r="B2658" t="inlineStr">
        <is>
          <t>Rio Verde - GO</t>
        </is>
      </c>
      <c r="C2658" t="n">
        <v>-17.7923</v>
      </c>
      <c r="D2658" t="n">
        <v>-50.9192</v>
      </c>
      <c r="E2658" t="inlineStr">
        <is>
          <t>2022-11</t>
        </is>
      </c>
      <c r="F2658" t="n">
        <v>0</v>
      </c>
    </row>
    <row r="2659">
      <c r="A2659" t="inlineStr">
        <is>
          <t>Milho</t>
        </is>
      </c>
      <c r="B2659" t="inlineStr">
        <is>
          <t>Rio Verde - GO</t>
        </is>
      </c>
      <c r="C2659" t="n">
        <v>-17.7923</v>
      </c>
      <c r="D2659" t="n">
        <v>-50.9192</v>
      </c>
      <c r="E2659" t="inlineStr">
        <is>
          <t>2022-12</t>
        </is>
      </c>
      <c r="F2659" t="n">
        <v>0</v>
      </c>
    </row>
    <row r="2660">
      <c r="A2660" t="inlineStr">
        <is>
          <t>Milho</t>
        </is>
      </c>
      <c r="B2660" t="inlineStr">
        <is>
          <t>Balsas - MA</t>
        </is>
      </c>
      <c r="C2660" t="n">
        <v>-7.53214</v>
      </c>
      <c r="D2660" t="n">
        <v>-46.0372</v>
      </c>
      <c r="E2660" t="inlineStr">
        <is>
          <t>2023-01</t>
        </is>
      </c>
      <c r="F2660" t="n">
        <v>0</v>
      </c>
    </row>
    <row r="2661">
      <c r="A2661" t="inlineStr">
        <is>
          <t>Milho</t>
        </is>
      </c>
      <c r="B2661" t="inlineStr">
        <is>
          <t>Balsas - MA</t>
        </is>
      </c>
      <c r="C2661" t="n">
        <v>-7.53214</v>
      </c>
      <c r="D2661" t="n">
        <v>-46.0372</v>
      </c>
      <c r="E2661" t="inlineStr">
        <is>
          <t>2023-02</t>
        </is>
      </c>
      <c r="F2661" t="n">
        <v>0</v>
      </c>
    </row>
    <row r="2662">
      <c r="A2662" t="inlineStr">
        <is>
          <t>Milho</t>
        </is>
      </c>
      <c r="B2662" t="inlineStr">
        <is>
          <t>Balsas - MA</t>
        </is>
      </c>
      <c r="C2662" t="n">
        <v>-7.53214</v>
      </c>
      <c r="D2662" t="n">
        <v>-46.0372</v>
      </c>
      <c r="E2662" t="inlineStr">
        <is>
          <t>2023-03</t>
        </is>
      </c>
      <c r="F2662" t="n">
        <v>0</v>
      </c>
    </row>
    <row r="2663">
      <c r="A2663" t="inlineStr">
        <is>
          <t>Milho</t>
        </is>
      </c>
      <c r="B2663" t="inlineStr">
        <is>
          <t>Balsas - MA</t>
        </is>
      </c>
      <c r="C2663" t="n">
        <v>-7.53214</v>
      </c>
      <c r="D2663" t="n">
        <v>-46.0372</v>
      </c>
      <c r="E2663" t="inlineStr">
        <is>
          <t>2023-04</t>
        </is>
      </c>
      <c r="F2663" t="n">
        <v>0</v>
      </c>
    </row>
    <row r="2664">
      <c r="A2664" t="inlineStr">
        <is>
          <t>Milho</t>
        </is>
      </c>
      <c r="B2664" t="inlineStr">
        <is>
          <t>Balsas - MA</t>
        </is>
      </c>
      <c r="C2664" t="n">
        <v>-7.53214</v>
      </c>
      <c r="D2664" t="n">
        <v>-46.0372</v>
      </c>
      <c r="E2664" t="inlineStr">
        <is>
          <t>2023-05</t>
        </is>
      </c>
      <c r="F2664" t="n">
        <v>0</v>
      </c>
    </row>
    <row r="2665">
      <c r="A2665" t="inlineStr">
        <is>
          <t>Milho</t>
        </is>
      </c>
      <c r="B2665" t="inlineStr">
        <is>
          <t>Balsas - MA</t>
        </is>
      </c>
      <c r="C2665" t="n">
        <v>-7.53214</v>
      </c>
      <c r="D2665" t="n">
        <v>-46.0372</v>
      </c>
      <c r="E2665" t="inlineStr">
        <is>
          <t>2023-06</t>
        </is>
      </c>
      <c r="F2665" t="n">
        <v>0</v>
      </c>
    </row>
    <row r="2666">
      <c r="A2666" t="inlineStr">
        <is>
          <t>Milho</t>
        </is>
      </c>
      <c r="B2666" t="inlineStr">
        <is>
          <t>Balsas - MA</t>
        </is>
      </c>
      <c r="C2666" t="n">
        <v>-7.53214</v>
      </c>
      <c r="D2666" t="n">
        <v>-46.0372</v>
      </c>
      <c r="E2666" t="inlineStr">
        <is>
          <t>2022-07</t>
        </is>
      </c>
      <c r="F2666" t="n">
        <v>0</v>
      </c>
    </row>
    <row r="2667">
      <c r="A2667" t="inlineStr">
        <is>
          <t>Milho</t>
        </is>
      </c>
      <c r="B2667" t="inlineStr">
        <is>
          <t>Balsas - MA</t>
        </is>
      </c>
      <c r="C2667" t="n">
        <v>-7.53214</v>
      </c>
      <c r="D2667" t="n">
        <v>-46.0372</v>
      </c>
      <c r="E2667" t="inlineStr">
        <is>
          <t>2022-08</t>
        </is>
      </c>
      <c r="F2667" t="n">
        <v>0</v>
      </c>
    </row>
    <row r="2668">
      <c r="A2668" t="inlineStr">
        <is>
          <t>Milho</t>
        </is>
      </c>
      <c r="B2668" t="inlineStr">
        <is>
          <t>Balsas - MA</t>
        </is>
      </c>
      <c r="C2668" t="n">
        <v>-7.53214</v>
      </c>
      <c r="D2668" t="n">
        <v>-46.0372</v>
      </c>
      <c r="E2668" t="inlineStr">
        <is>
          <t>2022-09</t>
        </is>
      </c>
      <c r="F2668" t="n">
        <v>0</v>
      </c>
    </row>
    <row r="2669">
      <c r="A2669" t="inlineStr">
        <is>
          <t>Milho</t>
        </is>
      </c>
      <c r="B2669" t="inlineStr">
        <is>
          <t>Balsas - MA</t>
        </is>
      </c>
      <c r="C2669" t="n">
        <v>-7.53214</v>
      </c>
      <c r="D2669" t="n">
        <v>-46.0372</v>
      </c>
      <c r="E2669" t="inlineStr">
        <is>
          <t>2022-10</t>
        </is>
      </c>
      <c r="F2669" t="n">
        <v>0</v>
      </c>
    </row>
    <row r="2670">
      <c r="A2670" t="inlineStr">
        <is>
          <t>Milho</t>
        </is>
      </c>
      <c r="B2670" t="inlineStr">
        <is>
          <t>Balsas - MA</t>
        </is>
      </c>
      <c r="C2670" t="n">
        <v>-7.53214</v>
      </c>
      <c r="D2670" t="n">
        <v>-46.0372</v>
      </c>
      <c r="E2670" t="inlineStr">
        <is>
          <t>2022-11</t>
        </is>
      </c>
      <c r="F2670" t="n">
        <v>0</v>
      </c>
    </row>
    <row r="2671">
      <c r="A2671" t="inlineStr">
        <is>
          <t>Milho</t>
        </is>
      </c>
      <c r="B2671" t="inlineStr">
        <is>
          <t>Balsas - MA</t>
        </is>
      </c>
      <c r="C2671" t="n">
        <v>-7.53214</v>
      </c>
      <c r="D2671" t="n">
        <v>-46.0372</v>
      </c>
      <c r="E2671" t="inlineStr">
        <is>
          <t>2022-12</t>
        </is>
      </c>
      <c r="F2671" t="n">
        <v>0</v>
      </c>
    </row>
    <row r="2672">
      <c r="A2672" t="inlineStr">
        <is>
          <t>Milho</t>
        </is>
      </c>
      <c r="B2672" t="inlineStr">
        <is>
          <t>Unaí - MG</t>
        </is>
      </c>
      <c r="C2672" t="n">
        <v>-16.3592</v>
      </c>
      <c r="D2672" t="n">
        <v>-46.9022</v>
      </c>
      <c r="E2672" t="inlineStr">
        <is>
          <t>2023-01</t>
        </is>
      </c>
      <c r="F2672" t="n">
        <v>0</v>
      </c>
    </row>
    <row r="2673">
      <c r="A2673" t="inlineStr">
        <is>
          <t>Milho</t>
        </is>
      </c>
      <c r="B2673" t="inlineStr">
        <is>
          <t>Unaí - MG</t>
        </is>
      </c>
      <c r="C2673" t="n">
        <v>-16.3592</v>
      </c>
      <c r="D2673" t="n">
        <v>-46.9022</v>
      </c>
      <c r="E2673" t="inlineStr">
        <is>
          <t>2023-02</t>
        </is>
      </c>
      <c r="F2673" t="n">
        <v>0</v>
      </c>
    </row>
    <row r="2674">
      <c r="A2674" t="inlineStr">
        <is>
          <t>Milho</t>
        </is>
      </c>
      <c r="B2674" t="inlineStr">
        <is>
          <t>Unaí - MG</t>
        </is>
      </c>
      <c r="C2674" t="n">
        <v>-16.3592</v>
      </c>
      <c r="D2674" t="n">
        <v>-46.9022</v>
      </c>
      <c r="E2674" t="inlineStr">
        <is>
          <t>2023-03</t>
        </is>
      </c>
      <c r="F2674" t="n">
        <v>0</v>
      </c>
    </row>
    <row r="2675">
      <c r="A2675" t="inlineStr">
        <is>
          <t>Milho</t>
        </is>
      </c>
      <c r="B2675" t="inlineStr">
        <is>
          <t>Unaí - MG</t>
        </is>
      </c>
      <c r="C2675" t="n">
        <v>-16.3592</v>
      </c>
      <c r="D2675" t="n">
        <v>-46.9022</v>
      </c>
      <c r="E2675" t="inlineStr">
        <is>
          <t>2023-04</t>
        </is>
      </c>
      <c r="F2675" t="n">
        <v>0</v>
      </c>
    </row>
    <row r="2676">
      <c r="A2676" t="inlineStr">
        <is>
          <t>Milho</t>
        </is>
      </c>
      <c r="B2676" t="inlineStr">
        <is>
          <t>Unaí - MG</t>
        </is>
      </c>
      <c r="C2676" t="n">
        <v>-16.3592</v>
      </c>
      <c r="D2676" t="n">
        <v>-46.9022</v>
      </c>
      <c r="E2676" t="inlineStr">
        <is>
          <t>2023-05</t>
        </is>
      </c>
      <c r="F2676" t="n">
        <v>0</v>
      </c>
    </row>
    <row r="2677">
      <c r="A2677" t="inlineStr">
        <is>
          <t>Milho</t>
        </is>
      </c>
      <c r="B2677" t="inlineStr">
        <is>
          <t>Unaí - MG</t>
        </is>
      </c>
      <c r="C2677" t="n">
        <v>-16.3592</v>
      </c>
      <c r="D2677" t="n">
        <v>-46.9022</v>
      </c>
      <c r="E2677" t="inlineStr">
        <is>
          <t>2023-06</t>
        </is>
      </c>
      <c r="F2677" t="n">
        <v>0</v>
      </c>
    </row>
    <row r="2678">
      <c r="A2678" t="inlineStr">
        <is>
          <t>Milho</t>
        </is>
      </c>
      <c r="B2678" t="inlineStr">
        <is>
          <t>Unaí - MG</t>
        </is>
      </c>
      <c r="C2678" t="n">
        <v>-16.3592</v>
      </c>
      <c r="D2678" t="n">
        <v>-46.9022</v>
      </c>
      <c r="E2678" t="inlineStr">
        <is>
          <t>2022-07</t>
        </is>
      </c>
      <c r="F2678" t="n">
        <v>0</v>
      </c>
    </row>
    <row r="2679">
      <c r="A2679" t="inlineStr">
        <is>
          <t>Milho</t>
        </is>
      </c>
      <c r="B2679" t="inlineStr">
        <is>
          <t>Unaí - MG</t>
        </is>
      </c>
      <c r="C2679" t="n">
        <v>-16.3592</v>
      </c>
      <c r="D2679" t="n">
        <v>-46.9022</v>
      </c>
      <c r="E2679" t="inlineStr">
        <is>
          <t>2022-08</t>
        </is>
      </c>
      <c r="F2679" t="n">
        <v>0</v>
      </c>
    </row>
    <row r="2680">
      <c r="A2680" t="inlineStr">
        <is>
          <t>Milho</t>
        </is>
      </c>
      <c r="B2680" t="inlineStr">
        <is>
          <t>Unaí - MG</t>
        </is>
      </c>
      <c r="C2680" t="n">
        <v>-16.3592</v>
      </c>
      <c r="D2680" t="n">
        <v>-46.9022</v>
      </c>
      <c r="E2680" t="inlineStr">
        <is>
          <t>2022-09</t>
        </is>
      </c>
      <c r="F2680" t="n">
        <v>0</v>
      </c>
    </row>
    <row r="2681">
      <c r="A2681" t="inlineStr">
        <is>
          <t>Milho</t>
        </is>
      </c>
      <c r="B2681" t="inlineStr">
        <is>
          <t>Unaí - MG</t>
        </is>
      </c>
      <c r="C2681" t="n">
        <v>-16.3592</v>
      </c>
      <c r="D2681" t="n">
        <v>-46.9022</v>
      </c>
      <c r="E2681" t="inlineStr">
        <is>
          <t>2022-10</t>
        </is>
      </c>
      <c r="F2681" t="n">
        <v>0</v>
      </c>
    </row>
    <row r="2682">
      <c r="A2682" t="inlineStr">
        <is>
          <t>Milho</t>
        </is>
      </c>
      <c r="B2682" t="inlineStr">
        <is>
          <t>Unaí - MG</t>
        </is>
      </c>
      <c r="C2682" t="n">
        <v>-16.3592</v>
      </c>
      <c r="D2682" t="n">
        <v>-46.9022</v>
      </c>
      <c r="E2682" t="inlineStr">
        <is>
          <t>2022-11</t>
        </is>
      </c>
      <c r="F2682" t="n">
        <v>0</v>
      </c>
    </row>
    <row r="2683">
      <c r="A2683" t="inlineStr">
        <is>
          <t>Milho</t>
        </is>
      </c>
      <c r="B2683" t="inlineStr">
        <is>
          <t>Unaí - MG</t>
        </is>
      </c>
      <c r="C2683" t="n">
        <v>-16.3592</v>
      </c>
      <c r="D2683" t="n">
        <v>-46.9022</v>
      </c>
      <c r="E2683" t="inlineStr">
        <is>
          <t>2022-12</t>
        </is>
      </c>
      <c r="F2683" t="n">
        <v>0</v>
      </c>
    </row>
    <row r="2684">
      <c r="A2684" t="inlineStr">
        <is>
          <t>Milho</t>
        </is>
      </c>
      <c r="B2684" t="inlineStr">
        <is>
          <t>Maracaju - MS</t>
        </is>
      </c>
      <c r="C2684" t="n">
        <v>-21.6105</v>
      </c>
      <c r="D2684" t="n">
        <v>-55.1678</v>
      </c>
      <c r="E2684" t="inlineStr">
        <is>
          <t>2023-01</t>
        </is>
      </c>
      <c r="F2684" t="n">
        <v>0</v>
      </c>
    </row>
    <row r="2685">
      <c r="A2685" t="inlineStr">
        <is>
          <t>Milho</t>
        </is>
      </c>
      <c r="B2685" t="inlineStr">
        <is>
          <t>Maracaju - MS</t>
        </is>
      </c>
      <c r="C2685" t="n">
        <v>-21.6105</v>
      </c>
      <c r="D2685" t="n">
        <v>-55.1678</v>
      </c>
      <c r="E2685" t="inlineStr">
        <is>
          <t>2023-02</t>
        </is>
      </c>
      <c r="F2685" t="n">
        <v>0</v>
      </c>
    </row>
    <row r="2686">
      <c r="A2686" t="inlineStr">
        <is>
          <t>Milho</t>
        </is>
      </c>
      <c r="B2686" t="inlineStr">
        <is>
          <t>Maracaju - MS</t>
        </is>
      </c>
      <c r="C2686" t="n">
        <v>-21.6105</v>
      </c>
      <c r="D2686" t="n">
        <v>-55.1678</v>
      </c>
      <c r="E2686" t="inlineStr">
        <is>
          <t>2023-03</t>
        </is>
      </c>
      <c r="F2686" t="n">
        <v>0</v>
      </c>
    </row>
    <row r="2687">
      <c r="A2687" t="inlineStr">
        <is>
          <t>Milho</t>
        </is>
      </c>
      <c r="B2687" t="inlineStr">
        <is>
          <t>Maracaju - MS</t>
        </is>
      </c>
      <c r="C2687" t="n">
        <v>-21.6105</v>
      </c>
      <c r="D2687" t="n">
        <v>-55.1678</v>
      </c>
      <c r="E2687" t="inlineStr">
        <is>
          <t>2023-04</t>
        </is>
      </c>
      <c r="F2687" t="n">
        <v>0</v>
      </c>
    </row>
    <row r="2688">
      <c r="A2688" t="inlineStr">
        <is>
          <t>Milho</t>
        </is>
      </c>
      <c r="B2688" t="inlineStr">
        <is>
          <t>Maracaju - MS</t>
        </is>
      </c>
      <c r="C2688" t="n">
        <v>-21.6105</v>
      </c>
      <c r="D2688" t="n">
        <v>-55.1678</v>
      </c>
      <c r="E2688" t="inlineStr">
        <is>
          <t>2023-05</t>
        </is>
      </c>
      <c r="F2688" t="n">
        <v>0</v>
      </c>
    </row>
    <row r="2689">
      <c r="A2689" t="inlineStr">
        <is>
          <t>Milho</t>
        </is>
      </c>
      <c r="B2689" t="inlineStr">
        <is>
          <t>Maracaju - MS</t>
        </is>
      </c>
      <c r="C2689" t="n">
        <v>-21.6105</v>
      </c>
      <c r="D2689" t="n">
        <v>-55.1678</v>
      </c>
      <c r="E2689" t="inlineStr">
        <is>
          <t>2023-06</t>
        </is>
      </c>
      <c r="F2689" t="n">
        <v>0</v>
      </c>
    </row>
    <row r="2690">
      <c r="A2690" t="inlineStr">
        <is>
          <t>Milho</t>
        </is>
      </c>
      <c r="B2690" t="inlineStr">
        <is>
          <t>Maracaju - MS</t>
        </is>
      </c>
      <c r="C2690" t="n">
        <v>-21.6105</v>
      </c>
      <c r="D2690" t="n">
        <v>-55.1678</v>
      </c>
      <c r="E2690" t="inlineStr">
        <is>
          <t>2022-07</t>
        </is>
      </c>
      <c r="F2690" t="n">
        <v>0</v>
      </c>
    </row>
    <row r="2691">
      <c r="A2691" t="inlineStr">
        <is>
          <t>Milho</t>
        </is>
      </c>
      <c r="B2691" t="inlineStr">
        <is>
          <t>Maracaju - MS</t>
        </is>
      </c>
      <c r="C2691" t="n">
        <v>-21.6105</v>
      </c>
      <c r="D2691" t="n">
        <v>-55.1678</v>
      </c>
      <c r="E2691" t="inlineStr">
        <is>
          <t>2022-08</t>
        </is>
      </c>
      <c r="F2691" t="n">
        <v>0</v>
      </c>
    </row>
    <row r="2692">
      <c r="A2692" t="inlineStr">
        <is>
          <t>Milho</t>
        </is>
      </c>
      <c r="B2692" t="inlineStr">
        <is>
          <t>Maracaju - MS</t>
        </is>
      </c>
      <c r="C2692" t="n">
        <v>-21.6105</v>
      </c>
      <c r="D2692" t="n">
        <v>-55.1678</v>
      </c>
      <c r="E2692" t="inlineStr">
        <is>
          <t>2022-09</t>
        </is>
      </c>
      <c r="F2692" t="n">
        <v>0</v>
      </c>
    </row>
    <row r="2693">
      <c r="A2693" t="inlineStr">
        <is>
          <t>Milho</t>
        </is>
      </c>
      <c r="B2693" t="inlineStr">
        <is>
          <t>Maracaju - MS</t>
        </is>
      </c>
      <c r="C2693" t="n">
        <v>-21.6105</v>
      </c>
      <c r="D2693" t="n">
        <v>-55.1678</v>
      </c>
      <c r="E2693" t="inlineStr">
        <is>
          <t>2022-10</t>
        </is>
      </c>
      <c r="F2693" t="n">
        <v>0</v>
      </c>
    </row>
    <row r="2694">
      <c r="A2694" t="inlineStr">
        <is>
          <t>Milho</t>
        </is>
      </c>
      <c r="B2694" t="inlineStr">
        <is>
          <t>Maracaju - MS</t>
        </is>
      </c>
      <c r="C2694" t="n">
        <v>-21.6105</v>
      </c>
      <c r="D2694" t="n">
        <v>-55.1678</v>
      </c>
      <c r="E2694" t="inlineStr">
        <is>
          <t>2022-11</t>
        </is>
      </c>
      <c r="F2694" t="n">
        <v>0</v>
      </c>
    </row>
    <row r="2695">
      <c r="A2695" t="inlineStr">
        <is>
          <t>Milho</t>
        </is>
      </c>
      <c r="B2695" t="inlineStr">
        <is>
          <t>Maracaju - MS</t>
        </is>
      </c>
      <c r="C2695" t="n">
        <v>-21.6105</v>
      </c>
      <c r="D2695" t="n">
        <v>-55.1678</v>
      </c>
      <c r="E2695" t="inlineStr">
        <is>
          <t>2022-12</t>
        </is>
      </c>
      <c r="F2695" t="n">
        <v>0</v>
      </c>
    </row>
    <row r="2696">
      <c r="A2696" t="inlineStr">
        <is>
          <t>Milho</t>
        </is>
      </c>
      <c r="B2696" t="inlineStr">
        <is>
          <t>Sorriso - MT</t>
        </is>
      </c>
      <c r="C2696" t="n">
        <v>-12.5425</v>
      </c>
      <c r="D2696" t="n">
        <v>-55.7211</v>
      </c>
      <c r="E2696" t="inlineStr">
        <is>
          <t>2023-01</t>
        </is>
      </c>
      <c r="F2696" t="n">
        <v>0</v>
      </c>
    </row>
    <row r="2697">
      <c r="A2697" t="inlineStr">
        <is>
          <t>Milho</t>
        </is>
      </c>
      <c r="B2697" t="inlineStr">
        <is>
          <t>Sorriso - MT</t>
        </is>
      </c>
      <c r="C2697" t="n">
        <v>-12.5425</v>
      </c>
      <c r="D2697" t="n">
        <v>-55.7211</v>
      </c>
      <c r="E2697" t="inlineStr">
        <is>
          <t>2023-02</t>
        </is>
      </c>
      <c r="F2697" t="n">
        <v>0</v>
      </c>
    </row>
    <row r="2698">
      <c r="A2698" t="inlineStr">
        <is>
          <t>Milho</t>
        </is>
      </c>
      <c r="B2698" t="inlineStr">
        <is>
          <t>Sorriso - MT</t>
        </is>
      </c>
      <c r="C2698" t="n">
        <v>-12.5425</v>
      </c>
      <c r="D2698" t="n">
        <v>-55.7211</v>
      </c>
      <c r="E2698" t="inlineStr">
        <is>
          <t>2023-03</t>
        </is>
      </c>
      <c r="F2698" t="n">
        <v>0</v>
      </c>
    </row>
    <row r="2699">
      <c r="A2699" t="inlineStr">
        <is>
          <t>Milho</t>
        </is>
      </c>
      <c r="B2699" t="inlineStr">
        <is>
          <t>Sorriso - MT</t>
        </is>
      </c>
      <c r="C2699" t="n">
        <v>-12.5425</v>
      </c>
      <c r="D2699" t="n">
        <v>-55.7211</v>
      </c>
      <c r="E2699" t="inlineStr">
        <is>
          <t>2023-04</t>
        </is>
      </c>
      <c r="F2699" t="n">
        <v>0</v>
      </c>
    </row>
    <row r="2700">
      <c r="A2700" t="inlineStr">
        <is>
          <t>Milho</t>
        </is>
      </c>
      <c r="B2700" t="inlineStr">
        <is>
          <t>Sorriso - MT</t>
        </is>
      </c>
      <c r="C2700" t="n">
        <v>-12.5425</v>
      </c>
      <c r="D2700" t="n">
        <v>-55.7211</v>
      </c>
      <c r="E2700" t="inlineStr">
        <is>
          <t>2023-05</t>
        </is>
      </c>
      <c r="F2700" t="n">
        <v>0</v>
      </c>
    </row>
    <row r="2701">
      <c r="A2701" t="inlineStr">
        <is>
          <t>Milho</t>
        </is>
      </c>
      <c r="B2701" t="inlineStr">
        <is>
          <t>Sorriso - MT</t>
        </is>
      </c>
      <c r="C2701" t="n">
        <v>-12.5425</v>
      </c>
      <c r="D2701" t="n">
        <v>-55.7211</v>
      </c>
      <c r="E2701" t="inlineStr">
        <is>
          <t>2023-06</t>
        </is>
      </c>
      <c r="F2701" t="n">
        <v>0</v>
      </c>
    </row>
    <row r="2702">
      <c r="A2702" t="inlineStr">
        <is>
          <t>Milho</t>
        </is>
      </c>
      <c r="B2702" t="inlineStr">
        <is>
          <t>Sorriso - MT</t>
        </is>
      </c>
      <c r="C2702" t="n">
        <v>-12.5425</v>
      </c>
      <c r="D2702" t="n">
        <v>-55.7211</v>
      </c>
      <c r="E2702" t="inlineStr">
        <is>
          <t>2022-07</t>
        </is>
      </c>
      <c r="F2702" t="n">
        <v>0</v>
      </c>
    </row>
    <row r="2703">
      <c r="A2703" t="inlineStr">
        <is>
          <t>Milho</t>
        </is>
      </c>
      <c r="B2703" t="inlineStr">
        <is>
          <t>Sorriso - MT</t>
        </is>
      </c>
      <c r="C2703" t="n">
        <v>-12.5425</v>
      </c>
      <c r="D2703" t="n">
        <v>-55.7211</v>
      </c>
      <c r="E2703" t="inlineStr">
        <is>
          <t>2022-08</t>
        </is>
      </c>
      <c r="F2703" t="n">
        <v>0</v>
      </c>
    </row>
    <row r="2704">
      <c r="A2704" t="inlineStr">
        <is>
          <t>Milho</t>
        </is>
      </c>
      <c r="B2704" t="inlineStr">
        <is>
          <t>Sorriso - MT</t>
        </is>
      </c>
      <c r="C2704" t="n">
        <v>-12.5425</v>
      </c>
      <c r="D2704" t="n">
        <v>-55.7211</v>
      </c>
      <c r="E2704" t="inlineStr">
        <is>
          <t>2022-09</t>
        </is>
      </c>
      <c r="F2704" t="n">
        <v>0</v>
      </c>
    </row>
    <row r="2705">
      <c r="A2705" t="inlineStr">
        <is>
          <t>Milho</t>
        </is>
      </c>
      <c r="B2705" t="inlineStr">
        <is>
          <t>Sorriso - MT</t>
        </is>
      </c>
      <c r="C2705" t="n">
        <v>-12.5425</v>
      </c>
      <c r="D2705" t="n">
        <v>-55.7211</v>
      </c>
      <c r="E2705" t="inlineStr">
        <is>
          <t>2022-10</t>
        </is>
      </c>
      <c r="F2705" t="n">
        <v>0</v>
      </c>
    </row>
    <row r="2706">
      <c r="A2706" t="inlineStr">
        <is>
          <t>Milho</t>
        </is>
      </c>
      <c r="B2706" t="inlineStr">
        <is>
          <t>Sorriso - MT</t>
        </is>
      </c>
      <c r="C2706" t="n">
        <v>-12.5425</v>
      </c>
      <c r="D2706" t="n">
        <v>-55.7211</v>
      </c>
      <c r="E2706" t="inlineStr">
        <is>
          <t>2022-11</t>
        </is>
      </c>
      <c r="F2706" t="n">
        <v>0</v>
      </c>
    </row>
    <row r="2707">
      <c r="A2707" t="inlineStr">
        <is>
          <t>Milho</t>
        </is>
      </c>
      <c r="B2707" t="inlineStr">
        <is>
          <t>Sorriso - MT</t>
        </is>
      </c>
      <c r="C2707" t="n">
        <v>-12.5425</v>
      </c>
      <c r="D2707" t="n">
        <v>-55.7211</v>
      </c>
      <c r="E2707" t="inlineStr">
        <is>
          <t>2022-12</t>
        </is>
      </c>
      <c r="F2707" t="n">
        <v>0</v>
      </c>
    </row>
    <row r="2708">
      <c r="A2708" t="inlineStr">
        <is>
          <t>Milho</t>
        </is>
      </c>
      <c r="B2708" t="inlineStr">
        <is>
          <t>Santana do Araguaia - PA</t>
        </is>
      </c>
      <c r="C2708" t="n">
        <v>-9.328099999999999</v>
      </c>
      <c r="D2708" t="n">
        <v>-50.35</v>
      </c>
      <c r="E2708" t="inlineStr">
        <is>
          <t>2023-01</t>
        </is>
      </c>
      <c r="F2708" t="n">
        <v>0</v>
      </c>
    </row>
    <row r="2709">
      <c r="A2709" t="inlineStr">
        <is>
          <t>Milho</t>
        </is>
      </c>
      <c r="B2709" t="inlineStr">
        <is>
          <t>Santana do Araguaia - PA</t>
        </is>
      </c>
      <c r="C2709" t="n">
        <v>-9.328099999999999</v>
      </c>
      <c r="D2709" t="n">
        <v>-50.35</v>
      </c>
      <c r="E2709" t="inlineStr">
        <is>
          <t>2023-02</t>
        </is>
      </c>
      <c r="F2709" t="n">
        <v>0</v>
      </c>
    </row>
    <row r="2710">
      <c r="A2710" t="inlineStr">
        <is>
          <t>Milho</t>
        </is>
      </c>
      <c r="B2710" t="inlineStr">
        <is>
          <t>Santana do Araguaia - PA</t>
        </is>
      </c>
      <c r="C2710" t="n">
        <v>-9.328099999999999</v>
      </c>
      <c r="D2710" t="n">
        <v>-50.35</v>
      </c>
      <c r="E2710" t="inlineStr">
        <is>
          <t>2023-03</t>
        </is>
      </c>
      <c r="F2710" t="n">
        <v>0</v>
      </c>
    </row>
    <row r="2711">
      <c r="A2711" t="inlineStr">
        <is>
          <t>Milho</t>
        </is>
      </c>
      <c r="B2711" t="inlineStr">
        <is>
          <t>Santana do Araguaia - PA</t>
        </is>
      </c>
      <c r="C2711" t="n">
        <v>-9.328099999999999</v>
      </c>
      <c r="D2711" t="n">
        <v>-50.35</v>
      </c>
      <c r="E2711" t="inlineStr">
        <is>
          <t>2023-04</t>
        </is>
      </c>
      <c r="F2711" t="n">
        <v>0</v>
      </c>
    </row>
    <row r="2712">
      <c r="A2712" t="inlineStr">
        <is>
          <t>Milho</t>
        </is>
      </c>
      <c r="B2712" t="inlineStr">
        <is>
          <t>Santana do Araguaia - PA</t>
        </is>
      </c>
      <c r="C2712" t="n">
        <v>-9.328099999999999</v>
      </c>
      <c r="D2712" t="n">
        <v>-50.35</v>
      </c>
      <c r="E2712" t="inlineStr">
        <is>
          <t>2023-05</t>
        </is>
      </c>
      <c r="F2712" t="n">
        <v>0</v>
      </c>
    </row>
    <row r="2713">
      <c r="A2713" t="inlineStr">
        <is>
          <t>Milho</t>
        </is>
      </c>
      <c r="B2713" t="inlineStr">
        <is>
          <t>Santana do Araguaia - PA</t>
        </is>
      </c>
      <c r="C2713" t="n">
        <v>-9.328099999999999</v>
      </c>
      <c r="D2713" t="n">
        <v>-50.35</v>
      </c>
      <c r="E2713" t="inlineStr">
        <is>
          <t>2023-06</t>
        </is>
      </c>
      <c r="F2713" t="n">
        <v>0</v>
      </c>
    </row>
    <row r="2714">
      <c r="A2714" t="inlineStr">
        <is>
          <t>Milho</t>
        </is>
      </c>
      <c r="B2714" t="inlineStr">
        <is>
          <t>Santana do Araguaia - PA</t>
        </is>
      </c>
      <c r="C2714" t="n">
        <v>-9.328099999999999</v>
      </c>
      <c r="D2714" t="n">
        <v>-50.35</v>
      </c>
      <c r="E2714" t="inlineStr">
        <is>
          <t>2022-07</t>
        </is>
      </c>
      <c r="F2714" t="n">
        <v>0</v>
      </c>
    </row>
    <row r="2715">
      <c r="A2715" t="inlineStr">
        <is>
          <t>Milho</t>
        </is>
      </c>
      <c r="B2715" t="inlineStr">
        <is>
          <t>Santana do Araguaia - PA</t>
        </is>
      </c>
      <c r="C2715" t="n">
        <v>-9.328099999999999</v>
      </c>
      <c r="D2715" t="n">
        <v>-50.35</v>
      </c>
      <c r="E2715" t="inlineStr">
        <is>
          <t>2022-08</t>
        </is>
      </c>
      <c r="F2715" t="n">
        <v>0</v>
      </c>
    </row>
    <row r="2716">
      <c r="A2716" t="inlineStr">
        <is>
          <t>Milho</t>
        </is>
      </c>
      <c r="B2716" t="inlineStr">
        <is>
          <t>Santana do Araguaia - PA</t>
        </is>
      </c>
      <c r="C2716" t="n">
        <v>-9.328099999999999</v>
      </c>
      <c r="D2716" t="n">
        <v>-50.35</v>
      </c>
      <c r="E2716" t="inlineStr">
        <is>
          <t>2022-09</t>
        </is>
      </c>
      <c r="F2716" t="n">
        <v>0</v>
      </c>
    </row>
    <row r="2717">
      <c r="A2717" t="inlineStr">
        <is>
          <t>Milho</t>
        </is>
      </c>
      <c r="B2717" t="inlineStr">
        <is>
          <t>Santana do Araguaia - PA</t>
        </is>
      </c>
      <c r="C2717" t="n">
        <v>-9.328099999999999</v>
      </c>
      <c r="D2717" t="n">
        <v>-50.35</v>
      </c>
      <c r="E2717" t="inlineStr">
        <is>
          <t>2022-10</t>
        </is>
      </c>
      <c r="F2717" t="n">
        <v>0</v>
      </c>
    </row>
    <row r="2718">
      <c r="A2718" t="inlineStr">
        <is>
          <t>Milho</t>
        </is>
      </c>
      <c r="B2718" t="inlineStr">
        <is>
          <t>Santana do Araguaia - PA</t>
        </is>
      </c>
      <c r="C2718" t="n">
        <v>-9.328099999999999</v>
      </c>
      <c r="D2718" t="n">
        <v>-50.35</v>
      </c>
      <c r="E2718" t="inlineStr">
        <is>
          <t>2022-11</t>
        </is>
      </c>
      <c r="F2718" t="n">
        <v>0</v>
      </c>
    </row>
    <row r="2719">
      <c r="A2719" t="inlineStr">
        <is>
          <t>Milho</t>
        </is>
      </c>
      <c r="B2719" t="inlineStr">
        <is>
          <t>Santana do Araguaia - PA</t>
        </is>
      </c>
      <c r="C2719" t="n">
        <v>-9.328099999999999</v>
      </c>
      <c r="D2719" t="n">
        <v>-50.35</v>
      </c>
      <c r="E2719" t="inlineStr">
        <is>
          <t>2022-12</t>
        </is>
      </c>
      <c r="F2719" t="n">
        <v>0</v>
      </c>
    </row>
    <row r="2720">
      <c r="A2720" t="inlineStr">
        <is>
          <t>Milho</t>
        </is>
      </c>
      <c r="B2720" t="inlineStr">
        <is>
          <t>Sousa - PB</t>
        </is>
      </c>
      <c r="C2720" t="n">
        <v>-6.75148</v>
      </c>
      <c r="D2720" t="n">
        <v>-38.2311</v>
      </c>
      <c r="E2720" t="inlineStr">
        <is>
          <t>2023-01</t>
        </is>
      </c>
      <c r="F2720" t="n">
        <v>0</v>
      </c>
    </row>
    <row r="2721">
      <c r="A2721" t="inlineStr">
        <is>
          <t>Milho</t>
        </is>
      </c>
      <c r="B2721" t="inlineStr">
        <is>
          <t>Sousa - PB</t>
        </is>
      </c>
      <c r="C2721" t="n">
        <v>-6.75148</v>
      </c>
      <c r="D2721" t="n">
        <v>-38.2311</v>
      </c>
      <c r="E2721" t="inlineStr">
        <is>
          <t>2023-02</t>
        </is>
      </c>
      <c r="F2721" t="n">
        <v>0</v>
      </c>
    </row>
    <row r="2722">
      <c r="A2722" t="inlineStr">
        <is>
          <t>Milho</t>
        </is>
      </c>
      <c r="B2722" t="inlineStr">
        <is>
          <t>Sousa - PB</t>
        </is>
      </c>
      <c r="C2722" t="n">
        <v>-6.75148</v>
      </c>
      <c r="D2722" t="n">
        <v>-38.2311</v>
      </c>
      <c r="E2722" t="inlineStr">
        <is>
          <t>2023-03</t>
        </is>
      </c>
      <c r="F2722" t="n">
        <v>0</v>
      </c>
    </row>
    <row r="2723">
      <c r="A2723" t="inlineStr">
        <is>
          <t>Milho</t>
        </is>
      </c>
      <c r="B2723" t="inlineStr">
        <is>
          <t>Sousa - PB</t>
        </is>
      </c>
      <c r="C2723" t="n">
        <v>-6.75148</v>
      </c>
      <c r="D2723" t="n">
        <v>-38.2311</v>
      </c>
      <c r="E2723" t="inlineStr">
        <is>
          <t>2023-04</t>
        </is>
      </c>
      <c r="F2723" t="n">
        <v>0</v>
      </c>
    </row>
    <row r="2724">
      <c r="A2724" t="inlineStr">
        <is>
          <t>Milho</t>
        </is>
      </c>
      <c r="B2724" t="inlineStr">
        <is>
          <t>Sousa - PB</t>
        </is>
      </c>
      <c r="C2724" t="n">
        <v>-6.75148</v>
      </c>
      <c r="D2724" t="n">
        <v>-38.2311</v>
      </c>
      <c r="E2724" t="inlineStr">
        <is>
          <t>2023-05</t>
        </is>
      </c>
      <c r="F2724" t="n">
        <v>0</v>
      </c>
    </row>
    <row r="2725">
      <c r="A2725" t="inlineStr">
        <is>
          <t>Milho</t>
        </is>
      </c>
      <c r="B2725" t="inlineStr">
        <is>
          <t>Sousa - PB</t>
        </is>
      </c>
      <c r="C2725" t="n">
        <v>-6.75148</v>
      </c>
      <c r="D2725" t="n">
        <v>-38.2311</v>
      </c>
      <c r="E2725" t="inlineStr">
        <is>
          <t>2023-06</t>
        </is>
      </c>
      <c r="F2725" t="n">
        <v>0</v>
      </c>
    </row>
    <row r="2726">
      <c r="A2726" t="inlineStr">
        <is>
          <t>Milho</t>
        </is>
      </c>
      <c r="B2726" t="inlineStr">
        <is>
          <t>Sousa - PB</t>
        </is>
      </c>
      <c r="C2726" t="n">
        <v>-6.75148</v>
      </c>
      <c r="D2726" t="n">
        <v>-38.2311</v>
      </c>
      <c r="E2726" t="inlineStr">
        <is>
          <t>2022-07</t>
        </is>
      </c>
      <c r="F2726" t="n">
        <v>0</v>
      </c>
    </row>
    <row r="2727">
      <c r="A2727" t="inlineStr">
        <is>
          <t>Milho</t>
        </is>
      </c>
      <c r="B2727" t="inlineStr">
        <is>
          <t>Sousa - PB</t>
        </is>
      </c>
      <c r="C2727" t="n">
        <v>-6.75148</v>
      </c>
      <c r="D2727" t="n">
        <v>-38.2311</v>
      </c>
      <c r="E2727" t="inlineStr">
        <is>
          <t>2022-08</t>
        </is>
      </c>
      <c r="F2727" t="n">
        <v>0</v>
      </c>
    </row>
    <row r="2728">
      <c r="A2728" t="inlineStr">
        <is>
          <t>Milho</t>
        </is>
      </c>
      <c r="B2728" t="inlineStr">
        <is>
          <t>Sousa - PB</t>
        </is>
      </c>
      <c r="C2728" t="n">
        <v>-6.75148</v>
      </c>
      <c r="D2728" t="n">
        <v>-38.2311</v>
      </c>
      <c r="E2728" t="inlineStr">
        <is>
          <t>2022-09</t>
        </is>
      </c>
      <c r="F2728" t="n">
        <v>0</v>
      </c>
    </row>
    <row r="2729">
      <c r="A2729" t="inlineStr">
        <is>
          <t>Milho</t>
        </is>
      </c>
      <c r="B2729" t="inlineStr">
        <is>
          <t>Sousa - PB</t>
        </is>
      </c>
      <c r="C2729" t="n">
        <v>-6.75148</v>
      </c>
      <c r="D2729" t="n">
        <v>-38.2311</v>
      </c>
      <c r="E2729" t="inlineStr">
        <is>
          <t>2022-10</t>
        </is>
      </c>
      <c r="F2729" t="n">
        <v>0</v>
      </c>
    </row>
    <row r="2730">
      <c r="A2730" t="inlineStr">
        <is>
          <t>Milho</t>
        </is>
      </c>
      <c r="B2730" t="inlineStr">
        <is>
          <t>Sousa - PB</t>
        </is>
      </c>
      <c r="C2730" t="n">
        <v>-6.75148</v>
      </c>
      <c r="D2730" t="n">
        <v>-38.2311</v>
      </c>
      <c r="E2730" t="inlineStr">
        <is>
          <t>2022-11</t>
        </is>
      </c>
      <c r="F2730" t="n">
        <v>0</v>
      </c>
    </row>
    <row r="2731">
      <c r="A2731" t="inlineStr">
        <is>
          <t>Milho</t>
        </is>
      </c>
      <c r="B2731" t="inlineStr">
        <is>
          <t>Sousa - PB</t>
        </is>
      </c>
      <c r="C2731" t="n">
        <v>-6.75148</v>
      </c>
      <c r="D2731" t="n">
        <v>-38.2311</v>
      </c>
      <c r="E2731" t="inlineStr">
        <is>
          <t>2022-12</t>
        </is>
      </c>
      <c r="F2731" t="n">
        <v>0</v>
      </c>
    </row>
    <row r="2732">
      <c r="A2732" t="inlineStr">
        <is>
          <t>Milho</t>
        </is>
      </c>
      <c r="B2732" t="inlineStr">
        <is>
          <t>Exu - PE</t>
        </is>
      </c>
      <c r="C2732" t="n">
        <v>-7.50364</v>
      </c>
      <c r="D2732" t="n">
        <v>-39.7238</v>
      </c>
      <c r="E2732" t="inlineStr">
        <is>
          <t>2023-01</t>
        </is>
      </c>
      <c r="F2732" t="n">
        <v>0</v>
      </c>
    </row>
    <row r="2733">
      <c r="A2733" t="inlineStr">
        <is>
          <t>Milho</t>
        </is>
      </c>
      <c r="B2733" t="inlineStr">
        <is>
          <t>Exu - PE</t>
        </is>
      </c>
      <c r="C2733" t="n">
        <v>-7.50364</v>
      </c>
      <c r="D2733" t="n">
        <v>-39.7238</v>
      </c>
      <c r="E2733" t="inlineStr">
        <is>
          <t>2023-02</t>
        </is>
      </c>
      <c r="F2733" t="n">
        <v>0</v>
      </c>
    </row>
    <row r="2734">
      <c r="A2734" t="inlineStr">
        <is>
          <t>Milho</t>
        </is>
      </c>
      <c r="B2734" t="inlineStr">
        <is>
          <t>Exu - PE</t>
        </is>
      </c>
      <c r="C2734" t="n">
        <v>-7.50364</v>
      </c>
      <c r="D2734" t="n">
        <v>-39.7238</v>
      </c>
      <c r="E2734" t="inlineStr">
        <is>
          <t>2023-03</t>
        </is>
      </c>
      <c r="F2734" t="n">
        <v>0</v>
      </c>
    </row>
    <row r="2735">
      <c r="A2735" t="inlineStr">
        <is>
          <t>Milho</t>
        </is>
      </c>
      <c r="B2735" t="inlineStr">
        <is>
          <t>Exu - PE</t>
        </is>
      </c>
      <c r="C2735" t="n">
        <v>-7.50364</v>
      </c>
      <c r="D2735" t="n">
        <v>-39.7238</v>
      </c>
      <c r="E2735" t="inlineStr">
        <is>
          <t>2023-04</t>
        </is>
      </c>
      <c r="F2735" t="n">
        <v>0</v>
      </c>
    </row>
    <row r="2736">
      <c r="A2736" t="inlineStr">
        <is>
          <t>Milho</t>
        </is>
      </c>
      <c r="B2736" t="inlineStr">
        <is>
          <t>Exu - PE</t>
        </is>
      </c>
      <c r="C2736" t="n">
        <v>-7.50364</v>
      </c>
      <c r="D2736" t="n">
        <v>-39.7238</v>
      </c>
      <c r="E2736" t="inlineStr">
        <is>
          <t>2023-05</t>
        </is>
      </c>
      <c r="F2736" t="n">
        <v>9140.326956957879</v>
      </c>
    </row>
    <row r="2737">
      <c r="A2737" t="inlineStr">
        <is>
          <t>Milho</t>
        </is>
      </c>
      <c r="B2737" t="inlineStr">
        <is>
          <t>Exu - PE</t>
        </is>
      </c>
      <c r="C2737" t="n">
        <v>-7.50364</v>
      </c>
      <c r="D2737" t="n">
        <v>-39.7238</v>
      </c>
      <c r="E2737" t="inlineStr">
        <is>
          <t>2023-06</t>
        </is>
      </c>
      <c r="F2737" t="n">
        <v>8130.996387940701</v>
      </c>
    </row>
    <row r="2738">
      <c r="A2738" t="inlineStr">
        <is>
          <t>Milho</t>
        </is>
      </c>
      <c r="B2738" t="inlineStr">
        <is>
          <t>Exu - PE</t>
        </is>
      </c>
      <c r="C2738" t="n">
        <v>-7.50364</v>
      </c>
      <c r="D2738" t="n">
        <v>-39.7238</v>
      </c>
      <c r="E2738" t="inlineStr">
        <is>
          <t>2022-07</t>
        </is>
      </c>
      <c r="F2738" t="n">
        <v>8003.85562582523</v>
      </c>
    </row>
    <row r="2739">
      <c r="A2739" t="inlineStr">
        <is>
          <t>Milho</t>
        </is>
      </c>
      <c r="B2739" t="inlineStr">
        <is>
          <t>Exu - PE</t>
        </is>
      </c>
      <c r="C2739" t="n">
        <v>-7.50364</v>
      </c>
      <c r="D2739" t="n">
        <v>-39.7238</v>
      </c>
      <c r="E2739" t="inlineStr">
        <is>
          <t>2022-08</t>
        </is>
      </c>
      <c r="F2739" t="n">
        <v>22338.56390290972</v>
      </c>
    </row>
    <row r="2740">
      <c r="A2740" t="inlineStr">
        <is>
          <t>Milho</t>
        </is>
      </c>
      <c r="B2740" t="inlineStr">
        <is>
          <t>Exu - PE</t>
        </is>
      </c>
      <c r="C2740" t="n">
        <v>-7.50364</v>
      </c>
      <c r="D2740" t="n">
        <v>-39.7238</v>
      </c>
      <c r="E2740" t="inlineStr">
        <is>
          <t>2022-09</t>
        </is>
      </c>
      <c r="F2740" t="n">
        <v>10459.60220418567</v>
      </c>
    </row>
    <row r="2741">
      <c r="A2741" t="inlineStr">
        <is>
          <t>Milho</t>
        </is>
      </c>
      <c r="B2741" t="inlineStr">
        <is>
          <t>Exu - PE</t>
        </is>
      </c>
      <c r="C2741" t="n">
        <v>-7.50364</v>
      </c>
      <c r="D2741" t="n">
        <v>-39.7238</v>
      </c>
      <c r="E2741" t="inlineStr">
        <is>
          <t>2022-10</t>
        </is>
      </c>
      <c r="F2741" t="n">
        <v>34011.78957965103</v>
      </c>
    </row>
    <row r="2742">
      <c r="A2742" t="inlineStr">
        <is>
          <t>Milho</t>
        </is>
      </c>
      <c r="B2742" t="inlineStr">
        <is>
          <t>Exu - PE</t>
        </is>
      </c>
      <c r="C2742" t="n">
        <v>-7.50364</v>
      </c>
      <c r="D2742" t="n">
        <v>-39.7238</v>
      </c>
      <c r="E2742" t="inlineStr">
        <is>
          <t>2022-11</t>
        </is>
      </c>
      <c r="F2742" t="n">
        <v>122232.408631448</v>
      </c>
    </row>
    <row r="2743">
      <c r="A2743" t="inlineStr">
        <is>
          <t>Milho</t>
        </is>
      </c>
      <c r="B2743" t="inlineStr">
        <is>
          <t>Exu - PE</t>
        </is>
      </c>
      <c r="C2743" t="n">
        <v>-7.50364</v>
      </c>
      <c r="D2743" t="n">
        <v>-39.7238</v>
      </c>
      <c r="E2743" t="inlineStr">
        <is>
          <t>2022-12</t>
        </is>
      </c>
      <c r="F2743" t="n">
        <v>0</v>
      </c>
    </row>
    <row r="2744">
      <c r="A2744" t="inlineStr">
        <is>
          <t>Milho</t>
        </is>
      </c>
      <c r="B2744" t="inlineStr">
        <is>
          <t>Baixa Grande do Ribeiro - PI</t>
        </is>
      </c>
      <c r="C2744" t="n">
        <v>-7.84903</v>
      </c>
      <c r="D2744" t="n">
        <v>-45.219</v>
      </c>
      <c r="E2744" t="inlineStr">
        <is>
          <t>2023-01</t>
        </is>
      </c>
      <c r="F2744" t="n">
        <v>0</v>
      </c>
    </row>
    <row r="2745">
      <c r="A2745" t="inlineStr">
        <is>
          <t>Milho</t>
        </is>
      </c>
      <c r="B2745" t="inlineStr">
        <is>
          <t>Baixa Grande do Ribeiro - PI</t>
        </is>
      </c>
      <c r="C2745" t="n">
        <v>-7.84903</v>
      </c>
      <c r="D2745" t="n">
        <v>-45.219</v>
      </c>
      <c r="E2745" t="inlineStr">
        <is>
          <t>2023-02</t>
        </is>
      </c>
      <c r="F2745" t="n">
        <v>0</v>
      </c>
    </row>
    <row r="2746">
      <c r="A2746" t="inlineStr">
        <is>
          <t>Milho</t>
        </is>
      </c>
      <c r="B2746" t="inlineStr">
        <is>
          <t>Baixa Grande do Ribeiro - PI</t>
        </is>
      </c>
      <c r="C2746" t="n">
        <v>-7.84903</v>
      </c>
      <c r="D2746" t="n">
        <v>-45.219</v>
      </c>
      <c r="E2746" t="inlineStr">
        <is>
          <t>2023-03</t>
        </is>
      </c>
      <c r="F2746" t="n">
        <v>0</v>
      </c>
    </row>
    <row r="2747">
      <c r="A2747" t="inlineStr">
        <is>
          <t>Milho</t>
        </is>
      </c>
      <c r="B2747" t="inlineStr">
        <is>
          <t>Baixa Grande do Ribeiro - PI</t>
        </is>
      </c>
      <c r="C2747" t="n">
        <v>-7.84903</v>
      </c>
      <c r="D2747" t="n">
        <v>-45.219</v>
      </c>
      <c r="E2747" t="inlineStr">
        <is>
          <t>2023-04</t>
        </is>
      </c>
      <c r="F2747" t="n">
        <v>0</v>
      </c>
    </row>
    <row r="2748">
      <c r="A2748" t="inlineStr">
        <is>
          <t>Milho</t>
        </is>
      </c>
      <c r="B2748" t="inlineStr">
        <is>
          <t>Baixa Grande do Ribeiro - PI</t>
        </is>
      </c>
      <c r="C2748" t="n">
        <v>-7.84903</v>
      </c>
      <c r="D2748" t="n">
        <v>-45.219</v>
      </c>
      <c r="E2748" t="inlineStr">
        <is>
          <t>2023-05</t>
        </is>
      </c>
      <c r="F2748" t="n">
        <v>0</v>
      </c>
    </row>
    <row r="2749">
      <c r="A2749" t="inlineStr">
        <is>
          <t>Milho</t>
        </is>
      </c>
      <c r="B2749" t="inlineStr">
        <is>
          <t>Baixa Grande do Ribeiro - PI</t>
        </is>
      </c>
      <c r="C2749" t="n">
        <v>-7.84903</v>
      </c>
      <c r="D2749" t="n">
        <v>-45.219</v>
      </c>
      <c r="E2749" t="inlineStr">
        <is>
          <t>2023-06</t>
        </is>
      </c>
      <c r="F2749" t="n">
        <v>0</v>
      </c>
    </row>
    <row r="2750">
      <c r="A2750" t="inlineStr">
        <is>
          <t>Milho</t>
        </is>
      </c>
      <c r="B2750" t="inlineStr">
        <is>
          <t>Baixa Grande do Ribeiro - PI</t>
        </is>
      </c>
      <c r="C2750" t="n">
        <v>-7.84903</v>
      </c>
      <c r="D2750" t="n">
        <v>-45.219</v>
      </c>
      <c r="E2750" t="inlineStr">
        <is>
          <t>2022-07</t>
        </is>
      </c>
      <c r="F2750" t="n">
        <v>0</v>
      </c>
    </row>
    <row r="2751">
      <c r="A2751" t="inlineStr">
        <is>
          <t>Milho</t>
        </is>
      </c>
      <c r="B2751" t="inlineStr">
        <is>
          <t>Baixa Grande do Ribeiro - PI</t>
        </is>
      </c>
      <c r="C2751" t="n">
        <v>-7.84903</v>
      </c>
      <c r="D2751" t="n">
        <v>-45.219</v>
      </c>
      <c r="E2751" t="inlineStr">
        <is>
          <t>2022-08</t>
        </is>
      </c>
      <c r="F2751" t="n">
        <v>0</v>
      </c>
    </row>
    <row r="2752">
      <c r="A2752" t="inlineStr">
        <is>
          <t>Milho</t>
        </is>
      </c>
      <c r="B2752" t="inlineStr">
        <is>
          <t>Baixa Grande do Ribeiro - PI</t>
        </is>
      </c>
      <c r="C2752" t="n">
        <v>-7.84903</v>
      </c>
      <c r="D2752" t="n">
        <v>-45.219</v>
      </c>
      <c r="E2752" t="inlineStr">
        <is>
          <t>2022-09</t>
        </is>
      </c>
      <c r="F2752" t="n">
        <v>0</v>
      </c>
    </row>
    <row r="2753">
      <c r="A2753" t="inlineStr">
        <is>
          <t>Milho</t>
        </is>
      </c>
      <c r="B2753" t="inlineStr">
        <is>
          <t>Baixa Grande do Ribeiro - PI</t>
        </is>
      </c>
      <c r="C2753" t="n">
        <v>-7.84903</v>
      </c>
      <c r="D2753" t="n">
        <v>-45.219</v>
      </c>
      <c r="E2753" t="inlineStr">
        <is>
          <t>2022-10</t>
        </is>
      </c>
      <c r="F2753" t="n">
        <v>0</v>
      </c>
    </row>
    <row r="2754">
      <c r="A2754" t="inlineStr">
        <is>
          <t>Milho</t>
        </is>
      </c>
      <c r="B2754" t="inlineStr">
        <is>
          <t>Baixa Grande do Ribeiro - PI</t>
        </is>
      </c>
      <c r="C2754" t="n">
        <v>-7.84903</v>
      </c>
      <c r="D2754" t="n">
        <v>-45.219</v>
      </c>
      <c r="E2754" t="inlineStr">
        <is>
          <t>2022-11</t>
        </is>
      </c>
      <c r="F2754" t="n">
        <v>0</v>
      </c>
    </row>
    <row r="2755">
      <c r="A2755" t="inlineStr">
        <is>
          <t>Milho</t>
        </is>
      </c>
      <c r="B2755" t="inlineStr">
        <is>
          <t>Baixa Grande do Ribeiro - PI</t>
        </is>
      </c>
      <c r="C2755" t="n">
        <v>-7.84903</v>
      </c>
      <c r="D2755" t="n">
        <v>-45.219</v>
      </c>
      <c r="E2755" t="inlineStr">
        <is>
          <t>2022-12</t>
        </is>
      </c>
      <c r="F2755" t="n">
        <v>0</v>
      </c>
    </row>
    <row r="2756">
      <c r="A2756" t="inlineStr">
        <is>
          <t>Milho</t>
        </is>
      </c>
      <c r="B2756" t="inlineStr">
        <is>
          <t>Toledo - PR</t>
        </is>
      </c>
      <c r="C2756" t="n">
        <v>-24.7246</v>
      </c>
      <c r="D2756" t="n">
        <v>-53.7412</v>
      </c>
      <c r="E2756" t="inlineStr">
        <is>
          <t>2023-01</t>
        </is>
      </c>
      <c r="F2756" t="n">
        <v>0</v>
      </c>
    </row>
    <row r="2757">
      <c r="A2757" t="inlineStr">
        <is>
          <t>Milho</t>
        </is>
      </c>
      <c r="B2757" t="inlineStr">
        <is>
          <t>Toledo - PR</t>
        </is>
      </c>
      <c r="C2757" t="n">
        <v>-24.7246</v>
      </c>
      <c r="D2757" t="n">
        <v>-53.7412</v>
      </c>
      <c r="E2757" t="inlineStr">
        <is>
          <t>2023-02</t>
        </is>
      </c>
      <c r="F2757" t="n">
        <v>0</v>
      </c>
    </row>
    <row r="2758">
      <c r="A2758" t="inlineStr">
        <is>
          <t>Milho</t>
        </is>
      </c>
      <c r="B2758" t="inlineStr">
        <is>
          <t>Toledo - PR</t>
        </is>
      </c>
      <c r="C2758" t="n">
        <v>-24.7246</v>
      </c>
      <c r="D2758" t="n">
        <v>-53.7412</v>
      </c>
      <c r="E2758" t="inlineStr">
        <is>
          <t>2023-03</t>
        </is>
      </c>
      <c r="F2758" t="n">
        <v>0</v>
      </c>
    </row>
    <row r="2759">
      <c r="A2759" t="inlineStr">
        <is>
          <t>Milho</t>
        </is>
      </c>
      <c r="B2759" t="inlineStr">
        <is>
          <t>Toledo - PR</t>
        </is>
      </c>
      <c r="C2759" t="n">
        <v>-24.7246</v>
      </c>
      <c r="D2759" t="n">
        <v>-53.7412</v>
      </c>
      <c r="E2759" t="inlineStr">
        <is>
          <t>2023-04</t>
        </is>
      </c>
      <c r="F2759" t="n">
        <v>0</v>
      </c>
    </row>
    <row r="2760">
      <c r="A2760" t="inlineStr">
        <is>
          <t>Milho</t>
        </is>
      </c>
      <c r="B2760" t="inlineStr">
        <is>
          <t>Toledo - PR</t>
        </is>
      </c>
      <c r="C2760" t="n">
        <v>-24.7246</v>
      </c>
      <c r="D2760" t="n">
        <v>-53.7412</v>
      </c>
      <c r="E2760" t="inlineStr">
        <is>
          <t>2023-05</t>
        </is>
      </c>
      <c r="F2760" t="n">
        <v>0</v>
      </c>
    </row>
    <row r="2761">
      <c r="A2761" t="inlineStr">
        <is>
          <t>Milho</t>
        </is>
      </c>
      <c r="B2761" t="inlineStr">
        <is>
          <t>Toledo - PR</t>
        </is>
      </c>
      <c r="C2761" t="n">
        <v>-24.7246</v>
      </c>
      <c r="D2761" t="n">
        <v>-53.7412</v>
      </c>
      <c r="E2761" t="inlineStr">
        <is>
          <t>2023-06</t>
        </is>
      </c>
      <c r="F2761" t="n">
        <v>0</v>
      </c>
    </row>
    <row r="2762">
      <c r="A2762" t="inlineStr">
        <is>
          <t>Milho</t>
        </is>
      </c>
      <c r="B2762" t="inlineStr">
        <is>
          <t>Toledo - PR</t>
        </is>
      </c>
      <c r="C2762" t="n">
        <v>-24.7246</v>
      </c>
      <c r="D2762" t="n">
        <v>-53.7412</v>
      </c>
      <c r="E2762" t="inlineStr">
        <is>
          <t>2022-07</t>
        </is>
      </c>
      <c r="F2762" t="n">
        <v>0</v>
      </c>
    </row>
    <row r="2763">
      <c r="A2763" t="inlineStr">
        <is>
          <t>Milho</t>
        </is>
      </c>
      <c r="B2763" t="inlineStr">
        <is>
          <t>Toledo - PR</t>
        </is>
      </c>
      <c r="C2763" t="n">
        <v>-24.7246</v>
      </c>
      <c r="D2763" t="n">
        <v>-53.7412</v>
      </c>
      <c r="E2763" t="inlineStr">
        <is>
          <t>2022-08</t>
        </is>
      </c>
      <c r="F2763" t="n">
        <v>0</v>
      </c>
    </row>
    <row r="2764">
      <c r="A2764" t="inlineStr">
        <is>
          <t>Milho</t>
        </is>
      </c>
      <c r="B2764" t="inlineStr">
        <is>
          <t>Toledo - PR</t>
        </is>
      </c>
      <c r="C2764" t="n">
        <v>-24.7246</v>
      </c>
      <c r="D2764" t="n">
        <v>-53.7412</v>
      </c>
      <c r="E2764" t="inlineStr">
        <is>
          <t>2022-09</t>
        </is>
      </c>
      <c r="F2764" t="n">
        <v>0</v>
      </c>
    </row>
    <row r="2765">
      <c r="A2765" t="inlineStr">
        <is>
          <t>Milho</t>
        </is>
      </c>
      <c r="B2765" t="inlineStr">
        <is>
          <t>Toledo - PR</t>
        </is>
      </c>
      <c r="C2765" t="n">
        <v>-24.7246</v>
      </c>
      <c r="D2765" t="n">
        <v>-53.7412</v>
      </c>
      <c r="E2765" t="inlineStr">
        <is>
          <t>2022-10</t>
        </is>
      </c>
      <c r="F2765" t="n">
        <v>0</v>
      </c>
    </row>
    <row r="2766">
      <c r="A2766" t="inlineStr">
        <is>
          <t>Milho</t>
        </is>
      </c>
      <c r="B2766" t="inlineStr">
        <is>
          <t>Toledo - PR</t>
        </is>
      </c>
      <c r="C2766" t="n">
        <v>-24.7246</v>
      </c>
      <c r="D2766" t="n">
        <v>-53.7412</v>
      </c>
      <c r="E2766" t="inlineStr">
        <is>
          <t>2022-11</t>
        </is>
      </c>
      <c r="F2766" t="n">
        <v>0</v>
      </c>
    </row>
    <row r="2767">
      <c r="A2767" t="inlineStr">
        <is>
          <t>Milho</t>
        </is>
      </c>
      <c r="B2767" t="inlineStr">
        <is>
          <t>Toledo - PR</t>
        </is>
      </c>
      <c r="C2767" t="n">
        <v>-24.7246</v>
      </c>
      <c r="D2767" t="n">
        <v>-53.7412</v>
      </c>
      <c r="E2767" t="inlineStr">
        <is>
          <t>2022-12</t>
        </is>
      </c>
      <c r="F2767" t="n">
        <v>0</v>
      </c>
    </row>
    <row r="2768">
      <c r="A2768" t="inlineStr">
        <is>
          <t>Milho</t>
        </is>
      </c>
      <c r="B2768" t="inlineStr">
        <is>
          <t>Macaé - RJ</t>
        </is>
      </c>
      <c r="C2768" t="n">
        <v>-22.3768</v>
      </c>
      <c r="D2768" t="n">
        <v>-41.7848</v>
      </c>
      <c r="E2768" t="inlineStr">
        <is>
          <t>2023-01</t>
        </is>
      </c>
      <c r="F2768" t="n">
        <v>0</v>
      </c>
    </row>
    <row r="2769">
      <c r="A2769" t="inlineStr">
        <is>
          <t>Milho</t>
        </is>
      </c>
      <c r="B2769" t="inlineStr">
        <is>
          <t>Macaé - RJ</t>
        </is>
      </c>
      <c r="C2769" t="n">
        <v>-22.3768</v>
      </c>
      <c r="D2769" t="n">
        <v>-41.7848</v>
      </c>
      <c r="E2769" t="inlineStr">
        <is>
          <t>2023-02</t>
        </is>
      </c>
      <c r="F2769" t="n">
        <v>0</v>
      </c>
    </row>
    <row r="2770">
      <c r="A2770" t="inlineStr">
        <is>
          <t>Milho</t>
        </is>
      </c>
      <c r="B2770" t="inlineStr">
        <is>
          <t>Macaé - RJ</t>
        </is>
      </c>
      <c r="C2770" t="n">
        <v>-22.3768</v>
      </c>
      <c r="D2770" t="n">
        <v>-41.7848</v>
      </c>
      <c r="E2770" t="inlineStr">
        <is>
          <t>2023-03</t>
        </is>
      </c>
      <c r="F2770" t="n">
        <v>0</v>
      </c>
    </row>
    <row r="2771">
      <c r="A2771" t="inlineStr">
        <is>
          <t>Milho</t>
        </is>
      </c>
      <c r="B2771" t="inlineStr">
        <is>
          <t>Macaé - RJ</t>
        </is>
      </c>
      <c r="C2771" t="n">
        <v>-22.3768</v>
      </c>
      <c r="D2771" t="n">
        <v>-41.7848</v>
      </c>
      <c r="E2771" t="inlineStr">
        <is>
          <t>2023-04</t>
        </is>
      </c>
      <c r="F2771" t="n">
        <v>0</v>
      </c>
    </row>
    <row r="2772">
      <c r="A2772" t="inlineStr">
        <is>
          <t>Milho</t>
        </is>
      </c>
      <c r="B2772" t="inlineStr">
        <is>
          <t>Macaé - RJ</t>
        </is>
      </c>
      <c r="C2772" t="n">
        <v>-22.3768</v>
      </c>
      <c r="D2772" t="n">
        <v>-41.7848</v>
      </c>
      <c r="E2772" t="inlineStr">
        <is>
          <t>2023-05</t>
        </is>
      </c>
      <c r="F2772" t="n">
        <v>0</v>
      </c>
    </row>
    <row r="2773">
      <c r="A2773" t="inlineStr">
        <is>
          <t>Milho</t>
        </is>
      </c>
      <c r="B2773" t="inlineStr">
        <is>
          <t>Macaé - RJ</t>
        </is>
      </c>
      <c r="C2773" t="n">
        <v>-22.3768</v>
      </c>
      <c r="D2773" t="n">
        <v>-41.7848</v>
      </c>
      <c r="E2773" t="inlineStr">
        <is>
          <t>2023-06</t>
        </is>
      </c>
      <c r="F2773" t="n">
        <v>0</v>
      </c>
    </row>
    <row r="2774">
      <c r="A2774" t="inlineStr">
        <is>
          <t>Milho</t>
        </is>
      </c>
      <c r="B2774" t="inlineStr">
        <is>
          <t>Macaé - RJ</t>
        </is>
      </c>
      <c r="C2774" t="n">
        <v>-22.3768</v>
      </c>
      <c r="D2774" t="n">
        <v>-41.7848</v>
      </c>
      <c r="E2774" t="inlineStr">
        <is>
          <t>2022-07</t>
        </is>
      </c>
      <c r="F2774" t="n">
        <v>0</v>
      </c>
    </row>
    <row r="2775">
      <c r="A2775" t="inlineStr">
        <is>
          <t>Milho</t>
        </is>
      </c>
      <c r="B2775" t="inlineStr">
        <is>
          <t>Macaé - RJ</t>
        </is>
      </c>
      <c r="C2775" t="n">
        <v>-22.3768</v>
      </c>
      <c r="D2775" t="n">
        <v>-41.7848</v>
      </c>
      <c r="E2775" t="inlineStr">
        <is>
          <t>2022-08</t>
        </is>
      </c>
      <c r="F2775" t="n">
        <v>0</v>
      </c>
    </row>
    <row r="2776">
      <c r="A2776" t="inlineStr">
        <is>
          <t>Milho</t>
        </is>
      </c>
      <c r="B2776" t="inlineStr">
        <is>
          <t>Macaé - RJ</t>
        </is>
      </c>
      <c r="C2776" t="n">
        <v>-22.3768</v>
      </c>
      <c r="D2776" t="n">
        <v>-41.7848</v>
      </c>
      <c r="E2776" t="inlineStr">
        <is>
          <t>2022-09</t>
        </is>
      </c>
      <c r="F2776" t="n">
        <v>0</v>
      </c>
    </row>
    <row r="2777">
      <c r="A2777" t="inlineStr">
        <is>
          <t>Milho</t>
        </is>
      </c>
      <c r="B2777" t="inlineStr">
        <is>
          <t>Macaé - RJ</t>
        </is>
      </c>
      <c r="C2777" t="n">
        <v>-22.3768</v>
      </c>
      <c r="D2777" t="n">
        <v>-41.7848</v>
      </c>
      <c r="E2777" t="inlineStr">
        <is>
          <t>2022-10</t>
        </is>
      </c>
      <c r="F2777" t="n">
        <v>0</v>
      </c>
    </row>
    <row r="2778">
      <c r="A2778" t="inlineStr">
        <is>
          <t>Milho</t>
        </is>
      </c>
      <c r="B2778" t="inlineStr">
        <is>
          <t>Macaé - RJ</t>
        </is>
      </c>
      <c r="C2778" t="n">
        <v>-22.3768</v>
      </c>
      <c r="D2778" t="n">
        <v>-41.7848</v>
      </c>
      <c r="E2778" t="inlineStr">
        <is>
          <t>2022-11</t>
        </is>
      </c>
      <c r="F2778" t="n">
        <v>0</v>
      </c>
    </row>
    <row r="2779">
      <c r="A2779" t="inlineStr">
        <is>
          <t>Milho</t>
        </is>
      </c>
      <c r="B2779" t="inlineStr">
        <is>
          <t>Macaé - RJ</t>
        </is>
      </c>
      <c r="C2779" t="n">
        <v>-22.3768</v>
      </c>
      <c r="D2779" t="n">
        <v>-41.7848</v>
      </c>
      <c r="E2779" t="inlineStr">
        <is>
          <t>2022-12</t>
        </is>
      </c>
      <c r="F2779" t="n">
        <v>0</v>
      </c>
    </row>
    <row r="2780">
      <c r="A2780" t="inlineStr">
        <is>
          <t>Milho</t>
        </is>
      </c>
      <c r="B2780" t="inlineStr">
        <is>
          <t>Apodi - RN</t>
        </is>
      </c>
      <c r="C2780" t="n">
        <v>-5.65349</v>
      </c>
      <c r="D2780" t="n">
        <v>-37.7946</v>
      </c>
      <c r="E2780" t="inlineStr">
        <is>
          <t>2023-01</t>
        </is>
      </c>
      <c r="F2780" t="n">
        <v>0</v>
      </c>
    </row>
    <row r="2781">
      <c r="A2781" t="inlineStr">
        <is>
          <t>Milho</t>
        </is>
      </c>
      <c r="B2781" t="inlineStr">
        <is>
          <t>Apodi - RN</t>
        </is>
      </c>
      <c r="C2781" t="n">
        <v>-5.65349</v>
      </c>
      <c r="D2781" t="n">
        <v>-37.7946</v>
      </c>
      <c r="E2781" t="inlineStr">
        <is>
          <t>2023-02</t>
        </is>
      </c>
      <c r="F2781" t="n">
        <v>0</v>
      </c>
    </row>
    <row r="2782">
      <c r="A2782" t="inlineStr">
        <is>
          <t>Milho</t>
        </is>
      </c>
      <c r="B2782" t="inlineStr">
        <is>
          <t>Apodi - RN</t>
        </is>
      </c>
      <c r="C2782" t="n">
        <v>-5.65349</v>
      </c>
      <c r="D2782" t="n">
        <v>-37.7946</v>
      </c>
      <c r="E2782" t="inlineStr">
        <is>
          <t>2023-03</t>
        </is>
      </c>
      <c r="F2782" t="n">
        <v>0</v>
      </c>
    </row>
    <row r="2783">
      <c r="A2783" t="inlineStr">
        <is>
          <t>Milho</t>
        </is>
      </c>
      <c r="B2783" t="inlineStr">
        <is>
          <t>Apodi - RN</t>
        </is>
      </c>
      <c r="C2783" t="n">
        <v>-5.65349</v>
      </c>
      <c r="D2783" t="n">
        <v>-37.7946</v>
      </c>
      <c r="E2783" t="inlineStr">
        <is>
          <t>2023-04</t>
        </is>
      </c>
      <c r="F2783" t="n">
        <v>0</v>
      </c>
    </row>
    <row r="2784">
      <c r="A2784" t="inlineStr">
        <is>
          <t>Milho</t>
        </is>
      </c>
      <c r="B2784" t="inlineStr">
        <is>
          <t>Apodi - RN</t>
        </is>
      </c>
      <c r="C2784" t="n">
        <v>-5.65349</v>
      </c>
      <c r="D2784" t="n">
        <v>-37.7946</v>
      </c>
      <c r="E2784" t="inlineStr">
        <is>
          <t>2023-05</t>
        </is>
      </c>
      <c r="F2784" t="n">
        <v>0</v>
      </c>
    </row>
    <row r="2785">
      <c r="A2785" t="inlineStr">
        <is>
          <t>Milho</t>
        </is>
      </c>
      <c r="B2785" t="inlineStr">
        <is>
          <t>Apodi - RN</t>
        </is>
      </c>
      <c r="C2785" t="n">
        <v>-5.65349</v>
      </c>
      <c r="D2785" t="n">
        <v>-37.7946</v>
      </c>
      <c r="E2785" t="inlineStr">
        <is>
          <t>2023-06</t>
        </is>
      </c>
      <c r="F2785" t="n">
        <v>0</v>
      </c>
    </row>
    <row r="2786">
      <c r="A2786" t="inlineStr">
        <is>
          <t>Milho</t>
        </is>
      </c>
      <c r="B2786" t="inlineStr">
        <is>
          <t>Apodi - RN</t>
        </is>
      </c>
      <c r="C2786" t="n">
        <v>-5.65349</v>
      </c>
      <c r="D2786" t="n">
        <v>-37.7946</v>
      </c>
      <c r="E2786" t="inlineStr">
        <is>
          <t>2022-07</t>
        </is>
      </c>
      <c r="F2786" t="n">
        <v>0</v>
      </c>
    </row>
    <row r="2787">
      <c r="A2787" t="inlineStr">
        <is>
          <t>Milho</t>
        </is>
      </c>
      <c r="B2787" t="inlineStr">
        <is>
          <t>Apodi - RN</t>
        </is>
      </c>
      <c r="C2787" t="n">
        <v>-5.65349</v>
      </c>
      <c r="D2787" t="n">
        <v>-37.7946</v>
      </c>
      <c r="E2787" t="inlineStr">
        <is>
          <t>2022-08</t>
        </is>
      </c>
      <c r="F2787" t="n">
        <v>0</v>
      </c>
    </row>
    <row r="2788">
      <c r="A2788" t="inlineStr">
        <is>
          <t>Milho</t>
        </is>
      </c>
      <c r="B2788" t="inlineStr">
        <is>
          <t>Apodi - RN</t>
        </is>
      </c>
      <c r="C2788" t="n">
        <v>-5.65349</v>
      </c>
      <c r="D2788" t="n">
        <v>-37.7946</v>
      </c>
      <c r="E2788" t="inlineStr">
        <is>
          <t>2022-09</t>
        </is>
      </c>
      <c r="F2788" t="n">
        <v>0</v>
      </c>
    </row>
    <row r="2789">
      <c r="A2789" t="inlineStr">
        <is>
          <t>Milho</t>
        </is>
      </c>
      <c r="B2789" t="inlineStr">
        <is>
          <t>Apodi - RN</t>
        </is>
      </c>
      <c r="C2789" t="n">
        <v>-5.65349</v>
      </c>
      <c r="D2789" t="n">
        <v>-37.7946</v>
      </c>
      <c r="E2789" t="inlineStr">
        <is>
          <t>2022-10</t>
        </is>
      </c>
      <c r="F2789" t="n">
        <v>0</v>
      </c>
    </row>
    <row r="2790">
      <c r="A2790" t="inlineStr">
        <is>
          <t>Milho</t>
        </is>
      </c>
      <c r="B2790" t="inlineStr">
        <is>
          <t>Apodi - RN</t>
        </is>
      </c>
      <c r="C2790" t="n">
        <v>-5.65349</v>
      </c>
      <c r="D2790" t="n">
        <v>-37.7946</v>
      </c>
      <c r="E2790" t="inlineStr">
        <is>
          <t>2022-11</t>
        </is>
      </c>
      <c r="F2790" t="n">
        <v>0</v>
      </c>
    </row>
    <row r="2791">
      <c r="A2791" t="inlineStr">
        <is>
          <t>Milho</t>
        </is>
      </c>
      <c r="B2791" t="inlineStr">
        <is>
          <t>Apodi - RN</t>
        </is>
      </c>
      <c r="C2791" t="n">
        <v>-5.65349</v>
      </c>
      <c r="D2791" t="n">
        <v>-37.7946</v>
      </c>
      <c r="E2791" t="inlineStr">
        <is>
          <t>2022-12</t>
        </is>
      </c>
      <c r="F2791" t="n">
        <v>0</v>
      </c>
    </row>
    <row r="2792">
      <c r="A2792" t="inlineStr">
        <is>
          <t>Milho</t>
        </is>
      </c>
      <c r="B2792" t="inlineStr">
        <is>
          <t>Pimenteiras do Oeste - RO</t>
        </is>
      </c>
      <c r="C2792" t="n">
        <v>-13.4823</v>
      </c>
      <c r="D2792" t="n">
        <v>-61.0471</v>
      </c>
      <c r="E2792" t="inlineStr">
        <is>
          <t>2023-01</t>
        </is>
      </c>
      <c r="F2792" t="n">
        <v>0</v>
      </c>
    </row>
    <row r="2793">
      <c r="A2793" t="inlineStr">
        <is>
          <t>Milho</t>
        </is>
      </c>
      <c r="B2793" t="inlineStr">
        <is>
          <t>Pimenteiras do Oeste - RO</t>
        </is>
      </c>
      <c r="C2793" t="n">
        <v>-13.4823</v>
      </c>
      <c r="D2793" t="n">
        <v>-61.0471</v>
      </c>
      <c r="E2793" t="inlineStr">
        <is>
          <t>2023-02</t>
        </is>
      </c>
      <c r="F2793" t="n">
        <v>0</v>
      </c>
    </row>
    <row r="2794">
      <c r="A2794" t="inlineStr">
        <is>
          <t>Milho</t>
        </is>
      </c>
      <c r="B2794" t="inlineStr">
        <is>
          <t>Pimenteiras do Oeste - RO</t>
        </is>
      </c>
      <c r="C2794" t="n">
        <v>-13.4823</v>
      </c>
      <c r="D2794" t="n">
        <v>-61.0471</v>
      </c>
      <c r="E2794" t="inlineStr">
        <is>
          <t>2023-03</t>
        </is>
      </c>
      <c r="F2794" t="n">
        <v>0</v>
      </c>
    </row>
    <row r="2795">
      <c r="A2795" t="inlineStr">
        <is>
          <t>Milho</t>
        </is>
      </c>
      <c r="B2795" t="inlineStr">
        <is>
          <t>Pimenteiras do Oeste - RO</t>
        </is>
      </c>
      <c r="C2795" t="n">
        <v>-13.4823</v>
      </c>
      <c r="D2795" t="n">
        <v>-61.0471</v>
      </c>
      <c r="E2795" t="inlineStr">
        <is>
          <t>2023-04</t>
        </is>
      </c>
      <c r="F2795" t="n">
        <v>0</v>
      </c>
    </row>
    <row r="2796">
      <c r="A2796" t="inlineStr">
        <is>
          <t>Milho</t>
        </is>
      </c>
      <c r="B2796" t="inlineStr">
        <is>
          <t>Pimenteiras do Oeste - RO</t>
        </is>
      </c>
      <c r="C2796" t="n">
        <v>-13.4823</v>
      </c>
      <c r="D2796" t="n">
        <v>-61.0471</v>
      </c>
      <c r="E2796" t="inlineStr">
        <is>
          <t>2023-05</t>
        </is>
      </c>
      <c r="F2796" t="n">
        <v>0</v>
      </c>
    </row>
    <row r="2797">
      <c r="A2797" t="inlineStr">
        <is>
          <t>Milho</t>
        </is>
      </c>
      <c r="B2797" t="inlineStr">
        <is>
          <t>Pimenteiras do Oeste - RO</t>
        </is>
      </c>
      <c r="C2797" t="n">
        <v>-13.4823</v>
      </c>
      <c r="D2797" t="n">
        <v>-61.0471</v>
      </c>
      <c r="E2797" t="inlineStr">
        <is>
          <t>2023-06</t>
        </is>
      </c>
      <c r="F2797" t="n">
        <v>0</v>
      </c>
    </row>
    <row r="2798">
      <c r="A2798" t="inlineStr">
        <is>
          <t>Milho</t>
        </is>
      </c>
      <c r="B2798" t="inlineStr">
        <is>
          <t>Pimenteiras do Oeste - RO</t>
        </is>
      </c>
      <c r="C2798" t="n">
        <v>-13.4823</v>
      </c>
      <c r="D2798" t="n">
        <v>-61.0471</v>
      </c>
      <c r="E2798" t="inlineStr">
        <is>
          <t>2022-07</t>
        </is>
      </c>
      <c r="F2798" t="n">
        <v>0</v>
      </c>
    </row>
    <row r="2799">
      <c r="A2799" t="inlineStr">
        <is>
          <t>Milho</t>
        </is>
      </c>
      <c r="B2799" t="inlineStr">
        <is>
          <t>Pimenteiras do Oeste - RO</t>
        </is>
      </c>
      <c r="C2799" t="n">
        <v>-13.4823</v>
      </c>
      <c r="D2799" t="n">
        <v>-61.0471</v>
      </c>
      <c r="E2799" t="inlineStr">
        <is>
          <t>2022-08</t>
        </is>
      </c>
      <c r="F2799" t="n">
        <v>0</v>
      </c>
    </row>
    <row r="2800">
      <c r="A2800" t="inlineStr">
        <is>
          <t>Milho</t>
        </is>
      </c>
      <c r="B2800" t="inlineStr">
        <is>
          <t>Pimenteiras do Oeste - RO</t>
        </is>
      </c>
      <c r="C2800" t="n">
        <v>-13.4823</v>
      </c>
      <c r="D2800" t="n">
        <v>-61.0471</v>
      </c>
      <c r="E2800" t="inlineStr">
        <is>
          <t>2022-09</t>
        </is>
      </c>
      <c r="F2800" t="n">
        <v>0</v>
      </c>
    </row>
    <row r="2801">
      <c r="A2801" t="inlineStr">
        <is>
          <t>Milho</t>
        </is>
      </c>
      <c r="B2801" t="inlineStr">
        <is>
          <t>Pimenteiras do Oeste - RO</t>
        </is>
      </c>
      <c r="C2801" t="n">
        <v>-13.4823</v>
      </c>
      <c r="D2801" t="n">
        <v>-61.0471</v>
      </c>
      <c r="E2801" t="inlineStr">
        <is>
          <t>2022-10</t>
        </is>
      </c>
      <c r="F2801" t="n">
        <v>0</v>
      </c>
    </row>
    <row r="2802">
      <c r="A2802" t="inlineStr">
        <is>
          <t>Milho</t>
        </is>
      </c>
      <c r="B2802" t="inlineStr">
        <is>
          <t>Pimenteiras do Oeste - RO</t>
        </is>
      </c>
      <c r="C2802" t="n">
        <v>-13.4823</v>
      </c>
      <c r="D2802" t="n">
        <v>-61.0471</v>
      </c>
      <c r="E2802" t="inlineStr">
        <is>
          <t>2022-11</t>
        </is>
      </c>
      <c r="F2802" t="n">
        <v>0</v>
      </c>
    </row>
    <row r="2803">
      <c r="A2803" t="inlineStr">
        <is>
          <t>Milho</t>
        </is>
      </c>
      <c r="B2803" t="inlineStr">
        <is>
          <t>Pimenteiras do Oeste - RO</t>
        </is>
      </c>
      <c r="C2803" t="n">
        <v>-13.4823</v>
      </c>
      <c r="D2803" t="n">
        <v>-61.0471</v>
      </c>
      <c r="E2803" t="inlineStr">
        <is>
          <t>2022-12</t>
        </is>
      </c>
      <c r="F2803" t="n">
        <v>0</v>
      </c>
    </row>
    <row r="2804">
      <c r="A2804" t="inlineStr">
        <is>
          <t>Milho</t>
        </is>
      </c>
      <c r="B2804" t="inlineStr">
        <is>
          <t>Bonfim - RR</t>
        </is>
      </c>
      <c r="C2804" t="n">
        <v>3.36161</v>
      </c>
      <c r="D2804" t="n">
        <v>-59.8333</v>
      </c>
      <c r="E2804" t="inlineStr">
        <is>
          <t>2023-01</t>
        </is>
      </c>
      <c r="F2804" t="n">
        <v>0</v>
      </c>
    </row>
    <row r="2805">
      <c r="A2805" t="inlineStr">
        <is>
          <t>Milho</t>
        </is>
      </c>
      <c r="B2805" t="inlineStr">
        <is>
          <t>Bonfim - RR</t>
        </is>
      </c>
      <c r="C2805" t="n">
        <v>3.36161</v>
      </c>
      <c r="D2805" t="n">
        <v>-59.8333</v>
      </c>
      <c r="E2805" t="inlineStr">
        <is>
          <t>2023-02</t>
        </is>
      </c>
      <c r="F2805" t="n">
        <v>0</v>
      </c>
    </row>
    <row r="2806">
      <c r="A2806" t="inlineStr">
        <is>
          <t>Milho</t>
        </is>
      </c>
      <c r="B2806" t="inlineStr">
        <is>
          <t>Bonfim - RR</t>
        </is>
      </c>
      <c r="C2806" t="n">
        <v>3.36161</v>
      </c>
      <c r="D2806" t="n">
        <v>-59.8333</v>
      </c>
      <c r="E2806" t="inlineStr">
        <is>
          <t>2023-03</t>
        </is>
      </c>
      <c r="F2806" t="n">
        <v>0</v>
      </c>
    </row>
    <row r="2807">
      <c r="A2807" t="inlineStr">
        <is>
          <t>Milho</t>
        </is>
      </c>
      <c r="B2807" t="inlineStr">
        <is>
          <t>Bonfim - RR</t>
        </is>
      </c>
      <c r="C2807" t="n">
        <v>3.36161</v>
      </c>
      <c r="D2807" t="n">
        <v>-59.8333</v>
      </c>
      <c r="E2807" t="inlineStr">
        <is>
          <t>2023-04</t>
        </is>
      </c>
      <c r="F2807" t="n">
        <v>0</v>
      </c>
    </row>
    <row r="2808">
      <c r="A2808" t="inlineStr">
        <is>
          <t>Milho</t>
        </is>
      </c>
      <c r="B2808" t="inlineStr">
        <is>
          <t>Bonfim - RR</t>
        </is>
      </c>
      <c r="C2808" t="n">
        <v>3.36161</v>
      </c>
      <c r="D2808" t="n">
        <v>-59.8333</v>
      </c>
      <c r="E2808" t="inlineStr">
        <is>
          <t>2023-05</t>
        </is>
      </c>
      <c r="F2808" t="n">
        <v>0</v>
      </c>
    </row>
    <row r="2809">
      <c r="A2809" t="inlineStr">
        <is>
          <t>Milho</t>
        </is>
      </c>
      <c r="B2809" t="inlineStr">
        <is>
          <t>Bonfim - RR</t>
        </is>
      </c>
      <c r="C2809" t="n">
        <v>3.36161</v>
      </c>
      <c r="D2809" t="n">
        <v>-59.8333</v>
      </c>
      <c r="E2809" t="inlineStr">
        <is>
          <t>2023-06</t>
        </is>
      </c>
      <c r="F2809" t="n">
        <v>0</v>
      </c>
    </row>
    <row r="2810">
      <c r="A2810" t="inlineStr">
        <is>
          <t>Milho</t>
        </is>
      </c>
      <c r="B2810" t="inlineStr">
        <is>
          <t>Bonfim - RR</t>
        </is>
      </c>
      <c r="C2810" t="n">
        <v>3.36161</v>
      </c>
      <c r="D2810" t="n">
        <v>-59.8333</v>
      </c>
      <c r="E2810" t="inlineStr">
        <is>
          <t>2022-07</t>
        </is>
      </c>
      <c r="F2810" t="n">
        <v>0</v>
      </c>
    </row>
    <row r="2811">
      <c r="A2811" t="inlineStr">
        <is>
          <t>Milho</t>
        </is>
      </c>
      <c r="B2811" t="inlineStr">
        <is>
          <t>Bonfim - RR</t>
        </is>
      </c>
      <c r="C2811" t="n">
        <v>3.36161</v>
      </c>
      <c r="D2811" t="n">
        <v>-59.8333</v>
      </c>
      <c r="E2811" t="inlineStr">
        <is>
          <t>2022-08</t>
        </is>
      </c>
      <c r="F2811" t="n">
        <v>10787.09902811078</v>
      </c>
    </row>
    <row r="2812">
      <c r="A2812" t="inlineStr">
        <is>
          <t>Milho</t>
        </is>
      </c>
      <c r="B2812" t="inlineStr">
        <is>
          <t>Bonfim - RR</t>
        </is>
      </c>
      <c r="C2812" t="n">
        <v>3.36161</v>
      </c>
      <c r="D2812" t="n">
        <v>-59.8333</v>
      </c>
      <c r="E2812" t="inlineStr">
        <is>
          <t>2022-09</t>
        </is>
      </c>
      <c r="F2812" t="n">
        <v>11785.31972528309</v>
      </c>
    </row>
    <row r="2813">
      <c r="A2813" t="inlineStr">
        <is>
          <t>Milho</t>
        </is>
      </c>
      <c r="B2813" t="inlineStr">
        <is>
          <t>Bonfim - RR</t>
        </is>
      </c>
      <c r="C2813" t="n">
        <v>3.36161</v>
      </c>
      <c r="D2813" t="n">
        <v>-59.8333</v>
      </c>
      <c r="E2813" t="inlineStr">
        <is>
          <t>2022-10</t>
        </is>
      </c>
      <c r="F2813" t="n">
        <v>89419.54794590011</v>
      </c>
    </row>
    <row r="2814">
      <c r="A2814" t="inlineStr">
        <is>
          <t>Milho</t>
        </is>
      </c>
      <c r="B2814" t="inlineStr">
        <is>
          <t>Bonfim - RR</t>
        </is>
      </c>
      <c r="C2814" t="n">
        <v>3.36161</v>
      </c>
      <c r="D2814" t="n">
        <v>-59.8333</v>
      </c>
      <c r="E2814" t="inlineStr">
        <is>
          <t>2022-11</t>
        </is>
      </c>
      <c r="F2814" t="n">
        <v>137724.9333570828</v>
      </c>
    </row>
    <row r="2815">
      <c r="A2815" t="inlineStr">
        <is>
          <t>Milho</t>
        </is>
      </c>
      <c r="B2815" t="inlineStr">
        <is>
          <t>Bonfim - RR</t>
        </is>
      </c>
      <c r="C2815" t="n">
        <v>3.36161</v>
      </c>
      <c r="D2815" t="n">
        <v>-59.8333</v>
      </c>
      <c r="E2815" t="inlineStr">
        <is>
          <t>2022-12</t>
        </is>
      </c>
      <c r="F2815" t="n">
        <v>134376.1989796113</v>
      </c>
    </row>
    <row r="2816">
      <c r="A2816" t="inlineStr">
        <is>
          <t>Milho</t>
        </is>
      </c>
      <c r="B2816" t="inlineStr">
        <is>
          <t>Campos Novos - SC</t>
        </is>
      </c>
      <c r="C2816" t="n">
        <v>-27.4002</v>
      </c>
      <c r="D2816" t="n">
        <v>-51.2276</v>
      </c>
      <c r="E2816" t="inlineStr">
        <is>
          <t>2023-01</t>
        </is>
      </c>
      <c r="F2816" t="n">
        <v>0</v>
      </c>
    </row>
    <row r="2817">
      <c r="A2817" t="inlineStr">
        <is>
          <t>Milho</t>
        </is>
      </c>
      <c r="B2817" t="inlineStr">
        <is>
          <t>Campos Novos - SC</t>
        </is>
      </c>
      <c r="C2817" t="n">
        <v>-27.4002</v>
      </c>
      <c r="D2817" t="n">
        <v>-51.2276</v>
      </c>
      <c r="E2817" t="inlineStr">
        <is>
          <t>2023-02</t>
        </is>
      </c>
      <c r="F2817" t="n">
        <v>0</v>
      </c>
    </row>
    <row r="2818">
      <c r="A2818" t="inlineStr">
        <is>
          <t>Milho</t>
        </is>
      </c>
      <c r="B2818" t="inlineStr">
        <is>
          <t>Campos Novos - SC</t>
        </is>
      </c>
      <c r="C2818" t="n">
        <v>-27.4002</v>
      </c>
      <c r="D2818" t="n">
        <v>-51.2276</v>
      </c>
      <c r="E2818" t="inlineStr">
        <is>
          <t>2023-03</t>
        </is>
      </c>
      <c r="F2818" t="n">
        <v>0</v>
      </c>
    </row>
    <row r="2819">
      <c r="A2819" t="inlineStr">
        <is>
          <t>Milho</t>
        </is>
      </c>
      <c r="B2819" t="inlineStr">
        <is>
          <t>Campos Novos - SC</t>
        </is>
      </c>
      <c r="C2819" t="n">
        <v>-27.4002</v>
      </c>
      <c r="D2819" t="n">
        <v>-51.2276</v>
      </c>
      <c r="E2819" t="inlineStr">
        <is>
          <t>2023-04</t>
        </is>
      </c>
      <c r="F2819" t="n">
        <v>0</v>
      </c>
    </row>
    <row r="2820">
      <c r="A2820" t="inlineStr">
        <is>
          <t>Milho</t>
        </is>
      </c>
      <c r="B2820" t="inlineStr">
        <is>
          <t>Campos Novos - SC</t>
        </is>
      </c>
      <c r="C2820" t="n">
        <v>-27.4002</v>
      </c>
      <c r="D2820" t="n">
        <v>-51.2276</v>
      </c>
      <c r="E2820" t="inlineStr">
        <is>
          <t>2023-05</t>
        </is>
      </c>
      <c r="F2820" t="n">
        <v>0</v>
      </c>
    </row>
    <row r="2821">
      <c r="A2821" t="inlineStr">
        <is>
          <t>Milho</t>
        </is>
      </c>
      <c r="B2821" t="inlineStr">
        <is>
          <t>Campos Novos - SC</t>
        </is>
      </c>
      <c r="C2821" t="n">
        <v>-27.4002</v>
      </c>
      <c r="D2821" t="n">
        <v>-51.2276</v>
      </c>
      <c r="E2821" t="inlineStr">
        <is>
          <t>2023-06</t>
        </is>
      </c>
      <c r="F2821" t="n">
        <v>0</v>
      </c>
    </row>
    <row r="2822">
      <c r="A2822" t="inlineStr">
        <is>
          <t>Milho</t>
        </is>
      </c>
      <c r="B2822" t="inlineStr">
        <is>
          <t>Campos Novos - SC</t>
        </is>
      </c>
      <c r="C2822" t="n">
        <v>-27.4002</v>
      </c>
      <c r="D2822" t="n">
        <v>-51.2276</v>
      </c>
      <c r="E2822" t="inlineStr">
        <is>
          <t>2022-07</t>
        </is>
      </c>
      <c r="F2822" t="n">
        <v>0</v>
      </c>
    </row>
    <row r="2823">
      <c r="A2823" t="inlineStr">
        <is>
          <t>Milho</t>
        </is>
      </c>
      <c r="B2823" t="inlineStr">
        <is>
          <t>Campos Novos - SC</t>
        </is>
      </c>
      <c r="C2823" t="n">
        <v>-27.4002</v>
      </c>
      <c r="D2823" t="n">
        <v>-51.2276</v>
      </c>
      <c r="E2823" t="inlineStr">
        <is>
          <t>2022-08</t>
        </is>
      </c>
      <c r="F2823" t="n">
        <v>0</v>
      </c>
    </row>
    <row r="2824">
      <c r="A2824" t="inlineStr">
        <is>
          <t>Milho</t>
        </is>
      </c>
      <c r="B2824" t="inlineStr">
        <is>
          <t>Campos Novos - SC</t>
        </is>
      </c>
      <c r="C2824" t="n">
        <v>-27.4002</v>
      </c>
      <c r="D2824" t="n">
        <v>-51.2276</v>
      </c>
      <c r="E2824" t="inlineStr">
        <is>
          <t>2022-09</t>
        </is>
      </c>
      <c r="F2824" t="n">
        <v>0</v>
      </c>
    </row>
    <row r="2825">
      <c r="A2825" t="inlineStr">
        <is>
          <t>Milho</t>
        </is>
      </c>
      <c r="B2825" t="inlineStr">
        <is>
          <t>Campos Novos - SC</t>
        </is>
      </c>
      <c r="C2825" t="n">
        <v>-27.4002</v>
      </c>
      <c r="D2825" t="n">
        <v>-51.2276</v>
      </c>
      <c r="E2825" t="inlineStr">
        <is>
          <t>2022-10</t>
        </is>
      </c>
      <c r="F2825" t="n">
        <v>0</v>
      </c>
    </row>
    <row r="2826">
      <c r="A2826" t="inlineStr">
        <is>
          <t>Milho</t>
        </is>
      </c>
      <c r="B2826" t="inlineStr">
        <is>
          <t>Campos Novos - SC</t>
        </is>
      </c>
      <c r="C2826" t="n">
        <v>-27.4002</v>
      </c>
      <c r="D2826" t="n">
        <v>-51.2276</v>
      </c>
      <c r="E2826" t="inlineStr">
        <is>
          <t>2022-11</t>
        </is>
      </c>
      <c r="F2826" t="n">
        <v>0</v>
      </c>
    </row>
    <row r="2827">
      <c r="A2827" t="inlineStr">
        <is>
          <t>Milho</t>
        </is>
      </c>
      <c r="B2827" t="inlineStr">
        <is>
          <t>Campos Novos - SC</t>
        </is>
      </c>
      <c r="C2827" t="n">
        <v>-27.4002</v>
      </c>
      <c r="D2827" t="n">
        <v>-51.2276</v>
      </c>
      <c r="E2827" t="inlineStr">
        <is>
          <t>2022-12</t>
        </is>
      </c>
      <c r="F2827" t="n">
        <v>0</v>
      </c>
    </row>
    <row r="2828">
      <c r="A2828" t="inlineStr">
        <is>
          <t>Milho</t>
        </is>
      </c>
      <c r="B2828" t="inlineStr">
        <is>
          <t>Carira - SE</t>
        </is>
      </c>
      <c r="C2828" t="n">
        <v>-10.3524</v>
      </c>
      <c r="D2828" t="n">
        <v>-37.7002</v>
      </c>
      <c r="E2828" t="inlineStr">
        <is>
          <t>2023-01</t>
        </is>
      </c>
      <c r="F2828" t="n">
        <v>0</v>
      </c>
    </row>
    <row r="2829">
      <c r="A2829" t="inlineStr">
        <is>
          <t>Milho</t>
        </is>
      </c>
      <c r="B2829" t="inlineStr">
        <is>
          <t>Carira - SE</t>
        </is>
      </c>
      <c r="C2829" t="n">
        <v>-10.3524</v>
      </c>
      <c r="D2829" t="n">
        <v>-37.7002</v>
      </c>
      <c r="E2829" t="inlineStr">
        <is>
          <t>2023-02</t>
        </is>
      </c>
      <c r="F2829" t="n">
        <v>0</v>
      </c>
    </row>
    <row r="2830">
      <c r="A2830" t="inlineStr">
        <is>
          <t>Milho</t>
        </is>
      </c>
      <c r="B2830" t="inlineStr">
        <is>
          <t>Carira - SE</t>
        </is>
      </c>
      <c r="C2830" t="n">
        <v>-10.3524</v>
      </c>
      <c r="D2830" t="n">
        <v>-37.7002</v>
      </c>
      <c r="E2830" t="inlineStr">
        <is>
          <t>2023-03</t>
        </is>
      </c>
      <c r="F2830" t="n">
        <v>0</v>
      </c>
    </row>
    <row r="2831">
      <c r="A2831" t="inlineStr">
        <is>
          <t>Milho</t>
        </is>
      </c>
      <c r="B2831" t="inlineStr">
        <is>
          <t>Carira - SE</t>
        </is>
      </c>
      <c r="C2831" t="n">
        <v>-10.3524</v>
      </c>
      <c r="D2831" t="n">
        <v>-37.7002</v>
      </c>
      <c r="E2831" t="inlineStr">
        <is>
          <t>2023-04</t>
        </is>
      </c>
      <c r="F2831" t="n">
        <v>0</v>
      </c>
    </row>
    <row r="2832">
      <c r="A2832" t="inlineStr">
        <is>
          <t>Milho</t>
        </is>
      </c>
      <c r="B2832" t="inlineStr">
        <is>
          <t>Carira - SE</t>
        </is>
      </c>
      <c r="C2832" t="n">
        <v>-10.3524</v>
      </c>
      <c r="D2832" t="n">
        <v>-37.7002</v>
      </c>
      <c r="E2832" t="inlineStr">
        <is>
          <t>2023-05</t>
        </is>
      </c>
      <c r="F2832" t="n">
        <v>0</v>
      </c>
    </row>
    <row r="2833">
      <c r="A2833" t="inlineStr">
        <is>
          <t>Milho</t>
        </is>
      </c>
      <c r="B2833" t="inlineStr">
        <is>
          <t>Carira - SE</t>
        </is>
      </c>
      <c r="C2833" t="n">
        <v>-10.3524</v>
      </c>
      <c r="D2833" t="n">
        <v>-37.7002</v>
      </c>
      <c r="E2833" t="inlineStr">
        <is>
          <t>2023-06</t>
        </is>
      </c>
      <c r="F2833" t="n">
        <v>0</v>
      </c>
    </row>
    <row r="2834">
      <c r="A2834" t="inlineStr">
        <is>
          <t>Milho</t>
        </is>
      </c>
      <c r="B2834" t="inlineStr">
        <is>
          <t>Carira - SE</t>
        </is>
      </c>
      <c r="C2834" t="n">
        <v>-10.3524</v>
      </c>
      <c r="D2834" t="n">
        <v>-37.7002</v>
      </c>
      <c r="E2834" t="inlineStr">
        <is>
          <t>2022-07</t>
        </is>
      </c>
      <c r="F2834" t="n">
        <v>0</v>
      </c>
    </row>
    <row r="2835">
      <c r="A2835" t="inlineStr">
        <is>
          <t>Milho</t>
        </is>
      </c>
      <c r="B2835" t="inlineStr">
        <is>
          <t>Carira - SE</t>
        </is>
      </c>
      <c r="C2835" t="n">
        <v>-10.3524</v>
      </c>
      <c r="D2835" t="n">
        <v>-37.7002</v>
      </c>
      <c r="E2835" t="inlineStr">
        <is>
          <t>2022-08</t>
        </is>
      </c>
      <c r="F2835" t="n">
        <v>74529.76171035187</v>
      </c>
    </row>
    <row r="2836">
      <c r="A2836" t="inlineStr">
        <is>
          <t>Milho</t>
        </is>
      </c>
      <c r="B2836" t="inlineStr">
        <is>
          <t>Carira - SE</t>
        </is>
      </c>
      <c r="C2836" t="n">
        <v>-10.3524</v>
      </c>
      <c r="D2836" t="n">
        <v>-37.7002</v>
      </c>
      <c r="E2836" t="inlineStr">
        <is>
          <t>2022-09</t>
        </is>
      </c>
      <c r="F2836" t="n">
        <v>162853.2506314614</v>
      </c>
    </row>
    <row r="2837">
      <c r="A2837" t="inlineStr">
        <is>
          <t>Milho</t>
        </is>
      </c>
      <c r="B2837" t="inlineStr">
        <is>
          <t>Carira - SE</t>
        </is>
      </c>
      <c r="C2837" t="n">
        <v>-10.3524</v>
      </c>
      <c r="D2837" t="n">
        <v>-37.7002</v>
      </c>
      <c r="E2837" t="inlineStr">
        <is>
          <t>2022-10</t>
        </is>
      </c>
      <c r="F2837" t="n">
        <v>1235627.40701427</v>
      </c>
    </row>
    <row r="2838">
      <c r="A2838" t="inlineStr">
        <is>
          <t>Milho</t>
        </is>
      </c>
      <c r="B2838" t="inlineStr">
        <is>
          <t>Carira - SE</t>
        </is>
      </c>
      <c r="C2838" t="n">
        <v>-10.3524</v>
      </c>
      <c r="D2838" t="n">
        <v>-37.7002</v>
      </c>
      <c r="E2838" t="inlineStr">
        <is>
          <t>2022-11</t>
        </is>
      </c>
      <c r="F2838" t="n">
        <v>1903126.3990306</v>
      </c>
    </row>
    <row r="2839">
      <c r="A2839" t="inlineStr">
        <is>
          <t>Milho</t>
        </is>
      </c>
      <c r="B2839" t="inlineStr">
        <is>
          <t>Carira - SE</t>
        </is>
      </c>
      <c r="C2839" t="n">
        <v>-10.3524</v>
      </c>
      <c r="D2839" t="n">
        <v>-37.7002</v>
      </c>
      <c r="E2839" t="inlineStr">
        <is>
          <t>2022-12</t>
        </is>
      </c>
      <c r="F2839" t="n">
        <v>0</v>
      </c>
    </row>
    <row r="2840">
      <c r="A2840" t="inlineStr">
        <is>
          <t>Milho</t>
        </is>
      </c>
      <c r="B2840" t="inlineStr">
        <is>
          <t>Itapeva - SP</t>
        </is>
      </c>
      <c r="C2840" t="n">
        <v>-23.9788</v>
      </c>
      <c r="D2840" t="n">
        <v>-48.8764</v>
      </c>
      <c r="E2840" t="inlineStr">
        <is>
          <t>2023-01</t>
        </is>
      </c>
      <c r="F2840" t="n">
        <v>0</v>
      </c>
    </row>
    <row r="2841">
      <c r="A2841" t="inlineStr">
        <is>
          <t>Milho</t>
        </is>
      </c>
      <c r="B2841" t="inlineStr">
        <is>
          <t>Itapeva - SP</t>
        </is>
      </c>
      <c r="C2841" t="n">
        <v>-23.9788</v>
      </c>
      <c r="D2841" t="n">
        <v>-48.8764</v>
      </c>
      <c r="E2841" t="inlineStr">
        <is>
          <t>2023-02</t>
        </is>
      </c>
      <c r="F2841" t="n">
        <v>0</v>
      </c>
    </row>
    <row r="2842">
      <c r="A2842" t="inlineStr">
        <is>
          <t>Milho</t>
        </is>
      </c>
      <c r="B2842" t="inlineStr">
        <is>
          <t>Itapeva - SP</t>
        </is>
      </c>
      <c r="C2842" t="n">
        <v>-23.9788</v>
      </c>
      <c r="D2842" t="n">
        <v>-48.8764</v>
      </c>
      <c r="E2842" t="inlineStr">
        <is>
          <t>2023-03</t>
        </is>
      </c>
      <c r="F2842" t="n">
        <v>0</v>
      </c>
    </row>
    <row r="2843">
      <c r="A2843" t="inlineStr">
        <is>
          <t>Milho</t>
        </is>
      </c>
      <c r="B2843" t="inlineStr">
        <is>
          <t>Itapeva - SP</t>
        </is>
      </c>
      <c r="C2843" t="n">
        <v>-23.9788</v>
      </c>
      <c r="D2843" t="n">
        <v>-48.8764</v>
      </c>
      <c r="E2843" t="inlineStr">
        <is>
          <t>2023-04</t>
        </is>
      </c>
      <c r="F2843" t="n">
        <v>0</v>
      </c>
    </row>
    <row r="2844">
      <c r="A2844" t="inlineStr">
        <is>
          <t>Milho</t>
        </is>
      </c>
      <c r="B2844" t="inlineStr">
        <is>
          <t>Itapeva - SP</t>
        </is>
      </c>
      <c r="C2844" t="n">
        <v>-23.9788</v>
      </c>
      <c r="D2844" t="n">
        <v>-48.8764</v>
      </c>
      <c r="E2844" t="inlineStr">
        <is>
          <t>2023-05</t>
        </is>
      </c>
      <c r="F2844" t="n">
        <v>0</v>
      </c>
    </row>
    <row r="2845">
      <c r="A2845" t="inlineStr">
        <is>
          <t>Milho</t>
        </is>
      </c>
      <c r="B2845" t="inlineStr">
        <is>
          <t>Itapeva - SP</t>
        </is>
      </c>
      <c r="C2845" t="n">
        <v>-23.9788</v>
      </c>
      <c r="D2845" t="n">
        <v>-48.8764</v>
      </c>
      <c r="E2845" t="inlineStr">
        <is>
          <t>2023-06</t>
        </is>
      </c>
      <c r="F2845" t="n">
        <v>0</v>
      </c>
    </row>
    <row r="2846">
      <c r="A2846" t="inlineStr">
        <is>
          <t>Milho</t>
        </is>
      </c>
      <c r="B2846" t="inlineStr">
        <is>
          <t>Itapeva - SP</t>
        </is>
      </c>
      <c r="C2846" t="n">
        <v>-23.9788</v>
      </c>
      <c r="D2846" t="n">
        <v>-48.8764</v>
      </c>
      <c r="E2846" t="inlineStr">
        <is>
          <t>2022-07</t>
        </is>
      </c>
      <c r="F2846" t="n">
        <v>0</v>
      </c>
    </row>
    <row r="2847">
      <c r="A2847" t="inlineStr">
        <is>
          <t>Milho</t>
        </is>
      </c>
      <c r="B2847" t="inlineStr">
        <is>
          <t>Itapeva - SP</t>
        </is>
      </c>
      <c r="C2847" t="n">
        <v>-23.9788</v>
      </c>
      <c r="D2847" t="n">
        <v>-48.8764</v>
      </c>
      <c r="E2847" t="inlineStr">
        <is>
          <t>2022-08</t>
        </is>
      </c>
      <c r="F2847" t="n">
        <v>0</v>
      </c>
    </row>
    <row r="2848">
      <c r="A2848" t="inlineStr">
        <is>
          <t>Milho</t>
        </is>
      </c>
      <c r="B2848" t="inlineStr">
        <is>
          <t>Itapeva - SP</t>
        </is>
      </c>
      <c r="C2848" t="n">
        <v>-23.9788</v>
      </c>
      <c r="D2848" t="n">
        <v>-48.8764</v>
      </c>
      <c r="E2848" t="inlineStr">
        <is>
          <t>2022-09</t>
        </is>
      </c>
      <c r="F2848" t="n">
        <v>0</v>
      </c>
    </row>
    <row r="2849">
      <c r="A2849" t="inlineStr">
        <is>
          <t>Milho</t>
        </is>
      </c>
      <c r="B2849" t="inlineStr">
        <is>
          <t>Itapeva - SP</t>
        </is>
      </c>
      <c r="C2849" t="n">
        <v>-23.9788</v>
      </c>
      <c r="D2849" t="n">
        <v>-48.8764</v>
      </c>
      <c r="E2849" t="inlineStr">
        <is>
          <t>2022-10</t>
        </is>
      </c>
      <c r="F2849" t="n">
        <v>0</v>
      </c>
    </row>
    <row r="2850">
      <c r="A2850" t="inlineStr">
        <is>
          <t>Milho</t>
        </is>
      </c>
      <c r="B2850" t="inlineStr">
        <is>
          <t>Itapeva - SP</t>
        </is>
      </c>
      <c r="C2850" t="n">
        <v>-23.9788</v>
      </c>
      <c r="D2850" t="n">
        <v>-48.8764</v>
      </c>
      <c r="E2850" t="inlineStr">
        <is>
          <t>2022-11</t>
        </is>
      </c>
      <c r="F2850" t="n">
        <v>0</v>
      </c>
    </row>
    <row r="2851">
      <c r="A2851" t="inlineStr">
        <is>
          <t>Milho</t>
        </is>
      </c>
      <c r="B2851" t="inlineStr">
        <is>
          <t>Itapeva - SP</t>
        </is>
      </c>
      <c r="C2851" t="n">
        <v>-23.9788</v>
      </c>
      <c r="D2851" t="n">
        <v>-48.8764</v>
      </c>
      <c r="E2851" t="inlineStr">
        <is>
          <t>2022-12</t>
        </is>
      </c>
      <c r="F2851" t="n">
        <v>0</v>
      </c>
    </row>
    <row r="2852">
      <c r="A2852" t="inlineStr">
        <is>
          <t>Milho</t>
        </is>
      </c>
      <c r="B2852" t="inlineStr">
        <is>
          <t>Campos Lindos - TO</t>
        </is>
      </c>
      <c r="C2852" t="n">
        <v>-7.98956</v>
      </c>
      <c r="D2852" t="n">
        <v>-46.8645</v>
      </c>
      <c r="E2852" t="inlineStr">
        <is>
          <t>2023-01</t>
        </is>
      </c>
      <c r="F2852" t="n">
        <v>0</v>
      </c>
    </row>
    <row r="2853">
      <c r="A2853" t="inlineStr">
        <is>
          <t>Milho</t>
        </is>
      </c>
      <c r="B2853" t="inlineStr">
        <is>
          <t>Campos Lindos - TO</t>
        </is>
      </c>
      <c r="C2853" t="n">
        <v>-7.98956</v>
      </c>
      <c r="D2853" t="n">
        <v>-46.8645</v>
      </c>
      <c r="E2853" t="inlineStr">
        <is>
          <t>2023-02</t>
        </is>
      </c>
      <c r="F2853" t="n">
        <v>0</v>
      </c>
    </row>
    <row r="2854">
      <c r="A2854" t="inlineStr">
        <is>
          <t>Milho</t>
        </is>
      </c>
      <c r="B2854" t="inlineStr">
        <is>
          <t>Campos Lindos - TO</t>
        </is>
      </c>
      <c r="C2854" t="n">
        <v>-7.98956</v>
      </c>
      <c r="D2854" t="n">
        <v>-46.8645</v>
      </c>
      <c r="E2854" t="inlineStr">
        <is>
          <t>2023-03</t>
        </is>
      </c>
      <c r="F2854" t="n">
        <v>0</v>
      </c>
    </row>
    <row r="2855">
      <c r="A2855" t="inlineStr">
        <is>
          <t>Milho</t>
        </is>
      </c>
      <c r="B2855" t="inlineStr">
        <is>
          <t>Campos Lindos - TO</t>
        </is>
      </c>
      <c r="C2855" t="n">
        <v>-7.98956</v>
      </c>
      <c r="D2855" t="n">
        <v>-46.8645</v>
      </c>
      <c r="E2855" t="inlineStr">
        <is>
          <t>2023-04</t>
        </is>
      </c>
      <c r="F2855" t="n">
        <v>0</v>
      </c>
    </row>
    <row r="2856">
      <c r="A2856" t="inlineStr">
        <is>
          <t>Milho</t>
        </is>
      </c>
      <c r="B2856" t="inlineStr">
        <is>
          <t>Campos Lindos - TO</t>
        </is>
      </c>
      <c r="C2856" t="n">
        <v>-7.98956</v>
      </c>
      <c r="D2856" t="n">
        <v>-46.8645</v>
      </c>
      <c r="E2856" t="inlineStr">
        <is>
          <t>2023-05</t>
        </is>
      </c>
      <c r="F2856" t="n">
        <v>0</v>
      </c>
    </row>
    <row r="2857">
      <c r="A2857" t="inlineStr">
        <is>
          <t>Milho</t>
        </is>
      </c>
      <c r="B2857" t="inlineStr">
        <is>
          <t>Campos Lindos - TO</t>
        </is>
      </c>
      <c r="C2857" t="n">
        <v>-7.98956</v>
      </c>
      <c r="D2857" t="n">
        <v>-46.8645</v>
      </c>
      <c r="E2857" t="inlineStr">
        <is>
          <t>2023-06</t>
        </is>
      </c>
      <c r="F2857" t="n">
        <v>0</v>
      </c>
    </row>
    <row r="2858">
      <c r="A2858" t="inlineStr">
        <is>
          <t>Milho</t>
        </is>
      </c>
      <c r="B2858" t="inlineStr">
        <is>
          <t>Campos Lindos - TO</t>
        </is>
      </c>
      <c r="C2858" t="n">
        <v>-7.98956</v>
      </c>
      <c r="D2858" t="n">
        <v>-46.8645</v>
      </c>
      <c r="E2858" t="inlineStr">
        <is>
          <t>2022-07</t>
        </is>
      </c>
      <c r="F2858" t="n">
        <v>0</v>
      </c>
    </row>
    <row r="2859">
      <c r="A2859" t="inlineStr">
        <is>
          <t>Milho</t>
        </is>
      </c>
      <c r="B2859" t="inlineStr">
        <is>
          <t>Campos Lindos - TO</t>
        </is>
      </c>
      <c r="C2859" t="n">
        <v>-7.98956</v>
      </c>
      <c r="D2859" t="n">
        <v>-46.8645</v>
      </c>
      <c r="E2859" t="inlineStr">
        <is>
          <t>2022-08</t>
        </is>
      </c>
      <c r="F2859" t="n">
        <v>0</v>
      </c>
    </row>
    <row r="2860">
      <c r="A2860" t="inlineStr">
        <is>
          <t>Milho</t>
        </is>
      </c>
      <c r="B2860" t="inlineStr">
        <is>
          <t>Campos Lindos - TO</t>
        </is>
      </c>
      <c r="C2860" t="n">
        <v>-7.98956</v>
      </c>
      <c r="D2860" t="n">
        <v>-46.8645</v>
      </c>
      <c r="E2860" t="inlineStr">
        <is>
          <t>2022-09</t>
        </is>
      </c>
      <c r="F2860" t="n">
        <v>0</v>
      </c>
    </row>
    <row r="2861">
      <c r="A2861" t="inlineStr">
        <is>
          <t>Milho</t>
        </is>
      </c>
      <c r="B2861" t="inlineStr">
        <is>
          <t>Campos Lindos - TO</t>
        </is>
      </c>
      <c r="C2861" t="n">
        <v>-7.98956</v>
      </c>
      <c r="D2861" t="n">
        <v>-46.8645</v>
      </c>
      <c r="E2861" t="inlineStr">
        <is>
          <t>2022-10</t>
        </is>
      </c>
      <c r="F2861" t="n">
        <v>0</v>
      </c>
    </row>
    <row r="2862">
      <c r="A2862" t="inlineStr">
        <is>
          <t>Milho</t>
        </is>
      </c>
      <c r="B2862" t="inlineStr">
        <is>
          <t>Campos Lindos - TO</t>
        </is>
      </c>
      <c r="C2862" t="n">
        <v>-7.98956</v>
      </c>
      <c r="D2862" t="n">
        <v>-46.8645</v>
      </c>
      <c r="E2862" t="inlineStr">
        <is>
          <t>2022-11</t>
        </is>
      </c>
      <c r="F2862" t="n">
        <v>0</v>
      </c>
    </row>
    <row r="2863">
      <c r="A2863" t="inlineStr">
        <is>
          <t>Milho</t>
        </is>
      </c>
      <c r="B2863" t="inlineStr">
        <is>
          <t>Campos Lindos - TO</t>
        </is>
      </c>
      <c r="C2863" t="n">
        <v>-7.98956</v>
      </c>
      <c r="D2863" t="n">
        <v>-46.8645</v>
      </c>
      <c r="E2863" t="inlineStr">
        <is>
          <t>2022-12</t>
        </is>
      </c>
      <c r="F2863" t="n">
        <v>0</v>
      </c>
    </row>
    <row r="2864">
      <c r="A2864" t="inlineStr">
        <is>
          <t>Soja</t>
        </is>
      </c>
      <c r="B2864" t="inlineStr">
        <is>
          <t>Plácido de Castro - AC</t>
        </is>
      </c>
      <c r="C2864" t="n">
        <v>-10.2806</v>
      </c>
      <c r="D2864" t="n">
        <v>-67.1371</v>
      </c>
      <c r="E2864" t="inlineStr">
        <is>
          <t>2023-01</t>
        </is>
      </c>
      <c r="F2864" t="n">
        <v>0</v>
      </c>
    </row>
    <row r="2865">
      <c r="A2865" t="inlineStr">
        <is>
          <t>Soja</t>
        </is>
      </c>
      <c r="B2865" t="inlineStr">
        <is>
          <t>Plácido de Castro - AC</t>
        </is>
      </c>
      <c r="C2865" t="n">
        <v>-10.2806</v>
      </c>
      <c r="D2865" t="n">
        <v>-67.1371</v>
      </c>
      <c r="E2865" t="inlineStr">
        <is>
          <t>2023-02</t>
        </is>
      </c>
      <c r="F2865" t="n">
        <v>0</v>
      </c>
    </row>
    <row r="2866">
      <c r="A2866" t="inlineStr">
        <is>
          <t>Soja</t>
        </is>
      </c>
      <c r="B2866" t="inlineStr">
        <is>
          <t>Plácido de Castro - AC</t>
        </is>
      </c>
      <c r="C2866" t="n">
        <v>-10.2806</v>
      </c>
      <c r="D2866" t="n">
        <v>-67.1371</v>
      </c>
      <c r="E2866" t="inlineStr">
        <is>
          <t>2023-03</t>
        </is>
      </c>
      <c r="F2866" t="n">
        <v>0</v>
      </c>
    </row>
    <row r="2867">
      <c r="A2867" t="inlineStr">
        <is>
          <t>Soja</t>
        </is>
      </c>
      <c r="B2867" t="inlineStr">
        <is>
          <t>Plácido de Castro - AC</t>
        </is>
      </c>
      <c r="C2867" t="n">
        <v>-10.2806</v>
      </c>
      <c r="D2867" t="n">
        <v>-67.1371</v>
      </c>
      <c r="E2867" t="inlineStr">
        <is>
          <t>2023-04</t>
        </is>
      </c>
      <c r="F2867" t="n">
        <v>0</v>
      </c>
    </row>
    <row r="2868">
      <c r="A2868" t="inlineStr">
        <is>
          <t>Soja</t>
        </is>
      </c>
      <c r="B2868" t="inlineStr">
        <is>
          <t>Plácido de Castro - AC</t>
        </is>
      </c>
      <c r="C2868" t="n">
        <v>-10.2806</v>
      </c>
      <c r="D2868" t="n">
        <v>-67.1371</v>
      </c>
      <c r="E2868" t="inlineStr">
        <is>
          <t>2023-05</t>
        </is>
      </c>
      <c r="F2868" t="n">
        <v>0</v>
      </c>
    </row>
    <row r="2869">
      <c r="A2869" t="inlineStr">
        <is>
          <t>Soja</t>
        </is>
      </c>
      <c r="B2869" t="inlineStr">
        <is>
          <t>Plácido de Castro - AC</t>
        </is>
      </c>
      <c r="C2869" t="n">
        <v>-10.2806</v>
      </c>
      <c r="D2869" t="n">
        <v>-67.1371</v>
      </c>
      <c r="E2869" t="inlineStr">
        <is>
          <t>2023-06</t>
        </is>
      </c>
      <c r="F2869" t="n">
        <v>0</v>
      </c>
    </row>
    <row r="2870">
      <c r="A2870" t="inlineStr">
        <is>
          <t>Soja</t>
        </is>
      </c>
      <c r="B2870" t="inlineStr">
        <is>
          <t>Plácido de Castro - AC</t>
        </is>
      </c>
      <c r="C2870" t="n">
        <v>-10.2806</v>
      </c>
      <c r="D2870" t="n">
        <v>-67.1371</v>
      </c>
      <c r="E2870" t="inlineStr">
        <is>
          <t>2022-07</t>
        </is>
      </c>
      <c r="F2870" t="n">
        <v>0</v>
      </c>
    </row>
    <row r="2871">
      <c r="A2871" t="inlineStr">
        <is>
          <t>Soja</t>
        </is>
      </c>
      <c r="B2871" t="inlineStr">
        <is>
          <t>Plácido de Castro - AC</t>
        </is>
      </c>
      <c r="C2871" t="n">
        <v>-10.2806</v>
      </c>
      <c r="D2871" t="n">
        <v>-67.1371</v>
      </c>
      <c r="E2871" t="inlineStr">
        <is>
          <t>2022-08</t>
        </is>
      </c>
      <c r="F2871" t="n">
        <v>0</v>
      </c>
    </row>
    <row r="2872">
      <c r="A2872" t="inlineStr">
        <is>
          <t>Soja</t>
        </is>
      </c>
      <c r="B2872" t="inlineStr">
        <is>
          <t>Plácido de Castro - AC</t>
        </is>
      </c>
      <c r="C2872" t="n">
        <v>-10.2806</v>
      </c>
      <c r="D2872" t="n">
        <v>-67.1371</v>
      </c>
      <c r="E2872" t="inlineStr">
        <is>
          <t>2022-09</t>
        </is>
      </c>
      <c r="F2872" t="n">
        <v>0</v>
      </c>
    </row>
    <row r="2873">
      <c r="A2873" t="inlineStr">
        <is>
          <t>Soja</t>
        </is>
      </c>
      <c r="B2873" t="inlineStr">
        <is>
          <t>Plácido de Castro - AC</t>
        </is>
      </c>
      <c r="C2873" t="n">
        <v>-10.2806</v>
      </c>
      <c r="D2873" t="n">
        <v>-67.1371</v>
      </c>
      <c r="E2873" t="inlineStr">
        <is>
          <t>2022-10</t>
        </is>
      </c>
      <c r="F2873" t="n">
        <v>0</v>
      </c>
    </row>
    <row r="2874">
      <c r="A2874" t="inlineStr">
        <is>
          <t>Soja</t>
        </is>
      </c>
      <c r="B2874" t="inlineStr">
        <is>
          <t>Plácido de Castro - AC</t>
        </is>
      </c>
      <c r="C2874" t="n">
        <v>-10.2806</v>
      </c>
      <c r="D2874" t="n">
        <v>-67.1371</v>
      </c>
      <c r="E2874" t="inlineStr">
        <is>
          <t>2022-11</t>
        </is>
      </c>
      <c r="F2874" t="n">
        <v>0</v>
      </c>
    </row>
    <row r="2875">
      <c r="A2875" t="inlineStr">
        <is>
          <t>Soja</t>
        </is>
      </c>
      <c r="B2875" t="inlineStr">
        <is>
          <t>Plácido de Castro - AC</t>
        </is>
      </c>
      <c r="C2875" t="n">
        <v>-10.2806</v>
      </c>
      <c r="D2875" t="n">
        <v>-67.1371</v>
      </c>
      <c r="E2875" t="inlineStr">
        <is>
          <t>2022-12</t>
        </is>
      </c>
      <c r="F2875" t="n">
        <v>0</v>
      </c>
    </row>
    <row r="2876">
      <c r="A2876" t="inlineStr">
        <is>
          <t>Soja</t>
        </is>
      </c>
      <c r="B2876" t="inlineStr">
        <is>
          <t>Anadia - AL</t>
        </is>
      </c>
      <c r="C2876" t="n">
        <v>-9.684889999999999</v>
      </c>
      <c r="D2876" t="n">
        <v>-36.3078</v>
      </c>
      <c r="E2876" t="inlineStr">
        <is>
          <t>2023-01</t>
        </is>
      </c>
      <c r="F2876" t="n">
        <v>0</v>
      </c>
    </row>
    <row r="2877">
      <c r="A2877" t="inlineStr">
        <is>
          <t>Soja</t>
        </is>
      </c>
      <c r="B2877" t="inlineStr">
        <is>
          <t>Anadia - AL</t>
        </is>
      </c>
      <c r="C2877" t="n">
        <v>-9.684889999999999</v>
      </c>
      <c r="D2877" t="n">
        <v>-36.3078</v>
      </c>
      <c r="E2877" t="inlineStr">
        <is>
          <t>2023-02</t>
        </is>
      </c>
      <c r="F2877" t="n">
        <v>0</v>
      </c>
    </row>
    <row r="2878">
      <c r="A2878" t="inlineStr">
        <is>
          <t>Soja</t>
        </is>
      </c>
      <c r="B2878" t="inlineStr">
        <is>
          <t>Anadia - AL</t>
        </is>
      </c>
      <c r="C2878" t="n">
        <v>-9.684889999999999</v>
      </c>
      <c r="D2878" t="n">
        <v>-36.3078</v>
      </c>
      <c r="E2878" t="inlineStr">
        <is>
          <t>2023-03</t>
        </is>
      </c>
      <c r="F2878" t="n">
        <v>0</v>
      </c>
    </row>
    <row r="2879">
      <c r="A2879" t="inlineStr">
        <is>
          <t>Soja</t>
        </is>
      </c>
      <c r="B2879" t="inlineStr">
        <is>
          <t>Anadia - AL</t>
        </is>
      </c>
      <c r="C2879" t="n">
        <v>-9.684889999999999</v>
      </c>
      <c r="D2879" t="n">
        <v>-36.3078</v>
      </c>
      <c r="E2879" t="inlineStr">
        <is>
          <t>2023-04</t>
        </is>
      </c>
      <c r="F2879" t="n">
        <v>0</v>
      </c>
    </row>
    <row r="2880">
      <c r="A2880" t="inlineStr">
        <is>
          <t>Soja</t>
        </is>
      </c>
      <c r="B2880" t="inlineStr">
        <is>
          <t>Anadia - AL</t>
        </is>
      </c>
      <c r="C2880" t="n">
        <v>-9.684889999999999</v>
      </c>
      <c r="D2880" t="n">
        <v>-36.3078</v>
      </c>
      <c r="E2880" t="inlineStr">
        <is>
          <t>2023-05</t>
        </is>
      </c>
      <c r="F2880" t="n">
        <v>0</v>
      </c>
    </row>
    <row r="2881">
      <c r="A2881" t="inlineStr">
        <is>
          <t>Soja</t>
        </is>
      </c>
      <c r="B2881" t="inlineStr">
        <is>
          <t>Anadia - AL</t>
        </is>
      </c>
      <c r="C2881" t="n">
        <v>-9.684889999999999</v>
      </c>
      <c r="D2881" t="n">
        <v>-36.3078</v>
      </c>
      <c r="E2881" t="inlineStr">
        <is>
          <t>2023-06</t>
        </is>
      </c>
      <c r="F2881" t="n">
        <v>0</v>
      </c>
    </row>
    <row r="2882">
      <c r="A2882" t="inlineStr">
        <is>
          <t>Soja</t>
        </is>
      </c>
      <c r="B2882" t="inlineStr">
        <is>
          <t>Anadia - AL</t>
        </is>
      </c>
      <c r="C2882" t="n">
        <v>-9.684889999999999</v>
      </c>
      <c r="D2882" t="n">
        <v>-36.3078</v>
      </c>
      <c r="E2882" t="inlineStr">
        <is>
          <t>2022-07</t>
        </is>
      </c>
      <c r="F2882" t="n">
        <v>0</v>
      </c>
    </row>
    <row r="2883">
      <c r="A2883" t="inlineStr">
        <is>
          <t>Soja</t>
        </is>
      </c>
      <c r="B2883" t="inlineStr">
        <is>
          <t>Anadia - AL</t>
        </is>
      </c>
      <c r="C2883" t="n">
        <v>-9.684889999999999</v>
      </c>
      <c r="D2883" t="n">
        <v>-36.3078</v>
      </c>
      <c r="E2883" t="inlineStr">
        <is>
          <t>2022-08</t>
        </is>
      </c>
      <c r="F2883" t="n">
        <v>0</v>
      </c>
    </row>
    <row r="2884">
      <c r="A2884" t="inlineStr">
        <is>
          <t>Soja</t>
        </is>
      </c>
      <c r="B2884" t="inlineStr">
        <is>
          <t>Anadia - AL</t>
        </is>
      </c>
      <c r="C2884" t="n">
        <v>-9.684889999999999</v>
      </c>
      <c r="D2884" t="n">
        <v>-36.3078</v>
      </c>
      <c r="E2884" t="inlineStr">
        <is>
          <t>2022-09</t>
        </is>
      </c>
      <c r="F2884" t="n">
        <v>0</v>
      </c>
    </row>
    <row r="2885">
      <c r="A2885" t="inlineStr">
        <is>
          <t>Soja</t>
        </is>
      </c>
      <c r="B2885" t="inlineStr">
        <is>
          <t>Anadia - AL</t>
        </is>
      </c>
      <c r="C2885" t="n">
        <v>-9.684889999999999</v>
      </c>
      <c r="D2885" t="n">
        <v>-36.3078</v>
      </c>
      <c r="E2885" t="inlineStr">
        <is>
          <t>2022-10</t>
        </is>
      </c>
      <c r="F2885" t="n">
        <v>0</v>
      </c>
    </row>
    <row r="2886">
      <c r="A2886" t="inlineStr">
        <is>
          <t>Soja</t>
        </is>
      </c>
      <c r="B2886" t="inlineStr">
        <is>
          <t>Anadia - AL</t>
        </is>
      </c>
      <c r="C2886" t="n">
        <v>-9.684889999999999</v>
      </c>
      <c r="D2886" t="n">
        <v>-36.3078</v>
      </c>
      <c r="E2886" t="inlineStr">
        <is>
          <t>2022-11</t>
        </is>
      </c>
      <c r="F2886" t="n">
        <v>0</v>
      </c>
    </row>
    <row r="2887">
      <c r="A2887" t="inlineStr">
        <is>
          <t>Soja</t>
        </is>
      </c>
      <c r="B2887" t="inlineStr">
        <is>
          <t>Anadia - AL</t>
        </is>
      </c>
      <c r="C2887" t="n">
        <v>-9.684889999999999</v>
      </c>
      <c r="D2887" t="n">
        <v>-36.3078</v>
      </c>
      <c r="E2887" t="inlineStr">
        <is>
          <t>2022-12</t>
        </is>
      </c>
      <c r="F2887" t="n">
        <v>0</v>
      </c>
    </row>
    <row r="2888">
      <c r="A2888" t="inlineStr">
        <is>
          <t>Soja</t>
        </is>
      </c>
      <c r="B2888" t="inlineStr">
        <is>
          <t>Macapá - AP</t>
        </is>
      </c>
      <c r="C2888" t="n">
        <v>0.034934</v>
      </c>
      <c r="D2888" t="n">
        <v>-51.0694</v>
      </c>
      <c r="E2888" t="inlineStr">
        <is>
          <t>2023-01</t>
        </is>
      </c>
      <c r="F2888" t="n">
        <v>0</v>
      </c>
    </row>
    <row r="2889">
      <c r="A2889" t="inlineStr">
        <is>
          <t>Soja</t>
        </is>
      </c>
      <c r="B2889" t="inlineStr">
        <is>
          <t>Macapá - AP</t>
        </is>
      </c>
      <c r="C2889" t="n">
        <v>0.034934</v>
      </c>
      <c r="D2889" t="n">
        <v>-51.0694</v>
      </c>
      <c r="E2889" t="inlineStr">
        <is>
          <t>2023-02</t>
        </is>
      </c>
      <c r="F2889" t="n">
        <v>0</v>
      </c>
    </row>
    <row r="2890">
      <c r="A2890" t="inlineStr">
        <is>
          <t>Soja</t>
        </is>
      </c>
      <c r="B2890" t="inlineStr">
        <is>
          <t>Macapá - AP</t>
        </is>
      </c>
      <c r="C2890" t="n">
        <v>0.034934</v>
      </c>
      <c r="D2890" t="n">
        <v>-51.0694</v>
      </c>
      <c r="E2890" t="inlineStr">
        <is>
          <t>2023-03</t>
        </is>
      </c>
      <c r="F2890" t="n">
        <v>0</v>
      </c>
    </row>
    <row r="2891">
      <c r="A2891" t="inlineStr">
        <is>
          <t>Soja</t>
        </is>
      </c>
      <c r="B2891" t="inlineStr">
        <is>
          <t>Macapá - AP</t>
        </is>
      </c>
      <c r="C2891" t="n">
        <v>0.034934</v>
      </c>
      <c r="D2891" t="n">
        <v>-51.0694</v>
      </c>
      <c r="E2891" t="inlineStr">
        <is>
          <t>2023-04</t>
        </is>
      </c>
      <c r="F2891" t="n">
        <v>0</v>
      </c>
    </row>
    <row r="2892">
      <c r="A2892" t="inlineStr">
        <is>
          <t>Soja</t>
        </is>
      </c>
      <c r="B2892" t="inlineStr">
        <is>
          <t>Macapá - AP</t>
        </is>
      </c>
      <c r="C2892" t="n">
        <v>0.034934</v>
      </c>
      <c r="D2892" t="n">
        <v>-51.0694</v>
      </c>
      <c r="E2892" t="inlineStr">
        <is>
          <t>2023-05</t>
        </is>
      </c>
      <c r="F2892" t="n">
        <v>0</v>
      </c>
    </row>
    <row r="2893">
      <c r="A2893" t="inlineStr">
        <is>
          <t>Soja</t>
        </is>
      </c>
      <c r="B2893" t="inlineStr">
        <is>
          <t>Macapá - AP</t>
        </is>
      </c>
      <c r="C2893" t="n">
        <v>0.034934</v>
      </c>
      <c r="D2893" t="n">
        <v>-51.0694</v>
      </c>
      <c r="E2893" t="inlineStr">
        <is>
          <t>2023-06</t>
        </is>
      </c>
      <c r="F2893" t="n">
        <v>0</v>
      </c>
    </row>
    <row r="2894">
      <c r="A2894" t="inlineStr">
        <is>
          <t>Soja</t>
        </is>
      </c>
      <c r="B2894" t="inlineStr">
        <is>
          <t>Macapá - AP</t>
        </is>
      </c>
      <c r="C2894" t="n">
        <v>0.034934</v>
      </c>
      <c r="D2894" t="n">
        <v>-51.0694</v>
      </c>
      <c r="E2894" t="inlineStr">
        <is>
          <t>2022-07</t>
        </is>
      </c>
      <c r="F2894" t="n">
        <v>0</v>
      </c>
    </row>
    <row r="2895">
      <c r="A2895" t="inlineStr">
        <is>
          <t>Soja</t>
        </is>
      </c>
      <c r="B2895" t="inlineStr">
        <is>
          <t>Macapá - AP</t>
        </is>
      </c>
      <c r="C2895" t="n">
        <v>0.034934</v>
      </c>
      <c r="D2895" t="n">
        <v>-51.0694</v>
      </c>
      <c r="E2895" t="inlineStr">
        <is>
          <t>2022-08</t>
        </is>
      </c>
      <c r="F2895" t="n">
        <v>0</v>
      </c>
    </row>
    <row r="2896">
      <c r="A2896" t="inlineStr">
        <is>
          <t>Soja</t>
        </is>
      </c>
      <c r="B2896" t="inlineStr">
        <is>
          <t>Macapá - AP</t>
        </is>
      </c>
      <c r="C2896" t="n">
        <v>0.034934</v>
      </c>
      <c r="D2896" t="n">
        <v>-51.0694</v>
      </c>
      <c r="E2896" t="inlineStr">
        <is>
          <t>2022-09</t>
        </is>
      </c>
      <c r="F2896" t="n">
        <v>0</v>
      </c>
    </row>
    <row r="2897">
      <c r="A2897" t="inlineStr">
        <is>
          <t>Soja</t>
        </is>
      </c>
      <c r="B2897" t="inlineStr">
        <is>
          <t>Macapá - AP</t>
        </is>
      </c>
      <c r="C2897" t="n">
        <v>0.034934</v>
      </c>
      <c r="D2897" t="n">
        <v>-51.0694</v>
      </c>
      <c r="E2897" t="inlineStr">
        <is>
          <t>2022-10</t>
        </is>
      </c>
      <c r="F2897" t="n">
        <v>0</v>
      </c>
    </row>
    <row r="2898">
      <c r="A2898" t="inlineStr">
        <is>
          <t>Soja</t>
        </is>
      </c>
      <c r="B2898" t="inlineStr">
        <is>
          <t>Macapá - AP</t>
        </is>
      </c>
      <c r="C2898" t="n">
        <v>0.034934</v>
      </c>
      <c r="D2898" t="n">
        <v>-51.0694</v>
      </c>
      <c r="E2898" t="inlineStr">
        <is>
          <t>2022-11</t>
        </is>
      </c>
      <c r="F2898" t="n">
        <v>0</v>
      </c>
    </row>
    <row r="2899">
      <c r="A2899" t="inlineStr">
        <is>
          <t>Soja</t>
        </is>
      </c>
      <c r="B2899" t="inlineStr">
        <is>
          <t>Macapá - AP</t>
        </is>
      </c>
      <c r="C2899" t="n">
        <v>0.034934</v>
      </c>
      <c r="D2899" t="n">
        <v>-51.0694</v>
      </c>
      <c r="E2899" t="inlineStr">
        <is>
          <t>2022-12</t>
        </is>
      </c>
      <c r="F2899" t="n">
        <v>0</v>
      </c>
    </row>
    <row r="2900">
      <c r="A2900" t="inlineStr">
        <is>
          <t>Soja</t>
        </is>
      </c>
      <c r="B2900" t="inlineStr">
        <is>
          <t>Limoeiro do Norte - CE</t>
        </is>
      </c>
      <c r="C2900" t="n">
        <v>-5.14392</v>
      </c>
      <c r="D2900" t="n">
        <v>-38.0847</v>
      </c>
      <c r="E2900" t="inlineStr">
        <is>
          <t>2023-01</t>
        </is>
      </c>
      <c r="F2900" t="n">
        <v>0</v>
      </c>
    </row>
    <row r="2901">
      <c r="A2901" t="inlineStr">
        <is>
          <t>Soja</t>
        </is>
      </c>
      <c r="B2901" t="inlineStr">
        <is>
          <t>Limoeiro do Norte - CE</t>
        </is>
      </c>
      <c r="C2901" t="n">
        <v>-5.14392</v>
      </c>
      <c r="D2901" t="n">
        <v>-38.0847</v>
      </c>
      <c r="E2901" t="inlineStr">
        <is>
          <t>2023-02</t>
        </is>
      </c>
      <c r="F2901" t="n">
        <v>0</v>
      </c>
    </row>
    <row r="2902">
      <c r="A2902" t="inlineStr">
        <is>
          <t>Soja</t>
        </is>
      </c>
      <c r="B2902" t="inlineStr">
        <is>
          <t>Limoeiro do Norte - CE</t>
        </is>
      </c>
      <c r="C2902" t="n">
        <v>-5.14392</v>
      </c>
      <c r="D2902" t="n">
        <v>-38.0847</v>
      </c>
      <c r="E2902" t="inlineStr">
        <is>
          <t>2023-03</t>
        </is>
      </c>
      <c r="F2902" t="n">
        <v>0</v>
      </c>
    </row>
    <row r="2903">
      <c r="A2903" t="inlineStr">
        <is>
          <t>Soja</t>
        </is>
      </c>
      <c r="B2903" t="inlineStr">
        <is>
          <t>Limoeiro do Norte - CE</t>
        </is>
      </c>
      <c r="C2903" t="n">
        <v>-5.14392</v>
      </c>
      <c r="D2903" t="n">
        <v>-38.0847</v>
      </c>
      <c r="E2903" t="inlineStr">
        <is>
          <t>2023-04</t>
        </is>
      </c>
      <c r="F2903" t="n">
        <v>0</v>
      </c>
    </row>
    <row r="2904">
      <c r="A2904" t="inlineStr">
        <is>
          <t>Soja</t>
        </is>
      </c>
      <c r="B2904" t="inlineStr">
        <is>
          <t>Limoeiro do Norte - CE</t>
        </is>
      </c>
      <c r="C2904" t="n">
        <v>-5.14392</v>
      </c>
      <c r="D2904" t="n">
        <v>-38.0847</v>
      </c>
      <c r="E2904" t="inlineStr">
        <is>
          <t>2023-05</t>
        </is>
      </c>
      <c r="F2904" t="n">
        <v>0</v>
      </c>
    </row>
    <row r="2905">
      <c r="A2905" t="inlineStr">
        <is>
          <t>Soja</t>
        </is>
      </c>
      <c r="B2905" t="inlineStr">
        <is>
          <t>Limoeiro do Norte - CE</t>
        </is>
      </c>
      <c r="C2905" t="n">
        <v>-5.14392</v>
      </c>
      <c r="D2905" t="n">
        <v>-38.0847</v>
      </c>
      <c r="E2905" t="inlineStr">
        <is>
          <t>2023-06</t>
        </is>
      </c>
      <c r="F2905" t="n">
        <v>0</v>
      </c>
    </row>
    <row r="2906">
      <c r="A2906" t="inlineStr">
        <is>
          <t>Soja</t>
        </is>
      </c>
      <c r="B2906" t="inlineStr">
        <is>
          <t>Limoeiro do Norte - CE</t>
        </is>
      </c>
      <c r="C2906" t="n">
        <v>-5.14392</v>
      </c>
      <c r="D2906" t="n">
        <v>-38.0847</v>
      </c>
      <c r="E2906" t="inlineStr">
        <is>
          <t>2022-07</t>
        </is>
      </c>
      <c r="F2906" t="n">
        <v>0</v>
      </c>
    </row>
    <row r="2907">
      <c r="A2907" t="inlineStr">
        <is>
          <t>Soja</t>
        </is>
      </c>
      <c r="B2907" t="inlineStr">
        <is>
          <t>Limoeiro do Norte - CE</t>
        </is>
      </c>
      <c r="C2907" t="n">
        <v>-5.14392</v>
      </c>
      <c r="D2907" t="n">
        <v>-38.0847</v>
      </c>
      <c r="E2907" t="inlineStr">
        <is>
          <t>2022-08</t>
        </is>
      </c>
      <c r="F2907" t="n">
        <v>0</v>
      </c>
    </row>
    <row r="2908">
      <c r="A2908" t="inlineStr">
        <is>
          <t>Soja</t>
        </is>
      </c>
      <c r="B2908" t="inlineStr">
        <is>
          <t>Limoeiro do Norte - CE</t>
        </is>
      </c>
      <c r="C2908" t="n">
        <v>-5.14392</v>
      </c>
      <c r="D2908" t="n">
        <v>-38.0847</v>
      </c>
      <c r="E2908" t="inlineStr">
        <is>
          <t>2022-09</t>
        </is>
      </c>
      <c r="F2908" t="n">
        <v>0</v>
      </c>
    </row>
    <row r="2909">
      <c r="A2909" t="inlineStr">
        <is>
          <t>Soja</t>
        </is>
      </c>
      <c r="B2909" t="inlineStr">
        <is>
          <t>Limoeiro do Norte - CE</t>
        </is>
      </c>
      <c r="C2909" t="n">
        <v>-5.14392</v>
      </c>
      <c r="D2909" t="n">
        <v>-38.0847</v>
      </c>
      <c r="E2909" t="inlineStr">
        <is>
          <t>2022-10</t>
        </is>
      </c>
      <c r="F2909" t="n">
        <v>0</v>
      </c>
    </row>
    <row r="2910">
      <c r="A2910" t="inlineStr">
        <is>
          <t>Soja</t>
        </is>
      </c>
      <c r="B2910" t="inlineStr">
        <is>
          <t>Limoeiro do Norte - CE</t>
        </is>
      </c>
      <c r="C2910" t="n">
        <v>-5.14392</v>
      </c>
      <c r="D2910" t="n">
        <v>-38.0847</v>
      </c>
      <c r="E2910" t="inlineStr">
        <is>
          <t>2022-11</t>
        </is>
      </c>
      <c r="F2910" t="n">
        <v>0</v>
      </c>
    </row>
    <row r="2911">
      <c r="A2911" t="inlineStr">
        <is>
          <t>Soja</t>
        </is>
      </c>
      <c r="B2911" t="inlineStr">
        <is>
          <t>Limoeiro do Norte - CE</t>
        </is>
      </c>
      <c r="C2911" t="n">
        <v>-5.14392</v>
      </c>
      <c r="D2911" t="n">
        <v>-38.0847</v>
      </c>
      <c r="E2911" t="inlineStr">
        <is>
          <t>2022-12</t>
        </is>
      </c>
      <c r="F2911" t="n">
        <v>0</v>
      </c>
    </row>
    <row r="2912">
      <c r="A2912" t="inlineStr">
        <is>
          <t>Soja</t>
        </is>
      </c>
      <c r="B2912" t="inlineStr">
        <is>
          <t>Pinheiros - ES</t>
        </is>
      </c>
      <c r="C2912" t="n">
        <v>-18.4141</v>
      </c>
      <c r="D2912" t="n">
        <v>-40.2171</v>
      </c>
      <c r="E2912" t="inlineStr">
        <is>
          <t>2023-01</t>
        </is>
      </c>
      <c r="F2912" t="n">
        <v>0</v>
      </c>
    </row>
    <row r="2913">
      <c r="A2913" t="inlineStr">
        <is>
          <t>Soja</t>
        </is>
      </c>
      <c r="B2913" t="inlineStr">
        <is>
          <t>Pinheiros - ES</t>
        </is>
      </c>
      <c r="C2913" t="n">
        <v>-18.4141</v>
      </c>
      <c r="D2913" t="n">
        <v>-40.2171</v>
      </c>
      <c r="E2913" t="inlineStr">
        <is>
          <t>2023-02</t>
        </is>
      </c>
      <c r="F2913" t="n">
        <v>0</v>
      </c>
    </row>
    <row r="2914">
      <c r="A2914" t="inlineStr">
        <is>
          <t>Soja</t>
        </is>
      </c>
      <c r="B2914" t="inlineStr">
        <is>
          <t>Pinheiros - ES</t>
        </is>
      </c>
      <c r="C2914" t="n">
        <v>-18.4141</v>
      </c>
      <c r="D2914" t="n">
        <v>-40.2171</v>
      </c>
      <c r="E2914" t="inlineStr">
        <is>
          <t>2023-03</t>
        </is>
      </c>
      <c r="F2914" t="n">
        <v>0</v>
      </c>
    </row>
    <row r="2915">
      <c r="A2915" t="inlineStr">
        <is>
          <t>Soja</t>
        </is>
      </c>
      <c r="B2915" t="inlineStr">
        <is>
          <t>Pinheiros - ES</t>
        </is>
      </c>
      <c r="C2915" t="n">
        <v>-18.4141</v>
      </c>
      <c r="D2915" t="n">
        <v>-40.2171</v>
      </c>
      <c r="E2915" t="inlineStr">
        <is>
          <t>2023-04</t>
        </is>
      </c>
      <c r="F2915" t="n">
        <v>0</v>
      </c>
    </row>
    <row r="2916">
      <c r="A2916" t="inlineStr">
        <is>
          <t>Soja</t>
        </is>
      </c>
      <c r="B2916" t="inlineStr">
        <is>
          <t>Pinheiros - ES</t>
        </is>
      </c>
      <c r="C2916" t="n">
        <v>-18.4141</v>
      </c>
      <c r="D2916" t="n">
        <v>-40.2171</v>
      </c>
      <c r="E2916" t="inlineStr">
        <is>
          <t>2023-05</t>
        </is>
      </c>
      <c r="F2916" t="n">
        <v>0</v>
      </c>
    </row>
    <row r="2917">
      <c r="A2917" t="inlineStr">
        <is>
          <t>Soja</t>
        </is>
      </c>
      <c r="B2917" t="inlineStr">
        <is>
          <t>Pinheiros - ES</t>
        </is>
      </c>
      <c r="C2917" t="n">
        <v>-18.4141</v>
      </c>
      <c r="D2917" t="n">
        <v>-40.2171</v>
      </c>
      <c r="E2917" t="inlineStr">
        <is>
          <t>2023-06</t>
        </is>
      </c>
      <c r="F2917" t="n">
        <v>0</v>
      </c>
    </row>
    <row r="2918">
      <c r="A2918" t="inlineStr">
        <is>
          <t>Soja</t>
        </is>
      </c>
      <c r="B2918" t="inlineStr">
        <is>
          <t>Pinheiros - ES</t>
        </is>
      </c>
      <c r="C2918" t="n">
        <v>-18.4141</v>
      </c>
      <c r="D2918" t="n">
        <v>-40.2171</v>
      </c>
      <c r="E2918" t="inlineStr">
        <is>
          <t>2022-07</t>
        </is>
      </c>
      <c r="F2918" t="n">
        <v>0</v>
      </c>
    </row>
    <row r="2919">
      <c r="A2919" t="inlineStr">
        <is>
          <t>Soja</t>
        </is>
      </c>
      <c r="B2919" t="inlineStr">
        <is>
          <t>Pinheiros - ES</t>
        </is>
      </c>
      <c r="C2919" t="n">
        <v>-18.4141</v>
      </c>
      <c r="D2919" t="n">
        <v>-40.2171</v>
      </c>
      <c r="E2919" t="inlineStr">
        <is>
          <t>2022-08</t>
        </is>
      </c>
      <c r="F2919" t="n">
        <v>0</v>
      </c>
    </row>
    <row r="2920">
      <c r="A2920" t="inlineStr">
        <is>
          <t>Soja</t>
        </is>
      </c>
      <c r="B2920" t="inlineStr">
        <is>
          <t>Pinheiros - ES</t>
        </is>
      </c>
      <c r="C2920" t="n">
        <v>-18.4141</v>
      </c>
      <c r="D2920" t="n">
        <v>-40.2171</v>
      </c>
      <c r="E2920" t="inlineStr">
        <is>
          <t>2022-09</t>
        </is>
      </c>
      <c r="F2920" t="n">
        <v>0</v>
      </c>
    </row>
    <row r="2921">
      <c r="A2921" t="inlineStr">
        <is>
          <t>Soja</t>
        </is>
      </c>
      <c r="B2921" t="inlineStr">
        <is>
          <t>Pinheiros - ES</t>
        </is>
      </c>
      <c r="C2921" t="n">
        <v>-18.4141</v>
      </c>
      <c r="D2921" t="n">
        <v>-40.2171</v>
      </c>
      <c r="E2921" t="inlineStr">
        <is>
          <t>2022-10</t>
        </is>
      </c>
      <c r="F2921" t="n">
        <v>0</v>
      </c>
    </row>
    <row r="2922">
      <c r="A2922" t="inlineStr">
        <is>
          <t>Soja</t>
        </is>
      </c>
      <c r="B2922" t="inlineStr">
        <is>
          <t>Pinheiros - ES</t>
        </is>
      </c>
      <c r="C2922" t="n">
        <v>-18.4141</v>
      </c>
      <c r="D2922" t="n">
        <v>-40.2171</v>
      </c>
      <c r="E2922" t="inlineStr">
        <is>
          <t>2022-11</t>
        </is>
      </c>
      <c r="F2922" t="n">
        <v>0</v>
      </c>
    </row>
    <row r="2923">
      <c r="A2923" t="inlineStr">
        <is>
          <t>Soja</t>
        </is>
      </c>
      <c r="B2923" t="inlineStr">
        <is>
          <t>Pinheiros - ES</t>
        </is>
      </c>
      <c r="C2923" t="n">
        <v>-18.4141</v>
      </c>
      <c r="D2923" t="n">
        <v>-40.2171</v>
      </c>
      <c r="E2923" t="inlineStr">
        <is>
          <t>2022-12</t>
        </is>
      </c>
      <c r="F2923" t="n">
        <v>0</v>
      </c>
    </row>
    <row r="2924">
      <c r="A2924" t="inlineStr">
        <is>
          <t>Soja</t>
        </is>
      </c>
      <c r="B2924" t="inlineStr">
        <is>
          <t>Campos dos Goytacazes - RJ</t>
        </is>
      </c>
      <c r="C2924" t="n">
        <v>-21.7622</v>
      </c>
      <c r="D2924" t="n">
        <v>-41.3181</v>
      </c>
      <c r="E2924" t="inlineStr">
        <is>
          <t>2023-01</t>
        </is>
      </c>
      <c r="F2924" t="n">
        <v>0</v>
      </c>
    </row>
    <row r="2925">
      <c r="A2925" t="inlineStr">
        <is>
          <t>Soja</t>
        </is>
      </c>
      <c r="B2925" t="inlineStr">
        <is>
          <t>Campos dos Goytacazes - RJ</t>
        </is>
      </c>
      <c r="C2925" t="n">
        <v>-21.7622</v>
      </c>
      <c r="D2925" t="n">
        <v>-41.3181</v>
      </c>
      <c r="E2925" t="inlineStr">
        <is>
          <t>2023-02</t>
        </is>
      </c>
      <c r="F2925" t="n">
        <v>0</v>
      </c>
    </row>
    <row r="2926">
      <c r="A2926" t="inlineStr">
        <is>
          <t>Soja</t>
        </is>
      </c>
      <c r="B2926" t="inlineStr">
        <is>
          <t>Campos dos Goytacazes - RJ</t>
        </is>
      </c>
      <c r="C2926" t="n">
        <v>-21.7622</v>
      </c>
      <c r="D2926" t="n">
        <v>-41.3181</v>
      </c>
      <c r="E2926" t="inlineStr">
        <is>
          <t>2023-03</t>
        </is>
      </c>
      <c r="F2926" t="n">
        <v>0</v>
      </c>
    </row>
    <row r="2927">
      <c r="A2927" t="inlineStr">
        <is>
          <t>Soja</t>
        </is>
      </c>
      <c r="B2927" t="inlineStr">
        <is>
          <t>Campos dos Goytacazes - RJ</t>
        </is>
      </c>
      <c r="C2927" t="n">
        <v>-21.7622</v>
      </c>
      <c r="D2927" t="n">
        <v>-41.3181</v>
      </c>
      <c r="E2927" t="inlineStr">
        <is>
          <t>2023-04</t>
        </is>
      </c>
      <c r="F2927" t="n">
        <v>0</v>
      </c>
    </row>
    <row r="2928">
      <c r="A2928" t="inlineStr">
        <is>
          <t>Soja</t>
        </is>
      </c>
      <c r="B2928" t="inlineStr">
        <is>
          <t>Campos dos Goytacazes - RJ</t>
        </is>
      </c>
      <c r="C2928" t="n">
        <v>-21.7622</v>
      </c>
      <c r="D2928" t="n">
        <v>-41.3181</v>
      </c>
      <c r="E2928" t="inlineStr">
        <is>
          <t>2023-05</t>
        </is>
      </c>
      <c r="F2928" t="n">
        <v>0</v>
      </c>
    </row>
    <row r="2929">
      <c r="A2929" t="inlineStr">
        <is>
          <t>Soja</t>
        </is>
      </c>
      <c r="B2929" t="inlineStr">
        <is>
          <t>Campos dos Goytacazes - RJ</t>
        </is>
      </c>
      <c r="C2929" t="n">
        <v>-21.7622</v>
      </c>
      <c r="D2929" t="n">
        <v>-41.3181</v>
      </c>
      <c r="E2929" t="inlineStr">
        <is>
          <t>2023-06</t>
        </is>
      </c>
      <c r="F2929" t="n">
        <v>0</v>
      </c>
    </row>
    <row r="2930">
      <c r="A2930" t="inlineStr">
        <is>
          <t>Soja</t>
        </is>
      </c>
      <c r="B2930" t="inlineStr">
        <is>
          <t>Campos dos Goytacazes - RJ</t>
        </is>
      </c>
      <c r="C2930" t="n">
        <v>-21.7622</v>
      </c>
      <c r="D2930" t="n">
        <v>-41.3181</v>
      </c>
      <c r="E2930" t="inlineStr">
        <is>
          <t>2022-07</t>
        </is>
      </c>
      <c r="F2930" t="n">
        <v>0</v>
      </c>
    </row>
    <row r="2931">
      <c r="A2931" t="inlineStr">
        <is>
          <t>Soja</t>
        </is>
      </c>
      <c r="B2931" t="inlineStr">
        <is>
          <t>Campos dos Goytacazes - RJ</t>
        </is>
      </c>
      <c r="C2931" t="n">
        <v>-21.7622</v>
      </c>
      <c r="D2931" t="n">
        <v>-41.3181</v>
      </c>
      <c r="E2931" t="inlineStr">
        <is>
          <t>2022-08</t>
        </is>
      </c>
      <c r="F2931" t="n">
        <v>0</v>
      </c>
    </row>
    <row r="2932">
      <c r="A2932" t="inlineStr">
        <is>
          <t>Soja</t>
        </is>
      </c>
      <c r="B2932" t="inlineStr">
        <is>
          <t>Campos dos Goytacazes - RJ</t>
        </is>
      </c>
      <c r="C2932" t="n">
        <v>-21.7622</v>
      </c>
      <c r="D2932" t="n">
        <v>-41.3181</v>
      </c>
      <c r="E2932" t="inlineStr">
        <is>
          <t>2022-09</t>
        </is>
      </c>
      <c r="F2932" t="n">
        <v>0</v>
      </c>
    </row>
    <row r="2933">
      <c r="A2933" t="inlineStr">
        <is>
          <t>Soja</t>
        </is>
      </c>
      <c r="B2933" t="inlineStr">
        <is>
          <t>Campos dos Goytacazes - RJ</t>
        </is>
      </c>
      <c r="C2933" t="n">
        <v>-21.7622</v>
      </c>
      <c r="D2933" t="n">
        <v>-41.3181</v>
      </c>
      <c r="E2933" t="inlineStr">
        <is>
          <t>2022-10</t>
        </is>
      </c>
      <c r="F2933" t="n">
        <v>0</v>
      </c>
    </row>
    <row r="2934">
      <c r="A2934" t="inlineStr">
        <is>
          <t>Soja</t>
        </is>
      </c>
      <c r="B2934" t="inlineStr">
        <is>
          <t>Campos dos Goytacazes - RJ</t>
        </is>
      </c>
      <c r="C2934" t="n">
        <v>-21.7622</v>
      </c>
      <c r="D2934" t="n">
        <v>-41.3181</v>
      </c>
      <c r="E2934" t="inlineStr">
        <is>
          <t>2022-11</t>
        </is>
      </c>
      <c r="F2934" t="n">
        <v>0</v>
      </c>
    </row>
    <row r="2935">
      <c r="A2935" t="inlineStr">
        <is>
          <t>Soja</t>
        </is>
      </c>
      <c r="B2935" t="inlineStr">
        <is>
          <t>Campos dos Goytacazes - RJ</t>
        </is>
      </c>
      <c r="C2935" t="n">
        <v>-21.7622</v>
      </c>
      <c r="D2935" t="n">
        <v>-41.3181</v>
      </c>
      <c r="E2935" t="inlineStr">
        <is>
          <t>2022-12</t>
        </is>
      </c>
      <c r="F2935" t="n">
        <v>0</v>
      </c>
    </row>
    <row r="2936">
      <c r="A2936" t="inlineStr">
        <is>
          <t>Soja</t>
        </is>
      </c>
      <c r="B2936" t="inlineStr">
        <is>
          <t>Alto do Rodrigues - RN</t>
        </is>
      </c>
      <c r="C2936" t="n">
        <v>-5.28186</v>
      </c>
      <c r="D2936" t="n">
        <v>-36.75</v>
      </c>
      <c r="E2936" t="inlineStr">
        <is>
          <t>2023-01</t>
        </is>
      </c>
      <c r="F2936" t="n">
        <v>0</v>
      </c>
    </row>
    <row r="2937">
      <c r="A2937" t="inlineStr">
        <is>
          <t>Soja</t>
        </is>
      </c>
      <c r="B2937" t="inlineStr">
        <is>
          <t>Alto do Rodrigues - RN</t>
        </is>
      </c>
      <c r="C2937" t="n">
        <v>-5.28186</v>
      </c>
      <c r="D2937" t="n">
        <v>-36.75</v>
      </c>
      <c r="E2937" t="inlineStr">
        <is>
          <t>2023-02</t>
        </is>
      </c>
      <c r="F2937" t="n">
        <v>0</v>
      </c>
    </row>
    <row r="2938">
      <c r="A2938" t="inlineStr">
        <is>
          <t>Soja</t>
        </is>
      </c>
      <c r="B2938" t="inlineStr">
        <is>
          <t>Alto do Rodrigues - RN</t>
        </is>
      </c>
      <c r="C2938" t="n">
        <v>-5.28186</v>
      </c>
      <c r="D2938" t="n">
        <v>-36.75</v>
      </c>
      <c r="E2938" t="inlineStr">
        <is>
          <t>2023-03</t>
        </is>
      </c>
      <c r="F2938" t="n">
        <v>0</v>
      </c>
    </row>
    <row r="2939">
      <c r="A2939" t="inlineStr">
        <is>
          <t>Soja</t>
        </is>
      </c>
      <c r="B2939" t="inlineStr">
        <is>
          <t>Alto do Rodrigues - RN</t>
        </is>
      </c>
      <c r="C2939" t="n">
        <v>-5.28186</v>
      </c>
      <c r="D2939" t="n">
        <v>-36.75</v>
      </c>
      <c r="E2939" t="inlineStr">
        <is>
          <t>2023-04</t>
        </is>
      </c>
      <c r="F2939" t="n">
        <v>0</v>
      </c>
    </row>
    <row r="2940">
      <c r="A2940" t="inlineStr">
        <is>
          <t>Soja</t>
        </is>
      </c>
      <c r="B2940" t="inlineStr">
        <is>
          <t>Alto do Rodrigues - RN</t>
        </is>
      </c>
      <c r="C2940" t="n">
        <v>-5.28186</v>
      </c>
      <c r="D2940" t="n">
        <v>-36.75</v>
      </c>
      <c r="E2940" t="inlineStr">
        <is>
          <t>2023-05</t>
        </is>
      </c>
      <c r="F2940" t="n">
        <v>0</v>
      </c>
    </row>
    <row r="2941">
      <c r="A2941" t="inlineStr">
        <is>
          <t>Soja</t>
        </is>
      </c>
      <c r="B2941" t="inlineStr">
        <is>
          <t>Alto do Rodrigues - RN</t>
        </is>
      </c>
      <c r="C2941" t="n">
        <v>-5.28186</v>
      </c>
      <c r="D2941" t="n">
        <v>-36.75</v>
      </c>
      <c r="E2941" t="inlineStr">
        <is>
          <t>2023-06</t>
        </is>
      </c>
      <c r="F2941" t="n">
        <v>0</v>
      </c>
    </row>
    <row r="2942">
      <c r="A2942" t="inlineStr">
        <is>
          <t>Soja</t>
        </is>
      </c>
      <c r="B2942" t="inlineStr">
        <is>
          <t>Alto do Rodrigues - RN</t>
        </is>
      </c>
      <c r="C2942" t="n">
        <v>-5.28186</v>
      </c>
      <c r="D2942" t="n">
        <v>-36.75</v>
      </c>
      <c r="E2942" t="inlineStr">
        <is>
          <t>2022-07</t>
        </is>
      </c>
      <c r="F2942" t="n">
        <v>0</v>
      </c>
    </row>
    <row r="2943">
      <c r="A2943" t="inlineStr">
        <is>
          <t>Soja</t>
        </is>
      </c>
      <c r="B2943" t="inlineStr">
        <is>
          <t>Alto do Rodrigues - RN</t>
        </is>
      </c>
      <c r="C2943" t="n">
        <v>-5.28186</v>
      </c>
      <c r="D2943" t="n">
        <v>-36.75</v>
      </c>
      <c r="E2943" t="inlineStr">
        <is>
          <t>2022-08</t>
        </is>
      </c>
      <c r="F2943" t="n">
        <v>0</v>
      </c>
    </row>
    <row r="2944">
      <c r="A2944" t="inlineStr">
        <is>
          <t>Soja</t>
        </is>
      </c>
      <c r="B2944" t="inlineStr">
        <is>
          <t>Alto do Rodrigues - RN</t>
        </is>
      </c>
      <c r="C2944" t="n">
        <v>-5.28186</v>
      </c>
      <c r="D2944" t="n">
        <v>-36.75</v>
      </c>
      <c r="E2944" t="inlineStr">
        <is>
          <t>2022-09</t>
        </is>
      </c>
      <c r="F2944" t="n">
        <v>0</v>
      </c>
    </row>
    <row r="2945">
      <c r="A2945" t="inlineStr">
        <is>
          <t>Soja</t>
        </is>
      </c>
      <c r="B2945" t="inlineStr">
        <is>
          <t>Alto do Rodrigues - RN</t>
        </is>
      </c>
      <c r="C2945" t="n">
        <v>-5.28186</v>
      </c>
      <c r="D2945" t="n">
        <v>-36.75</v>
      </c>
      <c r="E2945" t="inlineStr">
        <is>
          <t>2022-10</t>
        </is>
      </c>
      <c r="F2945" t="n">
        <v>0</v>
      </c>
    </row>
    <row r="2946">
      <c r="A2946" t="inlineStr">
        <is>
          <t>Soja</t>
        </is>
      </c>
      <c r="B2946" t="inlineStr">
        <is>
          <t>Alto do Rodrigues - RN</t>
        </is>
      </c>
      <c r="C2946" t="n">
        <v>-5.28186</v>
      </c>
      <c r="D2946" t="n">
        <v>-36.75</v>
      </c>
      <c r="E2946" t="inlineStr">
        <is>
          <t>2022-11</t>
        </is>
      </c>
      <c r="F2946" t="n">
        <v>0</v>
      </c>
    </row>
    <row r="2947">
      <c r="A2947" t="inlineStr">
        <is>
          <t>Soja</t>
        </is>
      </c>
      <c r="B2947" t="inlineStr">
        <is>
          <t>Alto do Rodrigues - RN</t>
        </is>
      </c>
      <c r="C2947" t="n">
        <v>-5.28186</v>
      </c>
      <c r="D2947" t="n">
        <v>-36.75</v>
      </c>
      <c r="E2947" t="inlineStr">
        <is>
          <t>2022-12</t>
        </is>
      </c>
      <c r="F2947" t="n">
        <v>0</v>
      </c>
    </row>
    <row r="2948">
      <c r="A2948" t="inlineStr">
        <is>
          <t>Soja</t>
        </is>
      </c>
      <c r="B2948" t="inlineStr">
        <is>
          <t>Humaitá - AM</t>
        </is>
      </c>
      <c r="C2948" t="n">
        <v>-7.51171</v>
      </c>
      <c r="D2948" t="n">
        <v>-63.0327</v>
      </c>
      <c r="E2948" t="inlineStr">
        <is>
          <t>2023-01</t>
        </is>
      </c>
      <c r="F2948" t="n">
        <v>6866.4868684915</v>
      </c>
    </row>
    <row r="2949">
      <c r="A2949" t="inlineStr">
        <is>
          <t>Soja</t>
        </is>
      </c>
      <c r="B2949" t="inlineStr">
        <is>
          <t>Humaitá - AM</t>
        </is>
      </c>
      <c r="C2949" t="n">
        <v>-7.51171</v>
      </c>
      <c r="D2949" t="n">
        <v>-63.0327</v>
      </c>
      <c r="E2949" t="inlineStr">
        <is>
          <t>2023-02</t>
        </is>
      </c>
      <c r="F2949" t="n">
        <v>6866.4868684915</v>
      </c>
    </row>
    <row r="2950">
      <c r="A2950" t="inlineStr">
        <is>
          <t>Soja</t>
        </is>
      </c>
      <c r="B2950" t="inlineStr">
        <is>
          <t>Humaitá - AM</t>
        </is>
      </c>
      <c r="C2950" t="n">
        <v>-7.51171</v>
      </c>
      <c r="D2950" t="n">
        <v>-63.0327</v>
      </c>
      <c r="E2950" t="inlineStr">
        <is>
          <t>2023-03</t>
        </is>
      </c>
      <c r="F2950" t="n">
        <v>4119.8921210949</v>
      </c>
    </row>
    <row r="2951">
      <c r="A2951" t="inlineStr">
        <is>
          <t>Soja</t>
        </is>
      </c>
      <c r="B2951" t="inlineStr">
        <is>
          <t>Humaitá - AM</t>
        </is>
      </c>
      <c r="C2951" t="n">
        <v>-7.51171</v>
      </c>
      <c r="D2951" t="n">
        <v>-63.0327</v>
      </c>
      <c r="E2951" t="inlineStr">
        <is>
          <t>2023-04</t>
        </is>
      </c>
      <c r="F2951" t="n">
        <v>0</v>
      </c>
    </row>
    <row r="2952">
      <c r="A2952" t="inlineStr">
        <is>
          <t>Soja</t>
        </is>
      </c>
      <c r="B2952" t="inlineStr">
        <is>
          <t>Humaitá - AM</t>
        </is>
      </c>
      <c r="C2952" t="n">
        <v>-7.51171</v>
      </c>
      <c r="D2952" t="n">
        <v>-63.0327</v>
      </c>
      <c r="E2952" t="inlineStr">
        <is>
          <t>2023-05</t>
        </is>
      </c>
      <c r="F2952" t="n">
        <v>0</v>
      </c>
    </row>
    <row r="2953">
      <c r="A2953" t="inlineStr">
        <is>
          <t>Soja</t>
        </is>
      </c>
      <c r="B2953" t="inlineStr">
        <is>
          <t>Humaitá - AM</t>
        </is>
      </c>
      <c r="C2953" t="n">
        <v>-7.51171</v>
      </c>
      <c r="D2953" t="n">
        <v>-63.0327</v>
      </c>
      <c r="E2953" t="inlineStr">
        <is>
          <t>2023-06</t>
        </is>
      </c>
      <c r="F2953" t="n">
        <v>0</v>
      </c>
    </row>
    <row r="2954">
      <c r="A2954" t="inlineStr">
        <is>
          <t>Soja</t>
        </is>
      </c>
      <c r="B2954" t="inlineStr">
        <is>
          <t>Humaitá - AM</t>
        </is>
      </c>
      <c r="C2954" t="n">
        <v>-7.51171</v>
      </c>
      <c r="D2954" t="n">
        <v>-63.0327</v>
      </c>
      <c r="E2954" t="inlineStr">
        <is>
          <t>2022-07</t>
        </is>
      </c>
      <c r="F2954" t="n">
        <v>0</v>
      </c>
    </row>
    <row r="2955">
      <c r="A2955" t="inlineStr">
        <is>
          <t>Soja</t>
        </is>
      </c>
      <c r="B2955" t="inlineStr">
        <is>
          <t>Humaitá - AM</t>
        </is>
      </c>
      <c r="C2955" t="n">
        <v>-7.51171</v>
      </c>
      <c r="D2955" t="n">
        <v>-63.0327</v>
      </c>
      <c r="E2955" t="inlineStr">
        <is>
          <t>2022-08</t>
        </is>
      </c>
      <c r="F2955" t="n">
        <v>0</v>
      </c>
    </row>
    <row r="2956">
      <c r="A2956" t="inlineStr">
        <is>
          <t>Soja</t>
        </is>
      </c>
      <c r="B2956" t="inlineStr">
        <is>
          <t>Humaitá - AM</t>
        </is>
      </c>
      <c r="C2956" t="n">
        <v>-7.51171</v>
      </c>
      <c r="D2956" t="n">
        <v>-63.0327</v>
      </c>
      <c r="E2956" t="inlineStr">
        <is>
          <t>2022-09</t>
        </is>
      </c>
      <c r="F2956" t="n">
        <v>0</v>
      </c>
    </row>
    <row r="2957">
      <c r="A2957" t="inlineStr">
        <is>
          <t>Soja</t>
        </is>
      </c>
      <c r="B2957" t="inlineStr">
        <is>
          <t>Humaitá - AM</t>
        </is>
      </c>
      <c r="C2957" t="n">
        <v>-7.51171</v>
      </c>
      <c r="D2957" t="n">
        <v>-63.0327</v>
      </c>
      <c r="E2957" t="inlineStr">
        <is>
          <t>2022-10</t>
        </is>
      </c>
      <c r="F2957" t="n">
        <v>0</v>
      </c>
    </row>
    <row r="2958">
      <c r="A2958" t="inlineStr">
        <is>
          <t>Soja</t>
        </is>
      </c>
      <c r="B2958" t="inlineStr">
        <is>
          <t>Humaitá - AM</t>
        </is>
      </c>
      <c r="C2958" t="n">
        <v>-7.51171</v>
      </c>
      <c r="D2958" t="n">
        <v>-63.0327</v>
      </c>
      <c r="E2958" t="inlineStr">
        <is>
          <t>2022-11</t>
        </is>
      </c>
      <c r="F2958" t="n">
        <v>0</v>
      </c>
    </row>
    <row r="2959">
      <c r="A2959" t="inlineStr">
        <is>
          <t>Soja</t>
        </is>
      </c>
      <c r="B2959" t="inlineStr">
        <is>
          <t>Humaitá - AM</t>
        </is>
      </c>
      <c r="C2959" t="n">
        <v>-7.51171</v>
      </c>
      <c r="D2959" t="n">
        <v>-63.0327</v>
      </c>
      <c r="E2959" t="inlineStr">
        <is>
          <t>2022-12</t>
        </is>
      </c>
      <c r="F2959" t="n">
        <v>2059.9460605474</v>
      </c>
    </row>
    <row r="2960">
      <c r="A2960" t="inlineStr">
        <is>
          <t>Soja</t>
        </is>
      </c>
      <c r="B2960" t="inlineStr">
        <is>
          <t>São Desidério - BA</t>
        </is>
      </c>
      <c r="C2960" t="n">
        <v>-12.3572</v>
      </c>
      <c r="D2960" t="n">
        <v>-44.9769</v>
      </c>
      <c r="E2960" t="inlineStr">
        <is>
          <t>2023-01</t>
        </is>
      </c>
      <c r="F2960" t="n">
        <v>0</v>
      </c>
    </row>
    <row r="2961">
      <c r="A2961" t="inlineStr">
        <is>
          <t>Soja</t>
        </is>
      </c>
      <c r="B2961" t="inlineStr">
        <is>
          <t>São Desidério - BA</t>
        </is>
      </c>
      <c r="C2961" t="n">
        <v>-12.3572</v>
      </c>
      <c r="D2961" t="n">
        <v>-44.9769</v>
      </c>
      <c r="E2961" t="inlineStr">
        <is>
          <t>2023-02</t>
        </is>
      </c>
      <c r="F2961" t="n">
        <v>1617958.23696325</v>
      </c>
    </row>
    <row r="2962">
      <c r="A2962" t="inlineStr">
        <is>
          <t>Soja</t>
        </is>
      </c>
      <c r="B2962" t="inlineStr">
        <is>
          <t>São Desidério - BA</t>
        </is>
      </c>
      <c r="C2962" t="n">
        <v>-12.3572</v>
      </c>
      <c r="D2962" t="n">
        <v>-44.9769</v>
      </c>
      <c r="E2962" t="inlineStr">
        <is>
          <t>2023-03</t>
        </is>
      </c>
      <c r="F2962" t="n">
        <v>2696597.061605417</v>
      </c>
    </row>
    <row r="2963">
      <c r="A2963" t="inlineStr">
        <is>
          <t>Soja</t>
        </is>
      </c>
      <c r="B2963" t="inlineStr">
        <is>
          <t>São Desidério - BA</t>
        </is>
      </c>
      <c r="C2963" t="n">
        <v>-12.3572</v>
      </c>
      <c r="D2963" t="n">
        <v>-44.9769</v>
      </c>
      <c r="E2963" t="inlineStr">
        <is>
          <t>2023-04</t>
        </is>
      </c>
      <c r="F2963" t="n">
        <v>2696597.061605417</v>
      </c>
    </row>
    <row r="2964">
      <c r="A2964" t="inlineStr">
        <is>
          <t>Soja</t>
        </is>
      </c>
      <c r="B2964" t="inlineStr">
        <is>
          <t>São Desidério - BA</t>
        </is>
      </c>
      <c r="C2964" t="n">
        <v>-12.3572</v>
      </c>
      <c r="D2964" t="n">
        <v>-44.9769</v>
      </c>
      <c r="E2964" t="inlineStr">
        <is>
          <t>2023-05</t>
        </is>
      </c>
      <c r="F2964" t="n">
        <v>808979.1184816251</v>
      </c>
    </row>
    <row r="2965">
      <c r="A2965" t="inlineStr">
        <is>
          <t>Soja</t>
        </is>
      </c>
      <c r="B2965" t="inlineStr">
        <is>
          <t>São Desidério - BA</t>
        </is>
      </c>
      <c r="C2965" t="n">
        <v>-12.3572</v>
      </c>
      <c r="D2965" t="n">
        <v>-44.9769</v>
      </c>
      <c r="E2965" t="inlineStr">
        <is>
          <t>2023-06</t>
        </is>
      </c>
      <c r="F2965" t="n">
        <v>0</v>
      </c>
    </row>
    <row r="2966">
      <c r="A2966" t="inlineStr">
        <is>
          <t>Soja</t>
        </is>
      </c>
      <c r="B2966" t="inlineStr">
        <is>
          <t>São Desidério - BA</t>
        </is>
      </c>
      <c r="C2966" t="n">
        <v>-12.3572</v>
      </c>
      <c r="D2966" t="n">
        <v>-44.9769</v>
      </c>
      <c r="E2966" t="inlineStr">
        <is>
          <t>2022-07</t>
        </is>
      </c>
      <c r="F2966" t="n">
        <v>0</v>
      </c>
    </row>
    <row r="2967">
      <c r="A2967" t="inlineStr">
        <is>
          <t>Soja</t>
        </is>
      </c>
      <c r="B2967" t="inlineStr">
        <is>
          <t>São Desidério - BA</t>
        </is>
      </c>
      <c r="C2967" t="n">
        <v>-12.3572</v>
      </c>
      <c r="D2967" t="n">
        <v>-44.9769</v>
      </c>
      <c r="E2967" t="inlineStr">
        <is>
          <t>2022-08</t>
        </is>
      </c>
      <c r="F2967" t="n">
        <v>0</v>
      </c>
    </row>
    <row r="2968">
      <c r="A2968" t="inlineStr">
        <is>
          <t>Soja</t>
        </is>
      </c>
      <c r="B2968" t="inlineStr">
        <is>
          <t>São Desidério - BA</t>
        </is>
      </c>
      <c r="C2968" t="n">
        <v>-12.3572</v>
      </c>
      <c r="D2968" t="n">
        <v>-44.9769</v>
      </c>
      <c r="E2968" t="inlineStr">
        <is>
          <t>2022-09</t>
        </is>
      </c>
      <c r="F2968" t="n">
        <v>0</v>
      </c>
    </row>
    <row r="2969">
      <c r="A2969" t="inlineStr">
        <is>
          <t>Soja</t>
        </is>
      </c>
      <c r="B2969" t="inlineStr">
        <is>
          <t>São Desidério - BA</t>
        </is>
      </c>
      <c r="C2969" t="n">
        <v>-12.3572</v>
      </c>
      <c r="D2969" t="n">
        <v>-44.9769</v>
      </c>
      <c r="E2969" t="inlineStr">
        <is>
          <t>2022-10</t>
        </is>
      </c>
      <c r="F2969" t="n">
        <v>0</v>
      </c>
    </row>
    <row r="2970">
      <c r="A2970" t="inlineStr">
        <is>
          <t>Soja</t>
        </is>
      </c>
      <c r="B2970" t="inlineStr">
        <is>
          <t>São Desidério - BA</t>
        </is>
      </c>
      <c r="C2970" t="n">
        <v>-12.3572</v>
      </c>
      <c r="D2970" t="n">
        <v>-44.9769</v>
      </c>
      <c r="E2970" t="inlineStr">
        <is>
          <t>2022-11</t>
        </is>
      </c>
      <c r="F2970" t="n">
        <v>0</v>
      </c>
    </row>
    <row r="2971">
      <c r="A2971" t="inlineStr">
        <is>
          <t>Soja</t>
        </is>
      </c>
      <c r="B2971" t="inlineStr">
        <is>
          <t>São Desidério - BA</t>
        </is>
      </c>
      <c r="C2971" t="n">
        <v>-12.3572</v>
      </c>
      <c r="D2971" t="n">
        <v>-44.9769</v>
      </c>
      <c r="E2971" t="inlineStr">
        <is>
          <t>2022-12</t>
        </is>
      </c>
      <c r="F2971" t="n">
        <v>0</v>
      </c>
    </row>
    <row r="2972">
      <c r="A2972" t="inlineStr">
        <is>
          <t>Soja</t>
        </is>
      </c>
      <c r="B2972" t="inlineStr">
        <is>
          <t>Brasília - DF</t>
        </is>
      </c>
      <c r="C2972" t="n">
        <v>-15.7795</v>
      </c>
      <c r="D2972" t="n">
        <v>-47.9297</v>
      </c>
      <c r="E2972" t="inlineStr">
        <is>
          <t>2023-01</t>
        </is>
      </c>
      <c r="F2972" t="n">
        <v>0</v>
      </c>
    </row>
    <row r="2973">
      <c r="A2973" t="inlineStr">
        <is>
          <t>Soja</t>
        </is>
      </c>
      <c r="B2973" t="inlineStr">
        <is>
          <t>Brasília - DF</t>
        </is>
      </c>
      <c r="C2973" t="n">
        <v>-15.7795</v>
      </c>
      <c r="D2973" t="n">
        <v>-47.9297</v>
      </c>
      <c r="E2973" t="inlineStr">
        <is>
          <t>2023-02</t>
        </is>
      </c>
      <c r="F2973" t="n">
        <v>60751.5876185698</v>
      </c>
    </row>
    <row r="2974">
      <c r="A2974" t="inlineStr">
        <is>
          <t>Soja</t>
        </is>
      </c>
      <c r="B2974" t="inlineStr">
        <is>
          <t>Brasília - DF</t>
        </is>
      </c>
      <c r="C2974" t="n">
        <v>-15.7795</v>
      </c>
      <c r="D2974" t="n">
        <v>-47.9297</v>
      </c>
      <c r="E2974" t="inlineStr">
        <is>
          <t>2023-03</t>
        </is>
      </c>
      <c r="F2974" t="n">
        <v>60751.5876185698</v>
      </c>
    </row>
    <row r="2975">
      <c r="A2975" t="inlineStr">
        <is>
          <t>Soja</t>
        </is>
      </c>
      <c r="B2975" t="inlineStr">
        <is>
          <t>Brasília - DF</t>
        </is>
      </c>
      <c r="C2975" t="n">
        <v>-15.7795</v>
      </c>
      <c r="D2975" t="n">
        <v>-47.9297</v>
      </c>
      <c r="E2975" t="inlineStr">
        <is>
          <t>2023-04</t>
        </is>
      </c>
      <c r="F2975" t="n">
        <v>141753.7044433295</v>
      </c>
    </row>
    <row r="2976">
      <c r="A2976" t="inlineStr">
        <is>
          <t>Soja</t>
        </is>
      </c>
      <c r="B2976" t="inlineStr">
        <is>
          <t>Brasília - DF</t>
        </is>
      </c>
      <c r="C2976" t="n">
        <v>-15.7795</v>
      </c>
      <c r="D2976" t="n">
        <v>-47.9297</v>
      </c>
      <c r="E2976" t="inlineStr">
        <is>
          <t>2023-05</t>
        </is>
      </c>
      <c r="F2976" t="n">
        <v>60751.5876185698</v>
      </c>
    </row>
    <row r="2977">
      <c r="A2977" t="inlineStr">
        <is>
          <t>Soja</t>
        </is>
      </c>
      <c r="B2977" t="inlineStr">
        <is>
          <t>Brasília - DF</t>
        </is>
      </c>
      <c r="C2977" t="n">
        <v>-15.7795</v>
      </c>
      <c r="D2977" t="n">
        <v>-47.9297</v>
      </c>
      <c r="E2977" t="inlineStr">
        <is>
          <t>2023-06</t>
        </is>
      </c>
      <c r="F2977" t="n">
        <v>0</v>
      </c>
    </row>
    <row r="2978">
      <c r="A2978" t="inlineStr">
        <is>
          <t>Soja</t>
        </is>
      </c>
      <c r="B2978" t="inlineStr">
        <is>
          <t>Brasília - DF</t>
        </is>
      </c>
      <c r="C2978" t="n">
        <v>-15.7795</v>
      </c>
      <c r="D2978" t="n">
        <v>-47.9297</v>
      </c>
      <c r="E2978" t="inlineStr">
        <is>
          <t>2022-07</t>
        </is>
      </c>
      <c r="F2978" t="n">
        <v>0</v>
      </c>
    </row>
    <row r="2979">
      <c r="A2979" t="inlineStr">
        <is>
          <t>Soja</t>
        </is>
      </c>
      <c r="B2979" t="inlineStr">
        <is>
          <t>Brasília - DF</t>
        </is>
      </c>
      <c r="C2979" t="n">
        <v>-15.7795</v>
      </c>
      <c r="D2979" t="n">
        <v>-47.9297</v>
      </c>
      <c r="E2979" t="inlineStr">
        <is>
          <t>2022-08</t>
        </is>
      </c>
      <c r="F2979" t="n">
        <v>0</v>
      </c>
    </row>
    <row r="2980">
      <c r="A2980" t="inlineStr">
        <is>
          <t>Soja</t>
        </is>
      </c>
      <c r="B2980" t="inlineStr">
        <is>
          <t>Brasília - DF</t>
        </is>
      </c>
      <c r="C2980" t="n">
        <v>-15.7795</v>
      </c>
      <c r="D2980" t="n">
        <v>-47.9297</v>
      </c>
      <c r="E2980" t="inlineStr">
        <is>
          <t>2022-09</t>
        </is>
      </c>
      <c r="F2980" t="n">
        <v>0</v>
      </c>
    </row>
    <row r="2981">
      <c r="A2981" t="inlineStr">
        <is>
          <t>Soja</t>
        </is>
      </c>
      <c r="B2981" t="inlineStr">
        <is>
          <t>Brasília - DF</t>
        </is>
      </c>
      <c r="C2981" t="n">
        <v>-15.7795</v>
      </c>
      <c r="D2981" t="n">
        <v>-47.9297</v>
      </c>
      <c r="E2981" t="inlineStr">
        <is>
          <t>2022-10</t>
        </is>
      </c>
      <c r="F2981" t="n">
        <v>0</v>
      </c>
    </row>
    <row r="2982">
      <c r="A2982" t="inlineStr">
        <is>
          <t>Soja</t>
        </is>
      </c>
      <c r="B2982" t="inlineStr">
        <is>
          <t>Brasília - DF</t>
        </is>
      </c>
      <c r="C2982" t="n">
        <v>-15.7795</v>
      </c>
      <c r="D2982" t="n">
        <v>-47.9297</v>
      </c>
      <c r="E2982" t="inlineStr">
        <is>
          <t>2022-11</t>
        </is>
      </c>
      <c r="F2982" t="n">
        <v>0</v>
      </c>
    </row>
    <row r="2983">
      <c r="A2983" t="inlineStr">
        <is>
          <t>Soja</t>
        </is>
      </c>
      <c r="B2983" t="inlineStr">
        <is>
          <t>Brasília - DF</t>
        </is>
      </c>
      <c r="C2983" t="n">
        <v>-15.7795</v>
      </c>
      <c r="D2983" t="n">
        <v>-47.9297</v>
      </c>
      <c r="E2983" t="inlineStr">
        <is>
          <t>2022-12</t>
        </is>
      </c>
      <c r="F2983" t="n">
        <v>0</v>
      </c>
    </row>
    <row r="2984">
      <c r="A2984" t="inlineStr">
        <is>
          <t>Soja</t>
        </is>
      </c>
      <c r="B2984" t="inlineStr">
        <is>
          <t>Rio Verde - GO</t>
        </is>
      </c>
      <c r="C2984" t="n">
        <v>-17.7923</v>
      </c>
      <c r="D2984" t="n">
        <v>-50.9192</v>
      </c>
      <c r="E2984" t="inlineStr">
        <is>
          <t>2023-01</t>
        </is>
      </c>
      <c r="F2984" t="n">
        <v>0</v>
      </c>
    </row>
    <row r="2985">
      <c r="A2985" t="inlineStr">
        <is>
          <t>Soja</t>
        </is>
      </c>
      <c r="B2985" t="inlineStr">
        <is>
          <t>Rio Verde - GO</t>
        </is>
      </c>
      <c r="C2985" t="n">
        <v>-17.7923</v>
      </c>
      <c r="D2985" t="n">
        <v>-50.9192</v>
      </c>
      <c r="E2985" t="inlineStr">
        <is>
          <t>2023-02</t>
        </is>
      </c>
      <c r="F2985" t="n">
        <v>4139409.45309724</v>
      </c>
    </row>
    <row r="2986">
      <c r="A2986" t="inlineStr">
        <is>
          <t>Soja</t>
        </is>
      </c>
      <c r="B2986" t="inlineStr">
        <is>
          <t>Rio Verde - GO</t>
        </is>
      </c>
      <c r="C2986" t="n">
        <v>-17.7923</v>
      </c>
      <c r="D2986" t="n">
        <v>-50.9192</v>
      </c>
      <c r="E2986" t="inlineStr">
        <is>
          <t>2023-03</t>
        </is>
      </c>
      <c r="F2986" t="n">
        <v>9658622.057226894</v>
      </c>
    </row>
    <row r="2987">
      <c r="A2987" t="inlineStr">
        <is>
          <t>Soja</t>
        </is>
      </c>
      <c r="B2987" t="inlineStr">
        <is>
          <t>Rio Verde - GO</t>
        </is>
      </c>
      <c r="C2987" t="n">
        <v>-17.7923</v>
      </c>
      <c r="D2987" t="n">
        <v>-50.9192</v>
      </c>
      <c r="E2987" t="inlineStr">
        <is>
          <t>2023-04</t>
        </is>
      </c>
      <c r="F2987" t="n">
        <v>4139409.45309724</v>
      </c>
    </row>
    <row r="2988">
      <c r="A2988" t="inlineStr">
        <is>
          <t>Soja</t>
        </is>
      </c>
      <c r="B2988" t="inlineStr">
        <is>
          <t>Rio Verde - GO</t>
        </is>
      </c>
      <c r="C2988" t="n">
        <v>-17.7923</v>
      </c>
      <c r="D2988" t="n">
        <v>-50.9192</v>
      </c>
      <c r="E2988" t="inlineStr">
        <is>
          <t>2023-05</t>
        </is>
      </c>
      <c r="F2988" t="n">
        <v>0</v>
      </c>
    </row>
    <row r="2989">
      <c r="A2989" t="inlineStr">
        <is>
          <t>Soja</t>
        </is>
      </c>
      <c r="B2989" t="inlineStr">
        <is>
          <t>Rio Verde - GO</t>
        </is>
      </c>
      <c r="C2989" t="n">
        <v>-17.7923</v>
      </c>
      <c r="D2989" t="n">
        <v>-50.9192</v>
      </c>
      <c r="E2989" t="inlineStr">
        <is>
          <t>2023-06</t>
        </is>
      </c>
      <c r="F2989" t="n">
        <v>0</v>
      </c>
    </row>
    <row r="2990">
      <c r="A2990" t="inlineStr">
        <is>
          <t>Soja</t>
        </is>
      </c>
      <c r="B2990" t="inlineStr">
        <is>
          <t>Rio Verde - GO</t>
        </is>
      </c>
      <c r="C2990" t="n">
        <v>-17.7923</v>
      </c>
      <c r="D2990" t="n">
        <v>-50.9192</v>
      </c>
      <c r="E2990" t="inlineStr">
        <is>
          <t>2022-07</t>
        </is>
      </c>
      <c r="F2990" t="n">
        <v>0</v>
      </c>
    </row>
    <row r="2991">
      <c r="A2991" t="inlineStr">
        <is>
          <t>Soja</t>
        </is>
      </c>
      <c r="B2991" t="inlineStr">
        <is>
          <t>Rio Verde - GO</t>
        </is>
      </c>
      <c r="C2991" t="n">
        <v>-17.7923</v>
      </c>
      <c r="D2991" t="n">
        <v>-50.9192</v>
      </c>
      <c r="E2991" t="inlineStr">
        <is>
          <t>2022-08</t>
        </is>
      </c>
      <c r="F2991" t="n">
        <v>0</v>
      </c>
    </row>
    <row r="2992">
      <c r="A2992" t="inlineStr">
        <is>
          <t>Soja</t>
        </is>
      </c>
      <c r="B2992" t="inlineStr">
        <is>
          <t>Rio Verde - GO</t>
        </is>
      </c>
      <c r="C2992" t="n">
        <v>-17.7923</v>
      </c>
      <c r="D2992" t="n">
        <v>-50.9192</v>
      </c>
      <c r="E2992" t="inlineStr">
        <is>
          <t>2022-09</t>
        </is>
      </c>
      <c r="F2992" t="n">
        <v>0</v>
      </c>
    </row>
    <row r="2993">
      <c r="A2993" t="inlineStr">
        <is>
          <t>Soja</t>
        </is>
      </c>
      <c r="B2993" t="inlineStr">
        <is>
          <t>Rio Verde - GO</t>
        </is>
      </c>
      <c r="C2993" t="n">
        <v>-17.7923</v>
      </c>
      <c r="D2993" t="n">
        <v>-50.9192</v>
      </c>
      <c r="E2993" t="inlineStr">
        <is>
          <t>2022-10</t>
        </is>
      </c>
      <c r="F2993" t="n">
        <v>0</v>
      </c>
    </row>
    <row r="2994">
      <c r="A2994" t="inlineStr">
        <is>
          <t>Soja</t>
        </is>
      </c>
      <c r="B2994" t="inlineStr">
        <is>
          <t>Rio Verde - GO</t>
        </is>
      </c>
      <c r="C2994" t="n">
        <v>-17.7923</v>
      </c>
      <c r="D2994" t="n">
        <v>-50.9192</v>
      </c>
      <c r="E2994" t="inlineStr">
        <is>
          <t>2022-11</t>
        </is>
      </c>
      <c r="F2994" t="n">
        <v>0</v>
      </c>
    </row>
    <row r="2995">
      <c r="A2995" t="inlineStr">
        <is>
          <t>Soja</t>
        </is>
      </c>
      <c r="B2995" t="inlineStr">
        <is>
          <t>Rio Verde - GO</t>
        </is>
      </c>
      <c r="C2995" t="n">
        <v>-17.7923</v>
      </c>
      <c r="D2995" t="n">
        <v>-50.9192</v>
      </c>
      <c r="E2995" t="inlineStr">
        <is>
          <t>2022-12</t>
        </is>
      </c>
      <c r="F2995" t="n">
        <v>0</v>
      </c>
    </row>
    <row r="2996">
      <c r="A2996" t="inlineStr">
        <is>
          <t>Soja</t>
        </is>
      </c>
      <c r="B2996" t="inlineStr">
        <is>
          <t>Balsas - MA</t>
        </is>
      </c>
      <c r="C2996" t="n">
        <v>-7.53214</v>
      </c>
      <c r="D2996" t="n">
        <v>-46.0372</v>
      </c>
      <c r="E2996" t="inlineStr">
        <is>
          <t>2023-01</t>
        </is>
      </c>
      <c r="F2996" t="n">
        <v>0</v>
      </c>
    </row>
    <row r="2997">
      <c r="A2997" t="inlineStr">
        <is>
          <t>Soja</t>
        </is>
      </c>
      <c r="B2997" t="inlineStr">
        <is>
          <t>Balsas - MA</t>
        </is>
      </c>
      <c r="C2997" t="n">
        <v>-7.53214</v>
      </c>
      <c r="D2997" t="n">
        <v>-46.0372</v>
      </c>
      <c r="E2997" t="inlineStr">
        <is>
          <t>2023-02</t>
        </is>
      </c>
      <c r="F2997" t="n">
        <v>440021.0409133206</v>
      </c>
    </row>
    <row r="2998">
      <c r="A2998" t="inlineStr">
        <is>
          <t>Soja</t>
        </is>
      </c>
      <c r="B2998" t="inlineStr">
        <is>
          <t>Balsas - MA</t>
        </is>
      </c>
      <c r="C2998" t="n">
        <v>-7.53214</v>
      </c>
      <c r="D2998" t="n">
        <v>-46.0372</v>
      </c>
      <c r="E2998" t="inlineStr">
        <is>
          <t>2023-03</t>
        </is>
      </c>
      <c r="F2998" t="n">
        <v>1466736.803044402</v>
      </c>
    </row>
    <row r="2999">
      <c r="A2999" t="inlineStr">
        <is>
          <t>Soja</t>
        </is>
      </c>
      <c r="B2999" t="inlineStr">
        <is>
          <t>Balsas - MA</t>
        </is>
      </c>
      <c r="C2999" t="n">
        <v>-7.53214</v>
      </c>
      <c r="D2999" t="n">
        <v>-46.0372</v>
      </c>
      <c r="E2999" t="inlineStr">
        <is>
          <t>2023-04</t>
        </is>
      </c>
      <c r="F2999" t="n">
        <v>1466736.803044402</v>
      </c>
    </row>
    <row r="3000">
      <c r="A3000" t="inlineStr">
        <is>
          <t>Soja</t>
        </is>
      </c>
      <c r="B3000" t="inlineStr">
        <is>
          <t>Balsas - MA</t>
        </is>
      </c>
      <c r="C3000" t="n">
        <v>-7.53214</v>
      </c>
      <c r="D3000" t="n">
        <v>-46.0372</v>
      </c>
      <c r="E3000" t="inlineStr">
        <is>
          <t>2023-05</t>
        </is>
      </c>
      <c r="F3000" t="n">
        <v>880042.0818266411</v>
      </c>
    </row>
    <row r="3001">
      <c r="A3001" t="inlineStr">
        <is>
          <t>Soja</t>
        </is>
      </c>
      <c r="B3001" t="inlineStr">
        <is>
          <t>Balsas - MA</t>
        </is>
      </c>
      <c r="C3001" t="n">
        <v>-7.53214</v>
      </c>
      <c r="D3001" t="n">
        <v>-46.0372</v>
      </c>
      <c r="E3001" t="inlineStr">
        <is>
          <t>2023-06</t>
        </is>
      </c>
      <c r="F3001" t="n">
        <v>0</v>
      </c>
    </row>
    <row r="3002">
      <c r="A3002" t="inlineStr">
        <is>
          <t>Soja</t>
        </is>
      </c>
      <c r="B3002" t="inlineStr">
        <is>
          <t>Balsas - MA</t>
        </is>
      </c>
      <c r="C3002" t="n">
        <v>-7.53214</v>
      </c>
      <c r="D3002" t="n">
        <v>-46.0372</v>
      </c>
      <c r="E3002" t="inlineStr">
        <is>
          <t>2022-07</t>
        </is>
      </c>
      <c r="F3002" t="n">
        <v>0</v>
      </c>
    </row>
    <row r="3003">
      <c r="A3003" t="inlineStr">
        <is>
          <t>Soja</t>
        </is>
      </c>
      <c r="B3003" t="inlineStr">
        <is>
          <t>Balsas - MA</t>
        </is>
      </c>
      <c r="C3003" t="n">
        <v>-7.53214</v>
      </c>
      <c r="D3003" t="n">
        <v>-46.0372</v>
      </c>
      <c r="E3003" t="inlineStr">
        <is>
          <t>2022-08</t>
        </is>
      </c>
      <c r="F3003" t="n">
        <v>0</v>
      </c>
    </row>
    <row r="3004">
      <c r="A3004" t="inlineStr">
        <is>
          <t>Soja</t>
        </is>
      </c>
      <c r="B3004" t="inlineStr">
        <is>
          <t>Balsas - MA</t>
        </is>
      </c>
      <c r="C3004" t="n">
        <v>-7.53214</v>
      </c>
      <c r="D3004" t="n">
        <v>-46.0372</v>
      </c>
      <c r="E3004" t="inlineStr">
        <is>
          <t>2022-09</t>
        </is>
      </c>
      <c r="F3004" t="n">
        <v>0</v>
      </c>
    </row>
    <row r="3005">
      <c r="A3005" t="inlineStr">
        <is>
          <t>Soja</t>
        </is>
      </c>
      <c r="B3005" t="inlineStr">
        <is>
          <t>Balsas - MA</t>
        </is>
      </c>
      <c r="C3005" t="n">
        <v>-7.53214</v>
      </c>
      <c r="D3005" t="n">
        <v>-46.0372</v>
      </c>
      <c r="E3005" t="inlineStr">
        <is>
          <t>2022-10</t>
        </is>
      </c>
      <c r="F3005" t="n">
        <v>0</v>
      </c>
    </row>
    <row r="3006">
      <c r="A3006" t="inlineStr">
        <is>
          <t>Soja</t>
        </is>
      </c>
      <c r="B3006" t="inlineStr">
        <is>
          <t>Balsas - MA</t>
        </is>
      </c>
      <c r="C3006" t="n">
        <v>-7.53214</v>
      </c>
      <c r="D3006" t="n">
        <v>-46.0372</v>
      </c>
      <c r="E3006" t="inlineStr">
        <is>
          <t>2022-11</t>
        </is>
      </c>
      <c r="F3006" t="n">
        <v>0</v>
      </c>
    </row>
    <row r="3007">
      <c r="A3007" t="inlineStr">
        <is>
          <t>Soja</t>
        </is>
      </c>
      <c r="B3007" t="inlineStr">
        <is>
          <t>Balsas - MA</t>
        </is>
      </c>
      <c r="C3007" t="n">
        <v>-7.53214</v>
      </c>
      <c r="D3007" t="n">
        <v>-46.0372</v>
      </c>
      <c r="E3007" t="inlineStr">
        <is>
          <t>2022-12</t>
        </is>
      </c>
      <c r="F3007" t="n">
        <v>0</v>
      </c>
    </row>
    <row r="3008">
      <c r="A3008" t="inlineStr">
        <is>
          <t>Soja</t>
        </is>
      </c>
      <c r="B3008" t="inlineStr">
        <is>
          <t>Unaí - MG</t>
        </is>
      </c>
      <c r="C3008" t="n">
        <v>-16.3592</v>
      </c>
      <c r="D3008" t="n">
        <v>-46.9022</v>
      </c>
      <c r="E3008" t="inlineStr">
        <is>
          <t>2023-01</t>
        </is>
      </c>
      <c r="F3008" t="n">
        <v>0</v>
      </c>
    </row>
    <row r="3009">
      <c r="A3009" t="inlineStr">
        <is>
          <t>Soja</t>
        </is>
      </c>
      <c r="B3009" t="inlineStr">
        <is>
          <t>Unaí - MG</t>
        </is>
      </c>
      <c r="C3009" t="n">
        <v>-16.3592</v>
      </c>
      <c r="D3009" t="n">
        <v>-46.9022</v>
      </c>
      <c r="E3009" t="inlineStr">
        <is>
          <t>2023-02</t>
        </is>
      </c>
      <c r="F3009" t="n">
        <v>969439.122498331</v>
      </c>
    </row>
    <row r="3010">
      <c r="A3010" t="inlineStr">
        <is>
          <t>Soja</t>
        </is>
      </c>
      <c r="B3010" t="inlineStr">
        <is>
          <t>Unaí - MG</t>
        </is>
      </c>
      <c r="C3010" t="n">
        <v>-16.3592</v>
      </c>
      <c r="D3010" t="n">
        <v>-46.9022</v>
      </c>
      <c r="E3010" t="inlineStr">
        <is>
          <t>2023-03</t>
        </is>
      </c>
      <c r="F3010" t="n">
        <v>1938878.244996662</v>
      </c>
    </row>
    <row r="3011">
      <c r="A3011" t="inlineStr">
        <is>
          <t>Soja</t>
        </is>
      </c>
      <c r="B3011" t="inlineStr">
        <is>
          <t>Unaí - MG</t>
        </is>
      </c>
      <c r="C3011" t="n">
        <v>-16.3592</v>
      </c>
      <c r="D3011" t="n">
        <v>-46.9022</v>
      </c>
      <c r="E3011" t="inlineStr">
        <is>
          <t>2023-04</t>
        </is>
      </c>
      <c r="F3011" t="n">
        <v>4524049.238325546</v>
      </c>
    </row>
    <row r="3012">
      <c r="A3012" t="inlineStr">
        <is>
          <t>Soja</t>
        </is>
      </c>
      <c r="B3012" t="inlineStr">
        <is>
          <t>Unaí - MG</t>
        </is>
      </c>
      <c r="C3012" t="n">
        <v>-16.3592</v>
      </c>
      <c r="D3012" t="n">
        <v>-46.9022</v>
      </c>
      <c r="E3012" t="inlineStr">
        <is>
          <t>2023-05</t>
        </is>
      </c>
      <c r="F3012" t="n">
        <v>969439.122498331</v>
      </c>
    </row>
    <row r="3013">
      <c r="A3013" t="inlineStr">
        <is>
          <t>Soja</t>
        </is>
      </c>
      <c r="B3013" t="inlineStr">
        <is>
          <t>Unaí - MG</t>
        </is>
      </c>
      <c r="C3013" t="n">
        <v>-16.3592</v>
      </c>
      <c r="D3013" t="n">
        <v>-46.9022</v>
      </c>
      <c r="E3013" t="inlineStr">
        <is>
          <t>2023-06</t>
        </is>
      </c>
      <c r="F3013" t="n">
        <v>0</v>
      </c>
    </row>
    <row r="3014">
      <c r="A3014" t="inlineStr">
        <is>
          <t>Soja</t>
        </is>
      </c>
      <c r="B3014" t="inlineStr">
        <is>
          <t>Unaí - MG</t>
        </is>
      </c>
      <c r="C3014" t="n">
        <v>-16.3592</v>
      </c>
      <c r="D3014" t="n">
        <v>-46.9022</v>
      </c>
      <c r="E3014" t="inlineStr">
        <is>
          <t>2022-07</t>
        </is>
      </c>
      <c r="F3014" t="n">
        <v>0</v>
      </c>
    </row>
    <row r="3015">
      <c r="A3015" t="inlineStr">
        <is>
          <t>Soja</t>
        </is>
      </c>
      <c r="B3015" t="inlineStr">
        <is>
          <t>Unaí - MG</t>
        </is>
      </c>
      <c r="C3015" t="n">
        <v>-16.3592</v>
      </c>
      <c r="D3015" t="n">
        <v>-46.9022</v>
      </c>
      <c r="E3015" t="inlineStr">
        <is>
          <t>2022-08</t>
        </is>
      </c>
      <c r="F3015" t="n">
        <v>0</v>
      </c>
    </row>
    <row r="3016">
      <c r="A3016" t="inlineStr">
        <is>
          <t>Soja</t>
        </is>
      </c>
      <c r="B3016" t="inlineStr">
        <is>
          <t>Unaí - MG</t>
        </is>
      </c>
      <c r="C3016" t="n">
        <v>-16.3592</v>
      </c>
      <c r="D3016" t="n">
        <v>-46.9022</v>
      </c>
      <c r="E3016" t="inlineStr">
        <is>
          <t>2022-09</t>
        </is>
      </c>
      <c r="F3016" t="n">
        <v>0</v>
      </c>
    </row>
    <row r="3017">
      <c r="A3017" t="inlineStr">
        <is>
          <t>Soja</t>
        </is>
      </c>
      <c r="B3017" t="inlineStr">
        <is>
          <t>Unaí - MG</t>
        </is>
      </c>
      <c r="C3017" t="n">
        <v>-16.3592</v>
      </c>
      <c r="D3017" t="n">
        <v>-46.9022</v>
      </c>
      <c r="E3017" t="inlineStr">
        <is>
          <t>2022-10</t>
        </is>
      </c>
      <c r="F3017" t="n">
        <v>0</v>
      </c>
    </row>
    <row r="3018">
      <c r="A3018" t="inlineStr">
        <is>
          <t>Soja</t>
        </is>
      </c>
      <c r="B3018" t="inlineStr">
        <is>
          <t>Unaí - MG</t>
        </is>
      </c>
      <c r="C3018" t="n">
        <v>-16.3592</v>
      </c>
      <c r="D3018" t="n">
        <v>-46.9022</v>
      </c>
      <c r="E3018" t="inlineStr">
        <is>
          <t>2022-11</t>
        </is>
      </c>
      <c r="F3018" t="n">
        <v>0</v>
      </c>
    </row>
    <row r="3019">
      <c r="A3019" t="inlineStr">
        <is>
          <t>Soja</t>
        </is>
      </c>
      <c r="B3019" t="inlineStr">
        <is>
          <t>Unaí - MG</t>
        </is>
      </c>
      <c r="C3019" t="n">
        <v>-16.3592</v>
      </c>
      <c r="D3019" t="n">
        <v>-46.9022</v>
      </c>
      <c r="E3019" t="inlineStr">
        <is>
          <t>2022-12</t>
        </is>
      </c>
      <c r="F3019" t="n">
        <v>0</v>
      </c>
    </row>
    <row r="3020">
      <c r="A3020" t="inlineStr">
        <is>
          <t>Soja</t>
        </is>
      </c>
      <c r="B3020" t="inlineStr">
        <is>
          <t>Ponta Porã - MS</t>
        </is>
      </c>
      <c r="C3020" t="n">
        <v>-22.5296</v>
      </c>
      <c r="D3020" t="n">
        <v>-55.7203</v>
      </c>
      <c r="E3020" t="inlineStr">
        <is>
          <t>2023-01</t>
        </is>
      </c>
      <c r="F3020" t="n">
        <v>0</v>
      </c>
    </row>
    <row r="3021">
      <c r="A3021" t="inlineStr">
        <is>
          <t>Soja</t>
        </is>
      </c>
      <c r="B3021" t="inlineStr">
        <is>
          <t>Ponta Porã - MS</t>
        </is>
      </c>
      <c r="C3021" t="n">
        <v>-22.5296</v>
      </c>
      <c r="D3021" t="n">
        <v>-55.7203</v>
      </c>
      <c r="E3021" t="inlineStr">
        <is>
          <t>2023-02</t>
        </is>
      </c>
      <c r="F3021" t="n">
        <v>3419938.852847597</v>
      </c>
    </row>
    <row r="3022">
      <c r="A3022" t="inlineStr">
        <is>
          <t>Soja</t>
        </is>
      </c>
      <c r="B3022" t="inlineStr">
        <is>
          <t>Ponta Porã - MS</t>
        </is>
      </c>
      <c r="C3022" t="n">
        <v>-22.5296</v>
      </c>
      <c r="D3022" t="n">
        <v>-55.7203</v>
      </c>
      <c r="E3022" t="inlineStr">
        <is>
          <t>2023-03</t>
        </is>
      </c>
      <c r="F3022" t="n">
        <v>7979857.323311061</v>
      </c>
    </row>
    <row r="3023">
      <c r="A3023" t="inlineStr">
        <is>
          <t>Soja</t>
        </is>
      </c>
      <c r="B3023" t="inlineStr">
        <is>
          <t>Ponta Porã - MS</t>
        </is>
      </c>
      <c r="C3023" t="n">
        <v>-22.5296</v>
      </c>
      <c r="D3023" t="n">
        <v>-55.7203</v>
      </c>
      <c r="E3023" t="inlineStr">
        <is>
          <t>2023-04</t>
        </is>
      </c>
      <c r="F3023" t="n">
        <v>3419938.852847597</v>
      </c>
    </row>
    <row r="3024">
      <c r="A3024" t="inlineStr">
        <is>
          <t>Soja</t>
        </is>
      </c>
      <c r="B3024" t="inlineStr">
        <is>
          <t>Ponta Porã - MS</t>
        </is>
      </c>
      <c r="C3024" t="n">
        <v>-22.5296</v>
      </c>
      <c r="D3024" t="n">
        <v>-55.7203</v>
      </c>
      <c r="E3024" t="inlineStr">
        <is>
          <t>2023-05</t>
        </is>
      </c>
      <c r="F3024" t="n">
        <v>0</v>
      </c>
    </row>
    <row r="3025">
      <c r="A3025" t="inlineStr">
        <is>
          <t>Soja</t>
        </is>
      </c>
      <c r="B3025" t="inlineStr">
        <is>
          <t>Ponta Porã - MS</t>
        </is>
      </c>
      <c r="C3025" t="n">
        <v>-22.5296</v>
      </c>
      <c r="D3025" t="n">
        <v>-55.7203</v>
      </c>
      <c r="E3025" t="inlineStr">
        <is>
          <t>2023-06</t>
        </is>
      </c>
      <c r="F3025" t="n">
        <v>0</v>
      </c>
    </row>
    <row r="3026">
      <c r="A3026" t="inlineStr">
        <is>
          <t>Soja</t>
        </is>
      </c>
      <c r="B3026" t="inlineStr">
        <is>
          <t>Ponta Porã - MS</t>
        </is>
      </c>
      <c r="C3026" t="n">
        <v>-22.5296</v>
      </c>
      <c r="D3026" t="n">
        <v>-55.7203</v>
      </c>
      <c r="E3026" t="inlineStr">
        <is>
          <t>2022-07</t>
        </is>
      </c>
      <c r="F3026" t="n">
        <v>0</v>
      </c>
    </row>
    <row r="3027">
      <c r="A3027" t="inlineStr">
        <is>
          <t>Soja</t>
        </is>
      </c>
      <c r="B3027" t="inlineStr">
        <is>
          <t>Ponta Porã - MS</t>
        </is>
      </c>
      <c r="C3027" t="n">
        <v>-22.5296</v>
      </c>
      <c r="D3027" t="n">
        <v>-55.7203</v>
      </c>
      <c r="E3027" t="inlineStr">
        <is>
          <t>2022-08</t>
        </is>
      </c>
      <c r="F3027" t="n">
        <v>0</v>
      </c>
    </row>
    <row r="3028">
      <c r="A3028" t="inlineStr">
        <is>
          <t>Soja</t>
        </is>
      </c>
      <c r="B3028" t="inlineStr">
        <is>
          <t>Ponta Porã - MS</t>
        </is>
      </c>
      <c r="C3028" t="n">
        <v>-22.5296</v>
      </c>
      <c r="D3028" t="n">
        <v>-55.7203</v>
      </c>
      <c r="E3028" t="inlineStr">
        <is>
          <t>2022-09</t>
        </is>
      </c>
      <c r="F3028" t="n">
        <v>0</v>
      </c>
    </row>
    <row r="3029">
      <c r="A3029" t="inlineStr">
        <is>
          <t>Soja</t>
        </is>
      </c>
      <c r="B3029" t="inlineStr">
        <is>
          <t>Ponta Porã - MS</t>
        </is>
      </c>
      <c r="C3029" t="n">
        <v>-22.5296</v>
      </c>
      <c r="D3029" t="n">
        <v>-55.7203</v>
      </c>
      <c r="E3029" t="inlineStr">
        <is>
          <t>2022-10</t>
        </is>
      </c>
      <c r="F3029" t="n">
        <v>0</v>
      </c>
    </row>
    <row r="3030">
      <c r="A3030" t="inlineStr">
        <is>
          <t>Soja</t>
        </is>
      </c>
      <c r="B3030" t="inlineStr">
        <is>
          <t>Ponta Porã - MS</t>
        </is>
      </c>
      <c r="C3030" t="n">
        <v>-22.5296</v>
      </c>
      <c r="D3030" t="n">
        <v>-55.7203</v>
      </c>
      <c r="E3030" t="inlineStr">
        <is>
          <t>2022-11</t>
        </is>
      </c>
      <c r="F3030" t="n">
        <v>0</v>
      </c>
    </row>
    <row r="3031">
      <c r="A3031" t="inlineStr">
        <is>
          <t>Soja</t>
        </is>
      </c>
      <c r="B3031" t="inlineStr">
        <is>
          <t>Ponta Porã - MS</t>
        </is>
      </c>
      <c r="C3031" t="n">
        <v>-22.5296</v>
      </c>
      <c r="D3031" t="n">
        <v>-55.7203</v>
      </c>
      <c r="E3031" t="inlineStr">
        <is>
          <t>2022-12</t>
        </is>
      </c>
      <c r="F3031" t="n">
        <v>0</v>
      </c>
    </row>
    <row r="3032">
      <c r="A3032" t="inlineStr">
        <is>
          <t>Soja</t>
        </is>
      </c>
      <c r="B3032" t="inlineStr">
        <is>
          <t>Sorriso - MT</t>
        </is>
      </c>
      <c r="C3032" t="n">
        <v>-12.5425</v>
      </c>
      <c r="D3032" t="n">
        <v>-55.7211</v>
      </c>
      <c r="E3032" t="inlineStr">
        <is>
          <t>2023-01</t>
        </is>
      </c>
      <c r="F3032" t="n">
        <v>8800499.74836044</v>
      </c>
    </row>
    <row r="3033">
      <c r="A3033" t="inlineStr">
        <is>
          <t>Soja</t>
        </is>
      </c>
      <c r="B3033" t="inlineStr">
        <is>
          <t>Sorriso - MT</t>
        </is>
      </c>
      <c r="C3033" t="n">
        <v>-12.5425</v>
      </c>
      <c r="D3033" t="n">
        <v>-55.7211</v>
      </c>
      <c r="E3033" t="inlineStr">
        <is>
          <t>2023-02</t>
        </is>
      </c>
      <c r="F3033" t="n">
        <v>14667499.58060073</v>
      </c>
    </row>
    <row r="3034">
      <c r="A3034" t="inlineStr">
        <is>
          <t>Soja</t>
        </is>
      </c>
      <c r="B3034" t="inlineStr">
        <is>
          <t>Sorriso - MT</t>
        </is>
      </c>
      <c r="C3034" t="n">
        <v>-12.5425</v>
      </c>
      <c r="D3034" t="n">
        <v>-55.7211</v>
      </c>
      <c r="E3034" t="inlineStr">
        <is>
          <t>2023-03</t>
        </is>
      </c>
      <c r="F3034" t="n">
        <v>14667499.58060073</v>
      </c>
    </row>
    <row r="3035">
      <c r="A3035" t="inlineStr">
        <is>
          <t>Soja</t>
        </is>
      </c>
      <c r="B3035" t="inlineStr">
        <is>
          <t>Sorriso - MT</t>
        </is>
      </c>
      <c r="C3035" t="n">
        <v>-12.5425</v>
      </c>
      <c r="D3035" t="n">
        <v>-55.7211</v>
      </c>
      <c r="E3035" t="inlineStr">
        <is>
          <t>2023-04</t>
        </is>
      </c>
      <c r="F3035" t="n">
        <v>8800499.74836044</v>
      </c>
    </row>
    <row r="3036">
      <c r="A3036" t="inlineStr">
        <is>
          <t>Soja</t>
        </is>
      </c>
      <c r="B3036" t="inlineStr">
        <is>
          <t>Sorriso - MT</t>
        </is>
      </c>
      <c r="C3036" t="n">
        <v>-12.5425</v>
      </c>
      <c r="D3036" t="n">
        <v>-55.7211</v>
      </c>
      <c r="E3036" t="inlineStr">
        <is>
          <t>2023-05</t>
        </is>
      </c>
      <c r="F3036" t="n">
        <v>0</v>
      </c>
    </row>
    <row r="3037">
      <c r="A3037" t="inlineStr">
        <is>
          <t>Soja</t>
        </is>
      </c>
      <c r="B3037" t="inlineStr">
        <is>
          <t>Sorriso - MT</t>
        </is>
      </c>
      <c r="C3037" t="n">
        <v>-12.5425</v>
      </c>
      <c r="D3037" t="n">
        <v>-55.7211</v>
      </c>
      <c r="E3037" t="inlineStr">
        <is>
          <t>2023-06</t>
        </is>
      </c>
      <c r="F3037" t="n">
        <v>0</v>
      </c>
    </row>
    <row r="3038">
      <c r="A3038" t="inlineStr">
        <is>
          <t>Soja</t>
        </is>
      </c>
      <c r="B3038" t="inlineStr">
        <is>
          <t>Sorriso - MT</t>
        </is>
      </c>
      <c r="C3038" t="n">
        <v>-12.5425</v>
      </c>
      <c r="D3038" t="n">
        <v>-55.7211</v>
      </c>
      <c r="E3038" t="inlineStr">
        <is>
          <t>2022-07</t>
        </is>
      </c>
      <c r="F3038" t="n">
        <v>0</v>
      </c>
    </row>
    <row r="3039">
      <c r="A3039" t="inlineStr">
        <is>
          <t>Soja</t>
        </is>
      </c>
      <c r="B3039" t="inlineStr">
        <is>
          <t>Sorriso - MT</t>
        </is>
      </c>
      <c r="C3039" t="n">
        <v>-12.5425</v>
      </c>
      <c r="D3039" t="n">
        <v>-55.7211</v>
      </c>
      <c r="E3039" t="inlineStr">
        <is>
          <t>2022-08</t>
        </is>
      </c>
      <c r="F3039" t="n">
        <v>0</v>
      </c>
    </row>
    <row r="3040">
      <c r="A3040" t="inlineStr">
        <is>
          <t>Soja</t>
        </is>
      </c>
      <c r="B3040" t="inlineStr">
        <is>
          <t>Sorriso - MT</t>
        </is>
      </c>
      <c r="C3040" t="n">
        <v>-12.5425</v>
      </c>
      <c r="D3040" t="n">
        <v>-55.7211</v>
      </c>
      <c r="E3040" t="inlineStr">
        <is>
          <t>2022-09</t>
        </is>
      </c>
      <c r="F3040" t="n">
        <v>0</v>
      </c>
    </row>
    <row r="3041">
      <c r="A3041" t="inlineStr">
        <is>
          <t>Soja</t>
        </is>
      </c>
      <c r="B3041" t="inlineStr">
        <is>
          <t>Sorriso - MT</t>
        </is>
      </c>
      <c r="C3041" t="n">
        <v>-12.5425</v>
      </c>
      <c r="D3041" t="n">
        <v>-55.7211</v>
      </c>
      <c r="E3041" t="inlineStr">
        <is>
          <t>2022-10</t>
        </is>
      </c>
      <c r="F3041" t="n">
        <v>0</v>
      </c>
    </row>
    <row r="3042">
      <c r="A3042" t="inlineStr">
        <is>
          <t>Soja</t>
        </is>
      </c>
      <c r="B3042" t="inlineStr">
        <is>
          <t>Sorriso - MT</t>
        </is>
      </c>
      <c r="C3042" t="n">
        <v>-12.5425</v>
      </c>
      <c r="D3042" t="n">
        <v>-55.7211</v>
      </c>
      <c r="E3042" t="inlineStr">
        <is>
          <t>2022-11</t>
        </is>
      </c>
      <c r="F3042" t="n">
        <v>0</v>
      </c>
    </row>
    <row r="3043">
      <c r="A3043" t="inlineStr">
        <is>
          <t>Soja</t>
        </is>
      </c>
      <c r="B3043" t="inlineStr">
        <is>
          <t>Sorriso - MT</t>
        </is>
      </c>
      <c r="C3043" t="n">
        <v>-12.5425</v>
      </c>
      <c r="D3043" t="n">
        <v>-55.7211</v>
      </c>
      <c r="E3043" t="inlineStr">
        <is>
          <t>2022-12</t>
        </is>
      </c>
      <c r="F3043" t="n">
        <v>0</v>
      </c>
    </row>
    <row r="3044">
      <c r="A3044" t="inlineStr">
        <is>
          <t>Soja</t>
        </is>
      </c>
      <c r="B3044" t="inlineStr">
        <is>
          <t>Paragominas - PA</t>
        </is>
      </c>
      <c r="C3044" t="n">
        <v>-3.00212</v>
      </c>
      <c r="D3044" t="n">
        <v>-47.3527</v>
      </c>
      <c r="E3044" t="inlineStr">
        <is>
          <t>2023-01</t>
        </is>
      </c>
      <c r="F3044" t="n">
        <v>0</v>
      </c>
    </row>
    <row r="3045">
      <c r="A3045" t="inlineStr">
        <is>
          <t>Soja</t>
        </is>
      </c>
      <c r="B3045" t="inlineStr">
        <is>
          <t>Paragominas - PA</t>
        </is>
      </c>
      <c r="C3045" t="n">
        <v>-3.00212</v>
      </c>
      <c r="D3045" t="n">
        <v>-47.3527</v>
      </c>
      <c r="E3045" t="inlineStr">
        <is>
          <t>2023-02</t>
        </is>
      </c>
      <c r="F3045" t="n">
        <v>0</v>
      </c>
    </row>
    <row r="3046">
      <c r="A3046" t="inlineStr">
        <is>
          <t>Soja</t>
        </is>
      </c>
      <c r="B3046" t="inlineStr">
        <is>
          <t>Paragominas - PA</t>
        </is>
      </c>
      <c r="C3046" t="n">
        <v>-3.00212</v>
      </c>
      <c r="D3046" t="n">
        <v>-47.3527</v>
      </c>
      <c r="E3046" t="inlineStr">
        <is>
          <t>2023-03</t>
        </is>
      </c>
      <c r="F3046" t="n">
        <v>0</v>
      </c>
    </row>
    <row r="3047">
      <c r="A3047" t="inlineStr">
        <is>
          <t>Soja</t>
        </is>
      </c>
      <c r="B3047" t="inlineStr">
        <is>
          <t>Paragominas - PA</t>
        </is>
      </c>
      <c r="C3047" t="n">
        <v>-3.00212</v>
      </c>
      <c r="D3047" t="n">
        <v>-47.3527</v>
      </c>
      <c r="E3047" t="inlineStr">
        <is>
          <t>2023-04</t>
        </is>
      </c>
      <c r="F3047" t="n">
        <v>0</v>
      </c>
    </row>
    <row r="3048">
      <c r="A3048" t="inlineStr">
        <is>
          <t>Soja</t>
        </is>
      </c>
      <c r="B3048" t="inlineStr">
        <is>
          <t>Paragominas - PA</t>
        </is>
      </c>
      <c r="C3048" t="n">
        <v>-3.00212</v>
      </c>
      <c r="D3048" t="n">
        <v>-47.3527</v>
      </c>
      <c r="E3048" t="inlineStr">
        <is>
          <t>2023-05</t>
        </is>
      </c>
      <c r="F3048" t="n">
        <v>0</v>
      </c>
    </row>
    <row r="3049">
      <c r="A3049" t="inlineStr">
        <is>
          <t>Soja</t>
        </is>
      </c>
      <c r="B3049" t="inlineStr">
        <is>
          <t>Paragominas - PA</t>
        </is>
      </c>
      <c r="C3049" t="n">
        <v>-3.00212</v>
      </c>
      <c r="D3049" t="n">
        <v>-47.3527</v>
      </c>
      <c r="E3049" t="inlineStr">
        <is>
          <t>2023-06</t>
        </is>
      </c>
      <c r="F3049" t="n">
        <v>670377.4752334107</v>
      </c>
    </row>
    <row r="3050">
      <c r="A3050" t="inlineStr">
        <is>
          <t>Soja</t>
        </is>
      </c>
      <c r="B3050" t="inlineStr">
        <is>
          <t>Paragominas - PA</t>
        </is>
      </c>
      <c r="C3050" t="n">
        <v>-3.00212</v>
      </c>
      <c r="D3050" t="n">
        <v>-47.3527</v>
      </c>
      <c r="E3050" t="inlineStr">
        <is>
          <t>2022-07</t>
        </is>
      </c>
      <c r="F3050" t="n">
        <v>1564214.108877958</v>
      </c>
    </row>
    <row r="3051">
      <c r="A3051" t="inlineStr">
        <is>
          <t>Soja</t>
        </is>
      </c>
      <c r="B3051" t="inlineStr">
        <is>
          <t>Paragominas - PA</t>
        </is>
      </c>
      <c r="C3051" t="n">
        <v>-3.00212</v>
      </c>
      <c r="D3051" t="n">
        <v>-47.3527</v>
      </c>
      <c r="E3051" t="inlineStr">
        <is>
          <t>2022-08</t>
        </is>
      </c>
      <c r="F3051" t="n">
        <v>670377.4752334107</v>
      </c>
    </row>
    <row r="3052">
      <c r="A3052" t="inlineStr">
        <is>
          <t>Soja</t>
        </is>
      </c>
      <c r="B3052" t="inlineStr">
        <is>
          <t>Paragominas - PA</t>
        </is>
      </c>
      <c r="C3052" t="n">
        <v>-3.00212</v>
      </c>
      <c r="D3052" t="n">
        <v>-47.3527</v>
      </c>
      <c r="E3052" t="inlineStr">
        <is>
          <t>2022-09</t>
        </is>
      </c>
      <c r="F3052" t="n">
        <v>0</v>
      </c>
    </row>
    <row r="3053">
      <c r="A3053" t="inlineStr">
        <is>
          <t>Soja</t>
        </is>
      </c>
      <c r="B3053" t="inlineStr">
        <is>
          <t>Paragominas - PA</t>
        </is>
      </c>
      <c r="C3053" t="n">
        <v>-3.00212</v>
      </c>
      <c r="D3053" t="n">
        <v>-47.3527</v>
      </c>
      <c r="E3053" t="inlineStr">
        <is>
          <t>2022-10</t>
        </is>
      </c>
      <c r="F3053" t="n">
        <v>0</v>
      </c>
    </row>
    <row r="3054">
      <c r="A3054" t="inlineStr">
        <is>
          <t>Soja</t>
        </is>
      </c>
      <c r="B3054" t="inlineStr">
        <is>
          <t>Paragominas - PA</t>
        </is>
      </c>
      <c r="C3054" t="n">
        <v>-3.00212</v>
      </c>
      <c r="D3054" t="n">
        <v>-47.3527</v>
      </c>
      <c r="E3054" t="inlineStr">
        <is>
          <t>2022-11</t>
        </is>
      </c>
      <c r="F3054" t="n">
        <v>0</v>
      </c>
    </row>
    <row r="3055">
      <c r="A3055" t="inlineStr">
        <is>
          <t>Soja</t>
        </is>
      </c>
      <c r="B3055" t="inlineStr">
        <is>
          <t>Paragominas - PA</t>
        </is>
      </c>
      <c r="C3055" t="n">
        <v>-3.00212</v>
      </c>
      <c r="D3055" t="n">
        <v>-47.3527</v>
      </c>
      <c r="E3055" t="inlineStr">
        <is>
          <t>2022-12</t>
        </is>
      </c>
      <c r="F3055" t="n">
        <v>0</v>
      </c>
    </row>
    <row r="3056">
      <c r="A3056" t="inlineStr">
        <is>
          <t>Soja</t>
        </is>
      </c>
      <c r="B3056" t="inlineStr">
        <is>
          <t>Baixa Grande do Ribeiro - PI</t>
        </is>
      </c>
      <c r="C3056" t="n">
        <v>-7.84903</v>
      </c>
      <c r="D3056" t="n">
        <v>-45.219</v>
      </c>
      <c r="E3056" t="inlineStr">
        <is>
          <t>2023-01</t>
        </is>
      </c>
      <c r="F3056" t="n">
        <v>0</v>
      </c>
    </row>
    <row r="3057">
      <c r="A3057" t="inlineStr">
        <is>
          <t>Soja</t>
        </is>
      </c>
      <c r="B3057" t="inlineStr">
        <is>
          <t>Baixa Grande do Ribeiro - PI</t>
        </is>
      </c>
      <c r="C3057" t="n">
        <v>-7.84903</v>
      </c>
      <c r="D3057" t="n">
        <v>-45.219</v>
      </c>
      <c r="E3057" t="inlineStr">
        <is>
          <t>2023-02</t>
        </is>
      </c>
      <c r="F3057" t="n">
        <v>688943.2666318351</v>
      </c>
    </row>
    <row r="3058">
      <c r="A3058" t="inlineStr">
        <is>
          <t>Soja</t>
        </is>
      </c>
      <c r="B3058" t="inlineStr">
        <is>
          <t>Baixa Grande do Ribeiro - PI</t>
        </is>
      </c>
      <c r="C3058" t="n">
        <v>-7.84903</v>
      </c>
      <c r="D3058" t="n">
        <v>-45.219</v>
      </c>
      <c r="E3058" t="inlineStr">
        <is>
          <t>2023-03</t>
        </is>
      </c>
      <c r="F3058" t="n">
        <v>688943.2666318351</v>
      </c>
    </row>
    <row r="3059">
      <c r="A3059" t="inlineStr">
        <is>
          <t>Soja</t>
        </is>
      </c>
      <c r="B3059" t="inlineStr">
        <is>
          <t>Baixa Grande do Ribeiro - PI</t>
        </is>
      </c>
      <c r="C3059" t="n">
        <v>-7.84903</v>
      </c>
      <c r="D3059" t="n">
        <v>-45.219</v>
      </c>
      <c r="E3059" t="inlineStr">
        <is>
          <t>2023-04</t>
        </is>
      </c>
      <c r="F3059" t="n">
        <v>1607534.288807615</v>
      </c>
    </row>
    <row r="3060">
      <c r="A3060" t="inlineStr">
        <is>
          <t>Soja</t>
        </is>
      </c>
      <c r="B3060" t="inlineStr">
        <is>
          <t>Baixa Grande do Ribeiro - PI</t>
        </is>
      </c>
      <c r="C3060" t="n">
        <v>-7.84903</v>
      </c>
      <c r="D3060" t="n">
        <v>-45.219</v>
      </c>
      <c r="E3060" t="inlineStr">
        <is>
          <t>2023-05</t>
        </is>
      </c>
      <c r="F3060" t="n">
        <v>688943.2666318351</v>
      </c>
    </row>
    <row r="3061">
      <c r="A3061" t="inlineStr">
        <is>
          <t>Soja</t>
        </is>
      </c>
      <c r="B3061" t="inlineStr">
        <is>
          <t>Baixa Grande do Ribeiro - PI</t>
        </is>
      </c>
      <c r="C3061" t="n">
        <v>-7.84903</v>
      </c>
      <c r="D3061" t="n">
        <v>-45.219</v>
      </c>
      <c r="E3061" t="inlineStr">
        <is>
          <t>2023-06</t>
        </is>
      </c>
      <c r="F3061" t="n">
        <v>0</v>
      </c>
    </row>
    <row r="3062">
      <c r="A3062" t="inlineStr">
        <is>
          <t>Soja</t>
        </is>
      </c>
      <c r="B3062" t="inlineStr">
        <is>
          <t>Baixa Grande do Ribeiro - PI</t>
        </is>
      </c>
      <c r="C3062" t="n">
        <v>-7.84903</v>
      </c>
      <c r="D3062" t="n">
        <v>-45.219</v>
      </c>
      <c r="E3062" t="inlineStr">
        <is>
          <t>2022-07</t>
        </is>
      </c>
      <c r="F3062" t="n">
        <v>0</v>
      </c>
    </row>
    <row r="3063">
      <c r="A3063" t="inlineStr">
        <is>
          <t>Soja</t>
        </is>
      </c>
      <c r="B3063" t="inlineStr">
        <is>
          <t>Baixa Grande do Ribeiro - PI</t>
        </is>
      </c>
      <c r="C3063" t="n">
        <v>-7.84903</v>
      </c>
      <c r="D3063" t="n">
        <v>-45.219</v>
      </c>
      <c r="E3063" t="inlineStr">
        <is>
          <t>2022-08</t>
        </is>
      </c>
      <c r="F3063" t="n">
        <v>0</v>
      </c>
    </row>
    <row r="3064">
      <c r="A3064" t="inlineStr">
        <is>
          <t>Soja</t>
        </is>
      </c>
      <c r="B3064" t="inlineStr">
        <is>
          <t>Baixa Grande do Ribeiro - PI</t>
        </is>
      </c>
      <c r="C3064" t="n">
        <v>-7.84903</v>
      </c>
      <c r="D3064" t="n">
        <v>-45.219</v>
      </c>
      <c r="E3064" t="inlineStr">
        <is>
          <t>2022-09</t>
        </is>
      </c>
      <c r="F3064" t="n">
        <v>0</v>
      </c>
    </row>
    <row r="3065">
      <c r="A3065" t="inlineStr">
        <is>
          <t>Soja</t>
        </is>
      </c>
      <c r="B3065" t="inlineStr">
        <is>
          <t>Baixa Grande do Ribeiro - PI</t>
        </is>
      </c>
      <c r="C3065" t="n">
        <v>-7.84903</v>
      </c>
      <c r="D3065" t="n">
        <v>-45.219</v>
      </c>
      <c r="E3065" t="inlineStr">
        <is>
          <t>2022-10</t>
        </is>
      </c>
      <c r="F3065" t="n">
        <v>0</v>
      </c>
    </row>
    <row r="3066">
      <c r="A3066" t="inlineStr">
        <is>
          <t>Soja</t>
        </is>
      </c>
      <c r="B3066" t="inlineStr">
        <is>
          <t>Baixa Grande do Ribeiro - PI</t>
        </is>
      </c>
      <c r="C3066" t="n">
        <v>-7.84903</v>
      </c>
      <c r="D3066" t="n">
        <v>-45.219</v>
      </c>
      <c r="E3066" t="inlineStr">
        <is>
          <t>2022-11</t>
        </is>
      </c>
      <c r="F3066" t="n">
        <v>0</v>
      </c>
    </row>
    <row r="3067">
      <c r="A3067" t="inlineStr">
        <is>
          <t>Soja</t>
        </is>
      </c>
      <c r="B3067" t="inlineStr">
        <is>
          <t>Baixa Grande do Ribeiro - PI</t>
        </is>
      </c>
      <c r="C3067" t="n">
        <v>-7.84903</v>
      </c>
      <c r="D3067" t="n">
        <v>-45.219</v>
      </c>
      <c r="E3067" t="inlineStr">
        <is>
          <t>2022-12</t>
        </is>
      </c>
      <c r="F3067" t="n">
        <v>0</v>
      </c>
    </row>
    <row r="3068">
      <c r="A3068" t="inlineStr">
        <is>
          <t>Soja</t>
        </is>
      </c>
      <c r="B3068" t="inlineStr">
        <is>
          <t>Tibagi - PR</t>
        </is>
      </c>
      <c r="C3068" t="n">
        <v>-24.5153</v>
      </c>
      <c r="D3068" t="n">
        <v>-50.4176</v>
      </c>
      <c r="E3068" t="inlineStr">
        <is>
          <t>2023-01</t>
        </is>
      </c>
      <c r="F3068" t="n">
        <v>2586932.434333698</v>
      </c>
    </row>
    <row r="3069">
      <c r="A3069" t="inlineStr">
        <is>
          <t>Soja</t>
        </is>
      </c>
      <c r="B3069" t="inlineStr">
        <is>
          <t>Tibagi - PR</t>
        </is>
      </c>
      <c r="C3069" t="n">
        <v>-24.5153</v>
      </c>
      <c r="D3069" t="n">
        <v>-50.4176</v>
      </c>
      <c r="E3069" t="inlineStr">
        <is>
          <t>2023-02</t>
        </is>
      </c>
      <c r="F3069" t="n">
        <v>5173864.868667397</v>
      </c>
    </row>
    <row r="3070">
      <c r="A3070" t="inlineStr">
        <is>
          <t>Soja</t>
        </is>
      </c>
      <c r="B3070" t="inlineStr">
        <is>
          <t>Tibagi - PR</t>
        </is>
      </c>
      <c r="C3070" t="n">
        <v>-24.5153</v>
      </c>
      <c r="D3070" t="n">
        <v>-50.4176</v>
      </c>
      <c r="E3070" t="inlineStr">
        <is>
          <t>2023-03</t>
        </is>
      </c>
      <c r="F3070" t="n">
        <v>8623108.114445662</v>
      </c>
    </row>
    <row r="3071">
      <c r="A3071" t="inlineStr">
        <is>
          <t>Soja</t>
        </is>
      </c>
      <c r="B3071" t="inlineStr">
        <is>
          <t>Tibagi - PR</t>
        </is>
      </c>
      <c r="C3071" t="n">
        <v>-24.5153</v>
      </c>
      <c r="D3071" t="n">
        <v>-50.4176</v>
      </c>
      <c r="E3071" t="inlineStr">
        <is>
          <t>2023-04</t>
        </is>
      </c>
      <c r="F3071" t="n">
        <v>5173864.868667397</v>
      </c>
    </row>
    <row r="3072">
      <c r="A3072" t="inlineStr">
        <is>
          <t>Soja</t>
        </is>
      </c>
      <c r="B3072" t="inlineStr">
        <is>
          <t>Tibagi - PR</t>
        </is>
      </c>
      <c r="C3072" t="n">
        <v>-24.5153</v>
      </c>
      <c r="D3072" t="n">
        <v>-50.4176</v>
      </c>
      <c r="E3072" t="inlineStr">
        <is>
          <t>2023-05</t>
        </is>
      </c>
      <c r="F3072" t="n">
        <v>0</v>
      </c>
    </row>
    <row r="3073">
      <c r="A3073" t="inlineStr">
        <is>
          <t>Soja</t>
        </is>
      </c>
      <c r="B3073" t="inlineStr">
        <is>
          <t>Tibagi - PR</t>
        </is>
      </c>
      <c r="C3073" t="n">
        <v>-24.5153</v>
      </c>
      <c r="D3073" t="n">
        <v>-50.4176</v>
      </c>
      <c r="E3073" t="inlineStr">
        <is>
          <t>2023-06</t>
        </is>
      </c>
      <c r="F3073" t="n">
        <v>0</v>
      </c>
    </row>
    <row r="3074">
      <c r="A3074" t="inlineStr">
        <is>
          <t>Soja</t>
        </is>
      </c>
      <c r="B3074" t="inlineStr">
        <is>
          <t>Tibagi - PR</t>
        </is>
      </c>
      <c r="C3074" t="n">
        <v>-24.5153</v>
      </c>
      <c r="D3074" t="n">
        <v>-50.4176</v>
      </c>
      <c r="E3074" t="inlineStr">
        <is>
          <t>2022-07</t>
        </is>
      </c>
      <c r="F3074" t="n">
        <v>0</v>
      </c>
    </row>
    <row r="3075">
      <c r="A3075" t="inlineStr">
        <is>
          <t>Soja</t>
        </is>
      </c>
      <c r="B3075" t="inlineStr">
        <is>
          <t>Tibagi - PR</t>
        </is>
      </c>
      <c r="C3075" t="n">
        <v>-24.5153</v>
      </c>
      <c r="D3075" t="n">
        <v>-50.4176</v>
      </c>
      <c r="E3075" t="inlineStr">
        <is>
          <t>2022-08</t>
        </is>
      </c>
      <c r="F3075" t="n">
        <v>0</v>
      </c>
    </row>
    <row r="3076">
      <c r="A3076" t="inlineStr">
        <is>
          <t>Soja</t>
        </is>
      </c>
      <c r="B3076" t="inlineStr">
        <is>
          <t>Tibagi - PR</t>
        </is>
      </c>
      <c r="C3076" t="n">
        <v>-24.5153</v>
      </c>
      <c r="D3076" t="n">
        <v>-50.4176</v>
      </c>
      <c r="E3076" t="inlineStr">
        <is>
          <t>2022-09</t>
        </is>
      </c>
      <c r="F3076" t="n">
        <v>0</v>
      </c>
    </row>
    <row r="3077">
      <c r="A3077" t="inlineStr">
        <is>
          <t>Soja</t>
        </is>
      </c>
      <c r="B3077" t="inlineStr">
        <is>
          <t>Tibagi - PR</t>
        </is>
      </c>
      <c r="C3077" t="n">
        <v>-24.5153</v>
      </c>
      <c r="D3077" t="n">
        <v>-50.4176</v>
      </c>
      <c r="E3077" t="inlineStr">
        <is>
          <t>2022-10</t>
        </is>
      </c>
      <c r="F3077" t="n">
        <v>0</v>
      </c>
    </row>
    <row r="3078">
      <c r="A3078" t="inlineStr">
        <is>
          <t>Soja</t>
        </is>
      </c>
      <c r="B3078" t="inlineStr">
        <is>
          <t>Tibagi - PR</t>
        </is>
      </c>
      <c r="C3078" t="n">
        <v>-24.5153</v>
      </c>
      <c r="D3078" t="n">
        <v>-50.4176</v>
      </c>
      <c r="E3078" t="inlineStr">
        <is>
          <t>2022-11</t>
        </is>
      </c>
      <c r="F3078" t="n">
        <v>0</v>
      </c>
    </row>
    <row r="3079">
      <c r="A3079" t="inlineStr">
        <is>
          <t>Soja</t>
        </is>
      </c>
      <c r="B3079" t="inlineStr">
        <is>
          <t>Tibagi - PR</t>
        </is>
      </c>
      <c r="C3079" t="n">
        <v>-24.5153</v>
      </c>
      <c r="D3079" t="n">
        <v>-50.4176</v>
      </c>
      <c r="E3079" t="inlineStr">
        <is>
          <t>2022-12</t>
        </is>
      </c>
      <c r="F3079" t="n">
        <v>0</v>
      </c>
    </row>
    <row r="3080">
      <c r="A3080" t="inlineStr">
        <is>
          <t>Soja</t>
        </is>
      </c>
      <c r="B3080" t="inlineStr">
        <is>
          <t>Pimenteiras do Oeste - RO</t>
        </is>
      </c>
      <c r="C3080" t="n">
        <v>-13.4823</v>
      </c>
      <c r="D3080" t="n">
        <v>-61.0471</v>
      </c>
      <c r="E3080" t="inlineStr">
        <is>
          <t>2023-01</t>
        </is>
      </c>
      <c r="F3080" t="n">
        <v>0</v>
      </c>
    </row>
    <row r="3081">
      <c r="A3081" t="inlineStr">
        <is>
          <t>Soja</t>
        </is>
      </c>
      <c r="B3081" t="inlineStr">
        <is>
          <t>Pimenteiras do Oeste - RO</t>
        </is>
      </c>
      <c r="C3081" t="n">
        <v>-13.4823</v>
      </c>
      <c r="D3081" t="n">
        <v>-61.0471</v>
      </c>
      <c r="E3081" t="inlineStr">
        <is>
          <t>2023-02</t>
        </is>
      </c>
      <c r="F3081" t="n">
        <v>273358.4877585897</v>
      </c>
    </row>
    <row r="3082">
      <c r="A3082" t="inlineStr">
        <is>
          <t>Soja</t>
        </is>
      </c>
      <c r="B3082" t="inlineStr">
        <is>
          <t>Pimenteiras do Oeste - RO</t>
        </is>
      </c>
      <c r="C3082" t="n">
        <v>-13.4823</v>
      </c>
      <c r="D3082" t="n">
        <v>-61.0471</v>
      </c>
      <c r="E3082" t="inlineStr">
        <is>
          <t>2023-03</t>
        </is>
      </c>
      <c r="F3082" t="n">
        <v>1275672.942873419</v>
      </c>
    </row>
    <row r="3083">
      <c r="A3083" t="inlineStr">
        <is>
          <t>Soja</t>
        </is>
      </c>
      <c r="B3083" t="inlineStr">
        <is>
          <t>Pimenteiras do Oeste - RO</t>
        </is>
      </c>
      <c r="C3083" t="n">
        <v>-13.4823</v>
      </c>
      <c r="D3083" t="n">
        <v>-61.0471</v>
      </c>
      <c r="E3083" t="inlineStr">
        <is>
          <t>2023-04</t>
        </is>
      </c>
      <c r="F3083" t="n">
        <v>546716.9755171794</v>
      </c>
    </row>
    <row r="3084">
      <c r="A3084" t="inlineStr">
        <is>
          <t>Soja</t>
        </is>
      </c>
      <c r="B3084" t="inlineStr">
        <is>
          <t>Pimenteiras do Oeste - RO</t>
        </is>
      </c>
      <c r="C3084" t="n">
        <v>-13.4823</v>
      </c>
      <c r="D3084" t="n">
        <v>-61.0471</v>
      </c>
      <c r="E3084" t="inlineStr">
        <is>
          <t>2023-05</t>
        </is>
      </c>
      <c r="F3084" t="n">
        <v>0</v>
      </c>
    </row>
    <row r="3085">
      <c r="A3085" t="inlineStr">
        <is>
          <t>Soja</t>
        </is>
      </c>
      <c r="B3085" t="inlineStr">
        <is>
          <t>Pimenteiras do Oeste - RO</t>
        </is>
      </c>
      <c r="C3085" t="n">
        <v>-13.4823</v>
      </c>
      <c r="D3085" t="n">
        <v>-61.0471</v>
      </c>
      <c r="E3085" t="inlineStr">
        <is>
          <t>2023-06</t>
        </is>
      </c>
      <c r="F3085" t="n">
        <v>0</v>
      </c>
    </row>
    <row r="3086">
      <c r="A3086" t="inlineStr">
        <is>
          <t>Soja</t>
        </is>
      </c>
      <c r="B3086" t="inlineStr">
        <is>
          <t>Pimenteiras do Oeste - RO</t>
        </is>
      </c>
      <c r="C3086" t="n">
        <v>-13.4823</v>
      </c>
      <c r="D3086" t="n">
        <v>-61.0471</v>
      </c>
      <c r="E3086" t="inlineStr">
        <is>
          <t>2022-07</t>
        </is>
      </c>
      <c r="F3086" t="n">
        <v>0</v>
      </c>
    </row>
    <row r="3087">
      <c r="A3087" t="inlineStr">
        <is>
          <t>Soja</t>
        </is>
      </c>
      <c r="B3087" t="inlineStr">
        <is>
          <t>Pimenteiras do Oeste - RO</t>
        </is>
      </c>
      <c r="C3087" t="n">
        <v>-13.4823</v>
      </c>
      <c r="D3087" t="n">
        <v>-61.0471</v>
      </c>
      <c r="E3087" t="inlineStr">
        <is>
          <t>2022-08</t>
        </is>
      </c>
      <c r="F3087" t="n">
        <v>0</v>
      </c>
    </row>
    <row r="3088">
      <c r="A3088" t="inlineStr">
        <is>
          <t>Soja</t>
        </is>
      </c>
      <c r="B3088" t="inlineStr">
        <is>
          <t>Pimenteiras do Oeste - RO</t>
        </is>
      </c>
      <c r="C3088" t="n">
        <v>-13.4823</v>
      </c>
      <c r="D3088" t="n">
        <v>-61.0471</v>
      </c>
      <c r="E3088" t="inlineStr">
        <is>
          <t>2022-09</t>
        </is>
      </c>
      <c r="F3088" t="n">
        <v>0</v>
      </c>
    </row>
    <row r="3089">
      <c r="A3089" t="inlineStr">
        <is>
          <t>Soja</t>
        </is>
      </c>
      <c r="B3089" t="inlineStr">
        <is>
          <t>Pimenteiras do Oeste - RO</t>
        </is>
      </c>
      <c r="C3089" t="n">
        <v>-13.4823</v>
      </c>
      <c r="D3089" t="n">
        <v>-61.0471</v>
      </c>
      <c r="E3089" t="inlineStr">
        <is>
          <t>2022-10</t>
        </is>
      </c>
      <c r="F3089" t="n">
        <v>0</v>
      </c>
    </row>
    <row r="3090">
      <c r="A3090" t="inlineStr">
        <is>
          <t>Soja</t>
        </is>
      </c>
      <c r="B3090" t="inlineStr">
        <is>
          <t>Pimenteiras do Oeste - RO</t>
        </is>
      </c>
      <c r="C3090" t="n">
        <v>-13.4823</v>
      </c>
      <c r="D3090" t="n">
        <v>-61.0471</v>
      </c>
      <c r="E3090" t="inlineStr">
        <is>
          <t>2022-11</t>
        </is>
      </c>
      <c r="F3090" t="n">
        <v>0</v>
      </c>
    </row>
    <row r="3091">
      <c r="A3091" t="inlineStr">
        <is>
          <t>Soja</t>
        </is>
      </c>
      <c r="B3091" t="inlineStr">
        <is>
          <t>Pimenteiras do Oeste - RO</t>
        </is>
      </c>
      <c r="C3091" t="n">
        <v>-13.4823</v>
      </c>
      <c r="D3091" t="n">
        <v>-61.0471</v>
      </c>
      <c r="E3091" t="inlineStr">
        <is>
          <t>2022-12</t>
        </is>
      </c>
      <c r="F3091" t="n">
        <v>0</v>
      </c>
    </row>
    <row r="3092">
      <c r="A3092" t="inlineStr">
        <is>
          <t>Soja</t>
        </is>
      </c>
      <c r="B3092" t="inlineStr">
        <is>
          <t>Bonfim - RR</t>
        </is>
      </c>
      <c r="C3092" t="n">
        <v>3.36161</v>
      </c>
      <c r="D3092" t="n">
        <v>-59.8333</v>
      </c>
      <c r="E3092" t="inlineStr">
        <is>
          <t>2023-01</t>
        </is>
      </c>
      <c r="F3092" t="n">
        <v>0</v>
      </c>
    </row>
    <row r="3093">
      <c r="A3093" t="inlineStr">
        <is>
          <t>Soja</t>
        </is>
      </c>
      <c r="B3093" t="inlineStr">
        <is>
          <t>Bonfim - RR</t>
        </is>
      </c>
      <c r="C3093" t="n">
        <v>3.36161</v>
      </c>
      <c r="D3093" t="n">
        <v>-59.8333</v>
      </c>
      <c r="E3093" t="inlineStr">
        <is>
          <t>2023-02</t>
        </is>
      </c>
      <c r="F3093" t="n">
        <v>0</v>
      </c>
    </row>
    <row r="3094">
      <c r="A3094" t="inlineStr">
        <is>
          <t>Soja</t>
        </is>
      </c>
      <c r="B3094" t="inlineStr">
        <is>
          <t>Bonfim - RR</t>
        </is>
      </c>
      <c r="C3094" t="n">
        <v>3.36161</v>
      </c>
      <c r="D3094" t="n">
        <v>-59.8333</v>
      </c>
      <c r="E3094" t="inlineStr">
        <is>
          <t>2023-03</t>
        </is>
      </c>
      <c r="F3094" t="n">
        <v>0</v>
      </c>
    </row>
    <row r="3095">
      <c r="A3095" t="inlineStr">
        <is>
          <t>Soja</t>
        </is>
      </c>
      <c r="B3095" t="inlineStr">
        <is>
          <t>Bonfim - RR</t>
        </is>
      </c>
      <c r="C3095" t="n">
        <v>3.36161</v>
      </c>
      <c r="D3095" t="n">
        <v>-59.8333</v>
      </c>
      <c r="E3095" t="inlineStr">
        <is>
          <t>2023-04</t>
        </is>
      </c>
      <c r="F3095" t="n">
        <v>0</v>
      </c>
    </row>
    <row r="3096">
      <c r="A3096" t="inlineStr">
        <is>
          <t>Soja</t>
        </is>
      </c>
      <c r="B3096" t="inlineStr">
        <is>
          <t>Bonfim - RR</t>
        </is>
      </c>
      <c r="C3096" t="n">
        <v>3.36161</v>
      </c>
      <c r="D3096" t="n">
        <v>-59.8333</v>
      </c>
      <c r="E3096" t="inlineStr">
        <is>
          <t>2023-05</t>
        </is>
      </c>
      <c r="F3096" t="n">
        <v>0</v>
      </c>
    </row>
    <row r="3097">
      <c r="A3097" t="inlineStr">
        <is>
          <t>Soja</t>
        </is>
      </c>
      <c r="B3097" t="inlineStr">
        <is>
          <t>Bonfim - RR</t>
        </is>
      </c>
      <c r="C3097" t="n">
        <v>3.36161</v>
      </c>
      <c r="D3097" t="n">
        <v>-59.8333</v>
      </c>
      <c r="E3097" t="inlineStr">
        <is>
          <t>2023-06</t>
        </is>
      </c>
      <c r="F3097" t="n">
        <v>0</v>
      </c>
    </row>
    <row r="3098">
      <c r="A3098" t="inlineStr">
        <is>
          <t>Soja</t>
        </is>
      </c>
      <c r="B3098" t="inlineStr">
        <is>
          <t>Bonfim - RR</t>
        </is>
      </c>
      <c r="C3098" t="n">
        <v>3.36161</v>
      </c>
      <c r="D3098" t="n">
        <v>-59.8333</v>
      </c>
      <c r="E3098" t="inlineStr">
        <is>
          <t>2022-07</t>
        </is>
      </c>
      <c r="F3098" t="n">
        <v>32308.2871770158</v>
      </c>
    </row>
    <row r="3099">
      <c r="A3099" t="inlineStr">
        <is>
          <t>Soja</t>
        </is>
      </c>
      <c r="B3099" t="inlineStr">
        <is>
          <t>Bonfim - RR</t>
        </is>
      </c>
      <c r="C3099" t="n">
        <v>3.36161</v>
      </c>
      <c r="D3099" t="n">
        <v>-59.8333</v>
      </c>
      <c r="E3099" t="inlineStr">
        <is>
          <t>2022-08</t>
        </is>
      </c>
      <c r="F3099" t="n">
        <v>64616.5743540316</v>
      </c>
    </row>
    <row r="3100">
      <c r="A3100" t="inlineStr">
        <is>
          <t>Soja</t>
        </is>
      </c>
      <c r="B3100" t="inlineStr">
        <is>
          <t>Bonfim - RR</t>
        </is>
      </c>
      <c r="C3100" t="n">
        <v>3.36161</v>
      </c>
      <c r="D3100" t="n">
        <v>-59.8333</v>
      </c>
      <c r="E3100" t="inlineStr">
        <is>
          <t>2022-09</t>
        </is>
      </c>
      <c r="F3100" t="n">
        <v>150772.0068260737</v>
      </c>
    </row>
    <row r="3101">
      <c r="A3101" t="inlineStr">
        <is>
          <t>Soja</t>
        </is>
      </c>
      <c r="B3101" t="inlineStr">
        <is>
          <t>Bonfim - RR</t>
        </is>
      </c>
      <c r="C3101" t="n">
        <v>3.36161</v>
      </c>
      <c r="D3101" t="n">
        <v>-59.8333</v>
      </c>
      <c r="E3101" t="inlineStr">
        <is>
          <t>2022-10</t>
        </is>
      </c>
      <c r="F3101" t="n">
        <v>64616.5743540316</v>
      </c>
    </row>
    <row r="3102">
      <c r="A3102" t="inlineStr">
        <is>
          <t>Soja</t>
        </is>
      </c>
      <c r="B3102" t="inlineStr">
        <is>
          <t>Bonfim - RR</t>
        </is>
      </c>
      <c r="C3102" t="n">
        <v>3.36161</v>
      </c>
      <c r="D3102" t="n">
        <v>-59.8333</v>
      </c>
      <c r="E3102" t="inlineStr">
        <is>
          <t>2022-11</t>
        </is>
      </c>
      <c r="F3102" t="n">
        <v>32308.2871770158</v>
      </c>
    </row>
    <row r="3103">
      <c r="A3103" t="inlineStr">
        <is>
          <t>Soja</t>
        </is>
      </c>
      <c r="B3103" t="inlineStr">
        <is>
          <t>Bonfim - RR</t>
        </is>
      </c>
      <c r="C3103" t="n">
        <v>3.36161</v>
      </c>
      <c r="D3103" t="n">
        <v>-59.8333</v>
      </c>
      <c r="E3103" t="inlineStr">
        <is>
          <t>2022-12</t>
        </is>
      </c>
      <c r="F3103" t="n">
        <v>0</v>
      </c>
    </row>
    <row r="3104">
      <c r="A3104" t="inlineStr">
        <is>
          <t>Soja</t>
        </is>
      </c>
      <c r="B3104" t="inlineStr">
        <is>
          <t>Tupanciretã - RS</t>
        </is>
      </c>
      <c r="C3104" t="n">
        <v>-29.0858</v>
      </c>
      <c r="D3104" t="n">
        <v>-53.8445</v>
      </c>
      <c r="E3104" t="inlineStr">
        <is>
          <t>2023-01</t>
        </is>
      </c>
      <c r="F3104" t="n">
        <v>1435401.663543079</v>
      </c>
    </row>
    <row r="3105">
      <c r="A3105" t="inlineStr">
        <is>
          <t>Soja</t>
        </is>
      </c>
      <c r="B3105" t="inlineStr">
        <is>
          <t>Tupanciretã - RS</t>
        </is>
      </c>
      <c r="C3105" t="n">
        <v>-29.0858</v>
      </c>
      <c r="D3105" t="n">
        <v>-53.8445</v>
      </c>
      <c r="E3105" t="inlineStr">
        <is>
          <t>2023-02</t>
        </is>
      </c>
      <c r="F3105" t="n">
        <v>2870803.327086159</v>
      </c>
    </row>
    <row r="3106">
      <c r="A3106" t="inlineStr">
        <is>
          <t>Soja</t>
        </is>
      </c>
      <c r="B3106" t="inlineStr">
        <is>
          <t>Tupanciretã - RS</t>
        </is>
      </c>
      <c r="C3106" t="n">
        <v>-29.0858</v>
      </c>
      <c r="D3106" t="n">
        <v>-53.8445</v>
      </c>
      <c r="E3106" t="inlineStr">
        <is>
          <t>2023-03</t>
        </is>
      </c>
      <c r="F3106" t="n">
        <v>6698541.09653437</v>
      </c>
    </row>
    <row r="3107">
      <c r="A3107" t="inlineStr">
        <is>
          <t>Soja</t>
        </is>
      </c>
      <c r="B3107" t="inlineStr">
        <is>
          <t>Tupanciretã - RS</t>
        </is>
      </c>
      <c r="C3107" t="n">
        <v>-29.0858</v>
      </c>
      <c r="D3107" t="n">
        <v>-53.8445</v>
      </c>
      <c r="E3107" t="inlineStr">
        <is>
          <t>2023-04</t>
        </is>
      </c>
      <c r="F3107" t="n">
        <v>2870803.327086159</v>
      </c>
    </row>
    <row r="3108">
      <c r="A3108" t="inlineStr">
        <is>
          <t>Soja</t>
        </is>
      </c>
      <c r="B3108" t="inlineStr">
        <is>
          <t>Tupanciretã - RS</t>
        </is>
      </c>
      <c r="C3108" t="n">
        <v>-29.0858</v>
      </c>
      <c r="D3108" t="n">
        <v>-53.8445</v>
      </c>
      <c r="E3108" t="inlineStr">
        <is>
          <t>2023-05</t>
        </is>
      </c>
      <c r="F3108" t="n">
        <v>1435401.663543079</v>
      </c>
    </row>
    <row r="3109">
      <c r="A3109" t="inlineStr">
        <is>
          <t>Soja</t>
        </is>
      </c>
      <c r="B3109" t="inlineStr">
        <is>
          <t>Tupanciretã - RS</t>
        </is>
      </c>
      <c r="C3109" t="n">
        <v>-29.0858</v>
      </c>
      <c r="D3109" t="n">
        <v>-53.8445</v>
      </c>
      <c r="E3109" t="inlineStr">
        <is>
          <t>2023-06</t>
        </is>
      </c>
      <c r="F3109" t="n">
        <v>0</v>
      </c>
    </row>
    <row r="3110">
      <c r="A3110" t="inlineStr">
        <is>
          <t>Soja</t>
        </is>
      </c>
      <c r="B3110" t="inlineStr">
        <is>
          <t>Tupanciretã - RS</t>
        </is>
      </c>
      <c r="C3110" t="n">
        <v>-29.0858</v>
      </c>
      <c r="D3110" t="n">
        <v>-53.8445</v>
      </c>
      <c r="E3110" t="inlineStr">
        <is>
          <t>2022-07</t>
        </is>
      </c>
      <c r="F3110" t="n">
        <v>0</v>
      </c>
    </row>
    <row r="3111">
      <c r="A3111" t="inlineStr">
        <is>
          <t>Soja</t>
        </is>
      </c>
      <c r="B3111" t="inlineStr">
        <is>
          <t>Tupanciretã - RS</t>
        </is>
      </c>
      <c r="C3111" t="n">
        <v>-29.0858</v>
      </c>
      <c r="D3111" t="n">
        <v>-53.8445</v>
      </c>
      <c r="E3111" t="inlineStr">
        <is>
          <t>2022-08</t>
        </is>
      </c>
      <c r="F3111" t="n">
        <v>0</v>
      </c>
    </row>
    <row r="3112">
      <c r="A3112" t="inlineStr">
        <is>
          <t>Soja</t>
        </is>
      </c>
      <c r="B3112" t="inlineStr">
        <is>
          <t>Tupanciretã - RS</t>
        </is>
      </c>
      <c r="C3112" t="n">
        <v>-29.0858</v>
      </c>
      <c r="D3112" t="n">
        <v>-53.8445</v>
      </c>
      <c r="E3112" t="inlineStr">
        <is>
          <t>2022-09</t>
        </is>
      </c>
      <c r="F3112" t="n">
        <v>0</v>
      </c>
    </row>
    <row r="3113">
      <c r="A3113" t="inlineStr">
        <is>
          <t>Soja</t>
        </is>
      </c>
      <c r="B3113" t="inlineStr">
        <is>
          <t>Tupanciretã - RS</t>
        </is>
      </c>
      <c r="C3113" t="n">
        <v>-29.0858</v>
      </c>
      <c r="D3113" t="n">
        <v>-53.8445</v>
      </c>
      <c r="E3113" t="inlineStr">
        <is>
          <t>2022-10</t>
        </is>
      </c>
      <c r="F3113" t="n">
        <v>0</v>
      </c>
    </row>
    <row r="3114">
      <c r="A3114" t="inlineStr">
        <is>
          <t>Soja</t>
        </is>
      </c>
      <c r="B3114" t="inlineStr">
        <is>
          <t>Tupanciretã - RS</t>
        </is>
      </c>
      <c r="C3114" t="n">
        <v>-29.0858</v>
      </c>
      <c r="D3114" t="n">
        <v>-53.8445</v>
      </c>
      <c r="E3114" t="inlineStr">
        <is>
          <t>2022-11</t>
        </is>
      </c>
      <c r="F3114" t="n">
        <v>0</v>
      </c>
    </row>
    <row r="3115">
      <c r="A3115" t="inlineStr">
        <is>
          <t>Soja</t>
        </is>
      </c>
      <c r="B3115" t="inlineStr">
        <is>
          <t>Tupanciretã - RS</t>
        </is>
      </c>
      <c r="C3115" t="n">
        <v>-29.0858</v>
      </c>
      <c r="D3115" t="n">
        <v>-53.8445</v>
      </c>
      <c r="E3115" t="inlineStr">
        <is>
          <t>2022-12</t>
        </is>
      </c>
      <c r="F3115" t="n">
        <v>0</v>
      </c>
    </row>
    <row r="3116">
      <c r="A3116" t="inlineStr">
        <is>
          <t>Soja</t>
        </is>
      </c>
      <c r="B3116" t="inlineStr">
        <is>
          <t>Campos Novos - SC</t>
        </is>
      </c>
      <c r="C3116" t="n">
        <v>-27.4002</v>
      </c>
      <c r="D3116" t="n">
        <v>-51.2276</v>
      </c>
      <c r="E3116" t="inlineStr">
        <is>
          <t>2023-01</t>
        </is>
      </c>
      <c r="F3116" t="n">
        <v>0</v>
      </c>
    </row>
    <row r="3117">
      <c r="A3117" t="inlineStr">
        <is>
          <t>Soja</t>
        </is>
      </c>
      <c r="B3117" t="inlineStr">
        <is>
          <t>Campos Novos - SC</t>
        </is>
      </c>
      <c r="C3117" t="n">
        <v>-27.4002</v>
      </c>
      <c r="D3117" t="n">
        <v>-51.2276</v>
      </c>
      <c r="E3117" t="inlineStr">
        <is>
          <t>2023-02</t>
        </is>
      </c>
      <c r="F3117" t="n">
        <v>542148.8189704114</v>
      </c>
    </row>
    <row r="3118">
      <c r="A3118" t="inlineStr">
        <is>
          <t>Soja</t>
        </is>
      </c>
      <c r="B3118" t="inlineStr">
        <is>
          <t>Campos Novos - SC</t>
        </is>
      </c>
      <c r="C3118" t="n">
        <v>-27.4002</v>
      </c>
      <c r="D3118" t="n">
        <v>-51.2276</v>
      </c>
      <c r="E3118" t="inlineStr">
        <is>
          <t>2023-03</t>
        </is>
      </c>
      <c r="F3118" t="n">
        <v>903581.3649506858</v>
      </c>
    </row>
    <row r="3119">
      <c r="A3119" t="inlineStr">
        <is>
          <t>Soja</t>
        </is>
      </c>
      <c r="B3119" t="inlineStr">
        <is>
          <t>Campos Novos - SC</t>
        </is>
      </c>
      <c r="C3119" t="n">
        <v>-27.4002</v>
      </c>
      <c r="D3119" t="n">
        <v>-51.2276</v>
      </c>
      <c r="E3119" t="inlineStr">
        <is>
          <t>2023-04</t>
        </is>
      </c>
      <c r="F3119" t="n">
        <v>903581.3649506858</v>
      </c>
    </row>
    <row r="3120">
      <c r="A3120" t="inlineStr">
        <is>
          <t>Soja</t>
        </is>
      </c>
      <c r="B3120" t="inlineStr">
        <is>
          <t>Campos Novos - SC</t>
        </is>
      </c>
      <c r="C3120" t="n">
        <v>-27.4002</v>
      </c>
      <c r="D3120" t="n">
        <v>-51.2276</v>
      </c>
      <c r="E3120" t="inlineStr">
        <is>
          <t>2023-05</t>
        </is>
      </c>
      <c r="F3120" t="n">
        <v>542148.8189704114</v>
      </c>
    </row>
    <row r="3121">
      <c r="A3121" t="inlineStr">
        <is>
          <t>Soja</t>
        </is>
      </c>
      <c r="B3121" t="inlineStr">
        <is>
          <t>Campos Novos - SC</t>
        </is>
      </c>
      <c r="C3121" t="n">
        <v>-27.4002</v>
      </c>
      <c r="D3121" t="n">
        <v>-51.2276</v>
      </c>
      <c r="E3121" t="inlineStr">
        <is>
          <t>2023-06</t>
        </is>
      </c>
      <c r="F3121" t="n">
        <v>0</v>
      </c>
    </row>
    <row r="3122">
      <c r="A3122" t="inlineStr">
        <is>
          <t>Soja</t>
        </is>
      </c>
      <c r="B3122" t="inlineStr">
        <is>
          <t>Campos Novos - SC</t>
        </is>
      </c>
      <c r="C3122" t="n">
        <v>-27.4002</v>
      </c>
      <c r="D3122" t="n">
        <v>-51.2276</v>
      </c>
      <c r="E3122" t="inlineStr">
        <is>
          <t>2022-07</t>
        </is>
      </c>
      <c r="F3122" t="n">
        <v>0</v>
      </c>
    </row>
    <row r="3123">
      <c r="A3123" t="inlineStr">
        <is>
          <t>Soja</t>
        </is>
      </c>
      <c r="B3123" t="inlineStr">
        <is>
          <t>Campos Novos - SC</t>
        </is>
      </c>
      <c r="C3123" t="n">
        <v>-27.4002</v>
      </c>
      <c r="D3123" t="n">
        <v>-51.2276</v>
      </c>
      <c r="E3123" t="inlineStr">
        <is>
          <t>2022-08</t>
        </is>
      </c>
      <c r="F3123" t="n">
        <v>0</v>
      </c>
    </row>
    <row r="3124">
      <c r="A3124" t="inlineStr">
        <is>
          <t>Soja</t>
        </is>
      </c>
      <c r="B3124" t="inlineStr">
        <is>
          <t>Campos Novos - SC</t>
        </is>
      </c>
      <c r="C3124" t="n">
        <v>-27.4002</v>
      </c>
      <c r="D3124" t="n">
        <v>-51.2276</v>
      </c>
      <c r="E3124" t="inlineStr">
        <is>
          <t>2022-09</t>
        </is>
      </c>
      <c r="F3124" t="n">
        <v>0</v>
      </c>
    </row>
    <row r="3125">
      <c r="A3125" t="inlineStr">
        <is>
          <t>Soja</t>
        </is>
      </c>
      <c r="B3125" t="inlineStr">
        <is>
          <t>Campos Novos - SC</t>
        </is>
      </c>
      <c r="C3125" t="n">
        <v>-27.4002</v>
      </c>
      <c r="D3125" t="n">
        <v>-51.2276</v>
      </c>
      <c r="E3125" t="inlineStr">
        <is>
          <t>2022-10</t>
        </is>
      </c>
      <c r="F3125" t="n">
        <v>0</v>
      </c>
    </row>
    <row r="3126">
      <c r="A3126" t="inlineStr">
        <is>
          <t>Soja</t>
        </is>
      </c>
      <c r="B3126" t="inlineStr">
        <is>
          <t>Campos Novos - SC</t>
        </is>
      </c>
      <c r="C3126" t="n">
        <v>-27.4002</v>
      </c>
      <c r="D3126" t="n">
        <v>-51.2276</v>
      </c>
      <c r="E3126" t="inlineStr">
        <is>
          <t>2022-11</t>
        </is>
      </c>
      <c r="F3126" t="n">
        <v>0</v>
      </c>
    </row>
    <row r="3127">
      <c r="A3127" t="inlineStr">
        <is>
          <t>Soja</t>
        </is>
      </c>
      <c r="B3127" t="inlineStr">
        <is>
          <t>Campos Novos - SC</t>
        </is>
      </c>
      <c r="C3127" t="n">
        <v>-27.4002</v>
      </c>
      <c r="D3127" t="n">
        <v>-51.2276</v>
      </c>
      <c r="E3127" t="inlineStr">
        <is>
          <t>2022-12</t>
        </is>
      </c>
      <c r="F3127" t="n">
        <v>0</v>
      </c>
    </row>
    <row r="3128">
      <c r="A3128" t="inlineStr">
        <is>
          <t>Soja</t>
        </is>
      </c>
      <c r="B3128" t="inlineStr">
        <is>
          <t>Itapeva - SP</t>
        </is>
      </c>
      <c r="C3128" t="n">
        <v>-23.9788</v>
      </c>
      <c r="D3128" t="n">
        <v>-48.8764</v>
      </c>
      <c r="E3128" t="inlineStr">
        <is>
          <t>2023-01</t>
        </is>
      </c>
      <c r="F3128" t="n">
        <v>926095.8507883276</v>
      </c>
    </row>
    <row r="3129">
      <c r="A3129" t="inlineStr">
        <is>
          <t>Soja</t>
        </is>
      </c>
      <c r="B3129" t="inlineStr">
        <is>
          <t>Itapeva - SP</t>
        </is>
      </c>
      <c r="C3129" t="n">
        <v>-23.9788</v>
      </c>
      <c r="D3129" t="n">
        <v>-48.8764</v>
      </c>
      <c r="E3129" t="inlineStr">
        <is>
          <t>2023-02</t>
        </is>
      </c>
      <c r="F3129" t="n">
        <v>926095.8507883276</v>
      </c>
    </row>
    <row r="3130">
      <c r="A3130" t="inlineStr">
        <is>
          <t>Soja</t>
        </is>
      </c>
      <c r="B3130" t="inlineStr">
        <is>
          <t>Itapeva - SP</t>
        </is>
      </c>
      <c r="C3130" t="n">
        <v>-23.9788</v>
      </c>
      <c r="D3130" t="n">
        <v>-48.8764</v>
      </c>
      <c r="E3130" t="inlineStr">
        <is>
          <t>2023-03</t>
        </is>
      </c>
      <c r="F3130" t="n">
        <v>2160890.318506097</v>
      </c>
    </row>
    <row r="3131">
      <c r="A3131" t="inlineStr">
        <is>
          <t>Soja</t>
        </is>
      </c>
      <c r="B3131" t="inlineStr">
        <is>
          <t>Itapeva - SP</t>
        </is>
      </c>
      <c r="C3131" t="n">
        <v>-23.9788</v>
      </c>
      <c r="D3131" t="n">
        <v>-48.8764</v>
      </c>
      <c r="E3131" t="inlineStr">
        <is>
          <t>2023-04</t>
        </is>
      </c>
      <c r="F3131" t="n">
        <v>926095.8507883276</v>
      </c>
    </row>
    <row r="3132">
      <c r="A3132" t="inlineStr">
        <is>
          <t>Soja</t>
        </is>
      </c>
      <c r="B3132" t="inlineStr">
        <is>
          <t>Itapeva - SP</t>
        </is>
      </c>
      <c r="C3132" t="n">
        <v>-23.9788</v>
      </c>
      <c r="D3132" t="n">
        <v>-48.8764</v>
      </c>
      <c r="E3132" t="inlineStr">
        <is>
          <t>2023-05</t>
        </is>
      </c>
      <c r="F3132" t="n">
        <v>0</v>
      </c>
    </row>
    <row r="3133">
      <c r="A3133" t="inlineStr">
        <is>
          <t>Soja</t>
        </is>
      </c>
      <c r="B3133" t="inlineStr">
        <is>
          <t>Itapeva - SP</t>
        </is>
      </c>
      <c r="C3133" t="n">
        <v>-23.9788</v>
      </c>
      <c r="D3133" t="n">
        <v>-48.8764</v>
      </c>
      <c r="E3133" t="inlineStr">
        <is>
          <t>2023-06</t>
        </is>
      </c>
      <c r="F3133" t="n">
        <v>0</v>
      </c>
    </row>
    <row r="3134">
      <c r="A3134" t="inlineStr">
        <is>
          <t>Soja</t>
        </is>
      </c>
      <c r="B3134" t="inlineStr">
        <is>
          <t>Itapeva - SP</t>
        </is>
      </c>
      <c r="C3134" t="n">
        <v>-23.9788</v>
      </c>
      <c r="D3134" t="n">
        <v>-48.8764</v>
      </c>
      <c r="E3134" t="inlineStr">
        <is>
          <t>2022-07</t>
        </is>
      </c>
      <c r="F3134" t="n">
        <v>0</v>
      </c>
    </row>
    <row r="3135">
      <c r="A3135" t="inlineStr">
        <is>
          <t>Soja</t>
        </is>
      </c>
      <c r="B3135" t="inlineStr">
        <is>
          <t>Itapeva - SP</t>
        </is>
      </c>
      <c r="C3135" t="n">
        <v>-23.9788</v>
      </c>
      <c r="D3135" t="n">
        <v>-48.8764</v>
      </c>
      <c r="E3135" t="inlineStr">
        <is>
          <t>2022-08</t>
        </is>
      </c>
      <c r="F3135" t="n">
        <v>0</v>
      </c>
    </row>
    <row r="3136">
      <c r="A3136" t="inlineStr">
        <is>
          <t>Soja</t>
        </is>
      </c>
      <c r="B3136" t="inlineStr">
        <is>
          <t>Itapeva - SP</t>
        </is>
      </c>
      <c r="C3136" t="n">
        <v>-23.9788</v>
      </c>
      <c r="D3136" t="n">
        <v>-48.8764</v>
      </c>
      <c r="E3136" t="inlineStr">
        <is>
          <t>2022-09</t>
        </is>
      </c>
      <c r="F3136" t="n">
        <v>0</v>
      </c>
    </row>
    <row r="3137">
      <c r="A3137" t="inlineStr">
        <is>
          <t>Soja</t>
        </is>
      </c>
      <c r="B3137" t="inlineStr">
        <is>
          <t>Itapeva - SP</t>
        </is>
      </c>
      <c r="C3137" t="n">
        <v>-23.9788</v>
      </c>
      <c r="D3137" t="n">
        <v>-48.8764</v>
      </c>
      <c r="E3137" t="inlineStr">
        <is>
          <t>2022-10</t>
        </is>
      </c>
      <c r="F3137" t="n">
        <v>0</v>
      </c>
    </row>
    <row r="3138">
      <c r="A3138" t="inlineStr">
        <is>
          <t>Soja</t>
        </is>
      </c>
      <c r="B3138" t="inlineStr">
        <is>
          <t>Itapeva - SP</t>
        </is>
      </c>
      <c r="C3138" t="n">
        <v>-23.9788</v>
      </c>
      <c r="D3138" t="n">
        <v>-48.8764</v>
      </c>
      <c r="E3138" t="inlineStr">
        <is>
          <t>2022-11</t>
        </is>
      </c>
      <c r="F3138" t="n">
        <v>0</v>
      </c>
    </row>
    <row r="3139">
      <c r="A3139" t="inlineStr">
        <is>
          <t>Soja</t>
        </is>
      </c>
      <c r="B3139" t="inlineStr">
        <is>
          <t>Itapeva - SP</t>
        </is>
      </c>
      <c r="C3139" t="n">
        <v>-23.9788</v>
      </c>
      <c r="D3139" t="n">
        <v>-48.8764</v>
      </c>
      <c r="E3139" t="inlineStr">
        <is>
          <t>2022-12</t>
        </is>
      </c>
      <c r="F3139" t="n">
        <v>0</v>
      </c>
    </row>
    <row r="3140">
      <c r="A3140" t="inlineStr">
        <is>
          <t>Soja</t>
        </is>
      </c>
      <c r="B3140" t="inlineStr">
        <is>
          <t>Campos Lindos - TO</t>
        </is>
      </c>
      <c r="C3140" t="n">
        <v>-7.98956</v>
      </c>
      <c r="D3140" t="n">
        <v>-46.8645</v>
      </c>
      <c r="E3140" t="inlineStr">
        <is>
          <t>2023-01</t>
        </is>
      </c>
      <c r="F3140" t="n">
        <v>0</v>
      </c>
    </row>
    <row r="3141">
      <c r="A3141" t="inlineStr">
        <is>
          <t>Soja</t>
        </is>
      </c>
      <c r="B3141" t="inlineStr">
        <is>
          <t>Campos Lindos - TO</t>
        </is>
      </c>
      <c r="C3141" t="n">
        <v>-7.98956</v>
      </c>
      <c r="D3141" t="n">
        <v>-46.8645</v>
      </c>
      <c r="E3141" t="inlineStr">
        <is>
          <t>2023-02</t>
        </is>
      </c>
      <c r="F3141" t="n">
        <v>923000.1089856518</v>
      </c>
    </row>
    <row r="3142">
      <c r="A3142" t="inlineStr">
        <is>
          <t>Soja</t>
        </is>
      </c>
      <c r="B3142" t="inlineStr">
        <is>
          <t>Campos Lindos - TO</t>
        </is>
      </c>
      <c r="C3142" t="n">
        <v>-7.98956</v>
      </c>
      <c r="D3142" t="n">
        <v>-46.8645</v>
      </c>
      <c r="E3142" t="inlineStr">
        <is>
          <t>2023-03</t>
        </is>
      </c>
      <c r="F3142" t="n">
        <v>1538333.514976087</v>
      </c>
    </row>
    <row r="3143">
      <c r="A3143" t="inlineStr">
        <is>
          <t>Soja</t>
        </is>
      </c>
      <c r="B3143" t="inlineStr">
        <is>
          <t>Campos Lindos - TO</t>
        </is>
      </c>
      <c r="C3143" t="n">
        <v>-7.98956</v>
      </c>
      <c r="D3143" t="n">
        <v>-46.8645</v>
      </c>
      <c r="E3143" t="inlineStr">
        <is>
          <t>2023-04</t>
        </is>
      </c>
      <c r="F3143" t="n">
        <v>1538333.514976087</v>
      </c>
    </row>
    <row r="3144">
      <c r="A3144" t="inlineStr">
        <is>
          <t>Soja</t>
        </is>
      </c>
      <c r="B3144" t="inlineStr">
        <is>
          <t>Campos Lindos - TO</t>
        </is>
      </c>
      <c r="C3144" t="n">
        <v>-7.98956</v>
      </c>
      <c r="D3144" t="n">
        <v>-46.8645</v>
      </c>
      <c r="E3144" t="inlineStr">
        <is>
          <t>2023-05</t>
        </is>
      </c>
      <c r="F3144" t="n">
        <v>923000.1089856518</v>
      </c>
    </row>
    <row r="3145">
      <c r="A3145" t="inlineStr">
        <is>
          <t>Soja</t>
        </is>
      </c>
      <c r="B3145" t="inlineStr">
        <is>
          <t>Campos Lindos - TO</t>
        </is>
      </c>
      <c r="C3145" t="n">
        <v>-7.98956</v>
      </c>
      <c r="D3145" t="n">
        <v>-46.8645</v>
      </c>
      <c r="E3145" t="inlineStr">
        <is>
          <t>2023-06</t>
        </is>
      </c>
      <c r="F3145" t="n">
        <v>0</v>
      </c>
    </row>
    <row r="3146">
      <c r="A3146" t="inlineStr">
        <is>
          <t>Soja</t>
        </is>
      </c>
      <c r="B3146" t="inlineStr">
        <is>
          <t>Campos Lindos - TO</t>
        </is>
      </c>
      <c r="C3146" t="n">
        <v>-7.98956</v>
      </c>
      <c r="D3146" t="n">
        <v>-46.8645</v>
      </c>
      <c r="E3146" t="inlineStr">
        <is>
          <t>2022-07</t>
        </is>
      </c>
      <c r="F3146" t="n">
        <v>0</v>
      </c>
    </row>
    <row r="3147">
      <c r="A3147" t="inlineStr">
        <is>
          <t>Soja</t>
        </is>
      </c>
      <c r="B3147" t="inlineStr">
        <is>
          <t>Campos Lindos - TO</t>
        </is>
      </c>
      <c r="C3147" t="n">
        <v>-7.98956</v>
      </c>
      <c r="D3147" t="n">
        <v>-46.8645</v>
      </c>
      <c r="E3147" t="inlineStr">
        <is>
          <t>2022-08</t>
        </is>
      </c>
      <c r="F3147" t="n">
        <v>0</v>
      </c>
    </row>
    <row r="3148">
      <c r="A3148" t="inlineStr">
        <is>
          <t>Soja</t>
        </is>
      </c>
      <c r="B3148" t="inlineStr">
        <is>
          <t>Campos Lindos - TO</t>
        </is>
      </c>
      <c r="C3148" t="n">
        <v>-7.98956</v>
      </c>
      <c r="D3148" t="n">
        <v>-46.8645</v>
      </c>
      <c r="E3148" t="inlineStr">
        <is>
          <t>2022-09</t>
        </is>
      </c>
      <c r="F3148" t="n">
        <v>0</v>
      </c>
    </row>
    <row r="3149">
      <c r="A3149" t="inlineStr">
        <is>
          <t>Soja</t>
        </is>
      </c>
      <c r="B3149" t="inlineStr">
        <is>
          <t>Campos Lindos - TO</t>
        </is>
      </c>
      <c r="C3149" t="n">
        <v>-7.98956</v>
      </c>
      <c r="D3149" t="n">
        <v>-46.8645</v>
      </c>
      <c r="E3149" t="inlineStr">
        <is>
          <t>2022-10</t>
        </is>
      </c>
      <c r="F3149" t="n">
        <v>0</v>
      </c>
    </row>
    <row r="3150">
      <c r="A3150" t="inlineStr">
        <is>
          <t>Soja</t>
        </is>
      </c>
      <c r="B3150" t="inlineStr">
        <is>
          <t>Campos Lindos - TO</t>
        </is>
      </c>
      <c r="C3150" t="n">
        <v>-7.98956</v>
      </c>
      <c r="D3150" t="n">
        <v>-46.8645</v>
      </c>
      <c r="E3150" t="inlineStr">
        <is>
          <t>2022-11</t>
        </is>
      </c>
      <c r="F3150" t="n">
        <v>0</v>
      </c>
    </row>
    <row r="3151">
      <c r="A3151" t="inlineStr">
        <is>
          <t>Soja</t>
        </is>
      </c>
      <c r="B3151" t="inlineStr">
        <is>
          <t>Campos Lindos - TO</t>
        </is>
      </c>
      <c r="C3151" t="n">
        <v>-7.98956</v>
      </c>
      <c r="D3151" t="n">
        <v>-46.8645</v>
      </c>
      <c r="E3151" t="inlineStr">
        <is>
          <t>2022-12</t>
        </is>
      </c>
      <c r="F3151" t="n">
        <v>0</v>
      </c>
    </row>
    <row r="3152">
      <c r="A3152" t="inlineStr">
        <is>
          <t>Milho</t>
        </is>
      </c>
      <c r="B3152" t="inlineStr">
        <is>
          <t>Limoeiro de Anadia - AL</t>
        </is>
      </c>
      <c r="C3152" t="n">
        <v>-9.74098</v>
      </c>
      <c r="D3152" t="n">
        <v>-36.5121</v>
      </c>
      <c r="E3152" t="inlineStr">
        <is>
          <t>2024-01</t>
        </is>
      </c>
      <c r="F3152" t="n">
        <v>0</v>
      </c>
    </row>
    <row r="3153">
      <c r="A3153" t="inlineStr">
        <is>
          <t>Milho</t>
        </is>
      </c>
      <c r="B3153" t="inlineStr">
        <is>
          <t>Limoeiro de Anadia - AL</t>
        </is>
      </c>
      <c r="C3153" t="n">
        <v>-9.74098</v>
      </c>
      <c r="D3153" t="n">
        <v>-36.5121</v>
      </c>
      <c r="E3153" t="inlineStr">
        <is>
          <t>2024-02</t>
        </is>
      </c>
      <c r="F3153" t="n">
        <v>0</v>
      </c>
    </row>
    <row r="3154">
      <c r="A3154" t="inlineStr">
        <is>
          <t>Milho</t>
        </is>
      </c>
      <c r="B3154" t="inlineStr">
        <is>
          <t>Limoeiro de Anadia - AL</t>
        </is>
      </c>
      <c r="C3154" t="n">
        <v>-9.74098</v>
      </c>
      <c r="D3154" t="n">
        <v>-36.5121</v>
      </c>
      <c r="E3154" t="inlineStr">
        <is>
          <t>2024-03</t>
        </is>
      </c>
      <c r="F3154" t="n">
        <v>0</v>
      </c>
    </row>
    <row r="3155">
      <c r="A3155" t="inlineStr">
        <is>
          <t>Milho</t>
        </is>
      </c>
      <c r="B3155" t="inlineStr">
        <is>
          <t>Limoeiro de Anadia - AL</t>
        </is>
      </c>
      <c r="C3155" t="n">
        <v>-9.74098</v>
      </c>
      <c r="D3155" t="n">
        <v>-36.5121</v>
      </c>
      <c r="E3155" t="inlineStr">
        <is>
          <t>2024-04</t>
        </is>
      </c>
      <c r="F3155" t="n">
        <v>0</v>
      </c>
    </row>
    <row r="3156">
      <c r="A3156" t="inlineStr">
        <is>
          <t>Milho</t>
        </is>
      </c>
      <c r="B3156" t="inlineStr">
        <is>
          <t>Limoeiro de Anadia - AL</t>
        </is>
      </c>
      <c r="C3156" t="n">
        <v>-9.74098</v>
      </c>
      <c r="D3156" t="n">
        <v>-36.5121</v>
      </c>
      <c r="E3156" t="inlineStr">
        <is>
          <t>2024-05</t>
        </is>
      </c>
      <c r="F3156" t="n">
        <v>0</v>
      </c>
    </row>
    <row r="3157">
      <c r="A3157" t="inlineStr">
        <is>
          <t>Milho</t>
        </is>
      </c>
      <c r="B3157" t="inlineStr">
        <is>
          <t>Limoeiro de Anadia - AL</t>
        </is>
      </c>
      <c r="C3157" t="n">
        <v>-9.74098</v>
      </c>
      <c r="D3157" t="n">
        <v>-36.5121</v>
      </c>
      <c r="E3157" t="inlineStr">
        <is>
          <t>2024-06</t>
        </is>
      </c>
      <c r="F3157" t="n">
        <v>0</v>
      </c>
    </row>
    <row r="3158">
      <c r="A3158" t="inlineStr">
        <is>
          <t>Milho</t>
        </is>
      </c>
      <c r="B3158" t="inlineStr">
        <is>
          <t>Limoeiro de Anadia - AL</t>
        </is>
      </c>
      <c r="C3158" t="n">
        <v>-9.74098</v>
      </c>
      <c r="D3158" t="n">
        <v>-36.5121</v>
      </c>
      <c r="E3158" t="inlineStr">
        <is>
          <t>2023-07</t>
        </is>
      </c>
      <c r="F3158" t="n">
        <v>0</v>
      </c>
    </row>
    <row r="3159">
      <c r="A3159" t="inlineStr">
        <is>
          <t>Milho</t>
        </is>
      </c>
      <c r="B3159" t="inlineStr">
        <is>
          <t>Limoeiro de Anadia - AL</t>
        </is>
      </c>
      <c r="C3159" t="n">
        <v>-9.74098</v>
      </c>
      <c r="D3159" t="n">
        <v>-36.5121</v>
      </c>
      <c r="E3159" t="inlineStr">
        <is>
          <t>2023-08</t>
        </is>
      </c>
      <c r="F3159" t="n">
        <v>0</v>
      </c>
    </row>
    <row r="3160">
      <c r="A3160" t="inlineStr">
        <is>
          <t>Milho</t>
        </is>
      </c>
      <c r="B3160" t="inlineStr">
        <is>
          <t>Limoeiro de Anadia - AL</t>
        </is>
      </c>
      <c r="C3160" t="n">
        <v>-9.74098</v>
      </c>
      <c r="D3160" t="n">
        <v>-36.5121</v>
      </c>
      <c r="E3160" t="inlineStr">
        <is>
          <t>2023-09</t>
        </is>
      </c>
      <c r="F3160" t="n">
        <v>0</v>
      </c>
    </row>
    <row r="3161">
      <c r="A3161" t="inlineStr">
        <is>
          <t>Milho</t>
        </is>
      </c>
      <c r="B3161" t="inlineStr">
        <is>
          <t>Limoeiro de Anadia - AL</t>
        </is>
      </c>
      <c r="C3161" t="n">
        <v>-9.74098</v>
      </c>
      <c r="D3161" t="n">
        <v>-36.5121</v>
      </c>
      <c r="E3161" t="inlineStr">
        <is>
          <t>2023-10</t>
        </is>
      </c>
      <c r="F3161" t="n">
        <v>0</v>
      </c>
    </row>
    <row r="3162">
      <c r="A3162" t="inlineStr">
        <is>
          <t>Milho</t>
        </is>
      </c>
      <c r="B3162" t="inlineStr">
        <is>
          <t>Limoeiro de Anadia - AL</t>
        </is>
      </c>
      <c r="C3162" t="n">
        <v>-9.74098</v>
      </c>
      <c r="D3162" t="n">
        <v>-36.5121</v>
      </c>
      <c r="E3162" t="inlineStr">
        <is>
          <t>2023-11</t>
        </is>
      </c>
      <c r="F3162" t="n">
        <v>0</v>
      </c>
    </row>
    <row r="3163">
      <c r="A3163" t="inlineStr">
        <is>
          <t>Milho</t>
        </is>
      </c>
      <c r="B3163" t="inlineStr">
        <is>
          <t>Limoeiro de Anadia - AL</t>
        </is>
      </c>
      <c r="C3163" t="n">
        <v>-9.74098</v>
      </c>
      <c r="D3163" t="n">
        <v>-36.5121</v>
      </c>
      <c r="E3163" t="inlineStr">
        <is>
          <t>2023-12</t>
        </is>
      </c>
      <c r="F3163" t="n">
        <v>0</v>
      </c>
    </row>
    <row r="3164">
      <c r="A3164" t="inlineStr">
        <is>
          <t>Milho</t>
        </is>
      </c>
      <c r="B3164" t="inlineStr">
        <is>
          <t>Macapá - AP</t>
        </is>
      </c>
      <c r="C3164" t="n">
        <v>0.034934</v>
      </c>
      <c r="D3164" t="n">
        <v>-51.0694</v>
      </c>
      <c r="E3164" t="inlineStr">
        <is>
          <t>2024-01</t>
        </is>
      </c>
      <c r="F3164" t="n">
        <v>0</v>
      </c>
    </row>
    <row r="3165">
      <c r="A3165" t="inlineStr">
        <is>
          <t>Milho</t>
        </is>
      </c>
      <c r="B3165" t="inlineStr">
        <is>
          <t>Macapá - AP</t>
        </is>
      </c>
      <c r="C3165" t="n">
        <v>0.034934</v>
      </c>
      <c r="D3165" t="n">
        <v>-51.0694</v>
      </c>
      <c r="E3165" t="inlineStr">
        <is>
          <t>2024-02</t>
        </is>
      </c>
      <c r="F3165" t="n">
        <v>0</v>
      </c>
    </row>
    <row r="3166">
      <c r="A3166" t="inlineStr">
        <is>
          <t>Milho</t>
        </is>
      </c>
      <c r="B3166" t="inlineStr">
        <is>
          <t>Macapá - AP</t>
        </is>
      </c>
      <c r="C3166" t="n">
        <v>0.034934</v>
      </c>
      <c r="D3166" t="n">
        <v>-51.0694</v>
      </c>
      <c r="E3166" t="inlineStr">
        <is>
          <t>2024-03</t>
        </is>
      </c>
      <c r="F3166" t="n">
        <v>0</v>
      </c>
    </row>
    <row r="3167">
      <c r="A3167" t="inlineStr">
        <is>
          <t>Milho</t>
        </is>
      </c>
      <c r="B3167" t="inlineStr">
        <is>
          <t>Macapá - AP</t>
        </is>
      </c>
      <c r="C3167" t="n">
        <v>0.034934</v>
      </c>
      <c r="D3167" t="n">
        <v>-51.0694</v>
      </c>
      <c r="E3167" t="inlineStr">
        <is>
          <t>2024-04</t>
        </is>
      </c>
      <c r="F3167" t="n">
        <v>0</v>
      </c>
    </row>
    <row r="3168">
      <c r="A3168" t="inlineStr">
        <is>
          <t>Milho</t>
        </is>
      </c>
      <c r="B3168" t="inlineStr">
        <is>
          <t>Macapá - AP</t>
        </is>
      </c>
      <c r="C3168" t="n">
        <v>0.034934</v>
      </c>
      <c r="D3168" t="n">
        <v>-51.0694</v>
      </c>
      <c r="E3168" t="inlineStr">
        <is>
          <t>2024-05</t>
        </is>
      </c>
      <c r="F3168" t="n">
        <v>0</v>
      </c>
    </row>
    <row r="3169">
      <c r="A3169" t="inlineStr">
        <is>
          <t>Milho</t>
        </is>
      </c>
      <c r="B3169" t="inlineStr">
        <is>
          <t>Macapá - AP</t>
        </is>
      </c>
      <c r="C3169" t="n">
        <v>0.034934</v>
      </c>
      <c r="D3169" t="n">
        <v>-51.0694</v>
      </c>
      <c r="E3169" t="inlineStr">
        <is>
          <t>2024-06</t>
        </is>
      </c>
      <c r="F3169" t="n">
        <v>0</v>
      </c>
    </row>
    <row r="3170">
      <c r="A3170" t="inlineStr">
        <is>
          <t>Milho</t>
        </is>
      </c>
      <c r="B3170" t="inlineStr">
        <is>
          <t>Macapá - AP</t>
        </is>
      </c>
      <c r="C3170" t="n">
        <v>0.034934</v>
      </c>
      <c r="D3170" t="n">
        <v>-51.0694</v>
      </c>
      <c r="E3170" t="inlineStr">
        <is>
          <t>2023-07</t>
        </is>
      </c>
      <c r="F3170" t="n">
        <v>0</v>
      </c>
    </row>
    <row r="3171">
      <c r="A3171" t="inlineStr">
        <is>
          <t>Milho</t>
        </is>
      </c>
      <c r="B3171" t="inlineStr">
        <is>
          <t>Macapá - AP</t>
        </is>
      </c>
      <c r="C3171" t="n">
        <v>0.034934</v>
      </c>
      <c r="D3171" t="n">
        <v>-51.0694</v>
      </c>
      <c r="E3171" t="inlineStr">
        <is>
          <t>2023-08</t>
        </is>
      </c>
      <c r="F3171" t="n">
        <v>0</v>
      </c>
    </row>
    <row r="3172">
      <c r="A3172" t="inlineStr">
        <is>
          <t>Milho</t>
        </is>
      </c>
      <c r="B3172" t="inlineStr">
        <is>
          <t>Macapá - AP</t>
        </is>
      </c>
      <c r="C3172" t="n">
        <v>0.034934</v>
      </c>
      <c r="D3172" t="n">
        <v>-51.0694</v>
      </c>
      <c r="E3172" t="inlineStr">
        <is>
          <t>2023-09</t>
        </is>
      </c>
      <c r="F3172" t="n">
        <v>0</v>
      </c>
    </row>
    <row r="3173">
      <c r="A3173" t="inlineStr">
        <is>
          <t>Milho</t>
        </is>
      </c>
      <c r="B3173" t="inlineStr">
        <is>
          <t>Macapá - AP</t>
        </is>
      </c>
      <c r="C3173" t="n">
        <v>0.034934</v>
      </c>
      <c r="D3173" t="n">
        <v>-51.0694</v>
      </c>
      <c r="E3173" t="inlineStr">
        <is>
          <t>2023-10</t>
        </is>
      </c>
      <c r="F3173" t="n">
        <v>0</v>
      </c>
    </row>
    <row r="3174">
      <c r="A3174" t="inlineStr">
        <is>
          <t>Milho</t>
        </is>
      </c>
      <c r="B3174" t="inlineStr">
        <is>
          <t>Macapá - AP</t>
        </is>
      </c>
      <c r="C3174" t="n">
        <v>0.034934</v>
      </c>
      <c r="D3174" t="n">
        <v>-51.0694</v>
      </c>
      <c r="E3174" t="inlineStr">
        <is>
          <t>2023-11</t>
        </is>
      </c>
      <c r="F3174" t="n">
        <v>0</v>
      </c>
    </row>
    <row r="3175">
      <c r="A3175" t="inlineStr">
        <is>
          <t>Milho</t>
        </is>
      </c>
      <c r="B3175" t="inlineStr">
        <is>
          <t>Macapá - AP</t>
        </is>
      </c>
      <c r="C3175" t="n">
        <v>0.034934</v>
      </c>
      <c r="D3175" t="n">
        <v>-51.0694</v>
      </c>
      <c r="E3175" t="inlineStr">
        <is>
          <t>2023-12</t>
        </is>
      </c>
      <c r="F3175" t="n">
        <v>0</v>
      </c>
    </row>
    <row r="3176">
      <c r="A3176" t="inlineStr">
        <is>
          <t>Milho</t>
        </is>
      </c>
      <c r="B3176" t="inlineStr">
        <is>
          <t>Crateús - CE</t>
        </is>
      </c>
      <c r="C3176" t="n">
        <v>-5.16768</v>
      </c>
      <c r="D3176" t="n">
        <v>-40.6536</v>
      </c>
      <c r="E3176" t="inlineStr">
        <is>
          <t>2024-01</t>
        </is>
      </c>
      <c r="F3176" t="n">
        <v>0</v>
      </c>
    </row>
    <row r="3177">
      <c r="A3177" t="inlineStr">
        <is>
          <t>Milho</t>
        </is>
      </c>
      <c r="B3177" t="inlineStr">
        <is>
          <t>Crateús - CE</t>
        </is>
      </c>
      <c r="C3177" t="n">
        <v>-5.16768</v>
      </c>
      <c r="D3177" t="n">
        <v>-40.6536</v>
      </c>
      <c r="E3177" t="inlineStr">
        <is>
          <t>2024-02</t>
        </is>
      </c>
      <c r="F3177" t="n">
        <v>0</v>
      </c>
    </row>
    <row r="3178">
      <c r="A3178" t="inlineStr">
        <is>
          <t>Milho</t>
        </is>
      </c>
      <c r="B3178" t="inlineStr">
        <is>
          <t>Crateús - CE</t>
        </is>
      </c>
      <c r="C3178" t="n">
        <v>-5.16768</v>
      </c>
      <c r="D3178" t="n">
        <v>-40.6536</v>
      </c>
      <c r="E3178" t="inlineStr">
        <is>
          <t>2024-03</t>
        </is>
      </c>
      <c r="F3178" t="n">
        <v>0</v>
      </c>
    </row>
    <row r="3179">
      <c r="A3179" t="inlineStr">
        <is>
          <t>Milho</t>
        </is>
      </c>
      <c r="B3179" t="inlineStr">
        <is>
          <t>Crateús - CE</t>
        </is>
      </c>
      <c r="C3179" t="n">
        <v>-5.16768</v>
      </c>
      <c r="D3179" t="n">
        <v>-40.6536</v>
      </c>
      <c r="E3179" t="inlineStr">
        <is>
          <t>2024-04</t>
        </is>
      </c>
      <c r="F3179" t="n">
        <v>0</v>
      </c>
    </row>
    <row r="3180">
      <c r="A3180" t="inlineStr">
        <is>
          <t>Milho</t>
        </is>
      </c>
      <c r="B3180" t="inlineStr">
        <is>
          <t>Crateús - CE</t>
        </is>
      </c>
      <c r="C3180" t="n">
        <v>-5.16768</v>
      </c>
      <c r="D3180" t="n">
        <v>-40.6536</v>
      </c>
      <c r="E3180" t="inlineStr">
        <is>
          <t>2024-05</t>
        </is>
      </c>
      <c r="F3180" t="n">
        <v>0</v>
      </c>
    </row>
    <row r="3181">
      <c r="A3181" t="inlineStr">
        <is>
          <t>Milho</t>
        </is>
      </c>
      <c r="B3181" t="inlineStr">
        <is>
          <t>Crateús - CE</t>
        </is>
      </c>
      <c r="C3181" t="n">
        <v>-5.16768</v>
      </c>
      <c r="D3181" t="n">
        <v>-40.6536</v>
      </c>
      <c r="E3181" t="inlineStr">
        <is>
          <t>2024-06</t>
        </is>
      </c>
      <c r="F3181" t="n">
        <v>0</v>
      </c>
    </row>
    <row r="3182">
      <c r="A3182" t="inlineStr">
        <is>
          <t>Milho</t>
        </is>
      </c>
      <c r="B3182" t="inlineStr">
        <is>
          <t>Crateús - CE</t>
        </is>
      </c>
      <c r="C3182" t="n">
        <v>-5.16768</v>
      </c>
      <c r="D3182" t="n">
        <v>-40.6536</v>
      </c>
      <c r="E3182" t="inlineStr">
        <is>
          <t>2023-07</t>
        </is>
      </c>
      <c r="F3182" t="n">
        <v>0</v>
      </c>
    </row>
    <row r="3183">
      <c r="A3183" t="inlineStr">
        <is>
          <t>Milho</t>
        </is>
      </c>
      <c r="B3183" t="inlineStr">
        <is>
          <t>Crateús - CE</t>
        </is>
      </c>
      <c r="C3183" t="n">
        <v>-5.16768</v>
      </c>
      <c r="D3183" t="n">
        <v>-40.6536</v>
      </c>
      <c r="E3183" t="inlineStr">
        <is>
          <t>2023-08</t>
        </is>
      </c>
      <c r="F3183" t="n">
        <v>0</v>
      </c>
    </row>
    <row r="3184">
      <c r="A3184" t="inlineStr">
        <is>
          <t>Milho</t>
        </is>
      </c>
      <c r="B3184" t="inlineStr">
        <is>
          <t>Crateús - CE</t>
        </is>
      </c>
      <c r="C3184" t="n">
        <v>-5.16768</v>
      </c>
      <c r="D3184" t="n">
        <v>-40.6536</v>
      </c>
      <c r="E3184" t="inlineStr">
        <is>
          <t>2023-09</t>
        </is>
      </c>
      <c r="F3184" t="n">
        <v>0</v>
      </c>
    </row>
    <row r="3185">
      <c r="A3185" t="inlineStr">
        <is>
          <t>Milho</t>
        </is>
      </c>
      <c r="B3185" t="inlineStr">
        <is>
          <t>Crateús - CE</t>
        </is>
      </c>
      <c r="C3185" t="n">
        <v>-5.16768</v>
      </c>
      <c r="D3185" t="n">
        <v>-40.6536</v>
      </c>
      <c r="E3185" t="inlineStr">
        <is>
          <t>2023-10</t>
        </is>
      </c>
      <c r="F3185" t="n">
        <v>0</v>
      </c>
    </row>
    <row r="3186">
      <c r="A3186" t="inlineStr">
        <is>
          <t>Milho</t>
        </is>
      </c>
      <c r="B3186" t="inlineStr">
        <is>
          <t>Crateús - CE</t>
        </is>
      </c>
      <c r="C3186" t="n">
        <v>-5.16768</v>
      </c>
      <c r="D3186" t="n">
        <v>-40.6536</v>
      </c>
      <c r="E3186" t="inlineStr">
        <is>
          <t>2023-11</t>
        </is>
      </c>
      <c r="F3186" t="n">
        <v>0</v>
      </c>
    </row>
    <row r="3187">
      <c r="A3187" t="inlineStr">
        <is>
          <t>Milho</t>
        </is>
      </c>
      <c r="B3187" t="inlineStr">
        <is>
          <t>Crateús - CE</t>
        </is>
      </c>
      <c r="C3187" t="n">
        <v>-5.16768</v>
      </c>
      <c r="D3187" t="n">
        <v>-40.6536</v>
      </c>
      <c r="E3187" t="inlineStr">
        <is>
          <t>2023-12</t>
        </is>
      </c>
      <c r="F3187" t="n">
        <v>0</v>
      </c>
    </row>
    <row r="3188">
      <c r="A3188" t="inlineStr">
        <is>
          <t>Milho</t>
        </is>
      </c>
      <c r="B3188" t="inlineStr">
        <is>
          <t>Sousa - PB</t>
        </is>
      </c>
      <c r="C3188" t="n">
        <v>-6.75148</v>
      </c>
      <c r="D3188" t="n">
        <v>-38.2311</v>
      </c>
      <c r="E3188" t="inlineStr">
        <is>
          <t>2024-01</t>
        </is>
      </c>
      <c r="F3188" t="n">
        <v>0</v>
      </c>
    </row>
    <row r="3189">
      <c r="A3189" t="inlineStr">
        <is>
          <t>Milho</t>
        </is>
      </c>
      <c r="B3189" t="inlineStr">
        <is>
          <t>Sousa - PB</t>
        </is>
      </c>
      <c r="C3189" t="n">
        <v>-6.75148</v>
      </c>
      <c r="D3189" t="n">
        <v>-38.2311</v>
      </c>
      <c r="E3189" t="inlineStr">
        <is>
          <t>2024-02</t>
        </is>
      </c>
      <c r="F3189" t="n">
        <v>0</v>
      </c>
    </row>
    <row r="3190">
      <c r="A3190" t="inlineStr">
        <is>
          <t>Milho</t>
        </is>
      </c>
      <c r="B3190" t="inlineStr">
        <is>
          <t>Sousa - PB</t>
        </is>
      </c>
      <c r="C3190" t="n">
        <v>-6.75148</v>
      </c>
      <c r="D3190" t="n">
        <v>-38.2311</v>
      </c>
      <c r="E3190" t="inlineStr">
        <is>
          <t>2024-03</t>
        </is>
      </c>
      <c r="F3190" t="n">
        <v>0</v>
      </c>
    </row>
    <row r="3191">
      <c r="A3191" t="inlineStr">
        <is>
          <t>Milho</t>
        </is>
      </c>
      <c r="B3191" t="inlineStr">
        <is>
          <t>Sousa - PB</t>
        </is>
      </c>
      <c r="C3191" t="n">
        <v>-6.75148</v>
      </c>
      <c r="D3191" t="n">
        <v>-38.2311</v>
      </c>
      <c r="E3191" t="inlineStr">
        <is>
          <t>2024-04</t>
        </is>
      </c>
      <c r="F3191" t="n">
        <v>0</v>
      </c>
    </row>
    <row r="3192">
      <c r="A3192" t="inlineStr">
        <is>
          <t>Milho</t>
        </is>
      </c>
      <c r="B3192" t="inlineStr">
        <is>
          <t>Sousa - PB</t>
        </is>
      </c>
      <c r="C3192" t="n">
        <v>-6.75148</v>
      </c>
      <c r="D3192" t="n">
        <v>-38.2311</v>
      </c>
      <c r="E3192" t="inlineStr">
        <is>
          <t>2024-05</t>
        </is>
      </c>
      <c r="F3192" t="n">
        <v>0</v>
      </c>
    </row>
    <row r="3193">
      <c r="A3193" t="inlineStr">
        <is>
          <t>Milho</t>
        </is>
      </c>
      <c r="B3193" t="inlineStr">
        <is>
          <t>Sousa - PB</t>
        </is>
      </c>
      <c r="C3193" t="n">
        <v>-6.75148</v>
      </c>
      <c r="D3193" t="n">
        <v>-38.2311</v>
      </c>
      <c r="E3193" t="inlineStr">
        <is>
          <t>2024-06</t>
        </is>
      </c>
      <c r="F3193" t="n">
        <v>0</v>
      </c>
    </row>
    <row r="3194">
      <c r="A3194" t="inlineStr">
        <is>
          <t>Milho</t>
        </is>
      </c>
      <c r="B3194" t="inlineStr">
        <is>
          <t>Sousa - PB</t>
        </is>
      </c>
      <c r="C3194" t="n">
        <v>-6.75148</v>
      </c>
      <c r="D3194" t="n">
        <v>-38.2311</v>
      </c>
      <c r="E3194" t="inlineStr">
        <is>
          <t>2023-07</t>
        </is>
      </c>
      <c r="F3194" t="n">
        <v>0</v>
      </c>
    </row>
    <row r="3195">
      <c r="A3195" t="inlineStr">
        <is>
          <t>Milho</t>
        </is>
      </c>
      <c r="B3195" t="inlineStr">
        <is>
          <t>Sousa - PB</t>
        </is>
      </c>
      <c r="C3195" t="n">
        <v>-6.75148</v>
      </c>
      <c r="D3195" t="n">
        <v>-38.2311</v>
      </c>
      <c r="E3195" t="inlineStr">
        <is>
          <t>2023-08</t>
        </is>
      </c>
      <c r="F3195" t="n">
        <v>0</v>
      </c>
    </row>
    <row r="3196">
      <c r="A3196" t="inlineStr">
        <is>
          <t>Milho</t>
        </is>
      </c>
      <c r="B3196" t="inlineStr">
        <is>
          <t>Sousa - PB</t>
        </is>
      </c>
      <c r="C3196" t="n">
        <v>-6.75148</v>
      </c>
      <c r="D3196" t="n">
        <v>-38.2311</v>
      </c>
      <c r="E3196" t="inlineStr">
        <is>
          <t>2023-09</t>
        </is>
      </c>
      <c r="F3196" t="n">
        <v>0</v>
      </c>
    </row>
    <row r="3197">
      <c r="A3197" t="inlineStr">
        <is>
          <t>Milho</t>
        </is>
      </c>
      <c r="B3197" t="inlineStr">
        <is>
          <t>Sousa - PB</t>
        </is>
      </c>
      <c r="C3197" t="n">
        <v>-6.75148</v>
      </c>
      <c r="D3197" t="n">
        <v>-38.2311</v>
      </c>
      <c r="E3197" t="inlineStr">
        <is>
          <t>2023-10</t>
        </is>
      </c>
      <c r="F3197" t="n">
        <v>0</v>
      </c>
    </row>
    <row r="3198">
      <c r="A3198" t="inlineStr">
        <is>
          <t>Milho</t>
        </is>
      </c>
      <c r="B3198" t="inlineStr">
        <is>
          <t>Sousa - PB</t>
        </is>
      </c>
      <c r="C3198" t="n">
        <v>-6.75148</v>
      </c>
      <c r="D3198" t="n">
        <v>-38.2311</v>
      </c>
      <c r="E3198" t="inlineStr">
        <is>
          <t>2023-11</t>
        </is>
      </c>
      <c r="F3198" t="n">
        <v>0</v>
      </c>
    </row>
    <row r="3199">
      <c r="A3199" t="inlineStr">
        <is>
          <t>Milho</t>
        </is>
      </c>
      <c r="B3199" t="inlineStr">
        <is>
          <t>Sousa - PB</t>
        </is>
      </c>
      <c r="C3199" t="n">
        <v>-6.75148</v>
      </c>
      <c r="D3199" t="n">
        <v>-38.2311</v>
      </c>
      <c r="E3199" t="inlineStr">
        <is>
          <t>2023-12</t>
        </is>
      </c>
      <c r="F3199" t="n">
        <v>0</v>
      </c>
    </row>
    <row r="3200">
      <c r="A3200" t="inlineStr">
        <is>
          <t>Milho</t>
        </is>
      </c>
      <c r="B3200" t="inlineStr">
        <is>
          <t>Apodi - RN</t>
        </is>
      </c>
      <c r="C3200" t="n">
        <v>-5.65349</v>
      </c>
      <c r="D3200" t="n">
        <v>-37.7946</v>
      </c>
      <c r="E3200" t="inlineStr">
        <is>
          <t>2024-01</t>
        </is>
      </c>
      <c r="F3200" t="n">
        <v>0</v>
      </c>
    </row>
    <row r="3201">
      <c r="A3201" t="inlineStr">
        <is>
          <t>Milho</t>
        </is>
      </c>
      <c r="B3201" t="inlineStr">
        <is>
          <t>Apodi - RN</t>
        </is>
      </c>
      <c r="C3201" t="n">
        <v>-5.65349</v>
      </c>
      <c r="D3201" t="n">
        <v>-37.7946</v>
      </c>
      <c r="E3201" t="inlineStr">
        <is>
          <t>2024-02</t>
        </is>
      </c>
      <c r="F3201" t="n">
        <v>0</v>
      </c>
    </row>
    <row r="3202">
      <c r="A3202" t="inlineStr">
        <is>
          <t>Milho</t>
        </is>
      </c>
      <c r="B3202" t="inlineStr">
        <is>
          <t>Apodi - RN</t>
        </is>
      </c>
      <c r="C3202" t="n">
        <v>-5.65349</v>
      </c>
      <c r="D3202" t="n">
        <v>-37.7946</v>
      </c>
      <c r="E3202" t="inlineStr">
        <is>
          <t>2024-03</t>
        </is>
      </c>
      <c r="F3202" t="n">
        <v>0</v>
      </c>
    </row>
    <row r="3203">
      <c r="A3203" t="inlineStr">
        <is>
          <t>Milho</t>
        </is>
      </c>
      <c r="B3203" t="inlineStr">
        <is>
          <t>Apodi - RN</t>
        </is>
      </c>
      <c r="C3203" t="n">
        <v>-5.65349</v>
      </c>
      <c r="D3203" t="n">
        <v>-37.7946</v>
      </c>
      <c r="E3203" t="inlineStr">
        <is>
          <t>2024-04</t>
        </is>
      </c>
      <c r="F3203" t="n">
        <v>0</v>
      </c>
    </row>
    <row r="3204">
      <c r="A3204" t="inlineStr">
        <is>
          <t>Milho</t>
        </is>
      </c>
      <c r="B3204" t="inlineStr">
        <is>
          <t>Apodi - RN</t>
        </is>
      </c>
      <c r="C3204" t="n">
        <v>-5.65349</v>
      </c>
      <c r="D3204" t="n">
        <v>-37.7946</v>
      </c>
      <c r="E3204" t="inlineStr">
        <is>
          <t>2024-05</t>
        </is>
      </c>
      <c r="F3204" t="n">
        <v>0</v>
      </c>
    </row>
    <row r="3205">
      <c r="A3205" t="inlineStr">
        <is>
          <t>Milho</t>
        </is>
      </c>
      <c r="B3205" t="inlineStr">
        <is>
          <t>Apodi - RN</t>
        </is>
      </c>
      <c r="C3205" t="n">
        <v>-5.65349</v>
      </c>
      <c r="D3205" t="n">
        <v>-37.7946</v>
      </c>
      <c r="E3205" t="inlineStr">
        <is>
          <t>2024-06</t>
        </is>
      </c>
      <c r="F3205" t="n">
        <v>0</v>
      </c>
    </row>
    <row r="3206">
      <c r="A3206" t="inlineStr">
        <is>
          <t>Milho</t>
        </is>
      </c>
      <c r="B3206" t="inlineStr">
        <is>
          <t>Apodi - RN</t>
        </is>
      </c>
      <c r="C3206" t="n">
        <v>-5.65349</v>
      </c>
      <c r="D3206" t="n">
        <v>-37.7946</v>
      </c>
      <c r="E3206" t="inlineStr">
        <is>
          <t>2023-07</t>
        </is>
      </c>
      <c r="F3206" t="n">
        <v>0</v>
      </c>
    </row>
    <row r="3207">
      <c r="A3207" t="inlineStr">
        <is>
          <t>Milho</t>
        </is>
      </c>
      <c r="B3207" t="inlineStr">
        <is>
          <t>Apodi - RN</t>
        </is>
      </c>
      <c r="C3207" t="n">
        <v>-5.65349</v>
      </c>
      <c r="D3207" t="n">
        <v>-37.7946</v>
      </c>
      <c r="E3207" t="inlineStr">
        <is>
          <t>2023-08</t>
        </is>
      </c>
      <c r="F3207" t="n">
        <v>0</v>
      </c>
    </row>
    <row r="3208">
      <c r="A3208" t="inlineStr">
        <is>
          <t>Milho</t>
        </is>
      </c>
      <c r="B3208" t="inlineStr">
        <is>
          <t>Apodi - RN</t>
        </is>
      </c>
      <c r="C3208" t="n">
        <v>-5.65349</v>
      </c>
      <c r="D3208" t="n">
        <v>-37.7946</v>
      </c>
      <c r="E3208" t="inlineStr">
        <is>
          <t>2023-09</t>
        </is>
      </c>
      <c r="F3208" t="n">
        <v>0</v>
      </c>
    </row>
    <row r="3209">
      <c r="A3209" t="inlineStr">
        <is>
          <t>Milho</t>
        </is>
      </c>
      <c r="B3209" t="inlineStr">
        <is>
          <t>Apodi - RN</t>
        </is>
      </c>
      <c r="C3209" t="n">
        <v>-5.65349</v>
      </c>
      <c r="D3209" t="n">
        <v>-37.7946</v>
      </c>
      <c r="E3209" t="inlineStr">
        <is>
          <t>2023-10</t>
        </is>
      </c>
      <c r="F3209" t="n">
        <v>0</v>
      </c>
    </row>
    <row r="3210">
      <c r="A3210" t="inlineStr">
        <is>
          <t>Milho</t>
        </is>
      </c>
      <c r="B3210" t="inlineStr">
        <is>
          <t>Apodi - RN</t>
        </is>
      </c>
      <c r="C3210" t="n">
        <v>-5.65349</v>
      </c>
      <c r="D3210" t="n">
        <v>-37.7946</v>
      </c>
      <c r="E3210" t="inlineStr">
        <is>
          <t>2023-11</t>
        </is>
      </c>
      <c r="F3210" t="n">
        <v>0</v>
      </c>
    </row>
    <row r="3211">
      <c r="A3211" t="inlineStr">
        <is>
          <t>Milho</t>
        </is>
      </c>
      <c r="B3211" t="inlineStr">
        <is>
          <t>Apodi - RN</t>
        </is>
      </c>
      <c r="C3211" t="n">
        <v>-5.65349</v>
      </c>
      <c r="D3211" t="n">
        <v>-37.7946</v>
      </c>
      <c r="E3211" t="inlineStr">
        <is>
          <t>2023-12</t>
        </is>
      </c>
      <c r="F3211" t="n">
        <v>0</v>
      </c>
    </row>
    <row r="3212">
      <c r="A3212" t="inlineStr">
        <is>
          <t>Milho</t>
        </is>
      </c>
      <c r="B3212" t="inlineStr">
        <is>
          <t>Bonfim - RR</t>
        </is>
      </c>
      <c r="C3212" t="n">
        <v>3.36161</v>
      </c>
      <c r="D3212" t="n">
        <v>-59.8333</v>
      </c>
      <c r="E3212" t="inlineStr">
        <is>
          <t>2024-01</t>
        </is>
      </c>
      <c r="F3212" t="n">
        <v>0</v>
      </c>
    </row>
    <row r="3213">
      <c r="A3213" t="inlineStr">
        <is>
          <t>Milho</t>
        </is>
      </c>
      <c r="B3213" t="inlineStr">
        <is>
          <t>Bonfim - RR</t>
        </is>
      </c>
      <c r="C3213" t="n">
        <v>3.36161</v>
      </c>
      <c r="D3213" t="n">
        <v>-59.8333</v>
      </c>
      <c r="E3213" t="inlineStr">
        <is>
          <t>2024-02</t>
        </is>
      </c>
      <c r="F3213" t="n">
        <v>0</v>
      </c>
    </row>
    <row r="3214">
      <c r="A3214" t="inlineStr">
        <is>
          <t>Milho</t>
        </is>
      </c>
      <c r="B3214" t="inlineStr">
        <is>
          <t>Bonfim - RR</t>
        </is>
      </c>
      <c r="C3214" t="n">
        <v>3.36161</v>
      </c>
      <c r="D3214" t="n">
        <v>-59.8333</v>
      </c>
      <c r="E3214" t="inlineStr">
        <is>
          <t>2024-03</t>
        </is>
      </c>
      <c r="F3214" t="n">
        <v>0</v>
      </c>
    </row>
    <row r="3215">
      <c r="A3215" t="inlineStr">
        <is>
          <t>Milho</t>
        </is>
      </c>
      <c r="B3215" t="inlineStr">
        <is>
          <t>Bonfim - RR</t>
        </is>
      </c>
      <c r="C3215" t="n">
        <v>3.36161</v>
      </c>
      <c r="D3215" t="n">
        <v>-59.8333</v>
      </c>
      <c r="E3215" t="inlineStr">
        <is>
          <t>2024-04</t>
        </is>
      </c>
      <c r="F3215" t="n">
        <v>0</v>
      </c>
    </row>
    <row r="3216">
      <c r="A3216" t="inlineStr">
        <is>
          <t>Milho</t>
        </is>
      </c>
      <c r="B3216" t="inlineStr">
        <is>
          <t>Bonfim - RR</t>
        </is>
      </c>
      <c r="C3216" t="n">
        <v>3.36161</v>
      </c>
      <c r="D3216" t="n">
        <v>-59.8333</v>
      </c>
      <c r="E3216" t="inlineStr">
        <is>
          <t>2024-05</t>
        </is>
      </c>
      <c r="F3216" t="n">
        <v>0</v>
      </c>
    </row>
    <row r="3217">
      <c r="A3217" t="inlineStr">
        <is>
          <t>Milho</t>
        </is>
      </c>
      <c r="B3217" t="inlineStr">
        <is>
          <t>Bonfim - RR</t>
        </is>
      </c>
      <c r="C3217" t="n">
        <v>3.36161</v>
      </c>
      <c r="D3217" t="n">
        <v>-59.8333</v>
      </c>
      <c r="E3217" t="inlineStr">
        <is>
          <t>2024-06</t>
        </is>
      </c>
      <c r="F3217" t="n">
        <v>0</v>
      </c>
    </row>
    <row r="3218">
      <c r="A3218" t="inlineStr">
        <is>
          <t>Milho</t>
        </is>
      </c>
      <c r="B3218" t="inlineStr">
        <is>
          <t>Bonfim - RR</t>
        </is>
      </c>
      <c r="C3218" t="n">
        <v>3.36161</v>
      </c>
      <c r="D3218" t="n">
        <v>-59.8333</v>
      </c>
      <c r="E3218" t="inlineStr">
        <is>
          <t>2023-07</t>
        </is>
      </c>
      <c r="F3218" t="n">
        <v>0</v>
      </c>
    </row>
    <row r="3219">
      <c r="A3219" t="inlineStr">
        <is>
          <t>Milho</t>
        </is>
      </c>
      <c r="B3219" t="inlineStr">
        <is>
          <t>Bonfim - RR</t>
        </is>
      </c>
      <c r="C3219" t="n">
        <v>3.36161</v>
      </c>
      <c r="D3219" t="n">
        <v>-59.8333</v>
      </c>
      <c r="E3219" t="inlineStr">
        <is>
          <t>2023-08</t>
        </is>
      </c>
      <c r="F3219" t="n">
        <v>0</v>
      </c>
    </row>
    <row r="3220">
      <c r="A3220" t="inlineStr">
        <is>
          <t>Milho</t>
        </is>
      </c>
      <c r="B3220" t="inlineStr">
        <is>
          <t>Bonfim - RR</t>
        </is>
      </c>
      <c r="C3220" t="n">
        <v>3.36161</v>
      </c>
      <c r="D3220" t="n">
        <v>-59.8333</v>
      </c>
      <c r="E3220" t="inlineStr">
        <is>
          <t>2023-09</t>
        </is>
      </c>
      <c r="F3220" t="n">
        <v>0</v>
      </c>
    </row>
    <row r="3221">
      <c r="A3221" t="inlineStr">
        <is>
          <t>Milho</t>
        </is>
      </c>
      <c r="B3221" t="inlineStr">
        <is>
          <t>Bonfim - RR</t>
        </is>
      </c>
      <c r="C3221" t="n">
        <v>3.36161</v>
      </c>
      <c r="D3221" t="n">
        <v>-59.8333</v>
      </c>
      <c r="E3221" t="inlineStr">
        <is>
          <t>2023-10</t>
        </is>
      </c>
      <c r="F3221" t="n">
        <v>0</v>
      </c>
    </row>
    <row r="3222">
      <c r="A3222" t="inlineStr">
        <is>
          <t>Milho</t>
        </is>
      </c>
      <c r="B3222" t="inlineStr">
        <is>
          <t>Bonfim - RR</t>
        </is>
      </c>
      <c r="C3222" t="n">
        <v>3.36161</v>
      </c>
      <c r="D3222" t="n">
        <v>-59.8333</v>
      </c>
      <c r="E3222" t="inlineStr">
        <is>
          <t>2023-11</t>
        </is>
      </c>
      <c r="F3222" t="n">
        <v>0</v>
      </c>
    </row>
    <row r="3223">
      <c r="A3223" t="inlineStr">
        <is>
          <t>Milho</t>
        </is>
      </c>
      <c r="B3223" t="inlineStr">
        <is>
          <t>Bonfim - RR</t>
        </is>
      </c>
      <c r="C3223" t="n">
        <v>3.36161</v>
      </c>
      <c r="D3223" t="n">
        <v>-59.8333</v>
      </c>
      <c r="E3223" t="inlineStr">
        <is>
          <t>2023-12</t>
        </is>
      </c>
      <c r="F3223" t="n">
        <v>0</v>
      </c>
    </row>
    <row r="3224">
      <c r="A3224" t="inlineStr">
        <is>
          <t>Milho</t>
        </is>
      </c>
      <c r="B3224" t="inlineStr">
        <is>
          <t>Carira - SE</t>
        </is>
      </c>
      <c r="C3224" t="n">
        <v>-10.3524</v>
      </c>
      <c r="D3224" t="n">
        <v>-37.7002</v>
      </c>
      <c r="E3224" t="inlineStr">
        <is>
          <t>2024-01</t>
        </is>
      </c>
      <c r="F3224" t="n">
        <v>0</v>
      </c>
    </row>
    <row r="3225">
      <c r="A3225" t="inlineStr">
        <is>
          <t>Milho</t>
        </is>
      </c>
      <c r="B3225" t="inlineStr">
        <is>
          <t>Carira - SE</t>
        </is>
      </c>
      <c r="C3225" t="n">
        <v>-10.3524</v>
      </c>
      <c r="D3225" t="n">
        <v>-37.7002</v>
      </c>
      <c r="E3225" t="inlineStr">
        <is>
          <t>2024-02</t>
        </is>
      </c>
      <c r="F3225" t="n">
        <v>0</v>
      </c>
    </row>
    <row r="3226">
      <c r="A3226" t="inlineStr">
        <is>
          <t>Milho</t>
        </is>
      </c>
      <c r="B3226" t="inlineStr">
        <is>
          <t>Carira - SE</t>
        </is>
      </c>
      <c r="C3226" t="n">
        <v>-10.3524</v>
      </c>
      <c r="D3226" t="n">
        <v>-37.7002</v>
      </c>
      <c r="E3226" t="inlineStr">
        <is>
          <t>2024-03</t>
        </is>
      </c>
      <c r="F3226" t="n">
        <v>0</v>
      </c>
    </row>
    <row r="3227">
      <c r="A3227" t="inlineStr">
        <is>
          <t>Milho</t>
        </is>
      </c>
      <c r="B3227" t="inlineStr">
        <is>
          <t>Carira - SE</t>
        </is>
      </c>
      <c r="C3227" t="n">
        <v>-10.3524</v>
      </c>
      <c r="D3227" t="n">
        <v>-37.7002</v>
      </c>
      <c r="E3227" t="inlineStr">
        <is>
          <t>2024-04</t>
        </is>
      </c>
      <c r="F3227" t="n">
        <v>0</v>
      </c>
    </row>
    <row r="3228">
      <c r="A3228" t="inlineStr">
        <is>
          <t>Milho</t>
        </is>
      </c>
      <c r="B3228" t="inlineStr">
        <is>
          <t>Carira - SE</t>
        </is>
      </c>
      <c r="C3228" t="n">
        <v>-10.3524</v>
      </c>
      <c r="D3228" t="n">
        <v>-37.7002</v>
      </c>
      <c r="E3228" t="inlineStr">
        <is>
          <t>2024-05</t>
        </is>
      </c>
      <c r="F3228" t="n">
        <v>0</v>
      </c>
    </row>
    <row r="3229">
      <c r="A3229" t="inlineStr">
        <is>
          <t>Milho</t>
        </is>
      </c>
      <c r="B3229" t="inlineStr">
        <is>
          <t>Carira - SE</t>
        </is>
      </c>
      <c r="C3229" t="n">
        <v>-10.3524</v>
      </c>
      <c r="D3229" t="n">
        <v>-37.7002</v>
      </c>
      <c r="E3229" t="inlineStr">
        <is>
          <t>2024-06</t>
        </is>
      </c>
      <c r="F3229" t="n">
        <v>0</v>
      </c>
    </row>
    <row r="3230">
      <c r="A3230" t="inlineStr">
        <is>
          <t>Milho</t>
        </is>
      </c>
      <c r="B3230" t="inlineStr">
        <is>
          <t>Carira - SE</t>
        </is>
      </c>
      <c r="C3230" t="n">
        <v>-10.3524</v>
      </c>
      <c r="D3230" t="n">
        <v>-37.7002</v>
      </c>
      <c r="E3230" t="inlineStr">
        <is>
          <t>2023-07</t>
        </is>
      </c>
      <c r="F3230" t="n">
        <v>0</v>
      </c>
    </row>
    <row r="3231">
      <c r="A3231" t="inlineStr">
        <is>
          <t>Milho</t>
        </is>
      </c>
      <c r="B3231" t="inlineStr">
        <is>
          <t>Carira - SE</t>
        </is>
      </c>
      <c r="C3231" t="n">
        <v>-10.3524</v>
      </c>
      <c r="D3231" t="n">
        <v>-37.7002</v>
      </c>
      <c r="E3231" t="inlineStr">
        <is>
          <t>2023-08</t>
        </is>
      </c>
      <c r="F3231" t="n">
        <v>0</v>
      </c>
    </row>
    <row r="3232">
      <c r="A3232" t="inlineStr">
        <is>
          <t>Milho</t>
        </is>
      </c>
      <c r="B3232" t="inlineStr">
        <is>
          <t>Carira - SE</t>
        </is>
      </c>
      <c r="C3232" t="n">
        <v>-10.3524</v>
      </c>
      <c r="D3232" t="n">
        <v>-37.7002</v>
      </c>
      <c r="E3232" t="inlineStr">
        <is>
          <t>2023-09</t>
        </is>
      </c>
      <c r="F3232" t="n">
        <v>0</v>
      </c>
    </row>
    <row r="3233">
      <c r="A3233" t="inlineStr">
        <is>
          <t>Milho</t>
        </is>
      </c>
      <c r="B3233" t="inlineStr">
        <is>
          <t>Carira - SE</t>
        </is>
      </c>
      <c r="C3233" t="n">
        <v>-10.3524</v>
      </c>
      <c r="D3233" t="n">
        <v>-37.7002</v>
      </c>
      <c r="E3233" t="inlineStr">
        <is>
          <t>2023-10</t>
        </is>
      </c>
      <c r="F3233" t="n">
        <v>0</v>
      </c>
    </row>
    <row r="3234">
      <c r="A3234" t="inlineStr">
        <is>
          <t>Milho</t>
        </is>
      </c>
      <c r="B3234" t="inlineStr">
        <is>
          <t>Carira - SE</t>
        </is>
      </c>
      <c r="C3234" t="n">
        <v>-10.3524</v>
      </c>
      <c r="D3234" t="n">
        <v>-37.7002</v>
      </c>
      <c r="E3234" t="inlineStr">
        <is>
          <t>2023-11</t>
        </is>
      </c>
      <c r="F3234" t="n">
        <v>0</v>
      </c>
    </row>
    <row r="3235">
      <c r="A3235" t="inlineStr">
        <is>
          <t>Milho</t>
        </is>
      </c>
      <c r="B3235" t="inlineStr">
        <is>
          <t>Carira - SE</t>
        </is>
      </c>
      <c r="C3235" t="n">
        <v>-10.3524</v>
      </c>
      <c r="D3235" t="n">
        <v>-37.7002</v>
      </c>
      <c r="E3235" t="inlineStr">
        <is>
          <t>2023-12</t>
        </is>
      </c>
      <c r="F3235" t="n">
        <v>0</v>
      </c>
    </row>
    <row r="3236">
      <c r="A3236" t="inlineStr">
        <is>
          <t>Milho</t>
        </is>
      </c>
      <c r="B3236" t="inlineStr">
        <is>
          <t>Senador Guiomard - AC</t>
        </is>
      </c>
      <c r="C3236" t="n">
        <v>-10.1497</v>
      </c>
      <c r="D3236" t="n">
        <v>-67.7362</v>
      </c>
      <c r="E3236" t="inlineStr">
        <is>
          <t>2024-01</t>
        </is>
      </c>
      <c r="F3236" t="n">
        <v>39882.72783200911</v>
      </c>
    </row>
    <row r="3237">
      <c r="A3237" t="inlineStr">
        <is>
          <t>Milho</t>
        </is>
      </c>
      <c r="B3237" t="inlineStr">
        <is>
          <t>Senador Guiomard - AC</t>
        </is>
      </c>
      <c r="C3237" t="n">
        <v>-10.1497</v>
      </c>
      <c r="D3237" t="n">
        <v>-67.7362</v>
      </c>
      <c r="E3237" t="inlineStr">
        <is>
          <t>2024-02</t>
        </is>
      </c>
      <c r="F3237" t="n">
        <v>47717.85210487203</v>
      </c>
    </row>
    <row r="3238">
      <c r="A3238" t="inlineStr">
        <is>
          <t>Milho</t>
        </is>
      </c>
      <c r="B3238" t="inlineStr">
        <is>
          <t>Senador Guiomard - AC</t>
        </is>
      </c>
      <c r="C3238" t="n">
        <v>-10.1497</v>
      </c>
      <c r="D3238" t="n">
        <v>-67.7362</v>
      </c>
      <c r="E3238" t="inlineStr">
        <is>
          <t>2024-03</t>
        </is>
      </c>
      <c r="F3238" t="n">
        <v>64694.10964959156</v>
      </c>
    </row>
    <row r="3239">
      <c r="A3239" t="inlineStr">
        <is>
          <t>Milho</t>
        </is>
      </c>
      <c r="B3239" t="inlineStr">
        <is>
          <t>Senador Guiomard - AC</t>
        </is>
      </c>
      <c r="C3239" t="n">
        <v>-10.1497</v>
      </c>
      <c r="D3239" t="n">
        <v>-67.7362</v>
      </c>
      <c r="E3239" t="inlineStr">
        <is>
          <t>2024-04</t>
        </is>
      </c>
      <c r="F3239" t="n">
        <v>22803.65877494908</v>
      </c>
    </row>
    <row r="3240">
      <c r="A3240" t="inlineStr">
        <is>
          <t>Milho</t>
        </is>
      </c>
      <c r="B3240" t="inlineStr">
        <is>
          <t>Senador Guiomard - AC</t>
        </is>
      </c>
      <c r="C3240" t="n">
        <v>-10.1497</v>
      </c>
      <c r="D3240" t="n">
        <v>-67.7362</v>
      </c>
      <c r="E3240" t="inlineStr">
        <is>
          <t>2024-05</t>
        </is>
      </c>
      <c r="F3240" t="n">
        <v>6424.183230904656</v>
      </c>
    </row>
    <row r="3241">
      <c r="A3241" t="inlineStr">
        <is>
          <t>Milho</t>
        </is>
      </c>
      <c r="B3241" t="inlineStr">
        <is>
          <t>Senador Guiomard - AC</t>
        </is>
      </c>
      <c r="C3241" t="n">
        <v>-10.1497</v>
      </c>
      <c r="D3241" t="n">
        <v>-67.7362</v>
      </c>
      <c r="E3241" t="inlineStr">
        <is>
          <t>2024-06</t>
        </is>
      </c>
      <c r="F3241" t="n">
        <v>0</v>
      </c>
    </row>
    <row r="3242">
      <c r="A3242" t="inlineStr">
        <is>
          <t>Milho</t>
        </is>
      </c>
      <c r="B3242" t="inlineStr">
        <is>
          <t>Senador Guiomard - AC</t>
        </is>
      </c>
      <c r="C3242" t="n">
        <v>-10.1497</v>
      </c>
      <c r="D3242" t="n">
        <v>-67.7362</v>
      </c>
      <c r="E3242" t="inlineStr">
        <is>
          <t>2023-07</t>
        </is>
      </c>
      <c r="F3242" t="n">
        <v>0</v>
      </c>
    </row>
    <row r="3243">
      <c r="A3243" t="inlineStr">
        <is>
          <t>Milho</t>
        </is>
      </c>
      <c r="B3243" t="inlineStr">
        <is>
          <t>Senador Guiomard - AC</t>
        </is>
      </c>
      <c r="C3243" t="n">
        <v>-10.1497</v>
      </c>
      <c r="D3243" t="n">
        <v>-67.7362</v>
      </c>
      <c r="E3243" t="inlineStr">
        <is>
          <t>2023-08</t>
        </is>
      </c>
      <c r="F3243" t="n">
        <v>0</v>
      </c>
    </row>
    <row r="3244">
      <c r="A3244" t="inlineStr">
        <is>
          <t>Milho</t>
        </is>
      </c>
      <c r="B3244" t="inlineStr">
        <is>
          <t>Senador Guiomard - AC</t>
        </is>
      </c>
      <c r="C3244" t="n">
        <v>-10.1497</v>
      </c>
      <c r="D3244" t="n">
        <v>-67.7362</v>
      </c>
      <c r="E3244" t="inlineStr">
        <is>
          <t>2023-09</t>
        </is>
      </c>
      <c r="F3244" t="n">
        <v>0</v>
      </c>
    </row>
    <row r="3245">
      <c r="A3245" t="inlineStr">
        <is>
          <t>Milho</t>
        </is>
      </c>
      <c r="B3245" t="inlineStr">
        <is>
          <t>Senador Guiomard - AC</t>
        </is>
      </c>
      <c r="C3245" t="n">
        <v>-10.1497</v>
      </c>
      <c r="D3245" t="n">
        <v>-67.7362</v>
      </c>
      <c r="E3245" t="inlineStr">
        <is>
          <t>2023-10</t>
        </is>
      </c>
      <c r="F3245" t="n">
        <v>0</v>
      </c>
    </row>
    <row r="3246">
      <c r="A3246" t="inlineStr">
        <is>
          <t>Milho</t>
        </is>
      </c>
      <c r="B3246" t="inlineStr">
        <is>
          <t>Senador Guiomard - AC</t>
        </is>
      </c>
      <c r="C3246" t="n">
        <v>-10.1497</v>
      </c>
      <c r="D3246" t="n">
        <v>-67.7362</v>
      </c>
      <c r="E3246" t="inlineStr">
        <is>
          <t>2023-11</t>
        </is>
      </c>
      <c r="F3246" t="n">
        <v>0</v>
      </c>
    </row>
    <row r="3247">
      <c r="A3247" t="inlineStr">
        <is>
          <t>Milho</t>
        </is>
      </c>
      <c r="B3247" t="inlineStr">
        <is>
          <t>Senador Guiomard - AC</t>
        </is>
      </c>
      <c r="C3247" t="n">
        <v>-10.1497</v>
      </c>
      <c r="D3247" t="n">
        <v>-67.7362</v>
      </c>
      <c r="E3247" t="inlineStr">
        <is>
          <t>2023-12</t>
        </is>
      </c>
      <c r="F3247" t="n">
        <v>0</v>
      </c>
    </row>
    <row r="3248">
      <c r="A3248" t="inlineStr">
        <is>
          <t>Milho</t>
        </is>
      </c>
      <c r="B3248" t="inlineStr">
        <is>
          <t>Humaitá - AM</t>
        </is>
      </c>
      <c r="C3248" t="n">
        <v>-7.51171</v>
      </c>
      <c r="D3248" t="n">
        <v>-63.0327</v>
      </c>
      <c r="E3248" t="inlineStr">
        <is>
          <t>2024-01</t>
        </is>
      </c>
      <c r="F3248" t="n">
        <v>0</v>
      </c>
    </row>
    <row r="3249">
      <c r="A3249" t="inlineStr">
        <is>
          <t>Milho</t>
        </is>
      </c>
      <c r="B3249" t="inlineStr">
        <is>
          <t>Humaitá - AM</t>
        </is>
      </c>
      <c r="C3249" t="n">
        <v>-7.51171</v>
      </c>
      <c r="D3249" t="n">
        <v>-63.0327</v>
      </c>
      <c r="E3249" t="inlineStr">
        <is>
          <t>2024-02</t>
        </is>
      </c>
      <c r="F3249" t="n">
        <v>12720.93356564163</v>
      </c>
    </row>
    <row r="3250">
      <c r="A3250" t="inlineStr">
        <is>
          <t>Milho</t>
        </is>
      </c>
      <c r="B3250" t="inlineStr">
        <is>
          <t>Humaitá - AM</t>
        </is>
      </c>
      <c r="C3250" t="n">
        <v>-7.51171</v>
      </c>
      <c r="D3250" t="n">
        <v>-63.0327</v>
      </c>
      <c r="E3250" t="inlineStr">
        <is>
          <t>2024-03</t>
        </is>
      </c>
      <c r="F3250" t="n">
        <v>7391.388888515285</v>
      </c>
    </row>
    <row r="3251">
      <c r="A3251" t="inlineStr">
        <is>
          <t>Milho</t>
        </is>
      </c>
      <c r="B3251" t="inlineStr">
        <is>
          <t>Humaitá - AM</t>
        </is>
      </c>
      <c r="C3251" t="n">
        <v>-7.51171</v>
      </c>
      <c r="D3251" t="n">
        <v>-63.0327</v>
      </c>
      <c r="E3251" t="inlineStr">
        <is>
          <t>2024-04</t>
        </is>
      </c>
      <c r="F3251" t="n">
        <v>14184.67588639635</v>
      </c>
    </row>
    <row r="3252">
      <c r="A3252" t="inlineStr">
        <is>
          <t>Milho</t>
        </is>
      </c>
      <c r="B3252" t="inlineStr">
        <is>
          <t>Humaitá - AM</t>
        </is>
      </c>
      <c r="C3252" t="n">
        <v>-7.51171</v>
      </c>
      <c r="D3252" t="n">
        <v>-63.0327</v>
      </c>
      <c r="E3252" t="inlineStr">
        <is>
          <t>2024-05</t>
        </is>
      </c>
      <c r="F3252" t="n">
        <v>3425.20061105195</v>
      </c>
    </row>
    <row r="3253">
      <c r="A3253" t="inlineStr">
        <is>
          <t>Milho</t>
        </is>
      </c>
      <c r="B3253" t="inlineStr">
        <is>
          <t>Humaitá - AM</t>
        </is>
      </c>
      <c r="C3253" t="n">
        <v>-7.51171</v>
      </c>
      <c r="D3253" t="n">
        <v>-63.0327</v>
      </c>
      <c r="E3253" t="inlineStr">
        <is>
          <t>2024-06</t>
        </is>
      </c>
      <c r="F3253" t="n">
        <v>2984.660625626313</v>
      </c>
    </row>
    <row r="3254">
      <c r="A3254" t="inlineStr">
        <is>
          <t>Milho</t>
        </is>
      </c>
      <c r="B3254" t="inlineStr">
        <is>
          <t>Humaitá - AM</t>
        </is>
      </c>
      <c r="C3254" t="n">
        <v>-7.51171</v>
      </c>
      <c r="D3254" t="n">
        <v>-63.0327</v>
      </c>
      <c r="E3254" t="inlineStr">
        <is>
          <t>2023-07</t>
        </is>
      </c>
      <c r="F3254" t="n">
        <v>0</v>
      </c>
    </row>
    <row r="3255">
      <c r="A3255" t="inlineStr">
        <is>
          <t>Milho</t>
        </is>
      </c>
      <c r="B3255" t="inlineStr">
        <is>
          <t>Humaitá - AM</t>
        </is>
      </c>
      <c r="C3255" t="n">
        <v>-7.51171</v>
      </c>
      <c r="D3255" t="n">
        <v>-63.0327</v>
      </c>
      <c r="E3255" t="inlineStr">
        <is>
          <t>2023-08</t>
        </is>
      </c>
      <c r="F3255" t="n">
        <v>0</v>
      </c>
    </row>
    <row r="3256">
      <c r="A3256" t="inlineStr">
        <is>
          <t>Milho</t>
        </is>
      </c>
      <c r="B3256" t="inlineStr">
        <is>
          <t>Humaitá - AM</t>
        </is>
      </c>
      <c r="C3256" t="n">
        <v>-7.51171</v>
      </c>
      <c r="D3256" t="n">
        <v>-63.0327</v>
      </c>
      <c r="E3256" t="inlineStr">
        <is>
          <t>2023-09</t>
        </is>
      </c>
      <c r="F3256" t="n">
        <v>0</v>
      </c>
    </row>
    <row r="3257">
      <c r="A3257" t="inlineStr">
        <is>
          <t>Milho</t>
        </is>
      </c>
      <c r="B3257" t="inlineStr">
        <is>
          <t>Humaitá - AM</t>
        </is>
      </c>
      <c r="C3257" t="n">
        <v>-7.51171</v>
      </c>
      <c r="D3257" t="n">
        <v>-63.0327</v>
      </c>
      <c r="E3257" t="inlineStr">
        <is>
          <t>2023-10</t>
        </is>
      </c>
      <c r="F3257" t="n">
        <v>0</v>
      </c>
    </row>
    <row r="3258">
      <c r="A3258" t="inlineStr">
        <is>
          <t>Milho</t>
        </is>
      </c>
      <c r="B3258" t="inlineStr">
        <is>
          <t>Humaitá - AM</t>
        </is>
      </c>
      <c r="C3258" t="n">
        <v>-7.51171</v>
      </c>
      <c r="D3258" t="n">
        <v>-63.0327</v>
      </c>
      <c r="E3258" t="inlineStr">
        <is>
          <t>2023-11</t>
        </is>
      </c>
      <c r="F3258" t="n">
        <v>0</v>
      </c>
    </row>
    <row r="3259">
      <c r="A3259" t="inlineStr">
        <is>
          <t>Milho</t>
        </is>
      </c>
      <c r="B3259" t="inlineStr">
        <is>
          <t>Humaitá - AM</t>
        </is>
      </c>
      <c r="C3259" t="n">
        <v>-7.51171</v>
      </c>
      <c r="D3259" t="n">
        <v>-63.0327</v>
      </c>
      <c r="E3259" t="inlineStr">
        <is>
          <t>2023-12</t>
        </is>
      </c>
      <c r="F3259" t="n">
        <v>0</v>
      </c>
    </row>
    <row r="3260">
      <c r="A3260" t="inlineStr">
        <is>
          <t>Milho</t>
        </is>
      </c>
      <c r="B3260" t="inlineStr">
        <is>
          <t>Correntina - BA</t>
        </is>
      </c>
      <c r="C3260" t="n">
        <v>-13.3477</v>
      </c>
      <c r="D3260" t="n">
        <v>-44.6333</v>
      </c>
      <c r="E3260" t="inlineStr">
        <is>
          <t>2024-01</t>
        </is>
      </c>
      <c r="F3260" t="n">
        <v>0</v>
      </c>
    </row>
    <row r="3261">
      <c r="A3261" t="inlineStr">
        <is>
          <t>Milho</t>
        </is>
      </c>
      <c r="B3261" t="inlineStr">
        <is>
          <t>Correntina - BA</t>
        </is>
      </c>
      <c r="C3261" t="n">
        <v>-13.3477</v>
      </c>
      <c r="D3261" t="n">
        <v>-44.6333</v>
      </c>
      <c r="E3261" t="inlineStr">
        <is>
          <t>2024-02</t>
        </is>
      </c>
      <c r="F3261" t="n">
        <v>358508.2430492459</v>
      </c>
    </row>
    <row r="3262">
      <c r="A3262" t="inlineStr">
        <is>
          <t>Milho</t>
        </is>
      </c>
      <c r="B3262" t="inlineStr">
        <is>
          <t>Correntina - BA</t>
        </is>
      </c>
      <c r="C3262" t="n">
        <v>-13.3477</v>
      </c>
      <c r="D3262" t="n">
        <v>-44.6333</v>
      </c>
      <c r="E3262" t="inlineStr">
        <is>
          <t>2024-03</t>
        </is>
      </c>
      <c r="F3262" t="n">
        <v>416616.2539001791</v>
      </c>
    </row>
    <row r="3263">
      <c r="A3263" t="inlineStr">
        <is>
          <t>Milho</t>
        </is>
      </c>
      <c r="B3263" t="inlineStr">
        <is>
          <t>Correntina - BA</t>
        </is>
      </c>
      <c r="C3263" t="n">
        <v>-13.3477</v>
      </c>
      <c r="D3263" t="n">
        <v>-44.6333</v>
      </c>
      <c r="E3263" t="inlineStr">
        <is>
          <t>2024-04</t>
        </is>
      </c>
      <c r="F3263" t="n">
        <v>571086.0318785392</v>
      </c>
    </row>
    <row r="3264">
      <c r="A3264" t="inlineStr">
        <is>
          <t>Milho</t>
        </is>
      </c>
      <c r="B3264" t="inlineStr">
        <is>
          <t>Correntina - BA</t>
        </is>
      </c>
      <c r="C3264" t="n">
        <v>-13.3477</v>
      </c>
      <c r="D3264" t="n">
        <v>-44.6333</v>
      </c>
      <c r="E3264" t="inlineStr">
        <is>
          <t>2024-05</t>
        </is>
      </c>
      <c r="F3264" t="n">
        <v>450477.3452231821</v>
      </c>
    </row>
    <row r="3265">
      <c r="A3265" t="inlineStr">
        <is>
          <t>Milho</t>
        </is>
      </c>
      <c r="B3265" t="inlineStr">
        <is>
          <t>Correntina - BA</t>
        </is>
      </c>
      <c r="C3265" t="n">
        <v>-13.3477</v>
      </c>
      <c r="D3265" t="n">
        <v>-44.6333</v>
      </c>
      <c r="E3265" t="inlineStr">
        <is>
          <t>2024-06</t>
        </is>
      </c>
      <c r="F3265" t="n">
        <v>168230.6461974799</v>
      </c>
    </row>
    <row r="3266">
      <c r="A3266" t="inlineStr">
        <is>
          <t>Milho</t>
        </is>
      </c>
      <c r="B3266" t="inlineStr">
        <is>
          <t>Correntina - BA</t>
        </is>
      </c>
      <c r="C3266" t="n">
        <v>-13.3477</v>
      </c>
      <c r="D3266" t="n">
        <v>-44.6333</v>
      </c>
      <c r="E3266" t="inlineStr">
        <is>
          <t>2023-07</t>
        </is>
      </c>
      <c r="F3266" t="n">
        <v>0</v>
      </c>
    </row>
    <row r="3267">
      <c r="A3267" t="inlineStr">
        <is>
          <t>Milho</t>
        </is>
      </c>
      <c r="B3267" t="inlineStr">
        <is>
          <t>Correntina - BA</t>
        </is>
      </c>
      <c r="C3267" t="n">
        <v>-13.3477</v>
      </c>
      <c r="D3267" t="n">
        <v>-44.6333</v>
      </c>
      <c r="E3267" t="inlineStr">
        <is>
          <t>2023-08</t>
        </is>
      </c>
      <c r="F3267" t="n">
        <v>0</v>
      </c>
    </row>
    <row r="3268">
      <c r="A3268" t="inlineStr">
        <is>
          <t>Milho</t>
        </is>
      </c>
      <c r="B3268" t="inlineStr">
        <is>
          <t>Correntina - BA</t>
        </is>
      </c>
      <c r="C3268" t="n">
        <v>-13.3477</v>
      </c>
      <c r="D3268" t="n">
        <v>-44.6333</v>
      </c>
      <c r="E3268" t="inlineStr">
        <is>
          <t>2023-09</t>
        </is>
      </c>
      <c r="F3268" t="n">
        <v>0</v>
      </c>
    </row>
    <row r="3269">
      <c r="A3269" t="inlineStr">
        <is>
          <t>Milho</t>
        </is>
      </c>
      <c r="B3269" t="inlineStr">
        <is>
          <t>Correntina - BA</t>
        </is>
      </c>
      <c r="C3269" t="n">
        <v>-13.3477</v>
      </c>
      <c r="D3269" t="n">
        <v>-44.6333</v>
      </c>
      <c r="E3269" t="inlineStr">
        <is>
          <t>2023-10</t>
        </is>
      </c>
      <c r="F3269" t="n">
        <v>0</v>
      </c>
    </row>
    <row r="3270">
      <c r="A3270" t="inlineStr">
        <is>
          <t>Milho</t>
        </is>
      </c>
      <c r="B3270" t="inlineStr">
        <is>
          <t>Correntina - BA</t>
        </is>
      </c>
      <c r="C3270" t="n">
        <v>-13.3477</v>
      </c>
      <c r="D3270" t="n">
        <v>-44.6333</v>
      </c>
      <c r="E3270" t="inlineStr">
        <is>
          <t>2023-11</t>
        </is>
      </c>
      <c r="F3270" t="n">
        <v>0</v>
      </c>
    </row>
    <row r="3271">
      <c r="A3271" t="inlineStr">
        <is>
          <t>Milho</t>
        </is>
      </c>
      <c r="B3271" t="inlineStr">
        <is>
          <t>Correntina - BA</t>
        </is>
      </c>
      <c r="C3271" t="n">
        <v>-13.3477</v>
      </c>
      <c r="D3271" t="n">
        <v>-44.6333</v>
      </c>
      <c r="E3271" t="inlineStr">
        <is>
          <t>2023-12</t>
        </is>
      </c>
      <c r="F3271" t="n">
        <v>0</v>
      </c>
    </row>
    <row r="3272">
      <c r="A3272" t="inlineStr">
        <is>
          <t>Milho</t>
        </is>
      </c>
      <c r="B3272" t="inlineStr">
        <is>
          <t>Brasília - DF</t>
        </is>
      </c>
      <c r="C3272" t="n">
        <v>-15.7795</v>
      </c>
      <c r="D3272" t="n">
        <v>-47.9297</v>
      </c>
      <c r="E3272" t="inlineStr">
        <is>
          <t>2024-01</t>
        </is>
      </c>
      <c r="F3272" t="n">
        <v>0</v>
      </c>
    </row>
    <row r="3273">
      <c r="A3273" t="inlineStr">
        <is>
          <t>Milho</t>
        </is>
      </c>
      <c r="B3273" t="inlineStr">
        <is>
          <t>Brasília - DF</t>
        </is>
      </c>
      <c r="C3273" t="n">
        <v>-15.7795</v>
      </c>
      <c r="D3273" t="n">
        <v>-47.9297</v>
      </c>
      <c r="E3273" t="inlineStr">
        <is>
          <t>2024-02</t>
        </is>
      </c>
      <c r="F3273" t="n">
        <v>37628.93480269908</v>
      </c>
    </row>
    <row r="3274">
      <c r="A3274" t="inlineStr">
        <is>
          <t>Milho</t>
        </is>
      </c>
      <c r="B3274" t="inlineStr">
        <is>
          <t>Brasília - DF</t>
        </is>
      </c>
      <c r="C3274" t="n">
        <v>-15.7795</v>
      </c>
      <c r="D3274" t="n">
        <v>-47.9297</v>
      </c>
      <c r="E3274" t="inlineStr">
        <is>
          <t>2024-03</t>
        </is>
      </c>
      <c r="F3274" t="n">
        <v>43727.93697131576</v>
      </c>
    </row>
    <row r="3275">
      <c r="A3275" t="inlineStr">
        <is>
          <t>Milho</t>
        </is>
      </c>
      <c r="B3275" t="inlineStr">
        <is>
          <t>Brasília - DF</t>
        </is>
      </c>
      <c r="C3275" t="n">
        <v>-15.7795</v>
      </c>
      <c r="D3275" t="n">
        <v>-47.9297</v>
      </c>
      <c r="E3275" t="inlineStr">
        <is>
          <t>2024-04</t>
        </is>
      </c>
      <c r="F3275" t="n">
        <v>83917.46429181262</v>
      </c>
    </row>
    <row r="3276">
      <c r="A3276" t="inlineStr">
        <is>
          <t>Milho</t>
        </is>
      </c>
      <c r="B3276" t="inlineStr">
        <is>
          <t>Brasília - DF</t>
        </is>
      </c>
      <c r="C3276" t="n">
        <v>-15.7795</v>
      </c>
      <c r="D3276" t="n">
        <v>-47.9297</v>
      </c>
      <c r="E3276" t="inlineStr">
        <is>
          <t>2024-05</t>
        </is>
      </c>
      <c r="F3276" t="n">
        <v>20263.7093911964</v>
      </c>
    </row>
    <row r="3277">
      <c r="A3277" t="inlineStr">
        <is>
          <t>Milho</t>
        </is>
      </c>
      <c r="B3277" t="inlineStr">
        <is>
          <t>Brasília - DF</t>
        </is>
      </c>
      <c r="C3277" t="n">
        <v>-15.7795</v>
      </c>
      <c r="D3277" t="n">
        <v>-47.9297</v>
      </c>
      <c r="E3277" t="inlineStr">
        <is>
          <t>2024-06</t>
        </is>
      </c>
      <c r="F3277" t="n">
        <v>8828.723105135627</v>
      </c>
    </row>
    <row r="3278">
      <c r="A3278" t="inlineStr">
        <is>
          <t>Milho</t>
        </is>
      </c>
      <c r="B3278" t="inlineStr">
        <is>
          <t>Brasília - DF</t>
        </is>
      </c>
      <c r="C3278" t="n">
        <v>-15.7795</v>
      </c>
      <c r="D3278" t="n">
        <v>-47.9297</v>
      </c>
      <c r="E3278" t="inlineStr">
        <is>
          <t>2023-07</t>
        </is>
      </c>
      <c r="F3278" t="n">
        <v>0</v>
      </c>
    </row>
    <row r="3279">
      <c r="A3279" t="inlineStr">
        <is>
          <t>Milho</t>
        </is>
      </c>
      <c r="B3279" t="inlineStr">
        <is>
          <t>Brasília - DF</t>
        </is>
      </c>
      <c r="C3279" t="n">
        <v>-15.7795</v>
      </c>
      <c r="D3279" t="n">
        <v>-47.9297</v>
      </c>
      <c r="E3279" t="inlineStr">
        <is>
          <t>2023-08</t>
        </is>
      </c>
      <c r="F3279" t="n">
        <v>0</v>
      </c>
    </row>
    <row r="3280">
      <c r="A3280" t="inlineStr">
        <is>
          <t>Milho</t>
        </is>
      </c>
      <c r="B3280" t="inlineStr">
        <is>
          <t>Brasília - DF</t>
        </is>
      </c>
      <c r="C3280" t="n">
        <v>-15.7795</v>
      </c>
      <c r="D3280" t="n">
        <v>-47.9297</v>
      </c>
      <c r="E3280" t="inlineStr">
        <is>
          <t>2023-09</t>
        </is>
      </c>
      <c r="F3280" t="n">
        <v>0</v>
      </c>
    </row>
    <row r="3281">
      <c r="A3281" t="inlineStr">
        <is>
          <t>Milho</t>
        </is>
      </c>
      <c r="B3281" t="inlineStr">
        <is>
          <t>Brasília - DF</t>
        </is>
      </c>
      <c r="C3281" t="n">
        <v>-15.7795</v>
      </c>
      <c r="D3281" t="n">
        <v>-47.9297</v>
      </c>
      <c r="E3281" t="inlineStr">
        <is>
          <t>2023-10</t>
        </is>
      </c>
      <c r="F3281" t="n">
        <v>0</v>
      </c>
    </row>
    <row r="3282">
      <c r="A3282" t="inlineStr">
        <is>
          <t>Milho</t>
        </is>
      </c>
      <c r="B3282" t="inlineStr">
        <is>
          <t>Brasília - DF</t>
        </is>
      </c>
      <c r="C3282" t="n">
        <v>-15.7795</v>
      </c>
      <c r="D3282" t="n">
        <v>-47.9297</v>
      </c>
      <c r="E3282" t="inlineStr">
        <is>
          <t>2023-11</t>
        </is>
      </c>
      <c r="F3282" t="n">
        <v>0</v>
      </c>
    </row>
    <row r="3283">
      <c r="A3283" t="inlineStr">
        <is>
          <t>Milho</t>
        </is>
      </c>
      <c r="B3283" t="inlineStr">
        <is>
          <t>Brasília - DF</t>
        </is>
      </c>
      <c r="C3283" t="n">
        <v>-15.7795</v>
      </c>
      <c r="D3283" t="n">
        <v>-47.9297</v>
      </c>
      <c r="E3283" t="inlineStr">
        <is>
          <t>2023-12</t>
        </is>
      </c>
      <c r="F3283" t="n">
        <v>0</v>
      </c>
    </row>
    <row r="3284">
      <c r="A3284" t="inlineStr">
        <is>
          <t>Milho</t>
        </is>
      </c>
      <c r="B3284" t="inlineStr">
        <is>
          <t>Pinheiros - ES</t>
        </is>
      </c>
      <c r="C3284" t="n">
        <v>-18.4141</v>
      </c>
      <c r="D3284" t="n">
        <v>-40.2171</v>
      </c>
      <c r="E3284" t="inlineStr">
        <is>
          <t>2024-01</t>
        </is>
      </c>
      <c r="F3284" t="n">
        <v>20693.4382122653</v>
      </c>
    </row>
    <row r="3285">
      <c r="A3285" t="inlineStr">
        <is>
          <t>Milho</t>
        </is>
      </c>
      <c r="B3285" t="inlineStr">
        <is>
          <t>Pinheiros - ES</t>
        </is>
      </c>
      <c r="C3285" t="n">
        <v>-18.4141</v>
      </c>
      <c r="D3285" t="n">
        <v>-40.2171</v>
      </c>
      <c r="E3285" t="inlineStr">
        <is>
          <t>2024-02</t>
        </is>
      </c>
      <c r="F3285" t="n">
        <v>24758.7484064136</v>
      </c>
    </row>
    <row r="3286">
      <c r="A3286" t="inlineStr">
        <is>
          <t>Milho</t>
        </is>
      </c>
      <c r="B3286" t="inlineStr">
        <is>
          <t>Pinheiros - ES</t>
        </is>
      </c>
      <c r="C3286" t="n">
        <v>-18.4141</v>
      </c>
      <c r="D3286" t="n">
        <v>-40.2171</v>
      </c>
      <c r="E3286" t="inlineStr">
        <is>
          <t>2024-03</t>
        </is>
      </c>
      <c r="F3286" t="n">
        <v>33567.00089247378</v>
      </c>
    </row>
    <row r="3287">
      <c r="A3287" t="inlineStr">
        <is>
          <t>Milho</t>
        </is>
      </c>
      <c r="B3287" t="inlineStr">
        <is>
          <t>Pinheiros - ES</t>
        </is>
      </c>
      <c r="C3287" t="n">
        <v>-18.4141</v>
      </c>
      <c r="D3287" t="n">
        <v>-40.2171</v>
      </c>
      <c r="E3287" t="inlineStr">
        <is>
          <t>2024-04</t>
        </is>
      </c>
      <c r="F3287" t="n">
        <v>11831.84123865929</v>
      </c>
    </row>
    <row r="3288">
      <c r="A3288" t="inlineStr">
        <is>
          <t>Milho</t>
        </is>
      </c>
      <c r="B3288" t="inlineStr">
        <is>
          <t>Pinheiros - ES</t>
        </is>
      </c>
      <c r="C3288" t="n">
        <v>-18.4141</v>
      </c>
      <c r="D3288" t="n">
        <v>-40.2171</v>
      </c>
      <c r="E3288" t="inlineStr">
        <is>
          <t>2024-05</t>
        </is>
      </c>
      <c r="F3288" t="n">
        <v>3333.233356377959</v>
      </c>
    </row>
    <row r="3289">
      <c r="A3289" t="inlineStr">
        <is>
          <t>Milho</t>
        </is>
      </c>
      <c r="B3289" t="inlineStr">
        <is>
          <t>Pinheiros - ES</t>
        </is>
      </c>
      <c r="C3289" t="n">
        <v>-18.4141</v>
      </c>
      <c r="D3289" t="n">
        <v>-40.2171</v>
      </c>
      <c r="E3289" t="inlineStr">
        <is>
          <t>2024-06</t>
        </is>
      </c>
      <c r="F3289" t="n">
        <v>0</v>
      </c>
    </row>
    <row r="3290">
      <c r="A3290" t="inlineStr">
        <is>
          <t>Milho</t>
        </is>
      </c>
      <c r="B3290" t="inlineStr">
        <is>
          <t>Pinheiros - ES</t>
        </is>
      </c>
      <c r="C3290" t="n">
        <v>-18.4141</v>
      </c>
      <c r="D3290" t="n">
        <v>-40.2171</v>
      </c>
      <c r="E3290" t="inlineStr">
        <is>
          <t>2023-07</t>
        </is>
      </c>
      <c r="F3290" t="n">
        <v>0</v>
      </c>
    </row>
    <row r="3291">
      <c r="A3291" t="inlineStr">
        <is>
          <t>Milho</t>
        </is>
      </c>
      <c r="B3291" t="inlineStr">
        <is>
          <t>Pinheiros - ES</t>
        </is>
      </c>
      <c r="C3291" t="n">
        <v>-18.4141</v>
      </c>
      <c r="D3291" t="n">
        <v>-40.2171</v>
      </c>
      <c r="E3291" t="inlineStr">
        <is>
          <t>2023-08</t>
        </is>
      </c>
      <c r="F3291" t="n">
        <v>0</v>
      </c>
    </row>
    <row r="3292">
      <c r="A3292" t="inlineStr">
        <is>
          <t>Milho</t>
        </is>
      </c>
      <c r="B3292" t="inlineStr">
        <is>
          <t>Pinheiros - ES</t>
        </is>
      </c>
      <c r="C3292" t="n">
        <v>-18.4141</v>
      </c>
      <c r="D3292" t="n">
        <v>-40.2171</v>
      </c>
      <c r="E3292" t="inlineStr">
        <is>
          <t>2023-09</t>
        </is>
      </c>
      <c r="F3292" t="n">
        <v>0</v>
      </c>
    </row>
    <row r="3293">
      <c r="A3293" t="inlineStr">
        <is>
          <t>Milho</t>
        </is>
      </c>
      <c r="B3293" t="inlineStr">
        <is>
          <t>Pinheiros - ES</t>
        </is>
      </c>
      <c r="C3293" t="n">
        <v>-18.4141</v>
      </c>
      <c r="D3293" t="n">
        <v>-40.2171</v>
      </c>
      <c r="E3293" t="inlineStr">
        <is>
          <t>2023-10</t>
        </is>
      </c>
      <c r="F3293" t="n">
        <v>0</v>
      </c>
    </row>
    <row r="3294">
      <c r="A3294" t="inlineStr">
        <is>
          <t>Milho</t>
        </is>
      </c>
      <c r="B3294" t="inlineStr">
        <is>
          <t>Pinheiros - ES</t>
        </is>
      </c>
      <c r="C3294" t="n">
        <v>-18.4141</v>
      </c>
      <c r="D3294" t="n">
        <v>-40.2171</v>
      </c>
      <c r="E3294" t="inlineStr">
        <is>
          <t>2023-11</t>
        </is>
      </c>
      <c r="F3294" t="n">
        <v>0</v>
      </c>
    </row>
    <row r="3295">
      <c r="A3295" t="inlineStr">
        <is>
          <t>Milho</t>
        </is>
      </c>
      <c r="B3295" t="inlineStr">
        <is>
          <t>Pinheiros - ES</t>
        </is>
      </c>
      <c r="C3295" t="n">
        <v>-18.4141</v>
      </c>
      <c r="D3295" t="n">
        <v>-40.2171</v>
      </c>
      <c r="E3295" t="inlineStr">
        <is>
          <t>2023-12</t>
        </is>
      </c>
      <c r="F3295" t="n">
        <v>0</v>
      </c>
    </row>
    <row r="3296">
      <c r="A3296" t="inlineStr">
        <is>
          <t>Milho</t>
        </is>
      </c>
      <c r="B3296" t="inlineStr">
        <is>
          <t>Rio Verde - GO</t>
        </is>
      </c>
      <c r="C3296" t="n">
        <v>-17.7923</v>
      </c>
      <c r="D3296" t="n">
        <v>-50.9192</v>
      </c>
      <c r="E3296" t="inlineStr">
        <is>
          <t>2024-01</t>
        </is>
      </c>
      <c r="F3296" t="n">
        <v>0</v>
      </c>
    </row>
    <row r="3297">
      <c r="A3297" t="inlineStr">
        <is>
          <t>Milho</t>
        </is>
      </c>
      <c r="B3297" t="inlineStr">
        <is>
          <t>Rio Verde - GO</t>
        </is>
      </c>
      <c r="C3297" t="n">
        <v>-17.7923</v>
      </c>
      <c r="D3297" t="n">
        <v>-50.9192</v>
      </c>
      <c r="E3297" t="inlineStr">
        <is>
          <t>2024-02</t>
        </is>
      </c>
      <c r="F3297" t="n">
        <v>386214.6612648043</v>
      </c>
    </row>
    <row r="3298">
      <c r="A3298" t="inlineStr">
        <is>
          <t>Milho</t>
        </is>
      </c>
      <c r="B3298" t="inlineStr">
        <is>
          <t>Rio Verde - GO</t>
        </is>
      </c>
      <c r="C3298" t="n">
        <v>-17.7923</v>
      </c>
      <c r="D3298" t="n">
        <v>-50.9192</v>
      </c>
      <c r="E3298" t="inlineStr">
        <is>
          <t>2024-03</t>
        </is>
      </c>
      <c r="F3298" t="n">
        <v>448813.4052621133</v>
      </c>
    </row>
    <row r="3299">
      <c r="A3299" t="inlineStr">
        <is>
          <t>Milho</t>
        </is>
      </c>
      <c r="B3299" t="inlineStr">
        <is>
          <t>Rio Verde - GO</t>
        </is>
      </c>
      <c r="C3299" t="n">
        <v>-17.7923</v>
      </c>
      <c r="D3299" t="n">
        <v>-50.9192</v>
      </c>
      <c r="E3299" t="inlineStr">
        <is>
          <t>2024-04</t>
        </is>
      </c>
      <c r="F3299" t="n">
        <v>861309.39436901</v>
      </c>
    </row>
    <row r="3300">
      <c r="A3300" t="inlineStr">
        <is>
          <t>Milho</t>
        </is>
      </c>
      <c r="B3300" t="inlineStr">
        <is>
          <t>Rio Verde - GO</t>
        </is>
      </c>
      <c r="C3300" t="n">
        <v>-17.7923</v>
      </c>
      <c r="D3300" t="n">
        <v>-50.9192</v>
      </c>
      <c r="E3300" t="inlineStr">
        <is>
          <t>2024-05</t>
        </is>
      </c>
      <c r="F3300" t="n">
        <v>207982.0143600767</v>
      </c>
    </row>
    <row r="3301">
      <c r="A3301" t="inlineStr">
        <is>
          <t>Milho</t>
        </is>
      </c>
      <c r="B3301" t="inlineStr">
        <is>
          <t>Rio Verde - GO</t>
        </is>
      </c>
      <c r="C3301" t="n">
        <v>-17.7923</v>
      </c>
      <c r="D3301" t="n">
        <v>-50.9192</v>
      </c>
      <c r="E3301" t="inlineStr">
        <is>
          <t>2024-06</t>
        </is>
      </c>
      <c r="F3301" t="n">
        <v>90615.96671097174</v>
      </c>
    </row>
    <row r="3302">
      <c r="A3302" t="inlineStr">
        <is>
          <t>Milho</t>
        </is>
      </c>
      <c r="B3302" t="inlineStr">
        <is>
          <t>Rio Verde - GO</t>
        </is>
      </c>
      <c r="C3302" t="n">
        <v>-17.7923</v>
      </c>
      <c r="D3302" t="n">
        <v>-50.9192</v>
      </c>
      <c r="E3302" t="inlineStr">
        <is>
          <t>2023-07</t>
        </is>
      </c>
      <c r="F3302" t="n">
        <v>0</v>
      </c>
    </row>
    <row r="3303">
      <c r="A3303" t="inlineStr">
        <is>
          <t>Milho</t>
        </is>
      </c>
      <c r="B3303" t="inlineStr">
        <is>
          <t>Rio Verde - GO</t>
        </is>
      </c>
      <c r="C3303" t="n">
        <v>-17.7923</v>
      </c>
      <c r="D3303" t="n">
        <v>-50.9192</v>
      </c>
      <c r="E3303" t="inlineStr">
        <is>
          <t>2023-08</t>
        </is>
      </c>
      <c r="F3303" t="n">
        <v>0</v>
      </c>
    </row>
    <row r="3304">
      <c r="A3304" t="inlineStr">
        <is>
          <t>Milho</t>
        </is>
      </c>
      <c r="B3304" t="inlineStr">
        <is>
          <t>Rio Verde - GO</t>
        </is>
      </c>
      <c r="C3304" t="n">
        <v>-17.7923</v>
      </c>
      <c r="D3304" t="n">
        <v>-50.9192</v>
      </c>
      <c r="E3304" t="inlineStr">
        <is>
          <t>2023-09</t>
        </is>
      </c>
      <c r="F3304" t="n">
        <v>0</v>
      </c>
    </row>
    <row r="3305">
      <c r="A3305" t="inlineStr">
        <is>
          <t>Milho</t>
        </is>
      </c>
      <c r="B3305" t="inlineStr">
        <is>
          <t>Rio Verde - GO</t>
        </is>
      </c>
      <c r="C3305" t="n">
        <v>-17.7923</v>
      </c>
      <c r="D3305" t="n">
        <v>-50.9192</v>
      </c>
      <c r="E3305" t="inlineStr">
        <is>
          <t>2023-10</t>
        </is>
      </c>
      <c r="F3305" t="n">
        <v>0</v>
      </c>
    </row>
    <row r="3306">
      <c r="A3306" t="inlineStr">
        <is>
          <t>Milho</t>
        </is>
      </c>
      <c r="B3306" t="inlineStr">
        <is>
          <t>Rio Verde - GO</t>
        </is>
      </c>
      <c r="C3306" t="n">
        <v>-17.7923</v>
      </c>
      <c r="D3306" t="n">
        <v>-50.9192</v>
      </c>
      <c r="E3306" t="inlineStr">
        <is>
          <t>2023-11</t>
        </is>
      </c>
      <c r="F3306" t="n">
        <v>0</v>
      </c>
    </row>
    <row r="3307">
      <c r="A3307" t="inlineStr">
        <is>
          <t>Milho</t>
        </is>
      </c>
      <c r="B3307" t="inlineStr">
        <is>
          <t>Rio Verde - GO</t>
        </is>
      </c>
      <c r="C3307" t="n">
        <v>-17.7923</v>
      </c>
      <c r="D3307" t="n">
        <v>-50.9192</v>
      </c>
      <c r="E3307" t="inlineStr">
        <is>
          <t>2023-12</t>
        </is>
      </c>
      <c r="F3307" t="n">
        <v>0</v>
      </c>
    </row>
    <row r="3308">
      <c r="A3308" t="inlineStr">
        <is>
          <t>Milho</t>
        </is>
      </c>
      <c r="B3308" t="inlineStr">
        <is>
          <t>Balsas - MA</t>
        </is>
      </c>
      <c r="C3308" t="n">
        <v>-7.53214</v>
      </c>
      <c r="D3308" t="n">
        <v>-46.0372</v>
      </c>
      <c r="E3308" t="inlineStr">
        <is>
          <t>2024-01</t>
        </is>
      </c>
      <c r="F3308" t="n">
        <v>0</v>
      </c>
    </row>
    <row r="3309">
      <c r="A3309" t="inlineStr">
        <is>
          <t>Milho</t>
        </is>
      </c>
      <c r="B3309" t="inlineStr">
        <is>
          <t>Balsas - MA</t>
        </is>
      </c>
      <c r="C3309" t="n">
        <v>-7.53214</v>
      </c>
      <c r="D3309" t="n">
        <v>-46.0372</v>
      </c>
      <c r="E3309" t="inlineStr">
        <is>
          <t>2024-02</t>
        </is>
      </c>
      <c r="F3309" t="n">
        <v>362160.18940211</v>
      </c>
    </row>
    <row r="3310">
      <c r="A3310" t="inlineStr">
        <is>
          <t>Milho</t>
        </is>
      </c>
      <c r="B3310" t="inlineStr">
        <is>
          <t>Balsas - MA</t>
        </is>
      </c>
      <c r="C3310" t="n">
        <v>-7.53214</v>
      </c>
      <c r="D3310" t="n">
        <v>-46.0372</v>
      </c>
      <c r="E3310" t="inlineStr">
        <is>
          <t>2024-03</t>
        </is>
      </c>
      <c r="F3310" t="n">
        <v>420860.11785163</v>
      </c>
    </row>
    <row r="3311">
      <c r="A3311" t="inlineStr">
        <is>
          <t>Milho</t>
        </is>
      </c>
      <c r="B3311" t="inlineStr">
        <is>
          <t>Balsas - MA</t>
        </is>
      </c>
      <c r="C3311" t="n">
        <v>-7.53214</v>
      </c>
      <c r="D3311" t="n">
        <v>-46.0372</v>
      </c>
      <c r="E3311" t="inlineStr">
        <is>
          <t>2024-04</t>
        </is>
      </c>
      <c r="F3311" t="n">
        <v>807664.7644006042</v>
      </c>
    </row>
    <row r="3312">
      <c r="A3312" t="inlineStr">
        <is>
          <t>Milho</t>
        </is>
      </c>
      <c r="B3312" t="inlineStr">
        <is>
          <t>Balsas - MA</t>
        </is>
      </c>
      <c r="C3312" t="n">
        <v>-7.53214</v>
      </c>
      <c r="D3312" t="n">
        <v>-46.0372</v>
      </c>
      <c r="E3312" t="inlineStr">
        <is>
          <t>2024-05</t>
        </is>
      </c>
      <c r="F3312" t="n">
        <v>195028.3437355926</v>
      </c>
    </row>
    <row r="3313">
      <c r="A3313" t="inlineStr">
        <is>
          <t>Milho</t>
        </is>
      </c>
      <c r="B3313" t="inlineStr">
        <is>
          <t>Balsas - MA</t>
        </is>
      </c>
      <c r="C3313" t="n">
        <v>-7.53214</v>
      </c>
      <c r="D3313" t="n">
        <v>-46.0372</v>
      </c>
      <c r="E3313" t="inlineStr">
        <is>
          <t>2024-06</t>
        </is>
      </c>
      <c r="F3313" t="n">
        <v>169944.3286768434</v>
      </c>
    </row>
    <row r="3314">
      <c r="A3314" t="inlineStr">
        <is>
          <t>Milho</t>
        </is>
      </c>
      <c r="B3314" t="inlineStr">
        <is>
          <t>Balsas - MA</t>
        </is>
      </c>
      <c r="C3314" t="n">
        <v>-7.53214</v>
      </c>
      <c r="D3314" t="n">
        <v>-46.0372</v>
      </c>
      <c r="E3314" t="inlineStr">
        <is>
          <t>2023-07</t>
        </is>
      </c>
      <c r="F3314" t="n">
        <v>0</v>
      </c>
    </row>
    <row r="3315">
      <c r="A3315" t="inlineStr">
        <is>
          <t>Milho</t>
        </is>
      </c>
      <c r="B3315" t="inlineStr">
        <is>
          <t>Balsas - MA</t>
        </is>
      </c>
      <c r="C3315" t="n">
        <v>-7.53214</v>
      </c>
      <c r="D3315" t="n">
        <v>-46.0372</v>
      </c>
      <c r="E3315" t="inlineStr">
        <is>
          <t>2023-08</t>
        </is>
      </c>
      <c r="F3315" t="n">
        <v>0</v>
      </c>
    </row>
    <row r="3316">
      <c r="A3316" t="inlineStr">
        <is>
          <t>Milho</t>
        </is>
      </c>
      <c r="B3316" t="inlineStr">
        <is>
          <t>Balsas - MA</t>
        </is>
      </c>
      <c r="C3316" t="n">
        <v>-7.53214</v>
      </c>
      <c r="D3316" t="n">
        <v>-46.0372</v>
      </c>
      <c r="E3316" t="inlineStr">
        <is>
          <t>2023-09</t>
        </is>
      </c>
      <c r="F3316" t="n">
        <v>0</v>
      </c>
    </row>
    <row r="3317">
      <c r="A3317" t="inlineStr">
        <is>
          <t>Milho</t>
        </is>
      </c>
      <c r="B3317" t="inlineStr">
        <is>
          <t>Balsas - MA</t>
        </is>
      </c>
      <c r="C3317" t="n">
        <v>-7.53214</v>
      </c>
      <c r="D3317" t="n">
        <v>-46.0372</v>
      </c>
      <c r="E3317" t="inlineStr">
        <is>
          <t>2023-10</t>
        </is>
      </c>
      <c r="F3317" t="n">
        <v>0</v>
      </c>
    </row>
    <row r="3318">
      <c r="A3318" t="inlineStr">
        <is>
          <t>Milho</t>
        </is>
      </c>
      <c r="B3318" t="inlineStr">
        <is>
          <t>Balsas - MA</t>
        </is>
      </c>
      <c r="C3318" t="n">
        <v>-7.53214</v>
      </c>
      <c r="D3318" t="n">
        <v>-46.0372</v>
      </c>
      <c r="E3318" t="inlineStr">
        <is>
          <t>2023-11</t>
        </is>
      </c>
      <c r="F3318" t="n">
        <v>0</v>
      </c>
    </row>
    <row r="3319">
      <c r="A3319" t="inlineStr">
        <is>
          <t>Milho</t>
        </is>
      </c>
      <c r="B3319" t="inlineStr">
        <is>
          <t>Balsas - MA</t>
        </is>
      </c>
      <c r="C3319" t="n">
        <v>-7.53214</v>
      </c>
      <c r="D3319" t="n">
        <v>-46.0372</v>
      </c>
      <c r="E3319" t="inlineStr">
        <is>
          <t>2023-12</t>
        </is>
      </c>
      <c r="F3319" t="n">
        <v>0</v>
      </c>
    </row>
    <row r="3320">
      <c r="A3320" t="inlineStr">
        <is>
          <t>Milho</t>
        </is>
      </c>
      <c r="B3320" t="inlineStr">
        <is>
          <t>Unaí - MG</t>
        </is>
      </c>
      <c r="C3320" t="n">
        <v>-16.3592</v>
      </c>
      <c r="D3320" t="n">
        <v>-46.9022</v>
      </c>
      <c r="E3320" t="inlineStr">
        <is>
          <t>2024-01</t>
        </is>
      </c>
      <c r="F3320" t="n">
        <v>0</v>
      </c>
    </row>
    <row r="3321">
      <c r="A3321" t="inlineStr">
        <is>
          <t>Milho</t>
        </is>
      </c>
      <c r="B3321" t="inlineStr">
        <is>
          <t>Unaí - MG</t>
        </is>
      </c>
      <c r="C3321" t="n">
        <v>-16.3592</v>
      </c>
      <c r="D3321" t="n">
        <v>-46.9022</v>
      </c>
      <c r="E3321" t="inlineStr">
        <is>
          <t>2024-02</t>
        </is>
      </c>
      <c r="F3321" t="n">
        <v>972325.4427659594</v>
      </c>
    </row>
    <row r="3322">
      <c r="A3322" t="inlineStr">
        <is>
          <t>Milho</t>
        </is>
      </c>
      <c r="B3322" t="inlineStr">
        <is>
          <t>Unaí - MG</t>
        </is>
      </c>
      <c r="C3322" t="n">
        <v>-16.3592</v>
      </c>
      <c r="D3322" t="n">
        <v>-46.9022</v>
      </c>
      <c r="E3322" t="inlineStr">
        <is>
          <t>2024-03</t>
        </is>
      </c>
      <c r="F3322" t="n">
        <v>1129922.64861632</v>
      </c>
    </row>
    <row r="3323">
      <c r="A3323" t="inlineStr">
        <is>
          <t>Milho</t>
        </is>
      </c>
      <c r="B3323" t="inlineStr">
        <is>
          <t>Unaí - MG</t>
        </is>
      </c>
      <c r="C3323" t="n">
        <v>-16.3592</v>
      </c>
      <c r="D3323" t="n">
        <v>-46.9022</v>
      </c>
      <c r="E3323" t="inlineStr">
        <is>
          <t>2024-04</t>
        </is>
      </c>
      <c r="F3323" t="n">
        <v>1548866.698519622</v>
      </c>
    </row>
    <row r="3324">
      <c r="A3324" t="inlineStr">
        <is>
          <t>Milho</t>
        </is>
      </c>
      <c r="B3324" t="inlineStr">
        <is>
          <t>Unaí - MG</t>
        </is>
      </c>
      <c r="C3324" t="n">
        <v>-16.3592</v>
      </c>
      <c r="D3324" t="n">
        <v>-46.9022</v>
      </c>
      <c r="E3324" t="inlineStr">
        <is>
          <t>2024-05</t>
        </is>
      </c>
      <c r="F3324" t="n">
        <v>872684.8239342355</v>
      </c>
    </row>
    <row r="3325">
      <c r="A3325" t="inlineStr">
        <is>
          <t>Milho</t>
        </is>
      </c>
      <c r="B3325" t="inlineStr">
        <is>
          <t>Unaí - MG</t>
        </is>
      </c>
      <c r="C3325" t="n">
        <v>-16.3592</v>
      </c>
      <c r="D3325" t="n">
        <v>-46.9022</v>
      </c>
      <c r="E3325" t="inlineStr">
        <is>
          <t>2024-06</t>
        </is>
      </c>
      <c r="F3325" t="n">
        <v>456265.4854446372</v>
      </c>
    </row>
    <row r="3326">
      <c r="A3326" t="inlineStr">
        <is>
          <t>Milho</t>
        </is>
      </c>
      <c r="B3326" t="inlineStr">
        <is>
          <t>Unaí - MG</t>
        </is>
      </c>
      <c r="C3326" t="n">
        <v>-16.3592</v>
      </c>
      <c r="D3326" t="n">
        <v>-46.9022</v>
      </c>
      <c r="E3326" t="inlineStr">
        <is>
          <t>2023-07</t>
        </is>
      </c>
      <c r="F3326" t="n">
        <v>0</v>
      </c>
    </row>
    <row r="3327">
      <c r="A3327" t="inlineStr">
        <is>
          <t>Milho</t>
        </is>
      </c>
      <c r="B3327" t="inlineStr">
        <is>
          <t>Unaí - MG</t>
        </is>
      </c>
      <c r="C3327" t="n">
        <v>-16.3592</v>
      </c>
      <c r="D3327" t="n">
        <v>-46.9022</v>
      </c>
      <c r="E3327" t="inlineStr">
        <is>
          <t>2023-08</t>
        </is>
      </c>
      <c r="F3327" t="n">
        <v>0</v>
      </c>
    </row>
    <row r="3328">
      <c r="A3328" t="inlineStr">
        <is>
          <t>Milho</t>
        </is>
      </c>
      <c r="B3328" t="inlineStr">
        <is>
          <t>Unaí - MG</t>
        </is>
      </c>
      <c r="C3328" t="n">
        <v>-16.3592</v>
      </c>
      <c r="D3328" t="n">
        <v>-46.9022</v>
      </c>
      <c r="E3328" t="inlineStr">
        <is>
          <t>2023-09</t>
        </is>
      </c>
      <c r="F3328" t="n">
        <v>0</v>
      </c>
    </row>
    <row r="3329">
      <c r="A3329" t="inlineStr">
        <is>
          <t>Milho</t>
        </is>
      </c>
      <c r="B3329" t="inlineStr">
        <is>
          <t>Unaí - MG</t>
        </is>
      </c>
      <c r="C3329" t="n">
        <v>-16.3592</v>
      </c>
      <c r="D3329" t="n">
        <v>-46.9022</v>
      </c>
      <c r="E3329" t="inlineStr">
        <is>
          <t>2023-10</t>
        </is>
      </c>
      <c r="F3329" t="n">
        <v>0</v>
      </c>
    </row>
    <row r="3330">
      <c r="A3330" t="inlineStr">
        <is>
          <t>Milho</t>
        </is>
      </c>
      <c r="B3330" t="inlineStr">
        <is>
          <t>Unaí - MG</t>
        </is>
      </c>
      <c r="C3330" t="n">
        <v>-16.3592</v>
      </c>
      <c r="D3330" t="n">
        <v>-46.9022</v>
      </c>
      <c r="E3330" t="inlineStr">
        <is>
          <t>2023-11</t>
        </is>
      </c>
      <c r="F3330" t="n">
        <v>0</v>
      </c>
    </row>
    <row r="3331">
      <c r="A3331" t="inlineStr">
        <is>
          <t>Milho</t>
        </is>
      </c>
      <c r="B3331" t="inlineStr">
        <is>
          <t>Unaí - MG</t>
        </is>
      </c>
      <c r="C3331" t="n">
        <v>-16.3592</v>
      </c>
      <c r="D3331" t="n">
        <v>-46.9022</v>
      </c>
      <c r="E3331" t="inlineStr">
        <is>
          <t>2023-12</t>
        </is>
      </c>
      <c r="F3331" t="n">
        <v>0</v>
      </c>
    </row>
    <row r="3332">
      <c r="A3332" t="inlineStr">
        <is>
          <t>Milho</t>
        </is>
      </c>
      <c r="B3332" t="inlineStr">
        <is>
          <t>Maracaju - MS</t>
        </is>
      </c>
      <c r="C3332" t="n">
        <v>-21.6105</v>
      </c>
      <c r="D3332" t="n">
        <v>-55.1678</v>
      </c>
      <c r="E3332" t="inlineStr">
        <is>
          <t>2024-01</t>
        </is>
      </c>
      <c r="F3332" t="n">
        <v>48768.54115674934</v>
      </c>
    </row>
    <row r="3333">
      <c r="A3333" t="inlineStr">
        <is>
          <t>Milho</t>
        </is>
      </c>
      <c r="B3333" t="inlineStr">
        <is>
          <t>Maracaju - MS</t>
        </is>
      </c>
      <c r="C3333" t="n">
        <v>-21.6105</v>
      </c>
      <c r="D3333" t="n">
        <v>-55.1678</v>
      </c>
      <c r="E3333" t="inlineStr">
        <is>
          <t>2024-02</t>
        </is>
      </c>
      <c r="F3333" t="n">
        <v>58349.31963757081</v>
      </c>
    </row>
    <row r="3334">
      <c r="A3334" t="inlineStr">
        <is>
          <t>Milho</t>
        </is>
      </c>
      <c r="B3334" t="inlineStr">
        <is>
          <t>Maracaju - MS</t>
        </is>
      </c>
      <c r="C3334" t="n">
        <v>-21.6105</v>
      </c>
      <c r="D3334" t="n">
        <v>-55.1678</v>
      </c>
      <c r="E3334" t="inlineStr">
        <is>
          <t>2024-03</t>
        </is>
      </c>
      <c r="F3334" t="n">
        <v>79107.86248961628</v>
      </c>
    </row>
    <row r="3335">
      <c r="A3335" t="inlineStr">
        <is>
          <t>Milho</t>
        </is>
      </c>
      <c r="B3335" t="inlineStr">
        <is>
          <t>Maracaju - MS</t>
        </is>
      </c>
      <c r="C3335" t="n">
        <v>-21.6105</v>
      </c>
      <c r="D3335" t="n">
        <v>-55.1678</v>
      </c>
      <c r="E3335" t="inlineStr">
        <is>
          <t>2024-04</t>
        </is>
      </c>
      <c r="F3335" t="n">
        <v>46473.80089675576</v>
      </c>
    </row>
    <row r="3336">
      <c r="A3336" t="inlineStr">
        <is>
          <t>Milho</t>
        </is>
      </c>
      <c r="B3336" t="inlineStr">
        <is>
          <t>Maracaju - MS</t>
        </is>
      </c>
      <c r="C3336" t="n">
        <v>-21.6105</v>
      </c>
      <c r="D3336" t="n">
        <v>-55.1678</v>
      </c>
      <c r="E3336" t="inlineStr">
        <is>
          <t>2024-05</t>
        </is>
      </c>
      <c r="F3336" t="n">
        <v>15710.96368405509</v>
      </c>
    </row>
    <row r="3337">
      <c r="A3337" t="inlineStr">
        <is>
          <t>Milho</t>
        </is>
      </c>
      <c r="B3337" t="inlineStr">
        <is>
          <t>Maracaju - MS</t>
        </is>
      </c>
      <c r="C3337" t="n">
        <v>-21.6105</v>
      </c>
      <c r="D3337" t="n">
        <v>-55.1678</v>
      </c>
      <c r="E3337" t="inlineStr">
        <is>
          <t>2024-06</t>
        </is>
      </c>
      <c r="F3337" t="n">
        <v>0</v>
      </c>
    </row>
    <row r="3338">
      <c r="A3338" t="inlineStr">
        <is>
          <t>Milho</t>
        </is>
      </c>
      <c r="B3338" t="inlineStr">
        <is>
          <t>Maracaju - MS</t>
        </is>
      </c>
      <c r="C3338" t="n">
        <v>-21.6105</v>
      </c>
      <c r="D3338" t="n">
        <v>-55.1678</v>
      </c>
      <c r="E3338" t="inlineStr">
        <is>
          <t>2023-07</t>
        </is>
      </c>
      <c r="F3338" t="n">
        <v>0</v>
      </c>
    </row>
    <row r="3339">
      <c r="A3339" t="inlineStr">
        <is>
          <t>Milho</t>
        </is>
      </c>
      <c r="B3339" t="inlineStr">
        <is>
          <t>Maracaju - MS</t>
        </is>
      </c>
      <c r="C3339" t="n">
        <v>-21.6105</v>
      </c>
      <c r="D3339" t="n">
        <v>-55.1678</v>
      </c>
      <c r="E3339" t="inlineStr">
        <is>
          <t>2023-08</t>
        </is>
      </c>
      <c r="F3339" t="n">
        <v>0</v>
      </c>
    </row>
    <row r="3340">
      <c r="A3340" t="inlineStr">
        <is>
          <t>Milho</t>
        </is>
      </c>
      <c r="B3340" t="inlineStr">
        <is>
          <t>Maracaju - MS</t>
        </is>
      </c>
      <c r="C3340" t="n">
        <v>-21.6105</v>
      </c>
      <c r="D3340" t="n">
        <v>-55.1678</v>
      </c>
      <c r="E3340" t="inlineStr">
        <is>
          <t>2023-09</t>
        </is>
      </c>
      <c r="F3340" t="n">
        <v>0</v>
      </c>
    </row>
    <row r="3341">
      <c r="A3341" t="inlineStr">
        <is>
          <t>Milho</t>
        </is>
      </c>
      <c r="B3341" t="inlineStr">
        <is>
          <t>Maracaju - MS</t>
        </is>
      </c>
      <c r="C3341" t="n">
        <v>-21.6105</v>
      </c>
      <c r="D3341" t="n">
        <v>-55.1678</v>
      </c>
      <c r="E3341" t="inlineStr">
        <is>
          <t>2023-10</t>
        </is>
      </c>
      <c r="F3341" t="n">
        <v>0</v>
      </c>
    </row>
    <row r="3342">
      <c r="A3342" t="inlineStr">
        <is>
          <t>Milho</t>
        </is>
      </c>
      <c r="B3342" t="inlineStr">
        <is>
          <t>Maracaju - MS</t>
        </is>
      </c>
      <c r="C3342" t="n">
        <v>-21.6105</v>
      </c>
      <c r="D3342" t="n">
        <v>-55.1678</v>
      </c>
      <c r="E3342" t="inlineStr">
        <is>
          <t>2023-11</t>
        </is>
      </c>
      <c r="F3342" t="n">
        <v>0</v>
      </c>
    </row>
    <row r="3343">
      <c r="A3343" t="inlineStr">
        <is>
          <t>Milho</t>
        </is>
      </c>
      <c r="B3343" t="inlineStr">
        <is>
          <t>Maracaju - MS</t>
        </is>
      </c>
      <c r="C3343" t="n">
        <v>-21.6105</v>
      </c>
      <c r="D3343" t="n">
        <v>-55.1678</v>
      </c>
      <c r="E3343" t="inlineStr">
        <is>
          <t>2023-12</t>
        </is>
      </c>
      <c r="F3343" t="n">
        <v>0</v>
      </c>
    </row>
    <row r="3344">
      <c r="A3344" t="inlineStr">
        <is>
          <t>Milho</t>
        </is>
      </c>
      <c r="B3344" t="inlineStr">
        <is>
          <t>Sorriso - MT</t>
        </is>
      </c>
      <c r="C3344" t="n">
        <v>-12.5425</v>
      </c>
      <c r="D3344" t="n">
        <v>-55.7211</v>
      </c>
      <c r="E3344" t="inlineStr">
        <is>
          <t>2024-01</t>
        </is>
      </c>
      <c r="F3344" t="n">
        <v>0</v>
      </c>
    </row>
    <row r="3345">
      <c r="A3345" t="inlineStr">
        <is>
          <t>Milho</t>
        </is>
      </c>
      <c r="B3345" t="inlineStr">
        <is>
          <t>Sorriso - MT</t>
        </is>
      </c>
      <c r="C3345" t="n">
        <v>-12.5425</v>
      </c>
      <c r="D3345" t="n">
        <v>-55.7211</v>
      </c>
      <c r="E3345" t="inlineStr">
        <is>
          <t>2024-02</t>
        </is>
      </c>
      <c r="F3345" t="n">
        <v>271089.0643970497</v>
      </c>
    </row>
    <row r="3346">
      <c r="A3346" t="inlineStr">
        <is>
          <t>Milho</t>
        </is>
      </c>
      <c r="B3346" t="inlineStr">
        <is>
          <t>Sorriso - MT</t>
        </is>
      </c>
      <c r="C3346" t="n">
        <v>-12.5425</v>
      </c>
      <c r="D3346" t="n">
        <v>-55.7211</v>
      </c>
      <c r="E3346" t="inlineStr">
        <is>
          <t>2024-03</t>
        </is>
      </c>
      <c r="F3346" t="n">
        <v>262523.2768285552</v>
      </c>
    </row>
    <row r="3347">
      <c r="A3347" t="inlineStr">
        <is>
          <t>Milho</t>
        </is>
      </c>
      <c r="B3347" t="inlineStr">
        <is>
          <t>Sorriso - MT</t>
        </is>
      </c>
      <c r="C3347" t="n">
        <v>-12.5425</v>
      </c>
      <c r="D3347" t="n">
        <v>-55.7211</v>
      </c>
      <c r="E3347" t="inlineStr">
        <is>
          <t>2024-04</t>
        </is>
      </c>
      <c r="F3347" t="n">
        <v>215915.7858622948</v>
      </c>
    </row>
    <row r="3348">
      <c r="A3348" t="inlineStr">
        <is>
          <t>Milho</t>
        </is>
      </c>
      <c r="B3348" t="inlineStr">
        <is>
          <t>Sorriso - MT</t>
        </is>
      </c>
      <c r="C3348" t="n">
        <v>-12.5425</v>
      </c>
      <c r="D3348" t="n">
        <v>-55.7211</v>
      </c>
      <c r="E3348" t="inlineStr">
        <is>
          <t>2024-05</t>
        </is>
      </c>
      <c r="F3348" t="n">
        <v>72992.6325163889</v>
      </c>
    </row>
    <row r="3349">
      <c r="A3349" t="inlineStr">
        <is>
          <t>Milho</t>
        </is>
      </c>
      <c r="B3349" t="inlineStr">
        <is>
          <t>Sorriso - MT</t>
        </is>
      </c>
      <c r="C3349" t="n">
        <v>-12.5425</v>
      </c>
      <c r="D3349" t="n">
        <v>-55.7211</v>
      </c>
      <c r="E3349" t="inlineStr">
        <is>
          <t>2024-06</t>
        </is>
      </c>
      <c r="F3349" t="n">
        <v>63604.51867535082</v>
      </c>
    </row>
    <row r="3350">
      <c r="A3350" t="inlineStr">
        <is>
          <t>Milho</t>
        </is>
      </c>
      <c r="B3350" t="inlineStr">
        <is>
          <t>Sorriso - MT</t>
        </is>
      </c>
      <c r="C3350" t="n">
        <v>-12.5425</v>
      </c>
      <c r="D3350" t="n">
        <v>-55.7211</v>
      </c>
      <c r="E3350" t="inlineStr">
        <is>
          <t>2023-07</t>
        </is>
      </c>
      <c r="F3350" t="n">
        <v>0</v>
      </c>
    </row>
    <row r="3351">
      <c r="A3351" t="inlineStr">
        <is>
          <t>Milho</t>
        </is>
      </c>
      <c r="B3351" t="inlineStr">
        <is>
          <t>Sorriso - MT</t>
        </is>
      </c>
      <c r="C3351" t="n">
        <v>-12.5425</v>
      </c>
      <c r="D3351" t="n">
        <v>-55.7211</v>
      </c>
      <c r="E3351" t="inlineStr">
        <is>
          <t>2023-08</t>
        </is>
      </c>
      <c r="F3351" t="n">
        <v>0</v>
      </c>
    </row>
    <row r="3352">
      <c r="A3352" t="inlineStr">
        <is>
          <t>Milho</t>
        </is>
      </c>
      <c r="B3352" t="inlineStr">
        <is>
          <t>Sorriso - MT</t>
        </is>
      </c>
      <c r="C3352" t="n">
        <v>-12.5425</v>
      </c>
      <c r="D3352" t="n">
        <v>-55.7211</v>
      </c>
      <c r="E3352" t="inlineStr">
        <is>
          <t>2023-09</t>
        </is>
      </c>
      <c r="F3352" t="n">
        <v>0</v>
      </c>
    </row>
    <row r="3353">
      <c r="A3353" t="inlineStr">
        <is>
          <t>Milho</t>
        </is>
      </c>
      <c r="B3353" t="inlineStr">
        <is>
          <t>Sorriso - MT</t>
        </is>
      </c>
      <c r="C3353" t="n">
        <v>-12.5425</v>
      </c>
      <c r="D3353" t="n">
        <v>-55.7211</v>
      </c>
      <c r="E3353" t="inlineStr">
        <is>
          <t>2023-10</t>
        </is>
      </c>
      <c r="F3353" t="n">
        <v>0</v>
      </c>
    </row>
    <row r="3354">
      <c r="A3354" t="inlineStr">
        <is>
          <t>Milho</t>
        </is>
      </c>
      <c r="B3354" t="inlineStr">
        <is>
          <t>Sorriso - MT</t>
        </is>
      </c>
      <c r="C3354" t="n">
        <v>-12.5425</v>
      </c>
      <c r="D3354" t="n">
        <v>-55.7211</v>
      </c>
      <c r="E3354" t="inlineStr">
        <is>
          <t>2023-11</t>
        </is>
      </c>
      <c r="F3354" t="n">
        <v>0</v>
      </c>
    </row>
    <row r="3355">
      <c r="A3355" t="inlineStr">
        <is>
          <t>Milho</t>
        </is>
      </c>
      <c r="B3355" t="inlineStr">
        <is>
          <t>Sorriso - MT</t>
        </is>
      </c>
      <c r="C3355" t="n">
        <v>-12.5425</v>
      </c>
      <c r="D3355" t="n">
        <v>-55.7211</v>
      </c>
      <c r="E3355" t="inlineStr">
        <is>
          <t>2023-12</t>
        </is>
      </c>
      <c r="F3355" t="n">
        <v>0</v>
      </c>
    </row>
    <row r="3356">
      <c r="A3356" t="inlineStr">
        <is>
          <t>Milho</t>
        </is>
      </c>
      <c r="B3356" t="inlineStr">
        <is>
          <t>Santana do Araguaia - PA</t>
        </is>
      </c>
      <c r="C3356" t="n">
        <v>-9.328099999999999</v>
      </c>
      <c r="D3356" t="n">
        <v>-50.35</v>
      </c>
      <c r="E3356" t="inlineStr">
        <is>
          <t>2024-01</t>
        </is>
      </c>
      <c r="F3356" t="n">
        <v>0</v>
      </c>
    </row>
    <row r="3357">
      <c r="A3357" t="inlineStr">
        <is>
          <t>Milho</t>
        </is>
      </c>
      <c r="B3357" t="inlineStr">
        <is>
          <t>Santana do Araguaia - PA</t>
        </is>
      </c>
      <c r="C3357" t="n">
        <v>-9.328099999999999</v>
      </c>
      <c r="D3357" t="n">
        <v>-50.35</v>
      </c>
      <c r="E3357" t="inlineStr">
        <is>
          <t>2024-02</t>
        </is>
      </c>
      <c r="F3357" t="n">
        <v>261399.1113921747</v>
      </c>
    </row>
    <row r="3358">
      <c r="A3358" t="inlineStr">
        <is>
          <t>Milho</t>
        </is>
      </c>
      <c r="B3358" t="inlineStr">
        <is>
          <t>Santana do Araguaia - PA</t>
        </is>
      </c>
      <c r="C3358" t="n">
        <v>-9.328099999999999</v>
      </c>
      <c r="D3358" t="n">
        <v>-50.35</v>
      </c>
      <c r="E3358" t="inlineStr">
        <is>
          <t>2024-03</t>
        </is>
      </c>
      <c r="F3358" t="n">
        <v>151883.70235895</v>
      </c>
    </row>
    <row r="3359">
      <c r="A3359" t="inlineStr">
        <is>
          <t>Milho</t>
        </is>
      </c>
      <c r="B3359" t="inlineStr">
        <is>
          <t>Santana do Araguaia - PA</t>
        </is>
      </c>
      <c r="C3359" t="n">
        <v>-9.328099999999999</v>
      </c>
      <c r="D3359" t="n">
        <v>-50.35</v>
      </c>
      <c r="E3359" t="inlineStr">
        <is>
          <t>2024-04</t>
        </is>
      </c>
      <c r="F3359" t="n">
        <v>208197.9761355551</v>
      </c>
    </row>
    <row r="3360">
      <c r="A3360" t="inlineStr">
        <is>
          <t>Milho</t>
        </is>
      </c>
      <c r="B3360" t="inlineStr">
        <is>
          <t>Santana do Araguaia - PA</t>
        </is>
      </c>
      <c r="C3360" t="n">
        <v>-9.328099999999999</v>
      </c>
      <c r="D3360" t="n">
        <v>-50.35</v>
      </c>
      <c r="E3360" t="inlineStr">
        <is>
          <t>2024-05</t>
        </is>
      </c>
      <c r="F3360" t="n">
        <v>117305.907810516</v>
      </c>
    </row>
    <row r="3361">
      <c r="A3361" t="inlineStr">
        <is>
          <t>Milho</t>
        </is>
      </c>
      <c r="B3361" t="inlineStr">
        <is>
          <t>Santana do Araguaia - PA</t>
        </is>
      </c>
      <c r="C3361" t="n">
        <v>-9.328099999999999</v>
      </c>
      <c r="D3361" t="n">
        <v>-50.35</v>
      </c>
      <c r="E3361" t="inlineStr">
        <is>
          <t>2024-06</t>
        </is>
      </c>
      <c r="F3361" t="n">
        <v>61331.0046247835</v>
      </c>
    </row>
    <row r="3362">
      <c r="A3362" t="inlineStr">
        <is>
          <t>Milho</t>
        </is>
      </c>
      <c r="B3362" t="inlineStr">
        <is>
          <t>Santana do Araguaia - PA</t>
        </is>
      </c>
      <c r="C3362" t="n">
        <v>-9.328099999999999</v>
      </c>
      <c r="D3362" t="n">
        <v>-50.35</v>
      </c>
      <c r="E3362" t="inlineStr">
        <is>
          <t>2023-07</t>
        </is>
      </c>
      <c r="F3362" t="n">
        <v>0</v>
      </c>
    </row>
    <row r="3363">
      <c r="A3363" t="inlineStr">
        <is>
          <t>Milho</t>
        </is>
      </c>
      <c r="B3363" t="inlineStr">
        <is>
          <t>Santana do Araguaia - PA</t>
        </is>
      </c>
      <c r="C3363" t="n">
        <v>-9.328099999999999</v>
      </c>
      <c r="D3363" t="n">
        <v>-50.35</v>
      </c>
      <c r="E3363" t="inlineStr">
        <is>
          <t>2023-08</t>
        </is>
      </c>
      <c r="F3363" t="n">
        <v>0</v>
      </c>
    </row>
    <row r="3364">
      <c r="A3364" t="inlineStr">
        <is>
          <t>Milho</t>
        </is>
      </c>
      <c r="B3364" t="inlineStr">
        <is>
          <t>Santana do Araguaia - PA</t>
        </is>
      </c>
      <c r="C3364" t="n">
        <v>-9.328099999999999</v>
      </c>
      <c r="D3364" t="n">
        <v>-50.35</v>
      </c>
      <c r="E3364" t="inlineStr">
        <is>
          <t>2023-09</t>
        </is>
      </c>
      <c r="F3364" t="n">
        <v>0</v>
      </c>
    </row>
    <row r="3365">
      <c r="A3365" t="inlineStr">
        <is>
          <t>Milho</t>
        </is>
      </c>
      <c r="B3365" t="inlineStr">
        <is>
          <t>Santana do Araguaia - PA</t>
        </is>
      </c>
      <c r="C3365" t="n">
        <v>-9.328099999999999</v>
      </c>
      <c r="D3365" t="n">
        <v>-50.35</v>
      </c>
      <c r="E3365" t="inlineStr">
        <is>
          <t>2023-10</t>
        </is>
      </c>
      <c r="F3365" t="n">
        <v>0</v>
      </c>
    </row>
    <row r="3366">
      <c r="A3366" t="inlineStr">
        <is>
          <t>Milho</t>
        </is>
      </c>
      <c r="B3366" t="inlineStr">
        <is>
          <t>Santana do Araguaia - PA</t>
        </is>
      </c>
      <c r="C3366" t="n">
        <v>-9.328099999999999</v>
      </c>
      <c r="D3366" t="n">
        <v>-50.35</v>
      </c>
      <c r="E3366" t="inlineStr">
        <is>
          <t>2023-11</t>
        </is>
      </c>
      <c r="F3366" t="n">
        <v>0</v>
      </c>
    </row>
    <row r="3367">
      <c r="A3367" t="inlineStr">
        <is>
          <t>Milho</t>
        </is>
      </c>
      <c r="B3367" t="inlineStr">
        <is>
          <t>Santana do Araguaia - PA</t>
        </is>
      </c>
      <c r="C3367" t="n">
        <v>-9.328099999999999</v>
      </c>
      <c r="D3367" t="n">
        <v>-50.35</v>
      </c>
      <c r="E3367" t="inlineStr">
        <is>
          <t>2023-12</t>
        </is>
      </c>
      <c r="F3367" t="n">
        <v>0</v>
      </c>
    </row>
    <row r="3368">
      <c r="A3368" t="inlineStr">
        <is>
          <t>Milho</t>
        </is>
      </c>
      <c r="B3368" t="inlineStr">
        <is>
          <t>Exu - PE</t>
        </is>
      </c>
      <c r="C3368" t="n">
        <v>-7.50364</v>
      </c>
      <c r="D3368" t="n">
        <v>-39.7238</v>
      </c>
      <c r="E3368" t="inlineStr">
        <is>
          <t>2024-01</t>
        </is>
      </c>
      <c r="F3368" t="n">
        <v>0</v>
      </c>
    </row>
    <row r="3369">
      <c r="A3369" t="inlineStr">
        <is>
          <t>Milho</t>
        </is>
      </c>
      <c r="B3369" t="inlineStr">
        <is>
          <t>Exu - PE</t>
        </is>
      </c>
      <c r="C3369" t="n">
        <v>-7.50364</v>
      </c>
      <c r="D3369" t="n">
        <v>-39.7238</v>
      </c>
      <c r="E3369" t="inlineStr">
        <is>
          <t>2024-02</t>
        </is>
      </c>
      <c r="F3369" t="n">
        <v>0</v>
      </c>
    </row>
    <row r="3370">
      <c r="A3370" t="inlineStr">
        <is>
          <t>Milho</t>
        </is>
      </c>
      <c r="B3370" t="inlineStr">
        <is>
          <t>Exu - PE</t>
        </is>
      </c>
      <c r="C3370" t="n">
        <v>-7.50364</v>
      </c>
      <c r="D3370" t="n">
        <v>-39.7238</v>
      </c>
      <c r="E3370" t="inlineStr">
        <is>
          <t>2024-03</t>
        </is>
      </c>
      <c r="F3370" t="n">
        <v>0</v>
      </c>
    </row>
    <row r="3371">
      <c r="A3371" t="inlineStr">
        <is>
          <t>Milho</t>
        </is>
      </c>
      <c r="B3371" t="inlineStr">
        <is>
          <t>Exu - PE</t>
        </is>
      </c>
      <c r="C3371" t="n">
        <v>-7.50364</v>
      </c>
      <c r="D3371" t="n">
        <v>-39.7238</v>
      </c>
      <c r="E3371" t="inlineStr">
        <is>
          <t>2024-04</t>
        </is>
      </c>
      <c r="F3371" t="n">
        <v>0</v>
      </c>
    </row>
    <row r="3372">
      <c r="A3372" t="inlineStr">
        <is>
          <t>Milho</t>
        </is>
      </c>
      <c r="B3372" t="inlineStr">
        <is>
          <t>Exu - PE</t>
        </is>
      </c>
      <c r="C3372" t="n">
        <v>-7.50364</v>
      </c>
      <c r="D3372" t="n">
        <v>-39.7238</v>
      </c>
      <c r="E3372" t="inlineStr">
        <is>
          <t>2024-05</t>
        </is>
      </c>
      <c r="F3372" t="n">
        <v>0</v>
      </c>
    </row>
    <row r="3373">
      <c r="A3373" t="inlineStr">
        <is>
          <t>Milho</t>
        </is>
      </c>
      <c r="B3373" t="inlineStr">
        <is>
          <t>Exu - PE</t>
        </is>
      </c>
      <c r="C3373" t="n">
        <v>-7.50364</v>
      </c>
      <c r="D3373" t="n">
        <v>-39.7238</v>
      </c>
      <c r="E3373" t="inlineStr">
        <is>
          <t>2024-06</t>
        </is>
      </c>
      <c r="F3373" t="n">
        <v>0</v>
      </c>
    </row>
    <row r="3374">
      <c r="A3374" t="inlineStr">
        <is>
          <t>Milho</t>
        </is>
      </c>
      <c r="B3374" t="inlineStr">
        <is>
          <t>Exu - PE</t>
        </is>
      </c>
      <c r="C3374" t="n">
        <v>-7.50364</v>
      </c>
      <c r="D3374" t="n">
        <v>-39.7238</v>
      </c>
      <c r="E3374" t="inlineStr">
        <is>
          <t>2023-07</t>
        </is>
      </c>
      <c r="F3374" t="n">
        <v>0</v>
      </c>
    </row>
    <row r="3375">
      <c r="A3375" t="inlineStr">
        <is>
          <t>Milho</t>
        </is>
      </c>
      <c r="B3375" t="inlineStr">
        <is>
          <t>Exu - PE</t>
        </is>
      </c>
      <c r="C3375" t="n">
        <v>-7.50364</v>
      </c>
      <c r="D3375" t="n">
        <v>-39.7238</v>
      </c>
      <c r="E3375" t="inlineStr">
        <is>
          <t>2023-08</t>
        </is>
      </c>
      <c r="F3375" t="n">
        <v>0</v>
      </c>
    </row>
    <row r="3376">
      <c r="A3376" t="inlineStr">
        <is>
          <t>Milho</t>
        </is>
      </c>
      <c r="B3376" t="inlineStr">
        <is>
          <t>Exu - PE</t>
        </is>
      </c>
      <c r="C3376" t="n">
        <v>-7.50364</v>
      </c>
      <c r="D3376" t="n">
        <v>-39.7238</v>
      </c>
      <c r="E3376" t="inlineStr">
        <is>
          <t>2023-09</t>
        </is>
      </c>
      <c r="F3376" t="n">
        <v>0</v>
      </c>
    </row>
    <row r="3377">
      <c r="A3377" t="inlineStr">
        <is>
          <t>Milho</t>
        </is>
      </c>
      <c r="B3377" t="inlineStr">
        <is>
          <t>Exu - PE</t>
        </is>
      </c>
      <c r="C3377" t="n">
        <v>-7.50364</v>
      </c>
      <c r="D3377" t="n">
        <v>-39.7238</v>
      </c>
      <c r="E3377" t="inlineStr">
        <is>
          <t>2023-10</t>
        </is>
      </c>
      <c r="F3377" t="n">
        <v>0</v>
      </c>
    </row>
    <row r="3378">
      <c r="A3378" t="inlineStr">
        <is>
          <t>Milho</t>
        </is>
      </c>
      <c r="B3378" t="inlineStr">
        <is>
          <t>Exu - PE</t>
        </is>
      </c>
      <c r="C3378" t="n">
        <v>-7.50364</v>
      </c>
      <c r="D3378" t="n">
        <v>-39.7238</v>
      </c>
      <c r="E3378" t="inlineStr">
        <is>
          <t>2023-11</t>
        </is>
      </c>
      <c r="F3378" t="n">
        <v>0</v>
      </c>
    </row>
    <row r="3379">
      <c r="A3379" t="inlineStr">
        <is>
          <t>Milho</t>
        </is>
      </c>
      <c r="B3379" t="inlineStr">
        <is>
          <t>Exu - PE</t>
        </is>
      </c>
      <c r="C3379" t="n">
        <v>-7.50364</v>
      </c>
      <c r="D3379" t="n">
        <v>-39.7238</v>
      </c>
      <c r="E3379" t="inlineStr">
        <is>
          <t>2023-12</t>
        </is>
      </c>
      <c r="F3379" t="n">
        <v>0</v>
      </c>
    </row>
    <row r="3380">
      <c r="A3380" t="inlineStr">
        <is>
          <t>Milho</t>
        </is>
      </c>
      <c r="B3380" t="inlineStr">
        <is>
          <t>Baixa Grande do Ribeiro - PI</t>
        </is>
      </c>
      <c r="C3380" t="n">
        <v>-7.84903</v>
      </c>
      <c r="D3380" t="n">
        <v>-45.219</v>
      </c>
      <c r="E3380" t="inlineStr">
        <is>
          <t>2024-01</t>
        </is>
      </c>
      <c r="F3380" t="n">
        <v>0</v>
      </c>
    </row>
    <row r="3381">
      <c r="A3381" t="inlineStr">
        <is>
          <t>Milho</t>
        </is>
      </c>
      <c r="B3381" t="inlineStr">
        <is>
          <t>Baixa Grande do Ribeiro - PI</t>
        </is>
      </c>
      <c r="C3381" t="n">
        <v>-7.84903</v>
      </c>
      <c r="D3381" t="n">
        <v>-45.219</v>
      </c>
      <c r="E3381" t="inlineStr">
        <is>
          <t>2024-02</t>
        </is>
      </c>
      <c r="F3381" t="n">
        <v>307887.2677852316</v>
      </c>
    </row>
    <row r="3382">
      <c r="A3382" t="inlineStr">
        <is>
          <t>Milho</t>
        </is>
      </c>
      <c r="B3382" t="inlineStr">
        <is>
          <t>Baixa Grande do Ribeiro - PI</t>
        </is>
      </c>
      <c r="C3382" t="n">
        <v>-7.84903</v>
      </c>
      <c r="D3382" t="n">
        <v>-45.219</v>
      </c>
      <c r="E3382" t="inlineStr">
        <is>
          <t>2024-03</t>
        </is>
      </c>
      <c r="F3382" t="n">
        <v>357790.4904982192</v>
      </c>
    </row>
    <row r="3383">
      <c r="A3383" t="inlineStr">
        <is>
          <t>Milho</t>
        </is>
      </c>
      <c r="B3383" t="inlineStr">
        <is>
          <t>Baixa Grande do Ribeiro - PI</t>
        </is>
      </c>
      <c r="C3383" t="n">
        <v>-7.84903</v>
      </c>
      <c r="D3383" t="n">
        <v>-45.219</v>
      </c>
      <c r="E3383" t="inlineStr">
        <is>
          <t>2024-04</t>
        </is>
      </c>
      <c r="F3383" t="n">
        <v>490449.3032848911</v>
      </c>
    </row>
    <row r="3384">
      <c r="A3384" t="inlineStr">
        <is>
          <t>Milho</t>
        </is>
      </c>
      <c r="B3384" t="inlineStr">
        <is>
          <t>Baixa Grande do Ribeiro - PI</t>
        </is>
      </c>
      <c r="C3384" t="n">
        <v>-7.84903</v>
      </c>
      <c r="D3384" t="n">
        <v>-45.219</v>
      </c>
      <c r="E3384" t="inlineStr">
        <is>
          <t>2024-05</t>
        </is>
      </c>
      <c r="F3384" t="n">
        <v>276336.02316773</v>
      </c>
    </row>
    <row r="3385">
      <c r="A3385" t="inlineStr">
        <is>
          <t>Milho</t>
        </is>
      </c>
      <c r="B3385" t="inlineStr">
        <is>
          <t>Baixa Grande do Ribeiro - PI</t>
        </is>
      </c>
      <c r="C3385" t="n">
        <v>-7.84903</v>
      </c>
      <c r="D3385" t="n">
        <v>-45.219</v>
      </c>
      <c r="E3385" t="inlineStr">
        <is>
          <t>2024-06</t>
        </is>
      </c>
      <c r="F3385" t="n">
        <v>144476.6613312463</v>
      </c>
    </row>
    <row r="3386">
      <c r="A3386" t="inlineStr">
        <is>
          <t>Milho</t>
        </is>
      </c>
      <c r="B3386" t="inlineStr">
        <is>
          <t>Baixa Grande do Ribeiro - PI</t>
        </is>
      </c>
      <c r="C3386" t="n">
        <v>-7.84903</v>
      </c>
      <c r="D3386" t="n">
        <v>-45.219</v>
      </c>
      <c r="E3386" t="inlineStr">
        <is>
          <t>2023-07</t>
        </is>
      </c>
      <c r="F3386" t="n">
        <v>0</v>
      </c>
    </row>
    <row r="3387">
      <c r="A3387" t="inlineStr">
        <is>
          <t>Milho</t>
        </is>
      </c>
      <c r="B3387" t="inlineStr">
        <is>
          <t>Baixa Grande do Ribeiro - PI</t>
        </is>
      </c>
      <c r="C3387" t="n">
        <v>-7.84903</v>
      </c>
      <c r="D3387" t="n">
        <v>-45.219</v>
      </c>
      <c r="E3387" t="inlineStr">
        <is>
          <t>2023-08</t>
        </is>
      </c>
      <c r="F3387" t="n">
        <v>0</v>
      </c>
    </row>
    <row r="3388">
      <c r="A3388" t="inlineStr">
        <is>
          <t>Milho</t>
        </is>
      </c>
      <c r="B3388" t="inlineStr">
        <is>
          <t>Baixa Grande do Ribeiro - PI</t>
        </is>
      </c>
      <c r="C3388" t="n">
        <v>-7.84903</v>
      </c>
      <c r="D3388" t="n">
        <v>-45.219</v>
      </c>
      <c r="E3388" t="inlineStr">
        <is>
          <t>2023-09</t>
        </is>
      </c>
      <c r="F3388" t="n">
        <v>0</v>
      </c>
    </row>
    <row r="3389">
      <c r="A3389" t="inlineStr">
        <is>
          <t>Milho</t>
        </is>
      </c>
      <c r="B3389" t="inlineStr">
        <is>
          <t>Baixa Grande do Ribeiro - PI</t>
        </is>
      </c>
      <c r="C3389" t="n">
        <v>-7.84903</v>
      </c>
      <c r="D3389" t="n">
        <v>-45.219</v>
      </c>
      <c r="E3389" t="inlineStr">
        <is>
          <t>2023-10</t>
        </is>
      </c>
      <c r="F3389" t="n">
        <v>0</v>
      </c>
    </row>
    <row r="3390">
      <c r="A3390" t="inlineStr">
        <is>
          <t>Milho</t>
        </is>
      </c>
      <c r="B3390" t="inlineStr">
        <is>
          <t>Baixa Grande do Ribeiro - PI</t>
        </is>
      </c>
      <c r="C3390" t="n">
        <v>-7.84903</v>
      </c>
      <c r="D3390" t="n">
        <v>-45.219</v>
      </c>
      <c r="E3390" t="inlineStr">
        <is>
          <t>2023-11</t>
        </is>
      </c>
      <c r="F3390" t="n">
        <v>0</v>
      </c>
    </row>
    <row r="3391">
      <c r="A3391" t="inlineStr">
        <is>
          <t>Milho</t>
        </is>
      </c>
      <c r="B3391" t="inlineStr">
        <is>
          <t>Baixa Grande do Ribeiro - PI</t>
        </is>
      </c>
      <c r="C3391" t="n">
        <v>-7.84903</v>
      </c>
      <c r="D3391" t="n">
        <v>-45.219</v>
      </c>
      <c r="E3391" t="inlineStr">
        <is>
          <t>2023-12</t>
        </is>
      </c>
      <c r="F3391" t="n">
        <v>0</v>
      </c>
    </row>
    <row r="3392">
      <c r="A3392" t="inlineStr">
        <is>
          <t>Milho</t>
        </is>
      </c>
      <c r="B3392" t="inlineStr">
        <is>
          <t>Toledo - PR</t>
        </is>
      </c>
      <c r="C3392" t="n">
        <v>-24.7246</v>
      </c>
      <c r="D3392" t="n">
        <v>-53.7412</v>
      </c>
      <c r="E3392" t="inlineStr">
        <is>
          <t>2024-01</t>
        </is>
      </c>
      <c r="F3392" t="n">
        <v>1673309.369769688</v>
      </c>
    </row>
    <row r="3393">
      <c r="A3393" t="inlineStr">
        <is>
          <t>Milho</t>
        </is>
      </c>
      <c r="B3393" t="inlineStr">
        <is>
          <t>Toledo - PR</t>
        </is>
      </c>
      <c r="C3393" t="n">
        <v>-24.7246</v>
      </c>
      <c r="D3393" t="n">
        <v>-53.7412</v>
      </c>
      <c r="E3393" t="inlineStr">
        <is>
          <t>2024-02</t>
        </is>
      </c>
      <c r="F3393" t="n">
        <v>1001018.904332355</v>
      </c>
    </row>
    <row r="3394">
      <c r="A3394" t="inlineStr">
        <is>
          <t>Milho</t>
        </is>
      </c>
      <c r="B3394" t="inlineStr">
        <is>
          <t>Toledo - PR</t>
        </is>
      </c>
      <c r="C3394" t="n">
        <v>-24.7246</v>
      </c>
      <c r="D3394" t="n">
        <v>-53.7412</v>
      </c>
      <c r="E3394" t="inlineStr">
        <is>
          <t>2024-03</t>
        </is>
      </c>
      <c r="F3394" t="n">
        <v>969389.0217119354</v>
      </c>
    </row>
    <row r="3395">
      <c r="A3395" t="inlineStr">
        <is>
          <t>Milho</t>
        </is>
      </c>
      <c r="B3395" t="inlineStr">
        <is>
          <t>Toledo - PR</t>
        </is>
      </c>
      <c r="C3395" t="n">
        <v>-24.7246</v>
      </c>
      <c r="D3395" t="n">
        <v>-53.7412</v>
      </c>
      <c r="E3395" t="inlineStr">
        <is>
          <t>2024-04</t>
        </is>
      </c>
      <c r="F3395" t="n">
        <v>797286.9871112587</v>
      </c>
    </row>
    <row r="3396">
      <c r="A3396" t="inlineStr">
        <is>
          <t>Milho</t>
        </is>
      </c>
      <c r="B3396" t="inlineStr">
        <is>
          <t>Toledo - PR</t>
        </is>
      </c>
      <c r="C3396" t="n">
        <v>-24.7246</v>
      </c>
      <c r="D3396" t="n">
        <v>-53.7412</v>
      </c>
      <c r="E3396" t="inlineStr">
        <is>
          <t>2024-05</t>
        </is>
      </c>
      <c r="F3396" t="n">
        <v>269531.3630168148</v>
      </c>
    </row>
    <row r="3397">
      <c r="A3397" t="inlineStr">
        <is>
          <t>Milho</t>
        </is>
      </c>
      <c r="B3397" t="inlineStr">
        <is>
          <t>Toledo - PR</t>
        </is>
      </c>
      <c r="C3397" t="n">
        <v>-24.7246</v>
      </c>
      <c r="D3397" t="n">
        <v>-53.7412</v>
      </c>
      <c r="E3397" t="inlineStr">
        <is>
          <t>2024-06</t>
        </is>
      </c>
      <c r="F3397" t="n">
        <v>117432.4861399305</v>
      </c>
    </row>
    <row r="3398">
      <c r="A3398" t="inlineStr">
        <is>
          <t>Milho</t>
        </is>
      </c>
      <c r="B3398" t="inlineStr">
        <is>
          <t>Toledo - PR</t>
        </is>
      </c>
      <c r="C3398" t="n">
        <v>-24.7246</v>
      </c>
      <c r="D3398" t="n">
        <v>-53.7412</v>
      </c>
      <c r="E3398" t="inlineStr">
        <is>
          <t>2023-07</t>
        </is>
      </c>
      <c r="F3398" t="n">
        <v>0</v>
      </c>
    </row>
    <row r="3399">
      <c r="A3399" t="inlineStr">
        <is>
          <t>Milho</t>
        </is>
      </c>
      <c r="B3399" t="inlineStr">
        <is>
          <t>Toledo - PR</t>
        </is>
      </c>
      <c r="C3399" t="n">
        <v>-24.7246</v>
      </c>
      <c r="D3399" t="n">
        <v>-53.7412</v>
      </c>
      <c r="E3399" t="inlineStr">
        <is>
          <t>2023-08</t>
        </is>
      </c>
      <c r="F3399" t="n">
        <v>0</v>
      </c>
    </row>
    <row r="3400">
      <c r="A3400" t="inlineStr">
        <is>
          <t>Milho</t>
        </is>
      </c>
      <c r="B3400" t="inlineStr">
        <is>
          <t>Toledo - PR</t>
        </is>
      </c>
      <c r="C3400" t="n">
        <v>-24.7246</v>
      </c>
      <c r="D3400" t="n">
        <v>-53.7412</v>
      </c>
      <c r="E3400" t="inlineStr">
        <is>
          <t>2023-09</t>
        </is>
      </c>
      <c r="F3400" t="n">
        <v>0</v>
      </c>
    </row>
    <row r="3401">
      <c r="A3401" t="inlineStr">
        <is>
          <t>Milho</t>
        </is>
      </c>
      <c r="B3401" t="inlineStr">
        <is>
          <t>Toledo - PR</t>
        </is>
      </c>
      <c r="C3401" t="n">
        <v>-24.7246</v>
      </c>
      <c r="D3401" t="n">
        <v>-53.7412</v>
      </c>
      <c r="E3401" t="inlineStr">
        <is>
          <t>2023-10</t>
        </is>
      </c>
      <c r="F3401" t="n">
        <v>0</v>
      </c>
    </row>
    <row r="3402">
      <c r="A3402" t="inlineStr">
        <is>
          <t>Milho</t>
        </is>
      </c>
      <c r="B3402" t="inlineStr">
        <is>
          <t>Toledo - PR</t>
        </is>
      </c>
      <c r="C3402" t="n">
        <v>-24.7246</v>
      </c>
      <c r="D3402" t="n">
        <v>-53.7412</v>
      </c>
      <c r="E3402" t="inlineStr">
        <is>
          <t>2023-11</t>
        </is>
      </c>
      <c r="F3402" t="n">
        <v>0</v>
      </c>
    </row>
    <row r="3403">
      <c r="A3403" t="inlineStr">
        <is>
          <t>Milho</t>
        </is>
      </c>
      <c r="B3403" t="inlineStr">
        <is>
          <t>Toledo - PR</t>
        </is>
      </c>
      <c r="C3403" t="n">
        <v>-24.7246</v>
      </c>
      <c r="D3403" t="n">
        <v>-53.7412</v>
      </c>
      <c r="E3403" t="inlineStr">
        <is>
          <t>2023-12</t>
        </is>
      </c>
      <c r="F3403" t="n">
        <v>1751870.502446354</v>
      </c>
    </row>
    <row r="3404">
      <c r="A3404" t="inlineStr">
        <is>
          <t>Milho</t>
        </is>
      </c>
      <c r="B3404" t="inlineStr">
        <is>
          <t>Macaé - RJ</t>
        </is>
      </c>
      <c r="C3404" t="n">
        <v>-22.3768</v>
      </c>
      <c r="D3404" t="n">
        <v>-41.7848</v>
      </c>
      <c r="E3404" t="inlineStr">
        <is>
          <t>2024-01</t>
        </is>
      </c>
      <c r="F3404" t="n">
        <v>0</v>
      </c>
    </row>
    <row r="3405">
      <c r="A3405" t="inlineStr">
        <is>
          <t>Milho</t>
        </is>
      </c>
      <c r="B3405" t="inlineStr">
        <is>
          <t>Macaé - RJ</t>
        </is>
      </c>
      <c r="C3405" t="n">
        <v>-22.3768</v>
      </c>
      <c r="D3405" t="n">
        <v>-41.7848</v>
      </c>
      <c r="E3405" t="inlineStr">
        <is>
          <t>2024-02</t>
        </is>
      </c>
      <c r="F3405" t="n">
        <v>3708.358792150055</v>
      </c>
    </row>
    <row r="3406">
      <c r="A3406" t="inlineStr">
        <is>
          <t>Milho</t>
        </is>
      </c>
      <c r="B3406" t="inlineStr">
        <is>
          <t>Macaé - RJ</t>
        </is>
      </c>
      <c r="C3406" t="n">
        <v>-22.3768</v>
      </c>
      <c r="D3406" t="n">
        <v>-41.7848</v>
      </c>
      <c r="E3406" t="inlineStr">
        <is>
          <t>2024-03</t>
        </is>
      </c>
      <c r="F3406" t="n">
        <v>3591.183229528348</v>
      </c>
    </row>
    <row r="3407">
      <c r="A3407" t="inlineStr">
        <is>
          <t>Milho</t>
        </is>
      </c>
      <c r="B3407" t="inlineStr">
        <is>
          <t>Macaé - RJ</t>
        </is>
      </c>
      <c r="C3407" t="n">
        <v>-22.3768</v>
      </c>
      <c r="D3407" t="n">
        <v>-41.7848</v>
      </c>
      <c r="E3407" t="inlineStr">
        <is>
          <t>2024-04</t>
        </is>
      </c>
      <c r="F3407" t="n">
        <v>2953.616755612452</v>
      </c>
    </row>
    <row r="3408">
      <c r="A3408" t="inlineStr">
        <is>
          <t>Milho</t>
        </is>
      </c>
      <c r="B3408" t="inlineStr">
        <is>
          <t>Macaé - RJ</t>
        </is>
      </c>
      <c r="C3408" t="n">
        <v>-22.3768</v>
      </c>
      <c r="D3408" t="n">
        <v>-41.7848</v>
      </c>
      <c r="E3408" t="inlineStr">
        <is>
          <t>2024-05</t>
        </is>
      </c>
      <c r="F3408" t="n">
        <v>998.5016221748951</v>
      </c>
    </row>
    <row r="3409">
      <c r="A3409" t="inlineStr">
        <is>
          <t>Milho</t>
        </is>
      </c>
      <c r="B3409" t="inlineStr">
        <is>
          <t>Macaé - RJ</t>
        </is>
      </c>
      <c r="C3409" t="n">
        <v>-22.3768</v>
      </c>
      <c r="D3409" t="n">
        <v>-41.7848</v>
      </c>
      <c r="E3409" t="inlineStr">
        <is>
          <t>2024-06</t>
        </is>
      </c>
      <c r="F3409" t="n">
        <v>0</v>
      </c>
    </row>
    <row r="3410">
      <c r="A3410" t="inlineStr">
        <is>
          <t>Milho</t>
        </is>
      </c>
      <c r="B3410" t="inlineStr">
        <is>
          <t>Macaé - RJ</t>
        </is>
      </c>
      <c r="C3410" t="n">
        <v>-22.3768</v>
      </c>
      <c r="D3410" t="n">
        <v>-41.7848</v>
      </c>
      <c r="E3410" t="inlineStr">
        <is>
          <t>2023-07</t>
        </is>
      </c>
      <c r="F3410" t="n">
        <v>0</v>
      </c>
    </row>
    <row r="3411">
      <c r="A3411" t="inlineStr">
        <is>
          <t>Milho</t>
        </is>
      </c>
      <c r="B3411" t="inlineStr">
        <is>
          <t>Macaé - RJ</t>
        </is>
      </c>
      <c r="C3411" t="n">
        <v>-22.3768</v>
      </c>
      <c r="D3411" t="n">
        <v>-41.7848</v>
      </c>
      <c r="E3411" t="inlineStr">
        <is>
          <t>2023-08</t>
        </is>
      </c>
      <c r="F3411" t="n">
        <v>0</v>
      </c>
    </row>
    <row r="3412">
      <c r="A3412" t="inlineStr">
        <is>
          <t>Milho</t>
        </is>
      </c>
      <c r="B3412" t="inlineStr">
        <is>
          <t>Macaé - RJ</t>
        </is>
      </c>
      <c r="C3412" t="n">
        <v>-22.3768</v>
      </c>
      <c r="D3412" t="n">
        <v>-41.7848</v>
      </c>
      <c r="E3412" t="inlineStr">
        <is>
          <t>2023-09</t>
        </is>
      </c>
      <c r="F3412" t="n">
        <v>0</v>
      </c>
    </row>
    <row r="3413">
      <c r="A3413" t="inlineStr">
        <is>
          <t>Milho</t>
        </is>
      </c>
      <c r="B3413" t="inlineStr">
        <is>
          <t>Macaé - RJ</t>
        </is>
      </c>
      <c r="C3413" t="n">
        <v>-22.3768</v>
      </c>
      <c r="D3413" t="n">
        <v>-41.7848</v>
      </c>
      <c r="E3413" t="inlineStr">
        <is>
          <t>2023-10</t>
        </is>
      </c>
      <c r="F3413" t="n">
        <v>0</v>
      </c>
    </row>
    <row r="3414">
      <c r="A3414" t="inlineStr">
        <is>
          <t>Milho</t>
        </is>
      </c>
      <c r="B3414" t="inlineStr">
        <is>
          <t>Macaé - RJ</t>
        </is>
      </c>
      <c r="C3414" t="n">
        <v>-22.3768</v>
      </c>
      <c r="D3414" t="n">
        <v>-41.7848</v>
      </c>
      <c r="E3414" t="inlineStr">
        <is>
          <t>2023-11</t>
        </is>
      </c>
      <c r="F3414" t="n">
        <v>0</v>
      </c>
    </row>
    <row r="3415">
      <c r="A3415" t="inlineStr">
        <is>
          <t>Milho</t>
        </is>
      </c>
      <c r="B3415" t="inlineStr">
        <is>
          <t>Macaé - RJ</t>
        </is>
      </c>
      <c r="C3415" t="n">
        <v>-22.3768</v>
      </c>
      <c r="D3415" t="n">
        <v>-41.7848</v>
      </c>
      <c r="E3415" t="inlineStr">
        <is>
          <t>2023-12</t>
        </is>
      </c>
      <c r="F3415" t="n">
        <v>0</v>
      </c>
    </row>
    <row r="3416">
      <c r="A3416" t="inlineStr">
        <is>
          <t>Milho</t>
        </is>
      </c>
      <c r="B3416" t="inlineStr">
        <is>
          <t>Pimenteiras do Oeste - RO</t>
        </is>
      </c>
      <c r="C3416" t="n">
        <v>-13.4823</v>
      </c>
      <c r="D3416" t="n">
        <v>-61.0471</v>
      </c>
      <c r="E3416" t="inlineStr">
        <is>
          <t>2024-01</t>
        </is>
      </c>
      <c r="F3416" t="n">
        <v>39304.57821351207</v>
      </c>
    </row>
    <row r="3417">
      <c r="A3417" t="inlineStr">
        <is>
          <t>Milho</t>
        </is>
      </c>
      <c r="B3417" t="inlineStr">
        <is>
          <t>Pimenteiras do Oeste - RO</t>
        </is>
      </c>
      <c r="C3417" t="n">
        <v>-13.4823</v>
      </c>
      <c r="D3417" t="n">
        <v>-61.0471</v>
      </c>
      <c r="E3417" t="inlineStr">
        <is>
          <t>2024-02</t>
        </is>
      </c>
      <c r="F3417" t="n">
        <v>54863.80974640152</v>
      </c>
    </row>
    <row r="3418">
      <c r="A3418" t="inlineStr">
        <is>
          <t>Milho</t>
        </is>
      </c>
      <c r="B3418" t="inlineStr">
        <is>
          <t>Pimenteiras do Oeste - RO</t>
        </is>
      </c>
      <c r="C3418" t="n">
        <v>-13.4823</v>
      </c>
      <c r="D3418" t="n">
        <v>-61.0471</v>
      </c>
      <c r="E3418" t="inlineStr">
        <is>
          <t>2024-03</t>
        </is>
      </c>
      <c r="F3418" t="n">
        <v>13662.0617722738</v>
      </c>
    </row>
    <row r="3419">
      <c r="A3419" t="inlineStr">
        <is>
          <t>Milho</t>
        </is>
      </c>
      <c r="B3419" t="inlineStr">
        <is>
          <t>Pimenteiras do Oeste - RO</t>
        </is>
      </c>
      <c r="C3419" t="n">
        <v>-13.4823</v>
      </c>
      <c r="D3419" t="n">
        <v>-61.0471</v>
      </c>
      <c r="E3419" t="inlineStr">
        <is>
          <t>2024-04</t>
        </is>
      </c>
      <c r="F3419" t="n">
        <v>11236.54572537643</v>
      </c>
    </row>
    <row r="3420">
      <c r="A3420" t="inlineStr">
        <is>
          <t>Milho</t>
        </is>
      </c>
      <c r="B3420" t="inlineStr">
        <is>
          <t>Pimenteiras do Oeste - RO</t>
        </is>
      </c>
      <c r="C3420" t="n">
        <v>-13.4823</v>
      </c>
      <c r="D3420" t="n">
        <v>-61.0471</v>
      </c>
      <c r="E3420" t="inlineStr">
        <is>
          <t>2024-05</t>
        </is>
      </c>
      <c r="F3420" t="n">
        <v>0</v>
      </c>
    </row>
    <row r="3421">
      <c r="A3421" t="inlineStr">
        <is>
          <t>Milho</t>
        </is>
      </c>
      <c r="B3421" t="inlineStr">
        <is>
          <t>Pimenteiras do Oeste - RO</t>
        </is>
      </c>
      <c r="C3421" t="n">
        <v>-13.4823</v>
      </c>
      <c r="D3421" t="n">
        <v>-61.0471</v>
      </c>
      <c r="E3421" t="inlineStr">
        <is>
          <t>2024-06</t>
        </is>
      </c>
      <c r="F3421" t="n">
        <v>0</v>
      </c>
    </row>
    <row r="3422">
      <c r="A3422" t="inlineStr">
        <is>
          <t>Milho</t>
        </is>
      </c>
      <c r="B3422" t="inlineStr">
        <is>
          <t>Pimenteiras do Oeste - RO</t>
        </is>
      </c>
      <c r="C3422" t="n">
        <v>-13.4823</v>
      </c>
      <c r="D3422" t="n">
        <v>-61.0471</v>
      </c>
      <c r="E3422" t="inlineStr">
        <is>
          <t>2023-07</t>
        </is>
      </c>
      <c r="F3422" t="n">
        <v>0</v>
      </c>
    </row>
    <row r="3423">
      <c r="A3423" t="inlineStr">
        <is>
          <t>Milho</t>
        </is>
      </c>
      <c r="B3423" t="inlineStr">
        <is>
          <t>Pimenteiras do Oeste - RO</t>
        </is>
      </c>
      <c r="C3423" t="n">
        <v>-13.4823</v>
      </c>
      <c r="D3423" t="n">
        <v>-61.0471</v>
      </c>
      <c r="E3423" t="inlineStr">
        <is>
          <t>2023-08</t>
        </is>
      </c>
      <c r="F3423" t="n">
        <v>0</v>
      </c>
    </row>
    <row r="3424">
      <c r="A3424" t="inlineStr">
        <is>
          <t>Milho</t>
        </is>
      </c>
      <c r="B3424" t="inlineStr">
        <is>
          <t>Pimenteiras do Oeste - RO</t>
        </is>
      </c>
      <c r="C3424" t="n">
        <v>-13.4823</v>
      </c>
      <c r="D3424" t="n">
        <v>-61.0471</v>
      </c>
      <c r="E3424" t="inlineStr">
        <is>
          <t>2023-09</t>
        </is>
      </c>
      <c r="F3424" t="n">
        <v>0</v>
      </c>
    </row>
    <row r="3425">
      <c r="A3425" t="inlineStr">
        <is>
          <t>Milho</t>
        </is>
      </c>
      <c r="B3425" t="inlineStr">
        <is>
          <t>Pimenteiras do Oeste - RO</t>
        </is>
      </c>
      <c r="C3425" t="n">
        <v>-13.4823</v>
      </c>
      <c r="D3425" t="n">
        <v>-61.0471</v>
      </c>
      <c r="E3425" t="inlineStr">
        <is>
          <t>2023-10</t>
        </is>
      </c>
      <c r="F3425" t="n">
        <v>0</v>
      </c>
    </row>
    <row r="3426">
      <c r="A3426" t="inlineStr">
        <is>
          <t>Milho</t>
        </is>
      </c>
      <c r="B3426" t="inlineStr">
        <is>
          <t>Pimenteiras do Oeste - RO</t>
        </is>
      </c>
      <c r="C3426" t="n">
        <v>-13.4823</v>
      </c>
      <c r="D3426" t="n">
        <v>-61.0471</v>
      </c>
      <c r="E3426" t="inlineStr">
        <is>
          <t>2023-11</t>
        </is>
      </c>
      <c r="F3426" t="n">
        <v>0</v>
      </c>
    </row>
    <row r="3427">
      <c r="A3427" t="inlineStr">
        <is>
          <t>Milho</t>
        </is>
      </c>
      <c r="B3427" t="inlineStr">
        <is>
          <t>Pimenteiras do Oeste - RO</t>
        </is>
      </c>
      <c r="C3427" t="n">
        <v>-13.4823</v>
      </c>
      <c r="D3427" t="n">
        <v>-61.0471</v>
      </c>
      <c r="E3427" t="inlineStr">
        <is>
          <t>2023-12</t>
        </is>
      </c>
      <c r="F3427" t="n">
        <v>82299.82145241286</v>
      </c>
    </row>
    <row r="3428">
      <c r="A3428" t="inlineStr">
        <is>
          <t>Milho</t>
        </is>
      </c>
      <c r="B3428" t="inlineStr">
        <is>
          <t>Palmeira das Missões - RS</t>
        </is>
      </c>
      <c r="C3428" t="n">
        <v>-27.9007</v>
      </c>
      <c r="D3428" t="n">
        <v>-53.3134</v>
      </c>
      <c r="E3428" t="inlineStr">
        <is>
          <t>2024-01</t>
        </is>
      </c>
      <c r="F3428" t="n">
        <v>2572543.265959481</v>
      </c>
    </row>
    <row r="3429">
      <c r="A3429" t="inlineStr">
        <is>
          <t>Milho</t>
        </is>
      </c>
      <c r="B3429" t="inlineStr">
        <is>
          <t>Palmeira das Missões - RS</t>
        </is>
      </c>
      <c r="C3429" t="n">
        <v>-27.9007</v>
      </c>
      <c r="D3429" t="n">
        <v>-53.3134</v>
      </c>
      <c r="E3429" t="inlineStr">
        <is>
          <t>2024-02</t>
        </is>
      </c>
      <c r="F3429" t="n">
        <v>1538964.932583137</v>
      </c>
    </row>
    <row r="3430">
      <c r="A3430" t="inlineStr">
        <is>
          <t>Milho</t>
        </is>
      </c>
      <c r="B3430" t="inlineStr">
        <is>
          <t>Palmeira das Missões - RS</t>
        </is>
      </c>
      <c r="C3430" t="n">
        <v>-27.9007</v>
      </c>
      <c r="D3430" t="n">
        <v>-53.3134</v>
      </c>
      <c r="E3430" t="inlineStr">
        <is>
          <t>2024-03</t>
        </is>
      </c>
      <c r="F3430" t="n">
        <v>2086472.079183219</v>
      </c>
    </row>
    <row r="3431">
      <c r="A3431" t="inlineStr">
        <is>
          <t>Milho</t>
        </is>
      </c>
      <c r="B3431" t="inlineStr">
        <is>
          <t>Palmeira das Missões - RS</t>
        </is>
      </c>
      <c r="C3431" t="n">
        <v>-27.9007</v>
      </c>
      <c r="D3431" t="n">
        <v>-53.3134</v>
      </c>
      <c r="E3431" t="inlineStr">
        <is>
          <t>2024-04</t>
        </is>
      </c>
      <c r="F3431" t="n">
        <v>1716046.912483072</v>
      </c>
    </row>
    <row r="3432">
      <c r="A3432" t="inlineStr">
        <is>
          <t>Milho</t>
        </is>
      </c>
      <c r="B3432" t="inlineStr">
        <is>
          <t>Palmeira das Missões - RS</t>
        </is>
      </c>
      <c r="C3432" t="n">
        <v>-27.9007</v>
      </c>
      <c r="D3432" t="n">
        <v>-53.3134</v>
      </c>
      <c r="E3432" t="inlineStr">
        <is>
          <t>2024-05</t>
        </is>
      </c>
      <c r="F3432" t="n">
        <v>414377.105286408</v>
      </c>
    </row>
    <row r="3433">
      <c r="A3433" t="inlineStr">
        <is>
          <t>Milho</t>
        </is>
      </c>
      <c r="B3433" t="inlineStr">
        <is>
          <t>Palmeira das Missões - RS</t>
        </is>
      </c>
      <c r="C3433" t="n">
        <v>-27.9007</v>
      </c>
      <c r="D3433" t="n">
        <v>-53.3134</v>
      </c>
      <c r="E3433" t="inlineStr">
        <is>
          <t>2024-06</t>
        </is>
      </c>
      <c r="F3433" t="n">
        <v>361081.0491854699</v>
      </c>
    </row>
    <row r="3434">
      <c r="A3434" t="inlineStr">
        <is>
          <t>Milho</t>
        </is>
      </c>
      <c r="B3434" t="inlineStr">
        <is>
          <t>Palmeira das Missões - RS</t>
        </is>
      </c>
      <c r="C3434" t="n">
        <v>-27.9007</v>
      </c>
      <c r="D3434" t="n">
        <v>-53.3134</v>
      </c>
      <c r="E3434" t="inlineStr">
        <is>
          <t>2023-07</t>
        </is>
      </c>
      <c r="F3434" t="n">
        <v>0</v>
      </c>
    </row>
    <row r="3435">
      <c r="A3435" t="inlineStr">
        <is>
          <t>Milho</t>
        </is>
      </c>
      <c r="B3435" t="inlineStr">
        <is>
          <t>Palmeira das Missões - RS</t>
        </is>
      </c>
      <c r="C3435" t="n">
        <v>-27.9007</v>
      </c>
      <c r="D3435" t="n">
        <v>-53.3134</v>
      </c>
      <c r="E3435" t="inlineStr">
        <is>
          <t>2023-08</t>
        </is>
      </c>
      <c r="F3435" t="n">
        <v>0</v>
      </c>
    </row>
    <row r="3436">
      <c r="A3436" t="inlineStr">
        <is>
          <t>Milho</t>
        </is>
      </c>
      <c r="B3436" t="inlineStr">
        <is>
          <t>Palmeira das Missões - RS</t>
        </is>
      </c>
      <c r="C3436" t="n">
        <v>-27.9007</v>
      </c>
      <c r="D3436" t="n">
        <v>-53.3134</v>
      </c>
      <c r="E3436" t="inlineStr">
        <is>
          <t>2023-09</t>
        </is>
      </c>
      <c r="F3436" t="n">
        <v>0</v>
      </c>
    </row>
    <row r="3437">
      <c r="A3437" t="inlineStr">
        <is>
          <t>Milho</t>
        </is>
      </c>
      <c r="B3437" t="inlineStr">
        <is>
          <t>Palmeira das Missões - RS</t>
        </is>
      </c>
      <c r="C3437" t="n">
        <v>-27.9007</v>
      </c>
      <c r="D3437" t="n">
        <v>-53.3134</v>
      </c>
      <c r="E3437" t="inlineStr">
        <is>
          <t>2023-10</t>
        </is>
      </c>
      <c r="F3437" t="n">
        <v>0</v>
      </c>
    </row>
    <row r="3438">
      <c r="A3438" t="inlineStr">
        <is>
          <t>Milho</t>
        </is>
      </c>
      <c r="B3438" t="inlineStr">
        <is>
          <t>Palmeira das Missões - RS</t>
        </is>
      </c>
      <c r="C3438" t="n">
        <v>-27.9007</v>
      </c>
      <c r="D3438" t="n">
        <v>-53.3134</v>
      </c>
      <c r="E3438" t="inlineStr">
        <is>
          <t>2023-11</t>
        </is>
      </c>
      <c r="F3438" t="n">
        <v>0</v>
      </c>
    </row>
    <row r="3439">
      <c r="A3439" t="inlineStr">
        <is>
          <t>Milho</t>
        </is>
      </c>
      <c r="B3439" t="inlineStr">
        <is>
          <t>Palmeira das Missões - RS</t>
        </is>
      </c>
      <c r="C3439" t="n">
        <v>-27.9007</v>
      </c>
      <c r="D3439" t="n">
        <v>-53.3134</v>
      </c>
      <c r="E3439" t="inlineStr">
        <is>
          <t>2023-12</t>
        </is>
      </c>
      <c r="F3439" t="n">
        <v>2693323.03118683</v>
      </c>
    </row>
    <row r="3440">
      <c r="A3440" t="inlineStr">
        <is>
          <t>Milho</t>
        </is>
      </c>
      <c r="B3440" t="inlineStr">
        <is>
          <t>Campos Novos - SC</t>
        </is>
      </c>
      <c r="C3440" t="n">
        <v>-27.4002</v>
      </c>
      <c r="D3440" t="n">
        <v>-51.2276</v>
      </c>
      <c r="E3440" t="inlineStr">
        <is>
          <t>2024-01</t>
        </is>
      </c>
      <c r="F3440" t="n">
        <v>1257445.01885177</v>
      </c>
    </row>
    <row r="3441">
      <c r="A3441" t="inlineStr">
        <is>
          <t>Milho</t>
        </is>
      </c>
      <c r="B3441" t="inlineStr">
        <is>
          <t>Campos Novos - SC</t>
        </is>
      </c>
      <c r="C3441" t="n">
        <v>-27.4002</v>
      </c>
      <c r="D3441" t="n">
        <v>-51.2276</v>
      </c>
      <c r="E3441" t="inlineStr">
        <is>
          <t>2024-02</t>
        </is>
      </c>
      <c r="F3441" t="n">
        <v>752237.6063682867</v>
      </c>
    </row>
    <row r="3442">
      <c r="A3442" t="inlineStr">
        <is>
          <t>Milho</t>
        </is>
      </c>
      <c r="B3442" t="inlineStr">
        <is>
          <t>Campos Novos - SC</t>
        </is>
      </c>
      <c r="C3442" t="n">
        <v>-27.4002</v>
      </c>
      <c r="D3442" t="n">
        <v>-51.2276</v>
      </c>
      <c r="E3442" t="inlineStr">
        <is>
          <t>2024-03</t>
        </is>
      </c>
      <c r="F3442" t="n">
        <v>1019856.092474193</v>
      </c>
    </row>
    <row r="3443">
      <c r="A3443" t="inlineStr">
        <is>
          <t>Milho</t>
        </is>
      </c>
      <c r="B3443" t="inlineStr">
        <is>
          <t>Campos Novos - SC</t>
        </is>
      </c>
      <c r="C3443" t="n">
        <v>-27.4002</v>
      </c>
      <c r="D3443" t="n">
        <v>-51.2276</v>
      </c>
      <c r="E3443" t="inlineStr">
        <is>
          <t>2024-04</t>
        </is>
      </c>
      <c r="F3443" t="n">
        <v>838794.3055305583</v>
      </c>
    </row>
    <row r="3444">
      <c r="A3444" t="inlineStr">
        <is>
          <t>Milho</t>
        </is>
      </c>
      <c r="B3444" t="inlineStr">
        <is>
          <t>Campos Novos - SC</t>
        </is>
      </c>
      <c r="C3444" t="n">
        <v>-27.4002</v>
      </c>
      <c r="D3444" t="n">
        <v>-51.2276</v>
      </c>
      <c r="E3444" t="inlineStr">
        <is>
          <t>2024-05</t>
        </is>
      </c>
      <c r="F3444" t="n">
        <v>202545.2531210474</v>
      </c>
    </row>
    <row r="3445">
      <c r="A3445" t="inlineStr">
        <is>
          <t>Milho</t>
        </is>
      </c>
      <c r="B3445" t="inlineStr">
        <is>
          <t>Campos Novos - SC</t>
        </is>
      </c>
      <c r="C3445" t="n">
        <v>-27.4002</v>
      </c>
      <c r="D3445" t="n">
        <v>-51.2276</v>
      </c>
      <c r="E3445" t="inlineStr">
        <is>
          <t>2024-06</t>
        </is>
      </c>
      <c r="F3445" t="n">
        <v>176494.4336245</v>
      </c>
    </row>
    <row r="3446">
      <c r="A3446" t="inlineStr">
        <is>
          <t>Milho</t>
        </is>
      </c>
      <c r="B3446" t="inlineStr">
        <is>
          <t>Campos Novos - SC</t>
        </is>
      </c>
      <c r="C3446" t="n">
        <v>-27.4002</v>
      </c>
      <c r="D3446" t="n">
        <v>-51.2276</v>
      </c>
      <c r="E3446" t="inlineStr">
        <is>
          <t>2023-07</t>
        </is>
      </c>
      <c r="F3446" t="n">
        <v>0</v>
      </c>
    </row>
    <row r="3447">
      <c r="A3447" t="inlineStr">
        <is>
          <t>Milho</t>
        </is>
      </c>
      <c r="B3447" t="inlineStr">
        <is>
          <t>Campos Novos - SC</t>
        </is>
      </c>
      <c r="C3447" t="n">
        <v>-27.4002</v>
      </c>
      <c r="D3447" t="n">
        <v>-51.2276</v>
      </c>
      <c r="E3447" t="inlineStr">
        <is>
          <t>2023-08</t>
        </is>
      </c>
      <c r="F3447" t="n">
        <v>0</v>
      </c>
    </row>
    <row r="3448">
      <c r="A3448" t="inlineStr">
        <is>
          <t>Milho</t>
        </is>
      </c>
      <c r="B3448" t="inlineStr">
        <is>
          <t>Campos Novos - SC</t>
        </is>
      </c>
      <c r="C3448" t="n">
        <v>-27.4002</v>
      </c>
      <c r="D3448" t="n">
        <v>-51.2276</v>
      </c>
      <c r="E3448" t="inlineStr">
        <is>
          <t>2023-09</t>
        </is>
      </c>
      <c r="F3448" t="n">
        <v>0</v>
      </c>
    </row>
    <row r="3449">
      <c r="A3449" t="inlineStr">
        <is>
          <t>Milho</t>
        </is>
      </c>
      <c r="B3449" t="inlineStr">
        <is>
          <t>Campos Novos - SC</t>
        </is>
      </c>
      <c r="C3449" t="n">
        <v>-27.4002</v>
      </c>
      <c r="D3449" t="n">
        <v>-51.2276</v>
      </c>
      <c r="E3449" t="inlineStr">
        <is>
          <t>2023-10</t>
        </is>
      </c>
      <c r="F3449" t="n">
        <v>0</v>
      </c>
    </row>
    <row r="3450">
      <c r="A3450" t="inlineStr">
        <is>
          <t>Milho</t>
        </is>
      </c>
      <c r="B3450" t="inlineStr">
        <is>
          <t>Campos Novos - SC</t>
        </is>
      </c>
      <c r="C3450" t="n">
        <v>-27.4002</v>
      </c>
      <c r="D3450" t="n">
        <v>-51.2276</v>
      </c>
      <c r="E3450" t="inlineStr">
        <is>
          <t>2023-11</t>
        </is>
      </c>
      <c r="F3450" t="n">
        <v>0</v>
      </c>
    </row>
    <row r="3451">
      <c r="A3451" t="inlineStr">
        <is>
          <t>Milho</t>
        </is>
      </c>
      <c r="B3451" t="inlineStr">
        <is>
          <t>Campos Novos - SC</t>
        </is>
      </c>
      <c r="C3451" t="n">
        <v>-27.4002</v>
      </c>
      <c r="D3451" t="n">
        <v>-51.2276</v>
      </c>
      <c r="E3451" t="inlineStr">
        <is>
          <t>2023-12</t>
        </is>
      </c>
      <c r="F3451" t="n">
        <v>1316481.504718829</v>
      </c>
    </row>
    <row r="3452">
      <c r="A3452" t="inlineStr">
        <is>
          <t>Milho</t>
        </is>
      </c>
      <c r="B3452" t="inlineStr">
        <is>
          <t>Itapeva - SP</t>
        </is>
      </c>
      <c r="C3452" t="n">
        <v>-23.9788</v>
      </c>
      <c r="D3452" t="n">
        <v>-48.8764</v>
      </c>
      <c r="E3452" t="inlineStr">
        <is>
          <t>2024-01</t>
        </is>
      </c>
      <c r="F3452" t="n">
        <v>1042876.357481564</v>
      </c>
    </row>
    <row r="3453">
      <c r="A3453" t="inlineStr">
        <is>
          <t>Milho</t>
        </is>
      </c>
      <c r="B3453" t="inlineStr">
        <is>
          <t>Itapeva - SP</t>
        </is>
      </c>
      <c r="C3453" t="n">
        <v>-23.9788</v>
      </c>
      <c r="D3453" t="n">
        <v>-48.8764</v>
      </c>
      <c r="E3453" t="inlineStr">
        <is>
          <t>2024-02</t>
        </is>
      </c>
      <c r="F3453" t="n">
        <v>623876.8320911268</v>
      </c>
    </row>
    <row r="3454">
      <c r="A3454" t="inlineStr">
        <is>
          <t>Milho</t>
        </is>
      </c>
      <c r="B3454" t="inlineStr">
        <is>
          <t>Itapeva - SP</t>
        </is>
      </c>
      <c r="C3454" t="n">
        <v>-23.9788</v>
      </c>
      <c r="D3454" t="n">
        <v>-48.8764</v>
      </c>
      <c r="E3454" t="inlineStr">
        <is>
          <t>2024-03</t>
        </is>
      </c>
      <c r="F3454" t="n">
        <v>604163.7668500631</v>
      </c>
    </row>
    <row r="3455">
      <c r="A3455" t="inlineStr">
        <is>
          <t>Milho</t>
        </is>
      </c>
      <c r="B3455" t="inlineStr">
        <is>
          <t>Itapeva - SP</t>
        </is>
      </c>
      <c r="C3455" t="n">
        <v>-23.9788</v>
      </c>
      <c r="D3455" t="n">
        <v>-48.8764</v>
      </c>
      <c r="E3455" t="inlineStr">
        <is>
          <t>2024-04</t>
        </is>
      </c>
      <c r="F3455" t="n">
        <v>496902.5835912714</v>
      </c>
    </row>
    <row r="3456">
      <c r="A3456" t="inlineStr">
        <is>
          <t>Milho</t>
        </is>
      </c>
      <c r="B3456" t="inlineStr">
        <is>
          <t>Itapeva - SP</t>
        </is>
      </c>
      <c r="C3456" t="n">
        <v>-23.9788</v>
      </c>
      <c r="D3456" t="n">
        <v>-48.8764</v>
      </c>
      <c r="E3456" t="inlineStr">
        <is>
          <t>2024-05</t>
        </is>
      </c>
      <c r="F3456" t="n">
        <v>167983.2140835412</v>
      </c>
    </row>
    <row r="3457">
      <c r="A3457" t="inlineStr">
        <is>
          <t>Milho</t>
        </is>
      </c>
      <c r="B3457" t="inlineStr">
        <is>
          <t>Itapeva - SP</t>
        </is>
      </c>
      <c r="C3457" t="n">
        <v>-23.9788</v>
      </c>
      <c r="D3457" t="n">
        <v>-48.8764</v>
      </c>
      <c r="E3457" t="inlineStr">
        <is>
          <t>2024-06</t>
        </is>
      </c>
      <c r="F3457" t="n">
        <v>146377.6700329733</v>
      </c>
    </row>
    <row r="3458">
      <c r="A3458" t="inlineStr">
        <is>
          <t>Milho</t>
        </is>
      </c>
      <c r="B3458" t="inlineStr">
        <is>
          <t>Itapeva - SP</t>
        </is>
      </c>
      <c r="C3458" t="n">
        <v>-23.9788</v>
      </c>
      <c r="D3458" t="n">
        <v>-48.8764</v>
      </c>
      <c r="E3458" t="inlineStr">
        <is>
          <t>2023-07</t>
        </is>
      </c>
      <c r="F3458" t="n">
        <v>0</v>
      </c>
    </row>
    <row r="3459">
      <c r="A3459" t="inlineStr">
        <is>
          <t>Milho</t>
        </is>
      </c>
      <c r="B3459" t="inlineStr">
        <is>
          <t>Itapeva - SP</t>
        </is>
      </c>
      <c r="C3459" t="n">
        <v>-23.9788</v>
      </c>
      <c r="D3459" t="n">
        <v>-48.8764</v>
      </c>
      <c r="E3459" t="inlineStr">
        <is>
          <t>2023-08</t>
        </is>
      </c>
      <c r="F3459" t="n">
        <v>0</v>
      </c>
    </row>
    <row r="3460">
      <c r="A3460" t="inlineStr">
        <is>
          <t>Milho</t>
        </is>
      </c>
      <c r="B3460" t="inlineStr">
        <is>
          <t>Itapeva - SP</t>
        </is>
      </c>
      <c r="C3460" t="n">
        <v>-23.9788</v>
      </c>
      <c r="D3460" t="n">
        <v>-48.8764</v>
      </c>
      <c r="E3460" t="inlineStr">
        <is>
          <t>2023-09</t>
        </is>
      </c>
      <c r="F3460" t="n">
        <v>0</v>
      </c>
    </row>
    <row r="3461">
      <c r="A3461" t="inlineStr">
        <is>
          <t>Milho</t>
        </is>
      </c>
      <c r="B3461" t="inlineStr">
        <is>
          <t>Itapeva - SP</t>
        </is>
      </c>
      <c r="C3461" t="n">
        <v>-23.9788</v>
      </c>
      <c r="D3461" t="n">
        <v>-48.8764</v>
      </c>
      <c r="E3461" t="inlineStr">
        <is>
          <t>2023-10</t>
        </is>
      </c>
      <c r="F3461" t="n">
        <v>0</v>
      </c>
    </row>
    <row r="3462">
      <c r="A3462" t="inlineStr">
        <is>
          <t>Milho</t>
        </is>
      </c>
      <c r="B3462" t="inlineStr">
        <is>
          <t>Itapeva - SP</t>
        </is>
      </c>
      <c r="C3462" t="n">
        <v>-23.9788</v>
      </c>
      <c r="D3462" t="n">
        <v>-48.8764</v>
      </c>
      <c r="E3462" t="inlineStr">
        <is>
          <t>2023-11</t>
        </is>
      </c>
      <c r="F3462" t="n">
        <v>0</v>
      </c>
    </row>
    <row r="3463">
      <c r="A3463" t="inlineStr">
        <is>
          <t>Milho</t>
        </is>
      </c>
      <c r="B3463" t="inlineStr">
        <is>
          <t>Itapeva - SP</t>
        </is>
      </c>
      <c r="C3463" t="n">
        <v>-23.9788</v>
      </c>
      <c r="D3463" t="n">
        <v>-48.8764</v>
      </c>
      <c r="E3463" t="inlineStr">
        <is>
          <t>2023-12</t>
        </is>
      </c>
      <c r="F3463" t="n">
        <v>0</v>
      </c>
    </row>
    <row r="3464">
      <c r="A3464" t="inlineStr">
        <is>
          <t>Milho</t>
        </is>
      </c>
      <c r="B3464" t="inlineStr">
        <is>
          <t>Campos Lindos - TO</t>
        </is>
      </c>
      <c r="C3464" t="n">
        <v>-7.98956</v>
      </c>
      <c r="D3464" t="n">
        <v>-46.8645</v>
      </c>
      <c r="E3464" t="inlineStr">
        <is>
          <t>2024-01</t>
        </is>
      </c>
      <c r="F3464" t="n">
        <v>0</v>
      </c>
    </row>
    <row r="3465">
      <c r="A3465" t="inlineStr">
        <is>
          <t>Milho</t>
        </is>
      </c>
      <c r="B3465" t="inlineStr">
        <is>
          <t>Campos Lindos - TO</t>
        </is>
      </c>
      <c r="C3465" t="n">
        <v>-7.98956</v>
      </c>
      <c r="D3465" t="n">
        <v>-46.8645</v>
      </c>
      <c r="E3465" t="inlineStr">
        <is>
          <t>2024-02</t>
        </is>
      </c>
      <c r="F3465" t="n">
        <v>97476.85967937284</v>
      </c>
    </row>
    <row r="3466">
      <c r="A3466" t="inlineStr">
        <is>
          <t>Milho</t>
        </is>
      </c>
      <c r="B3466" t="inlineStr">
        <is>
          <t>Campos Lindos - TO</t>
        </is>
      </c>
      <c r="C3466" t="n">
        <v>-7.98956</v>
      </c>
      <c r="D3466" t="n">
        <v>-46.8645</v>
      </c>
      <c r="E3466" t="inlineStr">
        <is>
          <t>2024-03</t>
        </is>
      </c>
      <c r="F3466" t="n">
        <v>113276.179582837</v>
      </c>
    </row>
    <row r="3467">
      <c r="A3467" t="inlineStr">
        <is>
          <t>Milho</t>
        </is>
      </c>
      <c r="B3467" t="inlineStr">
        <is>
          <t>Campos Lindos - TO</t>
        </is>
      </c>
      <c r="C3467" t="n">
        <v>-7.98956</v>
      </c>
      <c r="D3467" t="n">
        <v>-46.8645</v>
      </c>
      <c r="E3467" t="inlineStr">
        <is>
          <t>2024-04</t>
        </is>
      </c>
      <c r="F3467" t="n">
        <v>155275.8522950546</v>
      </c>
    </row>
    <row r="3468">
      <c r="A3468" t="inlineStr">
        <is>
          <t>Milho</t>
        </is>
      </c>
      <c r="B3468" t="inlineStr">
        <is>
          <t>Campos Lindos - TO</t>
        </is>
      </c>
      <c r="C3468" t="n">
        <v>-7.98956</v>
      </c>
      <c r="D3468" t="n">
        <v>-46.8645</v>
      </c>
      <c r="E3468" t="inlineStr">
        <is>
          <t>2024-05</t>
        </is>
      </c>
      <c r="F3468" t="n">
        <v>87487.76118103841</v>
      </c>
    </row>
    <row r="3469">
      <c r="A3469" t="inlineStr">
        <is>
          <t>Milho</t>
        </is>
      </c>
      <c r="B3469" t="inlineStr">
        <is>
          <t>Campos Lindos - TO</t>
        </is>
      </c>
      <c r="C3469" t="n">
        <v>-7.98956</v>
      </c>
      <c r="D3469" t="n">
        <v>-46.8645</v>
      </c>
      <c r="E3469" t="inlineStr">
        <is>
          <t>2024-06</t>
        </is>
      </c>
      <c r="F3469" t="n">
        <v>45741.1939923217</v>
      </c>
    </row>
    <row r="3470">
      <c r="A3470" t="inlineStr">
        <is>
          <t>Milho</t>
        </is>
      </c>
      <c r="B3470" t="inlineStr">
        <is>
          <t>Campos Lindos - TO</t>
        </is>
      </c>
      <c r="C3470" t="n">
        <v>-7.98956</v>
      </c>
      <c r="D3470" t="n">
        <v>-46.8645</v>
      </c>
      <c r="E3470" t="inlineStr">
        <is>
          <t>2023-07</t>
        </is>
      </c>
      <c r="F3470" t="n">
        <v>0</v>
      </c>
    </row>
    <row r="3471">
      <c r="A3471" t="inlineStr">
        <is>
          <t>Milho</t>
        </is>
      </c>
      <c r="B3471" t="inlineStr">
        <is>
          <t>Campos Lindos - TO</t>
        </is>
      </c>
      <c r="C3471" t="n">
        <v>-7.98956</v>
      </c>
      <c r="D3471" t="n">
        <v>-46.8645</v>
      </c>
      <c r="E3471" t="inlineStr">
        <is>
          <t>2023-08</t>
        </is>
      </c>
      <c r="F3471" t="n">
        <v>0</v>
      </c>
    </row>
    <row r="3472">
      <c r="A3472" t="inlineStr">
        <is>
          <t>Milho</t>
        </is>
      </c>
      <c r="B3472" t="inlineStr">
        <is>
          <t>Campos Lindos - TO</t>
        </is>
      </c>
      <c r="C3472" t="n">
        <v>-7.98956</v>
      </c>
      <c r="D3472" t="n">
        <v>-46.8645</v>
      </c>
      <c r="E3472" t="inlineStr">
        <is>
          <t>2023-09</t>
        </is>
      </c>
      <c r="F3472" t="n">
        <v>0</v>
      </c>
    </row>
    <row r="3473">
      <c r="A3473" t="inlineStr">
        <is>
          <t>Milho</t>
        </is>
      </c>
      <c r="B3473" t="inlineStr">
        <is>
          <t>Campos Lindos - TO</t>
        </is>
      </c>
      <c r="C3473" t="n">
        <v>-7.98956</v>
      </c>
      <c r="D3473" t="n">
        <v>-46.8645</v>
      </c>
      <c r="E3473" t="inlineStr">
        <is>
          <t>2023-10</t>
        </is>
      </c>
      <c r="F3473" t="n">
        <v>0</v>
      </c>
    </row>
    <row r="3474">
      <c r="A3474" t="inlineStr">
        <is>
          <t>Milho</t>
        </is>
      </c>
      <c r="B3474" t="inlineStr">
        <is>
          <t>Campos Lindos - TO</t>
        </is>
      </c>
      <c r="C3474" t="n">
        <v>-7.98956</v>
      </c>
      <c r="D3474" t="n">
        <v>-46.8645</v>
      </c>
      <c r="E3474" t="inlineStr">
        <is>
          <t>2023-11</t>
        </is>
      </c>
      <c r="F3474" t="n">
        <v>0</v>
      </c>
    </row>
    <row r="3475">
      <c r="A3475" t="inlineStr">
        <is>
          <t>Milho</t>
        </is>
      </c>
      <c r="B3475" t="inlineStr">
        <is>
          <t>Campos Lindos - TO</t>
        </is>
      </c>
      <c r="C3475" t="n">
        <v>-7.98956</v>
      </c>
      <c r="D3475" t="n">
        <v>-46.8645</v>
      </c>
      <c r="E3475" t="inlineStr">
        <is>
          <t>2023-12</t>
        </is>
      </c>
      <c r="F3475" t="n">
        <v>0</v>
      </c>
    </row>
    <row r="3476">
      <c r="A3476" t="inlineStr">
        <is>
          <t>Milho</t>
        </is>
      </c>
      <c r="B3476" t="inlineStr">
        <is>
          <t>Senador Guiomard - AC</t>
        </is>
      </c>
      <c r="C3476" t="n">
        <v>-10.1497</v>
      </c>
      <c r="D3476" t="n">
        <v>-67.7362</v>
      </c>
      <c r="E3476" t="inlineStr">
        <is>
          <t>2024-01</t>
        </is>
      </c>
      <c r="F3476" t="n">
        <v>0</v>
      </c>
    </row>
    <row r="3477">
      <c r="A3477" t="inlineStr">
        <is>
          <t>Milho</t>
        </is>
      </c>
      <c r="B3477" t="inlineStr">
        <is>
          <t>Senador Guiomard - AC</t>
        </is>
      </c>
      <c r="C3477" t="n">
        <v>-10.1497</v>
      </c>
      <c r="D3477" t="n">
        <v>-67.7362</v>
      </c>
      <c r="E3477" t="inlineStr">
        <is>
          <t>2024-02</t>
        </is>
      </c>
      <c r="F3477" t="n">
        <v>0</v>
      </c>
    </row>
    <row r="3478">
      <c r="A3478" t="inlineStr">
        <is>
          <t>Milho</t>
        </is>
      </c>
      <c r="B3478" t="inlineStr">
        <is>
          <t>Senador Guiomard - AC</t>
        </is>
      </c>
      <c r="C3478" t="n">
        <v>-10.1497</v>
      </c>
      <c r="D3478" t="n">
        <v>-67.7362</v>
      </c>
      <c r="E3478" t="inlineStr">
        <is>
          <t>2024-03</t>
        </is>
      </c>
      <c r="F3478" t="n">
        <v>0</v>
      </c>
    </row>
    <row r="3479">
      <c r="A3479" t="inlineStr">
        <is>
          <t>Milho</t>
        </is>
      </c>
      <c r="B3479" t="inlineStr">
        <is>
          <t>Senador Guiomard - AC</t>
        </is>
      </c>
      <c r="C3479" t="n">
        <v>-10.1497</v>
      </c>
      <c r="D3479" t="n">
        <v>-67.7362</v>
      </c>
      <c r="E3479" t="inlineStr">
        <is>
          <t>2024-04</t>
        </is>
      </c>
      <c r="F3479" t="n">
        <v>0</v>
      </c>
    </row>
    <row r="3480">
      <c r="A3480" t="inlineStr">
        <is>
          <t>Milho</t>
        </is>
      </c>
      <c r="B3480" t="inlineStr">
        <is>
          <t>Senador Guiomard - AC</t>
        </is>
      </c>
      <c r="C3480" t="n">
        <v>-10.1497</v>
      </c>
      <c r="D3480" t="n">
        <v>-67.7362</v>
      </c>
      <c r="E3480" t="inlineStr">
        <is>
          <t>2024-05</t>
        </is>
      </c>
      <c r="F3480" t="n">
        <v>0</v>
      </c>
    </row>
    <row r="3481">
      <c r="A3481" t="inlineStr">
        <is>
          <t>Milho</t>
        </is>
      </c>
      <c r="B3481" t="inlineStr">
        <is>
          <t>Senador Guiomard - AC</t>
        </is>
      </c>
      <c r="C3481" t="n">
        <v>-10.1497</v>
      </c>
      <c r="D3481" t="n">
        <v>-67.7362</v>
      </c>
      <c r="E3481" t="inlineStr">
        <is>
          <t>2024-06</t>
        </is>
      </c>
      <c r="F3481" t="n">
        <v>0</v>
      </c>
    </row>
    <row r="3482">
      <c r="A3482" t="inlineStr">
        <is>
          <t>Milho</t>
        </is>
      </c>
      <c r="B3482" t="inlineStr">
        <is>
          <t>Senador Guiomard - AC</t>
        </is>
      </c>
      <c r="C3482" t="n">
        <v>-10.1497</v>
      </c>
      <c r="D3482" t="n">
        <v>-67.7362</v>
      </c>
      <c r="E3482" t="inlineStr">
        <is>
          <t>2023-07</t>
        </is>
      </c>
      <c r="F3482" t="n">
        <v>0</v>
      </c>
    </row>
    <row r="3483">
      <c r="A3483" t="inlineStr">
        <is>
          <t>Milho</t>
        </is>
      </c>
      <c r="B3483" t="inlineStr">
        <is>
          <t>Senador Guiomard - AC</t>
        </is>
      </c>
      <c r="C3483" t="n">
        <v>-10.1497</v>
      </c>
      <c r="D3483" t="n">
        <v>-67.7362</v>
      </c>
      <c r="E3483" t="inlineStr">
        <is>
          <t>2023-08</t>
        </is>
      </c>
      <c r="F3483" t="n">
        <v>0</v>
      </c>
    </row>
    <row r="3484">
      <c r="A3484" t="inlineStr">
        <is>
          <t>Milho</t>
        </is>
      </c>
      <c r="B3484" t="inlineStr">
        <is>
          <t>Senador Guiomard - AC</t>
        </is>
      </c>
      <c r="C3484" t="n">
        <v>-10.1497</v>
      </c>
      <c r="D3484" t="n">
        <v>-67.7362</v>
      </c>
      <c r="E3484" t="inlineStr">
        <is>
          <t>2023-09</t>
        </is>
      </c>
      <c r="F3484" t="n">
        <v>0</v>
      </c>
    </row>
    <row r="3485">
      <c r="A3485" t="inlineStr">
        <is>
          <t>Milho</t>
        </is>
      </c>
      <c r="B3485" t="inlineStr">
        <is>
          <t>Senador Guiomard - AC</t>
        </is>
      </c>
      <c r="C3485" t="n">
        <v>-10.1497</v>
      </c>
      <c r="D3485" t="n">
        <v>-67.7362</v>
      </c>
      <c r="E3485" t="inlineStr">
        <is>
          <t>2023-10</t>
        </is>
      </c>
      <c r="F3485" t="n">
        <v>0</v>
      </c>
    </row>
    <row r="3486">
      <c r="A3486" t="inlineStr">
        <is>
          <t>Milho</t>
        </is>
      </c>
      <c r="B3486" t="inlineStr">
        <is>
          <t>Senador Guiomard - AC</t>
        </is>
      </c>
      <c r="C3486" t="n">
        <v>-10.1497</v>
      </c>
      <c r="D3486" t="n">
        <v>-67.7362</v>
      </c>
      <c r="E3486" t="inlineStr">
        <is>
          <t>2023-11</t>
        </is>
      </c>
      <c r="F3486" t="n">
        <v>0</v>
      </c>
    </row>
    <row r="3487">
      <c r="A3487" t="inlineStr">
        <is>
          <t>Milho</t>
        </is>
      </c>
      <c r="B3487" t="inlineStr">
        <is>
          <t>Senador Guiomard - AC</t>
        </is>
      </c>
      <c r="C3487" t="n">
        <v>-10.1497</v>
      </c>
      <c r="D3487" t="n">
        <v>-67.7362</v>
      </c>
      <c r="E3487" t="inlineStr">
        <is>
          <t>2023-12</t>
        </is>
      </c>
      <c r="F3487" t="n">
        <v>0</v>
      </c>
    </row>
    <row r="3488">
      <c r="A3488" t="inlineStr">
        <is>
          <t>Milho</t>
        </is>
      </c>
      <c r="B3488" t="inlineStr">
        <is>
          <t>Humaitá - AM</t>
        </is>
      </c>
      <c r="C3488" t="n">
        <v>-7.51171</v>
      </c>
      <c r="D3488" t="n">
        <v>-63.0327</v>
      </c>
      <c r="E3488" t="inlineStr">
        <is>
          <t>2024-01</t>
        </is>
      </c>
      <c r="F3488" t="n">
        <v>0</v>
      </c>
    </row>
    <row r="3489">
      <c r="A3489" t="inlineStr">
        <is>
          <t>Milho</t>
        </is>
      </c>
      <c r="B3489" t="inlineStr">
        <is>
          <t>Humaitá - AM</t>
        </is>
      </c>
      <c r="C3489" t="n">
        <v>-7.51171</v>
      </c>
      <c r="D3489" t="n">
        <v>-63.0327</v>
      </c>
      <c r="E3489" t="inlineStr">
        <is>
          <t>2024-02</t>
        </is>
      </c>
      <c r="F3489" t="n">
        <v>0</v>
      </c>
    </row>
    <row r="3490">
      <c r="A3490" t="inlineStr">
        <is>
          <t>Milho</t>
        </is>
      </c>
      <c r="B3490" t="inlineStr">
        <is>
          <t>Humaitá - AM</t>
        </is>
      </c>
      <c r="C3490" t="n">
        <v>-7.51171</v>
      </c>
      <c r="D3490" t="n">
        <v>-63.0327</v>
      </c>
      <c r="E3490" t="inlineStr">
        <is>
          <t>2024-03</t>
        </is>
      </c>
      <c r="F3490" t="n">
        <v>0</v>
      </c>
    </row>
    <row r="3491">
      <c r="A3491" t="inlineStr">
        <is>
          <t>Milho</t>
        </is>
      </c>
      <c r="B3491" t="inlineStr">
        <is>
          <t>Humaitá - AM</t>
        </is>
      </c>
      <c r="C3491" t="n">
        <v>-7.51171</v>
      </c>
      <c r="D3491" t="n">
        <v>-63.0327</v>
      </c>
      <c r="E3491" t="inlineStr">
        <is>
          <t>2024-04</t>
        </is>
      </c>
      <c r="F3491" t="n">
        <v>0</v>
      </c>
    </row>
    <row r="3492">
      <c r="A3492" t="inlineStr">
        <is>
          <t>Milho</t>
        </is>
      </c>
      <c r="B3492" t="inlineStr">
        <is>
          <t>Humaitá - AM</t>
        </is>
      </c>
      <c r="C3492" t="n">
        <v>-7.51171</v>
      </c>
      <c r="D3492" t="n">
        <v>-63.0327</v>
      </c>
      <c r="E3492" t="inlineStr">
        <is>
          <t>2024-05</t>
        </is>
      </c>
      <c r="F3492" t="n">
        <v>0</v>
      </c>
    </row>
    <row r="3493">
      <c r="A3493" t="inlineStr">
        <is>
          <t>Milho</t>
        </is>
      </c>
      <c r="B3493" t="inlineStr">
        <is>
          <t>Humaitá - AM</t>
        </is>
      </c>
      <c r="C3493" t="n">
        <v>-7.51171</v>
      </c>
      <c r="D3493" t="n">
        <v>-63.0327</v>
      </c>
      <c r="E3493" t="inlineStr">
        <is>
          <t>2024-06</t>
        </is>
      </c>
      <c r="F3493" t="n">
        <v>0</v>
      </c>
    </row>
    <row r="3494">
      <c r="A3494" t="inlineStr">
        <is>
          <t>Milho</t>
        </is>
      </c>
      <c r="B3494" t="inlineStr">
        <is>
          <t>Humaitá - AM</t>
        </is>
      </c>
      <c r="C3494" t="n">
        <v>-7.51171</v>
      </c>
      <c r="D3494" t="n">
        <v>-63.0327</v>
      </c>
      <c r="E3494" t="inlineStr">
        <is>
          <t>2023-07</t>
        </is>
      </c>
      <c r="F3494" t="n">
        <v>0</v>
      </c>
    </row>
    <row r="3495">
      <c r="A3495" t="inlineStr">
        <is>
          <t>Milho</t>
        </is>
      </c>
      <c r="B3495" t="inlineStr">
        <is>
          <t>Humaitá - AM</t>
        </is>
      </c>
      <c r="C3495" t="n">
        <v>-7.51171</v>
      </c>
      <c r="D3495" t="n">
        <v>-63.0327</v>
      </c>
      <c r="E3495" t="inlineStr">
        <is>
          <t>2023-08</t>
        </is>
      </c>
      <c r="F3495" t="n">
        <v>0</v>
      </c>
    </row>
    <row r="3496">
      <c r="A3496" t="inlineStr">
        <is>
          <t>Milho</t>
        </is>
      </c>
      <c r="B3496" t="inlineStr">
        <is>
          <t>Humaitá - AM</t>
        </is>
      </c>
      <c r="C3496" t="n">
        <v>-7.51171</v>
      </c>
      <c r="D3496" t="n">
        <v>-63.0327</v>
      </c>
      <c r="E3496" t="inlineStr">
        <is>
          <t>2023-09</t>
        </is>
      </c>
      <c r="F3496" t="n">
        <v>0</v>
      </c>
    </row>
    <row r="3497">
      <c r="A3497" t="inlineStr">
        <is>
          <t>Milho</t>
        </is>
      </c>
      <c r="B3497" t="inlineStr">
        <is>
          <t>Humaitá - AM</t>
        </is>
      </c>
      <c r="C3497" t="n">
        <v>-7.51171</v>
      </c>
      <c r="D3497" t="n">
        <v>-63.0327</v>
      </c>
      <c r="E3497" t="inlineStr">
        <is>
          <t>2023-10</t>
        </is>
      </c>
      <c r="F3497" t="n">
        <v>0</v>
      </c>
    </row>
    <row r="3498">
      <c r="A3498" t="inlineStr">
        <is>
          <t>Milho</t>
        </is>
      </c>
      <c r="B3498" t="inlineStr">
        <is>
          <t>Humaitá - AM</t>
        </is>
      </c>
      <c r="C3498" t="n">
        <v>-7.51171</v>
      </c>
      <c r="D3498" t="n">
        <v>-63.0327</v>
      </c>
      <c r="E3498" t="inlineStr">
        <is>
          <t>2023-11</t>
        </is>
      </c>
      <c r="F3498" t="n">
        <v>0</v>
      </c>
    </row>
    <row r="3499">
      <c r="A3499" t="inlineStr">
        <is>
          <t>Milho</t>
        </is>
      </c>
      <c r="B3499" t="inlineStr">
        <is>
          <t>Humaitá - AM</t>
        </is>
      </c>
      <c r="C3499" t="n">
        <v>-7.51171</v>
      </c>
      <c r="D3499" t="n">
        <v>-63.0327</v>
      </c>
      <c r="E3499" t="inlineStr">
        <is>
          <t>2023-12</t>
        </is>
      </c>
      <c r="F3499" t="n">
        <v>0</v>
      </c>
    </row>
    <row r="3500">
      <c r="A3500" t="inlineStr">
        <is>
          <t>Milho</t>
        </is>
      </c>
      <c r="B3500" t="inlineStr">
        <is>
          <t>Palmeira das Missões - RS</t>
        </is>
      </c>
      <c r="C3500" t="n">
        <v>-27.9007</v>
      </c>
      <c r="D3500" t="n">
        <v>-53.3134</v>
      </c>
      <c r="E3500" t="inlineStr">
        <is>
          <t>2024-01</t>
        </is>
      </c>
      <c r="F3500" t="n">
        <v>0</v>
      </c>
    </row>
    <row r="3501">
      <c r="A3501" t="inlineStr">
        <is>
          <t>Milho</t>
        </is>
      </c>
      <c r="B3501" t="inlineStr">
        <is>
          <t>Palmeira das Missões - RS</t>
        </is>
      </c>
      <c r="C3501" t="n">
        <v>-27.9007</v>
      </c>
      <c r="D3501" t="n">
        <v>-53.3134</v>
      </c>
      <c r="E3501" t="inlineStr">
        <is>
          <t>2024-02</t>
        </is>
      </c>
      <c r="F3501" t="n">
        <v>0</v>
      </c>
    </row>
    <row r="3502">
      <c r="A3502" t="inlineStr">
        <is>
          <t>Milho</t>
        </is>
      </c>
      <c r="B3502" t="inlineStr">
        <is>
          <t>Palmeira das Missões - RS</t>
        </is>
      </c>
      <c r="C3502" t="n">
        <v>-27.9007</v>
      </c>
      <c r="D3502" t="n">
        <v>-53.3134</v>
      </c>
      <c r="E3502" t="inlineStr">
        <is>
          <t>2024-03</t>
        </is>
      </c>
      <c r="F3502" t="n">
        <v>0</v>
      </c>
    </row>
    <row r="3503">
      <c r="A3503" t="inlineStr">
        <is>
          <t>Milho</t>
        </is>
      </c>
      <c r="B3503" t="inlineStr">
        <is>
          <t>Palmeira das Missões - RS</t>
        </is>
      </c>
      <c r="C3503" t="n">
        <v>-27.9007</v>
      </c>
      <c r="D3503" t="n">
        <v>-53.3134</v>
      </c>
      <c r="E3503" t="inlineStr">
        <is>
          <t>2024-04</t>
        </is>
      </c>
      <c r="F3503" t="n">
        <v>0</v>
      </c>
    </row>
    <row r="3504">
      <c r="A3504" t="inlineStr">
        <is>
          <t>Milho</t>
        </is>
      </c>
      <c r="B3504" t="inlineStr">
        <is>
          <t>Palmeira das Missões - RS</t>
        </is>
      </c>
      <c r="C3504" t="n">
        <v>-27.9007</v>
      </c>
      <c r="D3504" t="n">
        <v>-53.3134</v>
      </c>
      <c r="E3504" t="inlineStr">
        <is>
          <t>2024-05</t>
        </is>
      </c>
      <c r="F3504" t="n">
        <v>0</v>
      </c>
    </row>
    <row r="3505">
      <c r="A3505" t="inlineStr">
        <is>
          <t>Milho</t>
        </is>
      </c>
      <c r="B3505" t="inlineStr">
        <is>
          <t>Palmeira das Missões - RS</t>
        </is>
      </c>
      <c r="C3505" t="n">
        <v>-27.9007</v>
      </c>
      <c r="D3505" t="n">
        <v>-53.3134</v>
      </c>
      <c r="E3505" t="inlineStr">
        <is>
          <t>2024-06</t>
        </is>
      </c>
      <c r="F3505" t="n">
        <v>0</v>
      </c>
    </row>
    <row r="3506">
      <c r="A3506" t="inlineStr">
        <is>
          <t>Milho</t>
        </is>
      </c>
      <c r="B3506" t="inlineStr">
        <is>
          <t>Palmeira das Missões - RS</t>
        </is>
      </c>
      <c r="C3506" t="n">
        <v>-27.9007</v>
      </c>
      <c r="D3506" t="n">
        <v>-53.3134</v>
      </c>
      <c r="E3506" t="inlineStr">
        <is>
          <t>2023-07</t>
        </is>
      </c>
      <c r="F3506" t="n">
        <v>0</v>
      </c>
    </row>
    <row r="3507">
      <c r="A3507" t="inlineStr">
        <is>
          <t>Milho</t>
        </is>
      </c>
      <c r="B3507" t="inlineStr">
        <is>
          <t>Palmeira das Missões - RS</t>
        </is>
      </c>
      <c r="C3507" t="n">
        <v>-27.9007</v>
      </c>
      <c r="D3507" t="n">
        <v>-53.3134</v>
      </c>
      <c r="E3507" t="inlineStr">
        <is>
          <t>2023-08</t>
        </is>
      </c>
      <c r="F3507" t="n">
        <v>0</v>
      </c>
    </row>
    <row r="3508">
      <c r="A3508" t="inlineStr">
        <is>
          <t>Milho</t>
        </is>
      </c>
      <c r="B3508" t="inlineStr">
        <is>
          <t>Palmeira das Missões - RS</t>
        </is>
      </c>
      <c r="C3508" t="n">
        <v>-27.9007</v>
      </c>
      <c r="D3508" t="n">
        <v>-53.3134</v>
      </c>
      <c r="E3508" t="inlineStr">
        <is>
          <t>2023-09</t>
        </is>
      </c>
      <c r="F3508" t="n">
        <v>0</v>
      </c>
    </row>
    <row r="3509">
      <c r="A3509" t="inlineStr">
        <is>
          <t>Milho</t>
        </is>
      </c>
      <c r="B3509" t="inlineStr">
        <is>
          <t>Palmeira das Missões - RS</t>
        </is>
      </c>
      <c r="C3509" t="n">
        <v>-27.9007</v>
      </c>
      <c r="D3509" t="n">
        <v>-53.3134</v>
      </c>
      <c r="E3509" t="inlineStr">
        <is>
          <t>2023-10</t>
        </is>
      </c>
      <c r="F3509" t="n">
        <v>0</v>
      </c>
    </row>
    <row r="3510">
      <c r="A3510" t="inlineStr">
        <is>
          <t>Milho</t>
        </is>
      </c>
      <c r="B3510" t="inlineStr">
        <is>
          <t>Palmeira das Missões - RS</t>
        </is>
      </c>
      <c r="C3510" t="n">
        <v>-27.9007</v>
      </c>
      <c r="D3510" t="n">
        <v>-53.3134</v>
      </c>
      <c r="E3510" t="inlineStr">
        <is>
          <t>2023-11</t>
        </is>
      </c>
      <c r="F3510" t="n">
        <v>0</v>
      </c>
    </row>
    <row r="3511">
      <c r="A3511" t="inlineStr">
        <is>
          <t>Milho</t>
        </is>
      </c>
      <c r="B3511" t="inlineStr">
        <is>
          <t>Palmeira das Missões - RS</t>
        </is>
      </c>
      <c r="C3511" t="n">
        <v>-27.9007</v>
      </c>
      <c r="D3511" t="n">
        <v>-53.3134</v>
      </c>
      <c r="E3511" t="inlineStr">
        <is>
          <t>2023-12</t>
        </is>
      </c>
      <c r="F3511" t="n">
        <v>0</v>
      </c>
    </row>
    <row r="3512">
      <c r="A3512" t="inlineStr">
        <is>
          <t>Milho</t>
        </is>
      </c>
      <c r="B3512" t="inlineStr">
        <is>
          <t>Limoeiro de Anadia - AL</t>
        </is>
      </c>
      <c r="C3512" t="n">
        <v>-9.74098</v>
      </c>
      <c r="D3512" t="n">
        <v>-36.5121</v>
      </c>
      <c r="E3512" t="inlineStr">
        <is>
          <t>2024-01</t>
        </is>
      </c>
      <c r="F3512" t="n">
        <v>0</v>
      </c>
    </row>
    <row r="3513">
      <c r="A3513" t="inlineStr">
        <is>
          <t>Milho</t>
        </is>
      </c>
      <c r="B3513" t="inlineStr">
        <is>
          <t>Limoeiro de Anadia - AL</t>
        </is>
      </c>
      <c r="C3513" t="n">
        <v>-9.74098</v>
      </c>
      <c r="D3513" t="n">
        <v>-36.5121</v>
      </c>
      <c r="E3513" t="inlineStr">
        <is>
          <t>2024-02</t>
        </is>
      </c>
      <c r="F3513" t="n">
        <v>0</v>
      </c>
    </row>
    <row r="3514">
      <c r="A3514" t="inlineStr">
        <is>
          <t>Milho</t>
        </is>
      </c>
      <c r="B3514" t="inlineStr">
        <is>
          <t>Limoeiro de Anadia - AL</t>
        </is>
      </c>
      <c r="C3514" t="n">
        <v>-9.74098</v>
      </c>
      <c r="D3514" t="n">
        <v>-36.5121</v>
      </c>
      <c r="E3514" t="inlineStr">
        <is>
          <t>2024-03</t>
        </is>
      </c>
      <c r="F3514" t="n">
        <v>0</v>
      </c>
    </row>
    <row r="3515">
      <c r="A3515" t="inlineStr">
        <is>
          <t>Milho</t>
        </is>
      </c>
      <c r="B3515" t="inlineStr">
        <is>
          <t>Limoeiro de Anadia - AL</t>
        </is>
      </c>
      <c r="C3515" t="n">
        <v>-9.74098</v>
      </c>
      <c r="D3515" t="n">
        <v>-36.5121</v>
      </c>
      <c r="E3515" t="inlineStr">
        <is>
          <t>2024-04</t>
        </is>
      </c>
      <c r="F3515" t="n">
        <v>0</v>
      </c>
    </row>
    <row r="3516">
      <c r="A3516" t="inlineStr">
        <is>
          <t>Milho</t>
        </is>
      </c>
      <c r="B3516" t="inlineStr">
        <is>
          <t>Limoeiro de Anadia - AL</t>
        </is>
      </c>
      <c r="C3516" t="n">
        <v>-9.74098</v>
      </c>
      <c r="D3516" t="n">
        <v>-36.5121</v>
      </c>
      <c r="E3516" t="inlineStr">
        <is>
          <t>2024-05</t>
        </is>
      </c>
      <c r="F3516" t="n">
        <v>0</v>
      </c>
    </row>
    <row r="3517">
      <c r="A3517" t="inlineStr">
        <is>
          <t>Milho</t>
        </is>
      </c>
      <c r="B3517" t="inlineStr">
        <is>
          <t>Limoeiro de Anadia - AL</t>
        </is>
      </c>
      <c r="C3517" t="n">
        <v>-9.74098</v>
      </c>
      <c r="D3517" t="n">
        <v>-36.5121</v>
      </c>
      <c r="E3517" t="inlineStr">
        <is>
          <t>2024-06</t>
        </is>
      </c>
      <c r="F3517" t="n">
        <v>0</v>
      </c>
    </row>
    <row r="3518">
      <c r="A3518" t="inlineStr">
        <is>
          <t>Milho</t>
        </is>
      </c>
      <c r="B3518" t="inlineStr">
        <is>
          <t>Limoeiro de Anadia - AL</t>
        </is>
      </c>
      <c r="C3518" t="n">
        <v>-9.74098</v>
      </c>
      <c r="D3518" t="n">
        <v>-36.5121</v>
      </c>
      <c r="E3518" t="inlineStr">
        <is>
          <t>2023-07</t>
        </is>
      </c>
      <c r="F3518" t="n">
        <v>0</v>
      </c>
    </row>
    <row r="3519">
      <c r="A3519" t="inlineStr">
        <is>
          <t>Milho</t>
        </is>
      </c>
      <c r="B3519" t="inlineStr">
        <is>
          <t>Limoeiro de Anadia - AL</t>
        </is>
      </c>
      <c r="C3519" t="n">
        <v>-9.74098</v>
      </c>
      <c r="D3519" t="n">
        <v>-36.5121</v>
      </c>
      <c r="E3519" t="inlineStr">
        <is>
          <t>2023-08</t>
        </is>
      </c>
      <c r="F3519" t="n">
        <v>0</v>
      </c>
    </row>
    <row r="3520">
      <c r="A3520" t="inlineStr">
        <is>
          <t>Milho</t>
        </is>
      </c>
      <c r="B3520" t="inlineStr">
        <is>
          <t>Limoeiro de Anadia - AL</t>
        </is>
      </c>
      <c r="C3520" t="n">
        <v>-9.74098</v>
      </c>
      <c r="D3520" t="n">
        <v>-36.5121</v>
      </c>
      <c r="E3520" t="inlineStr">
        <is>
          <t>2023-09</t>
        </is>
      </c>
      <c r="F3520" t="n">
        <v>0</v>
      </c>
    </row>
    <row r="3521">
      <c r="A3521" t="inlineStr">
        <is>
          <t>Milho</t>
        </is>
      </c>
      <c r="B3521" t="inlineStr">
        <is>
          <t>Limoeiro de Anadia - AL</t>
        </is>
      </c>
      <c r="C3521" t="n">
        <v>-9.74098</v>
      </c>
      <c r="D3521" t="n">
        <v>-36.5121</v>
      </c>
      <c r="E3521" t="inlineStr">
        <is>
          <t>2023-10</t>
        </is>
      </c>
      <c r="F3521" t="n">
        <v>0</v>
      </c>
    </row>
    <row r="3522">
      <c r="A3522" t="inlineStr">
        <is>
          <t>Milho</t>
        </is>
      </c>
      <c r="B3522" t="inlineStr">
        <is>
          <t>Limoeiro de Anadia - AL</t>
        </is>
      </c>
      <c r="C3522" t="n">
        <v>-9.74098</v>
      </c>
      <c r="D3522" t="n">
        <v>-36.5121</v>
      </c>
      <c r="E3522" t="inlineStr">
        <is>
          <t>2023-11</t>
        </is>
      </c>
      <c r="F3522" t="n">
        <v>0</v>
      </c>
    </row>
    <row r="3523">
      <c r="A3523" t="inlineStr">
        <is>
          <t>Milho</t>
        </is>
      </c>
      <c r="B3523" t="inlineStr">
        <is>
          <t>Limoeiro de Anadia - AL</t>
        </is>
      </c>
      <c r="C3523" t="n">
        <v>-9.74098</v>
      </c>
      <c r="D3523" t="n">
        <v>-36.5121</v>
      </c>
      <c r="E3523" t="inlineStr">
        <is>
          <t>2023-12</t>
        </is>
      </c>
      <c r="F3523" t="n">
        <v>0</v>
      </c>
    </row>
    <row r="3524">
      <c r="A3524" t="inlineStr">
        <is>
          <t>Milho</t>
        </is>
      </c>
      <c r="B3524" t="inlineStr">
        <is>
          <t>Macapá - AP</t>
        </is>
      </c>
      <c r="C3524" t="n">
        <v>0.034934</v>
      </c>
      <c r="D3524" t="n">
        <v>-51.0694</v>
      </c>
      <c r="E3524" t="inlineStr">
        <is>
          <t>2024-01</t>
        </is>
      </c>
      <c r="F3524" t="n">
        <v>0</v>
      </c>
    </row>
    <row r="3525">
      <c r="A3525" t="inlineStr">
        <is>
          <t>Milho</t>
        </is>
      </c>
      <c r="B3525" t="inlineStr">
        <is>
          <t>Macapá - AP</t>
        </is>
      </c>
      <c r="C3525" t="n">
        <v>0.034934</v>
      </c>
      <c r="D3525" t="n">
        <v>-51.0694</v>
      </c>
      <c r="E3525" t="inlineStr">
        <is>
          <t>2024-02</t>
        </is>
      </c>
      <c r="F3525" t="n">
        <v>0</v>
      </c>
    </row>
    <row r="3526">
      <c r="A3526" t="inlineStr">
        <is>
          <t>Milho</t>
        </is>
      </c>
      <c r="B3526" t="inlineStr">
        <is>
          <t>Macapá - AP</t>
        </is>
      </c>
      <c r="C3526" t="n">
        <v>0.034934</v>
      </c>
      <c r="D3526" t="n">
        <v>-51.0694</v>
      </c>
      <c r="E3526" t="inlineStr">
        <is>
          <t>2024-03</t>
        </is>
      </c>
      <c r="F3526" t="n">
        <v>0</v>
      </c>
    </row>
    <row r="3527">
      <c r="A3527" t="inlineStr">
        <is>
          <t>Milho</t>
        </is>
      </c>
      <c r="B3527" t="inlineStr">
        <is>
          <t>Macapá - AP</t>
        </is>
      </c>
      <c r="C3527" t="n">
        <v>0.034934</v>
      </c>
      <c r="D3527" t="n">
        <v>-51.0694</v>
      </c>
      <c r="E3527" t="inlineStr">
        <is>
          <t>2024-04</t>
        </is>
      </c>
      <c r="F3527" t="n">
        <v>0</v>
      </c>
    </row>
    <row r="3528">
      <c r="A3528" t="inlineStr">
        <is>
          <t>Milho</t>
        </is>
      </c>
      <c r="B3528" t="inlineStr">
        <is>
          <t>Macapá - AP</t>
        </is>
      </c>
      <c r="C3528" t="n">
        <v>0.034934</v>
      </c>
      <c r="D3528" t="n">
        <v>-51.0694</v>
      </c>
      <c r="E3528" t="inlineStr">
        <is>
          <t>2024-05</t>
        </is>
      </c>
      <c r="F3528" t="n">
        <v>0</v>
      </c>
    </row>
    <row r="3529">
      <c r="A3529" t="inlineStr">
        <is>
          <t>Milho</t>
        </is>
      </c>
      <c r="B3529" t="inlineStr">
        <is>
          <t>Macapá - AP</t>
        </is>
      </c>
      <c r="C3529" t="n">
        <v>0.034934</v>
      </c>
      <c r="D3529" t="n">
        <v>-51.0694</v>
      </c>
      <c r="E3529" t="inlineStr">
        <is>
          <t>2024-06</t>
        </is>
      </c>
      <c r="F3529" t="n">
        <v>0</v>
      </c>
    </row>
    <row r="3530">
      <c r="A3530" t="inlineStr">
        <is>
          <t>Milho</t>
        </is>
      </c>
      <c r="B3530" t="inlineStr">
        <is>
          <t>Macapá - AP</t>
        </is>
      </c>
      <c r="C3530" t="n">
        <v>0.034934</v>
      </c>
      <c r="D3530" t="n">
        <v>-51.0694</v>
      </c>
      <c r="E3530" t="inlineStr">
        <is>
          <t>2023-07</t>
        </is>
      </c>
      <c r="F3530" t="n">
        <v>0</v>
      </c>
    </row>
    <row r="3531">
      <c r="A3531" t="inlineStr">
        <is>
          <t>Milho</t>
        </is>
      </c>
      <c r="B3531" t="inlineStr">
        <is>
          <t>Macapá - AP</t>
        </is>
      </c>
      <c r="C3531" t="n">
        <v>0.034934</v>
      </c>
      <c r="D3531" t="n">
        <v>-51.0694</v>
      </c>
      <c r="E3531" t="inlineStr">
        <is>
          <t>2023-08</t>
        </is>
      </c>
      <c r="F3531" t="n">
        <v>0</v>
      </c>
    </row>
    <row r="3532">
      <c r="A3532" t="inlineStr">
        <is>
          <t>Milho</t>
        </is>
      </c>
      <c r="B3532" t="inlineStr">
        <is>
          <t>Macapá - AP</t>
        </is>
      </c>
      <c r="C3532" t="n">
        <v>0.034934</v>
      </c>
      <c r="D3532" t="n">
        <v>-51.0694</v>
      </c>
      <c r="E3532" t="inlineStr">
        <is>
          <t>2023-09</t>
        </is>
      </c>
      <c r="F3532" t="n">
        <v>0</v>
      </c>
    </row>
    <row r="3533">
      <c r="A3533" t="inlineStr">
        <is>
          <t>Milho</t>
        </is>
      </c>
      <c r="B3533" t="inlineStr">
        <is>
          <t>Macapá - AP</t>
        </is>
      </c>
      <c r="C3533" t="n">
        <v>0.034934</v>
      </c>
      <c r="D3533" t="n">
        <v>-51.0694</v>
      </c>
      <c r="E3533" t="inlineStr">
        <is>
          <t>2023-10</t>
        </is>
      </c>
      <c r="F3533" t="n">
        <v>0</v>
      </c>
    </row>
    <row r="3534">
      <c r="A3534" t="inlineStr">
        <is>
          <t>Milho</t>
        </is>
      </c>
      <c r="B3534" t="inlineStr">
        <is>
          <t>Macapá - AP</t>
        </is>
      </c>
      <c r="C3534" t="n">
        <v>0.034934</v>
      </c>
      <c r="D3534" t="n">
        <v>-51.0694</v>
      </c>
      <c r="E3534" t="inlineStr">
        <is>
          <t>2023-11</t>
        </is>
      </c>
      <c r="F3534" t="n">
        <v>0</v>
      </c>
    </row>
    <row r="3535">
      <c r="A3535" t="inlineStr">
        <is>
          <t>Milho</t>
        </is>
      </c>
      <c r="B3535" t="inlineStr">
        <is>
          <t>Macapá - AP</t>
        </is>
      </c>
      <c r="C3535" t="n">
        <v>0.034934</v>
      </c>
      <c r="D3535" t="n">
        <v>-51.0694</v>
      </c>
      <c r="E3535" t="inlineStr">
        <is>
          <t>2023-12</t>
        </is>
      </c>
      <c r="F3535" t="n">
        <v>0</v>
      </c>
    </row>
    <row r="3536">
      <c r="A3536" t="inlineStr">
        <is>
          <t>Milho</t>
        </is>
      </c>
      <c r="B3536" t="inlineStr">
        <is>
          <t>Correntina - BA</t>
        </is>
      </c>
      <c r="C3536" t="n">
        <v>-13.3477</v>
      </c>
      <c r="D3536" t="n">
        <v>-44.6333</v>
      </c>
      <c r="E3536" t="inlineStr">
        <is>
          <t>2024-01</t>
        </is>
      </c>
      <c r="F3536" t="n">
        <v>0</v>
      </c>
    </row>
    <row r="3537">
      <c r="A3537" t="inlineStr">
        <is>
          <t>Milho</t>
        </is>
      </c>
      <c r="B3537" t="inlineStr">
        <is>
          <t>Correntina - BA</t>
        </is>
      </c>
      <c r="C3537" t="n">
        <v>-13.3477</v>
      </c>
      <c r="D3537" t="n">
        <v>-44.6333</v>
      </c>
      <c r="E3537" t="inlineStr">
        <is>
          <t>2024-02</t>
        </is>
      </c>
      <c r="F3537" t="n">
        <v>0</v>
      </c>
    </row>
    <row r="3538">
      <c r="A3538" t="inlineStr">
        <is>
          <t>Milho</t>
        </is>
      </c>
      <c r="B3538" t="inlineStr">
        <is>
          <t>Correntina - BA</t>
        </is>
      </c>
      <c r="C3538" t="n">
        <v>-13.3477</v>
      </c>
      <c r="D3538" t="n">
        <v>-44.6333</v>
      </c>
      <c r="E3538" t="inlineStr">
        <is>
          <t>2024-03</t>
        </is>
      </c>
      <c r="F3538" t="n">
        <v>0</v>
      </c>
    </row>
    <row r="3539">
      <c r="A3539" t="inlineStr">
        <is>
          <t>Milho</t>
        </is>
      </c>
      <c r="B3539" t="inlineStr">
        <is>
          <t>Correntina - BA</t>
        </is>
      </c>
      <c r="C3539" t="n">
        <v>-13.3477</v>
      </c>
      <c r="D3539" t="n">
        <v>-44.6333</v>
      </c>
      <c r="E3539" t="inlineStr">
        <is>
          <t>2024-04</t>
        </is>
      </c>
      <c r="F3539" t="n">
        <v>0</v>
      </c>
    </row>
    <row r="3540">
      <c r="A3540" t="inlineStr">
        <is>
          <t>Milho</t>
        </is>
      </c>
      <c r="B3540" t="inlineStr">
        <is>
          <t>Correntina - BA</t>
        </is>
      </c>
      <c r="C3540" t="n">
        <v>-13.3477</v>
      </c>
      <c r="D3540" t="n">
        <v>-44.6333</v>
      </c>
      <c r="E3540" t="inlineStr">
        <is>
          <t>2024-05</t>
        </is>
      </c>
      <c r="F3540" t="n">
        <v>0</v>
      </c>
    </row>
    <row r="3541">
      <c r="A3541" t="inlineStr">
        <is>
          <t>Milho</t>
        </is>
      </c>
      <c r="B3541" t="inlineStr">
        <is>
          <t>Correntina - BA</t>
        </is>
      </c>
      <c r="C3541" t="n">
        <v>-13.3477</v>
      </c>
      <c r="D3541" t="n">
        <v>-44.6333</v>
      </c>
      <c r="E3541" t="inlineStr">
        <is>
          <t>2024-06</t>
        </is>
      </c>
      <c r="F3541" t="n">
        <v>0</v>
      </c>
    </row>
    <row r="3542">
      <c r="A3542" t="inlineStr">
        <is>
          <t>Milho</t>
        </is>
      </c>
      <c r="B3542" t="inlineStr">
        <is>
          <t>Correntina - BA</t>
        </is>
      </c>
      <c r="C3542" t="n">
        <v>-13.3477</v>
      </c>
      <c r="D3542" t="n">
        <v>-44.6333</v>
      </c>
      <c r="E3542" t="inlineStr">
        <is>
          <t>2023-07</t>
        </is>
      </c>
      <c r="F3542" t="n">
        <v>0</v>
      </c>
    </row>
    <row r="3543">
      <c r="A3543" t="inlineStr">
        <is>
          <t>Milho</t>
        </is>
      </c>
      <c r="B3543" t="inlineStr">
        <is>
          <t>Correntina - BA</t>
        </is>
      </c>
      <c r="C3543" t="n">
        <v>-13.3477</v>
      </c>
      <c r="D3543" t="n">
        <v>-44.6333</v>
      </c>
      <c r="E3543" t="inlineStr">
        <is>
          <t>2023-08</t>
        </is>
      </c>
      <c r="F3543" t="n">
        <v>8638.082910434276</v>
      </c>
    </row>
    <row r="3544">
      <c r="A3544" t="inlineStr">
        <is>
          <t>Milho</t>
        </is>
      </c>
      <c r="B3544" t="inlineStr">
        <is>
          <t>Correntina - BA</t>
        </is>
      </c>
      <c r="C3544" t="n">
        <v>-13.3477</v>
      </c>
      <c r="D3544" t="n">
        <v>-44.6333</v>
      </c>
      <c r="E3544" t="inlineStr">
        <is>
          <t>2023-09</t>
        </is>
      </c>
      <c r="F3544" t="n">
        <v>19215.30272368207</v>
      </c>
    </row>
    <row r="3545">
      <c r="A3545" t="inlineStr">
        <is>
          <t>Milho</t>
        </is>
      </c>
      <c r="B3545" t="inlineStr">
        <is>
          <t>Correntina - BA</t>
        </is>
      </c>
      <c r="C3545" t="n">
        <v>-13.3477</v>
      </c>
      <c r="D3545" t="n">
        <v>-44.6333</v>
      </c>
      <c r="E3545" t="inlineStr">
        <is>
          <t>2023-10</t>
        </is>
      </c>
      <c r="F3545" t="n">
        <v>139264.9281353458</v>
      </c>
    </row>
    <row r="3546">
      <c r="A3546" t="inlineStr">
        <is>
          <t>Milho</t>
        </is>
      </c>
      <c r="B3546" t="inlineStr">
        <is>
          <t>Correntina - BA</t>
        </is>
      </c>
      <c r="C3546" t="n">
        <v>-13.3477</v>
      </c>
      <c r="D3546" t="n">
        <v>-44.6333</v>
      </c>
      <c r="E3546" t="inlineStr">
        <is>
          <t>2023-11</t>
        </is>
      </c>
      <c r="F3546" t="n">
        <v>192044.5088125779</v>
      </c>
    </row>
    <row r="3547">
      <c r="A3547" t="inlineStr">
        <is>
          <t>Milho</t>
        </is>
      </c>
      <c r="B3547" t="inlineStr">
        <is>
          <t>Correntina - BA</t>
        </is>
      </c>
      <c r="C3547" t="n">
        <v>-13.3477</v>
      </c>
      <c r="D3547" t="n">
        <v>-44.6333</v>
      </c>
      <c r="E3547" t="inlineStr">
        <is>
          <t>2023-12</t>
        </is>
      </c>
      <c r="F3547" t="n">
        <v>0</v>
      </c>
    </row>
    <row r="3548">
      <c r="A3548" t="inlineStr">
        <is>
          <t>Milho</t>
        </is>
      </c>
      <c r="B3548" t="inlineStr">
        <is>
          <t>Crateús - CE</t>
        </is>
      </c>
      <c r="C3548" t="n">
        <v>-5.16768</v>
      </c>
      <c r="D3548" t="n">
        <v>-40.6536</v>
      </c>
      <c r="E3548" t="inlineStr">
        <is>
          <t>2024-01</t>
        </is>
      </c>
      <c r="F3548" t="n">
        <v>0</v>
      </c>
    </row>
    <row r="3549">
      <c r="A3549" t="inlineStr">
        <is>
          <t>Milho</t>
        </is>
      </c>
      <c r="B3549" t="inlineStr">
        <is>
          <t>Crateús - CE</t>
        </is>
      </c>
      <c r="C3549" t="n">
        <v>-5.16768</v>
      </c>
      <c r="D3549" t="n">
        <v>-40.6536</v>
      </c>
      <c r="E3549" t="inlineStr">
        <is>
          <t>2024-02</t>
        </is>
      </c>
      <c r="F3549" t="n">
        <v>0</v>
      </c>
    </row>
    <row r="3550">
      <c r="A3550" t="inlineStr">
        <is>
          <t>Milho</t>
        </is>
      </c>
      <c r="B3550" t="inlineStr">
        <is>
          <t>Crateús - CE</t>
        </is>
      </c>
      <c r="C3550" t="n">
        <v>-5.16768</v>
      </c>
      <c r="D3550" t="n">
        <v>-40.6536</v>
      </c>
      <c r="E3550" t="inlineStr">
        <is>
          <t>2024-03</t>
        </is>
      </c>
      <c r="F3550" t="n">
        <v>0</v>
      </c>
    </row>
    <row r="3551">
      <c r="A3551" t="inlineStr">
        <is>
          <t>Milho</t>
        </is>
      </c>
      <c r="B3551" t="inlineStr">
        <is>
          <t>Crateús - CE</t>
        </is>
      </c>
      <c r="C3551" t="n">
        <v>-5.16768</v>
      </c>
      <c r="D3551" t="n">
        <v>-40.6536</v>
      </c>
      <c r="E3551" t="inlineStr">
        <is>
          <t>2024-04</t>
        </is>
      </c>
      <c r="F3551" t="n">
        <v>0</v>
      </c>
    </row>
    <row r="3552">
      <c r="A3552" t="inlineStr">
        <is>
          <t>Milho</t>
        </is>
      </c>
      <c r="B3552" t="inlineStr">
        <is>
          <t>Crateús - CE</t>
        </is>
      </c>
      <c r="C3552" t="n">
        <v>-5.16768</v>
      </c>
      <c r="D3552" t="n">
        <v>-40.6536</v>
      </c>
      <c r="E3552" t="inlineStr">
        <is>
          <t>2024-05</t>
        </is>
      </c>
      <c r="F3552" t="n">
        <v>91545.73538588193</v>
      </c>
    </row>
    <row r="3553">
      <c r="A3553" t="inlineStr">
        <is>
          <t>Milho</t>
        </is>
      </c>
      <c r="B3553" t="inlineStr">
        <is>
          <t>Crateús - CE</t>
        </is>
      </c>
      <c r="C3553" t="n">
        <v>-5.16768</v>
      </c>
      <c r="D3553" t="n">
        <v>-40.6536</v>
      </c>
      <c r="E3553" t="inlineStr">
        <is>
          <t>2024-06</t>
        </is>
      </c>
      <c r="F3553" t="n">
        <v>79771.3719215797</v>
      </c>
    </row>
    <row r="3554">
      <c r="A3554" t="inlineStr">
        <is>
          <t>Milho</t>
        </is>
      </c>
      <c r="B3554" t="inlineStr">
        <is>
          <t>Crateús - CE</t>
        </is>
      </c>
      <c r="C3554" t="n">
        <v>-5.16768</v>
      </c>
      <c r="D3554" t="n">
        <v>-40.6536</v>
      </c>
      <c r="E3554" t="inlineStr">
        <is>
          <t>2023-07</t>
        </is>
      </c>
      <c r="F3554" t="n">
        <v>181653.6527362846</v>
      </c>
    </row>
    <row r="3555">
      <c r="A3555" t="inlineStr">
        <is>
          <t>Milho</t>
        </is>
      </c>
      <c r="B3555" t="inlineStr">
        <is>
          <t>Crateús - CE</t>
        </is>
      </c>
      <c r="C3555" t="n">
        <v>-5.16768</v>
      </c>
      <c r="D3555" t="n">
        <v>-40.6536</v>
      </c>
      <c r="E3555" t="inlineStr">
        <is>
          <t>2023-08</t>
        </is>
      </c>
      <c r="F3555" t="n">
        <v>93996.03745709259</v>
      </c>
    </row>
    <row r="3556">
      <c r="A3556" t="inlineStr">
        <is>
          <t>Milho</t>
        </is>
      </c>
      <c r="B3556" t="inlineStr">
        <is>
          <t>Crateús - CE</t>
        </is>
      </c>
      <c r="C3556" t="n">
        <v>-5.16768</v>
      </c>
      <c r="D3556" t="n">
        <v>-40.6536</v>
      </c>
      <c r="E3556" t="inlineStr">
        <is>
          <t>2023-09</t>
        </is>
      </c>
      <c r="F3556" t="n">
        <v>52273.23971337581</v>
      </c>
    </row>
    <row r="3557">
      <c r="A3557" t="inlineStr">
        <is>
          <t>Milho</t>
        </is>
      </c>
      <c r="B3557" t="inlineStr">
        <is>
          <t>Crateús - CE</t>
        </is>
      </c>
      <c r="C3557" t="n">
        <v>-5.16768</v>
      </c>
      <c r="D3557" t="n">
        <v>-40.6536</v>
      </c>
      <c r="E3557" t="inlineStr">
        <is>
          <t>2023-10</t>
        </is>
      </c>
      <c r="F3557" t="n">
        <v>0</v>
      </c>
    </row>
    <row r="3558">
      <c r="A3558" t="inlineStr">
        <is>
          <t>Milho</t>
        </is>
      </c>
      <c r="B3558" t="inlineStr">
        <is>
          <t>Crateús - CE</t>
        </is>
      </c>
      <c r="C3558" t="n">
        <v>-5.16768</v>
      </c>
      <c r="D3558" t="n">
        <v>-40.6536</v>
      </c>
      <c r="E3558" t="inlineStr">
        <is>
          <t>2023-11</t>
        </is>
      </c>
      <c r="F3558" t="n">
        <v>0</v>
      </c>
    </row>
    <row r="3559">
      <c r="A3559" t="inlineStr">
        <is>
          <t>Milho</t>
        </is>
      </c>
      <c r="B3559" t="inlineStr">
        <is>
          <t>Crateús - CE</t>
        </is>
      </c>
      <c r="C3559" t="n">
        <v>-5.16768</v>
      </c>
      <c r="D3559" t="n">
        <v>-40.6536</v>
      </c>
      <c r="E3559" t="inlineStr">
        <is>
          <t>2023-12</t>
        </is>
      </c>
      <c r="F3559" t="n">
        <v>0</v>
      </c>
    </row>
    <row r="3560">
      <c r="A3560" t="inlineStr">
        <is>
          <t>Milho</t>
        </is>
      </c>
      <c r="B3560" t="inlineStr">
        <is>
          <t>Brasília - DF</t>
        </is>
      </c>
      <c r="C3560" t="n">
        <v>-15.7795</v>
      </c>
      <c r="D3560" t="n">
        <v>-47.9297</v>
      </c>
      <c r="E3560" t="inlineStr">
        <is>
          <t>2024-01</t>
        </is>
      </c>
      <c r="F3560" t="n">
        <v>0</v>
      </c>
    </row>
    <row r="3561">
      <c r="A3561" t="inlineStr">
        <is>
          <t>Milho</t>
        </is>
      </c>
      <c r="B3561" t="inlineStr">
        <is>
          <t>Brasília - DF</t>
        </is>
      </c>
      <c r="C3561" t="n">
        <v>-15.7795</v>
      </c>
      <c r="D3561" t="n">
        <v>-47.9297</v>
      </c>
      <c r="E3561" t="inlineStr">
        <is>
          <t>2024-02</t>
        </is>
      </c>
      <c r="F3561" t="n">
        <v>0</v>
      </c>
    </row>
    <row r="3562">
      <c r="A3562" t="inlineStr">
        <is>
          <t>Milho</t>
        </is>
      </c>
      <c r="B3562" t="inlineStr">
        <is>
          <t>Brasília - DF</t>
        </is>
      </c>
      <c r="C3562" t="n">
        <v>-15.7795</v>
      </c>
      <c r="D3562" t="n">
        <v>-47.9297</v>
      </c>
      <c r="E3562" t="inlineStr">
        <is>
          <t>2024-03</t>
        </is>
      </c>
      <c r="F3562" t="n">
        <v>0</v>
      </c>
    </row>
    <row r="3563">
      <c r="A3563" t="inlineStr">
        <is>
          <t>Milho</t>
        </is>
      </c>
      <c r="B3563" t="inlineStr">
        <is>
          <t>Brasília - DF</t>
        </is>
      </c>
      <c r="C3563" t="n">
        <v>-15.7795</v>
      </c>
      <c r="D3563" t="n">
        <v>-47.9297</v>
      </c>
      <c r="E3563" t="inlineStr">
        <is>
          <t>2024-04</t>
        </is>
      </c>
      <c r="F3563" t="n">
        <v>0</v>
      </c>
    </row>
    <row r="3564">
      <c r="A3564" t="inlineStr">
        <is>
          <t>Milho</t>
        </is>
      </c>
      <c r="B3564" t="inlineStr">
        <is>
          <t>Brasília - DF</t>
        </is>
      </c>
      <c r="C3564" t="n">
        <v>-15.7795</v>
      </c>
      <c r="D3564" t="n">
        <v>-47.9297</v>
      </c>
      <c r="E3564" t="inlineStr">
        <is>
          <t>2024-05</t>
        </is>
      </c>
      <c r="F3564" t="n">
        <v>30849.3413973661</v>
      </c>
    </row>
    <row r="3565">
      <c r="A3565" t="inlineStr">
        <is>
          <t>Milho</t>
        </is>
      </c>
      <c r="B3565" t="inlineStr">
        <is>
          <t>Brasília - DF</t>
        </is>
      </c>
      <c r="C3565" t="n">
        <v>-15.7795</v>
      </c>
      <c r="D3565" t="n">
        <v>-47.9297</v>
      </c>
      <c r="E3565" t="inlineStr">
        <is>
          <t>2024-06</t>
        </is>
      </c>
      <c r="F3565" t="n">
        <v>44802.63837108233</v>
      </c>
    </row>
    <row r="3566">
      <c r="A3566" t="inlineStr">
        <is>
          <t>Milho</t>
        </is>
      </c>
      <c r="B3566" t="inlineStr">
        <is>
          <t>Brasília - DF</t>
        </is>
      </c>
      <c r="C3566" t="n">
        <v>-15.7795</v>
      </c>
      <c r="D3566" t="n">
        <v>-47.9297</v>
      </c>
      <c r="E3566" t="inlineStr">
        <is>
          <t>2023-07</t>
        </is>
      </c>
      <c r="F3566" t="n">
        <v>43724.40199830793</v>
      </c>
    </row>
    <row r="3567">
      <c r="A3567" t="inlineStr">
        <is>
          <t>Milho</t>
        </is>
      </c>
      <c r="B3567" t="inlineStr">
        <is>
          <t>Brasília - DF</t>
        </is>
      </c>
      <c r="C3567" t="n">
        <v>-15.7795</v>
      </c>
      <c r="D3567" t="n">
        <v>-47.9297</v>
      </c>
      <c r="E3567" t="inlineStr">
        <is>
          <t>2023-08</t>
        </is>
      </c>
      <c r="F3567" t="n">
        <v>31675.05113472114</v>
      </c>
    </row>
    <row r="3568">
      <c r="A3568" t="inlineStr">
        <is>
          <t>Milho</t>
        </is>
      </c>
      <c r="B3568" t="inlineStr">
        <is>
          <t>Brasília - DF</t>
        </is>
      </c>
      <c r="C3568" t="n">
        <v>-15.7795</v>
      </c>
      <c r="D3568" t="n">
        <v>-47.9297</v>
      </c>
      <c r="E3568" t="inlineStr">
        <is>
          <t>2023-09</t>
        </is>
      </c>
      <c r="F3568" t="n">
        <v>0</v>
      </c>
    </row>
    <row r="3569">
      <c r="A3569" t="inlineStr">
        <is>
          <t>Milho</t>
        </is>
      </c>
      <c r="B3569" t="inlineStr">
        <is>
          <t>Brasília - DF</t>
        </is>
      </c>
      <c r="C3569" t="n">
        <v>-15.7795</v>
      </c>
      <c r="D3569" t="n">
        <v>-47.9297</v>
      </c>
      <c r="E3569" t="inlineStr">
        <is>
          <t>2023-10</t>
        </is>
      </c>
      <c r="F3569" t="n">
        <v>0</v>
      </c>
    </row>
    <row r="3570">
      <c r="A3570" t="inlineStr">
        <is>
          <t>Milho</t>
        </is>
      </c>
      <c r="B3570" t="inlineStr">
        <is>
          <t>Brasília - DF</t>
        </is>
      </c>
      <c r="C3570" t="n">
        <v>-15.7795</v>
      </c>
      <c r="D3570" t="n">
        <v>-47.9297</v>
      </c>
      <c r="E3570" t="inlineStr">
        <is>
          <t>2023-11</t>
        </is>
      </c>
      <c r="F3570" t="n">
        <v>0</v>
      </c>
    </row>
    <row r="3571">
      <c r="A3571" t="inlineStr">
        <is>
          <t>Milho</t>
        </is>
      </c>
      <c r="B3571" t="inlineStr">
        <is>
          <t>Brasília - DF</t>
        </is>
      </c>
      <c r="C3571" t="n">
        <v>-15.7795</v>
      </c>
      <c r="D3571" t="n">
        <v>-47.9297</v>
      </c>
      <c r="E3571" t="inlineStr">
        <is>
          <t>2023-12</t>
        </is>
      </c>
      <c r="F3571" t="n">
        <v>0</v>
      </c>
    </row>
    <row r="3572">
      <c r="A3572" t="inlineStr">
        <is>
          <t>Milho</t>
        </is>
      </c>
      <c r="B3572" t="inlineStr">
        <is>
          <t>Pinheiros - ES</t>
        </is>
      </c>
      <c r="C3572" t="n">
        <v>-18.4141</v>
      </c>
      <c r="D3572" t="n">
        <v>-40.2171</v>
      </c>
      <c r="E3572" t="inlineStr">
        <is>
          <t>2024-01</t>
        </is>
      </c>
      <c r="F3572" t="n">
        <v>0</v>
      </c>
    </row>
    <row r="3573">
      <c r="A3573" t="inlineStr">
        <is>
          <t>Milho</t>
        </is>
      </c>
      <c r="B3573" t="inlineStr">
        <is>
          <t>Pinheiros - ES</t>
        </is>
      </c>
      <c r="C3573" t="n">
        <v>-18.4141</v>
      </c>
      <c r="D3573" t="n">
        <v>-40.2171</v>
      </c>
      <c r="E3573" t="inlineStr">
        <is>
          <t>2024-02</t>
        </is>
      </c>
      <c r="F3573" t="n">
        <v>0</v>
      </c>
    </row>
    <row r="3574">
      <c r="A3574" t="inlineStr">
        <is>
          <t>Milho</t>
        </is>
      </c>
      <c r="B3574" t="inlineStr">
        <is>
          <t>Pinheiros - ES</t>
        </is>
      </c>
      <c r="C3574" t="n">
        <v>-18.4141</v>
      </c>
      <c r="D3574" t="n">
        <v>-40.2171</v>
      </c>
      <c r="E3574" t="inlineStr">
        <is>
          <t>2024-03</t>
        </is>
      </c>
      <c r="F3574" t="n">
        <v>0</v>
      </c>
    </row>
    <row r="3575">
      <c r="A3575" t="inlineStr">
        <is>
          <t>Milho</t>
        </is>
      </c>
      <c r="B3575" t="inlineStr">
        <is>
          <t>Pinheiros - ES</t>
        </is>
      </c>
      <c r="C3575" t="n">
        <v>-18.4141</v>
      </c>
      <c r="D3575" t="n">
        <v>-40.2171</v>
      </c>
      <c r="E3575" t="inlineStr">
        <is>
          <t>2024-04</t>
        </is>
      </c>
      <c r="F3575" t="n">
        <v>0</v>
      </c>
    </row>
    <row r="3576">
      <c r="A3576" t="inlineStr">
        <is>
          <t>Milho</t>
        </is>
      </c>
      <c r="B3576" t="inlineStr">
        <is>
          <t>Pinheiros - ES</t>
        </is>
      </c>
      <c r="C3576" t="n">
        <v>-18.4141</v>
      </c>
      <c r="D3576" t="n">
        <v>-40.2171</v>
      </c>
      <c r="E3576" t="inlineStr">
        <is>
          <t>2024-05</t>
        </is>
      </c>
      <c r="F3576" t="n">
        <v>0</v>
      </c>
    </row>
    <row r="3577">
      <c r="A3577" t="inlineStr">
        <is>
          <t>Milho</t>
        </is>
      </c>
      <c r="B3577" t="inlineStr">
        <is>
          <t>Pinheiros - ES</t>
        </is>
      </c>
      <c r="C3577" t="n">
        <v>-18.4141</v>
      </c>
      <c r="D3577" t="n">
        <v>-40.2171</v>
      </c>
      <c r="E3577" t="inlineStr">
        <is>
          <t>2024-06</t>
        </is>
      </c>
      <c r="F3577" t="n">
        <v>1920.99588365466</v>
      </c>
    </row>
    <row r="3578">
      <c r="A3578" t="inlineStr">
        <is>
          <t>Milho</t>
        </is>
      </c>
      <c r="B3578" t="inlineStr">
        <is>
          <t>Pinheiros - ES</t>
        </is>
      </c>
      <c r="C3578" t="n">
        <v>-18.4141</v>
      </c>
      <c r="D3578" t="n">
        <v>-40.2171</v>
      </c>
      <c r="E3578" t="inlineStr">
        <is>
          <t>2023-07</t>
        </is>
      </c>
      <c r="F3578" t="n">
        <v>4374.450517164018</v>
      </c>
    </row>
    <row r="3579">
      <c r="A3579" t="inlineStr">
        <is>
          <t>Milho</t>
        </is>
      </c>
      <c r="B3579" t="inlineStr">
        <is>
          <t>Pinheiros - ES</t>
        </is>
      </c>
      <c r="C3579" t="n">
        <v>-18.4141</v>
      </c>
      <c r="D3579" t="n">
        <v>-40.2171</v>
      </c>
      <c r="E3579" t="inlineStr">
        <is>
          <t>2023-08</t>
        </is>
      </c>
      <c r="F3579" t="n">
        <v>2263.543884044414</v>
      </c>
    </row>
    <row r="3580">
      <c r="A3580" t="inlineStr">
        <is>
          <t>Milho</t>
        </is>
      </c>
      <c r="B3580" t="inlineStr">
        <is>
          <t>Pinheiros - ES</t>
        </is>
      </c>
      <c r="C3580" t="n">
        <v>-18.4141</v>
      </c>
      <c r="D3580" t="n">
        <v>-40.2171</v>
      </c>
      <c r="E3580" t="inlineStr">
        <is>
          <t>2023-09</t>
        </is>
      </c>
      <c r="F3580" t="n">
        <v>1258.805958776888</v>
      </c>
    </row>
    <row r="3581">
      <c r="A3581" t="inlineStr">
        <is>
          <t>Milho</t>
        </is>
      </c>
      <c r="B3581" t="inlineStr">
        <is>
          <t>Pinheiros - ES</t>
        </is>
      </c>
      <c r="C3581" t="n">
        <v>-18.4141</v>
      </c>
      <c r="D3581" t="n">
        <v>-40.2171</v>
      </c>
      <c r="E3581" t="inlineStr">
        <is>
          <t>2023-10</t>
        </is>
      </c>
      <c r="F3581" t="n">
        <v>0</v>
      </c>
    </row>
    <row r="3582">
      <c r="A3582" t="inlineStr">
        <is>
          <t>Milho</t>
        </is>
      </c>
      <c r="B3582" t="inlineStr">
        <is>
          <t>Pinheiros - ES</t>
        </is>
      </c>
      <c r="C3582" t="n">
        <v>-18.4141</v>
      </c>
      <c r="D3582" t="n">
        <v>-40.2171</v>
      </c>
      <c r="E3582" t="inlineStr">
        <is>
          <t>2023-11</t>
        </is>
      </c>
      <c r="F3582" t="n">
        <v>0</v>
      </c>
    </row>
    <row r="3583">
      <c r="A3583" t="inlineStr">
        <is>
          <t>Milho</t>
        </is>
      </c>
      <c r="B3583" t="inlineStr">
        <is>
          <t>Pinheiros - ES</t>
        </is>
      </c>
      <c r="C3583" t="n">
        <v>-18.4141</v>
      </c>
      <c r="D3583" t="n">
        <v>-40.2171</v>
      </c>
      <c r="E3583" t="inlineStr">
        <is>
          <t>2023-12</t>
        </is>
      </c>
      <c r="F3583" t="n">
        <v>0</v>
      </c>
    </row>
    <row r="3584">
      <c r="A3584" t="inlineStr">
        <is>
          <t>Milho</t>
        </is>
      </c>
      <c r="B3584" t="inlineStr">
        <is>
          <t>Rio Verde - GO</t>
        </is>
      </c>
      <c r="C3584" t="n">
        <v>-17.7923</v>
      </c>
      <c r="D3584" t="n">
        <v>-50.9192</v>
      </c>
      <c r="E3584" t="inlineStr">
        <is>
          <t>2024-01</t>
        </is>
      </c>
      <c r="F3584" t="n">
        <v>0</v>
      </c>
    </row>
    <row r="3585">
      <c r="A3585" t="inlineStr">
        <is>
          <t>Milho</t>
        </is>
      </c>
      <c r="B3585" t="inlineStr">
        <is>
          <t>Rio Verde - GO</t>
        </is>
      </c>
      <c r="C3585" t="n">
        <v>-17.7923</v>
      </c>
      <c r="D3585" t="n">
        <v>-50.9192</v>
      </c>
      <c r="E3585" t="inlineStr">
        <is>
          <t>2024-02</t>
        </is>
      </c>
      <c r="F3585" t="n">
        <v>0</v>
      </c>
    </row>
    <row r="3586">
      <c r="A3586" t="inlineStr">
        <is>
          <t>Milho</t>
        </is>
      </c>
      <c r="B3586" t="inlineStr">
        <is>
          <t>Rio Verde - GO</t>
        </is>
      </c>
      <c r="C3586" t="n">
        <v>-17.7923</v>
      </c>
      <c r="D3586" t="n">
        <v>-50.9192</v>
      </c>
      <c r="E3586" t="inlineStr">
        <is>
          <t>2024-03</t>
        </is>
      </c>
      <c r="F3586" t="n">
        <v>0</v>
      </c>
    </row>
    <row r="3587">
      <c r="A3587" t="inlineStr">
        <is>
          <t>Milho</t>
        </is>
      </c>
      <c r="B3587" t="inlineStr">
        <is>
          <t>Rio Verde - GO</t>
        </is>
      </c>
      <c r="C3587" t="n">
        <v>-17.7923</v>
      </c>
      <c r="D3587" t="n">
        <v>-50.9192</v>
      </c>
      <c r="E3587" t="inlineStr">
        <is>
          <t>2024-04</t>
        </is>
      </c>
      <c r="F3587" t="n">
        <v>0</v>
      </c>
    </row>
    <row r="3588">
      <c r="A3588" t="inlineStr">
        <is>
          <t>Milho</t>
        </is>
      </c>
      <c r="B3588" t="inlineStr">
        <is>
          <t>Rio Verde - GO</t>
        </is>
      </c>
      <c r="C3588" t="n">
        <v>-17.7923</v>
      </c>
      <c r="D3588" t="n">
        <v>-50.9192</v>
      </c>
      <c r="E3588" t="inlineStr">
        <is>
          <t>2024-05</t>
        </is>
      </c>
      <c r="F3588" t="n">
        <v>1332234.894169749</v>
      </c>
    </row>
    <row r="3589">
      <c r="A3589" t="inlineStr">
        <is>
          <t>Milho</t>
        </is>
      </c>
      <c r="B3589" t="inlineStr">
        <is>
          <t>Rio Verde - GO</t>
        </is>
      </c>
      <c r="C3589" t="n">
        <v>-17.7923</v>
      </c>
      <c r="D3589" t="n">
        <v>-50.9192</v>
      </c>
      <c r="E3589" t="inlineStr">
        <is>
          <t>2024-06</t>
        </is>
      </c>
      <c r="F3589" t="n">
        <v>1934810.776670923</v>
      </c>
    </row>
    <row r="3590">
      <c r="A3590" t="inlineStr">
        <is>
          <t>Milho</t>
        </is>
      </c>
      <c r="B3590" t="inlineStr">
        <is>
          <t>Rio Verde - GO</t>
        </is>
      </c>
      <c r="C3590" t="n">
        <v>-17.7923</v>
      </c>
      <c r="D3590" t="n">
        <v>-50.9192</v>
      </c>
      <c r="E3590" t="inlineStr">
        <is>
          <t>2023-07</t>
        </is>
      </c>
      <c r="F3590" t="n">
        <v>1888246.926199363</v>
      </c>
    </row>
    <row r="3591">
      <c r="A3591" t="inlineStr">
        <is>
          <t>Milho</t>
        </is>
      </c>
      <c r="B3591" t="inlineStr">
        <is>
          <t>Rio Verde - GO</t>
        </is>
      </c>
      <c r="C3591" t="n">
        <v>-17.7923</v>
      </c>
      <c r="D3591" t="n">
        <v>-50.9192</v>
      </c>
      <c r="E3591" t="inlineStr">
        <is>
          <t>2023-08</t>
        </is>
      </c>
      <c r="F3591" t="n">
        <v>1367893.332072545</v>
      </c>
    </row>
    <row r="3592">
      <c r="A3592" t="inlineStr">
        <is>
          <t>Milho</t>
        </is>
      </c>
      <c r="B3592" t="inlineStr">
        <is>
          <t>Rio Verde - GO</t>
        </is>
      </c>
      <c r="C3592" t="n">
        <v>-17.7923</v>
      </c>
      <c r="D3592" t="n">
        <v>-50.9192</v>
      </c>
      <c r="E3592" t="inlineStr">
        <is>
          <t>2023-09</t>
        </is>
      </c>
      <c r="F3592" t="n">
        <v>760715.217196224</v>
      </c>
    </row>
    <row r="3593">
      <c r="A3593" t="inlineStr">
        <is>
          <t>Milho</t>
        </is>
      </c>
      <c r="B3593" t="inlineStr">
        <is>
          <t>Rio Verde - GO</t>
        </is>
      </c>
      <c r="C3593" t="n">
        <v>-17.7923</v>
      </c>
      <c r="D3593" t="n">
        <v>-50.9192</v>
      </c>
      <c r="E3593" t="inlineStr">
        <is>
          <t>2023-10</t>
        </is>
      </c>
      <c r="F3593" t="n">
        <v>0</v>
      </c>
    </row>
    <row r="3594">
      <c r="A3594" t="inlineStr">
        <is>
          <t>Milho</t>
        </is>
      </c>
      <c r="B3594" t="inlineStr">
        <is>
          <t>Rio Verde - GO</t>
        </is>
      </c>
      <c r="C3594" t="n">
        <v>-17.7923</v>
      </c>
      <c r="D3594" t="n">
        <v>-50.9192</v>
      </c>
      <c r="E3594" t="inlineStr">
        <is>
          <t>2023-11</t>
        </is>
      </c>
      <c r="F3594" t="n">
        <v>0</v>
      </c>
    </row>
    <row r="3595">
      <c r="A3595" t="inlineStr">
        <is>
          <t>Milho</t>
        </is>
      </c>
      <c r="B3595" t="inlineStr">
        <is>
          <t>Rio Verde - GO</t>
        </is>
      </c>
      <c r="C3595" t="n">
        <v>-17.7923</v>
      </c>
      <c r="D3595" t="n">
        <v>-50.9192</v>
      </c>
      <c r="E3595" t="inlineStr">
        <is>
          <t>2023-12</t>
        </is>
      </c>
      <c r="F3595" t="n">
        <v>0</v>
      </c>
    </row>
    <row r="3596">
      <c r="A3596" t="inlineStr">
        <is>
          <t>Milho</t>
        </is>
      </c>
      <c r="B3596" t="inlineStr">
        <is>
          <t>Balsas - MA</t>
        </is>
      </c>
      <c r="C3596" t="n">
        <v>-7.53214</v>
      </c>
      <c r="D3596" t="n">
        <v>-46.0372</v>
      </c>
      <c r="E3596" t="inlineStr">
        <is>
          <t>2024-01</t>
        </is>
      </c>
      <c r="F3596" t="n">
        <v>0</v>
      </c>
    </row>
    <row r="3597">
      <c r="A3597" t="inlineStr">
        <is>
          <t>Milho</t>
        </is>
      </c>
      <c r="B3597" t="inlineStr">
        <is>
          <t>Balsas - MA</t>
        </is>
      </c>
      <c r="C3597" t="n">
        <v>-7.53214</v>
      </c>
      <c r="D3597" t="n">
        <v>-46.0372</v>
      </c>
      <c r="E3597" t="inlineStr">
        <is>
          <t>2024-02</t>
        </is>
      </c>
      <c r="F3597" t="n">
        <v>0</v>
      </c>
    </row>
    <row r="3598">
      <c r="A3598" t="inlineStr">
        <is>
          <t>Milho</t>
        </is>
      </c>
      <c r="B3598" t="inlineStr">
        <is>
          <t>Balsas - MA</t>
        </is>
      </c>
      <c r="C3598" t="n">
        <v>-7.53214</v>
      </c>
      <c r="D3598" t="n">
        <v>-46.0372</v>
      </c>
      <c r="E3598" t="inlineStr">
        <is>
          <t>2024-03</t>
        </is>
      </c>
      <c r="F3598" t="n">
        <v>0</v>
      </c>
    </row>
    <row r="3599">
      <c r="A3599" t="inlineStr">
        <is>
          <t>Milho</t>
        </is>
      </c>
      <c r="B3599" t="inlineStr">
        <is>
          <t>Balsas - MA</t>
        </is>
      </c>
      <c r="C3599" t="n">
        <v>-7.53214</v>
      </c>
      <c r="D3599" t="n">
        <v>-46.0372</v>
      </c>
      <c r="E3599" t="inlineStr">
        <is>
          <t>2024-04</t>
        </is>
      </c>
      <c r="F3599" t="n">
        <v>0</v>
      </c>
    </row>
    <row r="3600">
      <c r="A3600" t="inlineStr">
        <is>
          <t>Milho</t>
        </is>
      </c>
      <c r="B3600" t="inlineStr">
        <is>
          <t>Balsas - MA</t>
        </is>
      </c>
      <c r="C3600" t="n">
        <v>-7.53214</v>
      </c>
      <c r="D3600" t="n">
        <v>-46.0372</v>
      </c>
      <c r="E3600" t="inlineStr">
        <is>
          <t>2024-05</t>
        </is>
      </c>
      <c r="F3600" t="n">
        <v>190751.7609737138</v>
      </c>
    </row>
    <row r="3601">
      <c r="A3601" t="inlineStr">
        <is>
          <t>Milho</t>
        </is>
      </c>
      <c r="B3601" t="inlineStr">
        <is>
          <t>Balsas - MA</t>
        </is>
      </c>
      <c r="C3601" t="n">
        <v>-7.53214</v>
      </c>
      <c r="D3601" t="n">
        <v>-46.0372</v>
      </c>
      <c r="E3601" t="inlineStr">
        <is>
          <t>2024-06</t>
        </is>
      </c>
      <c r="F3601" t="n">
        <v>277029.6472611924</v>
      </c>
    </row>
    <row r="3602">
      <c r="A3602" t="inlineStr">
        <is>
          <t>Milho</t>
        </is>
      </c>
      <c r="B3602" t="inlineStr">
        <is>
          <t>Balsas - MA</t>
        </is>
      </c>
      <c r="C3602" t="n">
        <v>-7.53214</v>
      </c>
      <c r="D3602" t="n">
        <v>-46.0372</v>
      </c>
      <c r="E3602" t="inlineStr">
        <is>
          <t>2023-07</t>
        </is>
      </c>
      <c r="F3602" t="n">
        <v>270362.5523562041</v>
      </c>
    </row>
    <row r="3603">
      <c r="A3603" t="inlineStr">
        <is>
          <t>Milho</t>
        </is>
      </c>
      <c r="B3603" t="inlineStr">
        <is>
          <t>Balsas - MA</t>
        </is>
      </c>
      <c r="C3603" t="n">
        <v>-7.53214</v>
      </c>
      <c r="D3603" t="n">
        <v>-46.0372</v>
      </c>
      <c r="E3603" t="inlineStr">
        <is>
          <t>2023-08</t>
        </is>
      </c>
      <c r="F3603" t="n">
        <v>195857.3995163591</v>
      </c>
    </row>
    <row r="3604">
      <c r="A3604" t="inlineStr">
        <is>
          <t>Milho</t>
        </is>
      </c>
      <c r="B3604" t="inlineStr">
        <is>
          <t>Balsas - MA</t>
        </is>
      </c>
      <c r="C3604" t="n">
        <v>-7.53214</v>
      </c>
      <c r="D3604" t="n">
        <v>-46.0372</v>
      </c>
      <c r="E3604" t="inlineStr">
        <is>
          <t>2023-09</t>
        </is>
      </c>
      <c r="F3604" t="n">
        <v>0</v>
      </c>
    </row>
    <row r="3605">
      <c r="A3605" t="inlineStr">
        <is>
          <t>Milho</t>
        </is>
      </c>
      <c r="B3605" t="inlineStr">
        <is>
          <t>Balsas - MA</t>
        </is>
      </c>
      <c r="C3605" t="n">
        <v>-7.53214</v>
      </c>
      <c r="D3605" t="n">
        <v>-46.0372</v>
      </c>
      <c r="E3605" t="inlineStr">
        <is>
          <t>2023-10</t>
        </is>
      </c>
      <c r="F3605" t="n">
        <v>0</v>
      </c>
    </row>
    <row r="3606">
      <c r="A3606" t="inlineStr">
        <is>
          <t>Milho</t>
        </is>
      </c>
      <c r="B3606" t="inlineStr">
        <is>
          <t>Balsas - MA</t>
        </is>
      </c>
      <c r="C3606" t="n">
        <v>-7.53214</v>
      </c>
      <c r="D3606" t="n">
        <v>-46.0372</v>
      </c>
      <c r="E3606" t="inlineStr">
        <is>
          <t>2023-11</t>
        </is>
      </c>
      <c r="F3606" t="n">
        <v>0</v>
      </c>
    </row>
    <row r="3607">
      <c r="A3607" t="inlineStr">
        <is>
          <t>Milho</t>
        </is>
      </c>
      <c r="B3607" t="inlineStr">
        <is>
          <t>Balsas - MA</t>
        </is>
      </c>
      <c r="C3607" t="n">
        <v>-7.53214</v>
      </c>
      <c r="D3607" t="n">
        <v>-46.0372</v>
      </c>
      <c r="E3607" t="inlineStr">
        <is>
          <t>2023-12</t>
        </is>
      </c>
      <c r="F3607" t="n">
        <v>0</v>
      </c>
    </row>
    <row r="3608">
      <c r="A3608" t="inlineStr">
        <is>
          <t>Milho</t>
        </is>
      </c>
      <c r="B3608" t="inlineStr">
        <is>
          <t>Unaí - MG</t>
        </is>
      </c>
      <c r="C3608" t="n">
        <v>-16.3592</v>
      </c>
      <c r="D3608" t="n">
        <v>-46.9022</v>
      </c>
      <c r="E3608" t="inlineStr">
        <is>
          <t>2024-01</t>
        </is>
      </c>
      <c r="F3608" t="n">
        <v>0</v>
      </c>
    </row>
    <row r="3609">
      <c r="A3609" t="inlineStr">
        <is>
          <t>Milho</t>
        </is>
      </c>
      <c r="B3609" t="inlineStr">
        <is>
          <t>Unaí - MG</t>
        </is>
      </c>
      <c r="C3609" t="n">
        <v>-16.3592</v>
      </c>
      <c r="D3609" t="n">
        <v>-46.9022</v>
      </c>
      <c r="E3609" t="inlineStr">
        <is>
          <t>2024-02</t>
        </is>
      </c>
      <c r="F3609" t="n">
        <v>0</v>
      </c>
    </row>
    <row r="3610">
      <c r="A3610" t="inlineStr">
        <is>
          <t>Milho</t>
        </is>
      </c>
      <c r="B3610" t="inlineStr">
        <is>
          <t>Unaí - MG</t>
        </is>
      </c>
      <c r="C3610" t="n">
        <v>-16.3592</v>
      </c>
      <c r="D3610" t="n">
        <v>-46.9022</v>
      </c>
      <c r="E3610" t="inlineStr">
        <is>
          <t>2024-03</t>
        </is>
      </c>
      <c r="F3610" t="n">
        <v>0</v>
      </c>
    </row>
    <row r="3611">
      <c r="A3611" t="inlineStr">
        <is>
          <t>Milho</t>
        </is>
      </c>
      <c r="B3611" t="inlineStr">
        <is>
          <t>Unaí - MG</t>
        </is>
      </c>
      <c r="C3611" t="n">
        <v>-16.3592</v>
      </c>
      <c r="D3611" t="n">
        <v>-46.9022</v>
      </c>
      <c r="E3611" t="inlineStr">
        <is>
          <t>2024-04</t>
        </is>
      </c>
      <c r="F3611" t="n">
        <v>0</v>
      </c>
    </row>
    <row r="3612">
      <c r="A3612" t="inlineStr">
        <is>
          <t>Milho</t>
        </is>
      </c>
      <c r="B3612" t="inlineStr">
        <is>
          <t>Unaí - MG</t>
        </is>
      </c>
      <c r="C3612" t="n">
        <v>-16.3592</v>
      </c>
      <c r="D3612" t="n">
        <v>-46.9022</v>
      </c>
      <c r="E3612" t="inlineStr">
        <is>
          <t>2024-05</t>
        </is>
      </c>
      <c r="F3612" t="n">
        <v>163552.924975036</v>
      </c>
    </row>
    <row r="3613">
      <c r="A3613" t="inlineStr">
        <is>
          <t>Milho</t>
        </is>
      </c>
      <c r="B3613" t="inlineStr">
        <is>
          <t>Unaí - MG</t>
        </is>
      </c>
      <c r="C3613" t="n">
        <v>-16.3592</v>
      </c>
      <c r="D3613" t="n">
        <v>-46.9022</v>
      </c>
      <c r="E3613" t="inlineStr">
        <is>
          <t>2024-06</t>
        </is>
      </c>
      <c r="F3613" t="n">
        <v>285034.3853168258</v>
      </c>
    </row>
    <row r="3614">
      <c r="A3614" t="inlineStr">
        <is>
          <t>Milho</t>
        </is>
      </c>
      <c r="B3614" t="inlineStr">
        <is>
          <t>Unaí - MG</t>
        </is>
      </c>
      <c r="C3614" t="n">
        <v>-16.3592</v>
      </c>
      <c r="D3614" t="n">
        <v>-46.9022</v>
      </c>
      <c r="E3614" t="inlineStr">
        <is>
          <t>2023-07</t>
        </is>
      </c>
      <c r="F3614" t="n">
        <v>649074.1728642153</v>
      </c>
    </row>
    <row r="3615">
      <c r="A3615" t="inlineStr">
        <is>
          <t>Milho</t>
        </is>
      </c>
      <c r="B3615" t="inlineStr">
        <is>
          <t>Unaí - MG</t>
        </is>
      </c>
      <c r="C3615" t="n">
        <v>-16.3592</v>
      </c>
      <c r="D3615" t="n">
        <v>-46.9022</v>
      </c>
      <c r="E3615" t="inlineStr">
        <is>
          <t>2023-08</t>
        </is>
      </c>
      <c r="F3615" t="n">
        <v>335861.1255318267</v>
      </c>
    </row>
    <row r="3616">
      <c r="A3616" t="inlineStr">
        <is>
          <t>Milho</t>
        </is>
      </c>
      <c r="B3616" t="inlineStr">
        <is>
          <t>Unaí - MG</t>
        </is>
      </c>
      <c r="C3616" t="n">
        <v>-16.3592</v>
      </c>
      <c r="D3616" t="n">
        <v>-46.9022</v>
      </c>
      <c r="E3616" t="inlineStr">
        <is>
          <t>2023-09</t>
        </is>
      </c>
      <c r="F3616" t="n">
        <v>186779.6728489074</v>
      </c>
    </row>
    <row r="3617">
      <c r="A3617" t="inlineStr">
        <is>
          <t>Milho</t>
        </is>
      </c>
      <c r="B3617" t="inlineStr">
        <is>
          <t>Unaí - MG</t>
        </is>
      </c>
      <c r="C3617" t="n">
        <v>-16.3592</v>
      </c>
      <c r="D3617" t="n">
        <v>-46.9022</v>
      </c>
      <c r="E3617" t="inlineStr">
        <is>
          <t>2023-10</t>
        </is>
      </c>
      <c r="F3617" t="n">
        <v>0</v>
      </c>
    </row>
    <row r="3618">
      <c r="A3618" t="inlineStr">
        <is>
          <t>Milho</t>
        </is>
      </c>
      <c r="B3618" t="inlineStr">
        <is>
          <t>Unaí - MG</t>
        </is>
      </c>
      <c r="C3618" t="n">
        <v>-16.3592</v>
      </c>
      <c r="D3618" t="n">
        <v>-46.9022</v>
      </c>
      <c r="E3618" t="inlineStr">
        <is>
          <t>2023-11</t>
        </is>
      </c>
      <c r="F3618" t="n">
        <v>0</v>
      </c>
    </row>
    <row r="3619">
      <c r="A3619" t="inlineStr">
        <is>
          <t>Milho</t>
        </is>
      </c>
      <c r="B3619" t="inlineStr">
        <is>
          <t>Unaí - MG</t>
        </is>
      </c>
      <c r="C3619" t="n">
        <v>-16.3592</v>
      </c>
      <c r="D3619" t="n">
        <v>-46.9022</v>
      </c>
      <c r="E3619" t="inlineStr">
        <is>
          <t>2023-12</t>
        </is>
      </c>
      <c r="F3619" t="n">
        <v>0</v>
      </c>
    </row>
    <row r="3620">
      <c r="A3620" t="inlineStr">
        <is>
          <t>Milho</t>
        </is>
      </c>
      <c r="B3620" t="inlineStr">
        <is>
          <t>Maracaju - MS</t>
        </is>
      </c>
      <c r="C3620" t="n">
        <v>-21.6105</v>
      </c>
      <c r="D3620" t="n">
        <v>-55.1678</v>
      </c>
      <c r="E3620" t="inlineStr">
        <is>
          <t>2024-01</t>
        </is>
      </c>
      <c r="F3620" t="n">
        <v>0</v>
      </c>
    </row>
    <row r="3621">
      <c r="A3621" t="inlineStr">
        <is>
          <t>Milho</t>
        </is>
      </c>
      <c r="B3621" t="inlineStr">
        <is>
          <t>Maracaju - MS</t>
        </is>
      </c>
      <c r="C3621" t="n">
        <v>-21.6105</v>
      </c>
      <c r="D3621" t="n">
        <v>-55.1678</v>
      </c>
      <c r="E3621" t="inlineStr">
        <is>
          <t>2024-02</t>
        </is>
      </c>
      <c r="F3621" t="n">
        <v>0</v>
      </c>
    </row>
    <row r="3622">
      <c r="A3622" t="inlineStr">
        <is>
          <t>Milho</t>
        </is>
      </c>
      <c r="B3622" t="inlineStr">
        <is>
          <t>Maracaju - MS</t>
        </is>
      </c>
      <c r="C3622" t="n">
        <v>-21.6105</v>
      </c>
      <c r="D3622" t="n">
        <v>-55.1678</v>
      </c>
      <c r="E3622" t="inlineStr">
        <is>
          <t>2024-03</t>
        </is>
      </c>
      <c r="F3622" t="n">
        <v>0</v>
      </c>
    </row>
    <row r="3623">
      <c r="A3623" t="inlineStr">
        <is>
          <t>Milho</t>
        </is>
      </c>
      <c r="B3623" t="inlineStr">
        <is>
          <t>Maracaju - MS</t>
        </is>
      </c>
      <c r="C3623" t="n">
        <v>-21.6105</v>
      </c>
      <c r="D3623" t="n">
        <v>-55.1678</v>
      </c>
      <c r="E3623" t="inlineStr">
        <is>
          <t>2024-04</t>
        </is>
      </c>
      <c r="F3623" t="n">
        <v>0</v>
      </c>
    </row>
    <row r="3624">
      <c r="A3624" t="inlineStr">
        <is>
          <t>Milho</t>
        </is>
      </c>
      <c r="B3624" t="inlineStr">
        <is>
          <t>Maracaju - MS</t>
        </is>
      </c>
      <c r="C3624" t="n">
        <v>-21.6105</v>
      </c>
      <c r="D3624" t="n">
        <v>-55.1678</v>
      </c>
      <c r="E3624" t="inlineStr">
        <is>
          <t>2024-05</t>
        </is>
      </c>
      <c r="F3624" t="n">
        <v>533889.1951960825</v>
      </c>
    </row>
    <row r="3625">
      <c r="A3625" t="inlineStr">
        <is>
          <t>Milho</t>
        </is>
      </c>
      <c r="B3625" t="inlineStr">
        <is>
          <t>Maracaju - MS</t>
        </is>
      </c>
      <c r="C3625" t="n">
        <v>-21.6105</v>
      </c>
      <c r="D3625" t="n">
        <v>-55.1678</v>
      </c>
      <c r="E3625" t="inlineStr">
        <is>
          <t>2024-06</t>
        </is>
      </c>
      <c r="F3625" t="n">
        <v>930443.6383711132</v>
      </c>
    </row>
    <row r="3626">
      <c r="A3626" t="inlineStr">
        <is>
          <t>Milho</t>
        </is>
      </c>
      <c r="B3626" t="inlineStr">
        <is>
          <t>Maracaju - MS</t>
        </is>
      </c>
      <c r="C3626" t="n">
        <v>-21.6105</v>
      </c>
      <c r="D3626" t="n">
        <v>-55.1678</v>
      </c>
      <c r="E3626" t="inlineStr">
        <is>
          <t>2023-07</t>
        </is>
      </c>
      <c r="F3626" t="n">
        <v>2118786.245039226</v>
      </c>
    </row>
    <row r="3627">
      <c r="A3627" t="inlineStr">
        <is>
          <t>Milho</t>
        </is>
      </c>
      <c r="B3627" t="inlineStr">
        <is>
          <t>Maracaju - MS</t>
        </is>
      </c>
      <c r="C3627" t="n">
        <v>-21.6105</v>
      </c>
      <c r="D3627" t="n">
        <v>-55.1678</v>
      </c>
      <c r="E3627" t="inlineStr">
        <is>
          <t>2023-08</t>
        </is>
      </c>
      <c r="F3627" t="n">
        <v>1096358.417528802</v>
      </c>
    </row>
    <row r="3628">
      <c r="A3628" t="inlineStr">
        <is>
          <t>Milho</t>
        </is>
      </c>
      <c r="B3628" t="inlineStr">
        <is>
          <t>Maracaju - MS</t>
        </is>
      </c>
      <c r="C3628" t="n">
        <v>-21.6105</v>
      </c>
      <c r="D3628" t="n">
        <v>-55.1678</v>
      </c>
      <c r="E3628" t="inlineStr">
        <is>
          <t>2023-09</t>
        </is>
      </c>
      <c r="F3628" t="n">
        <v>1219417.497198678</v>
      </c>
    </row>
    <row r="3629">
      <c r="A3629" t="inlineStr">
        <is>
          <t>Milho</t>
        </is>
      </c>
      <c r="B3629" t="inlineStr">
        <is>
          <t>Maracaju - MS</t>
        </is>
      </c>
      <c r="C3629" t="n">
        <v>-21.6105</v>
      </c>
      <c r="D3629" t="n">
        <v>-55.1678</v>
      </c>
      <c r="E3629" t="inlineStr">
        <is>
          <t>2023-10</t>
        </is>
      </c>
      <c r="F3629" t="n">
        <v>0</v>
      </c>
    </row>
    <row r="3630">
      <c r="A3630" t="inlineStr">
        <is>
          <t>Milho</t>
        </is>
      </c>
      <c r="B3630" t="inlineStr">
        <is>
          <t>Maracaju - MS</t>
        </is>
      </c>
      <c r="C3630" t="n">
        <v>-21.6105</v>
      </c>
      <c r="D3630" t="n">
        <v>-55.1678</v>
      </c>
      <c r="E3630" t="inlineStr">
        <is>
          <t>2023-11</t>
        </is>
      </c>
      <c r="F3630" t="n">
        <v>0</v>
      </c>
    </row>
    <row r="3631">
      <c r="A3631" t="inlineStr">
        <is>
          <t>Milho</t>
        </is>
      </c>
      <c r="B3631" t="inlineStr">
        <is>
          <t>Maracaju - MS</t>
        </is>
      </c>
      <c r="C3631" t="n">
        <v>-21.6105</v>
      </c>
      <c r="D3631" t="n">
        <v>-55.1678</v>
      </c>
      <c r="E3631" t="inlineStr">
        <is>
          <t>2023-12</t>
        </is>
      </c>
      <c r="F3631" t="n">
        <v>0</v>
      </c>
    </row>
    <row r="3632">
      <c r="A3632" t="inlineStr">
        <is>
          <t>Milho</t>
        </is>
      </c>
      <c r="B3632" t="inlineStr">
        <is>
          <t>Sorriso - MT</t>
        </is>
      </c>
      <c r="C3632" t="n">
        <v>-12.5425</v>
      </c>
      <c r="D3632" t="n">
        <v>-55.7211</v>
      </c>
      <c r="E3632" t="inlineStr">
        <is>
          <t>2024-01</t>
        </is>
      </c>
      <c r="F3632" t="n">
        <v>0</v>
      </c>
    </row>
    <row r="3633">
      <c r="A3633" t="inlineStr">
        <is>
          <t>Milho</t>
        </is>
      </c>
      <c r="B3633" t="inlineStr">
        <is>
          <t>Sorriso - MT</t>
        </is>
      </c>
      <c r="C3633" t="n">
        <v>-12.5425</v>
      </c>
      <c r="D3633" t="n">
        <v>-55.7211</v>
      </c>
      <c r="E3633" t="inlineStr">
        <is>
          <t>2024-02</t>
        </is>
      </c>
      <c r="F3633" t="n">
        <v>0</v>
      </c>
    </row>
    <row r="3634">
      <c r="A3634" t="inlineStr">
        <is>
          <t>Milho</t>
        </is>
      </c>
      <c r="B3634" t="inlineStr">
        <is>
          <t>Sorriso - MT</t>
        </is>
      </c>
      <c r="C3634" t="n">
        <v>-12.5425</v>
      </c>
      <c r="D3634" t="n">
        <v>-55.7211</v>
      </c>
      <c r="E3634" t="inlineStr">
        <is>
          <t>2024-03</t>
        </is>
      </c>
      <c r="F3634" t="n">
        <v>0</v>
      </c>
    </row>
    <row r="3635">
      <c r="A3635" t="inlineStr">
        <is>
          <t>Milho</t>
        </is>
      </c>
      <c r="B3635" t="inlineStr">
        <is>
          <t>Sorriso - MT</t>
        </is>
      </c>
      <c r="C3635" t="n">
        <v>-12.5425</v>
      </c>
      <c r="D3635" t="n">
        <v>-55.7211</v>
      </c>
      <c r="E3635" t="inlineStr">
        <is>
          <t>2024-04</t>
        </is>
      </c>
      <c r="F3635" t="n">
        <v>0</v>
      </c>
    </row>
    <row r="3636">
      <c r="A3636" t="inlineStr">
        <is>
          <t>Milho</t>
        </is>
      </c>
      <c r="B3636" t="inlineStr">
        <is>
          <t>Sorriso - MT</t>
        </is>
      </c>
      <c r="C3636" t="n">
        <v>-12.5425</v>
      </c>
      <c r="D3636" t="n">
        <v>-55.7211</v>
      </c>
      <c r="E3636" t="inlineStr">
        <is>
          <t>2024-05</t>
        </is>
      </c>
      <c r="F3636" t="n">
        <v>6474402.904493688</v>
      </c>
    </row>
    <row r="3637">
      <c r="A3637" t="inlineStr">
        <is>
          <t>Milho</t>
        </is>
      </c>
      <c r="B3637" t="inlineStr">
        <is>
          <t>Sorriso - MT</t>
        </is>
      </c>
      <c r="C3637" t="n">
        <v>-12.5425</v>
      </c>
      <c r="D3637" t="n">
        <v>-55.7211</v>
      </c>
      <c r="E3637" t="inlineStr">
        <is>
          <t>2024-06</t>
        </is>
      </c>
      <c r="F3637" t="n">
        <v>9402804.690782854</v>
      </c>
    </row>
    <row r="3638">
      <c r="A3638" t="inlineStr">
        <is>
          <t>Milho</t>
        </is>
      </c>
      <c r="B3638" t="inlineStr">
        <is>
          <t>Sorriso - MT</t>
        </is>
      </c>
      <c r="C3638" t="n">
        <v>-12.5425</v>
      </c>
      <c r="D3638" t="n">
        <v>-55.7211</v>
      </c>
      <c r="E3638" t="inlineStr">
        <is>
          <t>2023-07</t>
        </is>
      </c>
      <c r="F3638" t="n">
        <v>9176513.418833131</v>
      </c>
    </row>
    <row r="3639">
      <c r="A3639" t="inlineStr">
        <is>
          <t>Milho</t>
        </is>
      </c>
      <c r="B3639" t="inlineStr">
        <is>
          <t>Sorriso - MT</t>
        </is>
      </c>
      <c r="C3639" t="n">
        <v>-12.5425</v>
      </c>
      <c r="D3639" t="n">
        <v>-55.7211</v>
      </c>
      <c r="E3639" t="inlineStr">
        <is>
          <t>2023-08</t>
        </is>
      </c>
      <c r="F3639" t="n">
        <v>6647695.98887236</v>
      </c>
    </row>
    <row r="3640">
      <c r="A3640" t="inlineStr">
        <is>
          <t>Milho</t>
        </is>
      </c>
      <c r="B3640" t="inlineStr">
        <is>
          <t>Sorriso - MT</t>
        </is>
      </c>
      <c r="C3640" t="n">
        <v>-12.5425</v>
      </c>
      <c r="D3640" t="n">
        <v>-55.7211</v>
      </c>
      <c r="E3640" t="inlineStr">
        <is>
          <t>2023-09</t>
        </is>
      </c>
      <c r="F3640" t="n">
        <v>3696928.246859317</v>
      </c>
    </row>
    <row r="3641">
      <c r="A3641" t="inlineStr">
        <is>
          <t>Milho</t>
        </is>
      </c>
      <c r="B3641" t="inlineStr">
        <is>
          <t>Sorriso - MT</t>
        </is>
      </c>
      <c r="C3641" t="n">
        <v>-12.5425</v>
      </c>
      <c r="D3641" t="n">
        <v>-55.7211</v>
      </c>
      <c r="E3641" t="inlineStr">
        <is>
          <t>2023-10</t>
        </is>
      </c>
      <c r="F3641" t="n">
        <v>0</v>
      </c>
    </row>
    <row r="3642">
      <c r="A3642" t="inlineStr">
        <is>
          <t>Milho</t>
        </is>
      </c>
      <c r="B3642" t="inlineStr">
        <is>
          <t>Sorriso - MT</t>
        </is>
      </c>
      <c r="C3642" t="n">
        <v>-12.5425</v>
      </c>
      <c r="D3642" t="n">
        <v>-55.7211</v>
      </c>
      <c r="E3642" t="inlineStr">
        <is>
          <t>2023-11</t>
        </is>
      </c>
      <c r="F3642" t="n">
        <v>0</v>
      </c>
    </row>
    <row r="3643">
      <c r="A3643" t="inlineStr">
        <is>
          <t>Milho</t>
        </is>
      </c>
      <c r="B3643" t="inlineStr">
        <is>
          <t>Sorriso - MT</t>
        </is>
      </c>
      <c r="C3643" t="n">
        <v>-12.5425</v>
      </c>
      <c r="D3643" t="n">
        <v>-55.7211</v>
      </c>
      <c r="E3643" t="inlineStr">
        <is>
          <t>2023-12</t>
        </is>
      </c>
      <c r="F3643" t="n">
        <v>0</v>
      </c>
    </row>
    <row r="3644">
      <c r="A3644" t="inlineStr">
        <is>
          <t>Milho</t>
        </is>
      </c>
      <c r="B3644" t="inlineStr">
        <is>
          <t>Santana do Araguaia - PA</t>
        </is>
      </c>
      <c r="C3644" t="n">
        <v>-9.328099999999999</v>
      </c>
      <c r="D3644" t="n">
        <v>-50.35</v>
      </c>
      <c r="E3644" t="inlineStr">
        <is>
          <t>2024-01</t>
        </is>
      </c>
      <c r="F3644" t="n">
        <v>0</v>
      </c>
    </row>
    <row r="3645">
      <c r="A3645" t="inlineStr">
        <is>
          <t>Milho</t>
        </is>
      </c>
      <c r="B3645" t="inlineStr">
        <is>
          <t>Santana do Araguaia - PA</t>
        </is>
      </c>
      <c r="C3645" t="n">
        <v>-9.328099999999999</v>
      </c>
      <c r="D3645" t="n">
        <v>-50.35</v>
      </c>
      <c r="E3645" t="inlineStr">
        <is>
          <t>2024-02</t>
        </is>
      </c>
      <c r="F3645" t="n">
        <v>0</v>
      </c>
    </row>
    <row r="3646">
      <c r="A3646" t="inlineStr">
        <is>
          <t>Milho</t>
        </is>
      </c>
      <c r="B3646" t="inlineStr">
        <is>
          <t>Santana do Araguaia - PA</t>
        </is>
      </c>
      <c r="C3646" t="n">
        <v>-9.328099999999999</v>
      </c>
      <c r="D3646" t="n">
        <v>-50.35</v>
      </c>
      <c r="E3646" t="inlineStr">
        <is>
          <t>2024-03</t>
        </is>
      </c>
      <c r="F3646" t="n">
        <v>0</v>
      </c>
    </row>
    <row r="3647">
      <c r="A3647" t="inlineStr">
        <is>
          <t>Milho</t>
        </is>
      </c>
      <c r="B3647" t="inlineStr">
        <is>
          <t>Santana do Araguaia - PA</t>
        </is>
      </c>
      <c r="C3647" t="n">
        <v>-9.328099999999999</v>
      </c>
      <c r="D3647" t="n">
        <v>-50.35</v>
      </c>
      <c r="E3647" t="inlineStr">
        <is>
          <t>2024-04</t>
        </is>
      </c>
      <c r="F3647" t="n">
        <v>0</v>
      </c>
    </row>
    <row r="3648">
      <c r="A3648" t="inlineStr">
        <is>
          <t>Milho</t>
        </is>
      </c>
      <c r="B3648" t="inlineStr">
        <is>
          <t>Santana do Araguaia - PA</t>
        </is>
      </c>
      <c r="C3648" t="n">
        <v>-9.328099999999999</v>
      </c>
      <c r="D3648" t="n">
        <v>-50.35</v>
      </c>
      <c r="E3648" t="inlineStr">
        <is>
          <t>2024-05</t>
        </is>
      </c>
      <c r="F3648" t="n">
        <v>261141.7315514639</v>
      </c>
    </row>
    <row r="3649">
      <c r="A3649" t="inlineStr">
        <is>
          <t>Milho</t>
        </is>
      </c>
      <c r="B3649" t="inlineStr">
        <is>
          <t>Santana do Araguaia - PA</t>
        </is>
      </c>
      <c r="C3649" t="n">
        <v>-9.328099999999999</v>
      </c>
      <c r="D3649" t="n">
        <v>-50.35</v>
      </c>
      <c r="E3649" t="inlineStr">
        <is>
          <t>2024-06</t>
        </is>
      </c>
      <c r="F3649" t="n">
        <v>97523.31102525513</v>
      </c>
    </row>
    <row r="3650">
      <c r="A3650" t="inlineStr">
        <is>
          <t>Milho</t>
        </is>
      </c>
      <c r="B3650" t="inlineStr">
        <is>
          <t>Santana do Araguaia - PA</t>
        </is>
      </c>
      <c r="C3650" t="n">
        <v>-9.328099999999999</v>
      </c>
      <c r="D3650" t="n">
        <v>-50.35</v>
      </c>
      <c r="E3650" t="inlineStr">
        <is>
          <t>2023-07</t>
        </is>
      </c>
      <c r="F3650" t="n">
        <v>95176.28002520825</v>
      </c>
    </row>
    <row r="3651">
      <c r="A3651" t="inlineStr">
        <is>
          <t>Milho</t>
        </is>
      </c>
      <c r="B3651" t="inlineStr">
        <is>
          <t>Santana do Araguaia - PA</t>
        </is>
      </c>
      <c r="C3651" t="n">
        <v>-9.328099999999999</v>
      </c>
      <c r="D3651" t="n">
        <v>-50.35</v>
      </c>
      <c r="E3651" t="inlineStr">
        <is>
          <t>2023-08</t>
        </is>
      </c>
      <c r="F3651" t="n">
        <v>114913.4655109244</v>
      </c>
    </row>
    <row r="3652">
      <c r="A3652" t="inlineStr">
        <is>
          <t>Milho</t>
        </is>
      </c>
      <c r="B3652" t="inlineStr">
        <is>
          <t>Santana do Araguaia - PA</t>
        </is>
      </c>
      <c r="C3652" t="n">
        <v>-9.328099999999999</v>
      </c>
      <c r="D3652" t="n">
        <v>-50.35</v>
      </c>
      <c r="E3652" t="inlineStr">
        <is>
          <t>2023-09</t>
        </is>
      </c>
      <c r="F3652" t="n">
        <v>127811.7523132682</v>
      </c>
    </row>
    <row r="3653">
      <c r="A3653" t="inlineStr">
        <is>
          <t>Milho</t>
        </is>
      </c>
      <c r="B3653" t="inlineStr">
        <is>
          <t>Santana do Araguaia - PA</t>
        </is>
      </c>
      <c r="C3653" t="n">
        <v>-9.328099999999999</v>
      </c>
      <c r="D3653" t="n">
        <v>-50.35</v>
      </c>
      <c r="E3653" t="inlineStr">
        <is>
          <t>2023-10</t>
        </is>
      </c>
      <c r="F3653" t="n">
        <v>396998.1951376673</v>
      </c>
    </row>
    <row r="3654">
      <c r="A3654" t="inlineStr">
        <is>
          <t>Milho</t>
        </is>
      </c>
      <c r="B3654" t="inlineStr">
        <is>
          <t>Santana do Araguaia - PA</t>
        </is>
      </c>
      <c r="C3654" t="n">
        <v>-9.328099999999999</v>
      </c>
      <c r="D3654" t="n">
        <v>-50.35</v>
      </c>
      <c r="E3654" t="inlineStr">
        <is>
          <t>2023-11</t>
        </is>
      </c>
      <c r="F3654" t="n">
        <v>1277395.706247453</v>
      </c>
    </row>
    <row r="3655">
      <c r="A3655" t="inlineStr">
        <is>
          <t>Milho</t>
        </is>
      </c>
      <c r="B3655" t="inlineStr">
        <is>
          <t>Santana do Araguaia - PA</t>
        </is>
      </c>
      <c r="C3655" t="n">
        <v>-9.328099999999999</v>
      </c>
      <c r="D3655" t="n">
        <v>-50.35</v>
      </c>
      <c r="E3655" t="inlineStr">
        <is>
          <t>2023-12</t>
        </is>
      </c>
      <c r="F3655" t="n">
        <v>0</v>
      </c>
    </row>
    <row r="3656">
      <c r="A3656" t="inlineStr">
        <is>
          <t>Milho</t>
        </is>
      </c>
      <c r="B3656" t="inlineStr">
        <is>
          <t>Sousa - PB</t>
        </is>
      </c>
      <c r="C3656" t="n">
        <v>-6.75148</v>
      </c>
      <c r="D3656" t="n">
        <v>-38.2311</v>
      </c>
      <c r="E3656" t="inlineStr">
        <is>
          <t>2024-01</t>
        </is>
      </c>
      <c r="F3656" t="n">
        <v>0</v>
      </c>
    </row>
    <row r="3657">
      <c r="A3657" t="inlineStr">
        <is>
          <t>Milho</t>
        </is>
      </c>
      <c r="B3657" t="inlineStr">
        <is>
          <t>Sousa - PB</t>
        </is>
      </c>
      <c r="C3657" t="n">
        <v>-6.75148</v>
      </c>
      <c r="D3657" t="n">
        <v>-38.2311</v>
      </c>
      <c r="E3657" t="inlineStr">
        <is>
          <t>2024-02</t>
        </is>
      </c>
      <c r="F3657" t="n">
        <v>0</v>
      </c>
    </row>
    <row r="3658">
      <c r="A3658" t="inlineStr">
        <is>
          <t>Milho</t>
        </is>
      </c>
      <c r="B3658" t="inlineStr">
        <is>
          <t>Sousa - PB</t>
        </is>
      </c>
      <c r="C3658" t="n">
        <v>-6.75148</v>
      </c>
      <c r="D3658" t="n">
        <v>-38.2311</v>
      </c>
      <c r="E3658" t="inlineStr">
        <is>
          <t>2024-03</t>
        </is>
      </c>
      <c r="F3658" t="n">
        <v>0</v>
      </c>
    </row>
    <row r="3659">
      <c r="A3659" t="inlineStr">
        <is>
          <t>Milho</t>
        </is>
      </c>
      <c r="B3659" t="inlineStr">
        <is>
          <t>Sousa - PB</t>
        </is>
      </c>
      <c r="C3659" t="n">
        <v>-6.75148</v>
      </c>
      <c r="D3659" t="n">
        <v>-38.2311</v>
      </c>
      <c r="E3659" t="inlineStr">
        <is>
          <t>2024-04</t>
        </is>
      </c>
      <c r="F3659" t="n">
        <v>0</v>
      </c>
    </row>
    <row r="3660">
      <c r="A3660" t="inlineStr">
        <is>
          <t>Milho</t>
        </is>
      </c>
      <c r="B3660" t="inlineStr">
        <is>
          <t>Sousa - PB</t>
        </is>
      </c>
      <c r="C3660" t="n">
        <v>-6.75148</v>
      </c>
      <c r="D3660" t="n">
        <v>-38.2311</v>
      </c>
      <c r="E3660" t="inlineStr">
        <is>
          <t>2024-05</t>
        </is>
      </c>
      <c r="F3660" t="n">
        <v>6611.198269879279</v>
      </c>
    </row>
    <row r="3661">
      <c r="A3661" t="inlineStr">
        <is>
          <t>Milho</t>
        </is>
      </c>
      <c r="B3661" t="inlineStr">
        <is>
          <t>Sousa - PB</t>
        </is>
      </c>
      <c r="C3661" t="n">
        <v>-6.75148</v>
      </c>
      <c r="D3661" t="n">
        <v>-38.2311</v>
      </c>
      <c r="E3661" t="inlineStr">
        <is>
          <t>2024-06</t>
        </is>
      </c>
      <c r="F3661" t="n">
        <v>5760.883932067652</v>
      </c>
    </row>
    <row r="3662">
      <c r="A3662" t="inlineStr">
        <is>
          <t>Milho</t>
        </is>
      </c>
      <c r="B3662" t="inlineStr">
        <is>
          <t>Sousa - PB</t>
        </is>
      </c>
      <c r="C3662" t="n">
        <v>-6.75148</v>
      </c>
      <c r="D3662" t="n">
        <v>-38.2311</v>
      </c>
      <c r="E3662" t="inlineStr">
        <is>
          <t>2023-07</t>
        </is>
      </c>
      <c r="F3662" t="n">
        <v>9370.400720042648</v>
      </c>
    </row>
    <row r="3663">
      <c r="A3663" t="inlineStr">
        <is>
          <t>Milho</t>
        </is>
      </c>
      <c r="B3663" t="inlineStr">
        <is>
          <t>Sousa - PB</t>
        </is>
      </c>
      <c r="C3663" t="n">
        <v>-6.75148</v>
      </c>
      <c r="D3663" t="n">
        <v>-38.2311</v>
      </c>
      <c r="E3663" t="inlineStr">
        <is>
          <t>2023-08</t>
        </is>
      </c>
      <c r="F3663" t="n">
        <v>11313.58800408007</v>
      </c>
    </row>
    <row r="3664">
      <c r="A3664" t="inlineStr">
        <is>
          <t>Milho</t>
        </is>
      </c>
      <c r="B3664" t="inlineStr">
        <is>
          <t>Sousa - PB</t>
        </is>
      </c>
      <c r="C3664" t="n">
        <v>-6.75148</v>
      </c>
      <c r="D3664" t="n">
        <v>-38.2311</v>
      </c>
      <c r="E3664" t="inlineStr">
        <is>
          <t>2023-09</t>
        </is>
      </c>
      <c r="F3664" t="n">
        <v>7550.078668270801</v>
      </c>
    </row>
    <row r="3665">
      <c r="A3665" t="inlineStr">
        <is>
          <t>Milho</t>
        </is>
      </c>
      <c r="B3665" t="inlineStr">
        <is>
          <t>Sousa - PB</t>
        </is>
      </c>
      <c r="C3665" t="n">
        <v>-6.75148</v>
      </c>
      <c r="D3665" t="n">
        <v>-38.2311</v>
      </c>
      <c r="E3665" t="inlineStr">
        <is>
          <t>2023-10</t>
        </is>
      </c>
      <c r="F3665" t="n">
        <v>23451.42406861245</v>
      </c>
    </row>
    <row r="3666">
      <c r="A3666" t="inlineStr">
        <is>
          <t>Milho</t>
        </is>
      </c>
      <c r="B3666" t="inlineStr">
        <is>
          <t>Sousa - PB</t>
        </is>
      </c>
      <c r="C3666" t="n">
        <v>-6.75148</v>
      </c>
      <c r="D3666" t="n">
        <v>-38.2311</v>
      </c>
      <c r="E3666" t="inlineStr">
        <is>
          <t>2023-11</t>
        </is>
      </c>
      <c r="F3666" t="n">
        <v>37729.07380630023</v>
      </c>
    </row>
    <row r="3667">
      <c r="A3667" t="inlineStr">
        <is>
          <t>Milho</t>
        </is>
      </c>
      <c r="B3667" t="inlineStr">
        <is>
          <t>Sousa - PB</t>
        </is>
      </c>
      <c r="C3667" t="n">
        <v>-6.75148</v>
      </c>
      <c r="D3667" t="n">
        <v>-38.2311</v>
      </c>
      <c r="E3667" t="inlineStr">
        <is>
          <t>2023-12</t>
        </is>
      </c>
      <c r="F3667" t="n">
        <v>0</v>
      </c>
    </row>
    <row r="3668">
      <c r="A3668" t="inlineStr">
        <is>
          <t>Milho</t>
        </is>
      </c>
      <c r="B3668" t="inlineStr">
        <is>
          <t>Exu - PE</t>
        </is>
      </c>
      <c r="C3668" t="n">
        <v>-7.50364</v>
      </c>
      <c r="D3668" t="n">
        <v>-39.7238</v>
      </c>
      <c r="E3668" t="inlineStr">
        <is>
          <t>2024-01</t>
        </is>
      </c>
      <c r="F3668" t="n">
        <v>0</v>
      </c>
    </row>
    <row r="3669">
      <c r="A3669" t="inlineStr">
        <is>
          <t>Milho</t>
        </is>
      </c>
      <c r="B3669" t="inlineStr">
        <is>
          <t>Exu - PE</t>
        </is>
      </c>
      <c r="C3669" t="n">
        <v>-7.50364</v>
      </c>
      <c r="D3669" t="n">
        <v>-39.7238</v>
      </c>
      <c r="E3669" t="inlineStr">
        <is>
          <t>2024-02</t>
        </is>
      </c>
      <c r="F3669" t="n">
        <v>0</v>
      </c>
    </row>
    <row r="3670">
      <c r="A3670" t="inlineStr">
        <is>
          <t>Milho</t>
        </is>
      </c>
      <c r="B3670" t="inlineStr">
        <is>
          <t>Exu - PE</t>
        </is>
      </c>
      <c r="C3670" t="n">
        <v>-7.50364</v>
      </c>
      <c r="D3670" t="n">
        <v>-39.7238</v>
      </c>
      <c r="E3670" t="inlineStr">
        <is>
          <t>2024-03</t>
        </is>
      </c>
      <c r="F3670" t="n">
        <v>0</v>
      </c>
    </row>
    <row r="3671">
      <c r="A3671" t="inlineStr">
        <is>
          <t>Milho</t>
        </is>
      </c>
      <c r="B3671" t="inlineStr">
        <is>
          <t>Exu - PE</t>
        </is>
      </c>
      <c r="C3671" t="n">
        <v>-7.50364</v>
      </c>
      <c r="D3671" t="n">
        <v>-39.7238</v>
      </c>
      <c r="E3671" t="inlineStr">
        <is>
          <t>2024-04</t>
        </is>
      </c>
      <c r="F3671" t="n">
        <v>0</v>
      </c>
    </row>
    <row r="3672">
      <c r="A3672" t="inlineStr">
        <is>
          <t>Milho</t>
        </is>
      </c>
      <c r="B3672" t="inlineStr">
        <is>
          <t>Exu - PE</t>
        </is>
      </c>
      <c r="C3672" t="n">
        <v>-7.50364</v>
      </c>
      <c r="D3672" t="n">
        <v>-39.7238</v>
      </c>
      <c r="E3672" t="inlineStr">
        <is>
          <t>2024-05</t>
        </is>
      </c>
      <c r="F3672" t="n">
        <v>10689.73749906444</v>
      </c>
    </row>
    <row r="3673">
      <c r="A3673" t="inlineStr">
        <is>
          <t>Milho</t>
        </is>
      </c>
      <c r="B3673" t="inlineStr">
        <is>
          <t>Exu - PE</t>
        </is>
      </c>
      <c r="C3673" t="n">
        <v>-7.50364</v>
      </c>
      <c r="D3673" t="n">
        <v>-39.7238</v>
      </c>
      <c r="E3673" t="inlineStr">
        <is>
          <t>2024-06</t>
        </is>
      </c>
      <c r="F3673" t="n">
        <v>9314.852539962603</v>
      </c>
    </row>
    <row r="3674">
      <c r="A3674" t="inlineStr">
        <is>
          <t>Milho</t>
        </is>
      </c>
      <c r="B3674" t="inlineStr">
        <is>
          <t>Exu - PE</t>
        </is>
      </c>
      <c r="C3674" t="n">
        <v>-7.50364</v>
      </c>
      <c r="D3674" t="n">
        <v>-39.7238</v>
      </c>
      <c r="E3674" t="inlineStr">
        <is>
          <t>2023-07</t>
        </is>
      </c>
      <c r="F3674" t="n">
        <v>9090.677956036756</v>
      </c>
    </row>
    <row r="3675">
      <c r="A3675" t="inlineStr">
        <is>
          <t>Milho</t>
        </is>
      </c>
      <c r="B3675" t="inlineStr">
        <is>
          <t>Exu - PE</t>
        </is>
      </c>
      <c r="C3675" t="n">
        <v>-7.50364</v>
      </c>
      <c r="D3675" t="n">
        <v>-39.7238</v>
      </c>
      <c r="E3675" t="inlineStr">
        <is>
          <t>2023-08</t>
        </is>
      </c>
      <c r="F3675" t="n">
        <v>25610.3346774599</v>
      </c>
    </row>
    <row r="3676">
      <c r="A3676" t="inlineStr">
        <is>
          <t>Milho</t>
        </is>
      </c>
      <c r="B3676" t="inlineStr">
        <is>
          <t>Exu - PE</t>
        </is>
      </c>
      <c r="C3676" t="n">
        <v>-7.50364</v>
      </c>
      <c r="D3676" t="n">
        <v>-39.7238</v>
      </c>
      <c r="E3676" t="inlineStr">
        <is>
          <t>2023-09</t>
        </is>
      </c>
      <c r="F3676" t="n">
        <v>12207.8261408086</v>
      </c>
    </row>
    <row r="3677">
      <c r="A3677" t="inlineStr">
        <is>
          <t>Milho</t>
        </is>
      </c>
      <c r="B3677" t="inlineStr">
        <is>
          <t>Exu - PE</t>
        </is>
      </c>
      <c r="C3677" t="n">
        <v>-7.50364</v>
      </c>
      <c r="D3677" t="n">
        <v>-39.7238</v>
      </c>
      <c r="E3677" t="inlineStr">
        <is>
          <t>2023-10</t>
        </is>
      </c>
      <c r="F3677" t="n">
        <v>37918.93043275594</v>
      </c>
    </row>
    <row r="3678">
      <c r="A3678" t="inlineStr">
        <is>
          <t>Milho</t>
        </is>
      </c>
      <c r="B3678" t="inlineStr">
        <is>
          <t>Exu - PE</t>
        </is>
      </c>
      <c r="C3678" t="n">
        <v>-7.50364</v>
      </c>
      <c r="D3678" t="n">
        <v>-39.7238</v>
      </c>
      <c r="E3678" t="inlineStr">
        <is>
          <t>2023-11</t>
        </is>
      </c>
      <c r="F3678" t="n">
        <v>122009.3177086148</v>
      </c>
    </row>
    <row r="3679">
      <c r="A3679" t="inlineStr">
        <is>
          <t>Milho</t>
        </is>
      </c>
      <c r="B3679" t="inlineStr">
        <is>
          <t>Exu - PE</t>
        </is>
      </c>
      <c r="C3679" t="n">
        <v>-7.50364</v>
      </c>
      <c r="D3679" t="n">
        <v>-39.7238</v>
      </c>
      <c r="E3679" t="inlineStr">
        <is>
          <t>2023-12</t>
        </is>
      </c>
      <c r="F3679" t="n">
        <v>0</v>
      </c>
    </row>
    <row r="3680">
      <c r="A3680" t="inlineStr">
        <is>
          <t>Milho</t>
        </is>
      </c>
      <c r="B3680" t="inlineStr">
        <is>
          <t>Baixa Grande do Ribeiro - PI</t>
        </is>
      </c>
      <c r="C3680" t="n">
        <v>-7.84903</v>
      </c>
      <c r="D3680" t="n">
        <v>-45.219</v>
      </c>
      <c r="E3680" t="inlineStr">
        <is>
          <t>2024-01</t>
        </is>
      </c>
      <c r="F3680" t="n">
        <v>0</v>
      </c>
    </row>
    <row r="3681">
      <c r="A3681" t="inlineStr">
        <is>
          <t>Milho</t>
        </is>
      </c>
      <c r="B3681" t="inlineStr">
        <is>
          <t>Baixa Grande do Ribeiro - PI</t>
        </is>
      </c>
      <c r="C3681" t="n">
        <v>-7.84903</v>
      </c>
      <c r="D3681" t="n">
        <v>-45.219</v>
      </c>
      <c r="E3681" t="inlineStr">
        <is>
          <t>2024-02</t>
        </is>
      </c>
      <c r="F3681" t="n">
        <v>0</v>
      </c>
    </row>
    <row r="3682">
      <c r="A3682" t="inlineStr">
        <is>
          <t>Milho</t>
        </is>
      </c>
      <c r="B3682" t="inlineStr">
        <is>
          <t>Baixa Grande do Ribeiro - PI</t>
        </is>
      </c>
      <c r="C3682" t="n">
        <v>-7.84903</v>
      </c>
      <c r="D3682" t="n">
        <v>-45.219</v>
      </c>
      <c r="E3682" t="inlineStr">
        <is>
          <t>2024-03</t>
        </is>
      </c>
      <c r="F3682" t="n">
        <v>0</v>
      </c>
    </row>
    <row r="3683">
      <c r="A3683" t="inlineStr">
        <is>
          <t>Milho</t>
        </is>
      </c>
      <c r="B3683" t="inlineStr">
        <is>
          <t>Baixa Grande do Ribeiro - PI</t>
        </is>
      </c>
      <c r="C3683" t="n">
        <v>-7.84903</v>
      </c>
      <c r="D3683" t="n">
        <v>-45.219</v>
      </c>
      <c r="E3683" t="inlineStr">
        <is>
          <t>2024-04</t>
        </is>
      </c>
      <c r="F3683" t="n">
        <v>0</v>
      </c>
    </row>
    <row r="3684">
      <c r="A3684" t="inlineStr">
        <is>
          <t>Milho</t>
        </is>
      </c>
      <c r="B3684" t="inlineStr">
        <is>
          <t>Baixa Grande do Ribeiro - PI</t>
        </is>
      </c>
      <c r="C3684" t="n">
        <v>-7.84903</v>
      </c>
      <c r="D3684" t="n">
        <v>-45.219</v>
      </c>
      <c r="E3684" t="inlineStr">
        <is>
          <t>2024-05</t>
        </is>
      </c>
      <c r="F3684" t="n">
        <v>45598.26461782111</v>
      </c>
    </row>
    <row r="3685">
      <c r="A3685" t="inlineStr">
        <is>
          <t>Milho</t>
        </is>
      </c>
      <c r="B3685" t="inlineStr">
        <is>
          <t>Baixa Grande do Ribeiro - PI</t>
        </is>
      </c>
      <c r="C3685" t="n">
        <v>-7.84903</v>
      </c>
      <c r="D3685" t="n">
        <v>-45.219</v>
      </c>
      <c r="E3685" t="inlineStr">
        <is>
          <t>2024-06</t>
        </is>
      </c>
      <c r="F3685" t="n">
        <v>66222.56643039982</v>
      </c>
    </row>
    <row r="3686">
      <c r="A3686" t="inlineStr">
        <is>
          <t>Milho</t>
        </is>
      </c>
      <c r="B3686" t="inlineStr">
        <is>
          <t>Baixa Grande do Ribeiro - PI</t>
        </is>
      </c>
      <c r="C3686" t="n">
        <v>-7.84903</v>
      </c>
      <c r="D3686" t="n">
        <v>-45.219</v>
      </c>
      <c r="E3686" t="inlineStr">
        <is>
          <t>2023-07</t>
        </is>
      </c>
      <c r="F3686" t="n">
        <v>64628.83038226092</v>
      </c>
    </row>
    <row r="3687">
      <c r="A3687" t="inlineStr">
        <is>
          <t>Milho</t>
        </is>
      </c>
      <c r="B3687" t="inlineStr">
        <is>
          <t>Baixa Grande do Ribeiro - PI</t>
        </is>
      </c>
      <c r="C3687" t="n">
        <v>-7.84903</v>
      </c>
      <c r="D3687" t="n">
        <v>-45.219</v>
      </c>
      <c r="E3687" t="inlineStr">
        <is>
          <t>2023-08</t>
        </is>
      </c>
      <c r="F3687" t="n">
        <v>46818.74224865447</v>
      </c>
    </row>
    <row r="3688">
      <c r="A3688" t="inlineStr">
        <is>
          <t>Milho</t>
        </is>
      </c>
      <c r="B3688" t="inlineStr">
        <is>
          <t>Baixa Grande do Ribeiro - PI</t>
        </is>
      </c>
      <c r="C3688" t="n">
        <v>-7.84903</v>
      </c>
      <c r="D3688" t="n">
        <v>-45.219</v>
      </c>
      <c r="E3688" t="inlineStr">
        <is>
          <t>2023-09</t>
        </is>
      </c>
      <c r="F3688" t="n">
        <v>0</v>
      </c>
    </row>
    <row r="3689">
      <c r="A3689" t="inlineStr">
        <is>
          <t>Milho</t>
        </is>
      </c>
      <c r="B3689" t="inlineStr">
        <is>
          <t>Baixa Grande do Ribeiro - PI</t>
        </is>
      </c>
      <c r="C3689" t="n">
        <v>-7.84903</v>
      </c>
      <c r="D3689" t="n">
        <v>-45.219</v>
      </c>
      <c r="E3689" t="inlineStr">
        <is>
          <t>2023-10</t>
        </is>
      </c>
      <c r="F3689" t="n">
        <v>0</v>
      </c>
    </row>
    <row r="3690">
      <c r="A3690" t="inlineStr">
        <is>
          <t>Milho</t>
        </is>
      </c>
      <c r="B3690" t="inlineStr">
        <is>
          <t>Baixa Grande do Ribeiro - PI</t>
        </is>
      </c>
      <c r="C3690" t="n">
        <v>-7.84903</v>
      </c>
      <c r="D3690" t="n">
        <v>-45.219</v>
      </c>
      <c r="E3690" t="inlineStr">
        <is>
          <t>2023-11</t>
        </is>
      </c>
      <c r="F3690" t="n">
        <v>0</v>
      </c>
    </row>
    <row r="3691">
      <c r="A3691" t="inlineStr">
        <is>
          <t>Milho</t>
        </is>
      </c>
      <c r="B3691" t="inlineStr">
        <is>
          <t>Baixa Grande do Ribeiro - PI</t>
        </is>
      </c>
      <c r="C3691" t="n">
        <v>-7.84903</v>
      </c>
      <c r="D3691" t="n">
        <v>-45.219</v>
      </c>
      <c r="E3691" t="inlineStr">
        <is>
          <t>2023-12</t>
        </is>
      </c>
      <c r="F3691" t="n">
        <v>0</v>
      </c>
    </row>
    <row r="3692">
      <c r="A3692" t="inlineStr">
        <is>
          <t>Milho</t>
        </is>
      </c>
      <c r="B3692" t="inlineStr">
        <is>
          <t>Toledo - PR</t>
        </is>
      </c>
      <c r="C3692" t="n">
        <v>-24.7246</v>
      </c>
      <c r="D3692" t="n">
        <v>-53.7412</v>
      </c>
      <c r="E3692" t="inlineStr">
        <is>
          <t>2024-01</t>
        </is>
      </c>
      <c r="F3692" t="n">
        <v>0</v>
      </c>
    </row>
    <row r="3693">
      <c r="A3693" t="inlineStr">
        <is>
          <t>Milho</t>
        </is>
      </c>
      <c r="B3693" t="inlineStr">
        <is>
          <t>Toledo - PR</t>
        </is>
      </c>
      <c r="C3693" t="n">
        <v>-24.7246</v>
      </c>
      <c r="D3693" t="n">
        <v>-53.7412</v>
      </c>
      <c r="E3693" t="inlineStr">
        <is>
          <t>2024-02</t>
        </is>
      </c>
      <c r="F3693" t="n">
        <v>0</v>
      </c>
    </row>
    <row r="3694">
      <c r="A3694" t="inlineStr">
        <is>
          <t>Milho</t>
        </is>
      </c>
      <c r="B3694" t="inlineStr">
        <is>
          <t>Toledo - PR</t>
        </is>
      </c>
      <c r="C3694" t="n">
        <v>-24.7246</v>
      </c>
      <c r="D3694" t="n">
        <v>-53.7412</v>
      </c>
      <c r="E3694" t="inlineStr">
        <is>
          <t>2024-03</t>
        </is>
      </c>
      <c r="F3694" t="n">
        <v>0</v>
      </c>
    </row>
    <row r="3695">
      <c r="A3695" t="inlineStr">
        <is>
          <t>Milho</t>
        </is>
      </c>
      <c r="B3695" t="inlineStr">
        <is>
          <t>Toledo - PR</t>
        </is>
      </c>
      <c r="C3695" t="n">
        <v>-24.7246</v>
      </c>
      <c r="D3695" t="n">
        <v>-53.7412</v>
      </c>
      <c r="E3695" t="inlineStr">
        <is>
          <t>2024-04</t>
        </is>
      </c>
      <c r="F3695" t="n">
        <v>0</v>
      </c>
    </row>
    <row r="3696">
      <c r="A3696" t="inlineStr">
        <is>
          <t>Milho</t>
        </is>
      </c>
      <c r="B3696" t="inlineStr">
        <is>
          <t>Toledo - PR</t>
        </is>
      </c>
      <c r="C3696" t="n">
        <v>-24.7246</v>
      </c>
      <c r="D3696" t="n">
        <v>-53.7412</v>
      </c>
      <c r="E3696" t="inlineStr">
        <is>
          <t>2024-05</t>
        </is>
      </c>
      <c r="F3696" t="n">
        <v>771440.7435430376</v>
      </c>
    </row>
    <row r="3697">
      <c r="A3697" t="inlineStr">
        <is>
          <t>Milho</t>
        </is>
      </c>
      <c r="B3697" t="inlineStr">
        <is>
          <t>Toledo - PR</t>
        </is>
      </c>
      <c r="C3697" t="n">
        <v>-24.7246</v>
      </c>
      <c r="D3697" t="n">
        <v>-53.7412</v>
      </c>
      <c r="E3697" t="inlineStr">
        <is>
          <t>2024-06</t>
        </is>
      </c>
      <c r="F3697" t="n">
        <v>1344440.26713498</v>
      </c>
    </row>
    <row r="3698">
      <c r="A3698" t="inlineStr">
        <is>
          <t>Milho</t>
        </is>
      </c>
      <c r="B3698" t="inlineStr">
        <is>
          <t>Toledo - PR</t>
        </is>
      </c>
      <c r="C3698" t="n">
        <v>-24.7246</v>
      </c>
      <c r="D3698" t="n">
        <v>-53.7412</v>
      </c>
      <c r="E3698" t="inlineStr">
        <is>
          <t>2023-07</t>
        </is>
      </c>
      <c r="F3698" t="n">
        <v>1312084.485204442</v>
      </c>
    </row>
    <row r="3699">
      <c r="A3699" t="inlineStr">
        <is>
          <t>Milho</t>
        </is>
      </c>
      <c r="B3699" t="inlineStr">
        <is>
          <t>Toledo - PR</t>
        </is>
      </c>
      <c r="C3699" t="n">
        <v>-24.7246</v>
      </c>
      <c r="D3699" t="n">
        <v>-53.7412</v>
      </c>
      <c r="E3699" t="inlineStr">
        <is>
          <t>2023-08</t>
        </is>
      </c>
      <c r="F3699" t="n">
        <v>1584178.06619491</v>
      </c>
    </row>
    <row r="3700">
      <c r="A3700" t="inlineStr">
        <is>
          <t>Milho</t>
        </is>
      </c>
      <c r="B3700" t="inlineStr">
        <is>
          <t>Toledo - PR</t>
        </is>
      </c>
      <c r="C3700" t="n">
        <v>-24.7246</v>
      </c>
      <c r="D3700" t="n">
        <v>-53.7412</v>
      </c>
      <c r="E3700" t="inlineStr">
        <is>
          <t>2023-09</t>
        </is>
      </c>
      <c r="F3700" t="n">
        <v>4111314.010690859</v>
      </c>
    </row>
    <row r="3701">
      <c r="A3701" t="inlineStr">
        <is>
          <t>Milho</t>
        </is>
      </c>
      <c r="B3701" t="inlineStr">
        <is>
          <t>Toledo - PR</t>
        </is>
      </c>
      <c r="C3701" t="n">
        <v>-24.7246</v>
      </c>
      <c r="D3701" t="n">
        <v>-53.7412</v>
      </c>
      <c r="E3701" t="inlineStr">
        <is>
          <t>2023-10</t>
        </is>
      </c>
      <c r="F3701" t="n">
        <v>2736475.791848219</v>
      </c>
    </row>
    <row r="3702">
      <c r="A3702" t="inlineStr">
        <is>
          <t>Milho</t>
        </is>
      </c>
      <c r="B3702" t="inlineStr">
        <is>
          <t>Toledo - PR</t>
        </is>
      </c>
      <c r="C3702" t="n">
        <v>-24.7246</v>
      </c>
      <c r="D3702" t="n">
        <v>-53.7412</v>
      </c>
      <c r="E3702" t="inlineStr">
        <is>
          <t>2023-11</t>
        </is>
      </c>
      <c r="F3702" t="n">
        <v>0</v>
      </c>
    </row>
    <row r="3703">
      <c r="A3703" t="inlineStr">
        <is>
          <t>Milho</t>
        </is>
      </c>
      <c r="B3703" t="inlineStr">
        <is>
          <t>Toledo - PR</t>
        </is>
      </c>
      <c r="C3703" t="n">
        <v>-24.7246</v>
      </c>
      <c r="D3703" t="n">
        <v>-53.7412</v>
      </c>
      <c r="E3703" t="inlineStr">
        <is>
          <t>2023-12</t>
        </is>
      </c>
      <c r="F3703" t="n">
        <v>0</v>
      </c>
    </row>
    <row r="3704">
      <c r="A3704" t="inlineStr">
        <is>
          <t>Milho</t>
        </is>
      </c>
      <c r="B3704" t="inlineStr">
        <is>
          <t>Macaé - RJ</t>
        </is>
      </c>
      <c r="C3704" t="n">
        <v>-22.3768</v>
      </c>
      <c r="D3704" t="n">
        <v>-41.7848</v>
      </c>
      <c r="E3704" t="inlineStr">
        <is>
          <t>2024-01</t>
        </is>
      </c>
      <c r="F3704" t="n">
        <v>0</v>
      </c>
    </row>
    <row r="3705">
      <c r="A3705" t="inlineStr">
        <is>
          <t>Milho</t>
        </is>
      </c>
      <c r="B3705" t="inlineStr">
        <is>
          <t>Macaé - RJ</t>
        </is>
      </c>
      <c r="C3705" t="n">
        <v>-22.3768</v>
      </c>
      <c r="D3705" t="n">
        <v>-41.7848</v>
      </c>
      <c r="E3705" t="inlineStr">
        <is>
          <t>2024-02</t>
        </is>
      </c>
      <c r="F3705" t="n">
        <v>0</v>
      </c>
    </row>
    <row r="3706">
      <c r="A3706" t="inlineStr">
        <is>
          <t>Milho</t>
        </is>
      </c>
      <c r="B3706" t="inlineStr">
        <is>
          <t>Macaé - RJ</t>
        </is>
      </c>
      <c r="C3706" t="n">
        <v>-22.3768</v>
      </c>
      <c r="D3706" t="n">
        <v>-41.7848</v>
      </c>
      <c r="E3706" t="inlineStr">
        <is>
          <t>2024-03</t>
        </is>
      </c>
      <c r="F3706" t="n">
        <v>0</v>
      </c>
    </row>
    <row r="3707">
      <c r="A3707" t="inlineStr">
        <is>
          <t>Milho</t>
        </is>
      </c>
      <c r="B3707" t="inlineStr">
        <is>
          <t>Macaé - RJ</t>
        </is>
      </c>
      <c r="C3707" t="n">
        <v>-22.3768</v>
      </c>
      <c r="D3707" t="n">
        <v>-41.7848</v>
      </c>
      <c r="E3707" t="inlineStr">
        <is>
          <t>2024-04</t>
        </is>
      </c>
      <c r="F3707" t="n">
        <v>0</v>
      </c>
    </row>
    <row r="3708">
      <c r="A3708" t="inlineStr">
        <is>
          <t>Milho</t>
        </is>
      </c>
      <c r="B3708" t="inlineStr">
        <is>
          <t>Macaé - RJ</t>
        </is>
      </c>
      <c r="C3708" t="n">
        <v>-22.3768</v>
      </c>
      <c r="D3708" t="n">
        <v>-41.7848</v>
      </c>
      <c r="E3708" t="inlineStr">
        <is>
          <t>2024-05</t>
        </is>
      </c>
      <c r="F3708" t="n">
        <v>0</v>
      </c>
    </row>
    <row r="3709">
      <c r="A3709" t="inlineStr">
        <is>
          <t>Milho</t>
        </is>
      </c>
      <c r="B3709" t="inlineStr">
        <is>
          <t>Macaé - RJ</t>
        </is>
      </c>
      <c r="C3709" t="n">
        <v>-22.3768</v>
      </c>
      <c r="D3709" t="n">
        <v>-41.7848</v>
      </c>
      <c r="E3709" t="inlineStr">
        <is>
          <t>2024-06</t>
        </is>
      </c>
      <c r="F3709" t="n">
        <v>0</v>
      </c>
    </row>
    <row r="3710">
      <c r="A3710" t="inlineStr">
        <is>
          <t>Milho</t>
        </is>
      </c>
      <c r="B3710" t="inlineStr">
        <is>
          <t>Macaé - RJ</t>
        </is>
      </c>
      <c r="C3710" t="n">
        <v>-22.3768</v>
      </c>
      <c r="D3710" t="n">
        <v>-41.7848</v>
      </c>
      <c r="E3710" t="inlineStr">
        <is>
          <t>2023-07</t>
        </is>
      </c>
      <c r="F3710" t="n">
        <v>0</v>
      </c>
    </row>
    <row r="3711">
      <c r="A3711" t="inlineStr">
        <is>
          <t>Milho</t>
        </is>
      </c>
      <c r="B3711" t="inlineStr">
        <is>
          <t>Macaé - RJ</t>
        </is>
      </c>
      <c r="C3711" t="n">
        <v>-22.3768</v>
      </c>
      <c r="D3711" t="n">
        <v>-41.7848</v>
      </c>
      <c r="E3711" t="inlineStr">
        <is>
          <t>2023-08</t>
        </is>
      </c>
      <c r="F3711" t="n">
        <v>0</v>
      </c>
    </row>
    <row r="3712">
      <c r="A3712" t="inlineStr">
        <is>
          <t>Milho</t>
        </is>
      </c>
      <c r="B3712" t="inlineStr">
        <is>
          <t>Macaé - RJ</t>
        </is>
      </c>
      <c r="C3712" t="n">
        <v>-22.3768</v>
      </c>
      <c r="D3712" t="n">
        <v>-41.7848</v>
      </c>
      <c r="E3712" t="inlineStr">
        <is>
          <t>2023-09</t>
        </is>
      </c>
      <c r="F3712" t="n">
        <v>0</v>
      </c>
    </row>
    <row r="3713">
      <c r="A3713" t="inlineStr">
        <is>
          <t>Milho</t>
        </is>
      </c>
      <c r="B3713" t="inlineStr">
        <is>
          <t>Macaé - RJ</t>
        </is>
      </c>
      <c r="C3713" t="n">
        <v>-22.3768</v>
      </c>
      <c r="D3713" t="n">
        <v>-41.7848</v>
      </c>
      <c r="E3713" t="inlineStr">
        <is>
          <t>2023-10</t>
        </is>
      </c>
      <c r="F3713" t="n">
        <v>0</v>
      </c>
    </row>
    <row r="3714">
      <c r="A3714" t="inlineStr">
        <is>
          <t>Milho</t>
        </is>
      </c>
      <c r="B3714" t="inlineStr">
        <is>
          <t>Macaé - RJ</t>
        </is>
      </c>
      <c r="C3714" t="n">
        <v>-22.3768</v>
      </c>
      <c r="D3714" t="n">
        <v>-41.7848</v>
      </c>
      <c r="E3714" t="inlineStr">
        <is>
          <t>2023-11</t>
        </is>
      </c>
      <c r="F3714" t="n">
        <v>0</v>
      </c>
    </row>
    <row r="3715">
      <c r="A3715" t="inlineStr">
        <is>
          <t>Milho</t>
        </is>
      </c>
      <c r="B3715" t="inlineStr">
        <is>
          <t>Macaé - RJ</t>
        </is>
      </c>
      <c r="C3715" t="n">
        <v>-22.3768</v>
      </c>
      <c r="D3715" t="n">
        <v>-41.7848</v>
      </c>
      <c r="E3715" t="inlineStr">
        <is>
          <t>2023-12</t>
        </is>
      </c>
      <c r="F3715" t="n">
        <v>0</v>
      </c>
    </row>
    <row r="3716">
      <c r="A3716" t="inlineStr">
        <is>
          <t>Milho</t>
        </is>
      </c>
      <c r="B3716" t="inlineStr">
        <is>
          <t>Apodi - RN</t>
        </is>
      </c>
      <c r="C3716" t="n">
        <v>-5.65349</v>
      </c>
      <c r="D3716" t="n">
        <v>-37.7946</v>
      </c>
      <c r="E3716" t="inlineStr">
        <is>
          <t>2024-01</t>
        </is>
      </c>
      <c r="F3716" t="n">
        <v>0</v>
      </c>
    </row>
    <row r="3717">
      <c r="A3717" t="inlineStr">
        <is>
          <t>Milho</t>
        </is>
      </c>
      <c r="B3717" t="inlineStr">
        <is>
          <t>Apodi - RN</t>
        </is>
      </c>
      <c r="C3717" t="n">
        <v>-5.65349</v>
      </c>
      <c r="D3717" t="n">
        <v>-37.7946</v>
      </c>
      <c r="E3717" t="inlineStr">
        <is>
          <t>2024-02</t>
        </is>
      </c>
      <c r="F3717" t="n">
        <v>0</v>
      </c>
    </row>
    <row r="3718">
      <c r="A3718" t="inlineStr">
        <is>
          <t>Milho</t>
        </is>
      </c>
      <c r="B3718" t="inlineStr">
        <is>
          <t>Apodi - RN</t>
        </is>
      </c>
      <c r="C3718" t="n">
        <v>-5.65349</v>
      </c>
      <c r="D3718" t="n">
        <v>-37.7946</v>
      </c>
      <c r="E3718" t="inlineStr">
        <is>
          <t>2024-03</t>
        </is>
      </c>
      <c r="F3718" t="n">
        <v>0</v>
      </c>
    </row>
    <row r="3719">
      <c r="A3719" t="inlineStr">
        <is>
          <t>Milho</t>
        </is>
      </c>
      <c r="B3719" t="inlineStr">
        <is>
          <t>Apodi - RN</t>
        </is>
      </c>
      <c r="C3719" t="n">
        <v>-5.65349</v>
      </c>
      <c r="D3719" t="n">
        <v>-37.7946</v>
      </c>
      <c r="E3719" t="inlineStr">
        <is>
          <t>2024-04</t>
        </is>
      </c>
      <c r="F3719" t="n">
        <v>0</v>
      </c>
    </row>
    <row r="3720">
      <c r="A3720" t="inlineStr">
        <is>
          <t>Milho</t>
        </is>
      </c>
      <c r="B3720" t="inlineStr">
        <is>
          <t>Apodi - RN</t>
        </is>
      </c>
      <c r="C3720" t="n">
        <v>-5.65349</v>
      </c>
      <c r="D3720" t="n">
        <v>-37.7946</v>
      </c>
      <c r="E3720" t="inlineStr">
        <is>
          <t>2024-05</t>
        </is>
      </c>
      <c r="F3720" t="n">
        <v>2857.623203124429</v>
      </c>
    </row>
    <row r="3721">
      <c r="A3721" t="inlineStr">
        <is>
          <t>Milho</t>
        </is>
      </c>
      <c r="B3721" t="inlineStr">
        <is>
          <t>Apodi - RN</t>
        </is>
      </c>
      <c r="C3721" t="n">
        <v>-5.65349</v>
      </c>
      <c r="D3721" t="n">
        <v>-37.7946</v>
      </c>
      <c r="E3721" t="inlineStr">
        <is>
          <t>2024-06</t>
        </is>
      </c>
      <c r="F3721" t="n">
        <v>2490.083479992777</v>
      </c>
    </row>
    <row r="3722">
      <c r="A3722" t="inlineStr">
        <is>
          <t>Milho</t>
        </is>
      </c>
      <c r="B3722" t="inlineStr">
        <is>
          <t>Apodi - RN</t>
        </is>
      </c>
      <c r="C3722" t="n">
        <v>-5.65349</v>
      </c>
      <c r="D3722" t="n">
        <v>-37.7946</v>
      </c>
      <c r="E3722" t="inlineStr">
        <is>
          <t>2023-07</t>
        </is>
      </c>
      <c r="F3722" t="n">
        <v>4050.26039563272</v>
      </c>
    </row>
    <row r="3723">
      <c r="A3723" t="inlineStr">
        <is>
          <t>Milho</t>
        </is>
      </c>
      <c r="B3723" t="inlineStr">
        <is>
          <t>Apodi - RN</t>
        </is>
      </c>
      <c r="C3723" t="n">
        <v>-5.65349</v>
      </c>
      <c r="D3723" t="n">
        <v>-37.7946</v>
      </c>
      <c r="E3723" t="inlineStr">
        <is>
          <t>2023-08</t>
        </is>
      </c>
      <c r="F3723" t="n">
        <v>4890.183333079739</v>
      </c>
    </row>
    <row r="3724">
      <c r="A3724" t="inlineStr">
        <is>
          <t>Milho</t>
        </is>
      </c>
      <c r="B3724" t="inlineStr">
        <is>
          <t>Apodi - RN</t>
        </is>
      </c>
      <c r="C3724" t="n">
        <v>-5.65349</v>
      </c>
      <c r="D3724" t="n">
        <v>-37.7946</v>
      </c>
      <c r="E3724" t="inlineStr">
        <is>
          <t>2023-09</t>
        </is>
      </c>
      <c r="F3724" t="n">
        <v>3263.444705048817</v>
      </c>
    </row>
    <row r="3725">
      <c r="A3725" t="inlineStr">
        <is>
          <t>Milho</t>
        </is>
      </c>
      <c r="B3725" t="inlineStr">
        <is>
          <t>Apodi - RN</t>
        </is>
      </c>
      <c r="C3725" t="n">
        <v>-5.65349</v>
      </c>
      <c r="D3725" t="n">
        <v>-37.7946</v>
      </c>
      <c r="E3725" t="inlineStr">
        <is>
          <t>2023-10</t>
        </is>
      </c>
      <c r="F3725" t="n">
        <v>0</v>
      </c>
    </row>
    <row r="3726">
      <c r="A3726" t="inlineStr">
        <is>
          <t>Milho</t>
        </is>
      </c>
      <c r="B3726" t="inlineStr">
        <is>
          <t>Apodi - RN</t>
        </is>
      </c>
      <c r="C3726" t="n">
        <v>-5.65349</v>
      </c>
      <c r="D3726" t="n">
        <v>-37.7946</v>
      </c>
      <c r="E3726" t="inlineStr">
        <is>
          <t>2023-11</t>
        </is>
      </c>
      <c r="F3726" t="n">
        <v>0</v>
      </c>
    </row>
    <row r="3727">
      <c r="A3727" t="inlineStr">
        <is>
          <t>Milho</t>
        </is>
      </c>
      <c r="B3727" t="inlineStr">
        <is>
          <t>Apodi - RN</t>
        </is>
      </c>
      <c r="C3727" t="n">
        <v>-5.65349</v>
      </c>
      <c r="D3727" t="n">
        <v>-37.7946</v>
      </c>
      <c r="E3727" t="inlineStr">
        <is>
          <t>2023-12</t>
        </is>
      </c>
      <c r="F3727" t="n">
        <v>0</v>
      </c>
    </row>
    <row r="3728">
      <c r="A3728" t="inlineStr">
        <is>
          <t>Milho</t>
        </is>
      </c>
      <c r="B3728" t="inlineStr">
        <is>
          <t>Pimenteiras do Oeste - RO</t>
        </is>
      </c>
      <c r="C3728" t="n">
        <v>-13.4823</v>
      </c>
      <c r="D3728" t="n">
        <v>-61.0471</v>
      </c>
      <c r="E3728" t="inlineStr">
        <is>
          <t>2024-01</t>
        </is>
      </c>
      <c r="F3728" t="n">
        <v>0</v>
      </c>
    </row>
    <row r="3729">
      <c r="A3729" t="inlineStr">
        <is>
          <t>Milho</t>
        </is>
      </c>
      <c r="B3729" t="inlineStr">
        <is>
          <t>Pimenteiras do Oeste - RO</t>
        </is>
      </c>
      <c r="C3729" t="n">
        <v>-13.4823</v>
      </c>
      <c r="D3729" t="n">
        <v>-61.0471</v>
      </c>
      <c r="E3729" t="inlineStr">
        <is>
          <t>2024-02</t>
        </is>
      </c>
      <c r="F3729" t="n">
        <v>0</v>
      </c>
    </row>
    <row r="3730">
      <c r="A3730" t="inlineStr">
        <is>
          <t>Milho</t>
        </is>
      </c>
      <c r="B3730" t="inlineStr">
        <is>
          <t>Pimenteiras do Oeste - RO</t>
        </is>
      </c>
      <c r="C3730" t="n">
        <v>-13.4823</v>
      </c>
      <c r="D3730" t="n">
        <v>-61.0471</v>
      </c>
      <c r="E3730" t="inlineStr">
        <is>
          <t>2024-03</t>
        </is>
      </c>
      <c r="F3730" t="n">
        <v>0</v>
      </c>
    </row>
    <row r="3731">
      <c r="A3731" t="inlineStr">
        <is>
          <t>Milho</t>
        </is>
      </c>
      <c r="B3731" t="inlineStr">
        <is>
          <t>Pimenteiras do Oeste - RO</t>
        </is>
      </c>
      <c r="C3731" t="n">
        <v>-13.4823</v>
      </c>
      <c r="D3731" t="n">
        <v>-61.0471</v>
      </c>
      <c r="E3731" t="inlineStr">
        <is>
          <t>2024-04</t>
        </is>
      </c>
      <c r="F3731" t="n">
        <v>0</v>
      </c>
    </row>
    <row r="3732">
      <c r="A3732" t="inlineStr">
        <is>
          <t>Milho</t>
        </is>
      </c>
      <c r="B3732" t="inlineStr">
        <is>
          <t>Pimenteiras do Oeste - RO</t>
        </is>
      </c>
      <c r="C3732" t="n">
        <v>-13.4823</v>
      </c>
      <c r="D3732" t="n">
        <v>-61.0471</v>
      </c>
      <c r="E3732" t="inlineStr">
        <is>
          <t>2024-05</t>
        </is>
      </c>
      <c r="F3732" t="n">
        <v>102664.134037791</v>
      </c>
    </row>
    <row r="3733">
      <c r="A3733" t="inlineStr">
        <is>
          <t>Milho</t>
        </is>
      </c>
      <c r="B3733" t="inlineStr">
        <is>
          <t>Pimenteiras do Oeste - RO</t>
        </is>
      </c>
      <c r="C3733" t="n">
        <v>-13.4823</v>
      </c>
      <c r="D3733" t="n">
        <v>-61.0471</v>
      </c>
      <c r="E3733" t="inlineStr">
        <is>
          <t>2024-06</t>
        </is>
      </c>
      <c r="F3733" t="n">
        <v>178919.5047658886</v>
      </c>
    </row>
    <row r="3734">
      <c r="A3734" t="inlineStr">
        <is>
          <t>Milho</t>
        </is>
      </c>
      <c r="B3734" t="inlineStr">
        <is>
          <t>Pimenteiras do Oeste - RO</t>
        </is>
      </c>
      <c r="C3734" t="n">
        <v>-13.4823</v>
      </c>
      <c r="D3734" t="n">
        <v>-61.0471</v>
      </c>
      <c r="E3734" t="inlineStr">
        <is>
          <t>2023-07</t>
        </is>
      </c>
      <c r="F3734" t="n">
        <v>291022.6062628232</v>
      </c>
    </row>
    <row r="3735">
      <c r="A3735" t="inlineStr">
        <is>
          <t>Milho</t>
        </is>
      </c>
      <c r="B3735" t="inlineStr">
        <is>
          <t>Pimenteiras do Oeste - RO</t>
        </is>
      </c>
      <c r="C3735" t="n">
        <v>-13.4823</v>
      </c>
      <c r="D3735" t="n">
        <v>-61.0471</v>
      </c>
      <c r="E3735" t="inlineStr">
        <is>
          <t>2023-08</t>
        </is>
      </c>
      <c r="F3735" t="n">
        <v>351373.4327379127</v>
      </c>
    </row>
    <row r="3736">
      <c r="A3736" t="inlineStr">
        <is>
          <t>Milho</t>
        </is>
      </c>
      <c r="B3736" t="inlineStr">
        <is>
          <t>Pimenteiras do Oeste - RO</t>
        </is>
      </c>
      <c r="C3736" t="n">
        <v>-13.4823</v>
      </c>
      <c r="D3736" t="n">
        <v>-61.0471</v>
      </c>
      <c r="E3736" t="inlineStr">
        <is>
          <t>2023-09</t>
        </is>
      </c>
      <c r="F3736" t="n">
        <v>234487.6849108245</v>
      </c>
    </row>
    <row r="3737">
      <c r="A3737" t="inlineStr">
        <is>
          <t>Milho</t>
        </is>
      </c>
      <c r="B3737" t="inlineStr">
        <is>
          <t>Pimenteiras do Oeste - RO</t>
        </is>
      </c>
      <c r="C3737" t="n">
        <v>-13.4823</v>
      </c>
      <c r="D3737" t="n">
        <v>-61.0471</v>
      </c>
      <c r="E3737" t="inlineStr">
        <is>
          <t>2023-10</t>
        </is>
      </c>
      <c r="F3737" t="n">
        <v>364173.0357605914</v>
      </c>
    </row>
    <row r="3738">
      <c r="A3738" t="inlineStr">
        <is>
          <t>Milho</t>
        </is>
      </c>
      <c r="B3738" t="inlineStr">
        <is>
          <t>Pimenteiras do Oeste - RO</t>
        </is>
      </c>
      <c r="C3738" t="n">
        <v>-13.4823</v>
      </c>
      <c r="D3738" t="n">
        <v>-61.0471</v>
      </c>
      <c r="E3738" t="inlineStr">
        <is>
          <t>2023-11</t>
        </is>
      </c>
      <c r="F3738" t="n">
        <v>0</v>
      </c>
    </row>
    <row r="3739">
      <c r="A3739" t="inlineStr">
        <is>
          <t>Milho</t>
        </is>
      </c>
      <c r="B3739" t="inlineStr">
        <is>
          <t>Pimenteiras do Oeste - RO</t>
        </is>
      </c>
      <c r="C3739" t="n">
        <v>-13.4823</v>
      </c>
      <c r="D3739" t="n">
        <v>-61.0471</v>
      </c>
      <c r="E3739" t="inlineStr">
        <is>
          <t>2023-12</t>
        </is>
      </c>
      <c r="F3739" t="n">
        <v>0</v>
      </c>
    </row>
    <row r="3740">
      <c r="A3740" t="inlineStr">
        <is>
          <t>Milho</t>
        </is>
      </c>
      <c r="B3740" t="inlineStr">
        <is>
          <t>Bonfim - RR</t>
        </is>
      </c>
      <c r="C3740" t="n">
        <v>3.36161</v>
      </c>
      <c r="D3740" t="n">
        <v>-59.8333</v>
      </c>
      <c r="E3740" t="inlineStr">
        <is>
          <t>2024-01</t>
        </is>
      </c>
      <c r="F3740" t="n">
        <v>0</v>
      </c>
    </row>
    <row r="3741">
      <c r="A3741" t="inlineStr">
        <is>
          <t>Milho</t>
        </is>
      </c>
      <c r="B3741" t="inlineStr">
        <is>
          <t>Bonfim - RR</t>
        </is>
      </c>
      <c r="C3741" t="n">
        <v>3.36161</v>
      </c>
      <c r="D3741" t="n">
        <v>-59.8333</v>
      </c>
      <c r="E3741" t="inlineStr">
        <is>
          <t>2024-02</t>
        </is>
      </c>
      <c r="F3741" t="n">
        <v>0</v>
      </c>
    </row>
    <row r="3742">
      <c r="A3742" t="inlineStr">
        <is>
          <t>Milho</t>
        </is>
      </c>
      <c r="B3742" t="inlineStr">
        <is>
          <t>Bonfim - RR</t>
        </is>
      </c>
      <c r="C3742" t="n">
        <v>3.36161</v>
      </c>
      <c r="D3742" t="n">
        <v>-59.8333</v>
      </c>
      <c r="E3742" t="inlineStr">
        <is>
          <t>2024-03</t>
        </is>
      </c>
      <c r="F3742" t="n">
        <v>0</v>
      </c>
    </row>
    <row r="3743">
      <c r="A3743" t="inlineStr">
        <is>
          <t>Milho</t>
        </is>
      </c>
      <c r="B3743" t="inlineStr">
        <is>
          <t>Bonfim - RR</t>
        </is>
      </c>
      <c r="C3743" t="n">
        <v>3.36161</v>
      </c>
      <c r="D3743" t="n">
        <v>-59.8333</v>
      </c>
      <c r="E3743" t="inlineStr">
        <is>
          <t>2024-04</t>
        </is>
      </c>
      <c r="F3743" t="n">
        <v>0</v>
      </c>
    </row>
    <row r="3744">
      <c r="A3744" t="inlineStr">
        <is>
          <t>Milho</t>
        </is>
      </c>
      <c r="B3744" t="inlineStr">
        <is>
          <t>Bonfim - RR</t>
        </is>
      </c>
      <c r="C3744" t="n">
        <v>3.36161</v>
      </c>
      <c r="D3744" t="n">
        <v>-59.8333</v>
      </c>
      <c r="E3744" t="inlineStr">
        <is>
          <t>2024-05</t>
        </is>
      </c>
      <c r="F3744" t="n">
        <v>0</v>
      </c>
    </row>
    <row r="3745">
      <c r="A3745" t="inlineStr">
        <is>
          <t>Milho</t>
        </is>
      </c>
      <c r="B3745" t="inlineStr">
        <is>
          <t>Bonfim - RR</t>
        </is>
      </c>
      <c r="C3745" t="n">
        <v>3.36161</v>
      </c>
      <c r="D3745" t="n">
        <v>-59.8333</v>
      </c>
      <c r="E3745" t="inlineStr">
        <is>
          <t>2024-06</t>
        </is>
      </c>
      <c r="F3745" t="n">
        <v>0</v>
      </c>
    </row>
    <row r="3746">
      <c r="A3746" t="inlineStr">
        <is>
          <t>Milho</t>
        </is>
      </c>
      <c r="B3746" t="inlineStr">
        <is>
          <t>Bonfim - RR</t>
        </is>
      </c>
      <c r="C3746" t="n">
        <v>3.36161</v>
      </c>
      <c r="D3746" t="n">
        <v>-59.8333</v>
      </c>
      <c r="E3746" t="inlineStr">
        <is>
          <t>2023-07</t>
        </is>
      </c>
      <c r="F3746" t="n">
        <v>0</v>
      </c>
    </row>
    <row r="3747">
      <c r="A3747" t="inlineStr">
        <is>
          <t>Milho</t>
        </is>
      </c>
      <c r="B3747" t="inlineStr">
        <is>
          <t>Bonfim - RR</t>
        </is>
      </c>
      <c r="C3747" t="n">
        <v>3.36161</v>
      </c>
      <c r="D3747" t="n">
        <v>-59.8333</v>
      </c>
      <c r="E3747" t="inlineStr">
        <is>
          <t>2023-08</t>
        </is>
      </c>
      <c r="F3747" t="n">
        <v>0</v>
      </c>
    </row>
    <row r="3748">
      <c r="A3748" t="inlineStr">
        <is>
          <t>Milho</t>
        </is>
      </c>
      <c r="B3748" t="inlineStr">
        <is>
          <t>Bonfim - RR</t>
        </is>
      </c>
      <c r="C3748" t="n">
        <v>3.36161</v>
      </c>
      <c r="D3748" t="n">
        <v>-59.8333</v>
      </c>
      <c r="E3748" t="inlineStr">
        <is>
          <t>2023-09</t>
        </is>
      </c>
      <c r="F3748" t="n">
        <v>0</v>
      </c>
    </row>
    <row r="3749">
      <c r="A3749" t="inlineStr">
        <is>
          <t>Milho</t>
        </is>
      </c>
      <c r="B3749" t="inlineStr">
        <is>
          <t>Bonfim - RR</t>
        </is>
      </c>
      <c r="C3749" t="n">
        <v>3.36161</v>
      </c>
      <c r="D3749" t="n">
        <v>-59.8333</v>
      </c>
      <c r="E3749" t="inlineStr">
        <is>
          <t>2023-10</t>
        </is>
      </c>
      <c r="F3749" t="n">
        <v>0</v>
      </c>
    </row>
    <row r="3750">
      <c r="A3750" t="inlineStr">
        <is>
          <t>Milho</t>
        </is>
      </c>
      <c r="B3750" t="inlineStr">
        <is>
          <t>Bonfim - RR</t>
        </is>
      </c>
      <c r="C3750" t="n">
        <v>3.36161</v>
      </c>
      <c r="D3750" t="n">
        <v>-59.8333</v>
      </c>
      <c r="E3750" t="inlineStr">
        <is>
          <t>2023-11</t>
        </is>
      </c>
      <c r="F3750" t="n">
        <v>0</v>
      </c>
    </row>
    <row r="3751">
      <c r="A3751" t="inlineStr">
        <is>
          <t>Milho</t>
        </is>
      </c>
      <c r="B3751" t="inlineStr">
        <is>
          <t>Bonfim - RR</t>
        </is>
      </c>
      <c r="C3751" t="n">
        <v>3.36161</v>
      </c>
      <c r="D3751" t="n">
        <v>-59.8333</v>
      </c>
      <c r="E3751" t="inlineStr">
        <is>
          <t>2023-12</t>
        </is>
      </c>
      <c r="F3751" t="n">
        <v>0</v>
      </c>
    </row>
    <row r="3752">
      <c r="A3752" t="inlineStr">
        <is>
          <t>Milho</t>
        </is>
      </c>
      <c r="B3752" t="inlineStr">
        <is>
          <t>Campos Novos - SC</t>
        </is>
      </c>
      <c r="C3752" t="n">
        <v>-27.4002</v>
      </c>
      <c r="D3752" t="n">
        <v>-51.2276</v>
      </c>
      <c r="E3752" t="inlineStr">
        <is>
          <t>2024-01</t>
        </is>
      </c>
      <c r="F3752" t="n">
        <v>0</v>
      </c>
    </row>
    <row r="3753">
      <c r="A3753" t="inlineStr">
        <is>
          <t>Milho</t>
        </is>
      </c>
      <c r="B3753" t="inlineStr">
        <is>
          <t>Campos Novos - SC</t>
        </is>
      </c>
      <c r="C3753" t="n">
        <v>-27.4002</v>
      </c>
      <c r="D3753" t="n">
        <v>-51.2276</v>
      </c>
      <c r="E3753" t="inlineStr">
        <is>
          <t>2024-02</t>
        </is>
      </c>
      <c r="F3753" t="n">
        <v>0</v>
      </c>
    </row>
    <row r="3754">
      <c r="A3754" t="inlineStr">
        <is>
          <t>Milho</t>
        </is>
      </c>
      <c r="B3754" t="inlineStr">
        <is>
          <t>Campos Novos - SC</t>
        </is>
      </c>
      <c r="C3754" t="n">
        <v>-27.4002</v>
      </c>
      <c r="D3754" t="n">
        <v>-51.2276</v>
      </c>
      <c r="E3754" t="inlineStr">
        <is>
          <t>2024-03</t>
        </is>
      </c>
      <c r="F3754" t="n">
        <v>0</v>
      </c>
    </row>
    <row r="3755">
      <c r="A3755" t="inlineStr">
        <is>
          <t>Milho</t>
        </is>
      </c>
      <c r="B3755" t="inlineStr">
        <is>
          <t>Campos Novos - SC</t>
        </is>
      </c>
      <c r="C3755" t="n">
        <v>-27.4002</v>
      </c>
      <c r="D3755" t="n">
        <v>-51.2276</v>
      </c>
      <c r="E3755" t="inlineStr">
        <is>
          <t>2024-04</t>
        </is>
      </c>
      <c r="F3755" t="n">
        <v>0</v>
      </c>
    </row>
    <row r="3756">
      <c r="A3756" t="inlineStr">
        <is>
          <t>Milho</t>
        </is>
      </c>
      <c r="B3756" t="inlineStr">
        <is>
          <t>Campos Novos - SC</t>
        </is>
      </c>
      <c r="C3756" t="n">
        <v>-27.4002</v>
      </c>
      <c r="D3756" t="n">
        <v>-51.2276</v>
      </c>
      <c r="E3756" t="inlineStr">
        <is>
          <t>2024-05</t>
        </is>
      </c>
      <c r="F3756" t="n">
        <v>0</v>
      </c>
    </row>
    <row r="3757">
      <c r="A3757" t="inlineStr">
        <is>
          <t>Milho</t>
        </is>
      </c>
      <c r="B3757" t="inlineStr">
        <is>
          <t>Campos Novos - SC</t>
        </is>
      </c>
      <c r="C3757" t="n">
        <v>-27.4002</v>
      </c>
      <c r="D3757" t="n">
        <v>-51.2276</v>
      </c>
      <c r="E3757" t="inlineStr">
        <is>
          <t>2024-06</t>
        </is>
      </c>
      <c r="F3757" t="n">
        <v>0</v>
      </c>
    </row>
    <row r="3758">
      <c r="A3758" t="inlineStr">
        <is>
          <t>Milho</t>
        </is>
      </c>
      <c r="B3758" t="inlineStr">
        <is>
          <t>Campos Novos - SC</t>
        </is>
      </c>
      <c r="C3758" t="n">
        <v>-27.4002</v>
      </c>
      <c r="D3758" t="n">
        <v>-51.2276</v>
      </c>
      <c r="E3758" t="inlineStr">
        <is>
          <t>2023-07</t>
        </is>
      </c>
      <c r="F3758" t="n">
        <v>0</v>
      </c>
    </row>
    <row r="3759">
      <c r="A3759" t="inlineStr">
        <is>
          <t>Milho</t>
        </is>
      </c>
      <c r="B3759" t="inlineStr">
        <is>
          <t>Campos Novos - SC</t>
        </is>
      </c>
      <c r="C3759" t="n">
        <v>-27.4002</v>
      </c>
      <c r="D3759" t="n">
        <v>-51.2276</v>
      </c>
      <c r="E3759" t="inlineStr">
        <is>
          <t>2023-08</t>
        </is>
      </c>
      <c r="F3759" t="n">
        <v>0</v>
      </c>
    </row>
    <row r="3760">
      <c r="A3760" t="inlineStr">
        <is>
          <t>Milho</t>
        </is>
      </c>
      <c r="B3760" t="inlineStr">
        <is>
          <t>Campos Novos - SC</t>
        </is>
      </c>
      <c r="C3760" t="n">
        <v>-27.4002</v>
      </c>
      <c r="D3760" t="n">
        <v>-51.2276</v>
      </c>
      <c r="E3760" t="inlineStr">
        <is>
          <t>2023-09</t>
        </is>
      </c>
      <c r="F3760" t="n">
        <v>0</v>
      </c>
    </row>
    <row r="3761">
      <c r="A3761" t="inlineStr">
        <is>
          <t>Milho</t>
        </is>
      </c>
      <c r="B3761" t="inlineStr">
        <is>
          <t>Campos Novos - SC</t>
        </is>
      </c>
      <c r="C3761" t="n">
        <v>-27.4002</v>
      </c>
      <c r="D3761" t="n">
        <v>-51.2276</v>
      </c>
      <c r="E3761" t="inlineStr">
        <is>
          <t>2023-10</t>
        </is>
      </c>
      <c r="F3761" t="n">
        <v>0</v>
      </c>
    </row>
    <row r="3762">
      <c r="A3762" t="inlineStr">
        <is>
          <t>Milho</t>
        </is>
      </c>
      <c r="B3762" t="inlineStr">
        <is>
          <t>Campos Novos - SC</t>
        </is>
      </c>
      <c r="C3762" t="n">
        <v>-27.4002</v>
      </c>
      <c r="D3762" t="n">
        <v>-51.2276</v>
      </c>
      <c r="E3762" t="inlineStr">
        <is>
          <t>2023-11</t>
        </is>
      </c>
      <c r="F3762" t="n">
        <v>0</v>
      </c>
    </row>
    <row r="3763">
      <c r="A3763" t="inlineStr">
        <is>
          <t>Milho</t>
        </is>
      </c>
      <c r="B3763" t="inlineStr">
        <is>
          <t>Campos Novos - SC</t>
        </is>
      </c>
      <c r="C3763" t="n">
        <v>-27.4002</v>
      </c>
      <c r="D3763" t="n">
        <v>-51.2276</v>
      </c>
      <c r="E3763" t="inlineStr">
        <is>
          <t>2023-12</t>
        </is>
      </c>
      <c r="F3763" t="n">
        <v>0</v>
      </c>
    </row>
    <row r="3764">
      <c r="A3764" t="inlineStr">
        <is>
          <t>Milho</t>
        </is>
      </c>
      <c r="B3764" t="inlineStr">
        <is>
          <t>Carira - SE</t>
        </is>
      </c>
      <c r="C3764" t="n">
        <v>-10.3524</v>
      </c>
      <c r="D3764" t="n">
        <v>-37.7002</v>
      </c>
      <c r="E3764" t="inlineStr">
        <is>
          <t>2024-01</t>
        </is>
      </c>
      <c r="F3764" t="n">
        <v>0</v>
      </c>
    </row>
    <row r="3765">
      <c r="A3765" t="inlineStr">
        <is>
          <t>Milho</t>
        </is>
      </c>
      <c r="B3765" t="inlineStr">
        <is>
          <t>Carira - SE</t>
        </is>
      </c>
      <c r="C3765" t="n">
        <v>-10.3524</v>
      </c>
      <c r="D3765" t="n">
        <v>-37.7002</v>
      </c>
      <c r="E3765" t="inlineStr">
        <is>
          <t>2024-02</t>
        </is>
      </c>
      <c r="F3765" t="n">
        <v>0</v>
      </c>
    </row>
    <row r="3766">
      <c r="A3766" t="inlineStr">
        <is>
          <t>Milho</t>
        </is>
      </c>
      <c r="B3766" t="inlineStr">
        <is>
          <t>Carira - SE</t>
        </is>
      </c>
      <c r="C3766" t="n">
        <v>-10.3524</v>
      </c>
      <c r="D3766" t="n">
        <v>-37.7002</v>
      </c>
      <c r="E3766" t="inlineStr">
        <is>
          <t>2024-03</t>
        </is>
      </c>
      <c r="F3766" t="n">
        <v>0</v>
      </c>
    </row>
    <row r="3767">
      <c r="A3767" t="inlineStr">
        <is>
          <t>Milho</t>
        </is>
      </c>
      <c r="B3767" t="inlineStr">
        <is>
          <t>Carira - SE</t>
        </is>
      </c>
      <c r="C3767" t="n">
        <v>-10.3524</v>
      </c>
      <c r="D3767" t="n">
        <v>-37.7002</v>
      </c>
      <c r="E3767" t="inlineStr">
        <is>
          <t>2024-04</t>
        </is>
      </c>
      <c r="F3767" t="n">
        <v>0</v>
      </c>
    </row>
    <row r="3768">
      <c r="A3768" t="inlineStr">
        <is>
          <t>Milho</t>
        </is>
      </c>
      <c r="B3768" t="inlineStr">
        <is>
          <t>Carira - SE</t>
        </is>
      </c>
      <c r="C3768" t="n">
        <v>-10.3524</v>
      </c>
      <c r="D3768" t="n">
        <v>-37.7002</v>
      </c>
      <c r="E3768" t="inlineStr">
        <is>
          <t>2024-05</t>
        </is>
      </c>
      <c r="F3768" t="n">
        <v>0</v>
      </c>
    </row>
    <row r="3769">
      <c r="A3769" t="inlineStr">
        <is>
          <t>Milho</t>
        </is>
      </c>
      <c r="B3769" t="inlineStr">
        <is>
          <t>Carira - SE</t>
        </is>
      </c>
      <c r="C3769" t="n">
        <v>-10.3524</v>
      </c>
      <c r="D3769" t="n">
        <v>-37.7002</v>
      </c>
      <c r="E3769" t="inlineStr">
        <is>
          <t>2024-06</t>
        </is>
      </c>
      <c r="F3769" t="n">
        <v>0</v>
      </c>
    </row>
    <row r="3770">
      <c r="A3770" t="inlineStr">
        <is>
          <t>Milho</t>
        </is>
      </c>
      <c r="B3770" t="inlineStr">
        <is>
          <t>Carira - SE</t>
        </is>
      </c>
      <c r="C3770" t="n">
        <v>-10.3524</v>
      </c>
      <c r="D3770" t="n">
        <v>-37.7002</v>
      </c>
      <c r="E3770" t="inlineStr">
        <is>
          <t>2023-07</t>
        </is>
      </c>
      <c r="F3770" t="n">
        <v>0</v>
      </c>
    </row>
    <row r="3771">
      <c r="A3771" t="inlineStr">
        <is>
          <t>Milho</t>
        </is>
      </c>
      <c r="B3771" t="inlineStr">
        <is>
          <t>Carira - SE</t>
        </is>
      </c>
      <c r="C3771" t="n">
        <v>-10.3524</v>
      </c>
      <c r="D3771" t="n">
        <v>-37.7002</v>
      </c>
      <c r="E3771" t="inlineStr">
        <is>
          <t>2023-08</t>
        </is>
      </c>
      <c r="F3771" t="n">
        <v>0</v>
      </c>
    </row>
    <row r="3772">
      <c r="A3772" t="inlineStr">
        <is>
          <t>Milho</t>
        </is>
      </c>
      <c r="B3772" t="inlineStr">
        <is>
          <t>Carira - SE</t>
        </is>
      </c>
      <c r="C3772" t="n">
        <v>-10.3524</v>
      </c>
      <c r="D3772" t="n">
        <v>-37.7002</v>
      </c>
      <c r="E3772" t="inlineStr">
        <is>
          <t>2023-09</t>
        </is>
      </c>
      <c r="F3772" t="n">
        <v>0</v>
      </c>
    </row>
    <row r="3773">
      <c r="A3773" t="inlineStr">
        <is>
          <t>Milho</t>
        </is>
      </c>
      <c r="B3773" t="inlineStr">
        <is>
          <t>Carira - SE</t>
        </is>
      </c>
      <c r="C3773" t="n">
        <v>-10.3524</v>
      </c>
      <c r="D3773" t="n">
        <v>-37.7002</v>
      </c>
      <c r="E3773" t="inlineStr">
        <is>
          <t>2023-10</t>
        </is>
      </c>
      <c r="F3773" t="n">
        <v>0</v>
      </c>
    </row>
    <row r="3774">
      <c r="A3774" t="inlineStr">
        <is>
          <t>Milho</t>
        </is>
      </c>
      <c r="B3774" t="inlineStr">
        <is>
          <t>Carira - SE</t>
        </is>
      </c>
      <c r="C3774" t="n">
        <v>-10.3524</v>
      </c>
      <c r="D3774" t="n">
        <v>-37.7002</v>
      </c>
      <c r="E3774" t="inlineStr">
        <is>
          <t>2023-11</t>
        </is>
      </c>
      <c r="F3774" t="n">
        <v>0</v>
      </c>
    </row>
    <row r="3775">
      <c r="A3775" t="inlineStr">
        <is>
          <t>Milho</t>
        </is>
      </c>
      <c r="B3775" t="inlineStr">
        <is>
          <t>Carira - SE</t>
        </is>
      </c>
      <c r="C3775" t="n">
        <v>-10.3524</v>
      </c>
      <c r="D3775" t="n">
        <v>-37.7002</v>
      </c>
      <c r="E3775" t="inlineStr">
        <is>
          <t>2023-12</t>
        </is>
      </c>
      <c r="F3775" t="n">
        <v>0</v>
      </c>
    </row>
    <row r="3776">
      <c r="A3776" t="inlineStr">
        <is>
          <t>Milho</t>
        </is>
      </c>
      <c r="B3776" t="inlineStr">
        <is>
          <t>Itapeva - SP</t>
        </is>
      </c>
      <c r="C3776" t="n">
        <v>-23.9788</v>
      </c>
      <c r="D3776" t="n">
        <v>-48.8764</v>
      </c>
      <c r="E3776" t="inlineStr">
        <is>
          <t>2024-01</t>
        </is>
      </c>
      <c r="F3776" t="n">
        <v>0</v>
      </c>
    </row>
    <row r="3777">
      <c r="A3777" t="inlineStr">
        <is>
          <t>Milho</t>
        </is>
      </c>
      <c r="B3777" t="inlineStr">
        <is>
          <t>Itapeva - SP</t>
        </is>
      </c>
      <c r="C3777" t="n">
        <v>-23.9788</v>
      </c>
      <c r="D3777" t="n">
        <v>-48.8764</v>
      </c>
      <c r="E3777" t="inlineStr">
        <is>
          <t>2024-02</t>
        </is>
      </c>
      <c r="F3777" t="n">
        <v>0</v>
      </c>
    </row>
    <row r="3778">
      <c r="A3778" t="inlineStr">
        <is>
          <t>Milho</t>
        </is>
      </c>
      <c r="B3778" t="inlineStr">
        <is>
          <t>Itapeva - SP</t>
        </is>
      </c>
      <c r="C3778" t="n">
        <v>-23.9788</v>
      </c>
      <c r="D3778" t="n">
        <v>-48.8764</v>
      </c>
      <c r="E3778" t="inlineStr">
        <is>
          <t>2024-03</t>
        </is>
      </c>
      <c r="F3778" t="n">
        <v>0</v>
      </c>
    </row>
    <row r="3779">
      <c r="A3779" t="inlineStr">
        <is>
          <t>Milho</t>
        </is>
      </c>
      <c r="B3779" t="inlineStr">
        <is>
          <t>Itapeva - SP</t>
        </is>
      </c>
      <c r="C3779" t="n">
        <v>-23.9788</v>
      </c>
      <c r="D3779" t="n">
        <v>-48.8764</v>
      </c>
      <c r="E3779" t="inlineStr">
        <is>
          <t>2024-04</t>
        </is>
      </c>
      <c r="F3779" t="n">
        <v>0</v>
      </c>
    </row>
    <row r="3780">
      <c r="A3780" t="inlineStr">
        <is>
          <t>Milho</t>
        </is>
      </c>
      <c r="B3780" t="inlineStr">
        <is>
          <t>Itapeva - SP</t>
        </is>
      </c>
      <c r="C3780" t="n">
        <v>-23.9788</v>
      </c>
      <c r="D3780" t="n">
        <v>-48.8764</v>
      </c>
      <c r="E3780" t="inlineStr">
        <is>
          <t>2024-05</t>
        </is>
      </c>
      <c r="F3780" t="n">
        <v>230017.1664606879</v>
      </c>
    </row>
    <row r="3781">
      <c r="A3781" t="inlineStr">
        <is>
          <t>Milho</t>
        </is>
      </c>
      <c r="B3781" t="inlineStr">
        <is>
          <t>Itapeva - SP</t>
        </is>
      </c>
      <c r="C3781" t="n">
        <v>-23.9788</v>
      </c>
      <c r="D3781" t="n">
        <v>-48.8764</v>
      </c>
      <c r="E3781" t="inlineStr">
        <is>
          <t>2024-06</t>
        </is>
      </c>
      <c r="F3781" t="n">
        <v>200432.9841989906</v>
      </c>
    </row>
    <row r="3782">
      <c r="A3782" t="inlineStr">
        <is>
          <t>Milho</t>
        </is>
      </c>
      <c r="B3782" t="inlineStr">
        <is>
          <t>Itapeva - SP</t>
        </is>
      </c>
      <c r="C3782" t="n">
        <v>-23.9788</v>
      </c>
      <c r="D3782" t="n">
        <v>-48.8764</v>
      </c>
      <c r="E3782" t="inlineStr">
        <is>
          <t>2023-07</t>
        </is>
      </c>
      <c r="F3782" t="n">
        <v>456421.6815071627</v>
      </c>
    </row>
    <row r="3783">
      <c r="A3783" t="inlineStr">
        <is>
          <t>Milho</t>
        </is>
      </c>
      <c r="B3783" t="inlineStr">
        <is>
          <t>Itapeva - SP</t>
        </is>
      </c>
      <c r="C3783" t="n">
        <v>-23.9788</v>
      </c>
      <c r="D3783" t="n">
        <v>-48.8764</v>
      </c>
      <c r="E3783" t="inlineStr">
        <is>
          <t>2023-08</t>
        </is>
      </c>
      <c r="F3783" t="n">
        <v>393622.9634888312</v>
      </c>
    </row>
    <row r="3784">
      <c r="A3784" t="inlineStr">
        <is>
          <t>Milho</t>
        </is>
      </c>
      <c r="B3784" t="inlineStr">
        <is>
          <t>Itapeva - SP</t>
        </is>
      </c>
      <c r="C3784" t="n">
        <v>-23.9788</v>
      </c>
      <c r="D3784" t="n">
        <v>-48.8764</v>
      </c>
      <c r="E3784" t="inlineStr">
        <is>
          <t>2023-09</t>
        </is>
      </c>
      <c r="F3784" t="n">
        <v>262682.7438746055</v>
      </c>
    </row>
    <row r="3785">
      <c r="A3785" t="inlineStr">
        <is>
          <t>Milho</t>
        </is>
      </c>
      <c r="B3785" t="inlineStr">
        <is>
          <t>Itapeva - SP</t>
        </is>
      </c>
      <c r="C3785" t="n">
        <v>-23.9788</v>
      </c>
      <c r="D3785" t="n">
        <v>-48.8764</v>
      </c>
      <c r="E3785" t="inlineStr">
        <is>
          <t>2023-10</t>
        </is>
      </c>
      <c r="F3785" t="n">
        <v>0</v>
      </c>
    </row>
    <row r="3786">
      <c r="A3786" t="inlineStr">
        <is>
          <t>Milho</t>
        </is>
      </c>
      <c r="B3786" t="inlineStr">
        <is>
          <t>Itapeva - SP</t>
        </is>
      </c>
      <c r="C3786" t="n">
        <v>-23.9788</v>
      </c>
      <c r="D3786" t="n">
        <v>-48.8764</v>
      </c>
      <c r="E3786" t="inlineStr">
        <is>
          <t>2023-11</t>
        </is>
      </c>
      <c r="F3786" t="n">
        <v>0</v>
      </c>
    </row>
    <row r="3787">
      <c r="A3787" t="inlineStr">
        <is>
          <t>Milho</t>
        </is>
      </c>
      <c r="B3787" t="inlineStr">
        <is>
          <t>Itapeva - SP</t>
        </is>
      </c>
      <c r="C3787" t="n">
        <v>-23.9788</v>
      </c>
      <c r="D3787" t="n">
        <v>-48.8764</v>
      </c>
      <c r="E3787" t="inlineStr">
        <is>
          <t>2023-12</t>
        </is>
      </c>
      <c r="F3787" t="n">
        <v>0</v>
      </c>
    </row>
    <row r="3788">
      <c r="A3788" t="inlineStr">
        <is>
          <t>Milho</t>
        </is>
      </c>
      <c r="B3788" t="inlineStr">
        <is>
          <t>Campos Lindos - TO</t>
        </is>
      </c>
      <c r="C3788" t="n">
        <v>-7.98956</v>
      </c>
      <c r="D3788" t="n">
        <v>-46.8645</v>
      </c>
      <c r="E3788" t="inlineStr">
        <is>
          <t>2024-01</t>
        </is>
      </c>
      <c r="F3788" t="n">
        <v>0</v>
      </c>
    </row>
    <row r="3789">
      <c r="A3789" t="inlineStr">
        <is>
          <t>Milho</t>
        </is>
      </c>
      <c r="B3789" t="inlineStr">
        <is>
          <t>Campos Lindos - TO</t>
        </is>
      </c>
      <c r="C3789" t="n">
        <v>-7.98956</v>
      </c>
      <c r="D3789" t="n">
        <v>-46.8645</v>
      </c>
      <c r="E3789" t="inlineStr">
        <is>
          <t>2024-02</t>
        </is>
      </c>
      <c r="F3789" t="n">
        <v>0</v>
      </c>
    </row>
    <row r="3790">
      <c r="A3790" t="inlineStr">
        <is>
          <t>Milho</t>
        </is>
      </c>
      <c r="B3790" t="inlineStr">
        <is>
          <t>Campos Lindos - TO</t>
        </is>
      </c>
      <c r="C3790" t="n">
        <v>-7.98956</v>
      </c>
      <c r="D3790" t="n">
        <v>-46.8645</v>
      </c>
      <c r="E3790" t="inlineStr">
        <is>
          <t>2024-03</t>
        </is>
      </c>
      <c r="F3790" t="n">
        <v>0</v>
      </c>
    </row>
    <row r="3791">
      <c r="A3791" t="inlineStr">
        <is>
          <t>Milho</t>
        </is>
      </c>
      <c r="B3791" t="inlineStr">
        <is>
          <t>Campos Lindos - TO</t>
        </is>
      </c>
      <c r="C3791" t="n">
        <v>-7.98956</v>
      </c>
      <c r="D3791" t="n">
        <v>-46.8645</v>
      </c>
      <c r="E3791" t="inlineStr">
        <is>
          <t>2024-04</t>
        </is>
      </c>
      <c r="F3791" t="n">
        <v>0</v>
      </c>
    </row>
    <row r="3792">
      <c r="A3792" t="inlineStr">
        <is>
          <t>Milho</t>
        </is>
      </c>
      <c r="B3792" t="inlineStr">
        <is>
          <t>Campos Lindos - TO</t>
        </is>
      </c>
      <c r="C3792" t="n">
        <v>-7.98956</v>
      </c>
      <c r="D3792" t="n">
        <v>-46.8645</v>
      </c>
      <c r="E3792" t="inlineStr">
        <is>
          <t>2024-05</t>
        </is>
      </c>
      <c r="F3792" t="n">
        <v>212453.7700885677</v>
      </c>
    </row>
    <row r="3793">
      <c r="A3793" t="inlineStr">
        <is>
          <t>Milho</t>
        </is>
      </c>
      <c r="B3793" t="inlineStr">
        <is>
          <t>Campos Lindos - TO</t>
        </is>
      </c>
      <c r="C3793" t="n">
        <v>-7.98956</v>
      </c>
      <c r="D3793" t="n">
        <v>-46.8645</v>
      </c>
      <c r="E3793" t="inlineStr">
        <is>
          <t>2024-06</t>
        </is>
      </c>
      <c r="F3793" t="n">
        <v>185128.5440926239</v>
      </c>
    </row>
    <row r="3794">
      <c r="A3794" t="inlineStr">
        <is>
          <t>Milho</t>
        </is>
      </c>
      <c r="B3794" t="inlineStr">
        <is>
          <t>Campos Lindos - TO</t>
        </is>
      </c>
      <c r="C3794" t="n">
        <v>-7.98956</v>
      </c>
      <c r="D3794" t="n">
        <v>-46.8645</v>
      </c>
      <c r="E3794" t="inlineStr">
        <is>
          <t>2023-07</t>
        </is>
      </c>
      <c r="F3794" t="n">
        <v>421570.7396036158</v>
      </c>
    </row>
    <row r="3795">
      <c r="A3795" t="inlineStr">
        <is>
          <t>Milho</t>
        </is>
      </c>
      <c r="B3795" t="inlineStr">
        <is>
          <t>Campos Lindos - TO</t>
        </is>
      </c>
      <c r="C3795" t="n">
        <v>-7.98956</v>
      </c>
      <c r="D3795" t="n">
        <v>-46.8645</v>
      </c>
      <c r="E3795" t="inlineStr">
        <is>
          <t>2023-08</t>
        </is>
      </c>
      <c r="F3795" t="n">
        <v>218140.2819800306</v>
      </c>
    </row>
    <row r="3796">
      <c r="A3796" t="inlineStr">
        <is>
          <t>Milho</t>
        </is>
      </c>
      <c r="B3796" t="inlineStr">
        <is>
          <t>Campos Lindos - TO</t>
        </is>
      </c>
      <c r="C3796" t="n">
        <v>-7.98956</v>
      </c>
      <c r="D3796" t="n">
        <v>-46.8645</v>
      </c>
      <c r="E3796" t="inlineStr">
        <is>
          <t>2023-09</t>
        </is>
      </c>
      <c r="F3796" t="n">
        <v>242625.1054740632</v>
      </c>
    </row>
    <row r="3797">
      <c r="A3797" t="inlineStr">
        <is>
          <t>Milho</t>
        </is>
      </c>
      <c r="B3797" t="inlineStr">
        <is>
          <t>Campos Lindos - TO</t>
        </is>
      </c>
      <c r="C3797" t="n">
        <v>-7.98956</v>
      </c>
      <c r="D3797" t="n">
        <v>-46.8645</v>
      </c>
      <c r="E3797" t="inlineStr">
        <is>
          <t>2023-10</t>
        </is>
      </c>
      <c r="F3797" t="n">
        <v>0</v>
      </c>
    </row>
    <row r="3798">
      <c r="A3798" t="inlineStr">
        <is>
          <t>Milho</t>
        </is>
      </c>
      <c r="B3798" t="inlineStr">
        <is>
          <t>Campos Lindos - TO</t>
        </is>
      </c>
      <c r="C3798" t="n">
        <v>-7.98956</v>
      </c>
      <c r="D3798" t="n">
        <v>-46.8645</v>
      </c>
      <c r="E3798" t="inlineStr">
        <is>
          <t>2023-11</t>
        </is>
      </c>
      <c r="F3798" t="n">
        <v>0</v>
      </c>
    </row>
    <row r="3799">
      <c r="A3799" t="inlineStr">
        <is>
          <t>Milho</t>
        </is>
      </c>
      <c r="B3799" t="inlineStr">
        <is>
          <t>Campos Lindos - TO</t>
        </is>
      </c>
      <c r="C3799" t="n">
        <v>-7.98956</v>
      </c>
      <c r="D3799" t="n">
        <v>-46.8645</v>
      </c>
      <c r="E3799" t="inlineStr">
        <is>
          <t>2023-12</t>
        </is>
      </c>
      <c r="F3799" t="n">
        <v>0</v>
      </c>
    </row>
    <row r="3800">
      <c r="A3800" t="inlineStr">
        <is>
          <t>Milho</t>
        </is>
      </c>
      <c r="B3800" t="inlineStr">
        <is>
          <t>Senador Guiomard - AC</t>
        </is>
      </c>
      <c r="C3800" t="n">
        <v>-10.1497</v>
      </c>
      <c r="D3800" t="n">
        <v>-67.7362</v>
      </c>
      <c r="E3800" t="inlineStr">
        <is>
          <t>2024-01</t>
        </is>
      </c>
      <c r="F3800" t="n">
        <v>0</v>
      </c>
    </row>
    <row r="3801">
      <c r="A3801" t="inlineStr">
        <is>
          <t>Milho</t>
        </is>
      </c>
      <c r="B3801" t="inlineStr">
        <is>
          <t>Senador Guiomard - AC</t>
        </is>
      </c>
      <c r="C3801" t="n">
        <v>-10.1497</v>
      </c>
      <c r="D3801" t="n">
        <v>-67.7362</v>
      </c>
      <c r="E3801" t="inlineStr">
        <is>
          <t>2024-02</t>
        </is>
      </c>
      <c r="F3801" t="n">
        <v>0</v>
      </c>
    </row>
    <row r="3802">
      <c r="A3802" t="inlineStr">
        <is>
          <t>Milho</t>
        </is>
      </c>
      <c r="B3802" t="inlineStr">
        <is>
          <t>Senador Guiomard - AC</t>
        </is>
      </c>
      <c r="C3802" t="n">
        <v>-10.1497</v>
      </c>
      <c r="D3802" t="n">
        <v>-67.7362</v>
      </c>
      <c r="E3802" t="inlineStr">
        <is>
          <t>2024-03</t>
        </is>
      </c>
      <c r="F3802" t="n">
        <v>0</v>
      </c>
    </row>
    <row r="3803">
      <c r="A3803" t="inlineStr">
        <is>
          <t>Milho</t>
        </is>
      </c>
      <c r="B3803" t="inlineStr">
        <is>
          <t>Senador Guiomard - AC</t>
        </is>
      </c>
      <c r="C3803" t="n">
        <v>-10.1497</v>
      </c>
      <c r="D3803" t="n">
        <v>-67.7362</v>
      </c>
      <c r="E3803" t="inlineStr">
        <is>
          <t>2024-04</t>
        </is>
      </c>
      <c r="F3803" t="n">
        <v>0</v>
      </c>
    </row>
    <row r="3804">
      <c r="A3804" t="inlineStr">
        <is>
          <t>Milho</t>
        </is>
      </c>
      <c r="B3804" t="inlineStr">
        <is>
          <t>Senador Guiomard - AC</t>
        </is>
      </c>
      <c r="C3804" t="n">
        <v>-10.1497</v>
      </c>
      <c r="D3804" t="n">
        <v>-67.7362</v>
      </c>
      <c r="E3804" t="inlineStr">
        <is>
          <t>2024-05</t>
        </is>
      </c>
      <c r="F3804" t="n">
        <v>0</v>
      </c>
    </row>
    <row r="3805">
      <c r="A3805" t="inlineStr">
        <is>
          <t>Milho</t>
        </is>
      </c>
      <c r="B3805" t="inlineStr">
        <is>
          <t>Senador Guiomard - AC</t>
        </is>
      </c>
      <c r="C3805" t="n">
        <v>-10.1497</v>
      </c>
      <c r="D3805" t="n">
        <v>-67.7362</v>
      </c>
      <c r="E3805" t="inlineStr">
        <is>
          <t>2024-06</t>
        </is>
      </c>
      <c r="F3805" t="n">
        <v>0</v>
      </c>
    </row>
    <row r="3806">
      <c r="A3806" t="inlineStr">
        <is>
          <t>Milho</t>
        </is>
      </c>
      <c r="B3806" t="inlineStr">
        <is>
          <t>Senador Guiomard - AC</t>
        </is>
      </c>
      <c r="C3806" t="n">
        <v>-10.1497</v>
      </c>
      <c r="D3806" t="n">
        <v>-67.7362</v>
      </c>
      <c r="E3806" t="inlineStr">
        <is>
          <t>2023-07</t>
        </is>
      </c>
      <c r="F3806" t="n">
        <v>0</v>
      </c>
    </row>
    <row r="3807">
      <c r="A3807" t="inlineStr">
        <is>
          <t>Milho</t>
        </is>
      </c>
      <c r="B3807" t="inlineStr">
        <is>
          <t>Senador Guiomard - AC</t>
        </is>
      </c>
      <c r="C3807" t="n">
        <v>-10.1497</v>
      </c>
      <c r="D3807" t="n">
        <v>-67.7362</v>
      </c>
      <c r="E3807" t="inlineStr">
        <is>
          <t>2023-08</t>
        </is>
      </c>
      <c r="F3807" t="n">
        <v>0</v>
      </c>
    </row>
    <row r="3808">
      <c r="A3808" t="inlineStr">
        <is>
          <t>Milho</t>
        </is>
      </c>
      <c r="B3808" t="inlineStr">
        <is>
          <t>Senador Guiomard - AC</t>
        </is>
      </c>
      <c r="C3808" t="n">
        <v>-10.1497</v>
      </c>
      <c r="D3808" t="n">
        <v>-67.7362</v>
      </c>
      <c r="E3808" t="inlineStr">
        <is>
          <t>2023-09</t>
        </is>
      </c>
      <c r="F3808" t="n">
        <v>0</v>
      </c>
    </row>
    <row r="3809">
      <c r="A3809" t="inlineStr">
        <is>
          <t>Milho</t>
        </is>
      </c>
      <c r="B3809" t="inlineStr">
        <is>
          <t>Senador Guiomard - AC</t>
        </is>
      </c>
      <c r="C3809" t="n">
        <v>-10.1497</v>
      </c>
      <c r="D3809" t="n">
        <v>-67.7362</v>
      </c>
      <c r="E3809" t="inlineStr">
        <is>
          <t>2023-10</t>
        </is>
      </c>
      <c r="F3809" t="n">
        <v>0</v>
      </c>
    </row>
    <row r="3810">
      <c r="A3810" t="inlineStr">
        <is>
          <t>Milho</t>
        </is>
      </c>
      <c r="B3810" t="inlineStr">
        <is>
          <t>Senador Guiomard - AC</t>
        </is>
      </c>
      <c r="C3810" t="n">
        <v>-10.1497</v>
      </c>
      <c r="D3810" t="n">
        <v>-67.7362</v>
      </c>
      <c r="E3810" t="inlineStr">
        <is>
          <t>2023-11</t>
        </is>
      </c>
      <c r="F3810" t="n">
        <v>0</v>
      </c>
    </row>
    <row r="3811">
      <c r="A3811" t="inlineStr">
        <is>
          <t>Milho</t>
        </is>
      </c>
      <c r="B3811" t="inlineStr">
        <is>
          <t>Senador Guiomard - AC</t>
        </is>
      </c>
      <c r="C3811" t="n">
        <v>-10.1497</v>
      </c>
      <c r="D3811" t="n">
        <v>-67.7362</v>
      </c>
      <c r="E3811" t="inlineStr">
        <is>
          <t>2023-12</t>
        </is>
      </c>
      <c r="F3811" t="n">
        <v>0</v>
      </c>
    </row>
    <row r="3812">
      <c r="A3812" t="inlineStr">
        <is>
          <t>Milho</t>
        </is>
      </c>
      <c r="B3812" t="inlineStr">
        <is>
          <t>Humaitá - AM</t>
        </is>
      </c>
      <c r="C3812" t="n">
        <v>-7.51171</v>
      </c>
      <c r="D3812" t="n">
        <v>-63.0327</v>
      </c>
      <c r="E3812" t="inlineStr">
        <is>
          <t>2024-01</t>
        </is>
      </c>
      <c r="F3812" t="n">
        <v>0</v>
      </c>
    </row>
    <row r="3813">
      <c r="A3813" t="inlineStr">
        <is>
          <t>Milho</t>
        </is>
      </c>
      <c r="B3813" t="inlineStr">
        <is>
          <t>Humaitá - AM</t>
        </is>
      </c>
      <c r="C3813" t="n">
        <v>-7.51171</v>
      </c>
      <c r="D3813" t="n">
        <v>-63.0327</v>
      </c>
      <c r="E3813" t="inlineStr">
        <is>
          <t>2024-02</t>
        </is>
      </c>
      <c r="F3813" t="n">
        <v>0</v>
      </c>
    </row>
    <row r="3814">
      <c r="A3814" t="inlineStr">
        <is>
          <t>Milho</t>
        </is>
      </c>
      <c r="B3814" t="inlineStr">
        <is>
          <t>Humaitá - AM</t>
        </is>
      </c>
      <c r="C3814" t="n">
        <v>-7.51171</v>
      </c>
      <c r="D3814" t="n">
        <v>-63.0327</v>
      </c>
      <c r="E3814" t="inlineStr">
        <is>
          <t>2024-03</t>
        </is>
      </c>
      <c r="F3814" t="n">
        <v>0</v>
      </c>
    </row>
    <row r="3815">
      <c r="A3815" t="inlineStr">
        <is>
          <t>Milho</t>
        </is>
      </c>
      <c r="B3815" t="inlineStr">
        <is>
          <t>Humaitá - AM</t>
        </is>
      </c>
      <c r="C3815" t="n">
        <v>-7.51171</v>
      </c>
      <c r="D3815" t="n">
        <v>-63.0327</v>
      </c>
      <c r="E3815" t="inlineStr">
        <is>
          <t>2024-04</t>
        </is>
      </c>
      <c r="F3815" t="n">
        <v>0</v>
      </c>
    </row>
    <row r="3816">
      <c r="A3816" t="inlineStr">
        <is>
          <t>Milho</t>
        </is>
      </c>
      <c r="B3816" t="inlineStr">
        <is>
          <t>Humaitá - AM</t>
        </is>
      </c>
      <c r="C3816" t="n">
        <v>-7.51171</v>
      </c>
      <c r="D3816" t="n">
        <v>-63.0327</v>
      </c>
      <c r="E3816" t="inlineStr">
        <is>
          <t>2024-05</t>
        </is>
      </c>
      <c r="F3816" t="n">
        <v>0</v>
      </c>
    </row>
    <row r="3817">
      <c r="A3817" t="inlineStr">
        <is>
          <t>Milho</t>
        </is>
      </c>
      <c r="B3817" t="inlineStr">
        <is>
          <t>Humaitá - AM</t>
        </is>
      </c>
      <c r="C3817" t="n">
        <v>-7.51171</v>
      </c>
      <c r="D3817" t="n">
        <v>-63.0327</v>
      </c>
      <c r="E3817" t="inlineStr">
        <is>
          <t>2024-06</t>
        </is>
      </c>
      <c r="F3817" t="n">
        <v>0</v>
      </c>
    </row>
    <row r="3818">
      <c r="A3818" t="inlineStr">
        <is>
          <t>Milho</t>
        </is>
      </c>
      <c r="B3818" t="inlineStr">
        <is>
          <t>Humaitá - AM</t>
        </is>
      </c>
      <c r="C3818" t="n">
        <v>-7.51171</v>
      </c>
      <c r="D3818" t="n">
        <v>-63.0327</v>
      </c>
      <c r="E3818" t="inlineStr">
        <is>
          <t>2023-07</t>
        </is>
      </c>
      <c r="F3818" t="n">
        <v>0</v>
      </c>
    </row>
    <row r="3819">
      <c r="A3819" t="inlineStr">
        <is>
          <t>Milho</t>
        </is>
      </c>
      <c r="B3819" t="inlineStr">
        <is>
          <t>Humaitá - AM</t>
        </is>
      </c>
      <c r="C3819" t="n">
        <v>-7.51171</v>
      </c>
      <c r="D3819" t="n">
        <v>-63.0327</v>
      </c>
      <c r="E3819" t="inlineStr">
        <is>
          <t>2023-08</t>
        </is>
      </c>
      <c r="F3819" t="n">
        <v>0</v>
      </c>
    </row>
    <row r="3820">
      <c r="A3820" t="inlineStr">
        <is>
          <t>Milho</t>
        </is>
      </c>
      <c r="B3820" t="inlineStr">
        <is>
          <t>Humaitá - AM</t>
        </is>
      </c>
      <c r="C3820" t="n">
        <v>-7.51171</v>
      </c>
      <c r="D3820" t="n">
        <v>-63.0327</v>
      </c>
      <c r="E3820" t="inlineStr">
        <is>
          <t>2023-09</t>
        </is>
      </c>
      <c r="F3820" t="n">
        <v>0</v>
      </c>
    </row>
    <row r="3821">
      <c r="A3821" t="inlineStr">
        <is>
          <t>Milho</t>
        </is>
      </c>
      <c r="B3821" t="inlineStr">
        <is>
          <t>Humaitá - AM</t>
        </is>
      </c>
      <c r="C3821" t="n">
        <v>-7.51171</v>
      </c>
      <c r="D3821" t="n">
        <v>-63.0327</v>
      </c>
      <c r="E3821" t="inlineStr">
        <is>
          <t>2023-10</t>
        </is>
      </c>
      <c r="F3821" t="n">
        <v>0</v>
      </c>
    </row>
    <row r="3822">
      <c r="A3822" t="inlineStr">
        <is>
          <t>Milho</t>
        </is>
      </c>
      <c r="B3822" t="inlineStr">
        <is>
          <t>Humaitá - AM</t>
        </is>
      </c>
      <c r="C3822" t="n">
        <v>-7.51171</v>
      </c>
      <c r="D3822" t="n">
        <v>-63.0327</v>
      </c>
      <c r="E3822" t="inlineStr">
        <is>
          <t>2023-11</t>
        </is>
      </c>
      <c r="F3822" t="n">
        <v>0</v>
      </c>
    </row>
    <row r="3823">
      <c r="A3823" t="inlineStr">
        <is>
          <t>Milho</t>
        </is>
      </c>
      <c r="B3823" t="inlineStr">
        <is>
          <t>Humaitá - AM</t>
        </is>
      </c>
      <c r="C3823" t="n">
        <v>-7.51171</v>
      </c>
      <c r="D3823" t="n">
        <v>-63.0327</v>
      </c>
      <c r="E3823" t="inlineStr">
        <is>
          <t>2023-12</t>
        </is>
      </c>
      <c r="F3823" t="n">
        <v>0</v>
      </c>
    </row>
    <row r="3824">
      <c r="A3824" t="inlineStr">
        <is>
          <t>Milho</t>
        </is>
      </c>
      <c r="B3824" t="inlineStr">
        <is>
          <t>Palmeira das Missões - RS</t>
        </is>
      </c>
      <c r="C3824" t="n">
        <v>-27.9007</v>
      </c>
      <c r="D3824" t="n">
        <v>-53.3134</v>
      </c>
      <c r="E3824" t="inlineStr">
        <is>
          <t>2024-01</t>
        </is>
      </c>
      <c r="F3824" t="n">
        <v>0</v>
      </c>
    </row>
    <row r="3825">
      <c r="A3825" t="inlineStr">
        <is>
          <t>Milho</t>
        </is>
      </c>
      <c r="B3825" t="inlineStr">
        <is>
          <t>Palmeira das Missões - RS</t>
        </is>
      </c>
      <c r="C3825" t="n">
        <v>-27.9007</v>
      </c>
      <c r="D3825" t="n">
        <v>-53.3134</v>
      </c>
      <c r="E3825" t="inlineStr">
        <is>
          <t>2024-02</t>
        </is>
      </c>
      <c r="F3825" t="n">
        <v>0</v>
      </c>
    </row>
    <row r="3826">
      <c r="A3826" t="inlineStr">
        <is>
          <t>Milho</t>
        </is>
      </c>
      <c r="B3826" t="inlineStr">
        <is>
          <t>Palmeira das Missões - RS</t>
        </is>
      </c>
      <c r="C3826" t="n">
        <v>-27.9007</v>
      </c>
      <c r="D3826" t="n">
        <v>-53.3134</v>
      </c>
      <c r="E3826" t="inlineStr">
        <is>
          <t>2024-03</t>
        </is>
      </c>
      <c r="F3826" t="n">
        <v>0</v>
      </c>
    </row>
    <row r="3827">
      <c r="A3827" t="inlineStr">
        <is>
          <t>Milho</t>
        </is>
      </c>
      <c r="B3827" t="inlineStr">
        <is>
          <t>Palmeira das Missões - RS</t>
        </is>
      </c>
      <c r="C3827" t="n">
        <v>-27.9007</v>
      </c>
      <c r="D3827" t="n">
        <v>-53.3134</v>
      </c>
      <c r="E3827" t="inlineStr">
        <is>
          <t>2024-04</t>
        </is>
      </c>
      <c r="F3827" t="n">
        <v>0</v>
      </c>
    </row>
    <row r="3828">
      <c r="A3828" t="inlineStr">
        <is>
          <t>Milho</t>
        </is>
      </c>
      <c r="B3828" t="inlineStr">
        <is>
          <t>Palmeira das Missões - RS</t>
        </is>
      </c>
      <c r="C3828" t="n">
        <v>-27.9007</v>
      </c>
      <c r="D3828" t="n">
        <v>-53.3134</v>
      </c>
      <c r="E3828" t="inlineStr">
        <is>
          <t>2024-05</t>
        </is>
      </c>
      <c r="F3828" t="n">
        <v>0</v>
      </c>
    </row>
    <row r="3829">
      <c r="A3829" t="inlineStr">
        <is>
          <t>Milho</t>
        </is>
      </c>
      <c r="B3829" t="inlineStr">
        <is>
          <t>Palmeira das Missões - RS</t>
        </is>
      </c>
      <c r="C3829" t="n">
        <v>-27.9007</v>
      </c>
      <c r="D3829" t="n">
        <v>-53.3134</v>
      </c>
      <c r="E3829" t="inlineStr">
        <is>
          <t>2024-06</t>
        </is>
      </c>
      <c r="F3829" t="n">
        <v>0</v>
      </c>
    </row>
    <row r="3830">
      <c r="A3830" t="inlineStr">
        <is>
          <t>Milho</t>
        </is>
      </c>
      <c r="B3830" t="inlineStr">
        <is>
          <t>Palmeira das Missões - RS</t>
        </is>
      </c>
      <c r="C3830" t="n">
        <v>-27.9007</v>
      </c>
      <c r="D3830" t="n">
        <v>-53.3134</v>
      </c>
      <c r="E3830" t="inlineStr">
        <is>
          <t>2023-07</t>
        </is>
      </c>
      <c r="F3830" t="n">
        <v>0</v>
      </c>
    </row>
    <row r="3831">
      <c r="A3831" t="inlineStr">
        <is>
          <t>Milho</t>
        </is>
      </c>
      <c r="B3831" t="inlineStr">
        <is>
          <t>Palmeira das Missões - RS</t>
        </is>
      </c>
      <c r="C3831" t="n">
        <v>-27.9007</v>
      </c>
      <c r="D3831" t="n">
        <v>-53.3134</v>
      </c>
      <c r="E3831" t="inlineStr">
        <is>
          <t>2023-08</t>
        </is>
      </c>
      <c r="F3831" t="n">
        <v>0</v>
      </c>
    </row>
    <row r="3832">
      <c r="A3832" t="inlineStr">
        <is>
          <t>Milho</t>
        </is>
      </c>
      <c r="B3832" t="inlineStr">
        <is>
          <t>Palmeira das Missões - RS</t>
        </is>
      </c>
      <c r="C3832" t="n">
        <v>-27.9007</v>
      </c>
      <c r="D3832" t="n">
        <v>-53.3134</v>
      </c>
      <c r="E3832" t="inlineStr">
        <is>
          <t>2023-09</t>
        </is>
      </c>
      <c r="F3832" t="n">
        <v>0</v>
      </c>
    </row>
    <row r="3833">
      <c r="A3833" t="inlineStr">
        <is>
          <t>Milho</t>
        </is>
      </c>
      <c r="B3833" t="inlineStr">
        <is>
          <t>Palmeira das Missões - RS</t>
        </is>
      </c>
      <c r="C3833" t="n">
        <v>-27.9007</v>
      </c>
      <c r="D3833" t="n">
        <v>-53.3134</v>
      </c>
      <c r="E3833" t="inlineStr">
        <is>
          <t>2023-10</t>
        </is>
      </c>
      <c r="F3833" t="n">
        <v>0</v>
      </c>
    </row>
    <row r="3834">
      <c r="A3834" t="inlineStr">
        <is>
          <t>Milho</t>
        </is>
      </c>
      <c r="B3834" t="inlineStr">
        <is>
          <t>Palmeira das Missões - RS</t>
        </is>
      </c>
      <c r="C3834" t="n">
        <v>-27.9007</v>
      </c>
      <c r="D3834" t="n">
        <v>-53.3134</v>
      </c>
      <c r="E3834" t="inlineStr">
        <is>
          <t>2023-11</t>
        </is>
      </c>
      <c r="F3834" t="n">
        <v>0</v>
      </c>
    </row>
    <row r="3835">
      <c r="A3835" t="inlineStr">
        <is>
          <t>Milho</t>
        </is>
      </c>
      <c r="B3835" t="inlineStr">
        <is>
          <t>Palmeira das Missões - RS</t>
        </is>
      </c>
      <c r="C3835" t="n">
        <v>-27.9007</v>
      </c>
      <c r="D3835" t="n">
        <v>-53.3134</v>
      </c>
      <c r="E3835" t="inlineStr">
        <is>
          <t>2023-12</t>
        </is>
      </c>
      <c r="F3835" t="n">
        <v>0</v>
      </c>
    </row>
    <row r="3836">
      <c r="A3836" t="inlineStr">
        <is>
          <t>Milho</t>
        </is>
      </c>
      <c r="B3836" t="inlineStr">
        <is>
          <t>Limoeiro de Anadia - AL</t>
        </is>
      </c>
      <c r="C3836" t="n">
        <v>-9.74098</v>
      </c>
      <c r="D3836" t="n">
        <v>-36.5121</v>
      </c>
      <c r="E3836" t="inlineStr">
        <is>
          <t>2024-01</t>
        </is>
      </c>
      <c r="F3836" t="n">
        <v>0</v>
      </c>
    </row>
    <row r="3837">
      <c r="A3837" t="inlineStr">
        <is>
          <t>Milho</t>
        </is>
      </c>
      <c r="B3837" t="inlineStr">
        <is>
          <t>Limoeiro de Anadia - AL</t>
        </is>
      </c>
      <c r="C3837" t="n">
        <v>-9.74098</v>
      </c>
      <c r="D3837" t="n">
        <v>-36.5121</v>
      </c>
      <c r="E3837" t="inlineStr">
        <is>
          <t>2024-02</t>
        </is>
      </c>
      <c r="F3837" t="n">
        <v>0</v>
      </c>
    </row>
    <row r="3838">
      <c r="A3838" t="inlineStr">
        <is>
          <t>Milho</t>
        </is>
      </c>
      <c r="B3838" t="inlineStr">
        <is>
          <t>Limoeiro de Anadia - AL</t>
        </is>
      </c>
      <c r="C3838" t="n">
        <v>-9.74098</v>
      </c>
      <c r="D3838" t="n">
        <v>-36.5121</v>
      </c>
      <c r="E3838" t="inlineStr">
        <is>
          <t>2024-03</t>
        </is>
      </c>
      <c r="F3838" t="n">
        <v>0</v>
      </c>
    </row>
    <row r="3839">
      <c r="A3839" t="inlineStr">
        <is>
          <t>Milho</t>
        </is>
      </c>
      <c r="B3839" t="inlineStr">
        <is>
          <t>Limoeiro de Anadia - AL</t>
        </is>
      </c>
      <c r="C3839" t="n">
        <v>-9.74098</v>
      </c>
      <c r="D3839" t="n">
        <v>-36.5121</v>
      </c>
      <c r="E3839" t="inlineStr">
        <is>
          <t>2024-04</t>
        </is>
      </c>
      <c r="F3839" t="n">
        <v>0</v>
      </c>
    </row>
    <row r="3840">
      <c r="A3840" t="inlineStr">
        <is>
          <t>Milho</t>
        </is>
      </c>
      <c r="B3840" t="inlineStr">
        <is>
          <t>Limoeiro de Anadia - AL</t>
        </is>
      </c>
      <c r="C3840" t="n">
        <v>-9.74098</v>
      </c>
      <c r="D3840" t="n">
        <v>-36.5121</v>
      </c>
      <c r="E3840" t="inlineStr">
        <is>
          <t>2024-05</t>
        </is>
      </c>
      <c r="F3840" t="n">
        <v>0</v>
      </c>
    </row>
    <row r="3841">
      <c r="A3841" t="inlineStr">
        <is>
          <t>Milho</t>
        </is>
      </c>
      <c r="B3841" t="inlineStr">
        <is>
          <t>Limoeiro de Anadia - AL</t>
        </is>
      </c>
      <c r="C3841" t="n">
        <v>-9.74098</v>
      </c>
      <c r="D3841" t="n">
        <v>-36.5121</v>
      </c>
      <c r="E3841" t="inlineStr">
        <is>
          <t>2024-06</t>
        </is>
      </c>
      <c r="F3841" t="n">
        <v>0</v>
      </c>
    </row>
    <row r="3842">
      <c r="A3842" t="inlineStr">
        <is>
          <t>Milho</t>
        </is>
      </c>
      <c r="B3842" t="inlineStr">
        <is>
          <t>Limoeiro de Anadia - AL</t>
        </is>
      </c>
      <c r="C3842" t="n">
        <v>-9.74098</v>
      </c>
      <c r="D3842" t="n">
        <v>-36.5121</v>
      </c>
      <c r="E3842" t="inlineStr">
        <is>
          <t>2023-07</t>
        </is>
      </c>
      <c r="F3842" t="n">
        <v>0</v>
      </c>
    </row>
    <row r="3843">
      <c r="A3843" t="inlineStr">
        <is>
          <t>Milho</t>
        </is>
      </c>
      <c r="B3843" t="inlineStr">
        <is>
          <t>Limoeiro de Anadia - AL</t>
        </is>
      </c>
      <c r="C3843" t="n">
        <v>-9.74098</v>
      </c>
      <c r="D3843" t="n">
        <v>-36.5121</v>
      </c>
      <c r="E3843" t="inlineStr">
        <is>
          <t>2023-08</t>
        </is>
      </c>
      <c r="F3843" t="n">
        <v>20235.74879887902</v>
      </c>
    </row>
    <row r="3844">
      <c r="A3844" t="inlineStr">
        <is>
          <t>Milho</t>
        </is>
      </c>
      <c r="B3844" t="inlineStr">
        <is>
          <t>Limoeiro de Anadia - AL</t>
        </is>
      </c>
      <c r="C3844" t="n">
        <v>-9.74098</v>
      </c>
      <c r="D3844" t="n">
        <v>-36.5121</v>
      </c>
      <c r="E3844" t="inlineStr">
        <is>
          <t>2023-09</t>
        </is>
      </c>
      <c r="F3844" t="n">
        <v>22507.07958250518</v>
      </c>
    </row>
    <row r="3845">
      <c r="A3845" t="inlineStr">
        <is>
          <t>Milho</t>
        </is>
      </c>
      <c r="B3845" t="inlineStr">
        <is>
          <t>Limoeiro de Anadia - AL</t>
        </is>
      </c>
      <c r="C3845" t="n">
        <v>-9.74098</v>
      </c>
      <c r="D3845" t="n">
        <v>-36.5121</v>
      </c>
      <c r="E3845" t="inlineStr">
        <is>
          <t>2023-10</t>
        </is>
      </c>
      <c r="F3845" t="n">
        <v>163122.4272481025</v>
      </c>
    </row>
    <row r="3846">
      <c r="A3846" t="inlineStr">
        <is>
          <t>Milho</t>
        </is>
      </c>
      <c r="B3846" t="inlineStr">
        <is>
          <t>Limoeiro de Anadia - AL</t>
        </is>
      </c>
      <c r="C3846" t="n">
        <v>-9.74098</v>
      </c>
      <c r="D3846" t="n">
        <v>-36.5121</v>
      </c>
      <c r="E3846" t="inlineStr">
        <is>
          <t>2023-11</t>
        </is>
      </c>
      <c r="F3846" t="n">
        <v>224943.6870906372</v>
      </c>
    </row>
    <row r="3847">
      <c r="A3847" t="inlineStr">
        <is>
          <t>Milho</t>
        </is>
      </c>
      <c r="B3847" t="inlineStr">
        <is>
          <t>Limoeiro de Anadia - AL</t>
        </is>
      </c>
      <c r="C3847" t="n">
        <v>-9.74098</v>
      </c>
      <c r="D3847" t="n">
        <v>-36.5121</v>
      </c>
      <c r="E3847" t="inlineStr">
        <is>
          <t>2023-12</t>
        </is>
      </c>
      <c r="F3847" t="n">
        <v>128097.4676311768</v>
      </c>
    </row>
    <row r="3848">
      <c r="A3848" t="inlineStr">
        <is>
          <t>Milho</t>
        </is>
      </c>
      <c r="B3848" t="inlineStr">
        <is>
          <t>Macapá - AP</t>
        </is>
      </c>
      <c r="C3848" t="n">
        <v>0.034934</v>
      </c>
      <c r="D3848" t="n">
        <v>-51.0694</v>
      </c>
      <c r="E3848" t="inlineStr">
        <is>
          <t>2024-01</t>
        </is>
      </c>
      <c r="F3848" t="n">
        <v>0</v>
      </c>
    </row>
    <row r="3849">
      <c r="A3849" t="inlineStr">
        <is>
          <t>Milho</t>
        </is>
      </c>
      <c r="B3849" t="inlineStr">
        <is>
          <t>Macapá - AP</t>
        </is>
      </c>
      <c r="C3849" t="n">
        <v>0.034934</v>
      </c>
      <c r="D3849" t="n">
        <v>-51.0694</v>
      </c>
      <c r="E3849" t="inlineStr">
        <is>
          <t>2024-02</t>
        </is>
      </c>
      <c r="F3849" t="n">
        <v>0</v>
      </c>
    </row>
    <row r="3850">
      <c r="A3850" t="inlineStr">
        <is>
          <t>Milho</t>
        </is>
      </c>
      <c r="B3850" t="inlineStr">
        <is>
          <t>Macapá - AP</t>
        </is>
      </c>
      <c r="C3850" t="n">
        <v>0.034934</v>
      </c>
      <c r="D3850" t="n">
        <v>-51.0694</v>
      </c>
      <c r="E3850" t="inlineStr">
        <is>
          <t>2024-03</t>
        </is>
      </c>
      <c r="F3850" t="n">
        <v>0</v>
      </c>
    </row>
    <row r="3851">
      <c r="A3851" t="inlineStr">
        <is>
          <t>Milho</t>
        </is>
      </c>
      <c r="B3851" t="inlineStr">
        <is>
          <t>Macapá - AP</t>
        </is>
      </c>
      <c r="C3851" t="n">
        <v>0.034934</v>
      </c>
      <c r="D3851" t="n">
        <v>-51.0694</v>
      </c>
      <c r="E3851" t="inlineStr">
        <is>
          <t>2024-04</t>
        </is>
      </c>
      <c r="F3851" t="n">
        <v>286.6745674565027</v>
      </c>
    </row>
    <row r="3852">
      <c r="A3852" t="inlineStr">
        <is>
          <t>Milho</t>
        </is>
      </c>
      <c r="B3852" t="inlineStr">
        <is>
          <t>Macapá - AP</t>
        </is>
      </c>
      <c r="C3852" t="n">
        <v>0.034934</v>
      </c>
      <c r="D3852" t="n">
        <v>-51.0694</v>
      </c>
      <c r="E3852" t="inlineStr">
        <is>
          <t>2024-05</t>
        </is>
      </c>
      <c r="F3852" t="n">
        <v>538.4077374472474</v>
      </c>
    </row>
    <row r="3853">
      <c r="A3853" t="inlineStr">
        <is>
          <t>Milho</t>
        </is>
      </c>
      <c r="B3853" t="inlineStr">
        <is>
          <t>Macapá - AP</t>
        </is>
      </c>
      <c r="C3853" t="n">
        <v>0.034934</v>
      </c>
      <c r="D3853" t="n">
        <v>-51.0694</v>
      </c>
      <c r="E3853" t="inlineStr">
        <is>
          <t>2024-06</t>
        </is>
      </c>
      <c r="F3853" t="n">
        <v>469.1591988236323</v>
      </c>
    </row>
    <row r="3854">
      <c r="A3854" t="inlineStr">
        <is>
          <t>Milho</t>
        </is>
      </c>
      <c r="B3854" t="inlineStr">
        <is>
          <t>Macapá - AP</t>
        </is>
      </c>
      <c r="C3854" t="n">
        <v>0.034934</v>
      </c>
      <c r="D3854" t="n">
        <v>-51.0694</v>
      </c>
      <c r="E3854" t="inlineStr">
        <is>
          <t>2023-07</t>
        </is>
      </c>
      <c r="F3854" t="n">
        <v>274.7209471102362</v>
      </c>
    </row>
    <row r="3855">
      <c r="A3855" t="inlineStr">
        <is>
          <t>Milho</t>
        </is>
      </c>
      <c r="B3855" t="inlineStr">
        <is>
          <t>Macapá - AP</t>
        </is>
      </c>
      <c r="C3855" t="n">
        <v>0.034934</v>
      </c>
      <c r="D3855" t="n">
        <v>-51.0694</v>
      </c>
      <c r="E3855" t="inlineStr">
        <is>
          <t>2023-08</t>
        </is>
      </c>
      <c r="F3855" t="n">
        <v>165.8456081311397</v>
      </c>
    </row>
    <row r="3856">
      <c r="A3856" t="inlineStr">
        <is>
          <t>Milho</t>
        </is>
      </c>
      <c r="B3856" t="inlineStr">
        <is>
          <t>Macapá - AP</t>
        </is>
      </c>
      <c r="C3856" t="n">
        <v>0.034934</v>
      </c>
      <c r="D3856" t="n">
        <v>-51.0694</v>
      </c>
      <c r="E3856" t="inlineStr">
        <is>
          <t>2023-09</t>
        </is>
      </c>
      <c r="F3856" t="n">
        <v>0</v>
      </c>
    </row>
    <row r="3857">
      <c r="A3857" t="inlineStr">
        <is>
          <t>Milho</t>
        </is>
      </c>
      <c r="B3857" t="inlineStr">
        <is>
          <t>Macapá - AP</t>
        </is>
      </c>
      <c r="C3857" t="n">
        <v>0.034934</v>
      </c>
      <c r="D3857" t="n">
        <v>-51.0694</v>
      </c>
      <c r="E3857" t="inlineStr">
        <is>
          <t>2023-10</t>
        </is>
      </c>
      <c r="F3857" t="n">
        <v>0</v>
      </c>
    </row>
    <row r="3858">
      <c r="A3858" t="inlineStr">
        <is>
          <t>Milho</t>
        </is>
      </c>
      <c r="B3858" t="inlineStr">
        <is>
          <t>Macapá - AP</t>
        </is>
      </c>
      <c r="C3858" t="n">
        <v>0.034934</v>
      </c>
      <c r="D3858" t="n">
        <v>-51.0694</v>
      </c>
      <c r="E3858" t="inlineStr">
        <is>
          <t>2023-11</t>
        </is>
      </c>
      <c r="F3858" t="n">
        <v>0</v>
      </c>
    </row>
    <row r="3859">
      <c r="A3859" t="inlineStr">
        <is>
          <t>Milho</t>
        </is>
      </c>
      <c r="B3859" t="inlineStr">
        <is>
          <t>Macapá - AP</t>
        </is>
      </c>
      <c r="C3859" t="n">
        <v>0.034934</v>
      </c>
      <c r="D3859" t="n">
        <v>-51.0694</v>
      </c>
      <c r="E3859" t="inlineStr">
        <is>
          <t>2023-12</t>
        </is>
      </c>
      <c r="F3859" t="n">
        <v>0</v>
      </c>
    </row>
    <row r="3860">
      <c r="A3860" t="inlineStr">
        <is>
          <t>Milho</t>
        </is>
      </c>
      <c r="B3860" t="inlineStr">
        <is>
          <t>Correntina - BA</t>
        </is>
      </c>
      <c r="C3860" t="n">
        <v>-13.3477</v>
      </c>
      <c r="D3860" t="n">
        <v>-44.6333</v>
      </c>
      <c r="E3860" t="inlineStr">
        <is>
          <t>2024-01</t>
        </is>
      </c>
      <c r="F3860" t="n">
        <v>0</v>
      </c>
    </row>
    <row r="3861">
      <c r="A3861" t="inlineStr">
        <is>
          <t>Milho</t>
        </is>
      </c>
      <c r="B3861" t="inlineStr">
        <is>
          <t>Correntina - BA</t>
        </is>
      </c>
      <c r="C3861" t="n">
        <v>-13.3477</v>
      </c>
      <c r="D3861" t="n">
        <v>-44.6333</v>
      </c>
      <c r="E3861" t="inlineStr">
        <is>
          <t>2024-02</t>
        </is>
      </c>
      <c r="F3861" t="n">
        <v>0</v>
      </c>
    </row>
    <row r="3862">
      <c r="A3862" t="inlineStr">
        <is>
          <t>Milho</t>
        </is>
      </c>
      <c r="B3862" t="inlineStr">
        <is>
          <t>Correntina - BA</t>
        </is>
      </c>
      <c r="C3862" t="n">
        <v>-13.3477</v>
      </c>
      <c r="D3862" t="n">
        <v>-44.6333</v>
      </c>
      <c r="E3862" t="inlineStr">
        <is>
          <t>2024-03</t>
        </is>
      </c>
      <c r="F3862" t="n">
        <v>0</v>
      </c>
    </row>
    <row r="3863">
      <c r="A3863" t="inlineStr">
        <is>
          <t>Milho</t>
        </is>
      </c>
      <c r="B3863" t="inlineStr">
        <is>
          <t>Correntina - BA</t>
        </is>
      </c>
      <c r="C3863" t="n">
        <v>-13.3477</v>
      </c>
      <c r="D3863" t="n">
        <v>-44.6333</v>
      </c>
      <c r="E3863" t="inlineStr">
        <is>
          <t>2024-04</t>
        </is>
      </c>
      <c r="F3863" t="n">
        <v>0</v>
      </c>
    </row>
    <row r="3864">
      <c r="A3864" t="inlineStr">
        <is>
          <t>Milho</t>
        </is>
      </c>
      <c r="B3864" t="inlineStr">
        <is>
          <t>Correntina - BA</t>
        </is>
      </c>
      <c r="C3864" t="n">
        <v>-13.3477</v>
      </c>
      <c r="D3864" t="n">
        <v>-44.6333</v>
      </c>
      <c r="E3864" t="inlineStr">
        <is>
          <t>2024-05</t>
        </is>
      </c>
      <c r="F3864" t="n">
        <v>0</v>
      </c>
    </row>
    <row r="3865">
      <c r="A3865" t="inlineStr">
        <is>
          <t>Milho</t>
        </is>
      </c>
      <c r="B3865" t="inlineStr">
        <is>
          <t>Correntina - BA</t>
        </is>
      </c>
      <c r="C3865" t="n">
        <v>-13.3477</v>
      </c>
      <c r="D3865" t="n">
        <v>-44.6333</v>
      </c>
      <c r="E3865" t="inlineStr">
        <is>
          <t>2024-06</t>
        </is>
      </c>
      <c r="F3865" t="n">
        <v>0</v>
      </c>
    </row>
    <row r="3866">
      <c r="A3866" t="inlineStr">
        <is>
          <t>Milho</t>
        </is>
      </c>
      <c r="B3866" t="inlineStr">
        <is>
          <t>Correntina - BA</t>
        </is>
      </c>
      <c r="C3866" t="n">
        <v>-13.3477</v>
      </c>
      <c r="D3866" t="n">
        <v>-44.6333</v>
      </c>
      <c r="E3866" t="inlineStr">
        <is>
          <t>2023-07</t>
        </is>
      </c>
      <c r="F3866" t="n">
        <v>0</v>
      </c>
    </row>
    <row r="3867">
      <c r="A3867" t="inlineStr">
        <is>
          <t>Milho</t>
        </is>
      </c>
      <c r="B3867" t="inlineStr">
        <is>
          <t>Correntina - BA</t>
        </is>
      </c>
      <c r="C3867" t="n">
        <v>-13.3477</v>
      </c>
      <c r="D3867" t="n">
        <v>-44.6333</v>
      </c>
      <c r="E3867" t="inlineStr">
        <is>
          <t>2023-08</t>
        </is>
      </c>
      <c r="F3867" t="n">
        <v>104153.1214751097</v>
      </c>
    </row>
    <row r="3868">
      <c r="A3868" t="inlineStr">
        <is>
          <t>Milho</t>
        </is>
      </c>
      <c r="B3868" t="inlineStr">
        <is>
          <t>Correntina - BA</t>
        </is>
      </c>
      <c r="C3868" t="n">
        <v>-13.3477</v>
      </c>
      <c r="D3868" t="n">
        <v>-44.6333</v>
      </c>
      <c r="E3868" t="inlineStr">
        <is>
          <t>2023-09</t>
        </is>
      </c>
      <c r="F3868" t="n">
        <v>231687.2597209234</v>
      </c>
    </row>
    <row r="3869">
      <c r="A3869" t="inlineStr">
        <is>
          <t>Milho</t>
        </is>
      </c>
      <c r="B3869" t="inlineStr">
        <is>
          <t>Correntina - BA</t>
        </is>
      </c>
      <c r="C3869" t="n">
        <v>-13.3477</v>
      </c>
      <c r="D3869" t="n">
        <v>-44.6333</v>
      </c>
      <c r="E3869" t="inlineStr">
        <is>
          <t>2023-10</t>
        </is>
      </c>
      <c r="F3869" t="n">
        <v>1679177.790685713</v>
      </c>
    </row>
    <row r="3870">
      <c r="A3870" t="inlineStr">
        <is>
          <t>Milho</t>
        </is>
      </c>
      <c r="B3870" t="inlineStr">
        <is>
          <t>Correntina - BA</t>
        </is>
      </c>
      <c r="C3870" t="n">
        <v>-13.3477</v>
      </c>
      <c r="D3870" t="n">
        <v>-44.6333</v>
      </c>
      <c r="E3870" t="inlineStr">
        <is>
          <t>2023-11</t>
        </is>
      </c>
      <c r="F3870" t="n">
        <v>2315564.143384509</v>
      </c>
    </row>
    <row r="3871">
      <c r="A3871" t="inlineStr">
        <is>
          <t>Milho</t>
        </is>
      </c>
      <c r="B3871" t="inlineStr">
        <is>
          <t>Correntina - BA</t>
        </is>
      </c>
      <c r="C3871" t="n">
        <v>-13.3477</v>
      </c>
      <c r="D3871" t="n">
        <v>-44.6333</v>
      </c>
      <c r="E3871" t="inlineStr">
        <is>
          <t>2023-12</t>
        </is>
      </c>
      <c r="F3871" t="n">
        <v>0</v>
      </c>
    </row>
    <row r="3872">
      <c r="A3872" t="inlineStr">
        <is>
          <t>Milho</t>
        </is>
      </c>
      <c r="B3872" t="inlineStr">
        <is>
          <t>Crateús - CE</t>
        </is>
      </c>
      <c r="C3872" t="n">
        <v>-5.16768</v>
      </c>
      <c r="D3872" t="n">
        <v>-40.6536</v>
      </c>
      <c r="E3872" t="inlineStr">
        <is>
          <t>2024-01</t>
        </is>
      </c>
      <c r="F3872" t="n">
        <v>0</v>
      </c>
    </row>
    <row r="3873">
      <c r="A3873" t="inlineStr">
        <is>
          <t>Milho</t>
        </is>
      </c>
      <c r="B3873" t="inlineStr">
        <is>
          <t>Crateús - CE</t>
        </is>
      </c>
      <c r="C3873" t="n">
        <v>-5.16768</v>
      </c>
      <c r="D3873" t="n">
        <v>-40.6536</v>
      </c>
      <c r="E3873" t="inlineStr">
        <is>
          <t>2024-02</t>
        </is>
      </c>
      <c r="F3873" t="n">
        <v>0</v>
      </c>
    </row>
    <row r="3874">
      <c r="A3874" t="inlineStr">
        <is>
          <t>Milho</t>
        </is>
      </c>
      <c r="B3874" t="inlineStr">
        <is>
          <t>Crateús - CE</t>
        </is>
      </c>
      <c r="C3874" t="n">
        <v>-5.16768</v>
      </c>
      <c r="D3874" t="n">
        <v>-40.6536</v>
      </c>
      <c r="E3874" t="inlineStr">
        <is>
          <t>2024-03</t>
        </is>
      </c>
      <c r="F3874" t="n">
        <v>0</v>
      </c>
    </row>
    <row r="3875">
      <c r="A3875" t="inlineStr">
        <is>
          <t>Milho</t>
        </is>
      </c>
      <c r="B3875" t="inlineStr">
        <is>
          <t>Crateús - CE</t>
        </is>
      </c>
      <c r="C3875" t="n">
        <v>-5.16768</v>
      </c>
      <c r="D3875" t="n">
        <v>-40.6536</v>
      </c>
      <c r="E3875" t="inlineStr">
        <is>
          <t>2024-04</t>
        </is>
      </c>
      <c r="F3875" t="n">
        <v>0</v>
      </c>
    </row>
    <row r="3876">
      <c r="A3876" t="inlineStr">
        <is>
          <t>Milho</t>
        </is>
      </c>
      <c r="B3876" t="inlineStr">
        <is>
          <t>Crateús - CE</t>
        </is>
      </c>
      <c r="C3876" t="n">
        <v>-5.16768</v>
      </c>
      <c r="D3876" t="n">
        <v>-40.6536</v>
      </c>
      <c r="E3876" t="inlineStr">
        <is>
          <t>2024-05</t>
        </is>
      </c>
      <c r="F3876" t="n">
        <v>0</v>
      </c>
    </row>
    <row r="3877">
      <c r="A3877" t="inlineStr">
        <is>
          <t>Milho</t>
        </is>
      </c>
      <c r="B3877" t="inlineStr">
        <is>
          <t>Crateús - CE</t>
        </is>
      </c>
      <c r="C3877" t="n">
        <v>-5.16768</v>
      </c>
      <c r="D3877" t="n">
        <v>-40.6536</v>
      </c>
      <c r="E3877" t="inlineStr">
        <is>
          <t>2024-06</t>
        </is>
      </c>
      <c r="F3877" t="n">
        <v>0</v>
      </c>
    </row>
    <row r="3878">
      <c r="A3878" t="inlineStr">
        <is>
          <t>Milho</t>
        </is>
      </c>
      <c r="B3878" t="inlineStr">
        <is>
          <t>Crateús - CE</t>
        </is>
      </c>
      <c r="C3878" t="n">
        <v>-5.16768</v>
      </c>
      <c r="D3878" t="n">
        <v>-40.6536</v>
      </c>
      <c r="E3878" t="inlineStr">
        <is>
          <t>2023-07</t>
        </is>
      </c>
      <c r="F3878" t="n">
        <v>0</v>
      </c>
    </row>
    <row r="3879">
      <c r="A3879" t="inlineStr">
        <is>
          <t>Milho</t>
        </is>
      </c>
      <c r="B3879" t="inlineStr">
        <is>
          <t>Crateús - CE</t>
        </is>
      </c>
      <c r="C3879" t="n">
        <v>-5.16768</v>
      </c>
      <c r="D3879" t="n">
        <v>-40.6536</v>
      </c>
      <c r="E3879" t="inlineStr">
        <is>
          <t>2023-08</t>
        </is>
      </c>
      <c r="F3879" t="n">
        <v>0</v>
      </c>
    </row>
    <row r="3880">
      <c r="A3880" t="inlineStr">
        <is>
          <t>Milho</t>
        </is>
      </c>
      <c r="B3880" t="inlineStr">
        <is>
          <t>Crateús - CE</t>
        </is>
      </c>
      <c r="C3880" t="n">
        <v>-5.16768</v>
      </c>
      <c r="D3880" t="n">
        <v>-40.6536</v>
      </c>
      <c r="E3880" t="inlineStr">
        <is>
          <t>2023-09</t>
        </is>
      </c>
      <c r="F3880" t="n">
        <v>0</v>
      </c>
    </row>
    <row r="3881">
      <c r="A3881" t="inlineStr">
        <is>
          <t>Milho</t>
        </is>
      </c>
      <c r="B3881" t="inlineStr">
        <is>
          <t>Crateús - CE</t>
        </is>
      </c>
      <c r="C3881" t="n">
        <v>-5.16768</v>
      </c>
      <c r="D3881" t="n">
        <v>-40.6536</v>
      </c>
      <c r="E3881" t="inlineStr">
        <is>
          <t>2023-10</t>
        </is>
      </c>
      <c r="F3881" t="n">
        <v>0</v>
      </c>
    </row>
    <row r="3882">
      <c r="A3882" t="inlineStr">
        <is>
          <t>Milho</t>
        </is>
      </c>
      <c r="B3882" t="inlineStr">
        <is>
          <t>Crateús - CE</t>
        </is>
      </c>
      <c r="C3882" t="n">
        <v>-5.16768</v>
      </c>
      <c r="D3882" t="n">
        <v>-40.6536</v>
      </c>
      <c r="E3882" t="inlineStr">
        <is>
          <t>2023-11</t>
        </is>
      </c>
      <c r="F3882" t="n">
        <v>0</v>
      </c>
    </row>
    <row r="3883">
      <c r="A3883" t="inlineStr">
        <is>
          <t>Milho</t>
        </is>
      </c>
      <c r="B3883" t="inlineStr">
        <is>
          <t>Crateús - CE</t>
        </is>
      </c>
      <c r="C3883" t="n">
        <v>-5.16768</v>
      </c>
      <c r="D3883" t="n">
        <v>-40.6536</v>
      </c>
      <c r="E3883" t="inlineStr">
        <is>
          <t>2023-12</t>
        </is>
      </c>
      <c r="F3883" t="n">
        <v>0</v>
      </c>
    </row>
    <row r="3884">
      <c r="A3884" t="inlineStr">
        <is>
          <t>Milho</t>
        </is>
      </c>
      <c r="B3884" t="inlineStr">
        <is>
          <t>Brasília - DF</t>
        </is>
      </c>
      <c r="C3884" t="n">
        <v>-15.7795</v>
      </c>
      <c r="D3884" t="n">
        <v>-47.9297</v>
      </c>
      <c r="E3884" t="inlineStr">
        <is>
          <t>2024-01</t>
        </is>
      </c>
      <c r="F3884" t="n">
        <v>0</v>
      </c>
    </row>
    <row r="3885">
      <c r="A3885" t="inlineStr">
        <is>
          <t>Milho</t>
        </is>
      </c>
      <c r="B3885" t="inlineStr">
        <is>
          <t>Brasília - DF</t>
        </is>
      </c>
      <c r="C3885" t="n">
        <v>-15.7795</v>
      </c>
      <c r="D3885" t="n">
        <v>-47.9297</v>
      </c>
      <c r="E3885" t="inlineStr">
        <is>
          <t>2024-02</t>
        </is>
      </c>
      <c r="F3885" t="n">
        <v>0</v>
      </c>
    </row>
    <row r="3886">
      <c r="A3886" t="inlineStr">
        <is>
          <t>Milho</t>
        </is>
      </c>
      <c r="B3886" t="inlineStr">
        <is>
          <t>Brasília - DF</t>
        </is>
      </c>
      <c r="C3886" t="n">
        <v>-15.7795</v>
      </c>
      <c r="D3886" t="n">
        <v>-47.9297</v>
      </c>
      <c r="E3886" t="inlineStr">
        <is>
          <t>2024-03</t>
        </is>
      </c>
      <c r="F3886" t="n">
        <v>0</v>
      </c>
    </row>
    <row r="3887">
      <c r="A3887" t="inlineStr">
        <is>
          <t>Milho</t>
        </is>
      </c>
      <c r="B3887" t="inlineStr">
        <is>
          <t>Brasília - DF</t>
        </is>
      </c>
      <c r="C3887" t="n">
        <v>-15.7795</v>
      </c>
      <c r="D3887" t="n">
        <v>-47.9297</v>
      </c>
      <c r="E3887" t="inlineStr">
        <is>
          <t>2024-04</t>
        </is>
      </c>
      <c r="F3887" t="n">
        <v>0</v>
      </c>
    </row>
    <row r="3888">
      <c r="A3888" t="inlineStr">
        <is>
          <t>Milho</t>
        </is>
      </c>
      <c r="B3888" t="inlineStr">
        <is>
          <t>Brasília - DF</t>
        </is>
      </c>
      <c r="C3888" t="n">
        <v>-15.7795</v>
      </c>
      <c r="D3888" t="n">
        <v>-47.9297</v>
      </c>
      <c r="E3888" t="inlineStr">
        <is>
          <t>2024-05</t>
        </is>
      </c>
      <c r="F3888" t="n">
        <v>0</v>
      </c>
    </row>
    <row r="3889">
      <c r="A3889" t="inlineStr">
        <is>
          <t>Milho</t>
        </is>
      </c>
      <c r="B3889" t="inlineStr">
        <is>
          <t>Brasília - DF</t>
        </is>
      </c>
      <c r="C3889" t="n">
        <v>-15.7795</v>
      </c>
      <c r="D3889" t="n">
        <v>-47.9297</v>
      </c>
      <c r="E3889" t="inlineStr">
        <is>
          <t>2024-06</t>
        </is>
      </c>
      <c r="F3889" t="n">
        <v>0</v>
      </c>
    </row>
    <row r="3890">
      <c r="A3890" t="inlineStr">
        <is>
          <t>Milho</t>
        </is>
      </c>
      <c r="B3890" t="inlineStr">
        <is>
          <t>Brasília - DF</t>
        </is>
      </c>
      <c r="C3890" t="n">
        <v>-15.7795</v>
      </c>
      <c r="D3890" t="n">
        <v>-47.9297</v>
      </c>
      <c r="E3890" t="inlineStr">
        <is>
          <t>2023-07</t>
        </is>
      </c>
      <c r="F3890" t="n">
        <v>0</v>
      </c>
    </row>
    <row r="3891">
      <c r="A3891" t="inlineStr">
        <is>
          <t>Milho</t>
        </is>
      </c>
      <c r="B3891" t="inlineStr">
        <is>
          <t>Brasília - DF</t>
        </is>
      </c>
      <c r="C3891" t="n">
        <v>-15.7795</v>
      </c>
      <c r="D3891" t="n">
        <v>-47.9297</v>
      </c>
      <c r="E3891" t="inlineStr">
        <is>
          <t>2023-08</t>
        </is>
      </c>
      <c r="F3891" t="n">
        <v>0</v>
      </c>
    </row>
    <row r="3892">
      <c r="A3892" t="inlineStr">
        <is>
          <t>Milho</t>
        </is>
      </c>
      <c r="B3892" t="inlineStr">
        <is>
          <t>Brasília - DF</t>
        </is>
      </c>
      <c r="C3892" t="n">
        <v>-15.7795</v>
      </c>
      <c r="D3892" t="n">
        <v>-47.9297</v>
      </c>
      <c r="E3892" t="inlineStr">
        <is>
          <t>2023-09</t>
        </is>
      </c>
      <c r="F3892" t="n">
        <v>0</v>
      </c>
    </row>
    <row r="3893">
      <c r="A3893" t="inlineStr">
        <is>
          <t>Milho</t>
        </is>
      </c>
      <c r="B3893" t="inlineStr">
        <is>
          <t>Brasília - DF</t>
        </is>
      </c>
      <c r="C3893" t="n">
        <v>-15.7795</v>
      </c>
      <c r="D3893" t="n">
        <v>-47.9297</v>
      </c>
      <c r="E3893" t="inlineStr">
        <is>
          <t>2023-10</t>
        </is>
      </c>
      <c r="F3893" t="n">
        <v>0</v>
      </c>
    </row>
    <row r="3894">
      <c r="A3894" t="inlineStr">
        <is>
          <t>Milho</t>
        </is>
      </c>
      <c r="B3894" t="inlineStr">
        <is>
          <t>Brasília - DF</t>
        </is>
      </c>
      <c r="C3894" t="n">
        <v>-15.7795</v>
      </c>
      <c r="D3894" t="n">
        <v>-47.9297</v>
      </c>
      <c r="E3894" t="inlineStr">
        <is>
          <t>2023-11</t>
        </is>
      </c>
      <c r="F3894" t="n">
        <v>0</v>
      </c>
    </row>
    <row r="3895">
      <c r="A3895" t="inlineStr">
        <is>
          <t>Milho</t>
        </is>
      </c>
      <c r="B3895" t="inlineStr">
        <is>
          <t>Brasília - DF</t>
        </is>
      </c>
      <c r="C3895" t="n">
        <v>-15.7795</v>
      </c>
      <c r="D3895" t="n">
        <v>-47.9297</v>
      </c>
      <c r="E3895" t="inlineStr">
        <is>
          <t>2023-12</t>
        </is>
      </c>
      <c r="F3895" t="n">
        <v>0</v>
      </c>
    </row>
    <row r="3896">
      <c r="A3896" t="inlineStr">
        <is>
          <t>Milho</t>
        </is>
      </c>
      <c r="B3896" t="inlineStr">
        <is>
          <t>Pinheiros - ES</t>
        </is>
      </c>
      <c r="C3896" t="n">
        <v>-18.4141</v>
      </c>
      <c r="D3896" t="n">
        <v>-40.2171</v>
      </c>
      <c r="E3896" t="inlineStr">
        <is>
          <t>2024-01</t>
        </is>
      </c>
      <c r="F3896" t="n">
        <v>0</v>
      </c>
    </row>
    <row r="3897">
      <c r="A3897" t="inlineStr">
        <is>
          <t>Milho</t>
        </is>
      </c>
      <c r="B3897" t="inlineStr">
        <is>
          <t>Pinheiros - ES</t>
        </is>
      </c>
      <c r="C3897" t="n">
        <v>-18.4141</v>
      </c>
      <c r="D3897" t="n">
        <v>-40.2171</v>
      </c>
      <c r="E3897" t="inlineStr">
        <is>
          <t>2024-02</t>
        </is>
      </c>
      <c r="F3897" t="n">
        <v>0</v>
      </c>
    </row>
    <row r="3898">
      <c r="A3898" t="inlineStr">
        <is>
          <t>Milho</t>
        </is>
      </c>
      <c r="B3898" t="inlineStr">
        <is>
          <t>Pinheiros - ES</t>
        </is>
      </c>
      <c r="C3898" t="n">
        <v>-18.4141</v>
      </c>
      <c r="D3898" t="n">
        <v>-40.2171</v>
      </c>
      <c r="E3898" t="inlineStr">
        <is>
          <t>2024-03</t>
        </is>
      </c>
      <c r="F3898" t="n">
        <v>0</v>
      </c>
    </row>
    <row r="3899">
      <c r="A3899" t="inlineStr">
        <is>
          <t>Milho</t>
        </is>
      </c>
      <c r="B3899" t="inlineStr">
        <is>
          <t>Pinheiros - ES</t>
        </is>
      </c>
      <c r="C3899" t="n">
        <v>-18.4141</v>
      </c>
      <c r="D3899" t="n">
        <v>-40.2171</v>
      </c>
      <c r="E3899" t="inlineStr">
        <is>
          <t>2024-04</t>
        </is>
      </c>
      <c r="F3899" t="n">
        <v>0</v>
      </c>
    </row>
    <row r="3900">
      <c r="A3900" t="inlineStr">
        <is>
          <t>Milho</t>
        </is>
      </c>
      <c r="B3900" t="inlineStr">
        <is>
          <t>Pinheiros - ES</t>
        </is>
      </c>
      <c r="C3900" t="n">
        <v>-18.4141</v>
      </c>
      <c r="D3900" t="n">
        <v>-40.2171</v>
      </c>
      <c r="E3900" t="inlineStr">
        <is>
          <t>2024-05</t>
        </is>
      </c>
      <c r="F3900" t="n">
        <v>0</v>
      </c>
    </row>
    <row r="3901">
      <c r="A3901" t="inlineStr">
        <is>
          <t>Milho</t>
        </is>
      </c>
      <c r="B3901" t="inlineStr">
        <is>
          <t>Pinheiros - ES</t>
        </is>
      </c>
      <c r="C3901" t="n">
        <v>-18.4141</v>
      </c>
      <c r="D3901" t="n">
        <v>-40.2171</v>
      </c>
      <c r="E3901" t="inlineStr">
        <is>
          <t>2024-06</t>
        </is>
      </c>
      <c r="F3901" t="n">
        <v>0</v>
      </c>
    </row>
    <row r="3902">
      <c r="A3902" t="inlineStr">
        <is>
          <t>Milho</t>
        </is>
      </c>
      <c r="B3902" t="inlineStr">
        <is>
          <t>Pinheiros - ES</t>
        </is>
      </c>
      <c r="C3902" t="n">
        <v>-18.4141</v>
      </c>
      <c r="D3902" t="n">
        <v>-40.2171</v>
      </c>
      <c r="E3902" t="inlineStr">
        <is>
          <t>2023-07</t>
        </is>
      </c>
      <c r="F3902" t="n">
        <v>0</v>
      </c>
    </row>
    <row r="3903">
      <c r="A3903" t="inlineStr">
        <is>
          <t>Milho</t>
        </is>
      </c>
      <c r="B3903" t="inlineStr">
        <is>
          <t>Pinheiros - ES</t>
        </is>
      </c>
      <c r="C3903" t="n">
        <v>-18.4141</v>
      </c>
      <c r="D3903" t="n">
        <v>-40.2171</v>
      </c>
      <c r="E3903" t="inlineStr">
        <is>
          <t>2023-08</t>
        </is>
      </c>
      <c r="F3903" t="n">
        <v>0</v>
      </c>
    </row>
    <row r="3904">
      <c r="A3904" t="inlineStr">
        <is>
          <t>Milho</t>
        </is>
      </c>
      <c r="B3904" t="inlineStr">
        <is>
          <t>Pinheiros - ES</t>
        </is>
      </c>
      <c r="C3904" t="n">
        <v>-18.4141</v>
      </c>
      <c r="D3904" t="n">
        <v>-40.2171</v>
      </c>
      <c r="E3904" t="inlineStr">
        <is>
          <t>2023-09</t>
        </is>
      </c>
      <c r="F3904" t="n">
        <v>0</v>
      </c>
    </row>
    <row r="3905">
      <c r="A3905" t="inlineStr">
        <is>
          <t>Milho</t>
        </is>
      </c>
      <c r="B3905" t="inlineStr">
        <is>
          <t>Pinheiros - ES</t>
        </is>
      </c>
      <c r="C3905" t="n">
        <v>-18.4141</v>
      </c>
      <c r="D3905" t="n">
        <v>-40.2171</v>
      </c>
      <c r="E3905" t="inlineStr">
        <is>
          <t>2023-10</t>
        </is>
      </c>
      <c r="F3905" t="n">
        <v>0</v>
      </c>
    </row>
    <row r="3906">
      <c r="A3906" t="inlineStr">
        <is>
          <t>Milho</t>
        </is>
      </c>
      <c r="B3906" t="inlineStr">
        <is>
          <t>Pinheiros - ES</t>
        </is>
      </c>
      <c r="C3906" t="n">
        <v>-18.4141</v>
      </c>
      <c r="D3906" t="n">
        <v>-40.2171</v>
      </c>
      <c r="E3906" t="inlineStr">
        <is>
          <t>2023-11</t>
        </is>
      </c>
      <c r="F3906" t="n">
        <v>0</v>
      </c>
    </row>
    <row r="3907">
      <c r="A3907" t="inlineStr">
        <is>
          <t>Milho</t>
        </is>
      </c>
      <c r="B3907" t="inlineStr">
        <is>
          <t>Pinheiros - ES</t>
        </is>
      </c>
      <c r="C3907" t="n">
        <v>-18.4141</v>
      </c>
      <c r="D3907" t="n">
        <v>-40.2171</v>
      </c>
      <c r="E3907" t="inlineStr">
        <is>
          <t>2023-12</t>
        </is>
      </c>
      <c r="F3907" t="n">
        <v>0</v>
      </c>
    </row>
    <row r="3908">
      <c r="A3908" t="inlineStr">
        <is>
          <t>Milho</t>
        </is>
      </c>
      <c r="B3908" t="inlineStr">
        <is>
          <t>Rio Verde - GO</t>
        </is>
      </c>
      <c r="C3908" t="n">
        <v>-17.7923</v>
      </c>
      <c r="D3908" t="n">
        <v>-50.9192</v>
      </c>
      <c r="E3908" t="inlineStr">
        <is>
          <t>2024-01</t>
        </is>
      </c>
      <c r="F3908" t="n">
        <v>0</v>
      </c>
    </row>
    <row r="3909">
      <c r="A3909" t="inlineStr">
        <is>
          <t>Milho</t>
        </is>
      </c>
      <c r="B3909" t="inlineStr">
        <is>
          <t>Rio Verde - GO</t>
        </is>
      </c>
      <c r="C3909" t="n">
        <v>-17.7923</v>
      </c>
      <c r="D3909" t="n">
        <v>-50.9192</v>
      </c>
      <c r="E3909" t="inlineStr">
        <is>
          <t>2024-02</t>
        </is>
      </c>
      <c r="F3909" t="n">
        <v>0</v>
      </c>
    </row>
    <row r="3910">
      <c r="A3910" t="inlineStr">
        <is>
          <t>Milho</t>
        </is>
      </c>
      <c r="B3910" t="inlineStr">
        <is>
          <t>Rio Verde - GO</t>
        </is>
      </c>
      <c r="C3910" t="n">
        <v>-17.7923</v>
      </c>
      <c r="D3910" t="n">
        <v>-50.9192</v>
      </c>
      <c r="E3910" t="inlineStr">
        <is>
          <t>2024-03</t>
        </is>
      </c>
      <c r="F3910" t="n">
        <v>0</v>
      </c>
    </row>
    <row r="3911">
      <c r="A3911" t="inlineStr">
        <is>
          <t>Milho</t>
        </is>
      </c>
      <c r="B3911" t="inlineStr">
        <is>
          <t>Rio Verde - GO</t>
        </is>
      </c>
      <c r="C3911" t="n">
        <v>-17.7923</v>
      </c>
      <c r="D3911" t="n">
        <v>-50.9192</v>
      </c>
      <c r="E3911" t="inlineStr">
        <is>
          <t>2024-04</t>
        </is>
      </c>
      <c r="F3911" t="n">
        <v>0</v>
      </c>
    </row>
    <row r="3912">
      <c r="A3912" t="inlineStr">
        <is>
          <t>Milho</t>
        </is>
      </c>
      <c r="B3912" t="inlineStr">
        <is>
          <t>Rio Verde - GO</t>
        </is>
      </c>
      <c r="C3912" t="n">
        <v>-17.7923</v>
      </c>
      <c r="D3912" t="n">
        <v>-50.9192</v>
      </c>
      <c r="E3912" t="inlineStr">
        <is>
          <t>2024-05</t>
        </is>
      </c>
      <c r="F3912" t="n">
        <v>0</v>
      </c>
    </row>
    <row r="3913">
      <c r="A3913" t="inlineStr">
        <is>
          <t>Milho</t>
        </is>
      </c>
      <c r="B3913" t="inlineStr">
        <is>
          <t>Rio Verde - GO</t>
        </is>
      </c>
      <c r="C3913" t="n">
        <v>-17.7923</v>
      </c>
      <c r="D3913" t="n">
        <v>-50.9192</v>
      </c>
      <c r="E3913" t="inlineStr">
        <is>
          <t>2024-06</t>
        </is>
      </c>
      <c r="F3913" t="n">
        <v>0</v>
      </c>
    </row>
    <row r="3914">
      <c r="A3914" t="inlineStr">
        <is>
          <t>Milho</t>
        </is>
      </c>
      <c r="B3914" t="inlineStr">
        <is>
          <t>Rio Verde - GO</t>
        </is>
      </c>
      <c r="C3914" t="n">
        <v>-17.7923</v>
      </c>
      <c r="D3914" t="n">
        <v>-50.9192</v>
      </c>
      <c r="E3914" t="inlineStr">
        <is>
          <t>2023-07</t>
        </is>
      </c>
      <c r="F3914" t="n">
        <v>0</v>
      </c>
    </row>
    <row r="3915">
      <c r="A3915" t="inlineStr">
        <is>
          <t>Milho</t>
        </is>
      </c>
      <c r="B3915" t="inlineStr">
        <is>
          <t>Rio Verde - GO</t>
        </is>
      </c>
      <c r="C3915" t="n">
        <v>-17.7923</v>
      </c>
      <c r="D3915" t="n">
        <v>-50.9192</v>
      </c>
      <c r="E3915" t="inlineStr">
        <is>
          <t>2023-08</t>
        </is>
      </c>
      <c r="F3915" t="n">
        <v>0</v>
      </c>
    </row>
    <row r="3916">
      <c r="A3916" t="inlineStr">
        <is>
          <t>Milho</t>
        </is>
      </c>
      <c r="B3916" t="inlineStr">
        <is>
          <t>Rio Verde - GO</t>
        </is>
      </c>
      <c r="C3916" t="n">
        <v>-17.7923</v>
      </c>
      <c r="D3916" t="n">
        <v>-50.9192</v>
      </c>
      <c r="E3916" t="inlineStr">
        <is>
          <t>2023-09</t>
        </is>
      </c>
      <c r="F3916" t="n">
        <v>0</v>
      </c>
    </row>
    <row r="3917">
      <c r="A3917" t="inlineStr">
        <is>
          <t>Milho</t>
        </is>
      </c>
      <c r="B3917" t="inlineStr">
        <is>
          <t>Rio Verde - GO</t>
        </is>
      </c>
      <c r="C3917" t="n">
        <v>-17.7923</v>
      </c>
      <c r="D3917" t="n">
        <v>-50.9192</v>
      </c>
      <c r="E3917" t="inlineStr">
        <is>
          <t>2023-10</t>
        </is>
      </c>
      <c r="F3917" t="n">
        <v>0</v>
      </c>
    </row>
    <row r="3918">
      <c r="A3918" t="inlineStr">
        <is>
          <t>Milho</t>
        </is>
      </c>
      <c r="B3918" t="inlineStr">
        <is>
          <t>Rio Verde - GO</t>
        </is>
      </c>
      <c r="C3918" t="n">
        <v>-17.7923</v>
      </c>
      <c r="D3918" t="n">
        <v>-50.9192</v>
      </c>
      <c r="E3918" t="inlineStr">
        <is>
          <t>2023-11</t>
        </is>
      </c>
      <c r="F3918" t="n">
        <v>0</v>
      </c>
    </row>
    <row r="3919">
      <c r="A3919" t="inlineStr">
        <is>
          <t>Milho</t>
        </is>
      </c>
      <c r="B3919" t="inlineStr">
        <is>
          <t>Rio Verde - GO</t>
        </is>
      </c>
      <c r="C3919" t="n">
        <v>-17.7923</v>
      </c>
      <c r="D3919" t="n">
        <v>-50.9192</v>
      </c>
      <c r="E3919" t="inlineStr">
        <is>
          <t>2023-12</t>
        </is>
      </c>
      <c r="F3919" t="n">
        <v>0</v>
      </c>
    </row>
    <row r="3920">
      <c r="A3920" t="inlineStr">
        <is>
          <t>Milho</t>
        </is>
      </c>
      <c r="B3920" t="inlineStr">
        <is>
          <t>Balsas - MA</t>
        </is>
      </c>
      <c r="C3920" t="n">
        <v>-7.53214</v>
      </c>
      <c r="D3920" t="n">
        <v>-46.0372</v>
      </c>
      <c r="E3920" t="inlineStr">
        <is>
          <t>2024-01</t>
        </is>
      </c>
      <c r="F3920" t="n">
        <v>0</v>
      </c>
    </row>
    <row r="3921">
      <c r="A3921" t="inlineStr">
        <is>
          <t>Milho</t>
        </is>
      </c>
      <c r="B3921" t="inlineStr">
        <is>
          <t>Balsas - MA</t>
        </is>
      </c>
      <c r="C3921" t="n">
        <v>-7.53214</v>
      </c>
      <c r="D3921" t="n">
        <v>-46.0372</v>
      </c>
      <c r="E3921" t="inlineStr">
        <is>
          <t>2024-02</t>
        </is>
      </c>
      <c r="F3921" t="n">
        <v>0</v>
      </c>
    </row>
    <row r="3922">
      <c r="A3922" t="inlineStr">
        <is>
          <t>Milho</t>
        </is>
      </c>
      <c r="B3922" t="inlineStr">
        <is>
          <t>Balsas - MA</t>
        </is>
      </c>
      <c r="C3922" t="n">
        <v>-7.53214</v>
      </c>
      <c r="D3922" t="n">
        <v>-46.0372</v>
      </c>
      <c r="E3922" t="inlineStr">
        <is>
          <t>2024-03</t>
        </is>
      </c>
      <c r="F3922" t="n">
        <v>0</v>
      </c>
    </row>
    <row r="3923">
      <c r="A3923" t="inlineStr">
        <is>
          <t>Milho</t>
        </is>
      </c>
      <c r="B3923" t="inlineStr">
        <is>
          <t>Balsas - MA</t>
        </is>
      </c>
      <c r="C3923" t="n">
        <v>-7.53214</v>
      </c>
      <c r="D3923" t="n">
        <v>-46.0372</v>
      </c>
      <c r="E3923" t="inlineStr">
        <is>
          <t>2024-04</t>
        </is>
      </c>
      <c r="F3923" t="n">
        <v>0</v>
      </c>
    </row>
    <row r="3924">
      <c r="A3924" t="inlineStr">
        <is>
          <t>Milho</t>
        </is>
      </c>
      <c r="B3924" t="inlineStr">
        <is>
          <t>Balsas - MA</t>
        </is>
      </c>
      <c r="C3924" t="n">
        <v>-7.53214</v>
      </c>
      <c r="D3924" t="n">
        <v>-46.0372</v>
      </c>
      <c r="E3924" t="inlineStr">
        <is>
          <t>2024-05</t>
        </is>
      </c>
      <c r="F3924" t="n">
        <v>0</v>
      </c>
    </row>
    <row r="3925">
      <c r="A3925" t="inlineStr">
        <is>
          <t>Milho</t>
        </is>
      </c>
      <c r="B3925" t="inlineStr">
        <is>
          <t>Balsas - MA</t>
        </is>
      </c>
      <c r="C3925" t="n">
        <v>-7.53214</v>
      </c>
      <c r="D3925" t="n">
        <v>-46.0372</v>
      </c>
      <c r="E3925" t="inlineStr">
        <is>
          <t>2024-06</t>
        </is>
      </c>
      <c r="F3925" t="n">
        <v>0</v>
      </c>
    </row>
    <row r="3926">
      <c r="A3926" t="inlineStr">
        <is>
          <t>Milho</t>
        </is>
      </c>
      <c r="B3926" t="inlineStr">
        <is>
          <t>Balsas - MA</t>
        </is>
      </c>
      <c r="C3926" t="n">
        <v>-7.53214</v>
      </c>
      <c r="D3926" t="n">
        <v>-46.0372</v>
      </c>
      <c r="E3926" t="inlineStr">
        <is>
          <t>2023-07</t>
        </is>
      </c>
      <c r="F3926" t="n">
        <v>0</v>
      </c>
    </row>
    <row r="3927">
      <c r="A3927" t="inlineStr">
        <is>
          <t>Milho</t>
        </is>
      </c>
      <c r="B3927" t="inlineStr">
        <is>
          <t>Balsas - MA</t>
        </is>
      </c>
      <c r="C3927" t="n">
        <v>-7.53214</v>
      </c>
      <c r="D3927" t="n">
        <v>-46.0372</v>
      </c>
      <c r="E3927" t="inlineStr">
        <is>
          <t>2023-08</t>
        </is>
      </c>
      <c r="F3927" t="n">
        <v>0</v>
      </c>
    </row>
    <row r="3928">
      <c r="A3928" t="inlineStr">
        <is>
          <t>Milho</t>
        </is>
      </c>
      <c r="B3928" t="inlineStr">
        <is>
          <t>Balsas - MA</t>
        </is>
      </c>
      <c r="C3928" t="n">
        <v>-7.53214</v>
      </c>
      <c r="D3928" t="n">
        <v>-46.0372</v>
      </c>
      <c r="E3928" t="inlineStr">
        <is>
          <t>2023-09</t>
        </is>
      </c>
      <c r="F3928" t="n">
        <v>0</v>
      </c>
    </row>
    <row r="3929">
      <c r="A3929" t="inlineStr">
        <is>
          <t>Milho</t>
        </is>
      </c>
      <c r="B3929" t="inlineStr">
        <is>
          <t>Balsas - MA</t>
        </is>
      </c>
      <c r="C3929" t="n">
        <v>-7.53214</v>
      </c>
      <c r="D3929" t="n">
        <v>-46.0372</v>
      </c>
      <c r="E3929" t="inlineStr">
        <is>
          <t>2023-10</t>
        </is>
      </c>
      <c r="F3929" t="n">
        <v>0</v>
      </c>
    </row>
    <row r="3930">
      <c r="A3930" t="inlineStr">
        <is>
          <t>Milho</t>
        </is>
      </c>
      <c r="B3930" t="inlineStr">
        <is>
          <t>Balsas - MA</t>
        </is>
      </c>
      <c r="C3930" t="n">
        <v>-7.53214</v>
      </c>
      <c r="D3930" t="n">
        <v>-46.0372</v>
      </c>
      <c r="E3930" t="inlineStr">
        <is>
          <t>2023-11</t>
        </is>
      </c>
      <c r="F3930" t="n">
        <v>0</v>
      </c>
    </row>
    <row r="3931">
      <c r="A3931" t="inlineStr">
        <is>
          <t>Milho</t>
        </is>
      </c>
      <c r="B3931" t="inlineStr">
        <is>
          <t>Balsas - MA</t>
        </is>
      </c>
      <c r="C3931" t="n">
        <v>-7.53214</v>
      </c>
      <c r="D3931" t="n">
        <v>-46.0372</v>
      </c>
      <c r="E3931" t="inlineStr">
        <is>
          <t>2023-12</t>
        </is>
      </c>
      <c r="F3931" t="n">
        <v>0</v>
      </c>
    </row>
    <row r="3932">
      <c r="A3932" t="inlineStr">
        <is>
          <t>Milho</t>
        </is>
      </c>
      <c r="B3932" t="inlineStr">
        <is>
          <t>Unaí - MG</t>
        </is>
      </c>
      <c r="C3932" t="n">
        <v>-16.3592</v>
      </c>
      <c r="D3932" t="n">
        <v>-46.9022</v>
      </c>
      <c r="E3932" t="inlineStr">
        <is>
          <t>2024-01</t>
        </is>
      </c>
      <c r="F3932" t="n">
        <v>0</v>
      </c>
    </row>
    <row r="3933">
      <c r="A3933" t="inlineStr">
        <is>
          <t>Milho</t>
        </is>
      </c>
      <c r="B3933" t="inlineStr">
        <is>
          <t>Unaí - MG</t>
        </is>
      </c>
      <c r="C3933" t="n">
        <v>-16.3592</v>
      </c>
      <c r="D3933" t="n">
        <v>-46.9022</v>
      </c>
      <c r="E3933" t="inlineStr">
        <is>
          <t>2024-02</t>
        </is>
      </c>
      <c r="F3933" t="n">
        <v>0</v>
      </c>
    </row>
    <row r="3934">
      <c r="A3934" t="inlineStr">
        <is>
          <t>Milho</t>
        </is>
      </c>
      <c r="B3934" t="inlineStr">
        <is>
          <t>Unaí - MG</t>
        </is>
      </c>
      <c r="C3934" t="n">
        <v>-16.3592</v>
      </c>
      <c r="D3934" t="n">
        <v>-46.9022</v>
      </c>
      <c r="E3934" t="inlineStr">
        <is>
          <t>2024-03</t>
        </is>
      </c>
      <c r="F3934" t="n">
        <v>0</v>
      </c>
    </row>
    <row r="3935">
      <c r="A3935" t="inlineStr">
        <is>
          <t>Milho</t>
        </is>
      </c>
      <c r="B3935" t="inlineStr">
        <is>
          <t>Unaí - MG</t>
        </is>
      </c>
      <c r="C3935" t="n">
        <v>-16.3592</v>
      </c>
      <c r="D3935" t="n">
        <v>-46.9022</v>
      </c>
      <c r="E3935" t="inlineStr">
        <is>
          <t>2024-04</t>
        </is>
      </c>
      <c r="F3935" t="n">
        <v>0</v>
      </c>
    </row>
    <row r="3936">
      <c r="A3936" t="inlineStr">
        <is>
          <t>Milho</t>
        </is>
      </c>
      <c r="B3936" t="inlineStr">
        <is>
          <t>Unaí - MG</t>
        </is>
      </c>
      <c r="C3936" t="n">
        <v>-16.3592</v>
      </c>
      <c r="D3936" t="n">
        <v>-46.9022</v>
      </c>
      <c r="E3936" t="inlineStr">
        <is>
          <t>2024-05</t>
        </is>
      </c>
      <c r="F3936" t="n">
        <v>0</v>
      </c>
    </row>
    <row r="3937">
      <c r="A3937" t="inlineStr">
        <is>
          <t>Milho</t>
        </is>
      </c>
      <c r="B3937" t="inlineStr">
        <is>
          <t>Unaí - MG</t>
        </is>
      </c>
      <c r="C3937" t="n">
        <v>-16.3592</v>
      </c>
      <c r="D3937" t="n">
        <v>-46.9022</v>
      </c>
      <c r="E3937" t="inlineStr">
        <is>
          <t>2024-06</t>
        </is>
      </c>
      <c r="F3937" t="n">
        <v>0</v>
      </c>
    </row>
    <row r="3938">
      <c r="A3938" t="inlineStr">
        <is>
          <t>Milho</t>
        </is>
      </c>
      <c r="B3938" t="inlineStr">
        <is>
          <t>Unaí - MG</t>
        </is>
      </c>
      <c r="C3938" t="n">
        <v>-16.3592</v>
      </c>
      <c r="D3938" t="n">
        <v>-46.9022</v>
      </c>
      <c r="E3938" t="inlineStr">
        <is>
          <t>2023-07</t>
        </is>
      </c>
      <c r="F3938" t="n">
        <v>0</v>
      </c>
    </row>
    <row r="3939">
      <c r="A3939" t="inlineStr">
        <is>
          <t>Milho</t>
        </is>
      </c>
      <c r="B3939" t="inlineStr">
        <is>
          <t>Unaí - MG</t>
        </is>
      </c>
      <c r="C3939" t="n">
        <v>-16.3592</v>
      </c>
      <c r="D3939" t="n">
        <v>-46.9022</v>
      </c>
      <c r="E3939" t="inlineStr">
        <is>
          <t>2023-08</t>
        </is>
      </c>
      <c r="F3939" t="n">
        <v>0</v>
      </c>
    </row>
    <row r="3940">
      <c r="A3940" t="inlineStr">
        <is>
          <t>Milho</t>
        </is>
      </c>
      <c r="B3940" t="inlineStr">
        <is>
          <t>Unaí - MG</t>
        </is>
      </c>
      <c r="C3940" t="n">
        <v>-16.3592</v>
      </c>
      <c r="D3940" t="n">
        <v>-46.9022</v>
      </c>
      <c r="E3940" t="inlineStr">
        <is>
          <t>2023-09</t>
        </is>
      </c>
      <c r="F3940" t="n">
        <v>0</v>
      </c>
    </row>
    <row r="3941">
      <c r="A3941" t="inlineStr">
        <is>
          <t>Milho</t>
        </is>
      </c>
      <c r="B3941" t="inlineStr">
        <is>
          <t>Unaí - MG</t>
        </is>
      </c>
      <c r="C3941" t="n">
        <v>-16.3592</v>
      </c>
      <c r="D3941" t="n">
        <v>-46.9022</v>
      </c>
      <c r="E3941" t="inlineStr">
        <is>
          <t>2023-10</t>
        </is>
      </c>
      <c r="F3941" t="n">
        <v>0</v>
      </c>
    </row>
    <row r="3942">
      <c r="A3942" t="inlineStr">
        <is>
          <t>Milho</t>
        </is>
      </c>
      <c r="B3942" t="inlineStr">
        <is>
          <t>Unaí - MG</t>
        </is>
      </c>
      <c r="C3942" t="n">
        <v>-16.3592</v>
      </c>
      <c r="D3942" t="n">
        <v>-46.9022</v>
      </c>
      <c r="E3942" t="inlineStr">
        <is>
          <t>2023-11</t>
        </is>
      </c>
      <c r="F3942" t="n">
        <v>0</v>
      </c>
    </row>
    <row r="3943">
      <c r="A3943" t="inlineStr">
        <is>
          <t>Milho</t>
        </is>
      </c>
      <c r="B3943" t="inlineStr">
        <is>
          <t>Unaí - MG</t>
        </is>
      </c>
      <c r="C3943" t="n">
        <v>-16.3592</v>
      </c>
      <c r="D3943" t="n">
        <v>-46.9022</v>
      </c>
      <c r="E3943" t="inlineStr">
        <is>
          <t>2023-12</t>
        </is>
      </c>
      <c r="F3943" t="n">
        <v>0</v>
      </c>
    </row>
    <row r="3944">
      <c r="A3944" t="inlineStr">
        <is>
          <t>Milho</t>
        </is>
      </c>
      <c r="B3944" t="inlineStr">
        <is>
          <t>Maracaju - MS</t>
        </is>
      </c>
      <c r="C3944" t="n">
        <v>-21.6105</v>
      </c>
      <c r="D3944" t="n">
        <v>-55.1678</v>
      </c>
      <c r="E3944" t="inlineStr">
        <is>
          <t>2024-01</t>
        </is>
      </c>
      <c r="F3944" t="n">
        <v>0</v>
      </c>
    </row>
    <row r="3945">
      <c r="A3945" t="inlineStr">
        <is>
          <t>Milho</t>
        </is>
      </c>
      <c r="B3945" t="inlineStr">
        <is>
          <t>Maracaju - MS</t>
        </is>
      </c>
      <c r="C3945" t="n">
        <v>-21.6105</v>
      </c>
      <c r="D3945" t="n">
        <v>-55.1678</v>
      </c>
      <c r="E3945" t="inlineStr">
        <is>
          <t>2024-02</t>
        </is>
      </c>
      <c r="F3945" t="n">
        <v>0</v>
      </c>
    </row>
    <row r="3946">
      <c r="A3946" t="inlineStr">
        <is>
          <t>Milho</t>
        </is>
      </c>
      <c r="B3946" t="inlineStr">
        <is>
          <t>Maracaju - MS</t>
        </is>
      </c>
      <c r="C3946" t="n">
        <v>-21.6105</v>
      </c>
      <c r="D3946" t="n">
        <v>-55.1678</v>
      </c>
      <c r="E3946" t="inlineStr">
        <is>
          <t>2024-03</t>
        </is>
      </c>
      <c r="F3946" t="n">
        <v>0</v>
      </c>
    </row>
    <row r="3947">
      <c r="A3947" t="inlineStr">
        <is>
          <t>Milho</t>
        </is>
      </c>
      <c r="B3947" t="inlineStr">
        <is>
          <t>Maracaju - MS</t>
        </is>
      </c>
      <c r="C3947" t="n">
        <v>-21.6105</v>
      </c>
      <c r="D3947" t="n">
        <v>-55.1678</v>
      </c>
      <c r="E3947" t="inlineStr">
        <is>
          <t>2024-04</t>
        </is>
      </c>
      <c r="F3947" t="n">
        <v>0</v>
      </c>
    </row>
    <row r="3948">
      <c r="A3948" t="inlineStr">
        <is>
          <t>Milho</t>
        </is>
      </c>
      <c r="B3948" t="inlineStr">
        <is>
          <t>Maracaju - MS</t>
        </is>
      </c>
      <c r="C3948" t="n">
        <v>-21.6105</v>
      </c>
      <c r="D3948" t="n">
        <v>-55.1678</v>
      </c>
      <c r="E3948" t="inlineStr">
        <is>
          <t>2024-05</t>
        </is>
      </c>
      <c r="F3948" t="n">
        <v>0</v>
      </c>
    </row>
    <row r="3949">
      <c r="A3949" t="inlineStr">
        <is>
          <t>Milho</t>
        </is>
      </c>
      <c r="B3949" t="inlineStr">
        <is>
          <t>Maracaju - MS</t>
        </is>
      </c>
      <c r="C3949" t="n">
        <v>-21.6105</v>
      </c>
      <c r="D3949" t="n">
        <v>-55.1678</v>
      </c>
      <c r="E3949" t="inlineStr">
        <is>
          <t>2024-06</t>
        </is>
      </c>
      <c r="F3949" t="n">
        <v>0</v>
      </c>
    </row>
    <row r="3950">
      <c r="A3950" t="inlineStr">
        <is>
          <t>Milho</t>
        </is>
      </c>
      <c r="B3950" t="inlineStr">
        <is>
          <t>Maracaju - MS</t>
        </is>
      </c>
      <c r="C3950" t="n">
        <v>-21.6105</v>
      </c>
      <c r="D3950" t="n">
        <v>-55.1678</v>
      </c>
      <c r="E3950" t="inlineStr">
        <is>
          <t>2023-07</t>
        </is>
      </c>
      <c r="F3950" t="n">
        <v>0</v>
      </c>
    </row>
    <row r="3951">
      <c r="A3951" t="inlineStr">
        <is>
          <t>Milho</t>
        </is>
      </c>
      <c r="B3951" t="inlineStr">
        <is>
          <t>Maracaju - MS</t>
        </is>
      </c>
      <c r="C3951" t="n">
        <v>-21.6105</v>
      </c>
      <c r="D3951" t="n">
        <v>-55.1678</v>
      </c>
      <c r="E3951" t="inlineStr">
        <is>
          <t>2023-08</t>
        </is>
      </c>
      <c r="F3951" t="n">
        <v>0</v>
      </c>
    </row>
    <row r="3952">
      <c r="A3952" t="inlineStr">
        <is>
          <t>Milho</t>
        </is>
      </c>
      <c r="B3952" t="inlineStr">
        <is>
          <t>Maracaju - MS</t>
        </is>
      </c>
      <c r="C3952" t="n">
        <v>-21.6105</v>
      </c>
      <c r="D3952" t="n">
        <v>-55.1678</v>
      </c>
      <c r="E3952" t="inlineStr">
        <is>
          <t>2023-09</t>
        </is>
      </c>
      <c r="F3952" t="n">
        <v>0</v>
      </c>
    </row>
    <row r="3953">
      <c r="A3953" t="inlineStr">
        <is>
          <t>Milho</t>
        </is>
      </c>
      <c r="B3953" t="inlineStr">
        <is>
          <t>Maracaju - MS</t>
        </is>
      </c>
      <c r="C3953" t="n">
        <v>-21.6105</v>
      </c>
      <c r="D3953" t="n">
        <v>-55.1678</v>
      </c>
      <c r="E3953" t="inlineStr">
        <is>
          <t>2023-10</t>
        </is>
      </c>
      <c r="F3953" t="n">
        <v>0</v>
      </c>
    </row>
    <row r="3954">
      <c r="A3954" t="inlineStr">
        <is>
          <t>Milho</t>
        </is>
      </c>
      <c r="B3954" t="inlineStr">
        <is>
          <t>Maracaju - MS</t>
        </is>
      </c>
      <c r="C3954" t="n">
        <v>-21.6105</v>
      </c>
      <c r="D3954" t="n">
        <v>-55.1678</v>
      </c>
      <c r="E3954" t="inlineStr">
        <is>
          <t>2023-11</t>
        </is>
      </c>
      <c r="F3954" t="n">
        <v>0</v>
      </c>
    </row>
    <row r="3955">
      <c r="A3955" t="inlineStr">
        <is>
          <t>Milho</t>
        </is>
      </c>
      <c r="B3955" t="inlineStr">
        <is>
          <t>Maracaju - MS</t>
        </is>
      </c>
      <c r="C3955" t="n">
        <v>-21.6105</v>
      </c>
      <c r="D3955" t="n">
        <v>-55.1678</v>
      </c>
      <c r="E3955" t="inlineStr">
        <is>
          <t>2023-12</t>
        </is>
      </c>
      <c r="F3955" t="n">
        <v>0</v>
      </c>
    </row>
    <row r="3956">
      <c r="A3956" t="inlineStr">
        <is>
          <t>Milho</t>
        </is>
      </c>
      <c r="B3956" t="inlineStr">
        <is>
          <t>Sorriso - MT</t>
        </is>
      </c>
      <c r="C3956" t="n">
        <v>-12.5425</v>
      </c>
      <c r="D3956" t="n">
        <v>-55.7211</v>
      </c>
      <c r="E3956" t="inlineStr">
        <is>
          <t>2024-01</t>
        </is>
      </c>
      <c r="F3956" t="n">
        <v>0</v>
      </c>
    </row>
    <row r="3957">
      <c r="A3957" t="inlineStr">
        <is>
          <t>Milho</t>
        </is>
      </c>
      <c r="B3957" t="inlineStr">
        <is>
          <t>Sorriso - MT</t>
        </is>
      </c>
      <c r="C3957" t="n">
        <v>-12.5425</v>
      </c>
      <c r="D3957" t="n">
        <v>-55.7211</v>
      </c>
      <c r="E3957" t="inlineStr">
        <is>
          <t>2024-02</t>
        </is>
      </c>
      <c r="F3957" t="n">
        <v>0</v>
      </c>
    </row>
    <row r="3958">
      <c r="A3958" t="inlineStr">
        <is>
          <t>Milho</t>
        </is>
      </c>
      <c r="B3958" t="inlineStr">
        <is>
          <t>Sorriso - MT</t>
        </is>
      </c>
      <c r="C3958" t="n">
        <v>-12.5425</v>
      </c>
      <c r="D3958" t="n">
        <v>-55.7211</v>
      </c>
      <c r="E3958" t="inlineStr">
        <is>
          <t>2024-03</t>
        </is>
      </c>
      <c r="F3958" t="n">
        <v>0</v>
      </c>
    </row>
    <row r="3959">
      <c r="A3959" t="inlineStr">
        <is>
          <t>Milho</t>
        </is>
      </c>
      <c r="B3959" t="inlineStr">
        <is>
          <t>Sorriso - MT</t>
        </is>
      </c>
      <c r="C3959" t="n">
        <v>-12.5425</v>
      </c>
      <c r="D3959" t="n">
        <v>-55.7211</v>
      </c>
      <c r="E3959" t="inlineStr">
        <is>
          <t>2024-04</t>
        </is>
      </c>
      <c r="F3959" t="n">
        <v>0</v>
      </c>
    </row>
    <row r="3960">
      <c r="A3960" t="inlineStr">
        <is>
          <t>Milho</t>
        </is>
      </c>
      <c r="B3960" t="inlineStr">
        <is>
          <t>Sorriso - MT</t>
        </is>
      </c>
      <c r="C3960" t="n">
        <v>-12.5425</v>
      </c>
      <c r="D3960" t="n">
        <v>-55.7211</v>
      </c>
      <c r="E3960" t="inlineStr">
        <is>
          <t>2024-05</t>
        </is>
      </c>
      <c r="F3960" t="n">
        <v>0</v>
      </c>
    </row>
    <row r="3961">
      <c r="A3961" t="inlineStr">
        <is>
          <t>Milho</t>
        </is>
      </c>
      <c r="B3961" t="inlineStr">
        <is>
          <t>Sorriso - MT</t>
        </is>
      </c>
      <c r="C3961" t="n">
        <v>-12.5425</v>
      </c>
      <c r="D3961" t="n">
        <v>-55.7211</v>
      </c>
      <c r="E3961" t="inlineStr">
        <is>
          <t>2024-06</t>
        </is>
      </c>
      <c r="F3961" t="n">
        <v>0</v>
      </c>
    </row>
    <row r="3962">
      <c r="A3962" t="inlineStr">
        <is>
          <t>Milho</t>
        </is>
      </c>
      <c r="B3962" t="inlineStr">
        <is>
          <t>Sorriso - MT</t>
        </is>
      </c>
      <c r="C3962" t="n">
        <v>-12.5425</v>
      </c>
      <c r="D3962" t="n">
        <v>-55.7211</v>
      </c>
      <c r="E3962" t="inlineStr">
        <is>
          <t>2023-07</t>
        </is>
      </c>
      <c r="F3962" t="n">
        <v>0</v>
      </c>
    </row>
    <row r="3963">
      <c r="A3963" t="inlineStr">
        <is>
          <t>Milho</t>
        </is>
      </c>
      <c r="B3963" t="inlineStr">
        <is>
          <t>Sorriso - MT</t>
        </is>
      </c>
      <c r="C3963" t="n">
        <v>-12.5425</v>
      </c>
      <c r="D3963" t="n">
        <v>-55.7211</v>
      </c>
      <c r="E3963" t="inlineStr">
        <is>
          <t>2023-08</t>
        </is>
      </c>
      <c r="F3963" t="n">
        <v>0</v>
      </c>
    </row>
    <row r="3964">
      <c r="A3964" t="inlineStr">
        <is>
          <t>Milho</t>
        </is>
      </c>
      <c r="B3964" t="inlineStr">
        <is>
          <t>Sorriso - MT</t>
        </is>
      </c>
      <c r="C3964" t="n">
        <v>-12.5425</v>
      </c>
      <c r="D3964" t="n">
        <v>-55.7211</v>
      </c>
      <c r="E3964" t="inlineStr">
        <is>
          <t>2023-09</t>
        </is>
      </c>
      <c r="F3964" t="n">
        <v>0</v>
      </c>
    </row>
    <row r="3965">
      <c r="A3965" t="inlineStr">
        <is>
          <t>Milho</t>
        </is>
      </c>
      <c r="B3965" t="inlineStr">
        <is>
          <t>Sorriso - MT</t>
        </is>
      </c>
      <c r="C3965" t="n">
        <v>-12.5425</v>
      </c>
      <c r="D3965" t="n">
        <v>-55.7211</v>
      </c>
      <c r="E3965" t="inlineStr">
        <is>
          <t>2023-10</t>
        </is>
      </c>
      <c r="F3965" t="n">
        <v>0</v>
      </c>
    </row>
    <row r="3966">
      <c r="A3966" t="inlineStr">
        <is>
          <t>Milho</t>
        </is>
      </c>
      <c r="B3966" t="inlineStr">
        <is>
          <t>Sorriso - MT</t>
        </is>
      </c>
      <c r="C3966" t="n">
        <v>-12.5425</v>
      </c>
      <c r="D3966" t="n">
        <v>-55.7211</v>
      </c>
      <c r="E3966" t="inlineStr">
        <is>
          <t>2023-11</t>
        </is>
      </c>
      <c r="F3966" t="n">
        <v>0</v>
      </c>
    </row>
    <row r="3967">
      <c r="A3967" t="inlineStr">
        <is>
          <t>Milho</t>
        </is>
      </c>
      <c r="B3967" t="inlineStr">
        <is>
          <t>Sorriso - MT</t>
        </is>
      </c>
      <c r="C3967" t="n">
        <v>-12.5425</v>
      </c>
      <c r="D3967" t="n">
        <v>-55.7211</v>
      </c>
      <c r="E3967" t="inlineStr">
        <is>
          <t>2023-12</t>
        </is>
      </c>
      <c r="F3967" t="n">
        <v>0</v>
      </c>
    </row>
    <row r="3968">
      <c r="A3968" t="inlineStr">
        <is>
          <t>Milho</t>
        </is>
      </c>
      <c r="B3968" t="inlineStr">
        <is>
          <t>Santana do Araguaia - PA</t>
        </is>
      </c>
      <c r="C3968" t="n">
        <v>-9.328099999999999</v>
      </c>
      <c r="D3968" t="n">
        <v>-50.35</v>
      </c>
      <c r="E3968" t="inlineStr">
        <is>
          <t>2024-01</t>
        </is>
      </c>
      <c r="F3968" t="n">
        <v>0</v>
      </c>
    </row>
    <row r="3969">
      <c r="A3969" t="inlineStr">
        <is>
          <t>Milho</t>
        </is>
      </c>
      <c r="B3969" t="inlineStr">
        <is>
          <t>Santana do Araguaia - PA</t>
        </is>
      </c>
      <c r="C3969" t="n">
        <v>-9.328099999999999</v>
      </c>
      <c r="D3969" t="n">
        <v>-50.35</v>
      </c>
      <c r="E3969" t="inlineStr">
        <is>
          <t>2024-02</t>
        </is>
      </c>
      <c r="F3969" t="n">
        <v>0</v>
      </c>
    </row>
    <row r="3970">
      <c r="A3970" t="inlineStr">
        <is>
          <t>Milho</t>
        </is>
      </c>
      <c r="B3970" t="inlineStr">
        <is>
          <t>Santana do Araguaia - PA</t>
        </is>
      </c>
      <c r="C3970" t="n">
        <v>-9.328099999999999</v>
      </c>
      <c r="D3970" t="n">
        <v>-50.35</v>
      </c>
      <c r="E3970" t="inlineStr">
        <is>
          <t>2024-03</t>
        </is>
      </c>
      <c r="F3970" t="n">
        <v>0</v>
      </c>
    </row>
    <row r="3971">
      <c r="A3971" t="inlineStr">
        <is>
          <t>Milho</t>
        </is>
      </c>
      <c r="B3971" t="inlineStr">
        <is>
          <t>Santana do Araguaia - PA</t>
        </is>
      </c>
      <c r="C3971" t="n">
        <v>-9.328099999999999</v>
      </c>
      <c r="D3971" t="n">
        <v>-50.35</v>
      </c>
      <c r="E3971" t="inlineStr">
        <is>
          <t>2024-04</t>
        </is>
      </c>
      <c r="F3971" t="n">
        <v>0</v>
      </c>
    </row>
    <row r="3972">
      <c r="A3972" t="inlineStr">
        <is>
          <t>Milho</t>
        </is>
      </c>
      <c r="B3972" t="inlineStr">
        <is>
          <t>Santana do Araguaia - PA</t>
        </is>
      </c>
      <c r="C3972" t="n">
        <v>-9.328099999999999</v>
      </c>
      <c r="D3972" t="n">
        <v>-50.35</v>
      </c>
      <c r="E3972" t="inlineStr">
        <is>
          <t>2024-05</t>
        </is>
      </c>
      <c r="F3972" t="n">
        <v>0</v>
      </c>
    </row>
    <row r="3973">
      <c r="A3973" t="inlineStr">
        <is>
          <t>Milho</t>
        </is>
      </c>
      <c r="B3973" t="inlineStr">
        <is>
          <t>Santana do Araguaia - PA</t>
        </is>
      </c>
      <c r="C3973" t="n">
        <v>-9.328099999999999</v>
      </c>
      <c r="D3973" t="n">
        <v>-50.35</v>
      </c>
      <c r="E3973" t="inlineStr">
        <is>
          <t>2024-06</t>
        </is>
      </c>
      <c r="F3973" t="n">
        <v>0</v>
      </c>
    </row>
    <row r="3974">
      <c r="A3974" t="inlineStr">
        <is>
          <t>Milho</t>
        </is>
      </c>
      <c r="B3974" t="inlineStr">
        <is>
          <t>Santana do Araguaia - PA</t>
        </is>
      </c>
      <c r="C3974" t="n">
        <v>-9.328099999999999</v>
      </c>
      <c r="D3974" t="n">
        <v>-50.35</v>
      </c>
      <c r="E3974" t="inlineStr">
        <is>
          <t>2023-07</t>
        </is>
      </c>
      <c r="F3974" t="n">
        <v>0</v>
      </c>
    </row>
    <row r="3975">
      <c r="A3975" t="inlineStr">
        <is>
          <t>Milho</t>
        </is>
      </c>
      <c r="B3975" t="inlineStr">
        <is>
          <t>Santana do Araguaia - PA</t>
        </is>
      </c>
      <c r="C3975" t="n">
        <v>-9.328099999999999</v>
      </c>
      <c r="D3975" t="n">
        <v>-50.35</v>
      </c>
      <c r="E3975" t="inlineStr">
        <is>
          <t>2023-08</t>
        </is>
      </c>
      <c r="F3975" t="n">
        <v>0</v>
      </c>
    </row>
    <row r="3976">
      <c r="A3976" t="inlineStr">
        <is>
          <t>Milho</t>
        </is>
      </c>
      <c r="B3976" t="inlineStr">
        <is>
          <t>Santana do Araguaia - PA</t>
        </is>
      </c>
      <c r="C3976" t="n">
        <v>-9.328099999999999</v>
      </c>
      <c r="D3976" t="n">
        <v>-50.35</v>
      </c>
      <c r="E3976" t="inlineStr">
        <is>
          <t>2023-09</t>
        </is>
      </c>
      <c r="F3976" t="n">
        <v>0</v>
      </c>
    </row>
    <row r="3977">
      <c r="A3977" t="inlineStr">
        <is>
          <t>Milho</t>
        </is>
      </c>
      <c r="B3977" t="inlineStr">
        <is>
          <t>Santana do Araguaia - PA</t>
        </is>
      </c>
      <c r="C3977" t="n">
        <v>-9.328099999999999</v>
      </c>
      <c r="D3977" t="n">
        <v>-50.35</v>
      </c>
      <c r="E3977" t="inlineStr">
        <is>
          <t>2023-10</t>
        </is>
      </c>
      <c r="F3977" t="n">
        <v>0</v>
      </c>
    </row>
    <row r="3978">
      <c r="A3978" t="inlineStr">
        <is>
          <t>Milho</t>
        </is>
      </c>
      <c r="B3978" t="inlineStr">
        <is>
          <t>Santana do Araguaia - PA</t>
        </is>
      </c>
      <c r="C3978" t="n">
        <v>-9.328099999999999</v>
      </c>
      <c r="D3978" t="n">
        <v>-50.35</v>
      </c>
      <c r="E3978" t="inlineStr">
        <is>
          <t>2023-11</t>
        </is>
      </c>
      <c r="F3978" t="n">
        <v>0</v>
      </c>
    </row>
    <row r="3979">
      <c r="A3979" t="inlineStr">
        <is>
          <t>Milho</t>
        </is>
      </c>
      <c r="B3979" t="inlineStr">
        <is>
          <t>Santana do Araguaia - PA</t>
        </is>
      </c>
      <c r="C3979" t="n">
        <v>-9.328099999999999</v>
      </c>
      <c r="D3979" t="n">
        <v>-50.35</v>
      </c>
      <c r="E3979" t="inlineStr">
        <is>
          <t>2023-12</t>
        </is>
      </c>
      <c r="F3979" t="n">
        <v>0</v>
      </c>
    </row>
    <row r="3980">
      <c r="A3980" t="inlineStr">
        <is>
          <t>Milho</t>
        </is>
      </c>
      <c r="B3980" t="inlineStr">
        <is>
          <t>Sousa - PB</t>
        </is>
      </c>
      <c r="C3980" t="n">
        <v>-6.75148</v>
      </c>
      <c r="D3980" t="n">
        <v>-38.2311</v>
      </c>
      <c r="E3980" t="inlineStr">
        <is>
          <t>2024-01</t>
        </is>
      </c>
      <c r="F3980" t="n">
        <v>0</v>
      </c>
    </row>
    <row r="3981">
      <c r="A3981" t="inlineStr">
        <is>
          <t>Milho</t>
        </is>
      </c>
      <c r="B3981" t="inlineStr">
        <is>
          <t>Sousa - PB</t>
        </is>
      </c>
      <c r="C3981" t="n">
        <v>-6.75148</v>
      </c>
      <c r="D3981" t="n">
        <v>-38.2311</v>
      </c>
      <c r="E3981" t="inlineStr">
        <is>
          <t>2024-02</t>
        </is>
      </c>
      <c r="F3981" t="n">
        <v>0</v>
      </c>
    </row>
    <row r="3982">
      <c r="A3982" t="inlineStr">
        <is>
          <t>Milho</t>
        </is>
      </c>
      <c r="B3982" t="inlineStr">
        <is>
          <t>Sousa - PB</t>
        </is>
      </c>
      <c r="C3982" t="n">
        <v>-6.75148</v>
      </c>
      <c r="D3982" t="n">
        <v>-38.2311</v>
      </c>
      <c r="E3982" t="inlineStr">
        <is>
          <t>2024-03</t>
        </is>
      </c>
      <c r="F3982" t="n">
        <v>0</v>
      </c>
    </row>
    <row r="3983">
      <c r="A3983" t="inlineStr">
        <is>
          <t>Milho</t>
        </is>
      </c>
      <c r="B3983" t="inlineStr">
        <is>
          <t>Sousa - PB</t>
        </is>
      </c>
      <c r="C3983" t="n">
        <v>-6.75148</v>
      </c>
      <c r="D3983" t="n">
        <v>-38.2311</v>
      </c>
      <c r="E3983" t="inlineStr">
        <is>
          <t>2024-04</t>
        </is>
      </c>
      <c r="F3983" t="n">
        <v>0</v>
      </c>
    </row>
    <row r="3984">
      <c r="A3984" t="inlineStr">
        <is>
          <t>Milho</t>
        </is>
      </c>
      <c r="B3984" t="inlineStr">
        <is>
          <t>Sousa - PB</t>
        </is>
      </c>
      <c r="C3984" t="n">
        <v>-6.75148</v>
      </c>
      <c r="D3984" t="n">
        <v>-38.2311</v>
      </c>
      <c r="E3984" t="inlineStr">
        <is>
          <t>2024-05</t>
        </is>
      </c>
      <c r="F3984" t="n">
        <v>0</v>
      </c>
    </row>
    <row r="3985">
      <c r="A3985" t="inlineStr">
        <is>
          <t>Milho</t>
        </is>
      </c>
      <c r="B3985" t="inlineStr">
        <is>
          <t>Sousa - PB</t>
        </is>
      </c>
      <c r="C3985" t="n">
        <v>-6.75148</v>
      </c>
      <c r="D3985" t="n">
        <v>-38.2311</v>
      </c>
      <c r="E3985" t="inlineStr">
        <is>
          <t>2024-06</t>
        </is>
      </c>
      <c r="F3985" t="n">
        <v>0</v>
      </c>
    </row>
    <row r="3986">
      <c r="A3986" t="inlineStr">
        <is>
          <t>Milho</t>
        </is>
      </c>
      <c r="B3986" t="inlineStr">
        <is>
          <t>Sousa - PB</t>
        </is>
      </c>
      <c r="C3986" t="n">
        <v>-6.75148</v>
      </c>
      <c r="D3986" t="n">
        <v>-38.2311</v>
      </c>
      <c r="E3986" t="inlineStr">
        <is>
          <t>2023-07</t>
        </is>
      </c>
      <c r="F3986" t="n">
        <v>0</v>
      </c>
    </row>
    <row r="3987">
      <c r="A3987" t="inlineStr">
        <is>
          <t>Milho</t>
        </is>
      </c>
      <c r="B3987" t="inlineStr">
        <is>
          <t>Sousa - PB</t>
        </is>
      </c>
      <c r="C3987" t="n">
        <v>-6.75148</v>
      </c>
      <c r="D3987" t="n">
        <v>-38.2311</v>
      </c>
      <c r="E3987" t="inlineStr">
        <is>
          <t>2023-08</t>
        </is>
      </c>
      <c r="F3987" t="n">
        <v>0</v>
      </c>
    </row>
    <row r="3988">
      <c r="A3988" t="inlineStr">
        <is>
          <t>Milho</t>
        </is>
      </c>
      <c r="B3988" t="inlineStr">
        <is>
          <t>Sousa - PB</t>
        </is>
      </c>
      <c r="C3988" t="n">
        <v>-6.75148</v>
      </c>
      <c r="D3988" t="n">
        <v>-38.2311</v>
      </c>
      <c r="E3988" t="inlineStr">
        <is>
          <t>2023-09</t>
        </is>
      </c>
      <c r="F3988" t="n">
        <v>0</v>
      </c>
    </row>
    <row r="3989">
      <c r="A3989" t="inlineStr">
        <is>
          <t>Milho</t>
        </is>
      </c>
      <c r="B3989" t="inlineStr">
        <is>
          <t>Sousa - PB</t>
        </is>
      </c>
      <c r="C3989" t="n">
        <v>-6.75148</v>
      </c>
      <c r="D3989" t="n">
        <v>-38.2311</v>
      </c>
      <c r="E3989" t="inlineStr">
        <is>
          <t>2023-10</t>
        </is>
      </c>
      <c r="F3989" t="n">
        <v>0</v>
      </c>
    </row>
    <row r="3990">
      <c r="A3990" t="inlineStr">
        <is>
          <t>Milho</t>
        </is>
      </c>
      <c r="B3990" t="inlineStr">
        <is>
          <t>Sousa - PB</t>
        </is>
      </c>
      <c r="C3990" t="n">
        <v>-6.75148</v>
      </c>
      <c r="D3990" t="n">
        <v>-38.2311</v>
      </c>
      <c r="E3990" t="inlineStr">
        <is>
          <t>2023-11</t>
        </is>
      </c>
      <c r="F3990" t="n">
        <v>0</v>
      </c>
    </row>
    <row r="3991">
      <c r="A3991" t="inlineStr">
        <is>
          <t>Milho</t>
        </is>
      </c>
      <c r="B3991" t="inlineStr">
        <is>
          <t>Sousa - PB</t>
        </is>
      </c>
      <c r="C3991" t="n">
        <v>-6.75148</v>
      </c>
      <c r="D3991" t="n">
        <v>-38.2311</v>
      </c>
      <c r="E3991" t="inlineStr">
        <is>
          <t>2023-12</t>
        </is>
      </c>
      <c r="F3991" t="n">
        <v>0</v>
      </c>
    </row>
    <row r="3992">
      <c r="A3992" t="inlineStr">
        <is>
          <t>Milho</t>
        </is>
      </c>
      <c r="B3992" t="inlineStr">
        <is>
          <t>Exu - PE</t>
        </is>
      </c>
      <c r="C3992" t="n">
        <v>-7.50364</v>
      </c>
      <c r="D3992" t="n">
        <v>-39.7238</v>
      </c>
      <c r="E3992" t="inlineStr">
        <is>
          <t>2024-01</t>
        </is>
      </c>
      <c r="F3992" t="n">
        <v>0</v>
      </c>
    </row>
    <row r="3993">
      <c r="A3993" t="inlineStr">
        <is>
          <t>Milho</t>
        </is>
      </c>
      <c r="B3993" t="inlineStr">
        <is>
          <t>Exu - PE</t>
        </is>
      </c>
      <c r="C3993" t="n">
        <v>-7.50364</v>
      </c>
      <c r="D3993" t="n">
        <v>-39.7238</v>
      </c>
      <c r="E3993" t="inlineStr">
        <is>
          <t>2024-02</t>
        </is>
      </c>
      <c r="F3993" t="n">
        <v>0</v>
      </c>
    </row>
    <row r="3994">
      <c r="A3994" t="inlineStr">
        <is>
          <t>Milho</t>
        </is>
      </c>
      <c r="B3994" t="inlineStr">
        <is>
          <t>Exu - PE</t>
        </is>
      </c>
      <c r="C3994" t="n">
        <v>-7.50364</v>
      </c>
      <c r="D3994" t="n">
        <v>-39.7238</v>
      </c>
      <c r="E3994" t="inlineStr">
        <is>
          <t>2024-03</t>
        </is>
      </c>
      <c r="F3994" t="n">
        <v>0</v>
      </c>
    </row>
    <row r="3995">
      <c r="A3995" t="inlineStr">
        <is>
          <t>Milho</t>
        </is>
      </c>
      <c r="B3995" t="inlineStr">
        <is>
          <t>Exu - PE</t>
        </is>
      </c>
      <c r="C3995" t="n">
        <v>-7.50364</v>
      </c>
      <c r="D3995" t="n">
        <v>-39.7238</v>
      </c>
      <c r="E3995" t="inlineStr">
        <is>
          <t>2024-04</t>
        </is>
      </c>
      <c r="F3995" t="n">
        <v>0</v>
      </c>
    </row>
    <row r="3996">
      <c r="A3996" t="inlineStr">
        <is>
          <t>Milho</t>
        </is>
      </c>
      <c r="B3996" t="inlineStr">
        <is>
          <t>Exu - PE</t>
        </is>
      </c>
      <c r="C3996" t="n">
        <v>-7.50364</v>
      </c>
      <c r="D3996" t="n">
        <v>-39.7238</v>
      </c>
      <c r="E3996" t="inlineStr">
        <is>
          <t>2024-05</t>
        </is>
      </c>
      <c r="F3996" t="n">
        <v>11126.83219440071</v>
      </c>
    </row>
    <row r="3997">
      <c r="A3997" t="inlineStr">
        <is>
          <t>Milho</t>
        </is>
      </c>
      <c r="B3997" t="inlineStr">
        <is>
          <t>Exu - PE</t>
        </is>
      </c>
      <c r="C3997" t="n">
        <v>-7.50364</v>
      </c>
      <c r="D3997" t="n">
        <v>-39.7238</v>
      </c>
      <c r="E3997" t="inlineStr">
        <is>
          <t>2024-06</t>
        </is>
      </c>
      <c r="F3997" t="n">
        <v>9695.729304561699</v>
      </c>
    </row>
    <row r="3998">
      <c r="A3998" t="inlineStr">
        <is>
          <t>Milho</t>
        </is>
      </c>
      <c r="B3998" t="inlineStr">
        <is>
          <t>Exu - PE</t>
        </is>
      </c>
      <c r="C3998" t="n">
        <v>-7.50364</v>
      </c>
      <c r="D3998" t="n">
        <v>-39.7238</v>
      </c>
      <c r="E3998" t="inlineStr">
        <is>
          <t>2023-07</t>
        </is>
      </c>
      <c r="F3998" t="n">
        <v>9462.388403738754</v>
      </c>
    </row>
    <row r="3999">
      <c r="A3999" t="inlineStr">
        <is>
          <t>Milho</t>
        </is>
      </c>
      <c r="B3999" t="inlineStr">
        <is>
          <t>Exu - PE</t>
        </is>
      </c>
      <c r="C3999" t="n">
        <v>-7.50364</v>
      </c>
      <c r="D3999" t="n">
        <v>-39.7238</v>
      </c>
      <c r="E3999" t="inlineStr">
        <is>
          <t>2023-08</t>
        </is>
      </c>
      <c r="F3999" t="n">
        <v>26657.52048855051</v>
      </c>
    </row>
    <row r="4000">
      <c r="A4000" t="inlineStr">
        <is>
          <t>Milho</t>
        </is>
      </c>
      <c r="B4000" t="inlineStr">
        <is>
          <t>Exu - PE</t>
        </is>
      </c>
      <c r="C4000" t="n">
        <v>-7.50364</v>
      </c>
      <c r="D4000" t="n">
        <v>-39.7238</v>
      </c>
      <c r="E4000" t="inlineStr">
        <is>
          <t>2023-09</t>
        </is>
      </c>
      <c r="F4000" t="n">
        <v>12706.99424930537</v>
      </c>
    </row>
    <row r="4001">
      <c r="A4001" t="inlineStr">
        <is>
          <t>Milho</t>
        </is>
      </c>
      <c r="B4001" t="inlineStr">
        <is>
          <t>Exu - PE</t>
        </is>
      </c>
      <c r="C4001" t="n">
        <v>-7.50364</v>
      </c>
      <c r="D4001" t="n">
        <v>-39.7238</v>
      </c>
      <c r="E4001" t="inlineStr">
        <is>
          <t>2023-10</t>
        </is>
      </c>
      <c r="F4001" t="n">
        <v>39469.40474014032</v>
      </c>
    </row>
    <row r="4002">
      <c r="A4002" t="inlineStr">
        <is>
          <t>Milho</t>
        </is>
      </c>
      <c r="B4002" t="inlineStr">
        <is>
          <t>Exu - PE</t>
        </is>
      </c>
      <c r="C4002" t="n">
        <v>-7.50364</v>
      </c>
      <c r="D4002" t="n">
        <v>-39.7238</v>
      </c>
      <c r="E4002" t="inlineStr">
        <is>
          <t>2023-11</t>
        </is>
      </c>
      <c r="F4002" t="n">
        <v>126998.1797416349</v>
      </c>
    </row>
    <row r="4003">
      <c r="A4003" t="inlineStr">
        <is>
          <t>Milho</t>
        </is>
      </c>
      <c r="B4003" t="inlineStr">
        <is>
          <t>Exu - PE</t>
        </is>
      </c>
      <c r="C4003" t="n">
        <v>-7.50364</v>
      </c>
      <c r="D4003" t="n">
        <v>-39.7238</v>
      </c>
      <c r="E4003" t="inlineStr">
        <is>
          <t>2023-12</t>
        </is>
      </c>
      <c r="F4003" t="n">
        <v>0</v>
      </c>
    </row>
    <row r="4004">
      <c r="A4004" t="inlineStr">
        <is>
          <t>Milho</t>
        </is>
      </c>
      <c r="B4004" t="inlineStr">
        <is>
          <t>Baixa Grande do Ribeiro - PI</t>
        </is>
      </c>
      <c r="C4004" t="n">
        <v>-7.84903</v>
      </c>
      <c r="D4004" t="n">
        <v>-45.219</v>
      </c>
      <c r="E4004" t="inlineStr">
        <is>
          <t>2024-01</t>
        </is>
      </c>
      <c r="F4004" t="n">
        <v>0</v>
      </c>
    </row>
    <row r="4005">
      <c r="A4005" t="inlineStr">
        <is>
          <t>Milho</t>
        </is>
      </c>
      <c r="B4005" t="inlineStr">
        <is>
          <t>Baixa Grande do Ribeiro - PI</t>
        </is>
      </c>
      <c r="C4005" t="n">
        <v>-7.84903</v>
      </c>
      <c r="D4005" t="n">
        <v>-45.219</v>
      </c>
      <c r="E4005" t="inlineStr">
        <is>
          <t>2024-02</t>
        </is>
      </c>
      <c r="F4005" t="n">
        <v>0</v>
      </c>
    </row>
    <row r="4006">
      <c r="A4006" t="inlineStr">
        <is>
          <t>Milho</t>
        </is>
      </c>
      <c r="B4006" t="inlineStr">
        <is>
          <t>Baixa Grande do Ribeiro - PI</t>
        </is>
      </c>
      <c r="C4006" t="n">
        <v>-7.84903</v>
      </c>
      <c r="D4006" t="n">
        <v>-45.219</v>
      </c>
      <c r="E4006" t="inlineStr">
        <is>
          <t>2024-03</t>
        </is>
      </c>
      <c r="F4006" t="n">
        <v>0</v>
      </c>
    </row>
    <row r="4007">
      <c r="A4007" t="inlineStr">
        <is>
          <t>Milho</t>
        </is>
      </c>
      <c r="B4007" t="inlineStr">
        <is>
          <t>Baixa Grande do Ribeiro - PI</t>
        </is>
      </c>
      <c r="C4007" t="n">
        <v>-7.84903</v>
      </c>
      <c r="D4007" t="n">
        <v>-45.219</v>
      </c>
      <c r="E4007" t="inlineStr">
        <is>
          <t>2024-04</t>
        </is>
      </c>
      <c r="F4007" t="n">
        <v>0</v>
      </c>
    </row>
    <row r="4008">
      <c r="A4008" t="inlineStr">
        <is>
          <t>Milho</t>
        </is>
      </c>
      <c r="B4008" t="inlineStr">
        <is>
          <t>Baixa Grande do Ribeiro - PI</t>
        </is>
      </c>
      <c r="C4008" t="n">
        <v>-7.84903</v>
      </c>
      <c r="D4008" t="n">
        <v>-45.219</v>
      </c>
      <c r="E4008" t="inlineStr">
        <is>
          <t>2024-05</t>
        </is>
      </c>
      <c r="F4008" t="n">
        <v>0</v>
      </c>
    </row>
    <row r="4009">
      <c r="A4009" t="inlineStr">
        <is>
          <t>Milho</t>
        </is>
      </c>
      <c r="B4009" t="inlineStr">
        <is>
          <t>Baixa Grande do Ribeiro - PI</t>
        </is>
      </c>
      <c r="C4009" t="n">
        <v>-7.84903</v>
      </c>
      <c r="D4009" t="n">
        <v>-45.219</v>
      </c>
      <c r="E4009" t="inlineStr">
        <is>
          <t>2024-06</t>
        </is>
      </c>
      <c r="F4009" t="n">
        <v>0</v>
      </c>
    </row>
    <row r="4010">
      <c r="A4010" t="inlineStr">
        <is>
          <t>Milho</t>
        </is>
      </c>
      <c r="B4010" t="inlineStr">
        <is>
          <t>Baixa Grande do Ribeiro - PI</t>
        </is>
      </c>
      <c r="C4010" t="n">
        <v>-7.84903</v>
      </c>
      <c r="D4010" t="n">
        <v>-45.219</v>
      </c>
      <c r="E4010" t="inlineStr">
        <is>
          <t>2023-07</t>
        </is>
      </c>
      <c r="F4010" t="n">
        <v>0</v>
      </c>
    </row>
    <row r="4011">
      <c r="A4011" t="inlineStr">
        <is>
          <t>Milho</t>
        </is>
      </c>
      <c r="B4011" t="inlineStr">
        <is>
          <t>Baixa Grande do Ribeiro - PI</t>
        </is>
      </c>
      <c r="C4011" t="n">
        <v>-7.84903</v>
      </c>
      <c r="D4011" t="n">
        <v>-45.219</v>
      </c>
      <c r="E4011" t="inlineStr">
        <is>
          <t>2023-08</t>
        </is>
      </c>
      <c r="F4011" t="n">
        <v>0</v>
      </c>
    </row>
    <row r="4012">
      <c r="A4012" t="inlineStr">
        <is>
          <t>Milho</t>
        </is>
      </c>
      <c r="B4012" t="inlineStr">
        <is>
          <t>Baixa Grande do Ribeiro - PI</t>
        </is>
      </c>
      <c r="C4012" t="n">
        <v>-7.84903</v>
      </c>
      <c r="D4012" t="n">
        <v>-45.219</v>
      </c>
      <c r="E4012" t="inlineStr">
        <is>
          <t>2023-09</t>
        </is>
      </c>
      <c r="F4012" t="n">
        <v>0</v>
      </c>
    </row>
    <row r="4013">
      <c r="A4013" t="inlineStr">
        <is>
          <t>Milho</t>
        </is>
      </c>
      <c r="B4013" t="inlineStr">
        <is>
          <t>Baixa Grande do Ribeiro - PI</t>
        </is>
      </c>
      <c r="C4013" t="n">
        <v>-7.84903</v>
      </c>
      <c r="D4013" t="n">
        <v>-45.219</v>
      </c>
      <c r="E4013" t="inlineStr">
        <is>
          <t>2023-10</t>
        </is>
      </c>
      <c r="F4013" t="n">
        <v>0</v>
      </c>
    </row>
    <row r="4014">
      <c r="A4014" t="inlineStr">
        <is>
          <t>Milho</t>
        </is>
      </c>
      <c r="B4014" t="inlineStr">
        <is>
          <t>Baixa Grande do Ribeiro - PI</t>
        </is>
      </c>
      <c r="C4014" t="n">
        <v>-7.84903</v>
      </c>
      <c r="D4014" t="n">
        <v>-45.219</v>
      </c>
      <c r="E4014" t="inlineStr">
        <is>
          <t>2023-11</t>
        </is>
      </c>
      <c r="F4014" t="n">
        <v>0</v>
      </c>
    </row>
    <row r="4015">
      <c r="A4015" t="inlineStr">
        <is>
          <t>Milho</t>
        </is>
      </c>
      <c r="B4015" t="inlineStr">
        <is>
          <t>Baixa Grande do Ribeiro - PI</t>
        </is>
      </c>
      <c r="C4015" t="n">
        <v>-7.84903</v>
      </c>
      <c r="D4015" t="n">
        <v>-45.219</v>
      </c>
      <c r="E4015" t="inlineStr">
        <is>
          <t>2023-12</t>
        </is>
      </c>
      <c r="F4015" t="n">
        <v>0</v>
      </c>
    </row>
    <row r="4016">
      <c r="A4016" t="inlineStr">
        <is>
          <t>Milho</t>
        </is>
      </c>
      <c r="B4016" t="inlineStr">
        <is>
          <t>Toledo - PR</t>
        </is>
      </c>
      <c r="C4016" t="n">
        <v>-24.7246</v>
      </c>
      <c r="D4016" t="n">
        <v>-53.7412</v>
      </c>
      <c r="E4016" t="inlineStr">
        <is>
          <t>2024-01</t>
        </is>
      </c>
      <c r="F4016" t="n">
        <v>0</v>
      </c>
    </row>
    <row r="4017">
      <c r="A4017" t="inlineStr">
        <is>
          <t>Milho</t>
        </is>
      </c>
      <c r="B4017" t="inlineStr">
        <is>
          <t>Toledo - PR</t>
        </is>
      </c>
      <c r="C4017" t="n">
        <v>-24.7246</v>
      </c>
      <c r="D4017" t="n">
        <v>-53.7412</v>
      </c>
      <c r="E4017" t="inlineStr">
        <is>
          <t>2024-02</t>
        </is>
      </c>
      <c r="F4017" t="n">
        <v>0</v>
      </c>
    </row>
    <row r="4018">
      <c r="A4018" t="inlineStr">
        <is>
          <t>Milho</t>
        </is>
      </c>
      <c r="B4018" t="inlineStr">
        <is>
          <t>Toledo - PR</t>
        </is>
      </c>
      <c r="C4018" t="n">
        <v>-24.7246</v>
      </c>
      <c r="D4018" t="n">
        <v>-53.7412</v>
      </c>
      <c r="E4018" t="inlineStr">
        <is>
          <t>2024-03</t>
        </is>
      </c>
      <c r="F4018" t="n">
        <v>0</v>
      </c>
    </row>
    <row r="4019">
      <c r="A4019" t="inlineStr">
        <is>
          <t>Milho</t>
        </is>
      </c>
      <c r="B4019" t="inlineStr">
        <is>
          <t>Toledo - PR</t>
        </is>
      </c>
      <c r="C4019" t="n">
        <v>-24.7246</v>
      </c>
      <c r="D4019" t="n">
        <v>-53.7412</v>
      </c>
      <c r="E4019" t="inlineStr">
        <is>
          <t>2024-04</t>
        </is>
      </c>
      <c r="F4019" t="n">
        <v>0</v>
      </c>
    </row>
    <row r="4020">
      <c r="A4020" t="inlineStr">
        <is>
          <t>Milho</t>
        </is>
      </c>
      <c r="B4020" t="inlineStr">
        <is>
          <t>Toledo - PR</t>
        </is>
      </c>
      <c r="C4020" t="n">
        <v>-24.7246</v>
      </c>
      <c r="D4020" t="n">
        <v>-53.7412</v>
      </c>
      <c r="E4020" t="inlineStr">
        <is>
          <t>2024-05</t>
        </is>
      </c>
      <c r="F4020" t="n">
        <v>0</v>
      </c>
    </row>
    <row r="4021">
      <c r="A4021" t="inlineStr">
        <is>
          <t>Milho</t>
        </is>
      </c>
      <c r="B4021" t="inlineStr">
        <is>
          <t>Toledo - PR</t>
        </is>
      </c>
      <c r="C4021" t="n">
        <v>-24.7246</v>
      </c>
      <c r="D4021" t="n">
        <v>-53.7412</v>
      </c>
      <c r="E4021" t="inlineStr">
        <is>
          <t>2024-06</t>
        </is>
      </c>
      <c r="F4021" t="n">
        <v>0</v>
      </c>
    </row>
    <row r="4022">
      <c r="A4022" t="inlineStr">
        <is>
          <t>Milho</t>
        </is>
      </c>
      <c r="B4022" t="inlineStr">
        <is>
          <t>Toledo - PR</t>
        </is>
      </c>
      <c r="C4022" t="n">
        <v>-24.7246</v>
      </c>
      <c r="D4022" t="n">
        <v>-53.7412</v>
      </c>
      <c r="E4022" t="inlineStr">
        <is>
          <t>2023-07</t>
        </is>
      </c>
      <c r="F4022" t="n">
        <v>0</v>
      </c>
    </row>
    <row r="4023">
      <c r="A4023" t="inlineStr">
        <is>
          <t>Milho</t>
        </is>
      </c>
      <c r="B4023" t="inlineStr">
        <is>
          <t>Toledo - PR</t>
        </is>
      </c>
      <c r="C4023" t="n">
        <v>-24.7246</v>
      </c>
      <c r="D4023" t="n">
        <v>-53.7412</v>
      </c>
      <c r="E4023" t="inlineStr">
        <is>
          <t>2023-08</t>
        </is>
      </c>
      <c r="F4023" t="n">
        <v>0</v>
      </c>
    </row>
    <row r="4024">
      <c r="A4024" t="inlineStr">
        <is>
          <t>Milho</t>
        </is>
      </c>
      <c r="B4024" t="inlineStr">
        <is>
          <t>Toledo - PR</t>
        </is>
      </c>
      <c r="C4024" t="n">
        <v>-24.7246</v>
      </c>
      <c r="D4024" t="n">
        <v>-53.7412</v>
      </c>
      <c r="E4024" t="inlineStr">
        <is>
          <t>2023-09</t>
        </is>
      </c>
      <c r="F4024" t="n">
        <v>0</v>
      </c>
    </row>
    <row r="4025">
      <c r="A4025" t="inlineStr">
        <is>
          <t>Milho</t>
        </is>
      </c>
      <c r="B4025" t="inlineStr">
        <is>
          <t>Toledo - PR</t>
        </is>
      </c>
      <c r="C4025" t="n">
        <v>-24.7246</v>
      </c>
      <c r="D4025" t="n">
        <v>-53.7412</v>
      </c>
      <c r="E4025" t="inlineStr">
        <is>
          <t>2023-10</t>
        </is>
      </c>
      <c r="F4025" t="n">
        <v>0</v>
      </c>
    </row>
    <row r="4026">
      <c r="A4026" t="inlineStr">
        <is>
          <t>Milho</t>
        </is>
      </c>
      <c r="B4026" t="inlineStr">
        <is>
          <t>Toledo - PR</t>
        </is>
      </c>
      <c r="C4026" t="n">
        <v>-24.7246</v>
      </c>
      <c r="D4026" t="n">
        <v>-53.7412</v>
      </c>
      <c r="E4026" t="inlineStr">
        <is>
          <t>2023-11</t>
        </is>
      </c>
      <c r="F4026" t="n">
        <v>0</v>
      </c>
    </row>
    <row r="4027">
      <c r="A4027" t="inlineStr">
        <is>
          <t>Milho</t>
        </is>
      </c>
      <c r="B4027" t="inlineStr">
        <is>
          <t>Toledo - PR</t>
        </is>
      </c>
      <c r="C4027" t="n">
        <v>-24.7246</v>
      </c>
      <c r="D4027" t="n">
        <v>-53.7412</v>
      </c>
      <c r="E4027" t="inlineStr">
        <is>
          <t>2023-12</t>
        </is>
      </c>
      <c r="F4027" t="n">
        <v>0</v>
      </c>
    </row>
    <row r="4028">
      <c r="A4028" t="inlineStr">
        <is>
          <t>Milho</t>
        </is>
      </c>
      <c r="B4028" t="inlineStr">
        <is>
          <t>Macaé - RJ</t>
        </is>
      </c>
      <c r="C4028" t="n">
        <v>-22.3768</v>
      </c>
      <c r="D4028" t="n">
        <v>-41.7848</v>
      </c>
      <c r="E4028" t="inlineStr">
        <is>
          <t>2024-01</t>
        </is>
      </c>
      <c r="F4028" t="n">
        <v>0</v>
      </c>
    </row>
    <row r="4029">
      <c r="A4029" t="inlineStr">
        <is>
          <t>Milho</t>
        </is>
      </c>
      <c r="B4029" t="inlineStr">
        <is>
          <t>Macaé - RJ</t>
        </is>
      </c>
      <c r="C4029" t="n">
        <v>-22.3768</v>
      </c>
      <c r="D4029" t="n">
        <v>-41.7848</v>
      </c>
      <c r="E4029" t="inlineStr">
        <is>
          <t>2024-02</t>
        </is>
      </c>
      <c r="F4029" t="n">
        <v>0</v>
      </c>
    </row>
    <row r="4030">
      <c r="A4030" t="inlineStr">
        <is>
          <t>Milho</t>
        </is>
      </c>
      <c r="B4030" t="inlineStr">
        <is>
          <t>Macaé - RJ</t>
        </is>
      </c>
      <c r="C4030" t="n">
        <v>-22.3768</v>
      </c>
      <c r="D4030" t="n">
        <v>-41.7848</v>
      </c>
      <c r="E4030" t="inlineStr">
        <is>
          <t>2024-03</t>
        </is>
      </c>
      <c r="F4030" t="n">
        <v>0</v>
      </c>
    </row>
    <row r="4031">
      <c r="A4031" t="inlineStr">
        <is>
          <t>Milho</t>
        </is>
      </c>
      <c r="B4031" t="inlineStr">
        <is>
          <t>Macaé - RJ</t>
        </is>
      </c>
      <c r="C4031" t="n">
        <v>-22.3768</v>
      </c>
      <c r="D4031" t="n">
        <v>-41.7848</v>
      </c>
      <c r="E4031" t="inlineStr">
        <is>
          <t>2024-04</t>
        </is>
      </c>
      <c r="F4031" t="n">
        <v>0</v>
      </c>
    </row>
    <row r="4032">
      <c r="A4032" t="inlineStr">
        <is>
          <t>Milho</t>
        </is>
      </c>
      <c r="B4032" t="inlineStr">
        <is>
          <t>Macaé - RJ</t>
        </is>
      </c>
      <c r="C4032" t="n">
        <v>-22.3768</v>
      </c>
      <c r="D4032" t="n">
        <v>-41.7848</v>
      </c>
      <c r="E4032" t="inlineStr">
        <is>
          <t>2024-05</t>
        </is>
      </c>
      <c r="F4032" t="n">
        <v>0</v>
      </c>
    </row>
    <row r="4033">
      <c r="A4033" t="inlineStr">
        <is>
          <t>Milho</t>
        </is>
      </c>
      <c r="B4033" t="inlineStr">
        <is>
          <t>Macaé - RJ</t>
        </is>
      </c>
      <c r="C4033" t="n">
        <v>-22.3768</v>
      </c>
      <c r="D4033" t="n">
        <v>-41.7848</v>
      </c>
      <c r="E4033" t="inlineStr">
        <is>
          <t>2024-06</t>
        </is>
      </c>
      <c r="F4033" t="n">
        <v>0</v>
      </c>
    </row>
    <row r="4034">
      <c r="A4034" t="inlineStr">
        <is>
          <t>Milho</t>
        </is>
      </c>
      <c r="B4034" t="inlineStr">
        <is>
          <t>Macaé - RJ</t>
        </is>
      </c>
      <c r="C4034" t="n">
        <v>-22.3768</v>
      </c>
      <c r="D4034" t="n">
        <v>-41.7848</v>
      </c>
      <c r="E4034" t="inlineStr">
        <is>
          <t>2023-07</t>
        </is>
      </c>
      <c r="F4034" t="n">
        <v>0</v>
      </c>
    </row>
    <row r="4035">
      <c r="A4035" t="inlineStr">
        <is>
          <t>Milho</t>
        </is>
      </c>
      <c r="B4035" t="inlineStr">
        <is>
          <t>Macaé - RJ</t>
        </is>
      </c>
      <c r="C4035" t="n">
        <v>-22.3768</v>
      </c>
      <c r="D4035" t="n">
        <v>-41.7848</v>
      </c>
      <c r="E4035" t="inlineStr">
        <is>
          <t>2023-08</t>
        </is>
      </c>
      <c r="F4035" t="n">
        <v>0</v>
      </c>
    </row>
    <row r="4036">
      <c r="A4036" t="inlineStr">
        <is>
          <t>Milho</t>
        </is>
      </c>
      <c r="B4036" t="inlineStr">
        <is>
          <t>Macaé - RJ</t>
        </is>
      </c>
      <c r="C4036" t="n">
        <v>-22.3768</v>
      </c>
      <c r="D4036" t="n">
        <v>-41.7848</v>
      </c>
      <c r="E4036" t="inlineStr">
        <is>
          <t>2023-09</t>
        </is>
      </c>
      <c r="F4036" t="n">
        <v>0</v>
      </c>
    </row>
    <row r="4037">
      <c r="A4037" t="inlineStr">
        <is>
          <t>Milho</t>
        </is>
      </c>
      <c r="B4037" t="inlineStr">
        <is>
          <t>Macaé - RJ</t>
        </is>
      </c>
      <c r="C4037" t="n">
        <v>-22.3768</v>
      </c>
      <c r="D4037" t="n">
        <v>-41.7848</v>
      </c>
      <c r="E4037" t="inlineStr">
        <is>
          <t>2023-10</t>
        </is>
      </c>
      <c r="F4037" t="n">
        <v>0</v>
      </c>
    </row>
    <row r="4038">
      <c r="A4038" t="inlineStr">
        <is>
          <t>Milho</t>
        </is>
      </c>
      <c r="B4038" t="inlineStr">
        <is>
          <t>Macaé - RJ</t>
        </is>
      </c>
      <c r="C4038" t="n">
        <v>-22.3768</v>
      </c>
      <c r="D4038" t="n">
        <v>-41.7848</v>
      </c>
      <c r="E4038" t="inlineStr">
        <is>
          <t>2023-11</t>
        </is>
      </c>
      <c r="F4038" t="n">
        <v>0</v>
      </c>
    </row>
    <row r="4039">
      <c r="A4039" t="inlineStr">
        <is>
          <t>Milho</t>
        </is>
      </c>
      <c r="B4039" t="inlineStr">
        <is>
          <t>Macaé - RJ</t>
        </is>
      </c>
      <c r="C4039" t="n">
        <v>-22.3768</v>
      </c>
      <c r="D4039" t="n">
        <v>-41.7848</v>
      </c>
      <c r="E4039" t="inlineStr">
        <is>
          <t>2023-12</t>
        </is>
      </c>
      <c r="F4039" t="n">
        <v>0</v>
      </c>
    </row>
    <row r="4040">
      <c r="A4040" t="inlineStr">
        <is>
          <t>Milho</t>
        </is>
      </c>
      <c r="B4040" t="inlineStr">
        <is>
          <t>Apodi - RN</t>
        </is>
      </c>
      <c r="C4040" t="n">
        <v>-5.65349</v>
      </c>
      <c r="D4040" t="n">
        <v>-37.7946</v>
      </c>
      <c r="E4040" t="inlineStr">
        <is>
          <t>2024-01</t>
        </is>
      </c>
      <c r="F4040" t="n">
        <v>0</v>
      </c>
    </row>
    <row r="4041">
      <c r="A4041" t="inlineStr">
        <is>
          <t>Milho</t>
        </is>
      </c>
      <c r="B4041" t="inlineStr">
        <is>
          <t>Apodi - RN</t>
        </is>
      </c>
      <c r="C4041" t="n">
        <v>-5.65349</v>
      </c>
      <c r="D4041" t="n">
        <v>-37.7946</v>
      </c>
      <c r="E4041" t="inlineStr">
        <is>
          <t>2024-02</t>
        </is>
      </c>
      <c r="F4041" t="n">
        <v>0</v>
      </c>
    </row>
    <row r="4042">
      <c r="A4042" t="inlineStr">
        <is>
          <t>Milho</t>
        </is>
      </c>
      <c r="B4042" t="inlineStr">
        <is>
          <t>Apodi - RN</t>
        </is>
      </c>
      <c r="C4042" t="n">
        <v>-5.65349</v>
      </c>
      <c r="D4042" t="n">
        <v>-37.7946</v>
      </c>
      <c r="E4042" t="inlineStr">
        <is>
          <t>2024-03</t>
        </is>
      </c>
      <c r="F4042" t="n">
        <v>0</v>
      </c>
    </row>
    <row r="4043">
      <c r="A4043" t="inlineStr">
        <is>
          <t>Milho</t>
        </is>
      </c>
      <c r="B4043" t="inlineStr">
        <is>
          <t>Apodi - RN</t>
        </is>
      </c>
      <c r="C4043" t="n">
        <v>-5.65349</v>
      </c>
      <c r="D4043" t="n">
        <v>-37.7946</v>
      </c>
      <c r="E4043" t="inlineStr">
        <is>
          <t>2024-04</t>
        </is>
      </c>
      <c r="F4043" t="n">
        <v>0</v>
      </c>
    </row>
    <row r="4044">
      <c r="A4044" t="inlineStr">
        <is>
          <t>Milho</t>
        </is>
      </c>
      <c r="B4044" t="inlineStr">
        <is>
          <t>Apodi - RN</t>
        </is>
      </c>
      <c r="C4044" t="n">
        <v>-5.65349</v>
      </c>
      <c r="D4044" t="n">
        <v>-37.7946</v>
      </c>
      <c r="E4044" t="inlineStr">
        <is>
          <t>2024-05</t>
        </is>
      </c>
      <c r="F4044" t="n">
        <v>0</v>
      </c>
    </row>
    <row r="4045">
      <c r="A4045" t="inlineStr">
        <is>
          <t>Milho</t>
        </is>
      </c>
      <c r="B4045" t="inlineStr">
        <is>
          <t>Apodi - RN</t>
        </is>
      </c>
      <c r="C4045" t="n">
        <v>-5.65349</v>
      </c>
      <c r="D4045" t="n">
        <v>-37.7946</v>
      </c>
      <c r="E4045" t="inlineStr">
        <is>
          <t>2024-06</t>
        </is>
      </c>
      <c r="F4045" t="n">
        <v>0</v>
      </c>
    </row>
    <row r="4046">
      <c r="A4046" t="inlineStr">
        <is>
          <t>Milho</t>
        </is>
      </c>
      <c r="B4046" t="inlineStr">
        <is>
          <t>Apodi - RN</t>
        </is>
      </c>
      <c r="C4046" t="n">
        <v>-5.65349</v>
      </c>
      <c r="D4046" t="n">
        <v>-37.7946</v>
      </c>
      <c r="E4046" t="inlineStr">
        <is>
          <t>2023-07</t>
        </is>
      </c>
      <c r="F4046" t="n">
        <v>0</v>
      </c>
    </row>
    <row r="4047">
      <c r="A4047" t="inlineStr">
        <is>
          <t>Milho</t>
        </is>
      </c>
      <c r="B4047" t="inlineStr">
        <is>
          <t>Apodi - RN</t>
        </is>
      </c>
      <c r="C4047" t="n">
        <v>-5.65349</v>
      </c>
      <c r="D4047" t="n">
        <v>-37.7946</v>
      </c>
      <c r="E4047" t="inlineStr">
        <is>
          <t>2023-08</t>
        </is>
      </c>
      <c r="F4047" t="n">
        <v>0</v>
      </c>
    </row>
    <row r="4048">
      <c r="A4048" t="inlineStr">
        <is>
          <t>Milho</t>
        </is>
      </c>
      <c r="B4048" t="inlineStr">
        <is>
          <t>Apodi - RN</t>
        </is>
      </c>
      <c r="C4048" t="n">
        <v>-5.65349</v>
      </c>
      <c r="D4048" t="n">
        <v>-37.7946</v>
      </c>
      <c r="E4048" t="inlineStr">
        <is>
          <t>2023-09</t>
        </is>
      </c>
      <c r="F4048" t="n">
        <v>0</v>
      </c>
    </row>
    <row r="4049">
      <c r="A4049" t="inlineStr">
        <is>
          <t>Milho</t>
        </is>
      </c>
      <c r="B4049" t="inlineStr">
        <is>
          <t>Apodi - RN</t>
        </is>
      </c>
      <c r="C4049" t="n">
        <v>-5.65349</v>
      </c>
      <c r="D4049" t="n">
        <v>-37.7946</v>
      </c>
      <c r="E4049" t="inlineStr">
        <is>
          <t>2023-10</t>
        </is>
      </c>
      <c r="F4049" t="n">
        <v>0</v>
      </c>
    </row>
    <row r="4050">
      <c r="A4050" t="inlineStr">
        <is>
          <t>Milho</t>
        </is>
      </c>
      <c r="B4050" t="inlineStr">
        <is>
          <t>Apodi - RN</t>
        </is>
      </c>
      <c r="C4050" t="n">
        <v>-5.65349</v>
      </c>
      <c r="D4050" t="n">
        <v>-37.7946</v>
      </c>
      <c r="E4050" t="inlineStr">
        <is>
          <t>2023-11</t>
        </is>
      </c>
      <c r="F4050" t="n">
        <v>0</v>
      </c>
    </row>
    <row r="4051">
      <c r="A4051" t="inlineStr">
        <is>
          <t>Milho</t>
        </is>
      </c>
      <c r="B4051" t="inlineStr">
        <is>
          <t>Apodi - RN</t>
        </is>
      </c>
      <c r="C4051" t="n">
        <v>-5.65349</v>
      </c>
      <c r="D4051" t="n">
        <v>-37.7946</v>
      </c>
      <c r="E4051" t="inlineStr">
        <is>
          <t>2023-12</t>
        </is>
      </c>
      <c r="F4051" t="n">
        <v>0</v>
      </c>
    </row>
    <row r="4052">
      <c r="A4052" t="inlineStr">
        <is>
          <t>Milho</t>
        </is>
      </c>
      <c r="B4052" t="inlineStr">
        <is>
          <t>Pimenteiras do Oeste - RO</t>
        </is>
      </c>
      <c r="C4052" t="n">
        <v>-13.4823</v>
      </c>
      <c r="D4052" t="n">
        <v>-61.0471</v>
      </c>
      <c r="E4052" t="inlineStr">
        <is>
          <t>2024-01</t>
        </is>
      </c>
      <c r="F4052" t="n">
        <v>0</v>
      </c>
    </row>
    <row r="4053">
      <c r="A4053" t="inlineStr">
        <is>
          <t>Milho</t>
        </is>
      </c>
      <c r="B4053" t="inlineStr">
        <is>
          <t>Pimenteiras do Oeste - RO</t>
        </is>
      </c>
      <c r="C4053" t="n">
        <v>-13.4823</v>
      </c>
      <c r="D4053" t="n">
        <v>-61.0471</v>
      </c>
      <c r="E4053" t="inlineStr">
        <is>
          <t>2024-02</t>
        </is>
      </c>
      <c r="F4053" t="n">
        <v>0</v>
      </c>
    </row>
    <row r="4054">
      <c r="A4054" t="inlineStr">
        <is>
          <t>Milho</t>
        </is>
      </c>
      <c r="B4054" t="inlineStr">
        <is>
          <t>Pimenteiras do Oeste - RO</t>
        </is>
      </c>
      <c r="C4054" t="n">
        <v>-13.4823</v>
      </c>
      <c r="D4054" t="n">
        <v>-61.0471</v>
      </c>
      <c r="E4054" t="inlineStr">
        <is>
          <t>2024-03</t>
        </is>
      </c>
      <c r="F4054" t="n">
        <v>0</v>
      </c>
    </row>
    <row r="4055">
      <c r="A4055" t="inlineStr">
        <is>
          <t>Milho</t>
        </is>
      </c>
      <c r="B4055" t="inlineStr">
        <is>
          <t>Pimenteiras do Oeste - RO</t>
        </is>
      </c>
      <c r="C4055" t="n">
        <v>-13.4823</v>
      </c>
      <c r="D4055" t="n">
        <v>-61.0471</v>
      </c>
      <c r="E4055" t="inlineStr">
        <is>
          <t>2024-04</t>
        </is>
      </c>
      <c r="F4055" t="n">
        <v>0</v>
      </c>
    </row>
    <row r="4056">
      <c r="A4056" t="inlineStr">
        <is>
          <t>Milho</t>
        </is>
      </c>
      <c r="B4056" t="inlineStr">
        <is>
          <t>Pimenteiras do Oeste - RO</t>
        </is>
      </c>
      <c r="C4056" t="n">
        <v>-13.4823</v>
      </c>
      <c r="D4056" t="n">
        <v>-61.0471</v>
      </c>
      <c r="E4056" t="inlineStr">
        <is>
          <t>2024-05</t>
        </is>
      </c>
      <c r="F4056" t="n">
        <v>0</v>
      </c>
    </row>
    <row r="4057">
      <c r="A4057" t="inlineStr">
        <is>
          <t>Milho</t>
        </is>
      </c>
      <c r="B4057" t="inlineStr">
        <is>
          <t>Pimenteiras do Oeste - RO</t>
        </is>
      </c>
      <c r="C4057" t="n">
        <v>-13.4823</v>
      </c>
      <c r="D4057" t="n">
        <v>-61.0471</v>
      </c>
      <c r="E4057" t="inlineStr">
        <is>
          <t>2024-06</t>
        </is>
      </c>
      <c r="F4057" t="n">
        <v>0</v>
      </c>
    </row>
    <row r="4058">
      <c r="A4058" t="inlineStr">
        <is>
          <t>Milho</t>
        </is>
      </c>
      <c r="B4058" t="inlineStr">
        <is>
          <t>Pimenteiras do Oeste - RO</t>
        </is>
      </c>
      <c r="C4058" t="n">
        <v>-13.4823</v>
      </c>
      <c r="D4058" t="n">
        <v>-61.0471</v>
      </c>
      <c r="E4058" t="inlineStr">
        <is>
          <t>2023-07</t>
        </is>
      </c>
      <c r="F4058" t="n">
        <v>0</v>
      </c>
    </row>
    <row r="4059">
      <c r="A4059" t="inlineStr">
        <is>
          <t>Milho</t>
        </is>
      </c>
      <c r="B4059" t="inlineStr">
        <is>
          <t>Pimenteiras do Oeste - RO</t>
        </is>
      </c>
      <c r="C4059" t="n">
        <v>-13.4823</v>
      </c>
      <c r="D4059" t="n">
        <v>-61.0471</v>
      </c>
      <c r="E4059" t="inlineStr">
        <is>
          <t>2023-08</t>
        </is>
      </c>
      <c r="F4059" t="n">
        <v>0</v>
      </c>
    </row>
    <row r="4060">
      <c r="A4060" t="inlineStr">
        <is>
          <t>Milho</t>
        </is>
      </c>
      <c r="B4060" t="inlineStr">
        <is>
          <t>Pimenteiras do Oeste - RO</t>
        </is>
      </c>
      <c r="C4060" t="n">
        <v>-13.4823</v>
      </c>
      <c r="D4060" t="n">
        <v>-61.0471</v>
      </c>
      <c r="E4060" t="inlineStr">
        <is>
          <t>2023-09</t>
        </is>
      </c>
      <c r="F4060" t="n">
        <v>0</v>
      </c>
    </row>
    <row r="4061">
      <c r="A4061" t="inlineStr">
        <is>
          <t>Milho</t>
        </is>
      </c>
      <c r="B4061" t="inlineStr">
        <is>
          <t>Pimenteiras do Oeste - RO</t>
        </is>
      </c>
      <c r="C4061" t="n">
        <v>-13.4823</v>
      </c>
      <c r="D4061" t="n">
        <v>-61.0471</v>
      </c>
      <c r="E4061" t="inlineStr">
        <is>
          <t>2023-10</t>
        </is>
      </c>
      <c r="F4061" t="n">
        <v>0</v>
      </c>
    </row>
    <row r="4062">
      <c r="A4062" t="inlineStr">
        <is>
          <t>Milho</t>
        </is>
      </c>
      <c r="B4062" t="inlineStr">
        <is>
          <t>Pimenteiras do Oeste - RO</t>
        </is>
      </c>
      <c r="C4062" t="n">
        <v>-13.4823</v>
      </c>
      <c r="D4062" t="n">
        <v>-61.0471</v>
      </c>
      <c r="E4062" t="inlineStr">
        <is>
          <t>2023-11</t>
        </is>
      </c>
      <c r="F4062" t="n">
        <v>0</v>
      </c>
    </row>
    <row r="4063">
      <c r="A4063" t="inlineStr">
        <is>
          <t>Milho</t>
        </is>
      </c>
      <c r="B4063" t="inlineStr">
        <is>
          <t>Pimenteiras do Oeste - RO</t>
        </is>
      </c>
      <c r="C4063" t="n">
        <v>-13.4823</v>
      </c>
      <c r="D4063" t="n">
        <v>-61.0471</v>
      </c>
      <c r="E4063" t="inlineStr">
        <is>
          <t>2023-12</t>
        </is>
      </c>
      <c r="F4063" t="n">
        <v>0</v>
      </c>
    </row>
    <row r="4064">
      <c r="A4064" t="inlineStr">
        <is>
          <t>Milho</t>
        </is>
      </c>
      <c r="B4064" t="inlineStr">
        <is>
          <t>Bonfim - RR</t>
        </is>
      </c>
      <c r="C4064" t="n">
        <v>3.36161</v>
      </c>
      <c r="D4064" t="n">
        <v>-59.8333</v>
      </c>
      <c r="E4064" t="inlineStr">
        <is>
          <t>2024-01</t>
        </is>
      </c>
      <c r="F4064" t="n">
        <v>0</v>
      </c>
    </row>
    <row r="4065">
      <c r="A4065" t="inlineStr">
        <is>
          <t>Milho</t>
        </is>
      </c>
      <c r="B4065" t="inlineStr">
        <is>
          <t>Bonfim - RR</t>
        </is>
      </c>
      <c r="C4065" t="n">
        <v>3.36161</v>
      </c>
      <c r="D4065" t="n">
        <v>-59.8333</v>
      </c>
      <c r="E4065" t="inlineStr">
        <is>
          <t>2024-02</t>
        </is>
      </c>
      <c r="F4065" t="n">
        <v>0</v>
      </c>
    </row>
    <row r="4066">
      <c r="A4066" t="inlineStr">
        <is>
          <t>Milho</t>
        </is>
      </c>
      <c r="B4066" t="inlineStr">
        <is>
          <t>Bonfim - RR</t>
        </is>
      </c>
      <c r="C4066" t="n">
        <v>3.36161</v>
      </c>
      <c r="D4066" t="n">
        <v>-59.8333</v>
      </c>
      <c r="E4066" t="inlineStr">
        <is>
          <t>2024-03</t>
        </is>
      </c>
      <c r="F4066" t="n">
        <v>0</v>
      </c>
    </row>
    <row r="4067">
      <c r="A4067" t="inlineStr">
        <is>
          <t>Milho</t>
        </is>
      </c>
      <c r="B4067" t="inlineStr">
        <is>
          <t>Bonfim - RR</t>
        </is>
      </c>
      <c r="C4067" t="n">
        <v>3.36161</v>
      </c>
      <c r="D4067" t="n">
        <v>-59.8333</v>
      </c>
      <c r="E4067" t="inlineStr">
        <is>
          <t>2024-04</t>
        </is>
      </c>
      <c r="F4067" t="n">
        <v>0</v>
      </c>
    </row>
    <row r="4068">
      <c r="A4068" t="inlineStr">
        <is>
          <t>Milho</t>
        </is>
      </c>
      <c r="B4068" t="inlineStr">
        <is>
          <t>Bonfim - RR</t>
        </is>
      </c>
      <c r="C4068" t="n">
        <v>3.36161</v>
      </c>
      <c r="D4068" t="n">
        <v>-59.8333</v>
      </c>
      <c r="E4068" t="inlineStr">
        <is>
          <t>2024-05</t>
        </is>
      </c>
      <c r="F4068" t="n">
        <v>0</v>
      </c>
    </row>
    <row r="4069">
      <c r="A4069" t="inlineStr">
        <is>
          <t>Milho</t>
        </is>
      </c>
      <c r="B4069" t="inlineStr">
        <is>
          <t>Bonfim - RR</t>
        </is>
      </c>
      <c r="C4069" t="n">
        <v>3.36161</v>
      </c>
      <c r="D4069" t="n">
        <v>-59.8333</v>
      </c>
      <c r="E4069" t="inlineStr">
        <is>
          <t>2024-06</t>
        </is>
      </c>
      <c r="F4069" t="n">
        <v>0</v>
      </c>
    </row>
    <row r="4070">
      <c r="A4070" t="inlineStr">
        <is>
          <t>Milho</t>
        </is>
      </c>
      <c r="B4070" t="inlineStr">
        <is>
          <t>Bonfim - RR</t>
        </is>
      </c>
      <c r="C4070" t="n">
        <v>3.36161</v>
      </c>
      <c r="D4070" t="n">
        <v>-59.8333</v>
      </c>
      <c r="E4070" t="inlineStr">
        <is>
          <t>2023-07</t>
        </is>
      </c>
      <c r="F4070" t="n">
        <v>0</v>
      </c>
    </row>
    <row r="4071">
      <c r="A4071" t="inlineStr">
        <is>
          <t>Milho</t>
        </is>
      </c>
      <c r="B4071" t="inlineStr">
        <is>
          <t>Bonfim - RR</t>
        </is>
      </c>
      <c r="C4071" t="n">
        <v>3.36161</v>
      </c>
      <c r="D4071" t="n">
        <v>-59.8333</v>
      </c>
      <c r="E4071" t="inlineStr">
        <is>
          <t>2023-08</t>
        </is>
      </c>
      <c r="F4071" t="n">
        <v>6856.009828961959</v>
      </c>
    </row>
    <row r="4072">
      <c r="A4072" t="inlineStr">
        <is>
          <t>Milho</t>
        </is>
      </c>
      <c r="B4072" t="inlineStr">
        <is>
          <t>Bonfim - RR</t>
        </is>
      </c>
      <c r="C4072" t="n">
        <v>3.36161</v>
      </c>
      <c r="D4072" t="n">
        <v>-59.8333</v>
      </c>
      <c r="E4072" t="inlineStr">
        <is>
          <t>2023-09</t>
        </is>
      </c>
      <c r="F4072" t="n">
        <v>7625.552203308269</v>
      </c>
    </row>
    <row r="4073">
      <c r="A4073" t="inlineStr">
        <is>
          <t>Milho</t>
        </is>
      </c>
      <c r="B4073" t="inlineStr">
        <is>
          <t>Bonfim - RR</t>
        </is>
      </c>
      <c r="C4073" t="n">
        <v>3.36161</v>
      </c>
      <c r="D4073" t="n">
        <v>-59.8333</v>
      </c>
      <c r="E4073" t="inlineStr">
        <is>
          <t>2023-10</t>
        </is>
      </c>
      <c r="F4073" t="n">
        <v>55266.9918791973</v>
      </c>
    </row>
    <row r="4074">
      <c r="A4074" t="inlineStr">
        <is>
          <t>Milho</t>
        </is>
      </c>
      <c r="B4074" t="inlineStr">
        <is>
          <t>Bonfim - RR</t>
        </is>
      </c>
      <c r="C4074" t="n">
        <v>3.36161</v>
      </c>
      <c r="D4074" t="n">
        <v>-59.8333</v>
      </c>
      <c r="E4074" t="inlineStr">
        <is>
          <t>2023-11</t>
        </is>
      </c>
      <c r="F4074" t="n">
        <v>76212.45672617682</v>
      </c>
    </row>
    <row r="4075">
      <c r="A4075" t="inlineStr">
        <is>
          <t>Milho</t>
        </is>
      </c>
      <c r="B4075" t="inlineStr">
        <is>
          <t>Bonfim - RR</t>
        </is>
      </c>
      <c r="C4075" t="n">
        <v>3.36161</v>
      </c>
      <c r="D4075" t="n">
        <v>-59.8333</v>
      </c>
      <c r="E4075" t="inlineStr">
        <is>
          <t>2023-12</t>
        </is>
      </c>
      <c r="F4075" t="n">
        <v>86800.59293809172</v>
      </c>
    </row>
    <row r="4076">
      <c r="A4076" t="inlineStr">
        <is>
          <t>Milho</t>
        </is>
      </c>
      <c r="B4076" t="inlineStr">
        <is>
          <t>Campos Novos - SC</t>
        </is>
      </c>
      <c r="C4076" t="n">
        <v>-27.4002</v>
      </c>
      <c r="D4076" t="n">
        <v>-51.2276</v>
      </c>
      <c r="E4076" t="inlineStr">
        <is>
          <t>2024-01</t>
        </is>
      </c>
      <c r="F4076" t="n">
        <v>0</v>
      </c>
    </row>
    <row r="4077">
      <c r="A4077" t="inlineStr">
        <is>
          <t>Milho</t>
        </is>
      </c>
      <c r="B4077" t="inlineStr">
        <is>
          <t>Campos Novos - SC</t>
        </is>
      </c>
      <c r="C4077" t="n">
        <v>-27.4002</v>
      </c>
      <c r="D4077" t="n">
        <v>-51.2276</v>
      </c>
      <c r="E4077" t="inlineStr">
        <is>
          <t>2024-02</t>
        </is>
      </c>
      <c r="F4077" t="n">
        <v>0</v>
      </c>
    </row>
    <row r="4078">
      <c r="A4078" t="inlineStr">
        <is>
          <t>Milho</t>
        </is>
      </c>
      <c r="B4078" t="inlineStr">
        <is>
          <t>Campos Novos - SC</t>
        </is>
      </c>
      <c r="C4078" t="n">
        <v>-27.4002</v>
      </c>
      <c r="D4078" t="n">
        <v>-51.2276</v>
      </c>
      <c r="E4078" t="inlineStr">
        <is>
          <t>2024-03</t>
        </is>
      </c>
      <c r="F4078" t="n">
        <v>0</v>
      </c>
    </row>
    <row r="4079">
      <c r="A4079" t="inlineStr">
        <is>
          <t>Milho</t>
        </is>
      </c>
      <c r="B4079" t="inlineStr">
        <is>
          <t>Campos Novos - SC</t>
        </is>
      </c>
      <c r="C4079" t="n">
        <v>-27.4002</v>
      </c>
      <c r="D4079" t="n">
        <v>-51.2276</v>
      </c>
      <c r="E4079" t="inlineStr">
        <is>
          <t>2024-04</t>
        </is>
      </c>
      <c r="F4079" t="n">
        <v>0</v>
      </c>
    </row>
    <row r="4080">
      <c r="A4080" t="inlineStr">
        <is>
          <t>Milho</t>
        </is>
      </c>
      <c r="B4080" t="inlineStr">
        <is>
          <t>Campos Novos - SC</t>
        </is>
      </c>
      <c r="C4080" t="n">
        <v>-27.4002</v>
      </c>
      <c r="D4080" t="n">
        <v>-51.2276</v>
      </c>
      <c r="E4080" t="inlineStr">
        <is>
          <t>2024-05</t>
        </is>
      </c>
      <c r="F4080" t="n">
        <v>0</v>
      </c>
    </row>
    <row r="4081">
      <c r="A4081" t="inlineStr">
        <is>
          <t>Milho</t>
        </is>
      </c>
      <c r="B4081" t="inlineStr">
        <is>
          <t>Campos Novos - SC</t>
        </is>
      </c>
      <c r="C4081" t="n">
        <v>-27.4002</v>
      </c>
      <c r="D4081" t="n">
        <v>-51.2276</v>
      </c>
      <c r="E4081" t="inlineStr">
        <is>
          <t>2024-06</t>
        </is>
      </c>
      <c r="F4081" t="n">
        <v>0</v>
      </c>
    </row>
    <row r="4082">
      <c r="A4082" t="inlineStr">
        <is>
          <t>Milho</t>
        </is>
      </c>
      <c r="B4082" t="inlineStr">
        <is>
          <t>Campos Novos - SC</t>
        </is>
      </c>
      <c r="C4082" t="n">
        <v>-27.4002</v>
      </c>
      <c r="D4082" t="n">
        <v>-51.2276</v>
      </c>
      <c r="E4082" t="inlineStr">
        <is>
          <t>2023-07</t>
        </is>
      </c>
      <c r="F4082" t="n">
        <v>0</v>
      </c>
    </row>
    <row r="4083">
      <c r="A4083" t="inlineStr">
        <is>
          <t>Milho</t>
        </is>
      </c>
      <c r="B4083" t="inlineStr">
        <is>
          <t>Campos Novos - SC</t>
        </is>
      </c>
      <c r="C4083" t="n">
        <v>-27.4002</v>
      </c>
      <c r="D4083" t="n">
        <v>-51.2276</v>
      </c>
      <c r="E4083" t="inlineStr">
        <is>
          <t>2023-08</t>
        </is>
      </c>
      <c r="F4083" t="n">
        <v>0</v>
      </c>
    </row>
    <row r="4084">
      <c r="A4084" t="inlineStr">
        <is>
          <t>Milho</t>
        </is>
      </c>
      <c r="B4084" t="inlineStr">
        <is>
          <t>Campos Novos - SC</t>
        </is>
      </c>
      <c r="C4084" t="n">
        <v>-27.4002</v>
      </c>
      <c r="D4084" t="n">
        <v>-51.2276</v>
      </c>
      <c r="E4084" t="inlineStr">
        <is>
          <t>2023-09</t>
        </is>
      </c>
      <c r="F4084" t="n">
        <v>0</v>
      </c>
    </row>
    <row r="4085">
      <c r="A4085" t="inlineStr">
        <is>
          <t>Milho</t>
        </is>
      </c>
      <c r="B4085" t="inlineStr">
        <is>
          <t>Campos Novos - SC</t>
        </is>
      </c>
      <c r="C4085" t="n">
        <v>-27.4002</v>
      </c>
      <c r="D4085" t="n">
        <v>-51.2276</v>
      </c>
      <c r="E4085" t="inlineStr">
        <is>
          <t>2023-10</t>
        </is>
      </c>
      <c r="F4085" t="n">
        <v>0</v>
      </c>
    </row>
    <row r="4086">
      <c r="A4086" t="inlineStr">
        <is>
          <t>Milho</t>
        </is>
      </c>
      <c r="B4086" t="inlineStr">
        <is>
          <t>Campos Novos - SC</t>
        </is>
      </c>
      <c r="C4086" t="n">
        <v>-27.4002</v>
      </c>
      <c r="D4086" t="n">
        <v>-51.2276</v>
      </c>
      <c r="E4086" t="inlineStr">
        <is>
          <t>2023-11</t>
        </is>
      </c>
      <c r="F4086" t="n">
        <v>0</v>
      </c>
    </row>
    <row r="4087">
      <c r="A4087" t="inlineStr">
        <is>
          <t>Milho</t>
        </is>
      </c>
      <c r="B4087" t="inlineStr">
        <is>
          <t>Campos Novos - SC</t>
        </is>
      </c>
      <c r="C4087" t="n">
        <v>-27.4002</v>
      </c>
      <c r="D4087" t="n">
        <v>-51.2276</v>
      </c>
      <c r="E4087" t="inlineStr">
        <is>
          <t>2023-12</t>
        </is>
      </c>
      <c r="F4087" t="n">
        <v>0</v>
      </c>
    </row>
    <row r="4088">
      <c r="A4088" t="inlineStr">
        <is>
          <t>Milho</t>
        </is>
      </c>
      <c r="B4088" t="inlineStr">
        <is>
          <t>Carira - SE</t>
        </is>
      </c>
      <c r="C4088" t="n">
        <v>-10.3524</v>
      </c>
      <c r="D4088" t="n">
        <v>-37.7002</v>
      </c>
      <c r="E4088" t="inlineStr">
        <is>
          <t>2024-01</t>
        </is>
      </c>
      <c r="F4088" t="n">
        <v>0</v>
      </c>
    </row>
    <row r="4089">
      <c r="A4089" t="inlineStr">
        <is>
          <t>Milho</t>
        </is>
      </c>
      <c r="B4089" t="inlineStr">
        <is>
          <t>Carira - SE</t>
        </is>
      </c>
      <c r="C4089" t="n">
        <v>-10.3524</v>
      </c>
      <c r="D4089" t="n">
        <v>-37.7002</v>
      </c>
      <c r="E4089" t="inlineStr">
        <is>
          <t>2024-02</t>
        </is>
      </c>
      <c r="F4089" t="n">
        <v>0</v>
      </c>
    </row>
    <row r="4090">
      <c r="A4090" t="inlineStr">
        <is>
          <t>Milho</t>
        </is>
      </c>
      <c r="B4090" t="inlineStr">
        <is>
          <t>Carira - SE</t>
        </is>
      </c>
      <c r="C4090" t="n">
        <v>-10.3524</v>
      </c>
      <c r="D4090" t="n">
        <v>-37.7002</v>
      </c>
      <c r="E4090" t="inlineStr">
        <is>
          <t>2024-03</t>
        </is>
      </c>
      <c r="F4090" t="n">
        <v>0</v>
      </c>
    </row>
    <row r="4091">
      <c r="A4091" t="inlineStr">
        <is>
          <t>Milho</t>
        </is>
      </c>
      <c r="B4091" t="inlineStr">
        <is>
          <t>Carira - SE</t>
        </is>
      </c>
      <c r="C4091" t="n">
        <v>-10.3524</v>
      </c>
      <c r="D4091" t="n">
        <v>-37.7002</v>
      </c>
      <c r="E4091" t="inlineStr">
        <is>
          <t>2024-04</t>
        </is>
      </c>
      <c r="F4091" t="n">
        <v>0</v>
      </c>
    </row>
    <row r="4092">
      <c r="A4092" t="inlineStr">
        <is>
          <t>Milho</t>
        </is>
      </c>
      <c r="B4092" t="inlineStr">
        <is>
          <t>Carira - SE</t>
        </is>
      </c>
      <c r="C4092" t="n">
        <v>-10.3524</v>
      </c>
      <c r="D4092" t="n">
        <v>-37.7002</v>
      </c>
      <c r="E4092" t="inlineStr">
        <is>
          <t>2024-05</t>
        </is>
      </c>
      <c r="F4092" t="n">
        <v>0</v>
      </c>
    </row>
    <row r="4093">
      <c r="A4093" t="inlineStr">
        <is>
          <t>Milho</t>
        </is>
      </c>
      <c r="B4093" t="inlineStr">
        <is>
          <t>Carira - SE</t>
        </is>
      </c>
      <c r="C4093" t="n">
        <v>-10.3524</v>
      </c>
      <c r="D4093" t="n">
        <v>-37.7002</v>
      </c>
      <c r="E4093" t="inlineStr">
        <is>
          <t>2024-06</t>
        </is>
      </c>
      <c r="F4093" t="n">
        <v>0</v>
      </c>
    </row>
    <row r="4094">
      <c r="A4094" t="inlineStr">
        <is>
          <t>Milho</t>
        </is>
      </c>
      <c r="B4094" t="inlineStr">
        <is>
          <t>Carira - SE</t>
        </is>
      </c>
      <c r="C4094" t="n">
        <v>-10.3524</v>
      </c>
      <c r="D4094" t="n">
        <v>-37.7002</v>
      </c>
      <c r="E4094" t="inlineStr">
        <is>
          <t>2023-07</t>
        </is>
      </c>
      <c r="F4094" t="n">
        <v>0</v>
      </c>
    </row>
    <row r="4095">
      <c r="A4095" t="inlineStr">
        <is>
          <t>Milho</t>
        </is>
      </c>
      <c r="B4095" t="inlineStr">
        <is>
          <t>Carira - SE</t>
        </is>
      </c>
      <c r="C4095" t="n">
        <v>-10.3524</v>
      </c>
      <c r="D4095" t="n">
        <v>-37.7002</v>
      </c>
      <c r="E4095" t="inlineStr">
        <is>
          <t>2023-08</t>
        </is>
      </c>
      <c r="F4095" t="n">
        <v>77551.27797399952</v>
      </c>
    </row>
    <row r="4096">
      <c r="A4096" t="inlineStr">
        <is>
          <t>Milho</t>
        </is>
      </c>
      <c r="B4096" t="inlineStr">
        <is>
          <t>Carira - SE</t>
        </is>
      </c>
      <c r="C4096" t="n">
        <v>-10.3524</v>
      </c>
      <c r="D4096" t="n">
        <v>-37.7002</v>
      </c>
      <c r="E4096" t="inlineStr">
        <is>
          <t>2023-09</t>
        </is>
      </c>
      <c r="F4096" t="n">
        <v>172511.8059562471</v>
      </c>
    </row>
    <row r="4097">
      <c r="A4097" t="inlineStr">
        <is>
          <t>Milho</t>
        </is>
      </c>
      <c r="B4097" t="inlineStr">
        <is>
          <t>Carira - SE</t>
        </is>
      </c>
      <c r="C4097" t="n">
        <v>-10.3524</v>
      </c>
      <c r="D4097" t="n">
        <v>-37.7002</v>
      </c>
      <c r="E4097" t="inlineStr">
        <is>
          <t>2023-10</t>
        </is>
      </c>
      <c r="F4097" t="n">
        <v>1250297.463666073</v>
      </c>
    </row>
    <row r="4098">
      <c r="A4098" t="inlineStr">
        <is>
          <t>Milho</t>
        </is>
      </c>
      <c r="B4098" t="inlineStr">
        <is>
          <t>Carira - SE</t>
        </is>
      </c>
      <c r="C4098" t="n">
        <v>-10.3524</v>
      </c>
      <c r="D4098" t="n">
        <v>-37.7002</v>
      </c>
      <c r="E4098" t="inlineStr">
        <is>
          <t>2023-11</t>
        </is>
      </c>
      <c r="F4098" t="n">
        <v>1724143.799119382</v>
      </c>
    </row>
    <row r="4099">
      <c r="A4099" t="inlineStr">
        <is>
          <t>Milho</t>
        </is>
      </c>
      <c r="B4099" t="inlineStr">
        <is>
          <t>Carira - SE</t>
        </is>
      </c>
      <c r="C4099" t="n">
        <v>-10.3524</v>
      </c>
      <c r="D4099" t="n">
        <v>-37.7002</v>
      </c>
      <c r="E4099" t="inlineStr">
        <is>
          <t>2023-12</t>
        </is>
      </c>
      <c r="F4099" t="n">
        <v>0</v>
      </c>
    </row>
    <row r="4100">
      <c r="A4100" t="inlineStr">
        <is>
          <t>Milho</t>
        </is>
      </c>
      <c r="B4100" t="inlineStr">
        <is>
          <t>Itapeva - SP</t>
        </is>
      </c>
      <c r="C4100" t="n">
        <v>-23.9788</v>
      </c>
      <c r="D4100" t="n">
        <v>-48.8764</v>
      </c>
      <c r="E4100" t="inlineStr">
        <is>
          <t>2024-01</t>
        </is>
      </c>
      <c r="F4100" t="n">
        <v>0</v>
      </c>
    </row>
    <row r="4101">
      <c r="A4101" t="inlineStr">
        <is>
          <t>Milho</t>
        </is>
      </c>
      <c r="B4101" t="inlineStr">
        <is>
          <t>Itapeva - SP</t>
        </is>
      </c>
      <c r="C4101" t="n">
        <v>-23.9788</v>
      </c>
      <c r="D4101" t="n">
        <v>-48.8764</v>
      </c>
      <c r="E4101" t="inlineStr">
        <is>
          <t>2024-02</t>
        </is>
      </c>
      <c r="F4101" t="n">
        <v>0</v>
      </c>
    </row>
    <row r="4102">
      <c r="A4102" t="inlineStr">
        <is>
          <t>Milho</t>
        </is>
      </c>
      <c r="B4102" t="inlineStr">
        <is>
          <t>Itapeva - SP</t>
        </is>
      </c>
      <c r="C4102" t="n">
        <v>-23.9788</v>
      </c>
      <c r="D4102" t="n">
        <v>-48.8764</v>
      </c>
      <c r="E4102" t="inlineStr">
        <is>
          <t>2024-03</t>
        </is>
      </c>
      <c r="F4102" t="n">
        <v>0</v>
      </c>
    </row>
    <row r="4103">
      <c r="A4103" t="inlineStr">
        <is>
          <t>Milho</t>
        </is>
      </c>
      <c r="B4103" t="inlineStr">
        <is>
          <t>Itapeva - SP</t>
        </is>
      </c>
      <c r="C4103" t="n">
        <v>-23.9788</v>
      </c>
      <c r="D4103" t="n">
        <v>-48.8764</v>
      </c>
      <c r="E4103" t="inlineStr">
        <is>
          <t>2024-04</t>
        </is>
      </c>
      <c r="F4103" t="n">
        <v>0</v>
      </c>
    </row>
    <row r="4104">
      <c r="A4104" t="inlineStr">
        <is>
          <t>Milho</t>
        </is>
      </c>
      <c r="B4104" t="inlineStr">
        <is>
          <t>Itapeva - SP</t>
        </is>
      </c>
      <c r="C4104" t="n">
        <v>-23.9788</v>
      </c>
      <c r="D4104" t="n">
        <v>-48.8764</v>
      </c>
      <c r="E4104" t="inlineStr">
        <is>
          <t>2024-05</t>
        </is>
      </c>
      <c r="F4104" t="n">
        <v>0</v>
      </c>
    </row>
    <row r="4105">
      <c r="A4105" t="inlineStr">
        <is>
          <t>Milho</t>
        </is>
      </c>
      <c r="B4105" t="inlineStr">
        <is>
          <t>Itapeva - SP</t>
        </is>
      </c>
      <c r="C4105" t="n">
        <v>-23.9788</v>
      </c>
      <c r="D4105" t="n">
        <v>-48.8764</v>
      </c>
      <c r="E4105" t="inlineStr">
        <is>
          <t>2024-06</t>
        </is>
      </c>
      <c r="F4105" t="n">
        <v>0</v>
      </c>
    </row>
    <row r="4106">
      <c r="A4106" t="inlineStr">
        <is>
          <t>Milho</t>
        </is>
      </c>
      <c r="B4106" t="inlineStr">
        <is>
          <t>Itapeva - SP</t>
        </is>
      </c>
      <c r="C4106" t="n">
        <v>-23.9788</v>
      </c>
      <c r="D4106" t="n">
        <v>-48.8764</v>
      </c>
      <c r="E4106" t="inlineStr">
        <is>
          <t>2023-07</t>
        </is>
      </c>
      <c r="F4106" t="n">
        <v>0</v>
      </c>
    </row>
    <row r="4107">
      <c r="A4107" t="inlineStr">
        <is>
          <t>Milho</t>
        </is>
      </c>
      <c r="B4107" t="inlineStr">
        <is>
          <t>Itapeva - SP</t>
        </is>
      </c>
      <c r="C4107" t="n">
        <v>-23.9788</v>
      </c>
      <c r="D4107" t="n">
        <v>-48.8764</v>
      </c>
      <c r="E4107" t="inlineStr">
        <is>
          <t>2023-08</t>
        </is>
      </c>
      <c r="F4107" t="n">
        <v>0</v>
      </c>
    </row>
    <row r="4108">
      <c r="A4108" t="inlineStr">
        <is>
          <t>Milho</t>
        </is>
      </c>
      <c r="B4108" t="inlineStr">
        <is>
          <t>Itapeva - SP</t>
        </is>
      </c>
      <c r="C4108" t="n">
        <v>-23.9788</v>
      </c>
      <c r="D4108" t="n">
        <v>-48.8764</v>
      </c>
      <c r="E4108" t="inlineStr">
        <is>
          <t>2023-09</t>
        </is>
      </c>
      <c r="F4108" t="n">
        <v>0</v>
      </c>
    </row>
    <row r="4109">
      <c r="A4109" t="inlineStr">
        <is>
          <t>Milho</t>
        </is>
      </c>
      <c r="B4109" t="inlineStr">
        <is>
          <t>Itapeva - SP</t>
        </is>
      </c>
      <c r="C4109" t="n">
        <v>-23.9788</v>
      </c>
      <c r="D4109" t="n">
        <v>-48.8764</v>
      </c>
      <c r="E4109" t="inlineStr">
        <is>
          <t>2023-10</t>
        </is>
      </c>
      <c r="F4109" t="n">
        <v>0</v>
      </c>
    </row>
    <row r="4110">
      <c r="A4110" t="inlineStr">
        <is>
          <t>Milho</t>
        </is>
      </c>
      <c r="B4110" t="inlineStr">
        <is>
          <t>Itapeva - SP</t>
        </is>
      </c>
      <c r="C4110" t="n">
        <v>-23.9788</v>
      </c>
      <c r="D4110" t="n">
        <v>-48.8764</v>
      </c>
      <c r="E4110" t="inlineStr">
        <is>
          <t>2023-11</t>
        </is>
      </c>
      <c r="F4110" t="n">
        <v>0</v>
      </c>
    </row>
    <row r="4111">
      <c r="A4111" t="inlineStr">
        <is>
          <t>Milho</t>
        </is>
      </c>
      <c r="B4111" t="inlineStr">
        <is>
          <t>Itapeva - SP</t>
        </is>
      </c>
      <c r="C4111" t="n">
        <v>-23.9788</v>
      </c>
      <c r="D4111" t="n">
        <v>-48.8764</v>
      </c>
      <c r="E4111" t="inlineStr">
        <is>
          <t>2023-12</t>
        </is>
      </c>
      <c r="F4111" t="n">
        <v>0</v>
      </c>
    </row>
    <row r="4112">
      <c r="A4112" t="inlineStr">
        <is>
          <t>Milho</t>
        </is>
      </c>
      <c r="B4112" t="inlineStr">
        <is>
          <t>Campos Lindos - TO</t>
        </is>
      </c>
      <c r="C4112" t="n">
        <v>-7.98956</v>
      </c>
      <c r="D4112" t="n">
        <v>-46.8645</v>
      </c>
      <c r="E4112" t="inlineStr">
        <is>
          <t>2024-01</t>
        </is>
      </c>
      <c r="F4112" t="n">
        <v>0</v>
      </c>
    </row>
    <row r="4113">
      <c r="A4113" t="inlineStr">
        <is>
          <t>Milho</t>
        </is>
      </c>
      <c r="B4113" t="inlineStr">
        <is>
          <t>Campos Lindos - TO</t>
        </is>
      </c>
      <c r="C4113" t="n">
        <v>-7.98956</v>
      </c>
      <c r="D4113" t="n">
        <v>-46.8645</v>
      </c>
      <c r="E4113" t="inlineStr">
        <is>
          <t>2024-02</t>
        </is>
      </c>
      <c r="F4113" t="n">
        <v>0</v>
      </c>
    </row>
    <row r="4114">
      <c r="A4114" t="inlineStr">
        <is>
          <t>Milho</t>
        </is>
      </c>
      <c r="B4114" t="inlineStr">
        <is>
          <t>Campos Lindos - TO</t>
        </is>
      </c>
      <c r="C4114" t="n">
        <v>-7.98956</v>
      </c>
      <c r="D4114" t="n">
        <v>-46.8645</v>
      </c>
      <c r="E4114" t="inlineStr">
        <is>
          <t>2024-03</t>
        </is>
      </c>
      <c r="F4114" t="n">
        <v>0</v>
      </c>
    </row>
    <row r="4115">
      <c r="A4115" t="inlineStr">
        <is>
          <t>Milho</t>
        </is>
      </c>
      <c r="B4115" t="inlineStr">
        <is>
          <t>Campos Lindos - TO</t>
        </is>
      </c>
      <c r="C4115" t="n">
        <v>-7.98956</v>
      </c>
      <c r="D4115" t="n">
        <v>-46.8645</v>
      </c>
      <c r="E4115" t="inlineStr">
        <is>
          <t>2024-04</t>
        </is>
      </c>
      <c r="F4115" t="n">
        <v>0</v>
      </c>
    </row>
    <row r="4116">
      <c r="A4116" t="inlineStr">
        <is>
          <t>Milho</t>
        </is>
      </c>
      <c r="B4116" t="inlineStr">
        <is>
          <t>Campos Lindos - TO</t>
        </is>
      </c>
      <c r="C4116" t="n">
        <v>-7.98956</v>
      </c>
      <c r="D4116" t="n">
        <v>-46.8645</v>
      </c>
      <c r="E4116" t="inlineStr">
        <is>
          <t>2024-05</t>
        </is>
      </c>
      <c r="F4116" t="n">
        <v>0</v>
      </c>
    </row>
    <row r="4117">
      <c r="A4117" t="inlineStr">
        <is>
          <t>Milho</t>
        </is>
      </c>
      <c r="B4117" t="inlineStr">
        <is>
          <t>Campos Lindos - TO</t>
        </is>
      </c>
      <c r="C4117" t="n">
        <v>-7.98956</v>
      </c>
      <c r="D4117" t="n">
        <v>-46.8645</v>
      </c>
      <c r="E4117" t="inlineStr">
        <is>
          <t>2024-06</t>
        </is>
      </c>
      <c r="F4117" t="n">
        <v>0</v>
      </c>
    </row>
    <row r="4118">
      <c r="A4118" t="inlineStr">
        <is>
          <t>Milho</t>
        </is>
      </c>
      <c r="B4118" t="inlineStr">
        <is>
          <t>Campos Lindos - TO</t>
        </is>
      </c>
      <c r="C4118" t="n">
        <v>-7.98956</v>
      </c>
      <c r="D4118" t="n">
        <v>-46.8645</v>
      </c>
      <c r="E4118" t="inlineStr">
        <is>
          <t>2023-07</t>
        </is>
      </c>
      <c r="F4118" t="n">
        <v>0</v>
      </c>
    </row>
    <row r="4119">
      <c r="A4119" t="inlineStr">
        <is>
          <t>Milho</t>
        </is>
      </c>
      <c r="B4119" t="inlineStr">
        <is>
          <t>Campos Lindos - TO</t>
        </is>
      </c>
      <c r="C4119" t="n">
        <v>-7.98956</v>
      </c>
      <c r="D4119" t="n">
        <v>-46.8645</v>
      </c>
      <c r="E4119" t="inlineStr">
        <is>
          <t>2023-08</t>
        </is>
      </c>
      <c r="F4119" t="n">
        <v>0</v>
      </c>
    </row>
    <row r="4120">
      <c r="A4120" t="inlineStr">
        <is>
          <t>Milho</t>
        </is>
      </c>
      <c r="B4120" t="inlineStr">
        <is>
          <t>Campos Lindos - TO</t>
        </is>
      </c>
      <c r="C4120" t="n">
        <v>-7.98956</v>
      </c>
      <c r="D4120" t="n">
        <v>-46.8645</v>
      </c>
      <c r="E4120" t="inlineStr">
        <is>
          <t>2023-09</t>
        </is>
      </c>
      <c r="F4120" t="n">
        <v>0</v>
      </c>
    </row>
    <row r="4121">
      <c r="A4121" t="inlineStr">
        <is>
          <t>Milho</t>
        </is>
      </c>
      <c r="B4121" t="inlineStr">
        <is>
          <t>Campos Lindos - TO</t>
        </is>
      </c>
      <c r="C4121" t="n">
        <v>-7.98956</v>
      </c>
      <c r="D4121" t="n">
        <v>-46.8645</v>
      </c>
      <c r="E4121" t="inlineStr">
        <is>
          <t>2023-10</t>
        </is>
      </c>
      <c r="F4121" t="n">
        <v>0</v>
      </c>
    </row>
    <row r="4122">
      <c r="A4122" t="inlineStr">
        <is>
          <t>Milho</t>
        </is>
      </c>
      <c r="B4122" t="inlineStr">
        <is>
          <t>Campos Lindos - TO</t>
        </is>
      </c>
      <c r="C4122" t="n">
        <v>-7.98956</v>
      </c>
      <c r="D4122" t="n">
        <v>-46.8645</v>
      </c>
      <c r="E4122" t="inlineStr">
        <is>
          <t>2023-11</t>
        </is>
      </c>
      <c r="F4122" t="n">
        <v>0</v>
      </c>
    </row>
    <row r="4123">
      <c r="A4123" t="inlineStr">
        <is>
          <t>Milho</t>
        </is>
      </c>
      <c r="B4123" t="inlineStr">
        <is>
          <t>Campos Lindos - TO</t>
        </is>
      </c>
      <c r="C4123" t="n">
        <v>-7.98956</v>
      </c>
      <c r="D4123" t="n">
        <v>-46.8645</v>
      </c>
      <c r="E4123" t="inlineStr">
        <is>
          <t>2023-12</t>
        </is>
      </c>
      <c r="F4123" t="n">
        <v>0</v>
      </c>
    </row>
    <row r="4124">
      <c r="A4124" t="inlineStr">
        <is>
          <t>Soja</t>
        </is>
      </c>
      <c r="B4124" t="inlineStr">
        <is>
          <t>Plácido de Castro - AC</t>
        </is>
      </c>
      <c r="C4124" t="n">
        <v>-10.2806</v>
      </c>
      <c r="D4124" t="n">
        <v>-67.1371</v>
      </c>
      <c r="E4124" t="inlineStr">
        <is>
          <t>2024-01</t>
        </is>
      </c>
      <c r="F4124" t="n">
        <v>0</v>
      </c>
    </row>
    <row r="4125">
      <c r="A4125" t="inlineStr">
        <is>
          <t>Soja</t>
        </is>
      </c>
      <c r="B4125" t="inlineStr">
        <is>
          <t>Plácido de Castro - AC</t>
        </is>
      </c>
      <c r="C4125" t="n">
        <v>-10.2806</v>
      </c>
      <c r="D4125" t="n">
        <v>-67.1371</v>
      </c>
      <c r="E4125" t="inlineStr">
        <is>
          <t>2024-02</t>
        </is>
      </c>
      <c r="F4125" t="n">
        <v>0</v>
      </c>
    </row>
    <row r="4126">
      <c r="A4126" t="inlineStr">
        <is>
          <t>Soja</t>
        </is>
      </c>
      <c r="B4126" t="inlineStr">
        <is>
          <t>Plácido de Castro - AC</t>
        </is>
      </c>
      <c r="C4126" t="n">
        <v>-10.2806</v>
      </c>
      <c r="D4126" t="n">
        <v>-67.1371</v>
      </c>
      <c r="E4126" t="inlineStr">
        <is>
          <t>2024-03</t>
        </is>
      </c>
      <c r="F4126" t="n">
        <v>0</v>
      </c>
    </row>
    <row r="4127">
      <c r="A4127" t="inlineStr">
        <is>
          <t>Soja</t>
        </is>
      </c>
      <c r="B4127" t="inlineStr">
        <is>
          <t>Plácido de Castro - AC</t>
        </is>
      </c>
      <c r="C4127" t="n">
        <v>-10.2806</v>
      </c>
      <c r="D4127" t="n">
        <v>-67.1371</v>
      </c>
      <c r="E4127" t="inlineStr">
        <is>
          <t>2024-04</t>
        </is>
      </c>
      <c r="F4127" t="n">
        <v>0</v>
      </c>
    </row>
    <row r="4128">
      <c r="A4128" t="inlineStr">
        <is>
          <t>Soja</t>
        </is>
      </c>
      <c r="B4128" t="inlineStr">
        <is>
          <t>Plácido de Castro - AC</t>
        </is>
      </c>
      <c r="C4128" t="n">
        <v>-10.2806</v>
      </c>
      <c r="D4128" t="n">
        <v>-67.1371</v>
      </c>
      <c r="E4128" t="inlineStr">
        <is>
          <t>2024-05</t>
        </is>
      </c>
      <c r="F4128" t="n">
        <v>0</v>
      </c>
    </row>
    <row r="4129">
      <c r="A4129" t="inlineStr">
        <is>
          <t>Soja</t>
        </is>
      </c>
      <c r="B4129" t="inlineStr">
        <is>
          <t>Plácido de Castro - AC</t>
        </is>
      </c>
      <c r="C4129" t="n">
        <v>-10.2806</v>
      </c>
      <c r="D4129" t="n">
        <v>-67.1371</v>
      </c>
      <c r="E4129" t="inlineStr">
        <is>
          <t>2024-06</t>
        </is>
      </c>
      <c r="F4129" t="n">
        <v>0</v>
      </c>
    </row>
    <row r="4130">
      <c r="A4130" t="inlineStr">
        <is>
          <t>Soja</t>
        </is>
      </c>
      <c r="B4130" t="inlineStr">
        <is>
          <t>Plácido de Castro - AC</t>
        </is>
      </c>
      <c r="C4130" t="n">
        <v>-10.2806</v>
      </c>
      <c r="D4130" t="n">
        <v>-67.1371</v>
      </c>
      <c r="E4130" t="inlineStr">
        <is>
          <t>2023-07</t>
        </is>
      </c>
      <c r="F4130" t="n">
        <v>0</v>
      </c>
    </row>
    <row r="4131">
      <c r="A4131" t="inlineStr">
        <is>
          <t>Soja</t>
        </is>
      </c>
      <c r="B4131" t="inlineStr">
        <is>
          <t>Plácido de Castro - AC</t>
        </is>
      </c>
      <c r="C4131" t="n">
        <v>-10.2806</v>
      </c>
      <c r="D4131" t="n">
        <v>-67.1371</v>
      </c>
      <c r="E4131" t="inlineStr">
        <is>
          <t>2023-08</t>
        </is>
      </c>
      <c r="F4131" t="n">
        <v>0</v>
      </c>
    </row>
    <row r="4132">
      <c r="A4132" t="inlineStr">
        <is>
          <t>Soja</t>
        </is>
      </c>
      <c r="B4132" t="inlineStr">
        <is>
          <t>Plácido de Castro - AC</t>
        </is>
      </c>
      <c r="C4132" t="n">
        <v>-10.2806</v>
      </c>
      <c r="D4132" t="n">
        <v>-67.1371</v>
      </c>
      <c r="E4132" t="inlineStr">
        <is>
          <t>2023-09</t>
        </is>
      </c>
      <c r="F4132" t="n">
        <v>0</v>
      </c>
    </row>
    <row r="4133">
      <c r="A4133" t="inlineStr">
        <is>
          <t>Soja</t>
        </is>
      </c>
      <c r="B4133" t="inlineStr">
        <is>
          <t>Plácido de Castro - AC</t>
        </is>
      </c>
      <c r="C4133" t="n">
        <v>-10.2806</v>
      </c>
      <c r="D4133" t="n">
        <v>-67.1371</v>
      </c>
      <c r="E4133" t="inlineStr">
        <is>
          <t>2023-10</t>
        </is>
      </c>
      <c r="F4133" t="n">
        <v>0</v>
      </c>
    </row>
    <row r="4134">
      <c r="A4134" t="inlineStr">
        <is>
          <t>Soja</t>
        </is>
      </c>
      <c r="B4134" t="inlineStr">
        <is>
          <t>Plácido de Castro - AC</t>
        </is>
      </c>
      <c r="C4134" t="n">
        <v>-10.2806</v>
      </c>
      <c r="D4134" t="n">
        <v>-67.1371</v>
      </c>
      <c r="E4134" t="inlineStr">
        <is>
          <t>2023-11</t>
        </is>
      </c>
      <c r="F4134" t="n">
        <v>0</v>
      </c>
    </row>
    <row r="4135">
      <c r="A4135" t="inlineStr">
        <is>
          <t>Soja</t>
        </is>
      </c>
      <c r="B4135" t="inlineStr">
        <is>
          <t>Plácido de Castro - AC</t>
        </is>
      </c>
      <c r="C4135" t="n">
        <v>-10.2806</v>
      </c>
      <c r="D4135" t="n">
        <v>-67.1371</v>
      </c>
      <c r="E4135" t="inlineStr">
        <is>
          <t>2023-12</t>
        </is>
      </c>
      <c r="F4135" t="n">
        <v>0</v>
      </c>
    </row>
    <row r="4136">
      <c r="A4136" t="inlineStr">
        <is>
          <t>Soja</t>
        </is>
      </c>
      <c r="B4136" t="inlineStr">
        <is>
          <t>Anadia - AL</t>
        </is>
      </c>
      <c r="C4136" t="n">
        <v>-9.684889999999999</v>
      </c>
      <c r="D4136" t="n">
        <v>-36.3078</v>
      </c>
      <c r="E4136" t="inlineStr">
        <is>
          <t>2024-01</t>
        </is>
      </c>
      <c r="F4136" t="n">
        <v>0</v>
      </c>
    </row>
    <row r="4137">
      <c r="A4137" t="inlineStr">
        <is>
          <t>Soja</t>
        </is>
      </c>
      <c r="B4137" t="inlineStr">
        <is>
          <t>Anadia - AL</t>
        </is>
      </c>
      <c r="C4137" t="n">
        <v>-9.684889999999999</v>
      </c>
      <c r="D4137" t="n">
        <v>-36.3078</v>
      </c>
      <c r="E4137" t="inlineStr">
        <is>
          <t>2024-02</t>
        </is>
      </c>
      <c r="F4137" t="n">
        <v>0</v>
      </c>
    </row>
    <row r="4138">
      <c r="A4138" t="inlineStr">
        <is>
          <t>Soja</t>
        </is>
      </c>
      <c r="B4138" t="inlineStr">
        <is>
          <t>Anadia - AL</t>
        </is>
      </c>
      <c r="C4138" t="n">
        <v>-9.684889999999999</v>
      </c>
      <c r="D4138" t="n">
        <v>-36.3078</v>
      </c>
      <c r="E4138" t="inlineStr">
        <is>
          <t>2024-03</t>
        </is>
      </c>
      <c r="F4138" t="n">
        <v>0</v>
      </c>
    </row>
    <row r="4139">
      <c r="A4139" t="inlineStr">
        <is>
          <t>Soja</t>
        </is>
      </c>
      <c r="B4139" t="inlineStr">
        <is>
          <t>Anadia - AL</t>
        </is>
      </c>
      <c r="C4139" t="n">
        <v>-9.684889999999999</v>
      </c>
      <c r="D4139" t="n">
        <v>-36.3078</v>
      </c>
      <c r="E4139" t="inlineStr">
        <is>
          <t>2024-04</t>
        </is>
      </c>
      <c r="F4139" t="n">
        <v>0</v>
      </c>
    </row>
    <row r="4140">
      <c r="A4140" t="inlineStr">
        <is>
          <t>Soja</t>
        </is>
      </c>
      <c r="B4140" t="inlineStr">
        <is>
          <t>Anadia - AL</t>
        </is>
      </c>
      <c r="C4140" t="n">
        <v>-9.684889999999999</v>
      </c>
      <c r="D4140" t="n">
        <v>-36.3078</v>
      </c>
      <c r="E4140" t="inlineStr">
        <is>
          <t>2024-05</t>
        </is>
      </c>
      <c r="F4140" t="n">
        <v>0</v>
      </c>
    </row>
    <row r="4141">
      <c r="A4141" t="inlineStr">
        <is>
          <t>Soja</t>
        </is>
      </c>
      <c r="B4141" t="inlineStr">
        <is>
          <t>Anadia - AL</t>
        </is>
      </c>
      <c r="C4141" t="n">
        <v>-9.684889999999999</v>
      </c>
      <c r="D4141" t="n">
        <v>-36.3078</v>
      </c>
      <c r="E4141" t="inlineStr">
        <is>
          <t>2024-06</t>
        </is>
      </c>
      <c r="F4141" t="n">
        <v>0</v>
      </c>
    </row>
    <row r="4142">
      <c r="A4142" t="inlineStr">
        <is>
          <t>Soja</t>
        </is>
      </c>
      <c r="B4142" t="inlineStr">
        <is>
          <t>Anadia - AL</t>
        </is>
      </c>
      <c r="C4142" t="n">
        <v>-9.684889999999999</v>
      </c>
      <c r="D4142" t="n">
        <v>-36.3078</v>
      </c>
      <c r="E4142" t="inlineStr">
        <is>
          <t>2023-07</t>
        </is>
      </c>
      <c r="F4142" t="n">
        <v>0</v>
      </c>
    </row>
    <row r="4143">
      <c r="A4143" t="inlineStr">
        <is>
          <t>Soja</t>
        </is>
      </c>
      <c r="B4143" t="inlineStr">
        <is>
          <t>Anadia - AL</t>
        </is>
      </c>
      <c r="C4143" t="n">
        <v>-9.684889999999999</v>
      </c>
      <c r="D4143" t="n">
        <v>-36.3078</v>
      </c>
      <c r="E4143" t="inlineStr">
        <is>
          <t>2023-08</t>
        </is>
      </c>
      <c r="F4143" t="n">
        <v>0</v>
      </c>
    </row>
    <row r="4144">
      <c r="A4144" t="inlineStr">
        <is>
          <t>Soja</t>
        </is>
      </c>
      <c r="B4144" t="inlineStr">
        <is>
          <t>Anadia - AL</t>
        </is>
      </c>
      <c r="C4144" t="n">
        <v>-9.684889999999999</v>
      </c>
      <c r="D4144" t="n">
        <v>-36.3078</v>
      </c>
      <c r="E4144" t="inlineStr">
        <is>
          <t>2023-09</t>
        </is>
      </c>
      <c r="F4144" t="n">
        <v>0</v>
      </c>
    </row>
    <row r="4145">
      <c r="A4145" t="inlineStr">
        <is>
          <t>Soja</t>
        </is>
      </c>
      <c r="B4145" t="inlineStr">
        <is>
          <t>Anadia - AL</t>
        </is>
      </c>
      <c r="C4145" t="n">
        <v>-9.684889999999999</v>
      </c>
      <c r="D4145" t="n">
        <v>-36.3078</v>
      </c>
      <c r="E4145" t="inlineStr">
        <is>
          <t>2023-10</t>
        </is>
      </c>
      <c r="F4145" t="n">
        <v>0</v>
      </c>
    </row>
    <row r="4146">
      <c r="A4146" t="inlineStr">
        <is>
          <t>Soja</t>
        </is>
      </c>
      <c r="B4146" t="inlineStr">
        <is>
          <t>Anadia - AL</t>
        </is>
      </c>
      <c r="C4146" t="n">
        <v>-9.684889999999999</v>
      </c>
      <c r="D4146" t="n">
        <v>-36.3078</v>
      </c>
      <c r="E4146" t="inlineStr">
        <is>
          <t>2023-11</t>
        </is>
      </c>
      <c r="F4146" t="n">
        <v>0</v>
      </c>
    </row>
    <row r="4147">
      <c r="A4147" t="inlineStr">
        <is>
          <t>Soja</t>
        </is>
      </c>
      <c r="B4147" t="inlineStr">
        <is>
          <t>Anadia - AL</t>
        </is>
      </c>
      <c r="C4147" t="n">
        <v>-9.684889999999999</v>
      </c>
      <c r="D4147" t="n">
        <v>-36.3078</v>
      </c>
      <c r="E4147" t="inlineStr">
        <is>
          <t>2023-12</t>
        </is>
      </c>
      <c r="F4147" t="n">
        <v>0</v>
      </c>
    </row>
    <row r="4148">
      <c r="A4148" t="inlineStr">
        <is>
          <t>Soja</t>
        </is>
      </c>
      <c r="B4148" t="inlineStr">
        <is>
          <t>Macapá - AP</t>
        </is>
      </c>
      <c r="C4148" t="n">
        <v>0.034934</v>
      </c>
      <c r="D4148" t="n">
        <v>-51.0694</v>
      </c>
      <c r="E4148" t="inlineStr">
        <is>
          <t>2024-01</t>
        </is>
      </c>
      <c r="F4148" t="n">
        <v>0</v>
      </c>
    </row>
    <row r="4149">
      <c r="A4149" t="inlineStr">
        <is>
          <t>Soja</t>
        </is>
      </c>
      <c r="B4149" t="inlineStr">
        <is>
          <t>Macapá - AP</t>
        </is>
      </c>
      <c r="C4149" t="n">
        <v>0.034934</v>
      </c>
      <c r="D4149" t="n">
        <v>-51.0694</v>
      </c>
      <c r="E4149" t="inlineStr">
        <is>
          <t>2024-02</t>
        </is>
      </c>
      <c r="F4149" t="n">
        <v>0</v>
      </c>
    </row>
    <row r="4150">
      <c r="A4150" t="inlineStr">
        <is>
          <t>Soja</t>
        </is>
      </c>
      <c r="B4150" t="inlineStr">
        <is>
          <t>Macapá - AP</t>
        </is>
      </c>
      <c r="C4150" t="n">
        <v>0.034934</v>
      </c>
      <c r="D4150" t="n">
        <v>-51.0694</v>
      </c>
      <c r="E4150" t="inlineStr">
        <is>
          <t>2024-03</t>
        </is>
      </c>
      <c r="F4150" t="n">
        <v>0</v>
      </c>
    </row>
    <row r="4151">
      <c r="A4151" t="inlineStr">
        <is>
          <t>Soja</t>
        </is>
      </c>
      <c r="B4151" t="inlineStr">
        <is>
          <t>Macapá - AP</t>
        </is>
      </c>
      <c r="C4151" t="n">
        <v>0.034934</v>
      </c>
      <c r="D4151" t="n">
        <v>-51.0694</v>
      </c>
      <c r="E4151" t="inlineStr">
        <is>
          <t>2024-04</t>
        </is>
      </c>
      <c r="F4151" t="n">
        <v>0</v>
      </c>
    </row>
    <row r="4152">
      <c r="A4152" t="inlineStr">
        <is>
          <t>Soja</t>
        </is>
      </c>
      <c r="B4152" t="inlineStr">
        <is>
          <t>Macapá - AP</t>
        </is>
      </c>
      <c r="C4152" t="n">
        <v>0.034934</v>
      </c>
      <c r="D4152" t="n">
        <v>-51.0694</v>
      </c>
      <c r="E4152" t="inlineStr">
        <is>
          <t>2024-05</t>
        </is>
      </c>
      <c r="F4152" t="n">
        <v>0</v>
      </c>
    </row>
    <row r="4153">
      <c r="A4153" t="inlineStr">
        <is>
          <t>Soja</t>
        </is>
      </c>
      <c r="B4153" t="inlineStr">
        <is>
          <t>Macapá - AP</t>
        </is>
      </c>
      <c r="C4153" t="n">
        <v>0.034934</v>
      </c>
      <c r="D4153" t="n">
        <v>-51.0694</v>
      </c>
      <c r="E4153" t="inlineStr">
        <is>
          <t>2024-06</t>
        </is>
      </c>
      <c r="F4153" t="n">
        <v>0</v>
      </c>
    </row>
    <row r="4154">
      <c r="A4154" t="inlineStr">
        <is>
          <t>Soja</t>
        </is>
      </c>
      <c r="B4154" t="inlineStr">
        <is>
          <t>Macapá - AP</t>
        </is>
      </c>
      <c r="C4154" t="n">
        <v>0.034934</v>
      </c>
      <c r="D4154" t="n">
        <v>-51.0694</v>
      </c>
      <c r="E4154" t="inlineStr">
        <is>
          <t>2023-07</t>
        </is>
      </c>
      <c r="F4154" t="n">
        <v>0</v>
      </c>
    </row>
    <row r="4155">
      <c r="A4155" t="inlineStr">
        <is>
          <t>Soja</t>
        </is>
      </c>
      <c r="B4155" t="inlineStr">
        <is>
          <t>Macapá - AP</t>
        </is>
      </c>
      <c r="C4155" t="n">
        <v>0.034934</v>
      </c>
      <c r="D4155" t="n">
        <v>-51.0694</v>
      </c>
      <c r="E4155" t="inlineStr">
        <is>
          <t>2023-08</t>
        </is>
      </c>
      <c r="F4155" t="n">
        <v>0</v>
      </c>
    </row>
    <row r="4156">
      <c r="A4156" t="inlineStr">
        <is>
          <t>Soja</t>
        </is>
      </c>
      <c r="B4156" t="inlineStr">
        <is>
          <t>Macapá - AP</t>
        </is>
      </c>
      <c r="C4156" t="n">
        <v>0.034934</v>
      </c>
      <c r="D4156" t="n">
        <v>-51.0694</v>
      </c>
      <c r="E4156" t="inlineStr">
        <is>
          <t>2023-09</t>
        </is>
      </c>
      <c r="F4156" t="n">
        <v>0</v>
      </c>
    </row>
    <row r="4157">
      <c r="A4157" t="inlineStr">
        <is>
          <t>Soja</t>
        </is>
      </c>
      <c r="B4157" t="inlineStr">
        <is>
          <t>Macapá - AP</t>
        </is>
      </c>
      <c r="C4157" t="n">
        <v>0.034934</v>
      </c>
      <c r="D4157" t="n">
        <v>-51.0694</v>
      </c>
      <c r="E4157" t="inlineStr">
        <is>
          <t>2023-10</t>
        </is>
      </c>
      <c r="F4157" t="n">
        <v>0</v>
      </c>
    </row>
    <row r="4158">
      <c r="A4158" t="inlineStr">
        <is>
          <t>Soja</t>
        </is>
      </c>
      <c r="B4158" t="inlineStr">
        <is>
          <t>Macapá - AP</t>
        </is>
      </c>
      <c r="C4158" t="n">
        <v>0.034934</v>
      </c>
      <c r="D4158" t="n">
        <v>-51.0694</v>
      </c>
      <c r="E4158" t="inlineStr">
        <is>
          <t>2023-11</t>
        </is>
      </c>
      <c r="F4158" t="n">
        <v>0</v>
      </c>
    </row>
    <row r="4159">
      <c r="A4159" t="inlineStr">
        <is>
          <t>Soja</t>
        </is>
      </c>
      <c r="B4159" t="inlineStr">
        <is>
          <t>Macapá - AP</t>
        </is>
      </c>
      <c r="C4159" t="n">
        <v>0.034934</v>
      </c>
      <c r="D4159" t="n">
        <v>-51.0694</v>
      </c>
      <c r="E4159" t="inlineStr">
        <is>
          <t>2023-12</t>
        </is>
      </c>
      <c r="F4159" t="n">
        <v>0</v>
      </c>
    </row>
    <row r="4160">
      <c r="A4160" t="inlineStr">
        <is>
          <t>Soja</t>
        </is>
      </c>
      <c r="B4160" t="inlineStr">
        <is>
          <t>Limoeiro do Norte - CE</t>
        </is>
      </c>
      <c r="C4160" t="n">
        <v>-5.14392</v>
      </c>
      <c r="D4160" t="n">
        <v>-38.0847</v>
      </c>
      <c r="E4160" t="inlineStr">
        <is>
          <t>2024-01</t>
        </is>
      </c>
      <c r="F4160" t="n">
        <v>0</v>
      </c>
    </row>
    <row r="4161">
      <c r="A4161" t="inlineStr">
        <is>
          <t>Soja</t>
        </is>
      </c>
      <c r="B4161" t="inlineStr">
        <is>
          <t>Limoeiro do Norte - CE</t>
        </is>
      </c>
      <c r="C4161" t="n">
        <v>-5.14392</v>
      </c>
      <c r="D4161" t="n">
        <v>-38.0847</v>
      </c>
      <c r="E4161" t="inlineStr">
        <is>
          <t>2024-02</t>
        </is>
      </c>
      <c r="F4161" t="n">
        <v>0</v>
      </c>
    </row>
    <row r="4162">
      <c r="A4162" t="inlineStr">
        <is>
          <t>Soja</t>
        </is>
      </c>
      <c r="B4162" t="inlineStr">
        <is>
          <t>Limoeiro do Norte - CE</t>
        </is>
      </c>
      <c r="C4162" t="n">
        <v>-5.14392</v>
      </c>
      <c r="D4162" t="n">
        <v>-38.0847</v>
      </c>
      <c r="E4162" t="inlineStr">
        <is>
          <t>2024-03</t>
        </is>
      </c>
      <c r="F4162" t="n">
        <v>0</v>
      </c>
    </row>
    <row r="4163">
      <c r="A4163" t="inlineStr">
        <is>
          <t>Soja</t>
        </is>
      </c>
      <c r="B4163" t="inlineStr">
        <is>
          <t>Limoeiro do Norte - CE</t>
        </is>
      </c>
      <c r="C4163" t="n">
        <v>-5.14392</v>
      </c>
      <c r="D4163" t="n">
        <v>-38.0847</v>
      </c>
      <c r="E4163" t="inlineStr">
        <is>
          <t>2024-04</t>
        </is>
      </c>
      <c r="F4163" t="n">
        <v>0</v>
      </c>
    </row>
    <row r="4164">
      <c r="A4164" t="inlineStr">
        <is>
          <t>Soja</t>
        </is>
      </c>
      <c r="B4164" t="inlineStr">
        <is>
          <t>Limoeiro do Norte - CE</t>
        </is>
      </c>
      <c r="C4164" t="n">
        <v>-5.14392</v>
      </c>
      <c r="D4164" t="n">
        <v>-38.0847</v>
      </c>
      <c r="E4164" t="inlineStr">
        <is>
          <t>2024-05</t>
        </is>
      </c>
      <c r="F4164" t="n">
        <v>0</v>
      </c>
    </row>
    <row r="4165">
      <c r="A4165" t="inlineStr">
        <is>
          <t>Soja</t>
        </is>
      </c>
      <c r="B4165" t="inlineStr">
        <is>
          <t>Limoeiro do Norte - CE</t>
        </is>
      </c>
      <c r="C4165" t="n">
        <v>-5.14392</v>
      </c>
      <c r="D4165" t="n">
        <v>-38.0847</v>
      </c>
      <c r="E4165" t="inlineStr">
        <is>
          <t>2024-06</t>
        </is>
      </c>
      <c r="F4165" t="n">
        <v>0</v>
      </c>
    </row>
    <row r="4166">
      <c r="A4166" t="inlineStr">
        <is>
          <t>Soja</t>
        </is>
      </c>
      <c r="B4166" t="inlineStr">
        <is>
          <t>Limoeiro do Norte - CE</t>
        </is>
      </c>
      <c r="C4166" t="n">
        <v>-5.14392</v>
      </c>
      <c r="D4166" t="n">
        <v>-38.0847</v>
      </c>
      <c r="E4166" t="inlineStr">
        <is>
          <t>2023-07</t>
        </is>
      </c>
      <c r="F4166" t="n">
        <v>0</v>
      </c>
    </row>
    <row r="4167">
      <c r="A4167" t="inlineStr">
        <is>
          <t>Soja</t>
        </is>
      </c>
      <c r="B4167" t="inlineStr">
        <is>
          <t>Limoeiro do Norte - CE</t>
        </is>
      </c>
      <c r="C4167" t="n">
        <v>-5.14392</v>
      </c>
      <c r="D4167" t="n">
        <v>-38.0847</v>
      </c>
      <c r="E4167" t="inlineStr">
        <is>
          <t>2023-08</t>
        </is>
      </c>
      <c r="F4167" t="n">
        <v>0</v>
      </c>
    </row>
    <row r="4168">
      <c r="A4168" t="inlineStr">
        <is>
          <t>Soja</t>
        </is>
      </c>
      <c r="B4168" t="inlineStr">
        <is>
          <t>Limoeiro do Norte - CE</t>
        </is>
      </c>
      <c r="C4168" t="n">
        <v>-5.14392</v>
      </c>
      <c r="D4168" t="n">
        <v>-38.0847</v>
      </c>
      <c r="E4168" t="inlineStr">
        <is>
          <t>2023-09</t>
        </is>
      </c>
      <c r="F4168" t="n">
        <v>0</v>
      </c>
    </row>
    <row r="4169">
      <c r="A4169" t="inlineStr">
        <is>
          <t>Soja</t>
        </is>
      </c>
      <c r="B4169" t="inlineStr">
        <is>
          <t>Limoeiro do Norte - CE</t>
        </is>
      </c>
      <c r="C4169" t="n">
        <v>-5.14392</v>
      </c>
      <c r="D4169" t="n">
        <v>-38.0847</v>
      </c>
      <c r="E4169" t="inlineStr">
        <is>
          <t>2023-10</t>
        </is>
      </c>
      <c r="F4169" t="n">
        <v>0</v>
      </c>
    </row>
    <row r="4170">
      <c r="A4170" t="inlineStr">
        <is>
          <t>Soja</t>
        </is>
      </c>
      <c r="B4170" t="inlineStr">
        <is>
          <t>Limoeiro do Norte - CE</t>
        </is>
      </c>
      <c r="C4170" t="n">
        <v>-5.14392</v>
      </c>
      <c r="D4170" t="n">
        <v>-38.0847</v>
      </c>
      <c r="E4170" t="inlineStr">
        <is>
          <t>2023-11</t>
        </is>
      </c>
      <c r="F4170" t="n">
        <v>0</v>
      </c>
    </row>
    <row r="4171">
      <c r="A4171" t="inlineStr">
        <is>
          <t>Soja</t>
        </is>
      </c>
      <c r="B4171" t="inlineStr">
        <is>
          <t>Limoeiro do Norte - CE</t>
        </is>
      </c>
      <c r="C4171" t="n">
        <v>-5.14392</v>
      </c>
      <c r="D4171" t="n">
        <v>-38.0847</v>
      </c>
      <c r="E4171" t="inlineStr">
        <is>
          <t>2023-12</t>
        </is>
      </c>
      <c r="F4171" t="n">
        <v>0</v>
      </c>
    </row>
    <row r="4172">
      <c r="A4172" t="inlineStr">
        <is>
          <t>Soja</t>
        </is>
      </c>
      <c r="B4172" t="inlineStr">
        <is>
          <t>Pinheiros - ES</t>
        </is>
      </c>
      <c r="C4172" t="n">
        <v>-18.4141</v>
      </c>
      <c r="D4172" t="n">
        <v>-40.2171</v>
      </c>
      <c r="E4172" t="inlineStr">
        <is>
          <t>2024-01</t>
        </is>
      </c>
      <c r="F4172" t="n">
        <v>0</v>
      </c>
    </row>
    <row r="4173">
      <c r="A4173" t="inlineStr">
        <is>
          <t>Soja</t>
        </is>
      </c>
      <c r="B4173" t="inlineStr">
        <is>
          <t>Pinheiros - ES</t>
        </is>
      </c>
      <c r="C4173" t="n">
        <v>-18.4141</v>
      </c>
      <c r="D4173" t="n">
        <v>-40.2171</v>
      </c>
      <c r="E4173" t="inlineStr">
        <is>
          <t>2024-02</t>
        </is>
      </c>
      <c r="F4173" t="n">
        <v>0</v>
      </c>
    </row>
    <row r="4174">
      <c r="A4174" t="inlineStr">
        <is>
          <t>Soja</t>
        </is>
      </c>
      <c r="B4174" t="inlineStr">
        <is>
          <t>Pinheiros - ES</t>
        </is>
      </c>
      <c r="C4174" t="n">
        <v>-18.4141</v>
      </c>
      <c r="D4174" t="n">
        <v>-40.2171</v>
      </c>
      <c r="E4174" t="inlineStr">
        <is>
          <t>2024-03</t>
        </is>
      </c>
      <c r="F4174" t="n">
        <v>0</v>
      </c>
    </row>
    <row r="4175">
      <c r="A4175" t="inlineStr">
        <is>
          <t>Soja</t>
        </is>
      </c>
      <c r="B4175" t="inlineStr">
        <is>
          <t>Pinheiros - ES</t>
        </is>
      </c>
      <c r="C4175" t="n">
        <v>-18.4141</v>
      </c>
      <c r="D4175" t="n">
        <v>-40.2171</v>
      </c>
      <c r="E4175" t="inlineStr">
        <is>
          <t>2024-04</t>
        </is>
      </c>
      <c r="F4175" t="n">
        <v>0</v>
      </c>
    </row>
    <row r="4176">
      <c r="A4176" t="inlineStr">
        <is>
          <t>Soja</t>
        </is>
      </c>
      <c r="B4176" t="inlineStr">
        <is>
          <t>Pinheiros - ES</t>
        </is>
      </c>
      <c r="C4176" t="n">
        <v>-18.4141</v>
      </c>
      <c r="D4176" t="n">
        <v>-40.2171</v>
      </c>
      <c r="E4176" t="inlineStr">
        <is>
          <t>2024-05</t>
        </is>
      </c>
      <c r="F4176" t="n">
        <v>0</v>
      </c>
    </row>
    <row r="4177">
      <c r="A4177" t="inlineStr">
        <is>
          <t>Soja</t>
        </is>
      </c>
      <c r="B4177" t="inlineStr">
        <is>
          <t>Pinheiros - ES</t>
        </is>
      </c>
      <c r="C4177" t="n">
        <v>-18.4141</v>
      </c>
      <c r="D4177" t="n">
        <v>-40.2171</v>
      </c>
      <c r="E4177" t="inlineStr">
        <is>
          <t>2024-06</t>
        </is>
      </c>
      <c r="F4177" t="n">
        <v>0</v>
      </c>
    </row>
    <row r="4178">
      <c r="A4178" t="inlineStr">
        <is>
          <t>Soja</t>
        </is>
      </c>
      <c r="B4178" t="inlineStr">
        <is>
          <t>Pinheiros - ES</t>
        </is>
      </c>
      <c r="C4178" t="n">
        <v>-18.4141</v>
      </c>
      <c r="D4178" t="n">
        <v>-40.2171</v>
      </c>
      <c r="E4178" t="inlineStr">
        <is>
          <t>2023-07</t>
        </is>
      </c>
      <c r="F4178" t="n">
        <v>0</v>
      </c>
    </row>
    <row r="4179">
      <c r="A4179" t="inlineStr">
        <is>
          <t>Soja</t>
        </is>
      </c>
      <c r="B4179" t="inlineStr">
        <is>
          <t>Pinheiros - ES</t>
        </is>
      </c>
      <c r="C4179" t="n">
        <v>-18.4141</v>
      </c>
      <c r="D4179" t="n">
        <v>-40.2171</v>
      </c>
      <c r="E4179" t="inlineStr">
        <is>
          <t>2023-08</t>
        </is>
      </c>
      <c r="F4179" t="n">
        <v>0</v>
      </c>
    </row>
    <row r="4180">
      <c r="A4180" t="inlineStr">
        <is>
          <t>Soja</t>
        </is>
      </c>
      <c r="B4180" t="inlineStr">
        <is>
          <t>Pinheiros - ES</t>
        </is>
      </c>
      <c r="C4180" t="n">
        <v>-18.4141</v>
      </c>
      <c r="D4180" t="n">
        <v>-40.2171</v>
      </c>
      <c r="E4180" t="inlineStr">
        <is>
          <t>2023-09</t>
        </is>
      </c>
      <c r="F4180" t="n">
        <v>0</v>
      </c>
    </row>
    <row r="4181">
      <c r="A4181" t="inlineStr">
        <is>
          <t>Soja</t>
        </is>
      </c>
      <c r="B4181" t="inlineStr">
        <is>
          <t>Pinheiros - ES</t>
        </is>
      </c>
      <c r="C4181" t="n">
        <v>-18.4141</v>
      </c>
      <c r="D4181" t="n">
        <v>-40.2171</v>
      </c>
      <c r="E4181" t="inlineStr">
        <is>
          <t>2023-10</t>
        </is>
      </c>
      <c r="F4181" t="n">
        <v>0</v>
      </c>
    </row>
    <row r="4182">
      <c r="A4182" t="inlineStr">
        <is>
          <t>Soja</t>
        </is>
      </c>
      <c r="B4182" t="inlineStr">
        <is>
          <t>Pinheiros - ES</t>
        </is>
      </c>
      <c r="C4182" t="n">
        <v>-18.4141</v>
      </c>
      <c r="D4182" t="n">
        <v>-40.2171</v>
      </c>
      <c r="E4182" t="inlineStr">
        <is>
          <t>2023-11</t>
        </is>
      </c>
      <c r="F4182" t="n">
        <v>0</v>
      </c>
    </row>
    <row r="4183">
      <c r="A4183" t="inlineStr">
        <is>
          <t>Soja</t>
        </is>
      </c>
      <c r="B4183" t="inlineStr">
        <is>
          <t>Pinheiros - ES</t>
        </is>
      </c>
      <c r="C4183" t="n">
        <v>-18.4141</v>
      </c>
      <c r="D4183" t="n">
        <v>-40.2171</v>
      </c>
      <c r="E4183" t="inlineStr">
        <is>
          <t>2023-12</t>
        </is>
      </c>
      <c r="F4183" t="n">
        <v>0</v>
      </c>
    </row>
    <row r="4184">
      <c r="A4184" t="inlineStr">
        <is>
          <t>Soja</t>
        </is>
      </c>
      <c r="B4184" t="inlineStr">
        <is>
          <t>Campos dos Goytacazes - RJ</t>
        </is>
      </c>
      <c r="C4184" t="n">
        <v>-21.7622</v>
      </c>
      <c r="D4184" t="n">
        <v>-41.3181</v>
      </c>
      <c r="E4184" t="inlineStr">
        <is>
          <t>2024-01</t>
        </is>
      </c>
      <c r="F4184" t="n">
        <v>0</v>
      </c>
    </row>
    <row r="4185">
      <c r="A4185" t="inlineStr">
        <is>
          <t>Soja</t>
        </is>
      </c>
      <c r="B4185" t="inlineStr">
        <is>
          <t>Campos dos Goytacazes - RJ</t>
        </is>
      </c>
      <c r="C4185" t="n">
        <v>-21.7622</v>
      </c>
      <c r="D4185" t="n">
        <v>-41.3181</v>
      </c>
      <c r="E4185" t="inlineStr">
        <is>
          <t>2024-02</t>
        </is>
      </c>
      <c r="F4185" t="n">
        <v>0</v>
      </c>
    </row>
    <row r="4186">
      <c r="A4186" t="inlineStr">
        <is>
          <t>Soja</t>
        </is>
      </c>
      <c r="B4186" t="inlineStr">
        <is>
          <t>Campos dos Goytacazes - RJ</t>
        </is>
      </c>
      <c r="C4186" t="n">
        <v>-21.7622</v>
      </c>
      <c r="D4186" t="n">
        <v>-41.3181</v>
      </c>
      <c r="E4186" t="inlineStr">
        <is>
          <t>2024-03</t>
        </is>
      </c>
      <c r="F4186" t="n">
        <v>0</v>
      </c>
    </row>
    <row r="4187">
      <c r="A4187" t="inlineStr">
        <is>
          <t>Soja</t>
        </is>
      </c>
      <c r="B4187" t="inlineStr">
        <is>
          <t>Campos dos Goytacazes - RJ</t>
        </is>
      </c>
      <c r="C4187" t="n">
        <v>-21.7622</v>
      </c>
      <c r="D4187" t="n">
        <v>-41.3181</v>
      </c>
      <c r="E4187" t="inlineStr">
        <is>
          <t>2024-04</t>
        </is>
      </c>
      <c r="F4187" t="n">
        <v>0</v>
      </c>
    </row>
    <row r="4188">
      <c r="A4188" t="inlineStr">
        <is>
          <t>Soja</t>
        </is>
      </c>
      <c r="B4188" t="inlineStr">
        <is>
          <t>Campos dos Goytacazes - RJ</t>
        </is>
      </c>
      <c r="C4188" t="n">
        <v>-21.7622</v>
      </c>
      <c r="D4188" t="n">
        <v>-41.3181</v>
      </c>
      <c r="E4188" t="inlineStr">
        <is>
          <t>2024-05</t>
        </is>
      </c>
      <c r="F4188" t="n">
        <v>0</v>
      </c>
    </row>
    <row r="4189">
      <c r="A4189" t="inlineStr">
        <is>
          <t>Soja</t>
        </is>
      </c>
      <c r="B4189" t="inlineStr">
        <is>
          <t>Campos dos Goytacazes - RJ</t>
        </is>
      </c>
      <c r="C4189" t="n">
        <v>-21.7622</v>
      </c>
      <c r="D4189" t="n">
        <v>-41.3181</v>
      </c>
      <c r="E4189" t="inlineStr">
        <is>
          <t>2024-06</t>
        </is>
      </c>
      <c r="F4189" t="n">
        <v>0</v>
      </c>
    </row>
    <row r="4190">
      <c r="A4190" t="inlineStr">
        <is>
          <t>Soja</t>
        </is>
      </c>
      <c r="B4190" t="inlineStr">
        <is>
          <t>Campos dos Goytacazes - RJ</t>
        </is>
      </c>
      <c r="C4190" t="n">
        <v>-21.7622</v>
      </c>
      <c r="D4190" t="n">
        <v>-41.3181</v>
      </c>
      <c r="E4190" t="inlineStr">
        <is>
          <t>2023-07</t>
        </is>
      </c>
      <c r="F4190" t="n">
        <v>0</v>
      </c>
    </row>
    <row r="4191">
      <c r="A4191" t="inlineStr">
        <is>
          <t>Soja</t>
        </is>
      </c>
      <c r="B4191" t="inlineStr">
        <is>
          <t>Campos dos Goytacazes - RJ</t>
        </is>
      </c>
      <c r="C4191" t="n">
        <v>-21.7622</v>
      </c>
      <c r="D4191" t="n">
        <v>-41.3181</v>
      </c>
      <c r="E4191" t="inlineStr">
        <is>
          <t>2023-08</t>
        </is>
      </c>
      <c r="F4191" t="n">
        <v>0</v>
      </c>
    </row>
    <row r="4192">
      <c r="A4192" t="inlineStr">
        <is>
          <t>Soja</t>
        </is>
      </c>
      <c r="B4192" t="inlineStr">
        <is>
          <t>Campos dos Goytacazes - RJ</t>
        </is>
      </c>
      <c r="C4192" t="n">
        <v>-21.7622</v>
      </c>
      <c r="D4192" t="n">
        <v>-41.3181</v>
      </c>
      <c r="E4192" t="inlineStr">
        <is>
          <t>2023-09</t>
        </is>
      </c>
      <c r="F4192" t="n">
        <v>0</v>
      </c>
    </row>
    <row r="4193">
      <c r="A4193" t="inlineStr">
        <is>
          <t>Soja</t>
        </is>
      </c>
      <c r="B4193" t="inlineStr">
        <is>
          <t>Campos dos Goytacazes - RJ</t>
        </is>
      </c>
      <c r="C4193" t="n">
        <v>-21.7622</v>
      </c>
      <c r="D4193" t="n">
        <v>-41.3181</v>
      </c>
      <c r="E4193" t="inlineStr">
        <is>
          <t>2023-10</t>
        </is>
      </c>
      <c r="F4193" t="n">
        <v>0</v>
      </c>
    </row>
    <row r="4194">
      <c r="A4194" t="inlineStr">
        <is>
          <t>Soja</t>
        </is>
      </c>
      <c r="B4194" t="inlineStr">
        <is>
          <t>Campos dos Goytacazes - RJ</t>
        </is>
      </c>
      <c r="C4194" t="n">
        <v>-21.7622</v>
      </c>
      <c r="D4194" t="n">
        <v>-41.3181</v>
      </c>
      <c r="E4194" t="inlineStr">
        <is>
          <t>2023-11</t>
        </is>
      </c>
      <c r="F4194" t="n">
        <v>0</v>
      </c>
    </row>
    <row r="4195">
      <c r="A4195" t="inlineStr">
        <is>
          <t>Soja</t>
        </is>
      </c>
      <c r="B4195" t="inlineStr">
        <is>
          <t>Campos dos Goytacazes - RJ</t>
        </is>
      </c>
      <c r="C4195" t="n">
        <v>-21.7622</v>
      </c>
      <c r="D4195" t="n">
        <v>-41.3181</v>
      </c>
      <c r="E4195" t="inlineStr">
        <is>
          <t>2023-12</t>
        </is>
      </c>
      <c r="F4195" t="n">
        <v>0</v>
      </c>
    </row>
    <row r="4196">
      <c r="A4196" t="inlineStr">
        <is>
          <t>Soja</t>
        </is>
      </c>
      <c r="B4196" t="inlineStr">
        <is>
          <t>Alto do Rodrigues - RN</t>
        </is>
      </c>
      <c r="C4196" t="n">
        <v>-5.28186</v>
      </c>
      <c r="D4196" t="n">
        <v>-36.75</v>
      </c>
      <c r="E4196" t="inlineStr">
        <is>
          <t>2024-01</t>
        </is>
      </c>
      <c r="F4196" t="n">
        <v>0</v>
      </c>
    </row>
    <row r="4197">
      <c r="A4197" t="inlineStr">
        <is>
          <t>Soja</t>
        </is>
      </c>
      <c r="B4197" t="inlineStr">
        <is>
          <t>Alto do Rodrigues - RN</t>
        </is>
      </c>
      <c r="C4197" t="n">
        <v>-5.28186</v>
      </c>
      <c r="D4197" t="n">
        <v>-36.75</v>
      </c>
      <c r="E4197" t="inlineStr">
        <is>
          <t>2024-02</t>
        </is>
      </c>
      <c r="F4197" t="n">
        <v>0</v>
      </c>
    </row>
    <row r="4198">
      <c r="A4198" t="inlineStr">
        <is>
          <t>Soja</t>
        </is>
      </c>
      <c r="B4198" t="inlineStr">
        <is>
          <t>Alto do Rodrigues - RN</t>
        </is>
      </c>
      <c r="C4198" t="n">
        <v>-5.28186</v>
      </c>
      <c r="D4198" t="n">
        <v>-36.75</v>
      </c>
      <c r="E4198" t="inlineStr">
        <is>
          <t>2024-03</t>
        </is>
      </c>
      <c r="F4198" t="n">
        <v>0</v>
      </c>
    </row>
    <row r="4199">
      <c r="A4199" t="inlineStr">
        <is>
          <t>Soja</t>
        </is>
      </c>
      <c r="B4199" t="inlineStr">
        <is>
          <t>Alto do Rodrigues - RN</t>
        </is>
      </c>
      <c r="C4199" t="n">
        <v>-5.28186</v>
      </c>
      <c r="D4199" t="n">
        <v>-36.75</v>
      </c>
      <c r="E4199" t="inlineStr">
        <is>
          <t>2024-04</t>
        </is>
      </c>
      <c r="F4199" t="n">
        <v>0</v>
      </c>
    </row>
    <row r="4200">
      <c r="A4200" t="inlineStr">
        <is>
          <t>Soja</t>
        </is>
      </c>
      <c r="B4200" t="inlineStr">
        <is>
          <t>Alto do Rodrigues - RN</t>
        </is>
      </c>
      <c r="C4200" t="n">
        <v>-5.28186</v>
      </c>
      <c r="D4200" t="n">
        <v>-36.75</v>
      </c>
      <c r="E4200" t="inlineStr">
        <is>
          <t>2024-05</t>
        </is>
      </c>
      <c r="F4200" t="n">
        <v>0</v>
      </c>
    </row>
    <row r="4201">
      <c r="A4201" t="inlineStr">
        <is>
          <t>Soja</t>
        </is>
      </c>
      <c r="B4201" t="inlineStr">
        <is>
          <t>Alto do Rodrigues - RN</t>
        </is>
      </c>
      <c r="C4201" t="n">
        <v>-5.28186</v>
      </c>
      <c r="D4201" t="n">
        <v>-36.75</v>
      </c>
      <c r="E4201" t="inlineStr">
        <is>
          <t>2024-06</t>
        </is>
      </c>
      <c r="F4201" t="n">
        <v>0</v>
      </c>
    </row>
    <row r="4202">
      <c r="A4202" t="inlineStr">
        <is>
          <t>Soja</t>
        </is>
      </c>
      <c r="B4202" t="inlineStr">
        <is>
          <t>Alto do Rodrigues - RN</t>
        </is>
      </c>
      <c r="C4202" t="n">
        <v>-5.28186</v>
      </c>
      <c r="D4202" t="n">
        <v>-36.75</v>
      </c>
      <c r="E4202" t="inlineStr">
        <is>
          <t>2023-07</t>
        </is>
      </c>
      <c r="F4202" t="n">
        <v>0</v>
      </c>
    </row>
    <row r="4203">
      <c r="A4203" t="inlineStr">
        <is>
          <t>Soja</t>
        </is>
      </c>
      <c r="B4203" t="inlineStr">
        <is>
          <t>Alto do Rodrigues - RN</t>
        </is>
      </c>
      <c r="C4203" t="n">
        <v>-5.28186</v>
      </c>
      <c r="D4203" t="n">
        <v>-36.75</v>
      </c>
      <c r="E4203" t="inlineStr">
        <is>
          <t>2023-08</t>
        </is>
      </c>
      <c r="F4203" t="n">
        <v>0</v>
      </c>
    </row>
    <row r="4204">
      <c r="A4204" t="inlineStr">
        <is>
          <t>Soja</t>
        </is>
      </c>
      <c r="B4204" t="inlineStr">
        <is>
          <t>Alto do Rodrigues - RN</t>
        </is>
      </c>
      <c r="C4204" t="n">
        <v>-5.28186</v>
      </c>
      <c r="D4204" t="n">
        <v>-36.75</v>
      </c>
      <c r="E4204" t="inlineStr">
        <is>
          <t>2023-09</t>
        </is>
      </c>
      <c r="F4204" t="n">
        <v>0</v>
      </c>
    </row>
    <row r="4205">
      <c r="A4205" t="inlineStr">
        <is>
          <t>Soja</t>
        </is>
      </c>
      <c r="B4205" t="inlineStr">
        <is>
          <t>Alto do Rodrigues - RN</t>
        </is>
      </c>
      <c r="C4205" t="n">
        <v>-5.28186</v>
      </c>
      <c r="D4205" t="n">
        <v>-36.75</v>
      </c>
      <c r="E4205" t="inlineStr">
        <is>
          <t>2023-10</t>
        </is>
      </c>
      <c r="F4205" t="n">
        <v>0</v>
      </c>
    </row>
    <row r="4206">
      <c r="A4206" t="inlineStr">
        <is>
          <t>Soja</t>
        </is>
      </c>
      <c r="B4206" t="inlineStr">
        <is>
          <t>Alto do Rodrigues - RN</t>
        </is>
      </c>
      <c r="C4206" t="n">
        <v>-5.28186</v>
      </c>
      <c r="D4206" t="n">
        <v>-36.75</v>
      </c>
      <c r="E4206" t="inlineStr">
        <is>
          <t>2023-11</t>
        </is>
      </c>
      <c r="F4206" t="n">
        <v>0</v>
      </c>
    </row>
    <row r="4207">
      <c r="A4207" t="inlineStr">
        <is>
          <t>Soja</t>
        </is>
      </c>
      <c r="B4207" t="inlineStr">
        <is>
          <t>Alto do Rodrigues - RN</t>
        </is>
      </c>
      <c r="C4207" t="n">
        <v>-5.28186</v>
      </c>
      <c r="D4207" t="n">
        <v>-36.75</v>
      </c>
      <c r="E4207" t="inlineStr">
        <is>
          <t>2023-12</t>
        </is>
      </c>
      <c r="F4207" t="n">
        <v>0</v>
      </c>
    </row>
    <row r="4208">
      <c r="A4208" t="inlineStr">
        <is>
          <t>Soja</t>
        </is>
      </c>
      <c r="B4208" t="inlineStr">
        <is>
          <t>Humaitá - AM</t>
        </is>
      </c>
      <c r="C4208" t="n">
        <v>-7.51171</v>
      </c>
      <c r="D4208" t="n">
        <v>-63.0327</v>
      </c>
      <c r="E4208" t="inlineStr">
        <is>
          <t>2024-01</t>
        </is>
      </c>
      <c r="F4208" t="n">
        <v>18704.0835006013</v>
      </c>
    </row>
    <row r="4209">
      <c r="A4209" t="inlineStr">
        <is>
          <t>Soja</t>
        </is>
      </c>
      <c r="B4209" t="inlineStr">
        <is>
          <t>Humaitá - AM</t>
        </is>
      </c>
      <c r="C4209" t="n">
        <v>-7.51171</v>
      </c>
      <c r="D4209" t="n">
        <v>-63.0327</v>
      </c>
      <c r="E4209" t="inlineStr">
        <is>
          <t>2024-02</t>
        </is>
      </c>
      <c r="F4209" t="n">
        <v>18704.0835006013</v>
      </c>
    </row>
    <row r="4210">
      <c r="A4210" t="inlineStr">
        <is>
          <t>Soja</t>
        </is>
      </c>
      <c r="B4210" t="inlineStr">
        <is>
          <t>Humaitá - AM</t>
        </is>
      </c>
      <c r="C4210" t="n">
        <v>-7.51171</v>
      </c>
      <c r="D4210" t="n">
        <v>-63.0327</v>
      </c>
      <c r="E4210" t="inlineStr">
        <is>
          <t>2024-03</t>
        </is>
      </c>
      <c r="F4210" t="n">
        <v>11222.4501003608</v>
      </c>
    </row>
    <row r="4211">
      <c r="A4211" t="inlineStr">
        <is>
          <t>Soja</t>
        </is>
      </c>
      <c r="B4211" t="inlineStr">
        <is>
          <t>Humaitá - AM</t>
        </is>
      </c>
      <c r="C4211" t="n">
        <v>-7.51171</v>
      </c>
      <c r="D4211" t="n">
        <v>-63.0327</v>
      </c>
      <c r="E4211" t="inlineStr">
        <is>
          <t>2024-04</t>
        </is>
      </c>
      <c r="F4211" t="n">
        <v>0</v>
      </c>
    </row>
    <row r="4212">
      <c r="A4212" t="inlineStr">
        <is>
          <t>Soja</t>
        </is>
      </c>
      <c r="B4212" t="inlineStr">
        <is>
          <t>Humaitá - AM</t>
        </is>
      </c>
      <c r="C4212" t="n">
        <v>-7.51171</v>
      </c>
      <c r="D4212" t="n">
        <v>-63.0327</v>
      </c>
      <c r="E4212" t="inlineStr">
        <is>
          <t>2024-05</t>
        </is>
      </c>
      <c r="F4212" t="n">
        <v>0</v>
      </c>
    </row>
    <row r="4213">
      <c r="A4213" t="inlineStr">
        <is>
          <t>Soja</t>
        </is>
      </c>
      <c r="B4213" t="inlineStr">
        <is>
          <t>Humaitá - AM</t>
        </is>
      </c>
      <c r="C4213" t="n">
        <v>-7.51171</v>
      </c>
      <c r="D4213" t="n">
        <v>-63.0327</v>
      </c>
      <c r="E4213" t="inlineStr">
        <is>
          <t>2024-06</t>
        </is>
      </c>
      <c r="F4213" t="n">
        <v>0</v>
      </c>
    </row>
    <row r="4214">
      <c r="A4214" t="inlineStr">
        <is>
          <t>Soja</t>
        </is>
      </c>
      <c r="B4214" t="inlineStr">
        <is>
          <t>Humaitá - AM</t>
        </is>
      </c>
      <c r="C4214" t="n">
        <v>-7.51171</v>
      </c>
      <c r="D4214" t="n">
        <v>-63.0327</v>
      </c>
      <c r="E4214" t="inlineStr">
        <is>
          <t>2023-07</t>
        </is>
      </c>
      <c r="F4214" t="n">
        <v>0</v>
      </c>
    </row>
    <row r="4215">
      <c r="A4215" t="inlineStr">
        <is>
          <t>Soja</t>
        </is>
      </c>
      <c r="B4215" t="inlineStr">
        <is>
          <t>Humaitá - AM</t>
        </is>
      </c>
      <c r="C4215" t="n">
        <v>-7.51171</v>
      </c>
      <c r="D4215" t="n">
        <v>-63.0327</v>
      </c>
      <c r="E4215" t="inlineStr">
        <is>
          <t>2023-08</t>
        </is>
      </c>
      <c r="F4215" t="n">
        <v>0</v>
      </c>
    </row>
    <row r="4216">
      <c r="A4216" t="inlineStr">
        <is>
          <t>Soja</t>
        </is>
      </c>
      <c r="B4216" t="inlineStr">
        <is>
          <t>Humaitá - AM</t>
        </is>
      </c>
      <c r="C4216" t="n">
        <v>-7.51171</v>
      </c>
      <c r="D4216" t="n">
        <v>-63.0327</v>
      </c>
      <c r="E4216" t="inlineStr">
        <is>
          <t>2023-09</t>
        </is>
      </c>
      <c r="F4216" t="n">
        <v>0</v>
      </c>
    </row>
    <row r="4217">
      <c r="A4217" t="inlineStr">
        <is>
          <t>Soja</t>
        </is>
      </c>
      <c r="B4217" t="inlineStr">
        <is>
          <t>Humaitá - AM</t>
        </is>
      </c>
      <c r="C4217" t="n">
        <v>-7.51171</v>
      </c>
      <c r="D4217" t="n">
        <v>-63.0327</v>
      </c>
      <c r="E4217" t="inlineStr">
        <is>
          <t>2023-10</t>
        </is>
      </c>
      <c r="F4217" t="n">
        <v>0</v>
      </c>
    </row>
    <row r="4218">
      <c r="A4218" t="inlineStr">
        <is>
          <t>Soja</t>
        </is>
      </c>
      <c r="B4218" t="inlineStr">
        <is>
          <t>Humaitá - AM</t>
        </is>
      </c>
      <c r="C4218" t="n">
        <v>-7.51171</v>
      </c>
      <c r="D4218" t="n">
        <v>-63.0327</v>
      </c>
      <c r="E4218" t="inlineStr">
        <is>
          <t>2023-11</t>
        </is>
      </c>
      <c r="F4218" t="n">
        <v>0</v>
      </c>
    </row>
    <row r="4219">
      <c r="A4219" t="inlineStr">
        <is>
          <t>Soja</t>
        </is>
      </c>
      <c r="B4219" t="inlineStr">
        <is>
          <t>Humaitá - AM</t>
        </is>
      </c>
      <c r="C4219" t="n">
        <v>-7.51171</v>
      </c>
      <c r="D4219" t="n">
        <v>-63.0327</v>
      </c>
      <c r="E4219" t="inlineStr">
        <is>
          <t>2023-12</t>
        </is>
      </c>
      <c r="F4219" t="n">
        <v>5611.2250501804</v>
      </c>
    </row>
    <row r="4220">
      <c r="A4220" t="inlineStr">
        <is>
          <t>Soja</t>
        </is>
      </c>
      <c r="B4220" t="inlineStr">
        <is>
          <t>São Desidério - BA</t>
        </is>
      </c>
      <c r="C4220" t="n">
        <v>-12.3572</v>
      </c>
      <c r="D4220" t="n">
        <v>-44.9769</v>
      </c>
      <c r="E4220" t="inlineStr">
        <is>
          <t>2024-01</t>
        </is>
      </c>
      <c r="F4220" t="n">
        <v>0</v>
      </c>
    </row>
    <row r="4221">
      <c r="A4221" t="inlineStr">
        <is>
          <t>Soja</t>
        </is>
      </c>
      <c r="B4221" t="inlineStr">
        <is>
          <t>São Desidério - BA</t>
        </is>
      </c>
      <c r="C4221" t="n">
        <v>-12.3572</v>
      </c>
      <c r="D4221" t="n">
        <v>-44.9769</v>
      </c>
      <c r="E4221" t="inlineStr">
        <is>
          <t>2024-02</t>
        </is>
      </c>
      <c r="F4221" t="n">
        <v>1568327.048711672</v>
      </c>
    </row>
    <row r="4222">
      <c r="A4222" t="inlineStr">
        <is>
          <t>Soja</t>
        </is>
      </c>
      <c r="B4222" t="inlineStr">
        <is>
          <t>São Desidério - BA</t>
        </is>
      </c>
      <c r="C4222" t="n">
        <v>-12.3572</v>
      </c>
      <c r="D4222" t="n">
        <v>-44.9769</v>
      </c>
      <c r="E4222" t="inlineStr">
        <is>
          <t>2024-03</t>
        </is>
      </c>
      <c r="F4222" t="n">
        <v>2613878.414519454</v>
      </c>
    </row>
    <row r="4223">
      <c r="A4223" t="inlineStr">
        <is>
          <t>Soja</t>
        </is>
      </c>
      <c r="B4223" t="inlineStr">
        <is>
          <t>São Desidério - BA</t>
        </is>
      </c>
      <c r="C4223" t="n">
        <v>-12.3572</v>
      </c>
      <c r="D4223" t="n">
        <v>-44.9769</v>
      </c>
      <c r="E4223" t="inlineStr">
        <is>
          <t>2024-04</t>
        </is>
      </c>
      <c r="F4223" t="n">
        <v>2613878.414519454</v>
      </c>
    </row>
    <row r="4224">
      <c r="A4224" t="inlineStr">
        <is>
          <t>Soja</t>
        </is>
      </c>
      <c r="B4224" t="inlineStr">
        <is>
          <t>São Desidério - BA</t>
        </is>
      </c>
      <c r="C4224" t="n">
        <v>-12.3572</v>
      </c>
      <c r="D4224" t="n">
        <v>-44.9769</v>
      </c>
      <c r="E4224" t="inlineStr">
        <is>
          <t>2024-05</t>
        </is>
      </c>
      <c r="F4224" t="n">
        <v>784163.5243558362</v>
      </c>
    </row>
    <row r="4225">
      <c r="A4225" t="inlineStr">
        <is>
          <t>Soja</t>
        </is>
      </c>
      <c r="B4225" t="inlineStr">
        <is>
          <t>São Desidério - BA</t>
        </is>
      </c>
      <c r="C4225" t="n">
        <v>-12.3572</v>
      </c>
      <c r="D4225" t="n">
        <v>-44.9769</v>
      </c>
      <c r="E4225" t="inlineStr">
        <is>
          <t>2024-06</t>
        </is>
      </c>
      <c r="F4225" t="n">
        <v>0</v>
      </c>
    </row>
    <row r="4226">
      <c r="A4226" t="inlineStr">
        <is>
          <t>Soja</t>
        </is>
      </c>
      <c r="B4226" t="inlineStr">
        <is>
          <t>São Desidério - BA</t>
        </is>
      </c>
      <c r="C4226" t="n">
        <v>-12.3572</v>
      </c>
      <c r="D4226" t="n">
        <v>-44.9769</v>
      </c>
      <c r="E4226" t="inlineStr">
        <is>
          <t>2023-07</t>
        </is>
      </c>
      <c r="F4226" t="n">
        <v>0</v>
      </c>
    </row>
    <row r="4227">
      <c r="A4227" t="inlineStr">
        <is>
          <t>Soja</t>
        </is>
      </c>
      <c r="B4227" t="inlineStr">
        <is>
          <t>São Desidério - BA</t>
        </is>
      </c>
      <c r="C4227" t="n">
        <v>-12.3572</v>
      </c>
      <c r="D4227" t="n">
        <v>-44.9769</v>
      </c>
      <c r="E4227" t="inlineStr">
        <is>
          <t>2023-08</t>
        </is>
      </c>
      <c r="F4227" t="n">
        <v>0</v>
      </c>
    </row>
    <row r="4228">
      <c r="A4228" t="inlineStr">
        <is>
          <t>Soja</t>
        </is>
      </c>
      <c r="B4228" t="inlineStr">
        <is>
          <t>São Desidério - BA</t>
        </is>
      </c>
      <c r="C4228" t="n">
        <v>-12.3572</v>
      </c>
      <c r="D4228" t="n">
        <v>-44.9769</v>
      </c>
      <c r="E4228" t="inlineStr">
        <is>
          <t>2023-09</t>
        </is>
      </c>
      <c r="F4228" t="n">
        <v>0</v>
      </c>
    </row>
    <row r="4229">
      <c r="A4229" t="inlineStr">
        <is>
          <t>Soja</t>
        </is>
      </c>
      <c r="B4229" t="inlineStr">
        <is>
          <t>São Desidério - BA</t>
        </is>
      </c>
      <c r="C4229" t="n">
        <v>-12.3572</v>
      </c>
      <c r="D4229" t="n">
        <v>-44.9769</v>
      </c>
      <c r="E4229" t="inlineStr">
        <is>
          <t>2023-10</t>
        </is>
      </c>
      <c r="F4229" t="n">
        <v>0</v>
      </c>
    </row>
    <row r="4230">
      <c r="A4230" t="inlineStr">
        <is>
          <t>Soja</t>
        </is>
      </c>
      <c r="B4230" t="inlineStr">
        <is>
          <t>São Desidério - BA</t>
        </is>
      </c>
      <c r="C4230" t="n">
        <v>-12.3572</v>
      </c>
      <c r="D4230" t="n">
        <v>-44.9769</v>
      </c>
      <c r="E4230" t="inlineStr">
        <is>
          <t>2023-11</t>
        </is>
      </c>
      <c r="F4230" t="n">
        <v>0</v>
      </c>
    </row>
    <row r="4231">
      <c r="A4231" t="inlineStr">
        <is>
          <t>Soja</t>
        </is>
      </c>
      <c r="B4231" t="inlineStr">
        <is>
          <t>São Desidério - BA</t>
        </is>
      </c>
      <c r="C4231" t="n">
        <v>-12.3572</v>
      </c>
      <c r="D4231" t="n">
        <v>-44.9769</v>
      </c>
      <c r="E4231" t="inlineStr">
        <is>
          <t>2023-12</t>
        </is>
      </c>
      <c r="F4231" t="n">
        <v>0</v>
      </c>
    </row>
    <row r="4232">
      <c r="A4232" t="inlineStr">
        <is>
          <t>Soja</t>
        </is>
      </c>
      <c r="B4232" t="inlineStr">
        <is>
          <t>Brasília - DF</t>
        </is>
      </c>
      <c r="C4232" t="n">
        <v>-15.7795</v>
      </c>
      <c r="D4232" t="n">
        <v>-47.9297</v>
      </c>
      <c r="E4232" t="inlineStr">
        <is>
          <t>2024-01</t>
        </is>
      </c>
      <c r="F4232" t="n">
        <v>0</v>
      </c>
    </row>
    <row r="4233">
      <c r="A4233" t="inlineStr">
        <is>
          <t>Soja</t>
        </is>
      </c>
      <c r="B4233" t="inlineStr">
        <is>
          <t>Brasília - DF</t>
        </is>
      </c>
      <c r="C4233" t="n">
        <v>-15.7795</v>
      </c>
      <c r="D4233" t="n">
        <v>-47.9297</v>
      </c>
      <c r="E4233" t="inlineStr">
        <is>
          <t>2024-02</t>
        </is>
      </c>
      <c r="F4233" t="n">
        <v>56124.5444681269</v>
      </c>
    </row>
    <row r="4234">
      <c r="A4234" t="inlineStr">
        <is>
          <t>Soja</t>
        </is>
      </c>
      <c r="B4234" t="inlineStr">
        <is>
          <t>Brasília - DF</t>
        </is>
      </c>
      <c r="C4234" t="n">
        <v>-15.7795</v>
      </c>
      <c r="D4234" t="n">
        <v>-47.9297</v>
      </c>
      <c r="E4234" t="inlineStr">
        <is>
          <t>2024-03</t>
        </is>
      </c>
      <c r="F4234" t="n">
        <v>56124.5444681269</v>
      </c>
    </row>
    <row r="4235">
      <c r="A4235" t="inlineStr">
        <is>
          <t>Soja</t>
        </is>
      </c>
      <c r="B4235" t="inlineStr">
        <is>
          <t>Brasília - DF</t>
        </is>
      </c>
      <c r="C4235" t="n">
        <v>-15.7795</v>
      </c>
      <c r="D4235" t="n">
        <v>-47.9297</v>
      </c>
      <c r="E4235" t="inlineStr">
        <is>
          <t>2024-04</t>
        </is>
      </c>
      <c r="F4235" t="n">
        <v>130957.2704256294</v>
      </c>
    </row>
    <row r="4236">
      <c r="A4236" t="inlineStr">
        <is>
          <t>Soja</t>
        </is>
      </c>
      <c r="B4236" t="inlineStr">
        <is>
          <t>Brasília - DF</t>
        </is>
      </c>
      <c r="C4236" t="n">
        <v>-15.7795</v>
      </c>
      <c r="D4236" t="n">
        <v>-47.9297</v>
      </c>
      <c r="E4236" t="inlineStr">
        <is>
          <t>2024-05</t>
        </is>
      </c>
      <c r="F4236" t="n">
        <v>56124.5444681269</v>
      </c>
    </row>
    <row r="4237">
      <c r="A4237" t="inlineStr">
        <is>
          <t>Soja</t>
        </is>
      </c>
      <c r="B4237" t="inlineStr">
        <is>
          <t>Brasília - DF</t>
        </is>
      </c>
      <c r="C4237" t="n">
        <v>-15.7795</v>
      </c>
      <c r="D4237" t="n">
        <v>-47.9297</v>
      </c>
      <c r="E4237" t="inlineStr">
        <is>
          <t>2024-06</t>
        </is>
      </c>
      <c r="F4237" t="n">
        <v>0</v>
      </c>
    </row>
    <row r="4238">
      <c r="A4238" t="inlineStr">
        <is>
          <t>Soja</t>
        </is>
      </c>
      <c r="B4238" t="inlineStr">
        <is>
          <t>Brasília - DF</t>
        </is>
      </c>
      <c r="C4238" t="n">
        <v>-15.7795</v>
      </c>
      <c r="D4238" t="n">
        <v>-47.9297</v>
      </c>
      <c r="E4238" t="inlineStr">
        <is>
          <t>2023-07</t>
        </is>
      </c>
      <c r="F4238" t="n">
        <v>0</v>
      </c>
    </row>
    <row r="4239">
      <c r="A4239" t="inlineStr">
        <is>
          <t>Soja</t>
        </is>
      </c>
      <c r="B4239" t="inlineStr">
        <is>
          <t>Brasília - DF</t>
        </is>
      </c>
      <c r="C4239" t="n">
        <v>-15.7795</v>
      </c>
      <c r="D4239" t="n">
        <v>-47.9297</v>
      </c>
      <c r="E4239" t="inlineStr">
        <is>
          <t>2023-08</t>
        </is>
      </c>
      <c r="F4239" t="n">
        <v>0</v>
      </c>
    </row>
    <row r="4240">
      <c r="A4240" t="inlineStr">
        <is>
          <t>Soja</t>
        </is>
      </c>
      <c r="B4240" t="inlineStr">
        <is>
          <t>Brasília - DF</t>
        </is>
      </c>
      <c r="C4240" t="n">
        <v>-15.7795</v>
      </c>
      <c r="D4240" t="n">
        <v>-47.9297</v>
      </c>
      <c r="E4240" t="inlineStr">
        <is>
          <t>2023-09</t>
        </is>
      </c>
      <c r="F4240" t="n">
        <v>0</v>
      </c>
    </row>
    <row r="4241">
      <c r="A4241" t="inlineStr">
        <is>
          <t>Soja</t>
        </is>
      </c>
      <c r="B4241" t="inlineStr">
        <is>
          <t>Brasília - DF</t>
        </is>
      </c>
      <c r="C4241" t="n">
        <v>-15.7795</v>
      </c>
      <c r="D4241" t="n">
        <v>-47.9297</v>
      </c>
      <c r="E4241" t="inlineStr">
        <is>
          <t>2023-10</t>
        </is>
      </c>
      <c r="F4241" t="n">
        <v>0</v>
      </c>
    </row>
    <row r="4242">
      <c r="A4242" t="inlineStr">
        <is>
          <t>Soja</t>
        </is>
      </c>
      <c r="B4242" t="inlineStr">
        <is>
          <t>Brasília - DF</t>
        </is>
      </c>
      <c r="C4242" t="n">
        <v>-15.7795</v>
      </c>
      <c r="D4242" t="n">
        <v>-47.9297</v>
      </c>
      <c r="E4242" t="inlineStr">
        <is>
          <t>2023-11</t>
        </is>
      </c>
      <c r="F4242" t="n">
        <v>0</v>
      </c>
    </row>
    <row r="4243">
      <c r="A4243" t="inlineStr">
        <is>
          <t>Soja</t>
        </is>
      </c>
      <c r="B4243" t="inlineStr">
        <is>
          <t>Brasília - DF</t>
        </is>
      </c>
      <c r="C4243" t="n">
        <v>-15.7795</v>
      </c>
      <c r="D4243" t="n">
        <v>-47.9297</v>
      </c>
      <c r="E4243" t="inlineStr">
        <is>
          <t>2023-12</t>
        </is>
      </c>
      <c r="F4243" t="n">
        <v>0</v>
      </c>
    </row>
    <row r="4244">
      <c r="A4244" t="inlineStr">
        <is>
          <t>Soja</t>
        </is>
      </c>
      <c r="B4244" t="inlineStr">
        <is>
          <t>Rio Verde - GO</t>
        </is>
      </c>
      <c r="C4244" t="n">
        <v>-17.7923</v>
      </c>
      <c r="D4244" t="n">
        <v>-50.9192</v>
      </c>
      <c r="E4244" t="inlineStr">
        <is>
          <t>2024-01</t>
        </is>
      </c>
      <c r="F4244" t="n">
        <v>0</v>
      </c>
    </row>
    <row r="4245">
      <c r="A4245" t="inlineStr">
        <is>
          <t>Soja</t>
        </is>
      </c>
      <c r="B4245" t="inlineStr">
        <is>
          <t>Rio Verde - GO</t>
        </is>
      </c>
      <c r="C4245" t="n">
        <v>-17.7923</v>
      </c>
      <c r="D4245" t="n">
        <v>-50.9192</v>
      </c>
      <c r="E4245" t="inlineStr">
        <is>
          <t>2024-02</t>
        </is>
      </c>
      <c r="F4245" t="n">
        <v>3892802.907783262</v>
      </c>
    </row>
    <row r="4246">
      <c r="A4246" t="inlineStr">
        <is>
          <t>Soja</t>
        </is>
      </c>
      <c r="B4246" t="inlineStr">
        <is>
          <t>Rio Verde - GO</t>
        </is>
      </c>
      <c r="C4246" t="n">
        <v>-17.7923</v>
      </c>
      <c r="D4246" t="n">
        <v>-50.9192</v>
      </c>
      <c r="E4246" t="inlineStr">
        <is>
          <t>2024-03</t>
        </is>
      </c>
      <c r="F4246" t="n">
        <v>9083206.784827612</v>
      </c>
    </row>
    <row r="4247">
      <c r="A4247" t="inlineStr">
        <is>
          <t>Soja</t>
        </is>
      </c>
      <c r="B4247" t="inlineStr">
        <is>
          <t>Rio Verde - GO</t>
        </is>
      </c>
      <c r="C4247" t="n">
        <v>-17.7923</v>
      </c>
      <c r="D4247" t="n">
        <v>-50.9192</v>
      </c>
      <c r="E4247" t="inlineStr">
        <is>
          <t>2024-04</t>
        </is>
      </c>
      <c r="F4247" t="n">
        <v>3892802.907783262</v>
      </c>
    </row>
    <row r="4248">
      <c r="A4248" t="inlineStr">
        <is>
          <t>Soja</t>
        </is>
      </c>
      <c r="B4248" t="inlineStr">
        <is>
          <t>Rio Verde - GO</t>
        </is>
      </c>
      <c r="C4248" t="n">
        <v>-17.7923</v>
      </c>
      <c r="D4248" t="n">
        <v>-50.9192</v>
      </c>
      <c r="E4248" t="inlineStr">
        <is>
          <t>2024-05</t>
        </is>
      </c>
      <c r="F4248" t="n">
        <v>0</v>
      </c>
    </row>
    <row r="4249">
      <c r="A4249" t="inlineStr">
        <is>
          <t>Soja</t>
        </is>
      </c>
      <c r="B4249" t="inlineStr">
        <is>
          <t>Rio Verde - GO</t>
        </is>
      </c>
      <c r="C4249" t="n">
        <v>-17.7923</v>
      </c>
      <c r="D4249" t="n">
        <v>-50.9192</v>
      </c>
      <c r="E4249" t="inlineStr">
        <is>
          <t>2024-06</t>
        </is>
      </c>
      <c r="F4249" t="n">
        <v>0</v>
      </c>
    </row>
    <row r="4250">
      <c r="A4250" t="inlineStr">
        <is>
          <t>Soja</t>
        </is>
      </c>
      <c r="B4250" t="inlineStr">
        <is>
          <t>Rio Verde - GO</t>
        </is>
      </c>
      <c r="C4250" t="n">
        <v>-17.7923</v>
      </c>
      <c r="D4250" t="n">
        <v>-50.9192</v>
      </c>
      <c r="E4250" t="inlineStr">
        <is>
          <t>2023-07</t>
        </is>
      </c>
      <c r="F4250" t="n">
        <v>0</v>
      </c>
    </row>
    <row r="4251">
      <c r="A4251" t="inlineStr">
        <is>
          <t>Soja</t>
        </is>
      </c>
      <c r="B4251" t="inlineStr">
        <is>
          <t>Rio Verde - GO</t>
        </is>
      </c>
      <c r="C4251" t="n">
        <v>-17.7923</v>
      </c>
      <c r="D4251" t="n">
        <v>-50.9192</v>
      </c>
      <c r="E4251" t="inlineStr">
        <is>
          <t>2023-08</t>
        </is>
      </c>
      <c r="F4251" t="n">
        <v>0</v>
      </c>
    </row>
    <row r="4252">
      <c r="A4252" t="inlineStr">
        <is>
          <t>Soja</t>
        </is>
      </c>
      <c r="B4252" t="inlineStr">
        <is>
          <t>Rio Verde - GO</t>
        </is>
      </c>
      <c r="C4252" t="n">
        <v>-17.7923</v>
      </c>
      <c r="D4252" t="n">
        <v>-50.9192</v>
      </c>
      <c r="E4252" t="inlineStr">
        <is>
          <t>2023-09</t>
        </is>
      </c>
      <c r="F4252" t="n">
        <v>0</v>
      </c>
    </row>
    <row r="4253">
      <c r="A4253" t="inlineStr">
        <is>
          <t>Soja</t>
        </is>
      </c>
      <c r="B4253" t="inlineStr">
        <is>
          <t>Rio Verde - GO</t>
        </is>
      </c>
      <c r="C4253" t="n">
        <v>-17.7923</v>
      </c>
      <c r="D4253" t="n">
        <v>-50.9192</v>
      </c>
      <c r="E4253" t="inlineStr">
        <is>
          <t>2023-10</t>
        </is>
      </c>
      <c r="F4253" t="n">
        <v>0</v>
      </c>
    </row>
    <row r="4254">
      <c r="A4254" t="inlineStr">
        <is>
          <t>Soja</t>
        </is>
      </c>
      <c r="B4254" t="inlineStr">
        <is>
          <t>Rio Verde - GO</t>
        </is>
      </c>
      <c r="C4254" t="n">
        <v>-17.7923</v>
      </c>
      <c r="D4254" t="n">
        <v>-50.9192</v>
      </c>
      <c r="E4254" t="inlineStr">
        <is>
          <t>2023-11</t>
        </is>
      </c>
      <c r="F4254" t="n">
        <v>0</v>
      </c>
    </row>
    <row r="4255">
      <c r="A4255" t="inlineStr">
        <is>
          <t>Soja</t>
        </is>
      </c>
      <c r="B4255" t="inlineStr">
        <is>
          <t>Rio Verde - GO</t>
        </is>
      </c>
      <c r="C4255" t="n">
        <v>-17.7923</v>
      </c>
      <c r="D4255" t="n">
        <v>-50.9192</v>
      </c>
      <c r="E4255" t="inlineStr">
        <is>
          <t>2023-12</t>
        </is>
      </c>
      <c r="F4255" t="n">
        <v>0</v>
      </c>
    </row>
    <row r="4256">
      <c r="A4256" t="inlineStr">
        <is>
          <t>Soja</t>
        </is>
      </c>
      <c r="B4256" t="inlineStr">
        <is>
          <t>Balsas - MA</t>
        </is>
      </c>
      <c r="C4256" t="n">
        <v>-7.53214</v>
      </c>
      <c r="D4256" t="n">
        <v>-46.0372</v>
      </c>
      <c r="E4256" t="inlineStr">
        <is>
          <t>2024-01</t>
        </is>
      </c>
      <c r="F4256" t="n">
        <v>0</v>
      </c>
    </row>
    <row r="4257">
      <c r="A4257" t="inlineStr">
        <is>
          <t>Soja</t>
        </is>
      </c>
      <c r="B4257" t="inlineStr">
        <is>
          <t>Balsas - MA</t>
        </is>
      </c>
      <c r="C4257" t="n">
        <v>-7.53214</v>
      </c>
      <c r="D4257" t="n">
        <v>-46.0372</v>
      </c>
      <c r="E4257" t="inlineStr">
        <is>
          <t>2024-02</t>
        </is>
      </c>
      <c r="F4257" t="n">
        <v>447541.7854137416</v>
      </c>
    </row>
    <row r="4258">
      <c r="A4258" t="inlineStr">
        <is>
          <t>Soja</t>
        </is>
      </c>
      <c r="B4258" t="inlineStr">
        <is>
          <t>Balsas - MA</t>
        </is>
      </c>
      <c r="C4258" t="n">
        <v>-7.53214</v>
      </c>
      <c r="D4258" t="n">
        <v>-46.0372</v>
      </c>
      <c r="E4258" t="inlineStr">
        <is>
          <t>2024-03</t>
        </is>
      </c>
      <c r="F4258" t="n">
        <v>1491805.951379139</v>
      </c>
    </row>
    <row r="4259">
      <c r="A4259" t="inlineStr">
        <is>
          <t>Soja</t>
        </is>
      </c>
      <c r="B4259" t="inlineStr">
        <is>
          <t>Balsas - MA</t>
        </is>
      </c>
      <c r="C4259" t="n">
        <v>-7.53214</v>
      </c>
      <c r="D4259" t="n">
        <v>-46.0372</v>
      </c>
      <c r="E4259" t="inlineStr">
        <is>
          <t>2024-04</t>
        </is>
      </c>
      <c r="F4259" t="n">
        <v>1491805.951379139</v>
      </c>
    </row>
    <row r="4260">
      <c r="A4260" t="inlineStr">
        <is>
          <t>Soja</t>
        </is>
      </c>
      <c r="B4260" t="inlineStr">
        <is>
          <t>Balsas - MA</t>
        </is>
      </c>
      <c r="C4260" t="n">
        <v>-7.53214</v>
      </c>
      <c r="D4260" t="n">
        <v>-46.0372</v>
      </c>
      <c r="E4260" t="inlineStr">
        <is>
          <t>2024-05</t>
        </is>
      </c>
      <c r="F4260" t="n">
        <v>895083.5708274832</v>
      </c>
    </row>
    <row r="4261">
      <c r="A4261" t="inlineStr">
        <is>
          <t>Soja</t>
        </is>
      </c>
      <c r="B4261" t="inlineStr">
        <is>
          <t>Balsas - MA</t>
        </is>
      </c>
      <c r="C4261" t="n">
        <v>-7.53214</v>
      </c>
      <c r="D4261" t="n">
        <v>-46.0372</v>
      </c>
      <c r="E4261" t="inlineStr">
        <is>
          <t>2024-06</t>
        </is>
      </c>
      <c r="F4261" t="n">
        <v>0</v>
      </c>
    </row>
    <row r="4262">
      <c r="A4262" t="inlineStr">
        <is>
          <t>Soja</t>
        </is>
      </c>
      <c r="B4262" t="inlineStr">
        <is>
          <t>Balsas - MA</t>
        </is>
      </c>
      <c r="C4262" t="n">
        <v>-7.53214</v>
      </c>
      <c r="D4262" t="n">
        <v>-46.0372</v>
      </c>
      <c r="E4262" t="inlineStr">
        <is>
          <t>2023-07</t>
        </is>
      </c>
      <c r="F4262" t="n">
        <v>0</v>
      </c>
    </row>
    <row r="4263">
      <c r="A4263" t="inlineStr">
        <is>
          <t>Soja</t>
        </is>
      </c>
      <c r="B4263" t="inlineStr">
        <is>
          <t>Balsas - MA</t>
        </is>
      </c>
      <c r="C4263" t="n">
        <v>-7.53214</v>
      </c>
      <c r="D4263" t="n">
        <v>-46.0372</v>
      </c>
      <c r="E4263" t="inlineStr">
        <is>
          <t>2023-08</t>
        </is>
      </c>
      <c r="F4263" t="n">
        <v>0</v>
      </c>
    </row>
    <row r="4264">
      <c r="A4264" t="inlineStr">
        <is>
          <t>Soja</t>
        </is>
      </c>
      <c r="B4264" t="inlineStr">
        <is>
          <t>Balsas - MA</t>
        </is>
      </c>
      <c r="C4264" t="n">
        <v>-7.53214</v>
      </c>
      <c r="D4264" t="n">
        <v>-46.0372</v>
      </c>
      <c r="E4264" t="inlineStr">
        <is>
          <t>2023-09</t>
        </is>
      </c>
      <c r="F4264" t="n">
        <v>0</v>
      </c>
    </row>
    <row r="4265">
      <c r="A4265" t="inlineStr">
        <is>
          <t>Soja</t>
        </is>
      </c>
      <c r="B4265" t="inlineStr">
        <is>
          <t>Balsas - MA</t>
        </is>
      </c>
      <c r="C4265" t="n">
        <v>-7.53214</v>
      </c>
      <c r="D4265" t="n">
        <v>-46.0372</v>
      </c>
      <c r="E4265" t="inlineStr">
        <is>
          <t>2023-10</t>
        </is>
      </c>
      <c r="F4265" t="n">
        <v>0</v>
      </c>
    </row>
    <row r="4266">
      <c r="A4266" t="inlineStr">
        <is>
          <t>Soja</t>
        </is>
      </c>
      <c r="B4266" t="inlineStr">
        <is>
          <t>Balsas - MA</t>
        </is>
      </c>
      <c r="C4266" t="n">
        <v>-7.53214</v>
      </c>
      <c r="D4266" t="n">
        <v>-46.0372</v>
      </c>
      <c r="E4266" t="inlineStr">
        <is>
          <t>2023-11</t>
        </is>
      </c>
      <c r="F4266" t="n">
        <v>0</v>
      </c>
    </row>
    <row r="4267">
      <c r="A4267" t="inlineStr">
        <is>
          <t>Soja</t>
        </is>
      </c>
      <c r="B4267" t="inlineStr">
        <is>
          <t>Balsas - MA</t>
        </is>
      </c>
      <c r="C4267" t="n">
        <v>-7.53214</v>
      </c>
      <c r="D4267" t="n">
        <v>-46.0372</v>
      </c>
      <c r="E4267" t="inlineStr">
        <is>
          <t>2023-12</t>
        </is>
      </c>
      <c r="F4267" t="n">
        <v>0</v>
      </c>
    </row>
    <row r="4268">
      <c r="A4268" t="inlineStr">
        <is>
          <t>Soja</t>
        </is>
      </c>
      <c r="B4268" t="inlineStr">
        <is>
          <t>Unaí - MG</t>
        </is>
      </c>
      <c r="C4268" t="n">
        <v>-16.3592</v>
      </c>
      <c r="D4268" t="n">
        <v>-46.9022</v>
      </c>
      <c r="E4268" t="inlineStr">
        <is>
          <t>2024-01</t>
        </is>
      </c>
      <c r="F4268" t="n">
        <v>0</v>
      </c>
    </row>
    <row r="4269">
      <c r="A4269" t="inlineStr">
        <is>
          <t>Soja</t>
        </is>
      </c>
      <c r="B4269" t="inlineStr">
        <is>
          <t>Unaí - MG</t>
        </is>
      </c>
      <c r="C4269" t="n">
        <v>-16.3592</v>
      </c>
      <c r="D4269" t="n">
        <v>-46.9022</v>
      </c>
      <c r="E4269" t="inlineStr">
        <is>
          <t>2024-02</t>
        </is>
      </c>
      <c r="F4269" t="n">
        <v>889459.2056675486</v>
      </c>
    </row>
    <row r="4270">
      <c r="A4270" t="inlineStr">
        <is>
          <t>Soja</t>
        </is>
      </c>
      <c r="B4270" t="inlineStr">
        <is>
          <t>Unaí - MG</t>
        </is>
      </c>
      <c r="C4270" t="n">
        <v>-16.3592</v>
      </c>
      <c r="D4270" t="n">
        <v>-46.9022</v>
      </c>
      <c r="E4270" t="inlineStr">
        <is>
          <t>2024-03</t>
        </is>
      </c>
      <c r="F4270" t="n">
        <v>1778918.411335097</v>
      </c>
    </row>
    <row r="4271">
      <c r="A4271" t="inlineStr">
        <is>
          <t>Soja</t>
        </is>
      </c>
      <c r="B4271" t="inlineStr">
        <is>
          <t>Unaí - MG</t>
        </is>
      </c>
      <c r="C4271" t="n">
        <v>-16.3592</v>
      </c>
      <c r="D4271" t="n">
        <v>-46.9022</v>
      </c>
      <c r="E4271" t="inlineStr">
        <is>
          <t>2024-04</t>
        </is>
      </c>
      <c r="F4271" t="n">
        <v>4150809.626448561</v>
      </c>
    </row>
    <row r="4272">
      <c r="A4272" t="inlineStr">
        <is>
          <t>Soja</t>
        </is>
      </c>
      <c r="B4272" t="inlineStr">
        <is>
          <t>Unaí - MG</t>
        </is>
      </c>
      <c r="C4272" t="n">
        <v>-16.3592</v>
      </c>
      <c r="D4272" t="n">
        <v>-46.9022</v>
      </c>
      <c r="E4272" t="inlineStr">
        <is>
          <t>2024-05</t>
        </is>
      </c>
      <c r="F4272" t="n">
        <v>889459.2056675486</v>
      </c>
    </row>
    <row r="4273">
      <c r="A4273" t="inlineStr">
        <is>
          <t>Soja</t>
        </is>
      </c>
      <c r="B4273" t="inlineStr">
        <is>
          <t>Unaí - MG</t>
        </is>
      </c>
      <c r="C4273" t="n">
        <v>-16.3592</v>
      </c>
      <c r="D4273" t="n">
        <v>-46.9022</v>
      </c>
      <c r="E4273" t="inlineStr">
        <is>
          <t>2024-06</t>
        </is>
      </c>
      <c r="F4273" t="n">
        <v>0</v>
      </c>
    </row>
    <row r="4274">
      <c r="A4274" t="inlineStr">
        <is>
          <t>Soja</t>
        </is>
      </c>
      <c r="B4274" t="inlineStr">
        <is>
          <t>Unaí - MG</t>
        </is>
      </c>
      <c r="C4274" t="n">
        <v>-16.3592</v>
      </c>
      <c r="D4274" t="n">
        <v>-46.9022</v>
      </c>
      <c r="E4274" t="inlineStr">
        <is>
          <t>2023-07</t>
        </is>
      </c>
      <c r="F4274" t="n">
        <v>0</v>
      </c>
    </row>
    <row r="4275">
      <c r="A4275" t="inlineStr">
        <is>
          <t>Soja</t>
        </is>
      </c>
      <c r="B4275" t="inlineStr">
        <is>
          <t>Unaí - MG</t>
        </is>
      </c>
      <c r="C4275" t="n">
        <v>-16.3592</v>
      </c>
      <c r="D4275" t="n">
        <v>-46.9022</v>
      </c>
      <c r="E4275" t="inlineStr">
        <is>
          <t>2023-08</t>
        </is>
      </c>
      <c r="F4275" t="n">
        <v>0</v>
      </c>
    </row>
    <row r="4276">
      <c r="A4276" t="inlineStr">
        <is>
          <t>Soja</t>
        </is>
      </c>
      <c r="B4276" t="inlineStr">
        <is>
          <t>Unaí - MG</t>
        </is>
      </c>
      <c r="C4276" t="n">
        <v>-16.3592</v>
      </c>
      <c r="D4276" t="n">
        <v>-46.9022</v>
      </c>
      <c r="E4276" t="inlineStr">
        <is>
          <t>2023-09</t>
        </is>
      </c>
      <c r="F4276" t="n">
        <v>0</v>
      </c>
    </row>
    <row r="4277">
      <c r="A4277" t="inlineStr">
        <is>
          <t>Soja</t>
        </is>
      </c>
      <c r="B4277" t="inlineStr">
        <is>
          <t>Unaí - MG</t>
        </is>
      </c>
      <c r="C4277" t="n">
        <v>-16.3592</v>
      </c>
      <c r="D4277" t="n">
        <v>-46.9022</v>
      </c>
      <c r="E4277" t="inlineStr">
        <is>
          <t>2023-10</t>
        </is>
      </c>
      <c r="F4277" t="n">
        <v>0</v>
      </c>
    </row>
    <row r="4278">
      <c r="A4278" t="inlineStr">
        <is>
          <t>Soja</t>
        </is>
      </c>
      <c r="B4278" t="inlineStr">
        <is>
          <t>Unaí - MG</t>
        </is>
      </c>
      <c r="C4278" t="n">
        <v>-16.3592</v>
      </c>
      <c r="D4278" t="n">
        <v>-46.9022</v>
      </c>
      <c r="E4278" t="inlineStr">
        <is>
          <t>2023-11</t>
        </is>
      </c>
      <c r="F4278" t="n">
        <v>0</v>
      </c>
    </row>
    <row r="4279">
      <c r="A4279" t="inlineStr">
        <is>
          <t>Soja</t>
        </is>
      </c>
      <c r="B4279" t="inlineStr">
        <is>
          <t>Unaí - MG</t>
        </is>
      </c>
      <c r="C4279" t="n">
        <v>-16.3592</v>
      </c>
      <c r="D4279" t="n">
        <v>-46.9022</v>
      </c>
      <c r="E4279" t="inlineStr">
        <is>
          <t>2023-12</t>
        </is>
      </c>
      <c r="F4279" t="n">
        <v>0</v>
      </c>
    </row>
    <row r="4280">
      <c r="A4280" t="inlineStr">
        <is>
          <t>Soja</t>
        </is>
      </c>
      <c r="B4280" t="inlineStr">
        <is>
          <t>Ponta Porã - MS</t>
        </is>
      </c>
      <c r="C4280" t="n">
        <v>-22.5296</v>
      </c>
      <c r="D4280" t="n">
        <v>-55.7203</v>
      </c>
      <c r="E4280" t="inlineStr">
        <is>
          <t>2024-01</t>
        </is>
      </c>
      <c r="F4280" t="n">
        <v>0</v>
      </c>
    </row>
    <row r="4281">
      <c r="A4281" t="inlineStr">
        <is>
          <t>Soja</t>
        </is>
      </c>
      <c r="B4281" t="inlineStr">
        <is>
          <t>Ponta Porã - MS</t>
        </is>
      </c>
      <c r="C4281" t="n">
        <v>-22.5296</v>
      </c>
      <c r="D4281" t="n">
        <v>-55.7203</v>
      </c>
      <c r="E4281" t="inlineStr">
        <is>
          <t>2024-02</t>
        </is>
      </c>
      <c r="F4281" t="n">
        <v>2904163.348246569</v>
      </c>
    </row>
    <row r="4282">
      <c r="A4282" t="inlineStr">
        <is>
          <t>Soja</t>
        </is>
      </c>
      <c r="B4282" t="inlineStr">
        <is>
          <t>Ponta Porã - MS</t>
        </is>
      </c>
      <c r="C4282" t="n">
        <v>-22.5296</v>
      </c>
      <c r="D4282" t="n">
        <v>-55.7203</v>
      </c>
      <c r="E4282" t="inlineStr">
        <is>
          <t>2024-03</t>
        </is>
      </c>
      <c r="F4282" t="n">
        <v>6776381.145908662</v>
      </c>
    </row>
    <row r="4283">
      <c r="A4283" t="inlineStr">
        <is>
          <t>Soja</t>
        </is>
      </c>
      <c r="B4283" t="inlineStr">
        <is>
          <t>Ponta Porã - MS</t>
        </is>
      </c>
      <c r="C4283" t="n">
        <v>-22.5296</v>
      </c>
      <c r="D4283" t="n">
        <v>-55.7203</v>
      </c>
      <c r="E4283" t="inlineStr">
        <is>
          <t>2024-04</t>
        </is>
      </c>
      <c r="F4283" t="n">
        <v>2904163.348246569</v>
      </c>
    </row>
    <row r="4284">
      <c r="A4284" t="inlineStr">
        <is>
          <t>Soja</t>
        </is>
      </c>
      <c r="B4284" t="inlineStr">
        <is>
          <t>Ponta Porã - MS</t>
        </is>
      </c>
      <c r="C4284" t="n">
        <v>-22.5296</v>
      </c>
      <c r="D4284" t="n">
        <v>-55.7203</v>
      </c>
      <c r="E4284" t="inlineStr">
        <is>
          <t>2024-05</t>
        </is>
      </c>
      <c r="F4284" t="n">
        <v>0</v>
      </c>
    </row>
    <row r="4285">
      <c r="A4285" t="inlineStr">
        <is>
          <t>Soja</t>
        </is>
      </c>
      <c r="B4285" t="inlineStr">
        <is>
          <t>Ponta Porã - MS</t>
        </is>
      </c>
      <c r="C4285" t="n">
        <v>-22.5296</v>
      </c>
      <c r="D4285" t="n">
        <v>-55.7203</v>
      </c>
      <c r="E4285" t="inlineStr">
        <is>
          <t>2024-06</t>
        </is>
      </c>
      <c r="F4285" t="n">
        <v>0</v>
      </c>
    </row>
    <row r="4286">
      <c r="A4286" t="inlineStr">
        <is>
          <t>Soja</t>
        </is>
      </c>
      <c r="B4286" t="inlineStr">
        <is>
          <t>Ponta Porã - MS</t>
        </is>
      </c>
      <c r="C4286" t="n">
        <v>-22.5296</v>
      </c>
      <c r="D4286" t="n">
        <v>-55.7203</v>
      </c>
      <c r="E4286" t="inlineStr">
        <is>
          <t>2023-07</t>
        </is>
      </c>
      <c r="F4286" t="n">
        <v>0</v>
      </c>
    </row>
    <row r="4287">
      <c r="A4287" t="inlineStr">
        <is>
          <t>Soja</t>
        </is>
      </c>
      <c r="B4287" t="inlineStr">
        <is>
          <t>Ponta Porã - MS</t>
        </is>
      </c>
      <c r="C4287" t="n">
        <v>-22.5296</v>
      </c>
      <c r="D4287" t="n">
        <v>-55.7203</v>
      </c>
      <c r="E4287" t="inlineStr">
        <is>
          <t>2023-08</t>
        </is>
      </c>
      <c r="F4287" t="n">
        <v>0</v>
      </c>
    </row>
    <row r="4288">
      <c r="A4288" t="inlineStr">
        <is>
          <t>Soja</t>
        </is>
      </c>
      <c r="B4288" t="inlineStr">
        <is>
          <t>Ponta Porã - MS</t>
        </is>
      </c>
      <c r="C4288" t="n">
        <v>-22.5296</v>
      </c>
      <c r="D4288" t="n">
        <v>-55.7203</v>
      </c>
      <c r="E4288" t="inlineStr">
        <is>
          <t>2023-09</t>
        </is>
      </c>
      <c r="F4288" t="n">
        <v>0</v>
      </c>
    </row>
    <row r="4289">
      <c r="A4289" t="inlineStr">
        <is>
          <t>Soja</t>
        </is>
      </c>
      <c r="B4289" t="inlineStr">
        <is>
          <t>Ponta Porã - MS</t>
        </is>
      </c>
      <c r="C4289" t="n">
        <v>-22.5296</v>
      </c>
      <c r="D4289" t="n">
        <v>-55.7203</v>
      </c>
      <c r="E4289" t="inlineStr">
        <is>
          <t>2023-10</t>
        </is>
      </c>
      <c r="F4289" t="n">
        <v>0</v>
      </c>
    </row>
    <row r="4290">
      <c r="A4290" t="inlineStr">
        <is>
          <t>Soja</t>
        </is>
      </c>
      <c r="B4290" t="inlineStr">
        <is>
          <t>Ponta Porã - MS</t>
        </is>
      </c>
      <c r="C4290" t="n">
        <v>-22.5296</v>
      </c>
      <c r="D4290" t="n">
        <v>-55.7203</v>
      </c>
      <c r="E4290" t="inlineStr">
        <is>
          <t>2023-11</t>
        </is>
      </c>
      <c r="F4290" t="n">
        <v>0</v>
      </c>
    </row>
    <row r="4291">
      <c r="A4291" t="inlineStr">
        <is>
          <t>Soja</t>
        </is>
      </c>
      <c r="B4291" t="inlineStr">
        <is>
          <t>Ponta Porã - MS</t>
        </is>
      </c>
      <c r="C4291" t="n">
        <v>-22.5296</v>
      </c>
      <c r="D4291" t="n">
        <v>-55.7203</v>
      </c>
      <c r="E4291" t="inlineStr">
        <is>
          <t>2023-12</t>
        </is>
      </c>
      <c r="F4291" t="n">
        <v>0</v>
      </c>
    </row>
    <row r="4292">
      <c r="A4292" t="inlineStr">
        <is>
          <t>Soja</t>
        </is>
      </c>
      <c r="B4292" t="inlineStr">
        <is>
          <t>Sorriso - MT</t>
        </is>
      </c>
      <c r="C4292" t="n">
        <v>-12.5425</v>
      </c>
      <c r="D4292" t="n">
        <v>-55.7211</v>
      </c>
      <c r="E4292" t="inlineStr">
        <is>
          <t>2024-01</t>
        </is>
      </c>
      <c r="F4292" t="n">
        <v>7584657.053711233</v>
      </c>
    </row>
    <row r="4293">
      <c r="A4293" t="inlineStr">
        <is>
          <t>Soja</t>
        </is>
      </c>
      <c r="B4293" t="inlineStr">
        <is>
          <t>Sorriso - MT</t>
        </is>
      </c>
      <c r="C4293" t="n">
        <v>-12.5425</v>
      </c>
      <c r="D4293" t="n">
        <v>-55.7211</v>
      </c>
      <c r="E4293" t="inlineStr">
        <is>
          <t>2024-02</t>
        </is>
      </c>
      <c r="F4293" t="n">
        <v>12641095.08951872</v>
      </c>
    </row>
    <row r="4294">
      <c r="A4294" t="inlineStr">
        <is>
          <t>Soja</t>
        </is>
      </c>
      <c r="B4294" t="inlineStr">
        <is>
          <t>Sorriso - MT</t>
        </is>
      </c>
      <c r="C4294" t="n">
        <v>-12.5425</v>
      </c>
      <c r="D4294" t="n">
        <v>-55.7211</v>
      </c>
      <c r="E4294" t="inlineStr">
        <is>
          <t>2024-03</t>
        </is>
      </c>
      <c r="F4294" t="n">
        <v>12641095.08951872</v>
      </c>
    </row>
    <row r="4295">
      <c r="A4295" t="inlineStr">
        <is>
          <t>Soja</t>
        </is>
      </c>
      <c r="B4295" t="inlineStr">
        <is>
          <t>Sorriso - MT</t>
        </is>
      </c>
      <c r="C4295" t="n">
        <v>-12.5425</v>
      </c>
      <c r="D4295" t="n">
        <v>-55.7211</v>
      </c>
      <c r="E4295" t="inlineStr">
        <is>
          <t>2024-04</t>
        </is>
      </c>
      <c r="F4295" t="n">
        <v>7584657.053711233</v>
      </c>
    </row>
    <row r="4296">
      <c r="A4296" t="inlineStr">
        <is>
          <t>Soja</t>
        </is>
      </c>
      <c r="B4296" t="inlineStr">
        <is>
          <t>Sorriso - MT</t>
        </is>
      </c>
      <c r="C4296" t="n">
        <v>-12.5425</v>
      </c>
      <c r="D4296" t="n">
        <v>-55.7211</v>
      </c>
      <c r="E4296" t="inlineStr">
        <is>
          <t>2024-05</t>
        </is>
      </c>
      <c r="F4296" t="n">
        <v>0</v>
      </c>
    </row>
    <row r="4297">
      <c r="A4297" t="inlineStr">
        <is>
          <t>Soja</t>
        </is>
      </c>
      <c r="B4297" t="inlineStr">
        <is>
          <t>Sorriso - MT</t>
        </is>
      </c>
      <c r="C4297" t="n">
        <v>-12.5425</v>
      </c>
      <c r="D4297" t="n">
        <v>-55.7211</v>
      </c>
      <c r="E4297" t="inlineStr">
        <is>
          <t>2024-06</t>
        </is>
      </c>
      <c r="F4297" t="n">
        <v>0</v>
      </c>
    </row>
    <row r="4298">
      <c r="A4298" t="inlineStr">
        <is>
          <t>Soja</t>
        </is>
      </c>
      <c r="B4298" t="inlineStr">
        <is>
          <t>Sorriso - MT</t>
        </is>
      </c>
      <c r="C4298" t="n">
        <v>-12.5425</v>
      </c>
      <c r="D4298" t="n">
        <v>-55.7211</v>
      </c>
      <c r="E4298" t="inlineStr">
        <is>
          <t>2023-07</t>
        </is>
      </c>
      <c r="F4298" t="n">
        <v>0</v>
      </c>
    </row>
    <row r="4299">
      <c r="A4299" t="inlineStr">
        <is>
          <t>Soja</t>
        </is>
      </c>
      <c r="B4299" t="inlineStr">
        <is>
          <t>Sorriso - MT</t>
        </is>
      </c>
      <c r="C4299" t="n">
        <v>-12.5425</v>
      </c>
      <c r="D4299" t="n">
        <v>-55.7211</v>
      </c>
      <c r="E4299" t="inlineStr">
        <is>
          <t>2023-08</t>
        </is>
      </c>
      <c r="F4299" t="n">
        <v>0</v>
      </c>
    </row>
    <row r="4300">
      <c r="A4300" t="inlineStr">
        <is>
          <t>Soja</t>
        </is>
      </c>
      <c r="B4300" t="inlineStr">
        <is>
          <t>Sorriso - MT</t>
        </is>
      </c>
      <c r="C4300" t="n">
        <v>-12.5425</v>
      </c>
      <c r="D4300" t="n">
        <v>-55.7211</v>
      </c>
      <c r="E4300" t="inlineStr">
        <is>
          <t>2023-09</t>
        </is>
      </c>
      <c r="F4300" t="n">
        <v>0</v>
      </c>
    </row>
    <row r="4301">
      <c r="A4301" t="inlineStr">
        <is>
          <t>Soja</t>
        </is>
      </c>
      <c r="B4301" t="inlineStr">
        <is>
          <t>Sorriso - MT</t>
        </is>
      </c>
      <c r="C4301" t="n">
        <v>-12.5425</v>
      </c>
      <c r="D4301" t="n">
        <v>-55.7211</v>
      </c>
      <c r="E4301" t="inlineStr">
        <is>
          <t>2023-10</t>
        </is>
      </c>
      <c r="F4301" t="n">
        <v>0</v>
      </c>
    </row>
    <row r="4302">
      <c r="A4302" t="inlineStr">
        <is>
          <t>Soja</t>
        </is>
      </c>
      <c r="B4302" t="inlineStr">
        <is>
          <t>Sorriso - MT</t>
        </is>
      </c>
      <c r="C4302" t="n">
        <v>-12.5425</v>
      </c>
      <c r="D4302" t="n">
        <v>-55.7211</v>
      </c>
      <c r="E4302" t="inlineStr">
        <is>
          <t>2023-11</t>
        </is>
      </c>
      <c r="F4302" t="n">
        <v>0</v>
      </c>
    </row>
    <row r="4303">
      <c r="A4303" t="inlineStr">
        <is>
          <t>Soja</t>
        </is>
      </c>
      <c r="B4303" t="inlineStr">
        <is>
          <t>Sorriso - MT</t>
        </is>
      </c>
      <c r="C4303" t="n">
        <v>-12.5425</v>
      </c>
      <c r="D4303" t="n">
        <v>-55.7211</v>
      </c>
      <c r="E4303" t="inlineStr">
        <is>
          <t>2023-12</t>
        </is>
      </c>
      <c r="F4303" t="n">
        <v>0</v>
      </c>
    </row>
    <row r="4304">
      <c r="A4304" t="inlineStr">
        <is>
          <t>Soja</t>
        </is>
      </c>
      <c r="B4304" t="inlineStr">
        <is>
          <t>Paragominas - PA</t>
        </is>
      </c>
      <c r="C4304" t="n">
        <v>-3.00212</v>
      </c>
      <c r="D4304" t="n">
        <v>-47.3527</v>
      </c>
      <c r="E4304" t="inlineStr">
        <is>
          <t>2024-01</t>
        </is>
      </c>
      <c r="F4304" t="n">
        <v>0</v>
      </c>
    </row>
    <row r="4305">
      <c r="A4305" t="inlineStr">
        <is>
          <t>Soja</t>
        </is>
      </c>
      <c r="B4305" t="inlineStr">
        <is>
          <t>Paragominas - PA</t>
        </is>
      </c>
      <c r="C4305" t="n">
        <v>-3.00212</v>
      </c>
      <c r="D4305" t="n">
        <v>-47.3527</v>
      </c>
      <c r="E4305" t="inlineStr">
        <is>
          <t>2024-02</t>
        </is>
      </c>
      <c r="F4305" t="n">
        <v>0</v>
      </c>
    </row>
    <row r="4306">
      <c r="A4306" t="inlineStr">
        <is>
          <t>Soja</t>
        </is>
      </c>
      <c r="B4306" t="inlineStr">
        <is>
          <t>Paragominas - PA</t>
        </is>
      </c>
      <c r="C4306" t="n">
        <v>-3.00212</v>
      </c>
      <c r="D4306" t="n">
        <v>-47.3527</v>
      </c>
      <c r="E4306" t="inlineStr">
        <is>
          <t>2024-03</t>
        </is>
      </c>
      <c r="F4306" t="n">
        <v>0</v>
      </c>
    </row>
    <row r="4307">
      <c r="A4307" t="inlineStr">
        <is>
          <t>Soja</t>
        </is>
      </c>
      <c r="B4307" t="inlineStr">
        <is>
          <t>Paragominas - PA</t>
        </is>
      </c>
      <c r="C4307" t="n">
        <v>-3.00212</v>
      </c>
      <c r="D4307" t="n">
        <v>-47.3527</v>
      </c>
      <c r="E4307" t="inlineStr">
        <is>
          <t>2024-04</t>
        </is>
      </c>
      <c r="F4307" t="n">
        <v>0</v>
      </c>
    </row>
    <row r="4308">
      <c r="A4308" t="inlineStr">
        <is>
          <t>Soja</t>
        </is>
      </c>
      <c r="B4308" t="inlineStr">
        <is>
          <t>Paragominas - PA</t>
        </is>
      </c>
      <c r="C4308" t="n">
        <v>-3.00212</v>
      </c>
      <c r="D4308" t="n">
        <v>-47.3527</v>
      </c>
      <c r="E4308" t="inlineStr">
        <is>
          <t>2024-05</t>
        </is>
      </c>
      <c r="F4308" t="n">
        <v>0</v>
      </c>
    </row>
    <row r="4309">
      <c r="A4309" t="inlineStr">
        <is>
          <t>Soja</t>
        </is>
      </c>
      <c r="B4309" t="inlineStr">
        <is>
          <t>Paragominas - PA</t>
        </is>
      </c>
      <c r="C4309" t="n">
        <v>-3.00212</v>
      </c>
      <c r="D4309" t="n">
        <v>-47.3527</v>
      </c>
      <c r="E4309" t="inlineStr">
        <is>
          <t>2024-06</t>
        </is>
      </c>
      <c r="F4309" t="n">
        <v>944644.0829688224</v>
      </c>
    </row>
    <row r="4310">
      <c r="A4310" t="inlineStr">
        <is>
          <t>Soja</t>
        </is>
      </c>
      <c r="B4310" t="inlineStr">
        <is>
          <t>Paragominas - PA</t>
        </is>
      </c>
      <c r="C4310" t="n">
        <v>-3.00212</v>
      </c>
      <c r="D4310" t="n">
        <v>-47.3527</v>
      </c>
      <c r="E4310" t="inlineStr">
        <is>
          <t>2023-07</t>
        </is>
      </c>
      <c r="F4310" t="n">
        <v>2204169.526927252</v>
      </c>
    </row>
    <row r="4311">
      <c r="A4311" t="inlineStr">
        <is>
          <t>Soja</t>
        </is>
      </c>
      <c r="B4311" t="inlineStr">
        <is>
          <t>Paragominas - PA</t>
        </is>
      </c>
      <c r="C4311" t="n">
        <v>-3.00212</v>
      </c>
      <c r="D4311" t="n">
        <v>-47.3527</v>
      </c>
      <c r="E4311" t="inlineStr">
        <is>
          <t>2023-08</t>
        </is>
      </c>
      <c r="F4311" t="n">
        <v>944644.0829688224</v>
      </c>
    </row>
    <row r="4312">
      <c r="A4312" t="inlineStr">
        <is>
          <t>Soja</t>
        </is>
      </c>
      <c r="B4312" t="inlineStr">
        <is>
          <t>Paragominas - PA</t>
        </is>
      </c>
      <c r="C4312" t="n">
        <v>-3.00212</v>
      </c>
      <c r="D4312" t="n">
        <v>-47.3527</v>
      </c>
      <c r="E4312" t="inlineStr">
        <is>
          <t>2023-09</t>
        </is>
      </c>
      <c r="F4312" t="n">
        <v>0</v>
      </c>
    </row>
    <row r="4313">
      <c r="A4313" t="inlineStr">
        <is>
          <t>Soja</t>
        </is>
      </c>
      <c r="B4313" t="inlineStr">
        <is>
          <t>Paragominas - PA</t>
        </is>
      </c>
      <c r="C4313" t="n">
        <v>-3.00212</v>
      </c>
      <c r="D4313" t="n">
        <v>-47.3527</v>
      </c>
      <c r="E4313" t="inlineStr">
        <is>
          <t>2023-10</t>
        </is>
      </c>
      <c r="F4313" t="n">
        <v>0</v>
      </c>
    </row>
    <row r="4314">
      <c r="A4314" t="inlineStr">
        <is>
          <t>Soja</t>
        </is>
      </c>
      <c r="B4314" t="inlineStr">
        <is>
          <t>Paragominas - PA</t>
        </is>
      </c>
      <c r="C4314" t="n">
        <v>-3.00212</v>
      </c>
      <c r="D4314" t="n">
        <v>-47.3527</v>
      </c>
      <c r="E4314" t="inlineStr">
        <is>
          <t>2023-11</t>
        </is>
      </c>
      <c r="F4314" t="n">
        <v>0</v>
      </c>
    </row>
    <row r="4315">
      <c r="A4315" t="inlineStr">
        <is>
          <t>Soja</t>
        </is>
      </c>
      <c r="B4315" t="inlineStr">
        <is>
          <t>Paragominas - PA</t>
        </is>
      </c>
      <c r="C4315" t="n">
        <v>-3.00212</v>
      </c>
      <c r="D4315" t="n">
        <v>-47.3527</v>
      </c>
      <c r="E4315" t="inlineStr">
        <is>
          <t>2023-12</t>
        </is>
      </c>
      <c r="F4315" t="n">
        <v>0</v>
      </c>
    </row>
    <row r="4316">
      <c r="A4316" t="inlineStr">
        <is>
          <t>Soja</t>
        </is>
      </c>
      <c r="B4316" t="inlineStr">
        <is>
          <t>Baixa Grande do Ribeiro - PI</t>
        </is>
      </c>
      <c r="C4316" t="n">
        <v>-7.84903</v>
      </c>
      <c r="D4316" t="n">
        <v>-45.219</v>
      </c>
      <c r="E4316" t="inlineStr">
        <is>
          <t>2024-01</t>
        </is>
      </c>
      <c r="F4316" t="n">
        <v>0</v>
      </c>
    </row>
    <row r="4317">
      <c r="A4317" t="inlineStr">
        <is>
          <t>Soja</t>
        </is>
      </c>
      <c r="B4317" t="inlineStr">
        <is>
          <t>Baixa Grande do Ribeiro - PI</t>
        </is>
      </c>
      <c r="C4317" t="n">
        <v>-7.84903</v>
      </c>
      <c r="D4317" t="n">
        <v>-45.219</v>
      </c>
      <c r="E4317" t="inlineStr">
        <is>
          <t>2024-02</t>
        </is>
      </c>
      <c r="F4317" t="n">
        <v>716953.0575186202</v>
      </c>
    </row>
    <row r="4318">
      <c r="A4318" t="inlineStr">
        <is>
          <t>Soja</t>
        </is>
      </c>
      <c r="B4318" t="inlineStr">
        <is>
          <t>Baixa Grande do Ribeiro - PI</t>
        </is>
      </c>
      <c r="C4318" t="n">
        <v>-7.84903</v>
      </c>
      <c r="D4318" t="n">
        <v>-45.219</v>
      </c>
      <c r="E4318" t="inlineStr">
        <is>
          <t>2024-03</t>
        </is>
      </c>
      <c r="F4318" t="n">
        <v>716953.0575186202</v>
      </c>
    </row>
    <row r="4319">
      <c r="A4319" t="inlineStr">
        <is>
          <t>Soja</t>
        </is>
      </c>
      <c r="B4319" t="inlineStr">
        <is>
          <t>Baixa Grande do Ribeiro - PI</t>
        </is>
      </c>
      <c r="C4319" t="n">
        <v>-7.84903</v>
      </c>
      <c r="D4319" t="n">
        <v>-45.219</v>
      </c>
      <c r="E4319" t="inlineStr">
        <is>
          <t>2024-04</t>
        </is>
      </c>
      <c r="F4319" t="n">
        <v>1672890.467543447</v>
      </c>
    </row>
    <row r="4320">
      <c r="A4320" t="inlineStr">
        <is>
          <t>Soja</t>
        </is>
      </c>
      <c r="B4320" t="inlineStr">
        <is>
          <t>Baixa Grande do Ribeiro - PI</t>
        </is>
      </c>
      <c r="C4320" t="n">
        <v>-7.84903</v>
      </c>
      <c r="D4320" t="n">
        <v>-45.219</v>
      </c>
      <c r="E4320" t="inlineStr">
        <is>
          <t>2024-05</t>
        </is>
      </c>
      <c r="F4320" t="n">
        <v>716953.0575186202</v>
      </c>
    </row>
    <row r="4321">
      <c r="A4321" t="inlineStr">
        <is>
          <t>Soja</t>
        </is>
      </c>
      <c r="B4321" t="inlineStr">
        <is>
          <t>Baixa Grande do Ribeiro - PI</t>
        </is>
      </c>
      <c r="C4321" t="n">
        <v>-7.84903</v>
      </c>
      <c r="D4321" t="n">
        <v>-45.219</v>
      </c>
      <c r="E4321" t="inlineStr">
        <is>
          <t>2024-06</t>
        </is>
      </c>
      <c r="F4321" t="n">
        <v>0</v>
      </c>
    </row>
    <row r="4322">
      <c r="A4322" t="inlineStr">
        <is>
          <t>Soja</t>
        </is>
      </c>
      <c r="B4322" t="inlineStr">
        <is>
          <t>Baixa Grande do Ribeiro - PI</t>
        </is>
      </c>
      <c r="C4322" t="n">
        <v>-7.84903</v>
      </c>
      <c r="D4322" t="n">
        <v>-45.219</v>
      </c>
      <c r="E4322" t="inlineStr">
        <is>
          <t>2023-07</t>
        </is>
      </c>
      <c r="F4322" t="n">
        <v>0</v>
      </c>
    </row>
    <row r="4323">
      <c r="A4323" t="inlineStr">
        <is>
          <t>Soja</t>
        </is>
      </c>
      <c r="B4323" t="inlineStr">
        <is>
          <t>Baixa Grande do Ribeiro - PI</t>
        </is>
      </c>
      <c r="C4323" t="n">
        <v>-7.84903</v>
      </c>
      <c r="D4323" t="n">
        <v>-45.219</v>
      </c>
      <c r="E4323" t="inlineStr">
        <is>
          <t>2023-08</t>
        </is>
      </c>
      <c r="F4323" t="n">
        <v>0</v>
      </c>
    </row>
    <row r="4324">
      <c r="A4324" t="inlineStr">
        <is>
          <t>Soja</t>
        </is>
      </c>
      <c r="B4324" t="inlineStr">
        <is>
          <t>Baixa Grande do Ribeiro - PI</t>
        </is>
      </c>
      <c r="C4324" t="n">
        <v>-7.84903</v>
      </c>
      <c r="D4324" t="n">
        <v>-45.219</v>
      </c>
      <c r="E4324" t="inlineStr">
        <is>
          <t>2023-09</t>
        </is>
      </c>
      <c r="F4324" t="n">
        <v>0</v>
      </c>
    </row>
    <row r="4325">
      <c r="A4325" t="inlineStr">
        <is>
          <t>Soja</t>
        </is>
      </c>
      <c r="B4325" t="inlineStr">
        <is>
          <t>Baixa Grande do Ribeiro - PI</t>
        </is>
      </c>
      <c r="C4325" t="n">
        <v>-7.84903</v>
      </c>
      <c r="D4325" t="n">
        <v>-45.219</v>
      </c>
      <c r="E4325" t="inlineStr">
        <is>
          <t>2023-10</t>
        </is>
      </c>
      <c r="F4325" t="n">
        <v>0</v>
      </c>
    </row>
    <row r="4326">
      <c r="A4326" t="inlineStr">
        <is>
          <t>Soja</t>
        </is>
      </c>
      <c r="B4326" t="inlineStr">
        <is>
          <t>Baixa Grande do Ribeiro - PI</t>
        </is>
      </c>
      <c r="C4326" t="n">
        <v>-7.84903</v>
      </c>
      <c r="D4326" t="n">
        <v>-45.219</v>
      </c>
      <c r="E4326" t="inlineStr">
        <is>
          <t>2023-11</t>
        </is>
      </c>
      <c r="F4326" t="n">
        <v>0</v>
      </c>
    </row>
    <row r="4327">
      <c r="A4327" t="inlineStr">
        <is>
          <t>Soja</t>
        </is>
      </c>
      <c r="B4327" t="inlineStr">
        <is>
          <t>Baixa Grande do Ribeiro - PI</t>
        </is>
      </c>
      <c r="C4327" t="n">
        <v>-7.84903</v>
      </c>
      <c r="D4327" t="n">
        <v>-45.219</v>
      </c>
      <c r="E4327" t="inlineStr">
        <is>
          <t>2023-12</t>
        </is>
      </c>
      <c r="F4327" t="n">
        <v>0</v>
      </c>
    </row>
    <row r="4328">
      <c r="A4328" t="inlineStr">
        <is>
          <t>Soja</t>
        </is>
      </c>
      <c r="B4328" t="inlineStr">
        <is>
          <t>Tibagi - PR</t>
        </is>
      </c>
      <c r="C4328" t="n">
        <v>-24.5153</v>
      </c>
      <c r="D4328" t="n">
        <v>-50.4176</v>
      </c>
      <c r="E4328" t="inlineStr">
        <is>
          <t>2024-01</t>
        </is>
      </c>
      <c r="F4328" t="n">
        <v>2201298.08112501</v>
      </c>
    </row>
    <row r="4329">
      <c r="A4329" t="inlineStr">
        <is>
          <t>Soja</t>
        </is>
      </c>
      <c r="B4329" t="inlineStr">
        <is>
          <t>Tibagi - PR</t>
        </is>
      </c>
      <c r="C4329" t="n">
        <v>-24.5153</v>
      </c>
      <c r="D4329" t="n">
        <v>-50.4176</v>
      </c>
      <c r="E4329" t="inlineStr">
        <is>
          <t>2024-02</t>
        </is>
      </c>
      <c r="F4329" t="n">
        <v>4402596.16225002</v>
      </c>
    </row>
    <row r="4330">
      <c r="A4330" t="inlineStr">
        <is>
          <t>Soja</t>
        </is>
      </c>
      <c r="B4330" t="inlineStr">
        <is>
          <t>Tibagi - PR</t>
        </is>
      </c>
      <c r="C4330" t="n">
        <v>-24.5153</v>
      </c>
      <c r="D4330" t="n">
        <v>-50.4176</v>
      </c>
      <c r="E4330" t="inlineStr">
        <is>
          <t>2024-03</t>
        </is>
      </c>
      <c r="F4330" t="n">
        <v>7337660.270416699</v>
      </c>
    </row>
    <row r="4331">
      <c r="A4331" t="inlineStr">
        <is>
          <t>Soja</t>
        </is>
      </c>
      <c r="B4331" t="inlineStr">
        <is>
          <t>Tibagi - PR</t>
        </is>
      </c>
      <c r="C4331" t="n">
        <v>-24.5153</v>
      </c>
      <c r="D4331" t="n">
        <v>-50.4176</v>
      </c>
      <c r="E4331" t="inlineStr">
        <is>
          <t>2024-04</t>
        </is>
      </c>
      <c r="F4331" t="n">
        <v>4402596.16225002</v>
      </c>
    </row>
    <row r="4332">
      <c r="A4332" t="inlineStr">
        <is>
          <t>Soja</t>
        </is>
      </c>
      <c r="B4332" t="inlineStr">
        <is>
          <t>Tibagi - PR</t>
        </is>
      </c>
      <c r="C4332" t="n">
        <v>-24.5153</v>
      </c>
      <c r="D4332" t="n">
        <v>-50.4176</v>
      </c>
      <c r="E4332" t="inlineStr">
        <is>
          <t>2024-05</t>
        </is>
      </c>
      <c r="F4332" t="n">
        <v>0</v>
      </c>
    </row>
    <row r="4333">
      <c r="A4333" t="inlineStr">
        <is>
          <t>Soja</t>
        </is>
      </c>
      <c r="B4333" t="inlineStr">
        <is>
          <t>Tibagi - PR</t>
        </is>
      </c>
      <c r="C4333" t="n">
        <v>-24.5153</v>
      </c>
      <c r="D4333" t="n">
        <v>-50.4176</v>
      </c>
      <c r="E4333" t="inlineStr">
        <is>
          <t>2024-06</t>
        </is>
      </c>
      <c r="F4333" t="n">
        <v>0</v>
      </c>
    </row>
    <row r="4334">
      <c r="A4334" t="inlineStr">
        <is>
          <t>Soja</t>
        </is>
      </c>
      <c r="B4334" t="inlineStr">
        <is>
          <t>Tibagi - PR</t>
        </is>
      </c>
      <c r="C4334" t="n">
        <v>-24.5153</v>
      </c>
      <c r="D4334" t="n">
        <v>-50.4176</v>
      </c>
      <c r="E4334" t="inlineStr">
        <is>
          <t>2023-07</t>
        </is>
      </c>
      <c r="F4334" t="n">
        <v>0</v>
      </c>
    </row>
    <row r="4335">
      <c r="A4335" t="inlineStr">
        <is>
          <t>Soja</t>
        </is>
      </c>
      <c r="B4335" t="inlineStr">
        <is>
          <t>Tibagi - PR</t>
        </is>
      </c>
      <c r="C4335" t="n">
        <v>-24.5153</v>
      </c>
      <c r="D4335" t="n">
        <v>-50.4176</v>
      </c>
      <c r="E4335" t="inlineStr">
        <is>
          <t>2023-08</t>
        </is>
      </c>
      <c r="F4335" t="n">
        <v>0</v>
      </c>
    </row>
    <row r="4336">
      <c r="A4336" t="inlineStr">
        <is>
          <t>Soja</t>
        </is>
      </c>
      <c r="B4336" t="inlineStr">
        <is>
          <t>Tibagi - PR</t>
        </is>
      </c>
      <c r="C4336" t="n">
        <v>-24.5153</v>
      </c>
      <c r="D4336" t="n">
        <v>-50.4176</v>
      </c>
      <c r="E4336" t="inlineStr">
        <is>
          <t>2023-09</t>
        </is>
      </c>
      <c r="F4336" t="n">
        <v>0</v>
      </c>
    </row>
    <row r="4337">
      <c r="A4337" t="inlineStr">
        <is>
          <t>Soja</t>
        </is>
      </c>
      <c r="B4337" t="inlineStr">
        <is>
          <t>Tibagi - PR</t>
        </is>
      </c>
      <c r="C4337" t="n">
        <v>-24.5153</v>
      </c>
      <c r="D4337" t="n">
        <v>-50.4176</v>
      </c>
      <c r="E4337" t="inlineStr">
        <is>
          <t>2023-10</t>
        </is>
      </c>
      <c r="F4337" t="n">
        <v>0</v>
      </c>
    </row>
    <row r="4338">
      <c r="A4338" t="inlineStr">
        <is>
          <t>Soja</t>
        </is>
      </c>
      <c r="B4338" t="inlineStr">
        <is>
          <t>Tibagi - PR</t>
        </is>
      </c>
      <c r="C4338" t="n">
        <v>-24.5153</v>
      </c>
      <c r="D4338" t="n">
        <v>-50.4176</v>
      </c>
      <c r="E4338" t="inlineStr">
        <is>
          <t>2023-11</t>
        </is>
      </c>
      <c r="F4338" t="n">
        <v>0</v>
      </c>
    </row>
    <row r="4339">
      <c r="A4339" t="inlineStr">
        <is>
          <t>Soja</t>
        </is>
      </c>
      <c r="B4339" t="inlineStr">
        <is>
          <t>Tibagi - PR</t>
        </is>
      </c>
      <c r="C4339" t="n">
        <v>-24.5153</v>
      </c>
      <c r="D4339" t="n">
        <v>-50.4176</v>
      </c>
      <c r="E4339" t="inlineStr">
        <is>
          <t>2023-12</t>
        </is>
      </c>
      <c r="F4339" t="n">
        <v>0</v>
      </c>
    </row>
    <row r="4340">
      <c r="A4340" t="inlineStr">
        <is>
          <t>Soja</t>
        </is>
      </c>
      <c r="B4340" t="inlineStr">
        <is>
          <t>Pimenteiras do Oeste - RO</t>
        </is>
      </c>
      <c r="C4340" t="n">
        <v>-13.4823</v>
      </c>
      <c r="D4340" t="n">
        <v>-61.0471</v>
      </c>
      <c r="E4340" t="inlineStr">
        <is>
          <t>2024-01</t>
        </is>
      </c>
      <c r="F4340" t="n">
        <v>0</v>
      </c>
    </row>
    <row r="4341">
      <c r="A4341" t="inlineStr">
        <is>
          <t>Soja</t>
        </is>
      </c>
      <c r="B4341" t="inlineStr">
        <is>
          <t>Pimenteiras do Oeste - RO</t>
        </is>
      </c>
      <c r="C4341" t="n">
        <v>-13.4823</v>
      </c>
      <c r="D4341" t="n">
        <v>-61.0471</v>
      </c>
      <c r="E4341" t="inlineStr">
        <is>
          <t>2024-02</t>
        </is>
      </c>
      <c r="F4341" t="n">
        <v>300492.6695812147</v>
      </c>
    </row>
    <row r="4342">
      <c r="A4342" t="inlineStr">
        <is>
          <t>Soja</t>
        </is>
      </c>
      <c r="B4342" t="inlineStr">
        <is>
          <t>Pimenteiras do Oeste - RO</t>
        </is>
      </c>
      <c r="C4342" t="n">
        <v>-13.4823</v>
      </c>
      <c r="D4342" t="n">
        <v>-61.0471</v>
      </c>
      <c r="E4342" t="inlineStr">
        <is>
          <t>2024-03</t>
        </is>
      </c>
      <c r="F4342" t="n">
        <v>1402299.124712335</v>
      </c>
    </row>
    <row r="4343">
      <c r="A4343" t="inlineStr">
        <is>
          <t>Soja</t>
        </is>
      </c>
      <c r="B4343" t="inlineStr">
        <is>
          <t>Pimenteiras do Oeste - RO</t>
        </is>
      </c>
      <c r="C4343" t="n">
        <v>-13.4823</v>
      </c>
      <c r="D4343" t="n">
        <v>-61.0471</v>
      </c>
      <c r="E4343" t="inlineStr">
        <is>
          <t>2024-04</t>
        </is>
      </c>
      <c r="F4343" t="n">
        <v>600985.3391624293</v>
      </c>
    </row>
    <row r="4344">
      <c r="A4344" t="inlineStr">
        <is>
          <t>Soja</t>
        </is>
      </c>
      <c r="B4344" t="inlineStr">
        <is>
          <t>Pimenteiras do Oeste - RO</t>
        </is>
      </c>
      <c r="C4344" t="n">
        <v>-13.4823</v>
      </c>
      <c r="D4344" t="n">
        <v>-61.0471</v>
      </c>
      <c r="E4344" t="inlineStr">
        <is>
          <t>2024-05</t>
        </is>
      </c>
      <c r="F4344" t="n">
        <v>0</v>
      </c>
    </row>
    <row r="4345">
      <c r="A4345" t="inlineStr">
        <is>
          <t>Soja</t>
        </is>
      </c>
      <c r="B4345" t="inlineStr">
        <is>
          <t>Pimenteiras do Oeste - RO</t>
        </is>
      </c>
      <c r="C4345" t="n">
        <v>-13.4823</v>
      </c>
      <c r="D4345" t="n">
        <v>-61.0471</v>
      </c>
      <c r="E4345" t="inlineStr">
        <is>
          <t>2024-06</t>
        </is>
      </c>
      <c r="F4345" t="n">
        <v>0</v>
      </c>
    </row>
    <row r="4346">
      <c r="A4346" t="inlineStr">
        <is>
          <t>Soja</t>
        </is>
      </c>
      <c r="B4346" t="inlineStr">
        <is>
          <t>Pimenteiras do Oeste - RO</t>
        </is>
      </c>
      <c r="C4346" t="n">
        <v>-13.4823</v>
      </c>
      <c r="D4346" t="n">
        <v>-61.0471</v>
      </c>
      <c r="E4346" t="inlineStr">
        <is>
          <t>2023-07</t>
        </is>
      </c>
      <c r="F4346" t="n">
        <v>0</v>
      </c>
    </row>
    <row r="4347">
      <c r="A4347" t="inlineStr">
        <is>
          <t>Soja</t>
        </is>
      </c>
      <c r="B4347" t="inlineStr">
        <is>
          <t>Pimenteiras do Oeste - RO</t>
        </is>
      </c>
      <c r="C4347" t="n">
        <v>-13.4823</v>
      </c>
      <c r="D4347" t="n">
        <v>-61.0471</v>
      </c>
      <c r="E4347" t="inlineStr">
        <is>
          <t>2023-08</t>
        </is>
      </c>
      <c r="F4347" t="n">
        <v>0</v>
      </c>
    </row>
    <row r="4348">
      <c r="A4348" t="inlineStr">
        <is>
          <t>Soja</t>
        </is>
      </c>
      <c r="B4348" t="inlineStr">
        <is>
          <t>Pimenteiras do Oeste - RO</t>
        </is>
      </c>
      <c r="C4348" t="n">
        <v>-13.4823</v>
      </c>
      <c r="D4348" t="n">
        <v>-61.0471</v>
      </c>
      <c r="E4348" t="inlineStr">
        <is>
          <t>2023-09</t>
        </is>
      </c>
      <c r="F4348" t="n">
        <v>0</v>
      </c>
    </row>
    <row r="4349">
      <c r="A4349" t="inlineStr">
        <is>
          <t>Soja</t>
        </is>
      </c>
      <c r="B4349" t="inlineStr">
        <is>
          <t>Pimenteiras do Oeste - RO</t>
        </is>
      </c>
      <c r="C4349" t="n">
        <v>-13.4823</v>
      </c>
      <c r="D4349" t="n">
        <v>-61.0471</v>
      </c>
      <c r="E4349" t="inlineStr">
        <is>
          <t>2023-10</t>
        </is>
      </c>
      <c r="F4349" t="n">
        <v>0</v>
      </c>
    </row>
    <row r="4350">
      <c r="A4350" t="inlineStr">
        <is>
          <t>Soja</t>
        </is>
      </c>
      <c r="B4350" t="inlineStr">
        <is>
          <t>Pimenteiras do Oeste - RO</t>
        </is>
      </c>
      <c r="C4350" t="n">
        <v>-13.4823</v>
      </c>
      <c r="D4350" t="n">
        <v>-61.0471</v>
      </c>
      <c r="E4350" t="inlineStr">
        <is>
          <t>2023-11</t>
        </is>
      </c>
      <c r="F4350" t="n">
        <v>0</v>
      </c>
    </row>
    <row r="4351">
      <c r="A4351" t="inlineStr">
        <is>
          <t>Soja</t>
        </is>
      </c>
      <c r="B4351" t="inlineStr">
        <is>
          <t>Pimenteiras do Oeste - RO</t>
        </is>
      </c>
      <c r="C4351" t="n">
        <v>-13.4823</v>
      </c>
      <c r="D4351" t="n">
        <v>-61.0471</v>
      </c>
      <c r="E4351" t="inlineStr">
        <is>
          <t>2023-12</t>
        </is>
      </c>
      <c r="F4351" t="n">
        <v>0</v>
      </c>
    </row>
    <row r="4352">
      <c r="A4352" t="inlineStr">
        <is>
          <t>Soja</t>
        </is>
      </c>
      <c r="B4352" t="inlineStr">
        <is>
          <t>Bonfim - RR</t>
        </is>
      </c>
      <c r="C4352" t="n">
        <v>3.36161</v>
      </c>
      <c r="D4352" t="n">
        <v>-59.8333</v>
      </c>
      <c r="E4352" t="inlineStr">
        <is>
          <t>2024-01</t>
        </is>
      </c>
      <c r="F4352" t="n">
        <v>0</v>
      </c>
    </row>
    <row r="4353">
      <c r="A4353" t="inlineStr">
        <is>
          <t>Soja</t>
        </is>
      </c>
      <c r="B4353" t="inlineStr">
        <is>
          <t>Bonfim - RR</t>
        </is>
      </c>
      <c r="C4353" t="n">
        <v>3.36161</v>
      </c>
      <c r="D4353" t="n">
        <v>-59.8333</v>
      </c>
      <c r="E4353" t="inlineStr">
        <is>
          <t>2024-02</t>
        </is>
      </c>
      <c r="F4353" t="n">
        <v>0</v>
      </c>
    </row>
    <row r="4354">
      <c r="A4354" t="inlineStr">
        <is>
          <t>Soja</t>
        </is>
      </c>
      <c r="B4354" t="inlineStr">
        <is>
          <t>Bonfim - RR</t>
        </is>
      </c>
      <c r="C4354" t="n">
        <v>3.36161</v>
      </c>
      <c r="D4354" t="n">
        <v>-59.8333</v>
      </c>
      <c r="E4354" t="inlineStr">
        <is>
          <t>2024-03</t>
        </is>
      </c>
      <c r="F4354" t="n">
        <v>0</v>
      </c>
    </row>
    <row r="4355">
      <c r="A4355" t="inlineStr">
        <is>
          <t>Soja</t>
        </is>
      </c>
      <c r="B4355" t="inlineStr">
        <is>
          <t>Bonfim - RR</t>
        </is>
      </c>
      <c r="C4355" t="n">
        <v>3.36161</v>
      </c>
      <c r="D4355" t="n">
        <v>-59.8333</v>
      </c>
      <c r="E4355" t="inlineStr">
        <is>
          <t>2024-04</t>
        </is>
      </c>
      <c r="F4355" t="n">
        <v>0</v>
      </c>
    </row>
    <row r="4356">
      <c r="A4356" t="inlineStr">
        <is>
          <t>Soja</t>
        </is>
      </c>
      <c r="B4356" t="inlineStr">
        <is>
          <t>Bonfim - RR</t>
        </is>
      </c>
      <c r="C4356" t="n">
        <v>3.36161</v>
      </c>
      <c r="D4356" t="n">
        <v>-59.8333</v>
      </c>
      <c r="E4356" t="inlineStr">
        <is>
          <t>2024-05</t>
        </is>
      </c>
      <c r="F4356" t="n">
        <v>0</v>
      </c>
    </row>
    <row r="4357">
      <c r="A4357" t="inlineStr">
        <is>
          <t>Soja</t>
        </is>
      </c>
      <c r="B4357" t="inlineStr">
        <is>
          <t>Bonfim - RR</t>
        </is>
      </c>
      <c r="C4357" t="n">
        <v>3.36161</v>
      </c>
      <c r="D4357" t="n">
        <v>-59.8333</v>
      </c>
      <c r="E4357" t="inlineStr">
        <is>
          <t>2024-06</t>
        </is>
      </c>
      <c r="F4357" t="n">
        <v>0</v>
      </c>
    </row>
    <row r="4358">
      <c r="A4358" t="inlineStr">
        <is>
          <t>Soja</t>
        </is>
      </c>
      <c r="B4358" t="inlineStr">
        <is>
          <t>Bonfim - RR</t>
        </is>
      </c>
      <c r="C4358" t="n">
        <v>3.36161</v>
      </c>
      <c r="D4358" t="n">
        <v>-59.8333</v>
      </c>
      <c r="E4358" t="inlineStr">
        <is>
          <t>2023-07</t>
        </is>
      </c>
      <c r="F4358" t="n">
        <v>34620.4562165477</v>
      </c>
    </row>
    <row r="4359">
      <c r="A4359" t="inlineStr">
        <is>
          <t>Soja</t>
        </is>
      </c>
      <c r="B4359" t="inlineStr">
        <is>
          <t>Bonfim - RR</t>
        </is>
      </c>
      <c r="C4359" t="n">
        <v>3.36161</v>
      </c>
      <c r="D4359" t="n">
        <v>-59.8333</v>
      </c>
      <c r="E4359" t="inlineStr">
        <is>
          <t>2023-08</t>
        </is>
      </c>
      <c r="F4359" t="n">
        <v>69240.91243309539</v>
      </c>
    </row>
    <row r="4360">
      <c r="A4360" t="inlineStr">
        <is>
          <t>Soja</t>
        </is>
      </c>
      <c r="B4360" t="inlineStr">
        <is>
          <t>Bonfim - RR</t>
        </is>
      </c>
      <c r="C4360" t="n">
        <v>3.36161</v>
      </c>
      <c r="D4360" t="n">
        <v>-59.8333</v>
      </c>
      <c r="E4360" t="inlineStr">
        <is>
          <t>2023-09</t>
        </is>
      </c>
      <c r="F4360" t="n">
        <v>161562.1290105559</v>
      </c>
    </row>
    <row r="4361">
      <c r="A4361" t="inlineStr">
        <is>
          <t>Soja</t>
        </is>
      </c>
      <c r="B4361" t="inlineStr">
        <is>
          <t>Bonfim - RR</t>
        </is>
      </c>
      <c r="C4361" t="n">
        <v>3.36161</v>
      </c>
      <c r="D4361" t="n">
        <v>-59.8333</v>
      </c>
      <c r="E4361" t="inlineStr">
        <is>
          <t>2023-10</t>
        </is>
      </c>
      <c r="F4361" t="n">
        <v>69240.91243309539</v>
      </c>
    </row>
    <row r="4362">
      <c r="A4362" t="inlineStr">
        <is>
          <t>Soja</t>
        </is>
      </c>
      <c r="B4362" t="inlineStr">
        <is>
          <t>Bonfim - RR</t>
        </is>
      </c>
      <c r="C4362" t="n">
        <v>3.36161</v>
      </c>
      <c r="D4362" t="n">
        <v>-59.8333</v>
      </c>
      <c r="E4362" t="inlineStr">
        <is>
          <t>2023-11</t>
        </is>
      </c>
      <c r="F4362" t="n">
        <v>34620.4562165477</v>
      </c>
    </row>
    <row r="4363">
      <c r="A4363" t="inlineStr">
        <is>
          <t>Soja</t>
        </is>
      </c>
      <c r="B4363" t="inlineStr">
        <is>
          <t>Bonfim - RR</t>
        </is>
      </c>
      <c r="C4363" t="n">
        <v>3.36161</v>
      </c>
      <c r="D4363" t="n">
        <v>-59.8333</v>
      </c>
      <c r="E4363" t="inlineStr">
        <is>
          <t>2023-12</t>
        </is>
      </c>
      <c r="F4363" t="n">
        <v>0</v>
      </c>
    </row>
    <row r="4364">
      <c r="A4364" t="inlineStr">
        <is>
          <t>Soja</t>
        </is>
      </c>
      <c r="B4364" t="inlineStr">
        <is>
          <t>Tupanciretã - RS</t>
        </is>
      </c>
      <c r="C4364" t="n">
        <v>-29.0858</v>
      </c>
      <c r="D4364" t="n">
        <v>-53.8445</v>
      </c>
      <c r="E4364" t="inlineStr">
        <is>
          <t>2024-01</t>
        </is>
      </c>
      <c r="F4364" t="n">
        <v>2041265.256819954</v>
      </c>
    </row>
    <row r="4365">
      <c r="A4365" t="inlineStr">
        <is>
          <t>Soja</t>
        </is>
      </c>
      <c r="B4365" t="inlineStr">
        <is>
          <t>Tupanciretã - RS</t>
        </is>
      </c>
      <c r="C4365" t="n">
        <v>-29.0858</v>
      </c>
      <c r="D4365" t="n">
        <v>-53.8445</v>
      </c>
      <c r="E4365" t="inlineStr">
        <is>
          <t>2024-02</t>
        </is>
      </c>
      <c r="F4365" t="n">
        <v>4082530.513639909</v>
      </c>
    </row>
    <row r="4366">
      <c r="A4366" t="inlineStr">
        <is>
          <t>Soja</t>
        </is>
      </c>
      <c r="B4366" t="inlineStr">
        <is>
          <t>Tupanciretã - RS</t>
        </is>
      </c>
      <c r="C4366" t="n">
        <v>-29.0858</v>
      </c>
      <c r="D4366" t="n">
        <v>-53.8445</v>
      </c>
      <c r="E4366" t="inlineStr">
        <is>
          <t>2024-03</t>
        </is>
      </c>
      <c r="F4366" t="n">
        <v>9525904.531826451</v>
      </c>
    </row>
    <row r="4367">
      <c r="A4367" t="inlineStr">
        <is>
          <t>Soja</t>
        </is>
      </c>
      <c r="B4367" t="inlineStr">
        <is>
          <t>Tupanciretã - RS</t>
        </is>
      </c>
      <c r="C4367" t="n">
        <v>-29.0858</v>
      </c>
      <c r="D4367" t="n">
        <v>-53.8445</v>
      </c>
      <c r="E4367" t="inlineStr">
        <is>
          <t>2024-04</t>
        </is>
      </c>
      <c r="F4367" t="n">
        <v>4082530.513639909</v>
      </c>
    </row>
    <row r="4368">
      <c r="A4368" t="inlineStr">
        <is>
          <t>Soja</t>
        </is>
      </c>
      <c r="B4368" t="inlineStr">
        <is>
          <t>Tupanciretã - RS</t>
        </is>
      </c>
      <c r="C4368" t="n">
        <v>-29.0858</v>
      </c>
      <c r="D4368" t="n">
        <v>-53.8445</v>
      </c>
      <c r="E4368" t="inlineStr">
        <is>
          <t>2024-05</t>
        </is>
      </c>
      <c r="F4368" t="n">
        <v>2041265.256819954</v>
      </c>
    </row>
    <row r="4369">
      <c r="A4369" t="inlineStr">
        <is>
          <t>Soja</t>
        </is>
      </c>
      <c r="B4369" t="inlineStr">
        <is>
          <t>Tupanciretã - RS</t>
        </is>
      </c>
      <c r="C4369" t="n">
        <v>-29.0858</v>
      </c>
      <c r="D4369" t="n">
        <v>-53.8445</v>
      </c>
      <c r="E4369" t="inlineStr">
        <is>
          <t>2024-06</t>
        </is>
      </c>
      <c r="F4369" t="n">
        <v>0</v>
      </c>
    </row>
    <row r="4370">
      <c r="A4370" t="inlineStr">
        <is>
          <t>Soja</t>
        </is>
      </c>
      <c r="B4370" t="inlineStr">
        <is>
          <t>Tupanciretã - RS</t>
        </is>
      </c>
      <c r="C4370" t="n">
        <v>-29.0858</v>
      </c>
      <c r="D4370" t="n">
        <v>-53.8445</v>
      </c>
      <c r="E4370" t="inlineStr">
        <is>
          <t>2023-07</t>
        </is>
      </c>
      <c r="F4370" t="n">
        <v>0</v>
      </c>
    </row>
    <row r="4371">
      <c r="A4371" t="inlineStr">
        <is>
          <t>Soja</t>
        </is>
      </c>
      <c r="B4371" t="inlineStr">
        <is>
          <t>Tupanciretã - RS</t>
        </is>
      </c>
      <c r="C4371" t="n">
        <v>-29.0858</v>
      </c>
      <c r="D4371" t="n">
        <v>-53.8445</v>
      </c>
      <c r="E4371" t="inlineStr">
        <is>
          <t>2023-08</t>
        </is>
      </c>
      <c r="F4371" t="n">
        <v>0</v>
      </c>
    </row>
    <row r="4372">
      <c r="A4372" t="inlineStr">
        <is>
          <t>Soja</t>
        </is>
      </c>
      <c r="B4372" t="inlineStr">
        <is>
          <t>Tupanciretã - RS</t>
        </is>
      </c>
      <c r="C4372" t="n">
        <v>-29.0858</v>
      </c>
      <c r="D4372" t="n">
        <v>-53.8445</v>
      </c>
      <c r="E4372" t="inlineStr">
        <is>
          <t>2023-09</t>
        </is>
      </c>
      <c r="F4372" t="n">
        <v>0</v>
      </c>
    </row>
    <row r="4373">
      <c r="A4373" t="inlineStr">
        <is>
          <t>Soja</t>
        </is>
      </c>
      <c r="B4373" t="inlineStr">
        <is>
          <t>Tupanciretã - RS</t>
        </is>
      </c>
      <c r="C4373" t="n">
        <v>-29.0858</v>
      </c>
      <c r="D4373" t="n">
        <v>-53.8445</v>
      </c>
      <c r="E4373" t="inlineStr">
        <is>
          <t>2023-10</t>
        </is>
      </c>
      <c r="F4373" t="n">
        <v>0</v>
      </c>
    </row>
    <row r="4374">
      <c r="A4374" t="inlineStr">
        <is>
          <t>Soja</t>
        </is>
      </c>
      <c r="B4374" t="inlineStr">
        <is>
          <t>Tupanciretã - RS</t>
        </is>
      </c>
      <c r="C4374" t="n">
        <v>-29.0858</v>
      </c>
      <c r="D4374" t="n">
        <v>-53.8445</v>
      </c>
      <c r="E4374" t="inlineStr">
        <is>
          <t>2023-11</t>
        </is>
      </c>
      <c r="F4374" t="n">
        <v>0</v>
      </c>
    </row>
    <row r="4375">
      <c r="A4375" t="inlineStr">
        <is>
          <t>Soja</t>
        </is>
      </c>
      <c r="B4375" t="inlineStr">
        <is>
          <t>Tupanciretã - RS</t>
        </is>
      </c>
      <c r="C4375" t="n">
        <v>-29.0858</v>
      </c>
      <c r="D4375" t="n">
        <v>-53.8445</v>
      </c>
      <c r="E4375" t="inlineStr">
        <is>
          <t>2023-12</t>
        </is>
      </c>
      <c r="F4375" t="n">
        <v>0</v>
      </c>
    </row>
    <row r="4376">
      <c r="A4376" t="inlineStr">
        <is>
          <t>Soja</t>
        </is>
      </c>
      <c r="B4376" t="inlineStr">
        <is>
          <t>Campos Novos - SC</t>
        </is>
      </c>
      <c r="C4376" t="n">
        <v>-27.4002</v>
      </c>
      <c r="D4376" t="n">
        <v>-51.2276</v>
      </c>
      <c r="E4376" t="inlineStr">
        <is>
          <t>2024-01</t>
        </is>
      </c>
      <c r="F4376" t="n">
        <v>0</v>
      </c>
    </row>
    <row r="4377">
      <c r="A4377" t="inlineStr">
        <is>
          <t>Soja</t>
        </is>
      </c>
      <c r="B4377" t="inlineStr">
        <is>
          <t>Campos Novos - SC</t>
        </is>
      </c>
      <c r="C4377" t="n">
        <v>-27.4002</v>
      </c>
      <c r="D4377" t="n">
        <v>-51.2276</v>
      </c>
      <c r="E4377" t="inlineStr">
        <is>
          <t>2024-02</t>
        </is>
      </c>
      <c r="F4377" t="n">
        <v>556329.1522537702</v>
      </c>
    </row>
    <row r="4378">
      <c r="A4378" t="inlineStr">
        <is>
          <t>Soja</t>
        </is>
      </c>
      <c r="B4378" t="inlineStr">
        <is>
          <t>Campos Novos - SC</t>
        </is>
      </c>
      <c r="C4378" t="n">
        <v>-27.4002</v>
      </c>
      <c r="D4378" t="n">
        <v>-51.2276</v>
      </c>
      <c r="E4378" t="inlineStr">
        <is>
          <t>2024-03</t>
        </is>
      </c>
      <c r="F4378" t="n">
        <v>927215.2537562835</v>
      </c>
    </row>
    <row r="4379">
      <c r="A4379" t="inlineStr">
        <is>
          <t>Soja</t>
        </is>
      </c>
      <c r="B4379" t="inlineStr">
        <is>
          <t>Campos Novos - SC</t>
        </is>
      </c>
      <c r="C4379" t="n">
        <v>-27.4002</v>
      </c>
      <c r="D4379" t="n">
        <v>-51.2276</v>
      </c>
      <c r="E4379" t="inlineStr">
        <is>
          <t>2024-04</t>
        </is>
      </c>
      <c r="F4379" t="n">
        <v>927215.2537562835</v>
      </c>
    </row>
    <row r="4380">
      <c r="A4380" t="inlineStr">
        <is>
          <t>Soja</t>
        </is>
      </c>
      <c r="B4380" t="inlineStr">
        <is>
          <t>Campos Novos - SC</t>
        </is>
      </c>
      <c r="C4380" t="n">
        <v>-27.4002</v>
      </c>
      <c r="D4380" t="n">
        <v>-51.2276</v>
      </c>
      <c r="E4380" t="inlineStr">
        <is>
          <t>2024-05</t>
        </is>
      </c>
      <c r="F4380" t="n">
        <v>556329.1522537702</v>
      </c>
    </row>
    <row r="4381">
      <c r="A4381" t="inlineStr">
        <is>
          <t>Soja</t>
        </is>
      </c>
      <c r="B4381" t="inlineStr">
        <is>
          <t>Campos Novos - SC</t>
        </is>
      </c>
      <c r="C4381" t="n">
        <v>-27.4002</v>
      </c>
      <c r="D4381" t="n">
        <v>-51.2276</v>
      </c>
      <c r="E4381" t="inlineStr">
        <is>
          <t>2024-06</t>
        </is>
      </c>
      <c r="F4381" t="n">
        <v>0</v>
      </c>
    </row>
    <row r="4382">
      <c r="A4382" t="inlineStr">
        <is>
          <t>Soja</t>
        </is>
      </c>
      <c r="B4382" t="inlineStr">
        <is>
          <t>Campos Novos - SC</t>
        </is>
      </c>
      <c r="C4382" t="n">
        <v>-27.4002</v>
      </c>
      <c r="D4382" t="n">
        <v>-51.2276</v>
      </c>
      <c r="E4382" t="inlineStr">
        <is>
          <t>2023-07</t>
        </is>
      </c>
      <c r="F4382" t="n">
        <v>0</v>
      </c>
    </row>
    <row r="4383">
      <c r="A4383" t="inlineStr">
        <is>
          <t>Soja</t>
        </is>
      </c>
      <c r="B4383" t="inlineStr">
        <is>
          <t>Campos Novos - SC</t>
        </is>
      </c>
      <c r="C4383" t="n">
        <v>-27.4002</v>
      </c>
      <c r="D4383" t="n">
        <v>-51.2276</v>
      </c>
      <c r="E4383" t="inlineStr">
        <is>
          <t>2023-08</t>
        </is>
      </c>
      <c r="F4383" t="n">
        <v>0</v>
      </c>
    </row>
    <row r="4384">
      <c r="A4384" t="inlineStr">
        <is>
          <t>Soja</t>
        </is>
      </c>
      <c r="B4384" t="inlineStr">
        <is>
          <t>Campos Novos - SC</t>
        </is>
      </c>
      <c r="C4384" t="n">
        <v>-27.4002</v>
      </c>
      <c r="D4384" t="n">
        <v>-51.2276</v>
      </c>
      <c r="E4384" t="inlineStr">
        <is>
          <t>2023-09</t>
        </is>
      </c>
      <c r="F4384" t="n">
        <v>0</v>
      </c>
    </row>
    <row r="4385">
      <c r="A4385" t="inlineStr">
        <is>
          <t>Soja</t>
        </is>
      </c>
      <c r="B4385" t="inlineStr">
        <is>
          <t>Campos Novos - SC</t>
        </is>
      </c>
      <c r="C4385" t="n">
        <v>-27.4002</v>
      </c>
      <c r="D4385" t="n">
        <v>-51.2276</v>
      </c>
      <c r="E4385" t="inlineStr">
        <is>
          <t>2023-10</t>
        </is>
      </c>
      <c r="F4385" t="n">
        <v>0</v>
      </c>
    </row>
    <row r="4386">
      <c r="A4386" t="inlineStr">
        <is>
          <t>Soja</t>
        </is>
      </c>
      <c r="B4386" t="inlineStr">
        <is>
          <t>Campos Novos - SC</t>
        </is>
      </c>
      <c r="C4386" t="n">
        <v>-27.4002</v>
      </c>
      <c r="D4386" t="n">
        <v>-51.2276</v>
      </c>
      <c r="E4386" t="inlineStr">
        <is>
          <t>2023-11</t>
        </is>
      </c>
      <c r="F4386" t="n">
        <v>0</v>
      </c>
    </row>
    <row r="4387">
      <c r="A4387" t="inlineStr">
        <is>
          <t>Soja</t>
        </is>
      </c>
      <c r="B4387" t="inlineStr">
        <is>
          <t>Campos Novos - SC</t>
        </is>
      </c>
      <c r="C4387" t="n">
        <v>-27.4002</v>
      </c>
      <c r="D4387" t="n">
        <v>-51.2276</v>
      </c>
      <c r="E4387" t="inlineStr">
        <is>
          <t>2023-12</t>
        </is>
      </c>
      <c r="F4387" t="n">
        <v>0</v>
      </c>
    </row>
    <row r="4388">
      <c r="A4388" t="inlineStr">
        <is>
          <t>Soja</t>
        </is>
      </c>
      <c r="B4388" t="inlineStr">
        <is>
          <t>Itapeva - SP</t>
        </is>
      </c>
      <c r="C4388" t="n">
        <v>-23.9788</v>
      </c>
      <c r="D4388" t="n">
        <v>-48.8764</v>
      </c>
      <c r="E4388" t="inlineStr">
        <is>
          <t>2024-01</t>
        </is>
      </c>
      <c r="F4388" t="n">
        <v>693084.6454278621</v>
      </c>
    </row>
    <row r="4389">
      <c r="A4389" t="inlineStr">
        <is>
          <t>Soja</t>
        </is>
      </c>
      <c r="B4389" t="inlineStr">
        <is>
          <t>Itapeva - SP</t>
        </is>
      </c>
      <c r="C4389" t="n">
        <v>-23.9788</v>
      </c>
      <c r="D4389" t="n">
        <v>-48.8764</v>
      </c>
      <c r="E4389" t="inlineStr">
        <is>
          <t>2024-02</t>
        </is>
      </c>
      <c r="F4389" t="n">
        <v>693084.6454278621</v>
      </c>
    </row>
    <row r="4390">
      <c r="A4390" t="inlineStr">
        <is>
          <t>Soja</t>
        </is>
      </c>
      <c r="B4390" t="inlineStr">
        <is>
          <t>Itapeva - SP</t>
        </is>
      </c>
      <c r="C4390" t="n">
        <v>-23.9788</v>
      </c>
      <c r="D4390" t="n">
        <v>-48.8764</v>
      </c>
      <c r="E4390" t="inlineStr">
        <is>
          <t>2024-03</t>
        </is>
      </c>
      <c r="F4390" t="n">
        <v>1617197.505998345</v>
      </c>
    </row>
    <row r="4391">
      <c r="A4391" t="inlineStr">
        <is>
          <t>Soja</t>
        </is>
      </c>
      <c r="B4391" t="inlineStr">
        <is>
          <t>Itapeva - SP</t>
        </is>
      </c>
      <c r="C4391" t="n">
        <v>-23.9788</v>
      </c>
      <c r="D4391" t="n">
        <v>-48.8764</v>
      </c>
      <c r="E4391" t="inlineStr">
        <is>
          <t>2024-04</t>
        </is>
      </c>
      <c r="F4391" t="n">
        <v>693084.6454278621</v>
      </c>
    </row>
    <row r="4392">
      <c r="A4392" t="inlineStr">
        <is>
          <t>Soja</t>
        </is>
      </c>
      <c r="B4392" t="inlineStr">
        <is>
          <t>Itapeva - SP</t>
        </is>
      </c>
      <c r="C4392" t="n">
        <v>-23.9788</v>
      </c>
      <c r="D4392" t="n">
        <v>-48.8764</v>
      </c>
      <c r="E4392" t="inlineStr">
        <is>
          <t>2024-05</t>
        </is>
      </c>
      <c r="F4392" t="n">
        <v>0</v>
      </c>
    </row>
    <row r="4393">
      <c r="A4393" t="inlineStr">
        <is>
          <t>Soja</t>
        </is>
      </c>
      <c r="B4393" t="inlineStr">
        <is>
          <t>Itapeva - SP</t>
        </is>
      </c>
      <c r="C4393" t="n">
        <v>-23.9788</v>
      </c>
      <c r="D4393" t="n">
        <v>-48.8764</v>
      </c>
      <c r="E4393" t="inlineStr">
        <is>
          <t>2024-06</t>
        </is>
      </c>
      <c r="F4393" t="n">
        <v>0</v>
      </c>
    </row>
    <row r="4394">
      <c r="A4394" t="inlineStr">
        <is>
          <t>Soja</t>
        </is>
      </c>
      <c r="B4394" t="inlineStr">
        <is>
          <t>Itapeva - SP</t>
        </is>
      </c>
      <c r="C4394" t="n">
        <v>-23.9788</v>
      </c>
      <c r="D4394" t="n">
        <v>-48.8764</v>
      </c>
      <c r="E4394" t="inlineStr">
        <is>
          <t>2023-07</t>
        </is>
      </c>
      <c r="F4394" t="n">
        <v>0</v>
      </c>
    </row>
    <row r="4395">
      <c r="A4395" t="inlineStr">
        <is>
          <t>Soja</t>
        </is>
      </c>
      <c r="B4395" t="inlineStr">
        <is>
          <t>Itapeva - SP</t>
        </is>
      </c>
      <c r="C4395" t="n">
        <v>-23.9788</v>
      </c>
      <c r="D4395" t="n">
        <v>-48.8764</v>
      </c>
      <c r="E4395" t="inlineStr">
        <is>
          <t>2023-08</t>
        </is>
      </c>
      <c r="F4395" t="n">
        <v>0</v>
      </c>
    </row>
    <row r="4396">
      <c r="A4396" t="inlineStr">
        <is>
          <t>Soja</t>
        </is>
      </c>
      <c r="B4396" t="inlineStr">
        <is>
          <t>Itapeva - SP</t>
        </is>
      </c>
      <c r="C4396" t="n">
        <v>-23.9788</v>
      </c>
      <c r="D4396" t="n">
        <v>-48.8764</v>
      </c>
      <c r="E4396" t="inlineStr">
        <is>
          <t>2023-09</t>
        </is>
      </c>
      <c r="F4396" t="n">
        <v>0</v>
      </c>
    </row>
    <row r="4397">
      <c r="A4397" t="inlineStr">
        <is>
          <t>Soja</t>
        </is>
      </c>
      <c r="B4397" t="inlineStr">
        <is>
          <t>Itapeva - SP</t>
        </is>
      </c>
      <c r="C4397" t="n">
        <v>-23.9788</v>
      </c>
      <c r="D4397" t="n">
        <v>-48.8764</v>
      </c>
      <c r="E4397" t="inlineStr">
        <is>
          <t>2023-10</t>
        </is>
      </c>
      <c r="F4397" t="n">
        <v>0</v>
      </c>
    </row>
    <row r="4398">
      <c r="A4398" t="inlineStr">
        <is>
          <t>Soja</t>
        </is>
      </c>
      <c r="B4398" t="inlineStr">
        <is>
          <t>Itapeva - SP</t>
        </is>
      </c>
      <c r="C4398" t="n">
        <v>-23.9788</v>
      </c>
      <c r="D4398" t="n">
        <v>-48.8764</v>
      </c>
      <c r="E4398" t="inlineStr">
        <is>
          <t>2023-11</t>
        </is>
      </c>
      <c r="F4398" t="n">
        <v>0</v>
      </c>
    </row>
    <row r="4399">
      <c r="A4399" t="inlineStr">
        <is>
          <t>Soja</t>
        </is>
      </c>
      <c r="B4399" t="inlineStr">
        <is>
          <t>Itapeva - SP</t>
        </is>
      </c>
      <c r="C4399" t="n">
        <v>-23.9788</v>
      </c>
      <c r="D4399" t="n">
        <v>-48.8764</v>
      </c>
      <c r="E4399" t="inlineStr">
        <is>
          <t>2023-12</t>
        </is>
      </c>
      <c r="F4399" t="n">
        <v>0</v>
      </c>
    </row>
    <row r="4400">
      <c r="A4400" t="inlineStr">
        <is>
          <t>Soja</t>
        </is>
      </c>
      <c r="B4400" t="inlineStr">
        <is>
          <t>Campos Lindos - TO</t>
        </is>
      </c>
      <c r="C4400" t="n">
        <v>-7.98956</v>
      </c>
      <c r="D4400" t="n">
        <v>-46.8645</v>
      </c>
      <c r="E4400" t="inlineStr">
        <is>
          <t>2024-01</t>
        </is>
      </c>
      <c r="F4400" t="n">
        <v>0</v>
      </c>
    </row>
    <row r="4401">
      <c r="A4401" t="inlineStr">
        <is>
          <t>Soja</t>
        </is>
      </c>
      <c r="B4401" t="inlineStr">
        <is>
          <t>Campos Lindos - TO</t>
        </is>
      </c>
      <c r="C4401" t="n">
        <v>-7.98956</v>
      </c>
      <c r="D4401" t="n">
        <v>-46.8645</v>
      </c>
      <c r="E4401" t="inlineStr">
        <is>
          <t>2024-02</t>
        </is>
      </c>
      <c r="F4401" t="n">
        <v>757165.3272595749</v>
      </c>
    </row>
    <row r="4402">
      <c r="A4402" t="inlineStr">
        <is>
          <t>Soja</t>
        </is>
      </c>
      <c r="B4402" t="inlineStr">
        <is>
          <t>Campos Lindos - TO</t>
        </is>
      </c>
      <c r="C4402" t="n">
        <v>-7.98956</v>
      </c>
      <c r="D4402" t="n">
        <v>-46.8645</v>
      </c>
      <c r="E4402" t="inlineStr">
        <is>
          <t>2024-03</t>
        </is>
      </c>
      <c r="F4402" t="n">
        <v>1261942.212099292</v>
      </c>
    </row>
    <row r="4403">
      <c r="A4403" t="inlineStr">
        <is>
          <t>Soja</t>
        </is>
      </c>
      <c r="B4403" t="inlineStr">
        <is>
          <t>Campos Lindos - TO</t>
        </is>
      </c>
      <c r="C4403" t="n">
        <v>-7.98956</v>
      </c>
      <c r="D4403" t="n">
        <v>-46.8645</v>
      </c>
      <c r="E4403" t="inlineStr">
        <is>
          <t>2024-04</t>
        </is>
      </c>
      <c r="F4403" t="n">
        <v>1261942.212099292</v>
      </c>
    </row>
    <row r="4404">
      <c r="A4404" t="inlineStr">
        <is>
          <t>Soja</t>
        </is>
      </c>
      <c r="B4404" t="inlineStr">
        <is>
          <t>Campos Lindos - TO</t>
        </is>
      </c>
      <c r="C4404" t="n">
        <v>-7.98956</v>
      </c>
      <c r="D4404" t="n">
        <v>-46.8645</v>
      </c>
      <c r="E4404" t="inlineStr">
        <is>
          <t>2024-05</t>
        </is>
      </c>
      <c r="F4404" t="n">
        <v>757165.3272595749</v>
      </c>
    </row>
    <row r="4405">
      <c r="A4405" t="inlineStr">
        <is>
          <t>Soja</t>
        </is>
      </c>
      <c r="B4405" t="inlineStr">
        <is>
          <t>Campos Lindos - TO</t>
        </is>
      </c>
      <c r="C4405" t="n">
        <v>-7.98956</v>
      </c>
      <c r="D4405" t="n">
        <v>-46.8645</v>
      </c>
      <c r="E4405" t="inlineStr">
        <is>
          <t>2024-06</t>
        </is>
      </c>
      <c r="F4405" t="n">
        <v>0</v>
      </c>
    </row>
    <row r="4406">
      <c r="A4406" t="inlineStr">
        <is>
          <t>Soja</t>
        </is>
      </c>
      <c r="B4406" t="inlineStr">
        <is>
          <t>Campos Lindos - TO</t>
        </is>
      </c>
      <c r="C4406" t="n">
        <v>-7.98956</v>
      </c>
      <c r="D4406" t="n">
        <v>-46.8645</v>
      </c>
      <c r="E4406" t="inlineStr">
        <is>
          <t>2023-07</t>
        </is>
      </c>
      <c r="F4406" t="n">
        <v>0</v>
      </c>
    </row>
    <row r="4407">
      <c r="A4407" t="inlineStr">
        <is>
          <t>Soja</t>
        </is>
      </c>
      <c r="B4407" t="inlineStr">
        <is>
          <t>Campos Lindos - TO</t>
        </is>
      </c>
      <c r="C4407" t="n">
        <v>-7.98956</v>
      </c>
      <c r="D4407" t="n">
        <v>-46.8645</v>
      </c>
      <c r="E4407" t="inlineStr">
        <is>
          <t>2023-08</t>
        </is>
      </c>
      <c r="F4407" t="n">
        <v>0</v>
      </c>
    </row>
    <row r="4408">
      <c r="A4408" t="inlineStr">
        <is>
          <t>Soja</t>
        </is>
      </c>
      <c r="B4408" t="inlineStr">
        <is>
          <t>Campos Lindos - TO</t>
        </is>
      </c>
      <c r="C4408" t="n">
        <v>-7.98956</v>
      </c>
      <c r="D4408" t="n">
        <v>-46.8645</v>
      </c>
      <c r="E4408" t="inlineStr">
        <is>
          <t>2023-09</t>
        </is>
      </c>
      <c r="F4408" t="n">
        <v>0</v>
      </c>
    </row>
    <row r="4409">
      <c r="A4409" t="inlineStr">
        <is>
          <t>Soja</t>
        </is>
      </c>
      <c r="B4409" t="inlineStr">
        <is>
          <t>Campos Lindos - TO</t>
        </is>
      </c>
      <c r="C4409" t="n">
        <v>-7.98956</v>
      </c>
      <c r="D4409" t="n">
        <v>-46.8645</v>
      </c>
      <c r="E4409" t="inlineStr">
        <is>
          <t>2023-10</t>
        </is>
      </c>
      <c r="F4409" t="n">
        <v>0</v>
      </c>
    </row>
    <row r="4410">
      <c r="A4410" t="inlineStr">
        <is>
          <t>Soja</t>
        </is>
      </c>
      <c r="B4410" t="inlineStr">
        <is>
          <t>Campos Lindos - TO</t>
        </is>
      </c>
      <c r="C4410" t="n">
        <v>-7.98956</v>
      </c>
      <c r="D4410" t="n">
        <v>-46.8645</v>
      </c>
      <c r="E4410" t="inlineStr">
        <is>
          <t>2023-11</t>
        </is>
      </c>
      <c r="F4410" t="n">
        <v>0</v>
      </c>
    </row>
    <row r="4411">
      <c r="A4411" t="inlineStr">
        <is>
          <t>Soja</t>
        </is>
      </c>
      <c r="B4411" t="inlineStr">
        <is>
          <t>Campos Lindos - TO</t>
        </is>
      </c>
      <c r="C4411" t="n">
        <v>-7.98956</v>
      </c>
      <c r="D4411" t="n">
        <v>-46.8645</v>
      </c>
      <c r="E4411" t="inlineStr">
        <is>
          <t>2023-12</t>
        </is>
      </c>
      <c r="F4411" t="n">
        <v>0</v>
      </c>
    </row>
    <row r="4412">
      <c r="A4412" t="inlineStr">
        <is>
          <t>Milho</t>
        </is>
      </c>
      <c r="B4412" t="inlineStr">
        <is>
          <t>Limoeiro de Anadia - AL</t>
        </is>
      </c>
      <c r="C4412" t="n">
        <v>-9.74098</v>
      </c>
      <c r="D4412" t="n">
        <v>-36.5121</v>
      </c>
      <c r="E4412" t="inlineStr">
        <is>
          <t>2025-01</t>
        </is>
      </c>
      <c r="F4412" t="n">
        <v>0</v>
      </c>
    </row>
    <row r="4413">
      <c r="A4413" t="inlineStr">
        <is>
          <t>Milho</t>
        </is>
      </c>
      <c r="B4413" t="inlineStr">
        <is>
          <t>Limoeiro de Anadia - AL</t>
        </is>
      </c>
      <c r="C4413" t="n">
        <v>-9.74098</v>
      </c>
      <c r="D4413" t="n">
        <v>-36.5121</v>
      </c>
      <c r="E4413" t="inlineStr">
        <is>
          <t>2025-02</t>
        </is>
      </c>
      <c r="F4413" t="n">
        <v>0</v>
      </c>
    </row>
    <row r="4414">
      <c r="A4414" t="inlineStr">
        <is>
          <t>Milho</t>
        </is>
      </c>
      <c r="B4414" t="inlineStr">
        <is>
          <t>Limoeiro de Anadia - AL</t>
        </is>
      </c>
      <c r="C4414" t="n">
        <v>-9.74098</v>
      </c>
      <c r="D4414" t="n">
        <v>-36.5121</v>
      </c>
      <c r="E4414" t="inlineStr">
        <is>
          <t>2025-03</t>
        </is>
      </c>
      <c r="F4414" t="n">
        <v>0</v>
      </c>
    </row>
    <row r="4415">
      <c r="A4415" t="inlineStr">
        <is>
          <t>Milho</t>
        </is>
      </c>
      <c r="B4415" t="inlineStr">
        <is>
          <t>Limoeiro de Anadia - AL</t>
        </is>
      </c>
      <c r="C4415" t="n">
        <v>-9.74098</v>
      </c>
      <c r="D4415" t="n">
        <v>-36.5121</v>
      </c>
      <c r="E4415" t="inlineStr">
        <is>
          <t>2025-04</t>
        </is>
      </c>
      <c r="F4415" t="n">
        <v>0</v>
      </c>
    </row>
    <row r="4416">
      <c r="A4416" t="inlineStr">
        <is>
          <t>Milho</t>
        </is>
      </c>
      <c r="B4416" t="inlineStr">
        <is>
          <t>Limoeiro de Anadia - AL</t>
        </is>
      </c>
      <c r="C4416" t="n">
        <v>-9.74098</v>
      </c>
      <c r="D4416" t="n">
        <v>-36.5121</v>
      </c>
      <c r="E4416" t="inlineStr">
        <is>
          <t>2025-05</t>
        </is>
      </c>
      <c r="F4416" t="n">
        <v>0</v>
      </c>
    </row>
    <row r="4417">
      <c r="A4417" t="inlineStr">
        <is>
          <t>Milho</t>
        </is>
      </c>
      <c r="B4417" t="inlineStr">
        <is>
          <t>Limoeiro de Anadia - AL</t>
        </is>
      </c>
      <c r="C4417" t="n">
        <v>-9.74098</v>
      </c>
      <c r="D4417" t="n">
        <v>-36.5121</v>
      </c>
      <c r="E4417" t="inlineStr">
        <is>
          <t>2025-06</t>
        </is>
      </c>
      <c r="F4417" t="n">
        <v>0</v>
      </c>
    </row>
    <row r="4418">
      <c r="A4418" t="inlineStr">
        <is>
          <t>Milho</t>
        </is>
      </c>
      <c r="B4418" t="inlineStr">
        <is>
          <t>Limoeiro de Anadia - AL</t>
        </is>
      </c>
      <c r="C4418" t="n">
        <v>-9.74098</v>
      </c>
      <c r="D4418" t="n">
        <v>-36.5121</v>
      </c>
      <c r="E4418" t="inlineStr">
        <is>
          <t>2024-07</t>
        </is>
      </c>
      <c r="F4418" t="n">
        <v>0</v>
      </c>
    </row>
    <row r="4419">
      <c r="A4419" t="inlineStr">
        <is>
          <t>Milho</t>
        </is>
      </c>
      <c r="B4419" t="inlineStr">
        <is>
          <t>Limoeiro de Anadia - AL</t>
        </is>
      </c>
      <c r="C4419" t="n">
        <v>-9.74098</v>
      </c>
      <c r="D4419" t="n">
        <v>-36.5121</v>
      </c>
      <c r="E4419" t="inlineStr">
        <is>
          <t>2024-08</t>
        </is>
      </c>
      <c r="F4419" t="n">
        <v>0</v>
      </c>
    </row>
    <row r="4420">
      <c r="A4420" t="inlineStr">
        <is>
          <t>Milho</t>
        </is>
      </c>
      <c r="B4420" t="inlineStr">
        <is>
          <t>Limoeiro de Anadia - AL</t>
        </is>
      </c>
      <c r="C4420" t="n">
        <v>-9.74098</v>
      </c>
      <c r="D4420" t="n">
        <v>-36.5121</v>
      </c>
      <c r="E4420" t="inlineStr">
        <is>
          <t>2024-09</t>
        </is>
      </c>
      <c r="F4420" t="n">
        <v>0</v>
      </c>
    </row>
    <row r="4421">
      <c r="A4421" t="inlineStr">
        <is>
          <t>Milho</t>
        </is>
      </c>
      <c r="B4421" t="inlineStr">
        <is>
          <t>Limoeiro de Anadia - AL</t>
        </is>
      </c>
      <c r="C4421" t="n">
        <v>-9.74098</v>
      </c>
      <c r="D4421" t="n">
        <v>-36.5121</v>
      </c>
      <c r="E4421" t="inlineStr">
        <is>
          <t>2024-10</t>
        </is>
      </c>
      <c r="F4421" t="n">
        <v>0</v>
      </c>
    </row>
    <row r="4422">
      <c r="A4422" t="inlineStr">
        <is>
          <t>Milho</t>
        </is>
      </c>
      <c r="B4422" t="inlineStr">
        <is>
          <t>Limoeiro de Anadia - AL</t>
        </is>
      </c>
      <c r="C4422" t="n">
        <v>-9.74098</v>
      </c>
      <c r="D4422" t="n">
        <v>-36.5121</v>
      </c>
      <c r="E4422" t="inlineStr">
        <is>
          <t>2024-11</t>
        </is>
      </c>
      <c r="F4422" t="n">
        <v>0</v>
      </c>
    </row>
    <row r="4423">
      <c r="A4423" t="inlineStr">
        <is>
          <t>Milho</t>
        </is>
      </c>
      <c r="B4423" t="inlineStr">
        <is>
          <t>Limoeiro de Anadia - AL</t>
        </is>
      </c>
      <c r="C4423" t="n">
        <v>-9.74098</v>
      </c>
      <c r="D4423" t="n">
        <v>-36.5121</v>
      </c>
      <c r="E4423" t="inlineStr">
        <is>
          <t>2024-12</t>
        </is>
      </c>
      <c r="F4423" t="n">
        <v>0</v>
      </c>
    </row>
    <row r="4424">
      <c r="A4424" t="inlineStr">
        <is>
          <t>Milho</t>
        </is>
      </c>
      <c r="B4424" t="inlineStr">
        <is>
          <t>Macapá - AP</t>
        </is>
      </c>
      <c r="C4424" t="n">
        <v>0.034934</v>
      </c>
      <c r="D4424" t="n">
        <v>-51.0694</v>
      </c>
      <c r="E4424" t="inlineStr">
        <is>
          <t>2025-01</t>
        </is>
      </c>
      <c r="F4424" t="n">
        <v>0</v>
      </c>
    </row>
    <row r="4425">
      <c r="A4425" t="inlineStr">
        <is>
          <t>Milho</t>
        </is>
      </c>
      <c r="B4425" t="inlineStr">
        <is>
          <t>Macapá - AP</t>
        </is>
      </c>
      <c r="C4425" t="n">
        <v>0.034934</v>
      </c>
      <c r="D4425" t="n">
        <v>-51.0694</v>
      </c>
      <c r="E4425" t="inlineStr">
        <is>
          <t>2025-02</t>
        </is>
      </c>
      <c r="F4425" t="n">
        <v>0</v>
      </c>
    </row>
    <row r="4426">
      <c r="A4426" t="inlineStr">
        <is>
          <t>Milho</t>
        </is>
      </c>
      <c r="B4426" t="inlineStr">
        <is>
          <t>Macapá - AP</t>
        </is>
      </c>
      <c r="C4426" t="n">
        <v>0.034934</v>
      </c>
      <c r="D4426" t="n">
        <v>-51.0694</v>
      </c>
      <c r="E4426" t="inlineStr">
        <is>
          <t>2025-03</t>
        </is>
      </c>
      <c r="F4426" t="n">
        <v>0</v>
      </c>
    </row>
    <row r="4427">
      <c r="A4427" t="inlineStr">
        <is>
          <t>Milho</t>
        </is>
      </c>
      <c r="B4427" t="inlineStr">
        <is>
          <t>Macapá - AP</t>
        </is>
      </c>
      <c r="C4427" t="n">
        <v>0.034934</v>
      </c>
      <c r="D4427" t="n">
        <v>-51.0694</v>
      </c>
      <c r="E4427" t="inlineStr">
        <is>
          <t>2025-04</t>
        </is>
      </c>
      <c r="F4427" t="n">
        <v>0</v>
      </c>
    </row>
    <row r="4428">
      <c r="A4428" t="inlineStr">
        <is>
          <t>Milho</t>
        </is>
      </c>
      <c r="B4428" t="inlineStr">
        <is>
          <t>Macapá - AP</t>
        </is>
      </c>
      <c r="C4428" t="n">
        <v>0.034934</v>
      </c>
      <c r="D4428" t="n">
        <v>-51.0694</v>
      </c>
      <c r="E4428" t="inlineStr">
        <is>
          <t>2025-05</t>
        </is>
      </c>
      <c r="F4428" t="n">
        <v>0</v>
      </c>
    </row>
    <row r="4429">
      <c r="A4429" t="inlineStr">
        <is>
          <t>Milho</t>
        </is>
      </c>
      <c r="B4429" t="inlineStr">
        <is>
          <t>Macapá - AP</t>
        </is>
      </c>
      <c r="C4429" t="n">
        <v>0.034934</v>
      </c>
      <c r="D4429" t="n">
        <v>-51.0694</v>
      </c>
      <c r="E4429" t="inlineStr">
        <is>
          <t>2025-06</t>
        </is>
      </c>
      <c r="F4429" t="n">
        <v>0</v>
      </c>
    </row>
    <row r="4430">
      <c r="A4430" t="inlineStr">
        <is>
          <t>Milho</t>
        </is>
      </c>
      <c r="B4430" t="inlineStr">
        <is>
          <t>Macapá - AP</t>
        </is>
      </c>
      <c r="C4430" t="n">
        <v>0.034934</v>
      </c>
      <c r="D4430" t="n">
        <v>-51.0694</v>
      </c>
      <c r="E4430" t="inlineStr">
        <is>
          <t>2024-07</t>
        </is>
      </c>
      <c r="F4430" t="n">
        <v>0</v>
      </c>
    </row>
    <row r="4431">
      <c r="A4431" t="inlineStr">
        <is>
          <t>Milho</t>
        </is>
      </c>
      <c r="B4431" t="inlineStr">
        <is>
          <t>Macapá - AP</t>
        </is>
      </c>
      <c r="C4431" t="n">
        <v>0.034934</v>
      </c>
      <c r="D4431" t="n">
        <v>-51.0694</v>
      </c>
      <c r="E4431" t="inlineStr">
        <is>
          <t>2024-08</t>
        </is>
      </c>
      <c r="F4431" t="n">
        <v>0</v>
      </c>
    </row>
    <row r="4432">
      <c r="A4432" t="inlineStr">
        <is>
          <t>Milho</t>
        </is>
      </c>
      <c r="B4432" t="inlineStr">
        <is>
          <t>Macapá - AP</t>
        </is>
      </c>
      <c r="C4432" t="n">
        <v>0.034934</v>
      </c>
      <c r="D4432" t="n">
        <v>-51.0694</v>
      </c>
      <c r="E4432" t="inlineStr">
        <is>
          <t>2024-09</t>
        </is>
      </c>
      <c r="F4432" t="n">
        <v>0</v>
      </c>
    </row>
    <row r="4433">
      <c r="A4433" t="inlineStr">
        <is>
          <t>Milho</t>
        </is>
      </c>
      <c r="B4433" t="inlineStr">
        <is>
          <t>Macapá - AP</t>
        </is>
      </c>
      <c r="C4433" t="n">
        <v>0.034934</v>
      </c>
      <c r="D4433" t="n">
        <v>-51.0694</v>
      </c>
      <c r="E4433" t="inlineStr">
        <is>
          <t>2024-10</t>
        </is>
      </c>
      <c r="F4433" t="n">
        <v>0</v>
      </c>
    </row>
    <row r="4434">
      <c r="A4434" t="inlineStr">
        <is>
          <t>Milho</t>
        </is>
      </c>
      <c r="B4434" t="inlineStr">
        <is>
          <t>Macapá - AP</t>
        </is>
      </c>
      <c r="C4434" t="n">
        <v>0.034934</v>
      </c>
      <c r="D4434" t="n">
        <v>-51.0694</v>
      </c>
      <c r="E4434" t="inlineStr">
        <is>
          <t>2024-11</t>
        </is>
      </c>
      <c r="F4434" t="n">
        <v>0</v>
      </c>
    </row>
    <row r="4435">
      <c r="A4435" t="inlineStr">
        <is>
          <t>Milho</t>
        </is>
      </c>
      <c r="B4435" t="inlineStr">
        <is>
          <t>Macapá - AP</t>
        </is>
      </c>
      <c r="C4435" t="n">
        <v>0.034934</v>
      </c>
      <c r="D4435" t="n">
        <v>-51.0694</v>
      </c>
      <c r="E4435" t="inlineStr">
        <is>
          <t>2024-12</t>
        </is>
      </c>
      <c r="F4435" t="n">
        <v>0</v>
      </c>
    </row>
    <row r="4436">
      <c r="A4436" t="inlineStr">
        <is>
          <t>Milho</t>
        </is>
      </c>
      <c r="B4436" t="inlineStr">
        <is>
          <t>Crateús - CE</t>
        </is>
      </c>
      <c r="C4436" t="n">
        <v>-5.16768</v>
      </c>
      <c r="D4436" t="n">
        <v>-40.6536</v>
      </c>
      <c r="E4436" t="inlineStr">
        <is>
          <t>2025-01</t>
        </is>
      </c>
      <c r="F4436" t="n">
        <v>0</v>
      </c>
    </row>
    <row r="4437">
      <c r="A4437" t="inlineStr">
        <is>
          <t>Milho</t>
        </is>
      </c>
      <c r="B4437" t="inlineStr">
        <is>
          <t>Crateús - CE</t>
        </is>
      </c>
      <c r="C4437" t="n">
        <v>-5.16768</v>
      </c>
      <c r="D4437" t="n">
        <v>-40.6536</v>
      </c>
      <c r="E4437" t="inlineStr">
        <is>
          <t>2025-02</t>
        </is>
      </c>
      <c r="F4437" t="n">
        <v>0</v>
      </c>
    </row>
    <row r="4438">
      <c r="A4438" t="inlineStr">
        <is>
          <t>Milho</t>
        </is>
      </c>
      <c r="B4438" t="inlineStr">
        <is>
          <t>Crateús - CE</t>
        </is>
      </c>
      <c r="C4438" t="n">
        <v>-5.16768</v>
      </c>
      <c r="D4438" t="n">
        <v>-40.6536</v>
      </c>
      <c r="E4438" t="inlineStr">
        <is>
          <t>2025-03</t>
        </is>
      </c>
      <c r="F4438" t="n">
        <v>0</v>
      </c>
    </row>
    <row r="4439">
      <c r="A4439" t="inlineStr">
        <is>
          <t>Milho</t>
        </is>
      </c>
      <c r="B4439" t="inlineStr">
        <is>
          <t>Crateús - CE</t>
        </is>
      </c>
      <c r="C4439" t="n">
        <v>-5.16768</v>
      </c>
      <c r="D4439" t="n">
        <v>-40.6536</v>
      </c>
      <c r="E4439" t="inlineStr">
        <is>
          <t>2025-04</t>
        </is>
      </c>
      <c r="F4439" t="n">
        <v>0</v>
      </c>
    </row>
    <row r="4440">
      <c r="A4440" t="inlineStr">
        <is>
          <t>Milho</t>
        </is>
      </c>
      <c r="B4440" t="inlineStr">
        <is>
          <t>Crateús - CE</t>
        </is>
      </c>
      <c r="C4440" t="n">
        <v>-5.16768</v>
      </c>
      <c r="D4440" t="n">
        <v>-40.6536</v>
      </c>
      <c r="E4440" t="inlineStr">
        <is>
          <t>2025-05</t>
        </is>
      </c>
      <c r="F4440" t="n">
        <v>0</v>
      </c>
    </row>
    <row r="4441">
      <c r="A4441" t="inlineStr">
        <is>
          <t>Milho</t>
        </is>
      </c>
      <c r="B4441" t="inlineStr">
        <is>
          <t>Crateús - CE</t>
        </is>
      </c>
      <c r="C4441" t="n">
        <v>-5.16768</v>
      </c>
      <c r="D4441" t="n">
        <v>-40.6536</v>
      </c>
      <c r="E4441" t="inlineStr">
        <is>
          <t>2025-06</t>
        </is>
      </c>
      <c r="F4441" t="n">
        <v>0</v>
      </c>
    </row>
    <row r="4442">
      <c r="A4442" t="inlineStr">
        <is>
          <t>Milho</t>
        </is>
      </c>
      <c r="B4442" t="inlineStr">
        <is>
          <t>Crateús - CE</t>
        </is>
      </c>
      <c r="C4442" t="n">
        <v>-5.16768</v>
      </c>
      <c r="D4442" t="n">
        <v>-40.6536</v>
      </c>
      <c r="E4442" t="inlineStr">
        <is>
          <t>2024-07</t>
        </is>
      </c>
      <c r="F4442" t="n">
        <v>0</v>
      </c>
    </row>
    <row r="4443">
      <c r="A4443" t="inlineStr">
        <is>
          <t>Milho</t>
        </is>
      </c>
      <c r="B4443" t="inlineStr">
        <is>
          <t>Crateús - CE</t>
        </is>
      </c>
      <c r="C4443" t="n">
        <v>-5.16768</v>
      </c>
      <c r="D4443" t="n">
        <v>-40.6536</v>
      </c>
      <c r="E4443" t="inlineStr">
        <is>
          <t>2024-08</t>
        </is>
      </c>
      <c r="F4443" t="n">
        <v>0</v>
      </c>
    </row>
    <row r="4444">
      <c r="A4444" t="inlineStr">
        <is>
          <t>Milho</t>
        </is>
      </c>
      <c r="B4444" t="inlineStr">
        <is>
          <t>Crateús - CE</t>
        </is>
      </c>
      <c r="C4444" t="n">
        <v>-5.16768</v>
      </c>
      <c r="D4444" t="n">
        <v>-40.6536</v>
      </c>
      <c r="E4444" t="inlineStr">
        <is>
          <t>2024-09</t>
        </is>
      </c>
      <c r="F4444" t="n">
        <v>0</v>
      </c>
    </row>
    <row r="4445">
      <c r="A4445" t="inlineStr">
        <is>
          <t>Milho</t>
        </is>
      </c>
      <c r="B4445" t="inlineStr">
        <is>
          <t>Crateús - CE</t>
        </is>
      </c>
      <c r="C4445" t="n">
        <v>-5.16768</v>
      </c>
      <c r="D4445" t="n">
        <v>-40.6536</v>
      </c>
      <c r="E4445" t="inlineStr">
        <is>
          <t>2024-10</t>
        </is>
      </c>
      <c r="F4445" t="n">
        <v>0</v>
      </c>
    </row>
    <row r="4446">
      <c r="A4446" t="inlineStr">
        <is>
          <t>Milho</t>
        </is>
      </c>
      <c r="B4446" t="inlineStr">
        <is>
          <t>Crateús - CE</t>
        </is>
      </c>
      <c r="C4446" t="n">
        <v>-5.16768</v>
      </c>
      <c r="D4446" t="n">
        <v>-40.6536</v>
      </c>
      <c r="E4446" t="inlineStr">
        <is>
          <t>2024-11</t>
        </is>
      </c>
      <c r="F4446" t="n">
        <v>0</v>
      </c>
    </row>
    <row r="4447">
      <c r="A4447" t="inlineStr">
        <is>
          <t>Milho</t>
        </is>
      </c>
      <c r="B4447" t="inlineStr">
        <is>
          <t>Crateús - CE</t>
        </is>
      </c>
      <c r="C4447" t="n">
        <v>-5.16768</v>
      </c>
      <c r="D4447" t="n">
        <v>-40.6536</v>
      </c>
      <c r="E4447" t="inlineStr">
        <is>
          <t>2024-12</t>
        </is>
      </c>
      <c r="F4447" t="n">
        <v>0</v>
      </c>
    </row>
    <row r="4448">
      <c r="A4448" t="inlineStr">
        <is>
          <t>Milho</t>
        </is>
      </c>
      <c r="B4448" t="inlineStr">
        <is>
          <t>Sousa - PB</t>
        </is>
      </c>
      <c r="C4448" t="n">
        <v>-6.75148</v>
      </c>
      <c r="D4448" t="n">
        <v>-38.2311</v>
      </c>
      <c r="E4448" t="inlineStr">
        <is>
          <t>2025-01</t>
        </is>
      </c>
      <c r="F4448" t="n">
        <v>0</v>
      </c>
    </row>
    <row r="4449">
      <c r="A4449" t="inlineStr">
        <is>
          <t>Milho</t>
        </is>
      </c>
      <c r="B4449" t="inlineStr">
        <is>
          <t>Sousa - PB</t>
        </is>
      </c>
      <c r="C4449" t="n">
        <v>-6.75148</v>
      </c>
      <c r="D4449" t="n">
        <v>-38.2311</v>
      </c>
      <c r="E4449" t="inlineStr">
        <is>
          <t>2025-02</t>
        </is>
      </c>
      <c r="F4449" t="n">
        <v>0</v>
      </c>
    </row>
    <row r="4450">
      <c r="A4450" t="inlineStr">
        <is>
          <t>Milho</t>
        </is>
      </c>
      <c r="B4450" t="inlineStr">
        <is>
          <t>Sousa - PB</t>
        </is>
      </c>
      <c r="C4450" t="n">
        <v>-6.75148</v>
      </c>
      <c r="D4450" t="n">
        <v>-38.2311</v>
      </c>
      <c r="E4450" t="inlineStr">
        <is>
          <t>2025-03</t>
        </is>
      </c>
      <c r="F4450" t="n">
        <v>0</v>
      </c>
    </row>
    <row r="4451">
      <c r="A4451" t="inlineStr">
        <is>
          <t>Milho</t>
        </is>
      </c>
      <c r="B4451" t="inlineStr">
        <is>
          <t>Sousa - PB</t>
        </is>
      </c>
      <c r="C4451" t="n">
        <v>-6.75148</v>
      </c>
      <c r="D4451" t="n">
        <v>-38.2311</v>
      </c>
      <c r="E4451" t="inlineStr">
        <is>
          <t>2025-04</t>
        </is>
      </c>
      <c r="F4451" t="n">
        <v>0</v>
      </c>
    </row>
    <row r="4452">
      <c r="A4452" t="inlineStr">
        <is>
          <t>Milho</t>
        </is>
      </c>
      <c r="B4452" t="inlineStr">
        <is>
          <t>Sousa - PB</t>
        </is>
      </c>
      <c r="C4452" t="n">
        <v>-6.75148</v>
      </c>
      <c r="D4452" t="n">
        <v>-38.2311</v>
      </c>
      <c r="E4452" t="inlineStr">
        <is>
          <t>2025-05</t>
        </is>
      </c>
      <c r="F4452" t="n">
        <v>0</v>
      </c>
    </row>
    <row r="4453">
      <c r="A4453" t="inlineStr">
        <is>
          <t>Milho</t>
        </is>
      </c>
      <c r="B4453" t="inlineStr">
        <is>
          <t>Sousa - PB</t>
        </is>
      </c>
      <c r="C4453" t="n">
        <v>-6.75148</v>
      </c>
      <c r="D4453" t="n">
        <v>-38.2311</v>
      </c>
      <c r="E4453" t="inlineStr">
        <is>
          <t>2025-06</t>
        </is>
      </c>
      <c r="F4453" t="n">
        <v>0</v>
      </c>
    </row>
    <row r="4454">
      <c r="A4454" t="inlineStr">
        <is>
          <t>Milho</t>
        </is>
      </c>
      <c r="B4454" t="inlineStr">
        <is>
          <t>Sousa - PB</t>
        </is>
      </c>
      <c r="C4454" t="n">
        <v>-6.75148</v>
      </c>
      <c r="D4454" t="n">
        <v>-38.2311</v>
      </c>
      <c r="E4454" t="inlineStr">
        <is>
          <t>2024-07</t>
        </is>
      </c>
      <c r="F4454" t="n">
        <v>0</v>
      </c>
    </row>
    <row r="4455">
      <c r="A4455" t="inlineStr">
        <is>
          <t>Milho</t>
        </is>
      </c>
      <c r="B4455" t="inlineStr">
        <is>
          <t>Sousa - PB</t>
        </is>
      </c>
      <c r="C4455" t="n">
        <v>-6.75148</v>
      </c>
      <c r="D4455" t="n">
        <v>-38.2311</v>
      </c>
      <c r="E4455" t="inlineStr">
        <is>
          <t>2024-08</t>
        </is>
      </c>
      <c r="F4455" t="n">
        <v>0</v>
      </c>
    </row>
    <row r="4456">
      <c r="A4456" t="inlineStr">
        <is>
          <t>Milho</t>
        </is>
      </c>
      <c r="B4456" t="inlineStr">
        <is>
          <t>Sousa - PB</t>
        </is>
      </c>
      <c r="C4456" t="n">
        <v>-6.75148</v>
      </c>
      <c r="D4456" t="n">
        <v>-38.2311</v>
      </c>
      <c r="E4456" t="inlineStr">
        <is>
          <t>2024-09</t>
        </is>
      </c>
      <c r="F4456" t="n">
        <v>0</v>
      </c>
    </row>
    <row r="4457">
      <c r="A4457" t="inlineStr">
        <is>
          <t>Milho</t>
        </is>
      </c>
      <c r="B4457" t="inlineStr">
        <is>
          <t>Sousa - PB</t>
        </is>
      </c>
      <c r="C4457" t="n">
        <v>-6.75148</v>
      </c>
      <c r="D4457" t="n">
        <v>-38.2311</v>
      </c>
      <c r="E4457" t="inlineStr">
        <is>
          <t>2024-10</t>
        </is>
      </c>
      <c r="F4457" t="n">
        <v>0</v>
      </c>
    </row>
    <row r="4458">
      <c r="A4458" t="inlineStr">
        <is>
          <t>Milho</t>
        </is>
      </c>
      <c r="B4458" t="inlineStr">
        <is>
          <t>Sousa - PB</t>
        </is>
      </c>
      <c r="C4458" t="n">
        <v>-6.75148</v>
      </c>
      <c r="D4458" t="n">
        <v>-38.2311</v>
      </c>
      <c r="E4458" t="inlineStr">
        <is>
          <t>2024-11</t>
        </is>
      </c>
      <c r="F4458" t="n">
        <v>0</v>
      </c>
    </row>
    <row r="4459">
      <c r="A4459" t="inlineStr">
        <is>
          <t>Milho</t>
        </is>
      </c>
      <c r="B4459" t="inlineStr">
        <is>
          <t>Sousa - PB</t>
        </is>
      </c>
      <c r="C4459" t="n">
        <v>-6.75148</v>
      </c>
      <c r="D4459" t="n">
        <v>-38.2311</v>
      </c>
      <c r="E4459" t="inlineStr">
        <is>
          <t>2024-12</t>
        </is>
      </c>
      <c r="F4459" t="n">
        <v>0</v>
      </c>
    </row>
    <row r="4460">
      <c r="A4460" t="inlineStr">
        <is>
          <t>Milho</t>
        </is>
      </c>
      <c r="B4460" t="inlineStr">
        <is>
          <t>Apodi - RN</t>
        </is>
      </c>
      <c r="C4460" t="n">
        <v>-5.65349</v>
      </c>
      <c r="D4460" t="n">
        <v>-37.7946</v>
      </c>
      <c r="E4460" t="inlineStr">
        <is>
          <t>2025-01</t>
        </is>
      </c>
      <c r="F4460" t="n">
        <v>0</v>
      </c>
    </row>
    <row r="4461">
      <c r="A4461" t="inlineStr">
        <is>
          <t>Milho</t>
        </is>
      </c>
      <c r="B4461" t="inlineStr">
        <is>
          <t>Apodi - RN</t>
        </is>
      </c>
      <c r="C4461" t="n">
        <v>-5.65349</v>
      </c>
      <c r="D4461" t="n">
        <v>-37.7946</v>
      </c>
      <c r="E4461" t="inlineStr">
        <is>
          <t>2025-02</t>
        </is>
      </c>
      <c r="F4461" t="n">
        <v>0</v>
      </c>
    </row>
    <row r="4462">
      <c r="A4462" t="inlineStr">
        <is>
          <t>Milho</t>
        </is>
      </c>
      <c r="B4462" t="inlineStr">
        <is>
          <t>Apodi - RN</t>
        </is>
      </c>
      <c r="C4462" t="n">
        <v>-5.65349</v>
      </c>
      <c r="D4462" t="n">
        <v>-37.7946</v>
      </c>
      <c r="E4462" t="inlineStr">
        <is>
          <t>2025-03</t>
        </is>
      </c>
      <c r="F4462" t="n">
        <v>0</v>
      </c>
    </row>
    <row r="4463">
      <c r="A4463" t="inlineStr">
        <is>
          <t>Milho</t>
        </is>
      </c>
      <c r="B4463" t="inlineStr">
        <is>
          <t>Apodi - RN</t>
        </is>
      </c>
      <c r="C4463" t="n">
        <v>-5.65349</v>
      </c>
      <c r="D4463" t="n">
        <v>-37.7946</v>
      </c>
      <c r="E4463" t="inlineStr">
        <is>
          <t>2025-04</t>
        </is>
      </c>
      <c r="F4463" t="n">
        <v>0</v>
      </c>
    </row>
    <row r="4464">
      <c r="A4464" t="inlineStr">
        <is>
          <t>Milho</t>
        </is>
      </c>
      <c r="B4464" t="inlineStr">
        <is>
          <t>Apodi - RN</t>
        </is>
      </c>
      <c r="C4464" t="n">
        <v>-5.65349</v>
      </c>
      <c r="D4464" t="n">
        <v>-37.7946</v>
      </c>
      <c r="E4464" t="inlineStr">
        <is>
          <t>2025-05</t>
        </is>
      </c>
      <c r="F4464" t="n">
        <v>0</v>
      </c>
    </row>
    <row r="4465">
      <c r="A4465" t="inlineStr">
        <is>
          <t>Milho</t>
        </is>
      </c>
      <c r="B4465" t="inlineStr">
        <is>
          <t>Apodi - RN</t>
        </is>
      </c>
      <c r="C4465" t="n">
        <v>-5.65349</v>
      </c>
      <c r="D4465" t="n">
        <v>-37.7946</v>
      </c>
      <c r="E4465" t="inlineStr">
        <is>
          <t>2025-06</t>
        </is>
      </c>
      <c r="F4465" t="n">
        <v>0</v>
      </c>
    </row>
    <row r="4466">
      <c r="A4466" t="inlineStr">
        <is>
          <t>Milho</t>
        </is>
      </c>
      <c r="B4466" t="inlineStr">
        <is>
          <t>Apodi - RN</t>
        </is>
      </c>
      <c r="C4466" t="n">
        <v>-5.65349</v>
      </c>
      <c r="D4466" t="n">
        <v>-37.7946</v>
      </c>
      <c r="E4466" t="inlineStr">
        <is>
          <t>2024-07</t>
        </is>
      </c>
      <c r="F4466" t="n">
        <v>0</v>
      </c>
    </row>
    <row r="4467">
      <c r="A4467" t="inlineStr">
        <is>
          <t>Milho</t>
        </is>
      </c>
      <c r="B4467" t="inlineStr">
        <is>
          <t>Apodi - RN</t>
        </is>
      </c>
      <c r="C4467" t="n">
        <v>-5.65349</v>
      </c>
      <c r="D4467" t="n">
        <v>-37.7946</v>
      </c>
      <c r="E4467" t="inlineStr">
        <is>
          <t>2024-08</t>
        </is>
      </c>
      <c r="F4467" t="n">
        <v>0</v>
      </c>
    </row>
    <row r="4468">
      <c r="A4468" t="inlineStr">
        <is>
          <t>Milho</t>
        </is>
      </c>
      <c r="B4468" t="inlineStr">
        <is>
          <t>Apodi - RN</t>
        </is>
      </c>
      <c r="C4468" t="n">
        <v>-5.65349</v>
      </c>
      <c r="D4468" t="n">
        <v>-37.7946</v>
      </c>
      <c r="E4468" t="inlineStr">
        <is>
          <t>2024-09</t>
        </is>
      </c>
      <c r="F4468" t="n">
        <v>0</v>
      </c>
    </row>
    <row r="4469">
      <c r="A4469" t="inlineStr">
        <is>
          <t>Milho</t>
        </is>
      </c>
      <c r="B4469" t="inlineStr">
        <is>
          <t>Apodi - RN</t>
        </is>
      </c>
      <c r="C4469" t="n">
        <v>-5.65349</v>
      </c>
      <c r="D4469" t="n">
        <v>-37.7946</v>
      </c>
      <c r="E4469" t="inlineStr">
        <is>
          <t>2024-10</t>
        </is>
      </c>
      <c r="F4469" t="n">
        <v>0</v>
      </c>
    </row>
    <row r="4470">
      <c r="A4470" t="inlineStr">
        <is>
          <t>Milho</t>
        </is>
      </c>
      <c r="B4470" t="inlineStr">
        <is>
          <t>Apodi - RN</t>
        </is>
      </c>
      <c r="C4470" t="n">
        <v>-5.65349</v>
      </c>
      <c r="D4470" t="n">
        <v>-37.7946</v>
      </c>
      <c r="E4470" t="inlineStr">
        <is>
          <t>2024-11</t>
        </is>
      </c>
      <c r="F4470" t="n">
        <v>0</v>
      </c>
    </row>
    <row r="4471">
      <c r="A4471" t="inlineStr">
        <is>
          <t>Milho</t>
        </is>
      </c>
      <c r="B4471" t="inlineStr">
        <is>
          <t>Apodi - RN</t>
        </is>
      </c>
      <c r="C4471" t="n">
        <v>-5.65349</v>
      </c>
      <c r="D4471" t="n">
        <v>-37.7946</v>
      </c>
      <c r="E4471" t="inlineStr">
        <is>
          <t>2024-12</t>
        </is>
      </c>
      <c r="F4471" t="n">
        <v>0</v>
      </c>
    </row>
    <row r="4472">
      <c r="A4472" t="inlineStr">
        <is>
          <t>Milho</t>
        </is>
      </c>
      <c r="B4472" t="inlineStr">
        <is>
          <t>Bonfim - RR</t>
        </is>
      </c>
      <c r="C4472" t="n">
        <v>3.36161</v>
      </c>
      <c r="D4472" t="n">
        <v>-59.8333</v>
      </c>
      <c r="E4472" t="inlineStr">
        <is>
          <t>2025-01</t>
        </is>
      </c>
      <c r="F4472" t="n">
        <v>0</v>
      </c>
    </row>
    <row r="4473">
      <c r="A4473" t="inlineStr">
        <is>
          <t>Milho</t>
        </is>
      </c>
      <c r="B4473" t="inlineStr">
        <is>
          <t>Bonfim - RR</t>
        </is>
      </c>
      <c r="C4473" t="n">
        <v>3.36161</v>
      </c>
      <c r="D4473" t="n">
        <v>-59.8333</v>
      </c>
      <c r="E4473" t="inlineStr">
        <is>
          <t>2025-02</t>
        </is>
      </c>
      <c r="F4473" t="n">
        <v>0</v>
      </c>
    </row>
    <row r="4474">
      <c r="A4474" t="inlineStr">
        <is>
          <t>Milho</t>
        </is>
      </c>
      <c r="B4474" t="inlineStr">
        <is>
          <t>Bonfim - RR</t>
        </is>
      </c>
      <c r="C4474" t="n">
        <v>3.36161</v>
      </c>
      <c r="D4474" t="n">
        <v>-59.8333</v>
      </c>
      <c r="E4474" t="inlineStr">
        <is>
          <t>2025-03</t>
        </is>
      </c>
      <c r="F4474" t="n">
        <v>0</v>
      </c>
    </row>
    <row r="4475">
      <c r="A4475" t="inlineStr">
        <is>
          <t>Milho</t>
        </is>
      </c>
      <c r="B4475" t="inlineStr">
        <is>
          <t>Bonfim - RR</t>
        </is>
      </c>
      <c r="C4475" t="n">
        <v>3.36161</v>
      </c>
      <c r="D4475" t="n">
        <v>-59.8333</v>
      </c>
      <c r="E4475" t="inlineStr">
        <is>
          <t>2025-04</t>
        </is>
      </c>
      <c r="F4475" t="n">
        <v>0</v>
      </c>
    </row>
    <row r="4476">
      <c r="A4476" t="inlineStr">
        <is>
          <t>Milho</t>
        </is>
      </c>
      <c r="B4476" t="inlineStr">
        <is>
          <t>Bonfim - RR</t>
        </is>
      </c>
      <c r="C4476" t="n">
        <v>3.36161</v>
      </c>
      <c r="D4476" t="n">
        <v>-59.8333</v>
      </c>
      <c r="E4476" t="inlineStr">
        <is>
          <t>2025-05</t>
        </is>
      </c>
      <c r="F4476" t="n">
        <v>0</v>
      </c>
    </row>
    <row r="4477">
      <c r="A4477" t="inlineStr">
        <is>
          <t>Milho</t>
        </is>
      </c>
      <c r="B4477" t="inlineStr">
        <is>
          <t>Bonfim - RR</t>
        </is>
      </c>
      <c r="C4477" t="n">
        <v>3.36161</v>
      </c>
      <c r="D4477" t="n">
        <v>-59.8333</v>
      </c>
      <c r="E4477" t="inlineStr">
        <is>
          <t>2025-06</t>
        </is>
      </c>
      <c r="F4477" t="n">
        <v>0</v>
      </c>
    </row>
    <row r="4478">
      <c r="A4478" t="inlineStr">
        <is>
          <t>Milho</t>
        </is>
      </c>
      <c r="B4478" t="inlineStr">
        <is>
          <t>Bonfim - RR</t>
        </is>
      </c>
      <c r="C4478" t="n">
        <v>3.36161</v>
      </c>
      <c r="D4478" t="n">
        <v>-59.8333</v>
      </c>
      <c r="E4478" t="inlineStr">
        <is>
          <t>2024-07</t>
        </is>
      </c>
      <c r="F4478" t="n">
        <v>0</v>
      </c>
    </row>
    <row r="4479">
      <c r="A4479" t="inlineStr">
        <is>
          <t>Milho</t>
        </is>
      </c>
      <c r="B4479" t="inlineStr">
        <is>
          <t>Bonfim - RR</t>
        </is>
      </c>
      <c r="C4479" t="n">
        <v>3.36161</v>
      </c>
      <c r="D4479" t="n">
        <v>-59.8333</v>
      </c>
      <c r="E4479" t="inlineStr">
        <is>
          <t>2024-08</t>
        </is>
      </c>
      <c r="F4479" t="n">
        <v>0</v>
      </c>
    </row>
    <row r="4480">
      <c r="A4480" t="inlineStr">
        <is>
          <t>Milho</t>
        </is>
      </c>
      <c r="B4480" t="inlineStr">
        <is>
          <t>Bonfim - RR</t>
        </is>
      </c>
      <c r="C4480" t="n">
        <v>3.36161</v>
      </c>
      <c r="D4480" t="n">
        <v>-59.8333</v>
      </c>
      <c r="E4480" t="inlineStr">
        <is>
          <t>2024-09</t>
        </is>
      </c>
      <c r="F4480" t="n">
        <v>0</v>
      </c>
    </row>
    <row r="4481">
      <c r="A4481" t="inlineStr">
        <is>
          <t>Milho</t>
        </is>
      </c>
      <c r="B4481" t="inlineStr">
        <is>
          <t>Bonfim - RR</t>
        </is>
      </c>
      <c r="C4481" t="n">
        <v>3.36161</v>
      </c>
      <c r="D4481" t="n">
        <v>-59.8333</v>
      </c>
      <c r="E4481" t="inlineStr">
        <is>
          <t>2024-10</t>
        </is>
      </c>
      <c r="F4481" t="n">
        <v>0</v>
      </c>
    </row>
    <row r="4482">
      <c r="A4482" t="inlineStr">
        <is>
          <t>Milho</t>
        </is>
      </c>
      <c r="B4482" t="inlineStr">
        <is>
          <t>Bonfim - RR</t>
        </is>
      </c>
      <c r="C4482" t="n">
        <v>3.36161</v>
      </c>
      <c r="D4482" t="n">
        <v>-59.8333</v>
      </c>
      <c r="E4482" t="inlineStr">
        <is>
          <t>2024-11</t>
        </is>
      </c>
      <c r="F4482" t="n">
        <v>0</v>
      </c>
    </row>
    <row r="4483">
      <c r="A4483" t="inlineStr">
        <is>
          <t>Milho</t>
        </is>
      </c>
      <c r="B4483" t="inlineStr">
        <is>
          <t>Bonfim - RR</t>
        </is>
      </c>
      <c r="C4483" t="n">
        <v>3.36161</v>
      </c>
      <c r="D4483" t="n">
        <v>-59.8333</v>
      </c>
      <c r="E4483" t="inlineStr">
        <is>
          <t>2024-12</t>
        </is>
      </c>
      <c r="F4483" t="n">
        <v>0</v>
      </c>
    </row>
    <row r="4484">
      <c r="A4484" t="inlineStr">
        <is>
          <t>Milho</t>
        </is>
      </c>
      <c r="B4484" t="inlineStr">
        <is>
          <t>Carira - SE</t>
        </is>
      </c>
      <c r="C4484" t="n">
        <v>-10.3524</v>
      </c>
      <c r="D4484" t="n">
        <v>-37.7002</v>
      </c>
      <c r="E4484" t="inlineStr">
        <is>
          <t>2025-01</t>
        </is>
      </c>
      <c r="F4484" t="n">
        <v>0</v>
      </c>
    </row>
    <row r="4485">
      <c r="A4485" t="inlineStr">
        <is>
          <t>Milho</t>
        </is>
      </c>
      <c r="B4485" t="inlineStr">
        <is>
          <t>Carira - SE</t>
        </is>
      </c>
      <c r="C4485" t="n">
        <v>-10.3524</v>
      </c>
      <c r="D4485" t="n">
        <v>-37.7002</v>
      </c>
      <c r="E4485" t="inlineStr">
        <is>
          <t>2025-02</t>
        </is>
      </c>
      <c r="F4485" t="n">
        <v>0</v>
      </c>
    </row>
    <row r="4486">
      <c r="A4486" t="inlineStr">
        <is>
          <t>Milho</t>
        </is>
      </c>
      <c r="B4486" t="inlineStr">
        <is>
          <t>Carira - SE</t>
        </is>
      </c>
      <c r="C4486" t="n">
        <v>-10.3524</v>
      </c>
      <c r="D4486" t="n">
        <v>-37.7002</v>
      </c>
      <c r="E4486" t="inlineStr">
        <is>
          <t>2025-03</t>
        </is>
      </c>
      <c r="F4486" t="n">
        <v>0</v>
      </c>
    </row>
    <row r="4487">
      <c r="A4487" t="inlineStr">
        <is>
          <t>Milho</t>
        </is>
      </c>
      <c r="B4487" t="inlineStr">
        <is>
          <t>Carira - SE</t>
        </is>
      </c>
      <c r="C4487" t="n">
        <v>-10.3524</v>
      </c>
      <c r="D4487" t="n">
        <v>-37.7002</v>
      </c>
      <c r="E4487" t="inlineStr">
        <is>
          <t>2025-04</t>
        </is>
      </c>
      <c r="F4487" t="n">
        <v>0</v>
      </c>
    </row>
    <row r="4488">
      <c r="A4488" t="inlineStr">
        <is>
          <t>Milho</t>
        </is>
      </c>
      <c r="B4488" t="inlineStr">
        <is>
          <t>Carira - SE</t>
        </is>
      </c>
      <c r="C4488" t="n">
        <v>-10.3524</v>
      </c>
      <c r="D4488" t="n">
        <v>-37.7002</v>
      </c>
      <c r="E4488" t="inlineStr">
        <is>
          <t>2025-05</t>
        </is>
      </c>
      <c r="F4488" t="n">
        <v>0</v>
      </c>
    </row>
    <row r="4489">
      <c r="A4489" t="inlineStr">
        <is>
          <t>Milho</t>
        </is>
      </c>
      <c r="B4489" t="inlineStr">
        <is>
          <t>Carira - SE</t>
        </is>
      </c>
      <c r="C4489" t="n">
        <v>-10.3524</v>
      </c>
      <c r="D4489" t="n">
        <v>-37.7002</v>
      </c>
      <c r="E4489" t="inlineStr">
        <is>
          <t>2025-06</t>
        </is>
      </c>
      <c r="F4489" t="n">
        <v>0</v>
      </c>
    </row>
    <row r="4490">
      <c r="A4490" t="inlineStr">
        <is>
          <t>Milho</t>
        </is>
      </c>
      <c r="B4490" t="inlineStr">
        <is>
          <t>Carira - SE</t>
        </is>
      </c>
      <c r="C4490" t="n">
        <v>-10.3524</v>
      </c>
      <c r="D4490" t="n">
        <v>-37.7002</v>
      </c>
      <c r="E4490" t="inlineStr">
        <is>
          <t>2024-07</t>
        </is>
      </c>
      <c r="F4490" t="n">
        <v>0</v>
      </c>
    </row>
    <row r="4491">
      <c r="A4491" t="inlineStr">
        <is>
          <t>Milho</t>
        </is>
      </c>
      <c r="B4491" t="inlineStr">
        <is>
          <t>Carira - SE</t>
        </is>
      </c>
      <c r="C4491" t="n">
        <v>-10.3524</v>
      </c>
      <c r="D4491" t="n">
        <v>-37.7002</v>
      </c>
      <c r="E4491" t="inlineStr">
        <is>
          <t>2024-08</t>
        </is>
      </c>
      <c r="F4491" t="n">
        <v>0</v>
      </c>
    </row>
    <row r="4492">
      <c r="A4492" t="inlineStr">
        <is>
          <t>Milho</t>
        </is>
      </c>
      <c r="B4492" t="inlineStr">
        <is>
          <t>Carira - SE</t>
        </is>
      </c>
      <c r="C4492" t="n">
        <v>-10.3524</v>
      </c>
      <c r="D4492" t="n">
        <v>-37.7002</v>
      </c>
      <c r="E4492" t="inlineStr">
        <is>
          <t>2024-09</t>
        </is>
      </c>
      <c r="F4492" t="n">
        <v>0</v>
      </c>
    </row>
    <row r="4493">
      <c r="A4493" t="inlineStr">
        <is>
          <t>Milho</t>
        </is>
      </c>
      <c r="B4493" t="inlineStr">
        <is>
          <t>Carira - SE</t>
        </is>
      </c>
      <c r="C4493" t="n">
        <v>-10.3524</v>
      </c>
      <c r="D4493" t="n">
        <v>-37.7002</v>
      </c>
      <c r="E4493" t="inlineStr">
        <is>
          <t>2024-10</t>
        </is>
      </c>
      <c r="F4493" t="n">
        <v>0</v>
      </c>
    </row>
    <row r="4494">
      <c r="A4494" t="inlineStr">
        <is>
          <t>Milho</t>
        </is>
      </c>
      <c r="B4494" t="inlineStr">
        <is>
          <t>Carira - SE</t>
        </is>
      </c>
      <c r="C4494" t="n">
        <v>-10.3524</v>
      </c>
      <c r="D4494" t="n">
        <v>-37.7002</v>
      </c>
      <c r="E4494" t="inlineStr">
        <is>
          <t>2024-11</t>
        </is>
      </c>
      <c r="F4494" t="n">
        <v>0</v>
      </c>
    </row>
    <row r="4495">
      <c r="A4495" t="inlineStr">
        <is>
          <t>Milho</t>
        </is>
      </c>
      <c r="B4495" t="inlineStr">
        <is>
          <t>Carira - SE</t>
        </is>
      </c>
      <c r="C4495" t="n">
        <v>-10.3524</v>
      </c>
      <c r="D4495" t="n">
        <v>-37.7002</v>
      </c>
      <c r="E4495" t="inlineStr">
        <is>
          <t>2024-12</t>
        </is>
      </c>
      <c r="F4495" t="n">
        <v>0</v>
      </c>
    </row>
    <row r="4496">
      <c r="A4496" t="inlineStr">
        <is>
          <t>Milho</t>
        </is>
      </c>
      <c r="B4496" t="inlineStr">
        <is>
          <t>Senador Guiomard - AC</t>
        </is>
      </c>
      <c r="C4496" t="n">
        <v>-10.1497</v>
      </c>
      <c r="D4496" t="n">
        <v>-67.7362</v>
      </c>
      <c r="E4496" t="inlineStr">
        <is>
          <t>2025-01</t>
        </is>
      </c>
      <c r="F4496" t="n">
        <v>37413.23025067685</v>
      </c>
    </row>
    <row r="4497">
      <c r="A4497" t="inlineStr">
        <is>
          <t>Milho</t>
        </is>
      </c>
      <c r="B4497" t="inlineStr">
        <is>
          <t>Senador Guiomard - AC</t>
        </is>
      </c>
      <c r="C4497" t="n">
        <v>-10.1497</v>
      </c>
      <c r="D4497" t="n">
        <v>-67.7362</v>
      </c>
      <c r="E4497" t="inlineStr">
        <is>
          <t>2025-02</t>
        </is>
      </c>
      <c r="F4497" t="n">
        <v>46681.73010148384</v>
      </c>
    </row>
    <row r="4498">
      <c r="A4498" t="inlineStr">
        <is>
          <t>Milho</t>
        </is>
      </c>
      <c r="B4498" t="inlineStr">
        <is>
          <t>Senador Guiomard - AC</t>
        </is>
      </c>
      <c r="C4498" t="n">
        <v>-10.1497</v>
      </c>
      <c r="D4498" t="n">
        <v>-67.7362</v>
      </c>
      <c r="E4498" t="inlineStr">
        <is>
          <t>2025-03</t>
        </is>
      </c>
      <c r="F4498" t="n">
        <v>63612.07967834732</v>
      </c>
    </row>
    <row r="4499">
      <c r="A4499" t="inlineStr">
        <is>
          <t>Milho</t>
        </is>
      </c>
      <c r="B4499" t="inlineStr">
        <is>
          <t>Senador Guiomard - AC</t>
        </is>
      </c>
      <c r="C4499" t="n">
        <v>-10.1497</v>
      </c>
      <c r="D4499" t="n">
        <v>-67.7362</v>
      </c>
      <c r="E4499" t="inlineStr">
        <is>
          <t>2025-04</t>
        </is>
      </c>
      <c r="F4499" t="n">
        <v>22684.18881349673</v>
      </c>
    </row>
    <row r="4500">
      <c r="A4500" t="inlineStr">
        <is>
          <t>Milho</t>
        </is>
      </c>
      <c r="B4500" t="inlineStr">
        <is>
          <t>Senador Guiomard - AC</t>
        </is>
      </c>
      <c r="C4500" t="n">
        <v>-10.1497</v>
      </c>
      <c r="D4500" t="n">
        <v>-67.7362</v>
      </c>
      <c r="E4500" t="inlineStr">
        <is>
          <t>2025-05</t>
        </is>
      </c>
      <c r="F4500" t="n">
        <v>6217.826076215841</v>
      </c>
    </row>
    <row r="4501">
      <c r="A4501" t="inlineStr">
        <is>
          <t>Milho</t>
        </is>
      </c>
      <c r="B4501" t="inlineStr">
        <is>
          <t>Senador Guiomard - AC</t>
        </is>
      </c>
      <c r="C4501" t="n">
        <v>-10.1497</v>
      </c>
      <c r="D4501" t="n">
        <v>-67.7362</v>
      </c>
      <c r="E4501" t="inlineStr">
        <is>
          <t>2025-06</t>
        </is>
      </c>
      <c r="F4501" t="n">
        <v>0</v>
      </c>
    </row>
    <row r="4502">
      <c r="A4502" t="inlineStr">
        <is>
          <t>Milho</t>
        </is>
      </c>
      <c r="B4502" t="inlineStr">
        <is>
          <t>Senador Guiomard - AC</t>
        </is>
      </c>
      <c r="C4502" t="n">
        <v>-10.1497</v>
      </c>
      <c r="D4502" t="n">
        <v>-67.7362</v>
      </c>
      <c r="E4502" t="inlineStr">
        <is>
          <t>2024-07</t>
        </is>
      </c>
      <c r="F4502" t="n">
        <v>0</v>
      </c>
    </row>
    <row r="4503">
      <c r="A4503" t="inlineStr">
        <is>
          <t>Milho</t>
        </is>
      </c>
      <c r="B4503" t="inlineStr">
        <is>
          <t>Senador Guiomard - AC</t>
        </is>
      </c>
      <c r="C4503" t="n">
        <v>-10.1497</v>
      </c>
      <c r="D4503" t="n">
        <v>-67.7362</v>
      </c>
      <c r="E4503" t="inlineStr">
        <is>
          <t>2024-08</t>
        </is>
      </c>
      <c r="F4503" t="n">
        <v>0</v>
      </c>
    </row>
    <row r="4504">
      <c r="A4504" t="inlineStr">
        <is>
          <t>Milho</t>
        </is>
      </c>
      <c r="B4504" t="inlineStr">
        <is>
          <t>Senador Guiomard - AC</t>
        </is>
      </c>
      <c r="C4504" t="n">
        <v>-10.1497</v>
      </c>
      <c r="D4504" t="n">
        <v>-67.7362</v>
      </c>
      <c r="E4504" t="inlineStr">
        <is>
          <t>2024-09</t>
        </is>
      </c>
      <c r="F4504" t="n">
        <v>0</v>
      </c>
    </row>
    <row r="4505">
      <c r="A4505" t="inlineStr">
        <is>
          <t>Milho</t>
        </is>
      </c>
      <c r="B4505" t="inlineStr">
        <is>
          <t>Senador Guiomard - AC</t>
        </is>
      </c>
      <c r="C4505" t="n">
        <v>-10.1497</v>
      </c>
      <c r="D4505" t="n">
        <v>-67.7362</v>
      </c>
      <c r="E4505" t="inlineStr">
        <is>
          <t>2024-10</t>
        </is>
      </c>
      <c r="F4505" t="n">
        <v>0</v>
      </c>
    </row>
    <row r="4506">
      <c r="A4506" t="inlineStr">
        <is>
          <t>Milho</t>
        </is>
      </c>
      <c r="B4506" t="inlineStr">
        <is>
          <t>Senador Guiomard - AC</t>
        </is>
      </c>
      <c r="C4506" t="n">
        <v>-10.1497</v>
      </c>
      <c r="D4506" t="n">
        <v>-67.7362</v>
      </c>
      <c r="E4506" t="inlineStr">
        <is>
          <t>2024-11</t>
        </is>
      </c>
      <c r="F4506" t="n">
        <v>0</v>
      </c>
    </row>
    <row r="4507">
      <c r="A4507" t="inlineStr">
        <is>
          <t>Milho</t>
        </is>
      </c>
      <c r="B4507" t="inlineStr">
        <is>
          <t>Senador Guiomard - AC</t>
        </is>
      </c>
      <c r="C4507" t="n">
        <v>-10.1497</v>
      </c>
      <c r="D4507" t="n">
        <v>-67.7362</v>
      </c>
      <c r="E4507" t="inlineStr">
        <is>
          <t>2024-12</t>
        </is>
      </c>
      <c r="F4507" t="n">
        <v>0</v>
      </c>
    </row>
    <row r="4508">
      <c r="A4508" t="inlineStr">
        <is>
          <t>Milho</t>
        </is>
      </c>
      <c r="B4508" t="inlineStr">
        <is>
          <t>Humaitá - AM</t>
        </is>
      </c>
      <c r="C4508" t="n">
        <v>-7.51171</v>
      </c>
      <c r="D4508" t="n">
        <v>-63.0327</v>
      </c>
      <c r="E4508" t="inlineStr">
        <is>
          <t>2025-01</t>
        </is>
      </c>
      <c r="F4508" t="n">
        <v>0</v>
      </c>
    </row>
    <row r="4509">
      <c r="A4509" t="inlineStr">
        <is>
          <t>Milho</t>
        </is>
      </c>
      <c r="B4509" t="inlineStr">
        <is>
          <t>Humaitá - AM</t>
        </is>
      </c>
      <c r="C4509" t="n">
        <v>-7.51171</v>
      </c>
      <c r="D4509" t="n">
        <v>-63.0327</v>
      </c>
      <c r="E4509" t="inlineStr">
        <is>
          <t>2025-02</t>
        </is>
      </c>
      <c r="F4509" t="n">
        <v>11085.41531407943</v>
      </c>
    </row>
    <row r="4510">
      <c r="A4510" t="inlineStr">
        <is>
          <t>Milho</t>
        </is>
      </c>
      <c r="B4510" t="inlineStr">
        <is>
          <t>Humaitá - AM</t>
        </is>
      </c>
      <c r="C4510" t="n">
        <v>-7.51171</v>
      </c>
      <c r="D4510" t="n">
        <v>-63.0327</v>
      </c>
      <c r="E4510" t="inlineStr">
        <is>
          <t>2025-03</t>
        </is>
      </c>
      <c r="F4510" t="n">
        <v>6473.927539536296</v>
      </c>
    </row>
    <row r="4511">
      <c r="A4511" t="inlineStr">
        <is>
          <t>Milho</t>
        </is>
      </c>
      <c r="B4511" t="inlineStr">
        <is>
          <t>Humaitá - AM</t>
        </is>
      </c>
      <c r="C4511" t="n">
        <v>-7.51171</v>
      </c>
      <c r="D4511" t="n">
        <v>-63.0327</v>
      </c>
      <c r="E4511" t="inlineStr">
        <is>
          <t>2025-04</t>
        </is>
      </c>
      <c r="F4511" t="n">
        <v>12569.12554153098</v>
      </c>
    </row>
    <row r="4512">
      <c r="A4512" t="inlineStr">
        <is>
          <t>Milho</t>
        </is>
      </c>
      <c r="B4512" t="inlineStr">
        <is>
          <t>Humaitá - AM</t>
        </is>
      </c>
      <c r="C4512" t="n">
        <v>-7.51171</v>
      </c>
      <c r="D4512" t="n">
        <v>-63.0327</v>
      </c>
      <c r="E4512" t="inlineStr">
        <is>
          <t>2025-05</t>
        </is>
      </c>
      <c r="F4512" t="n">
        <v>2953.068973909969</v>
      </c>
    </row>
    <row r="4513">
      <c r="A4513" t="inlineStr">
        <is>
          <t>Milho</t>
        </is>
      </c>
      <c r="B4513" t="inlineStr">
        <is>
          <t>Humaitá - AM</t>
        </is>
      </c>
      <c r="C4513" t="n">
        <v>-7.51171</v>
      </c>
      <c r="D4513" t="n">
        <v>-63.0327</v>
      </c>
      <c r="E4513" t="inlineStr">
        <is>
          <t>2025-06</t>
        </is>
      </c>
      <c r="F4513" t="n">
        <v>2571.848956704212</v>
      </c>
    </row>
    <row r="4514">
      <c r="A4514" t="inlineStr">
        <is>
          <t>Milho</t>
        </is>
      </c>
      <c r="B4514" t="inlineStr">
        <is>
          <t>Humaitá - AM</t>
        </is>
      </c>
      <c r="C4514" t="n">
        <v>-7.51171</v>
      </c>
      <c r="D4514" t="n">
        <v>-63.0327</v>
      </c>
      <c r="E4514" t="inlineStr">
        <is>
          <t>2024-07</t>
        </is>
      </c>
      <c r="F4514" t="n">
        <v>0</v>
      </c>
    </row>
    <row r="4515">
      <c r="A4515" t="inlineStr">
        <is>
          <t>Milho</t>
        </is>
      </c>
      <c r="B4515" t="inlineStr">
        <is>
          <t>Humaitá - AM</t>
        </is>
      </c>
      <c r="C4515" t="n">
        <v>-7.51171</v>
      </c>
      <c r="D4515" t="n">
        <v>-63.0327</v>
      </c>
      <c r="E4515" t="inlineStr">
        <is>
          <t>2024-08</t>
        </is>
      </c>
      <c r="F4515" t="n">
        <v>0</v>
      </c>
    </row>
    <row r="4516">
      <c r="A4516" t="inlineStr">
        <is>
          <t>Milho</t>
        </is>
      </c>
      <c r="B4516" t="inlineStr">
        <is>
          <t>Humaitá - AM</t>
        </is>
      </c>
      <c r="C4516" t="n">
        <v>-7.51171</v>
      </c>
      <c r="D4516" t="n">
        <v>-63.0327</v>
      </c>
      <c r="E4516" t="inlineStr">
        <is>
          <t>2024-09</t>
        </is>
      </c>
      <c r="F4516" t="n">
        <v>0</v>
      </c>
    </row>
    <row r="4517">
      <c r="A4517" t="inlineStr">
        <is>
          <t>Milho</t>
        </is>
      </c>
      <c r="B4517" t="inlineStr">
        <is>
          <t>Humaitá - AM</t>
        </is>
      </c>
      <c r="C4517" t="n">
        <v>-7.51171</v>
      </c>
      <c r="D4517" t="n">
        <v>-63.0327</v>
      </c>
      <c r="E4517" t="inlineStr">
        <is>
          <t>2024-10</t>
        </is>
      </c>
      <c r="F4517" t="n">
        <v>0</v>
      </c>
    </row>
    <row r="4518">
      <c r="A4518" t="inlineStr">
        <is>
          <t>Milho</t>
        </is>
      </c>
      <c r="B4518" t="inlineStr">
        <is>
          <t>Humaitá - AM</t>
        </is>
      </c>
      <c r="C4518" t="n">
        <v>-7.51171</v>
      </c>
      <c r="D4518" t="n">
        <v>-63.0327</v>
      </c>
      <c r="E4518" t="inlineStr">
        <is>
          <t>2024-11</t>
        </is>
      </c>
      <c r="F4518" t="n">
        <v>0</v>
      </c>
    </row>
    <row r="4519">
      <c r="A4519" t="inlineStr">
        <is>
          <t>Milho</t>
        </is>
      </c>
      <c r="B4519" t="inlineStr">
        <is>
          <t>Humaitá - AM</t>
        </is>
      </c>
      <c r="C4519" t="n">
        <v>-7.51171</v>
      </c>
      <c r="D4519" t="n">
        <v>-63.0327</v>
      </c>
      <c r="E4519" t="inlineStr">
        <is>
          <t>2024-12</t>
        </is>
      </c>
      <c r="F4519" t="n">
        <v>0</v>
      </c>
    </row>
    <row r="4520">
      <c r="A4520" t="inlineStr">
        <is>
          <t>Milho</t>
        </is>
      </c>
      <c r="B4520" t="inlineStr">
        <is>
          <t>Correntina - BA</t>
        </is>
      </c>
      <c r="C4520" t="n">
        <v>-13.3477</v>
      </c>
      <c r="D4520" t="n">
        <v>-44.6333</v>
      </c>
      <c r="E4520" t="inlineStr">
        <is>
          <t>2025-01</t>
        </is>
      </c>
      <c r="F4520" t="n">
        <v>0</v>
      </c>
    </row>
    <row r="4521">
      <c r="A4521" t="inlineStr">
        <is>
          <t>Milho</t>
        </is>
      </c>
      <c r="B4521" t="inlineStr">
        <is>
          <t>Correntina - BA</t>
        </is>
      </c>
      <c r="C4521" t="n">
        <v>-13.3477</v>
      </c>
      <c r="D4521" t="n">
        <v>-44.6333</v>
      </c>
      <c r="E4521" t="inlineStr">
        <is>
          <t>2025-02</t>
        </is>
      </c>
      <c r="F4521" t="n">
        <v>277902.4922218836</v>
      </c>
    </row>
    <row r="4522">
      <c r="A4522" t="inlineStr">
        <is>
          <t>Milho</t>
        </is>
      </c>
      <c r="B4522" t="inlineStr">
        <is>
          <t>Correntina - BA</t>
        </is>
      </c>
      <c r="C4522" t="n">
        <v>-13.3477</v>
      </c>
      <c r="D4522" t="n">
        <v>-44.6333</v>
      </c>
      <c r="E4522" t="inlineStr">
        <is>
          <t>2025-03</t>
        </is>
      </c>
      <c r="F4522" t="n">
        <v>324592.3669483063</v>
      </c>
    </row>
    <row r="4523">
      <c r="A4523" t="inlineStr">
        <is>
          <t>Milho</t>
        </is>
      </c>
      <c r="B4523" t="inlineStr">
        <is>
          <t>Correntina - BA</t>
        </is>
      </c>
      <c r="C4523" t="n">
        <v>-13.3477</v>
      </c>
      <c r="D4523" t="n">
        <v>-44.6333</v>
      </c>
      <c r="E4523" t="inlineStr">
        <is>
          <t>2025-04</t>
        </is>
      </c>
      <c r="F4523" t="n">
        <v>450139.8863893814</v>
      </c>
    </row>
    <row r="4524">
      <c r="A4524" t="inlineStr">
        <is>
          <t>Milho</t>
        </is>
      </c>
      <c r="B4524" t="inlineStr">
        <is>
          <t>Correntina - BA</t>
        </is>
      </c>
      <c r="C4524" t="n">
        <v>-13.3477</v>
      </c>
      <c r="D4524" t="n">
        <v>-44.6333</v>
      </c>
      <c r="E4524" t="inlineStr">
        <is>
          <t>2025-05</t>
        </is>
      </c>
      <c r="F4524" t="n">
        <v>345478.3563272061</v>
      </c>
    </row>
    <row r="4525">
      <c r="A4525" t="inlineStr">
        <is>
          <t>Milho</t>
        </is>
      </c>
      <c r="B4525" t="inlineStr">
        <is>
          <t>Correntina - BA</t>
        </is>
      </c>
      <c r="C4525" t="n">
        <v>-13.3477</v>
      </c>
      <c r="D4525" t="n">
        <v>-44.6333</v>
      </c>
      <c r="E4525" t="inlineStr">
        <is>
          <t>2025-06</t>
        </is>
      </c>
      <c r="F4525" t="n">
        <v>128948.3910952062</v>
      </c>
    </row>
    <row r="4526">
      <c r="A4526" t="inlineStr">
        <is>
          <t>Milho</t>
        </is>
      </c>
      <c r="B4526" t="inlineStr">
        <is>
          <t>Correntina - BA</t>
        </is>
      </c>
      <c r="C4526" t="n">
        <v>-13.3477</v>
      </c>
      <c r="D4526" t="n">
        <v>-44.6333</v>
      </c>
      <c r="E4526" t="inlineStr">
        <is>
          <t>2024-07</t>
        </is>
      </c>
      <c r="F4526" t="n">
        <v>0</v>
      </c>
    </row>
    <row r="4527">
      <c r="A4527" t="inlineStr">
        <is>
          <t>Milho</t>
        </is>
      </c>
      <c r="B4527" t="inlineStr">
        <is>
          <t>Correntina - BA</t>
        </is>
      </c>
      <c r="C4527" t="n">
        <v>-13.3477</v>
      </c>
      <c r="D4527" t="n">
        <v>-44.6333</v>
      </c>
      <c r="E4527" t="inlineStr">
        <is>
          <t>2024-08</t>
        </is>
      </c>
      <c r="F4527" t="n">
        <v>0</v>
      </c>
    </row>
    <row r="4528">
      <c r="A4528" t="inlineStr">
        <is>
          <t>Milho</t>
        </is>
      </c>
      <c r="B4528" t="inlineStr">
        <is>
          <t>Correntina - BA</t>
        </is>
      </c>
      <c r="C4528" t="n">
        <v>-13.3477</v>
      </c>
      <c r="D4528" t="n">
        <v>-44.6333</v>
      </c>
      <c r="E4528" t="inlineStr">
        <is>
          <t>2024-09</t>
        </is>
      </c>
      <c r="F4528" t="n">
        <v>0</v>
      </c>
    </row>
    <row r="4529">
      <c r="A4529" t="inlineStr">
        <is>
          <t>Milho</t>
        </is>
      </c>
      <c r="B4529" t="inlineStr">
        <is>
          <t>Correntina - BA</t>
        </is>
      </c>
      <c r="C4529" t="n">
        <v>-13.3477</v>
      </c>
      <c r="D4529" t="n">
        <v>-44.6333</v>
      </c>
      <c r="E4529" t="inlineStr">
        <is>
          <t>2024-10</t>
        </is>
      </c>
      <c r="F4529" t="n">
        <v>0</v>
      </c>
    </row>
    <row r="4530">
      <c r="A4530" t="inlineStr">
        <is>
          <t>Milho</t>
        </is>
      </c>
      <c r="B4530" t="inlineStr">
        <is>
          <t>Correntina - BA</t>
        </is>
      </c>
      <c r="C4530" t="n">
        <v>-13.3477</v>
      </c>
      <c r="D4530" t="n">
        <v>-44.6333</v>
      </c>
      <c r="E4530" t="inlineStr">
        <is>
          <t>2024-11</t>
        </is>
      </c>
      <c r="F4530" t="n">
        <v>0</v>
      </c>
    </row>
    <row r="4531">
      <c r="A4531" t="inlineStr">
        <is>
          <t>Milho</t>
        </is>
      </c>
      <c r="B4531" t="inlineStr">
        <is>
          <t>Correntina - BA</t>
        </is>
      </c>
      <c r="C4531" t="n">
        <v>-13.3477</v>
      </c>
      <c r="D4531" t="n">
        <v>-44.6333</v>
      </c>
      <c r="E4531" t="inlineStr">
        <is>
          <t>2024-12</t>
        </is>
      </c>
      <c r="F4531" t="n">
        <v>0</v>
      </c>
    </row>
    <row r="4532">
      <c r="A4532" t="inlineStr">
        <is>
          <t>Milho</t>
        </is>
      </c>
      <c r="B4532" t="inlineStr">
        <is>
          <t>Brasília - DF</t>
        </is>
      </c>
      <c r="C4532" t="n">
        <v>-15.7795</v>
      </c>
      <c r="D4532" t="n">
        <v>-47.9297</v>
      </c>
      <c r="E4532" t="inlineStr">
        <is>
          <t>2025-01</t>
        </is>
      </c>
      <c r="F4532" t="n">
        <v>0</v>
      </c>
    </row>
    <row r="4533">
      <c r="A4533" t="inlineStr">
        <is>
          <t>Milho</t>
        </is>
      </c>
      <c r="B4533" t="inlineStr">
        <is>
          <t>Brasília - DF</t>
        </is>
      </c>
      <c r="C4533" t="n">
        <v>-15.7795</v>
      </c>
      <c r="D4533" t="n">
        <v>-47.9297</v>
      </c>
      <c r="E4533" t="inlineStr">
        <is>
          <t>2025-02</t>
        </is>
      </c>
      <c r="F4533" t="n">
        <v>38857.38575831328</v>
      </c>
    </row>
    <row r="4534">
      <c r="A4534" t="inlineStr">
        <is>
          <t>Milho</t>
        </is>
      </c>
      <c r="B4534" t="inlineStr">
        <is>
          <t>Brasília - DF</t>
        </is>
      </c>
      <c r="C4534" t="n">
        <v>-15.7795</v>
      </c>
      <c r="D4534" t="n">
        <v>-47.9297</v>
      </c>
      <c r="E4534" t="inlineStr">
        <is>
          <t>2025-03</t>
        </is>
      </c>
      <c r="F4534" t="n">
        <v>45385.74201286388</v>
      </c>
    </row>
    <row r="4535">
      <c r="A4535" t="inlineStr">
        <is>
          <t>Milho</t>
        </is>
      </c>
      <c r="B4535" t="inlineStr">
        <is>
          <t>Brasília - DF</t>
        </is>
      </c>
      <c r="C4535" t="n">
        <v>-15.7795</v>
      </c>
      <c r="D4535" t="n">
        <v>-47.9297</v>
      </c>
      <c r="E4535" t="inlineStr">
        <is>
          <t>2025-04</t>
        </is>
      </c>
      <c r="F4535" t="n">
        <v>88116.38463226927</v>
      </c>
    </row>
    <row r="4536">
      <c r="A4536" t="inlineStr">
        <is>
          <t>Milho</t>
        </is>
      </c>
      <c r="B4536" t="inlineStr">
        <is>
          <t>Brasília - DF</t>
        </is>
      </c>
      <c r="C4536" t="n">
        <v>-15.7795</v>
      </c>
      <c r="D4536" t="n">
        <v>-47.9297</v>
      </c>
      <c r="E4536" t="inlineStr">
        <is>
          <t>2025-05</t>
        </is>
      </c>
      <c r="F4536" t="n">
        <v>20702.61456860087</v>
      </c>
    </row>
    <row r="4537">
      <c r="A4537" t="inlineStr">
        <is>
          <t>Milho</t>
        </is>
      </c>
      <c r="B4537" t="inlineStr">
        <is>
          <t>Brasília - DF</t>
        </is>
      </c>
      <c r="C4537" t="n">
        <v>-15.7795</v>
      </c>
      <c r="D4537" t="n">
        <v>-47.9297</v>
      </c>
      <c r="E4537" t="inlineStr">
        <is>
          <t>2025-06</t>
        </is>
      </c>
      <c r="F4537" t="n">
        <v>9015.027781218503</v>
      </c>
    </row>
    <row r="4538">
      <c r="A4538" t="inlineStr">
        <is>
          <t>Milho</t>
        </is>
      </c>
      <c r="B4538" t="inlineStr">
        <is>
          <t>Brasília - DF</t>
        </is>
      </c>
      <c r="C4538" t="n">
        <v>-15.7795</v>
      </c>
      <c r="D4538" t="n">
        <v>-47.9297</v>
      </c>
      <c r="E4538" t="inlineStr">
        <is>
          <t>2024-07</t>
        </is>
      </c>
      <c r="F4538" t="n">
        <v>0</v>
      </c>
    </row>
    <row r="4539">
      <c r="A4539" t="inlineStr">
        <is>
          <t>Milho</t>
        </is>
      </c>
      <c r="B4539" t="inlineStr">
        <is>
          <t>Brasília - DF</t>
        </is>
      </c>
      <c r="C4539" t="n">
        <v>-15.7795</v>
      </c>
      <c r="D4539" t="n">
        <v>-47.9297</v>
      </c>
      <c r="E4539" t="inlineStr">
        <is>
          <t>2024-08</t>
        </is>
      </c>
      <c r="F4539" t="n">
        <v>0</v>
      </c>
    </row>
    <row r="4540">
      <c r="A4540" t="inlineStr">
        <is>
          <t>Milho</t>
        </is>
      </c>
      <c r="B4540" t="inlineStr">
        <is>
          <t>Brasília - DF</t>
        </is>
      </c>
      <c r="C4540" t="n">
        <v>-15.7795</v>
      </c>
      <c r="D4540" t="n">
        <v>-47.9297</v>
      </c>
      <c r="E4540" t="inlineStr">
        <is>
          <t>2024-09</t>
        </is>
      </c>
      <c r="F4540" t="n">
        <v>0</v>
      </c>
    </row>
    <row r="4541">
      <c r="A4541" t="inlineStr">
        <is>
          <t>Milho</t>
        </is>
      </c>
      <c r="B4541" t="inlineStr">
        <is>
          <t>Brasília - DF</t>
        </is>
      </c>
      <c r="C4541" t="n">
        <v>-15.7795</v>
      </c>
      <c r="D4541" t="n">
        <v>-47.9297</v>
      </c>
      <c r="E4541" t="inlineStr">
        <is>
          <t>2024-10</t>
        </is>
      </c>
      <c r="F4541" t="n">
        <v>0</v>
      </c>
    </row>
    <row r="4542">
      <c r="A4542" t="inlineStr">
        <is>
          <t>Milho</t>
        </is>
      </c>
      <c r="B4542" t="inlineStr">
        <is>
          <t>Brasília - DF</t>
        </is>
      </c>
      <c r="C4542" t="n">
        <v>-15.7795</v>
      </c>
      <c r="D4542" t="n">
        <v>-47.9297</v>
      </c>
      <c r="E4542" t="inlineStr">
        <is>
          <t>2024-11</t>
        </is>
      </c>
      <c r="F4542" t="n">
        <v>0</v>
      </c>
    </row>
    <row r="4543">
      <c r="A4543" t="inlineStr">
        <is>
          <t>Milho</t>
        </is>
      </c>
      <c r="B4543" t="inlineStr">
        <is>
          <t>Brasília - DF</t>
        </is>
      </c>
      <c r="C4543" t="n">
        <v>-15.7795</v>
      </c>
      <c r="D4543" t="n">
        <v>-47.9297</v>
      </c>
      <c r="E4543" t="inlineStr">
        <is>
          <t>2024-12</t>
        </is>
      </c>
      <c r="F4543" t="n">
        <v>0</v>
      </c>
    </row>
    <row r="4544">
      <c r="A4544" t="inlineStr">
        <is>
          <t>Milho</t>
        </is>
      </c>
      <c r="B4544" t="inlineStr">
        <is>
          <t>Pinheiros - ES</t>
        </is>
      </c>
      <c r="C4544" t="n">
        <v>-18.4141</v>
      </c>
      <c r="D4544" t="n">
        <v>-40.2171</v>
      </c>
      <c r="E4544" t="inlineStr">
        <is>
          <t>2025-01</t>
        </is>
      </c>
      <c r="F4544" t="n">
        <v>20380.25339816032</v>
      </c>
    </row>
    <row r="4545">
      <c r="A4545" t="inlineStr">
        <is>
          <t>Milho</t>
        </is>
      </c>
      <c r="B4545" t="inlineStr">
        <is>
          <t>Pinheiros - ES</t>
        </is>
      </c>
      <c r="C4545" t="n">
        <v>-18.4141</v>
      </c>
      <c r="D4545" t="n">
        <v>-40.2171</v>
      </c>
      <c r="E4545" t="inlineStr">
        <is>
          <t>2025-02</t>
        </is>
      </c>
      <c r="F4545" t="n">
        <v>25429.11911530434</v>
      </c>
    </row>
    <row r="4546">
      <c r="A4546" t="inlineStr">
        <is>
          <t>Milho</t>
        </is>
      </c>
      <c r="B4546" t="inlineStr">
        <is>
          <t>Pinheiros - ES</t>
        </is>
      </c>
      <c r="C4546" t="n">
        <v>-18.4141</v>
      </c>
      <c r="D4546" t="n">
        <v>-40.2171</v>
      </c>
      <c r="E4546" t="inlineStr">
        <is>
          <t>2025-03</t>
        </is>
      </c>
      <c r="F4546" t="n">
        <v>34651.65382251989</v>
      </c>
    </row>
    <row r="4547">
      <c r="A4547" t="inlineStr">
        <is>
          <t>Milho</t>
        </is>
      </c>
      <c r="B4547" t="inlineStr">
        <is>
          <t>Pinheiros - ES</t>
        </is>
      </c>
      <c r="C4547" t="n">
        <v>-18.4141</v>
      </c>
      <c r="D4547" t="n">
        <v>-40.2171</v>
      </c>
      <c r="E4547" t="inlineStr">
        <is>
          <t>2025-04</t>
        </is>
      </c>
      <c r="F4547" t="n">
        <v>12356.84577496254</v>
      </c>
    </row>
    <row r="4548">
      <c r="A4548" t="inlineStr">
        <is>
          <t>Milho</t>
        </is>
      </c>
      <c r="B4548" t="inlineStr">
        <is>
          <t>Pinheiros - ES</t>
        </is>
      </c>
      <c r="C4548" t="n">
        <v>-18.4141</v>
      </c>
      <c r="D4548" t="n">
        <v>-40.2171</v>
      </c>
      <c r="E4548" t="inlineStr">
        <is>
          <t>2025-05</t>
        </is>
      </c>
      <c r="F4548" t="n">
        <v>3387.060410713272</v>
      </c>
    </row>
    <row r="4549">
      <c r="A4549" t="inlineStr">
        <is>
          <t>Milho</t>
        </is>
      </c>
      <c r="B4549" t="inlineStr">
        <is>
          <t>Pinheiros - ES</t>
        </is>
      </c>
      <c r="C4549" t="n">
        <v>-18.4141</v>
      </c>
      <c r="D4549" t="n">
        <v>-40.2171</v>
      </c>
      <c r="E4549" t="inlineStr">
        <is>
          <t>2025-06</t>
        </is>
      </c>
      <c r="F4549" t="n">
        <v>0</v>
      </c>
    </row>
    <row r="4550">
      <c r="A4550" t="inlineStr">
        <is>
          <t>Milho</t>
        </is>
      </c>
      <c r="B4550" t="inlineStr">
        <is>
          <t>Pinheiros - ES</t>
        </is>
      </c>
      <c r="C4550" t="n">
        <v>-18.4141</v>
      </c>
      <c r="D4550" t="n">
        <v>-40.2171</v>
      </c>
      <c r="E4550" t="inlineStr">
        <is>
          <t>2024-07</t>
        </is>
      </c>
      <c r="F4550" t="n">
        <v>0</v>
      </c>
    </row>
    <row r="4551">
      <c r="A4551" t="inlineStr">
        <is>
          <t>Milho</t>
        </is>
      </c>
      <c r="B4551" t="inlineStr">
        <is>
          <t>Pinheiros - ES</t>
        </is>
      </c>
      <c r="C4551" t="n">
        <v>-18.4141</v>
      </c>
      <c r="D4551" t="n">
        <v>-40.2171</v>
      </c>
      <c r="E4551" t="inlineStr">
        <is>
          <t>2024-08</t>
        </is>
      </c>
      <c r="F4551" t="n">
        <v>0</v>
      </c>
    </row>
    <row r="4552">
      <c r="A4552" t="inlineStr">
        <is>
          <t>Milho</t>
        </is>
      </c>
      <c r="B4552" t="inlineStr">
        <is>
          <t>Pinheiros - ES</t>
        </is>
      </c>
      <c r="C4552" t="n">
        <v>-18.4141</v>
      </c>
      <c r="D4552" t="n">
        <v>-40.2171</v>
      </c>
      <c r="E4552" t="inlineStr">
        <is>
          <t>2024-09</t>
        </is>
      </c>
      <c r="F4552" t="n">
        <v>0</v>
      </c>
    </row>
    <row r="4553">
      <c r="A4553" t="inlineStr">
        <is>
          <t>Milho</t>
        </is>
      </c>
      <c r="B4553" t="inlineStr">
        <is>
          <t>Pinheiros - ES</t>
        </is>
      </c>
      <c r="C4553" t="n">
        <v>-18.4141</v>
      </c>
      <c r="D4553" t="n">
        <v>-40.2171</v>
      </c>
      <c r="E4553" t="inlineStr">
        <is>
          <t>2024-10</t>
        </is>
      </c>
      <c r="F4553" t="n">
        <v>0</v>
      </c>
    </row>
    <row r="4554">
      <c r="A4554" t="inlineStr">
        <is>
          <t>Milho</t>
        </is>
      </c>
      <c r="B4554" t="inlineStr">
        <is>
          <t>Pinheiros - ES</t>
        </is>
      </c>
      <c r="C4554" t="n">
        <v>-18.4141</v>
      </c>
      <c r="D4554" t="n">
        <v>-40.2171</v>
      </c>
      <c r="E4554" t="inlineStr">
        <is>
          <t>2024-11</t>
        </is>
      </c>
      <c r="F4554" t="n">
        <v>0</v>
      </c>
    </row>
    <row r="4555">
      <c r="A4555" t="inlineStr">
        <is>
          <t>Milho</t>
        </is>
      </c>
      <c r="B4555" t="inlineStr">
        <is>
          <t>Pinheiros - ES</t>
        </is>
      </c>
      <c r="C4555" t="n">
        <v>-18.4141</v>
      </c>
      <c r="D4555" t="n">
        <v>-40.2171</v>
      </c>
      <c r="E4555" t="inlineStr">
        <is>
          <t>2024-12</t>
        </is>
      </c>
      <c r="F4555" t="n">
        <v>0</v>
      </c>
    </row>
    <row r="4556">
      <c r="A4556" t="inlineStr">
        <is>
          <t>Milho</t>
        </is>
      </c>
      <c r="B4556" t="inlineStr">
        <is>
          <t>Rio Verde - GO</t>
        </is>
      </c>
      <c r="C4556" t="n">
        <v>-17.7923</v>
      </c>
      <c r="D4556" t="n">
        <v>-50.9192</v>
      </c>
      <c r="E4556" t="inlineStr">
        <is>
          <t>2025-01</t>
        </is>
      </c>
      <c r="F4556" t="n">
        <v>0</v>
      </c>
    </row>
    <row r="4557">
      <c r="A4557" t="inlineStr">
        <is>
          <t>Milho</t>
        </is>
      </c>
      <c r="B4557" t="inlineStr">
        <is>
          <t>Rio Verde - GO</t>
        </is>
      </c>
      <c r="C4557" t="n">
        <v>-17.7923</v>
      </c>
      <c r="D4557" t="n">
        <v>-50.9192</v>
      </c>
      <c r="E4557" t="inlineStr">
        <is>
          <t>2025-02</t>
        </is>
      </c>
      <c r="F4557" t="n">
        <v>409509.2654202649</v>
      </c>
    </row>
    <row r="4558">
      <c r="A4558" t="inlineStr">
        <is>
          <t>Milho</t>
        </is>
      </c>
      <c r="B4558" t="inlineStr">
        <is>
          <t>Rio Verde - GO</t>
        </is>
      </c>
      <c r="C4558" t="n">
        <v>-17.7923</v>
      </c>
      <c r="D4558" t="n">
        <v>-50.9192</v>
      </c>
      <c r="E4558" t="inlineStr">
        <is>
          <t>2025-03</t>
        </is>
      </c>
      <c r="F4558" t="n">
        <v>478310.1464376104</v>
      </c>
    </row>
    <row r="4559">
      <c r="A4559" t="inlineStr">
        <is>
          <t>Milho</t>
        </is>
      </c>
      <c r="B4559" t="inlineStr">
        <is>
          <t>Rio Verde - GO</t>
        </is>
      </c>
      <c r="C4559" t="n">
        <v>-17.7923</v>
      </c>
      <c r="D4559" t="n">
        <v>-50.9192</v>
      </c>
      <c r="E4559" t="inlineStr">
        <is>
          <t>2025-04</t>
        </is>
      </c>
      <c r="F4559" t="n">
        <v>928638.7964102827</v>
      </c>
    </row>
    <row r="4560">
      <c r="A4560" t="inlineStr">
        <is>
          <t>Milho</t>
        </is>
      </c>
      <c r="B4560" t="inlineStr">
        <is>
          <t>Rio Verde - GO</t>
        </is>
      </c>
      <c r="C4560" t="n">
        <v>-17.7923</v>
      </c>
      <c r="D4560" t="n">
        <v>-50.9192</v>
      </c>
      <c r="E4560" t="inlineStr">
        <is>
          <t>2025-05</t>
        </is>
      </c>
      <c r="F4560" t="n">
        <v>218180.2074127651</v>
      </c>
    </row>
    <row r="4561">
      <c r="A4561" t="inlineStr">
        <is>
          <t>Milho</t>
        </is>
      </c>
      <c r="B4561" t="inlineStr">
        <is>
          <t>Rio Verde - GO</t>
        </is>
      </c>
      <c r="C4561" t="n">
        <v>-17.7923</v>
      </c>
      <c r="D4561" t="n">
        <v>-50.9192</v>
      </c>
      <c r="E4561" t="inlineStr">
        <is>
          <t>2025-06</t>
        </is>
      </c>
      <c r="F4561" t="n">
        <v>95007.354004515</v>
      </c>
    </row>
    <row r="4562">
      <c r="A4562" t="inlineStr">
        <is>
          <t>Milho</t>
        </is>
      </c>
      <c r="B4562" t="inlineStr">
        <is>
          <t>Rio Verde - GO</t>
        </is>
      </c>
      <c r="C4562" t="n">
        <v>-17.7923</v>
      </c>
      <c r="D4562" t="n">
        <v>-50.9192</v>
      </c>
      <c r="E4562" t="inlineStr">
        <is>
          <t>2024-07</t>
        </is>
      </c>
      <c r="F4562" t="n">
        <v>0</v>
      </c>
    </row>
    <row r="4563">
      <c r="A4563" t="inlineStr">
        <is>
          <t>Milho</t>
        </is>
      </c>
      <c r="B4563" t="inlineStr">
        <is>
          <t>Rio Verde - GO</t>
        </is>
      </c>
      <c r="C4563" t="n">
        <v>-17.7923</v>
      </c>
      <c r="D4563" t="n">
        <v>-50.9192</v>
      </c>
      <c r="E4563" t="inlineStr">
        <is>
          <t>2024-08</t>
        </is>
      </c>
      <c r="F4563" t="n">
        <v>0</v>
      </c>
    </row>
    <row r="4564">
      <c r="A4564" t="inlineStr">
        <is>
          <t>Milho</t>
        </is>
      </c>
      <c r="B4564" t="inlineStr">
        <is>
          <t>Rio Verde - GO</t>
        </is>
      </c>
      <c r="C4564" t="n">
        <v>-17.7923</v>
      </c>
      <c r="D4564" t="n">
        <v>-50.9192</v>
      </c>
      <c r="E4564" t="inlineStr">
        <is>
          <t>2024-09</t>
        </is>
      </c>
      <c r="F4564" t="n">
        <v>0</v>
      </c>
    </row>
    <row r="4565">
      <c r="A4565" t="inlineStr">
        <is>
          <t>Milho</t>
        </is>
      </c>
      <c r="B4565" t="inlineStr">
        <is>
          <t>Rio Verde - GO</t>
        </is>
      </c>
      <c r="C4565" t="n">
        <v>-17.7923</v>
      </c>
      <c r="D4565" t="n">
        <v>-50.9192</v>
      </c>
      <c r="E4565" t="inlineStr">
        <is>
          <t>2024-10</t>
        </is>
      </c>
      <c r="F4565" t="n">
        <v>0</v>
      </c>
    </row>
    <row r="4566">
      <c r="A4566" t="inlineStr">
        <is>
          <t>Milho</t>
        </is>
      </c>
      <c r="B4566" t="inlineStr">
        <is>
          <t>Rio Verde - GO</t>
        </is>
      </c>
      <c r="C4566" t="n">
        <v>-17.7923</v>
      </c>
      <c r="D4566" t="n">
        <v>-50.9192</v>
      </c>
      <c r="E4566" t="inlineStr">
        <is>
          <t>2024-11</t>
        </is>
      </c>
      <c r="F4566" t="n">
        <v>0</v>
      </c>
    </row>
    <row r="4567">
      <c r="A4567" t="inlineStr">
        <is>
          <t>Milho</t>
        </is>
      </c>
      <c r="B4567" t="inlineStr">
        <is>
          <t>Rio Verde - GO</t>
        </is>
      </c>
      <c r="C4567" t="n">
        <v>-17.7923</v>
      </c>
      <c r="D4567" t="n">
        <v>-50.9192</v>
      </c>
      <c r="E4567" t="inlineStr">
        <is>
          <t>2024-12</t>
        </is>
      </c>
      <c r="F4567" t="n">
        <v>0</v>
      </c>
    </row>
    <row r="4568">
      <c r="A4568" t="inlineStr">
        <is>
          <t>Milho</t>
        </is>
      </c>
      <c r="B4568" t="inlineStr">
        <is>
          <t>Balsas - MA</t>
        </is>
      </c>
      <c r="C4568" t="n">
        <v>-7.53214</v>
      </c>
      <c r="D4568" t="n">
        <v>-46.0372</v>
      </c>
      <c r="E4568" t="inlineStr">
        <is>
          <t>2025-01</t>
        </is>
      </c>
      <c r="F4568" t="n">
        <v>0</v>
      </c>
    </row>
    <row r="4569">
      <c r="A4569" t="inlineStr">
        <is>
          <t>Milho</t>
        </is>
      </c>
      <c r="B4569" t="inlineStr">
        <is>
          <t>Balsas - MA</t>
        </is>
      </c>
      <c r="C4569" t="n">
        <v>-7.53214</v>
      </c>
      <c r="D4569" t="n">
        <v>-46.0372</v>
      </c>
      <c r="E4569" t="inlineStr">
        <is>
          <t>2025-02</t>
        </is>
      </c>
      <c r="F4569" t="n">
        <v>369454.060151501</v>
      </c>
    </row>
    <row r="4570">
      <c r="A4570" t="inlineStr">
        <is>
          <t>Milho</t>
        </is>
      </c>
      <c r="B4570" t="inlineStr">
        <is>
          <t>Balsas - MA</t>
        </is>
      </c>
      <c r="C4570" t="n">
        <v>-7.53214</v>
      </c>
      <c r="D4570" t="n">
        <v>-46.0372</v>
      </c>
      <c r="E4570" t="inlineStr">
        <is>
          <t>2025-03</t>
        </is>
      </c>
      <c r="F4570" t="n">
        <v>431525.3415125522</v>
      </c>
    </row>
    <row r="4571">
      <c r="A4571" t="inlineStr">
        <is>
          <t>Milho</t>
        </is>
      </c>
      <c r="B4571" t="inlineStr">
        <is>
          <t>Balsas - MA</t>
        </is>
      </c>
      <c r="C4571" t="n">
        <v>-7.53214</v>
      </c>
      <c r="D4571" t="n">
        <v>-46.0372</v>
      </c>
      <c r="E4571" t="inlineStr">
        <is>
          <t>2025-04</t>
        </is>
      </c>
      <c r="F4571" t="n">
        <v>837806.1321662199</v>
      </c>
    </row>
    <row r="4572">
      <c r="A4572" t="inlineStr">
        <is>
          <t>Milho</t>
        </is>
      </c>
      <c r="B4572" t="inlineStr">
        <is>
          <t>Balsas - MA</t>
        </is>
      </c>
      <c r="C4572" t="n">
        <v>-7.53214</v>
      </c>
      <c r="D4572" t="n">
        <v>-46.0372</v>
      </c>
      <c r="E4572" t="inlineStr">
        <is>
          <t>2025-05</t>
        </is>
      </c>
      <c r="F4572" t="n">
        <v>196839.4131219913</v>
      </c>
    </row>
    <row r="4573">
      <c r="A4573" t="inlineStr">
        <is>
          <t>Milho</t>
        </is>
      </c>
      <c r="B4573" t="inlineStr">
        <is>
          <t>Balsas - MA</t>
        </is>
      </c>
      <c r="C4573" t="n">
        <v>-7.53214</v>
      </c>
      <c r="D4573" t="n">
        <v>-46.0372</v>
      </c>
      <c r="E4573" t="inlineStr">
        <is>
          <t>2025-06</t>
        </is>
      </c>
      <c r="F4573" t="n">
        <v>171428.857147817</v>
      </c>
    </row>
    <row r="4574">
      <c r="A4574" t="inlineStr">
        <is>
          <t>Milho</t>
        </is>
      </c>
      <c r="B4574" t="inlineStr">
        <is>
          <t>Balsas - MA</t>
        </is>
      </c>
      <c r="C4574" t="n">
        <v>-7.53214</v>
      </c>
      <c r="D4574" t="n">
        <v>-46.0372</v>
      </c>
      <c r="E4574" t="inlineStr">
        <is>
          <t>2024-07</t>
        </is>
      </c>
      <c r="F4574" t="n">
        <v>0</v>
      </c>
    </row>
    <row r="4575">
      <c r="A4575" t="inlineStr">
        <is>
          <t>Milho</t>
        </is>
      </c>
      <c r="B4575" t="inlineStr">
        <is>
          <t>Balsas - MA</t>
        </is>
      </c>
      <c r="C4575" t="n">
        <v>-7.53214</v>
      </c>
      <c r="D4575" t="n">
        <v>-46.0372</v>
      </c>
      <c r="E4575" t="inlineStr">
        <is>
          <t>2024-08</t>
        </is>
      </c>
      <c r="F4575" t="n">
        <v>0</v>
      </c>
    </row>
    <row r="4576">
      <c r="A4576" t="inlineStr">
        <is>
          <t>Milho</t>
        </is>
      </c>
      <c r="B4576" t="inlineStr">
        <is>
          <t>Balsas - MA</t>
        </is>
      </c>
      <c r="C4576" t="n">
        <v>-7.53214</v>
      </c>
      <c r="D4576" t="n">
        <v>-46.0372</v>
      </c>
      <c r="E4576" t="inlineStr">
        <is>
          <t>2024-09</t>
        </is>
      </c>
      <c r="F4576" t="n">
        <v>0</v>
      </c>
    </row>
    <row r="4577">
      <c r="A4577" t="inlineStr">
        <is>
          <t>Milho</t>
        </is>
      </c>
      <c r="B4577" t="inlineStr">
        <is>
          <t>Balsas - MA</t>
        </is>
      </c>
      <c r="C4577" t="n">
        <v>-7.53214</v>
      </c>
      <c r="D4577" t="n">
        <v>-46.0372</v>
      </c>
      <c r="E4577" t="inlineStr">
        <is>
          <t>2024-10</t>
        </is>
      </c>
      <c r="F4577" t="n">
        <v>0</v>
      </c>
    </row>
    <row r="4578">
      <c r="A4578" t="inlineStr">
        <is>
          <t>Milho</t>
        </is>
      </c>
      <c r="B4578" t="inlineStr">
        <is>
          <t>Balsas - MA</t>
        </is>
      </c>
      <c r="C4578" t="n">
        <v>-7.53214</v>
      </c>
      <c r="D4578" t="n">
        <v>-46.0372</v>
      </c>
      <c r="E4578" t="inlineStr">
        <is>
          <t>2024-11</t>
        </is>
      </c>
      <c r="F4578" t="n">
        <v>0</v>
      </c>
    </row>
    <row r="4579">
      <c r="A4579" t="inlineStr">
        <is>
          <t>Milho</t>
        </is>
      </c>
      <c r="B4579" t="inlineStr">
        <is>
          <t>Balsas - MA</t>
        </is>
      </c>
      <c r="C4579" t="n">
        <v>-7.53214</v>
      </c>
      <c r="D4579" t="n">
        <v>-46.0372</v>
      </c>
      <c r="E4579" t="inlineStr">
        <is>
          <t>2024-12</t>
        </is>
      </c>
      <c r="F4579" t="n">
        <v>0</v>
      </c>
    </row>
    <row r="4580">
      <c r="A4580" t="inlineStr">
        <is>
          <t>Milho</t>
        </is>
      </c>
      <c r="B4580" t="inlineStr">
        <is>
          <t>Unaí - MG</t>
        </is>
      </c>
      <c r="C4580" t="n">
        <v>-16.3592</v>
      </c>
      <c r="D4580" t="n">
        <v>-46.9022</v>
      </c>
      <c r="E4580" t="inlineStr">
        <is>
          <t>2025-01</t>
        </is>
      </c>
      <c r="F4580" t="n">
        <v>0</v>
      </c>
    </row>
    <row r="4581">
      <c r="A4581" t="inlineStr">
        <is>
          <t>Milho</t>
        </is>
      </c>
      <c r="B4581" t="inlineStr">
        <is>
          <t>Unaí - MG</t>
        </is>
      </c>
      <c r="C4581" t="n">
        <v>-16.3592</v>
      </c>
      <c r="D4581" t="n">
        <v>-46.9022</v>
      </c>
      <c r="E4581" t="inlineStr">
        <is>
          <t>2025-02</t>
        </is>
      </c>
      <c r="F4581" t="n">
        <v>929906.7097827765</v>
      </c>
    </row>
    <row r="4582">
      <c r="A4582" t="inlineStr">
        <is>
          <t>Milho</t>
        </is>
      </c>
      <c r="B4582" t="inlineStr">
        <is>
          <t>Unaí - MG</t>
        </is>
      </c>
      <c r="C4582" t="n">
        <v>-16.3592</v>
      </c>
      <c r="D4582" t="n">
        <v>-46.9022</v>
      </c>
      <c r="E4582" t="inlineStr">
        <is>
          <t>2025-03</t>
        </is>
      </c>
      <c r="F4582" t="n">
        <v>1086138.586078267</v>
      </c>
    </row>
    <row r="4583">
      <c r="A4583" t="inlineStr">
        <is>
          <t>Milho</t>
        </is>
      </c>
      <c r="B4583" t="inlineStr">
        <is>
          <t>Unaí - MG</t>
        </is>
      </c>
      <c r="C4583" t="n">
        <v>-16.3592</v>
      </c>
      <c r="D4583" t="n">
        <v>-46.9022</v>
      </c>
      <c r="E4583" t="inlineStr">
        <is>
          <t>2025-04</t>
        </is>
      </c>
      <c r="F4583" t="n">
        <v>1506240.902510987</v>
      </c>
    </row>
    <row r="4584">
      <c r="A4584" t="inlineStr">
        <is>
          <t>Milho</t>
        </is>
      </c>
      <c r="B4584" t="inlineStr">
        <is>
          <t>Unaí - MG</t>
        </is>
      </c>
      <c r="C4584" t="n">
        <v>-16.3592</v>
      </c>
      <c r="D4584" t="n">
        <v>-46.9022</v>
      </c>
      <c r="E4584" t="inlineStr">
        <is>
          <t>2025-05</t>
        </is>
      </c>
      <c r="F4584" t="n">
        <v>825733.2045414248</v>
      </c>
    </row>
    <row r="4585">
      <c r="A4585" t="inlineStr">
        <is>
          <t>Milho</t>
        </is>
      </c>
      <c r="B4585" t="inlineStr">
        <is>
          <t>Unaí - MG</t>
        </is>
      </c>
      <c r="C4585" t="n">
        <v>-16.3592</v>
      </c>
      <c r="D4585" t="n">
        <v>-46.9022</v>
      </c>
      <c r="E4585" t="inlineStr">
        <is>
          <t>2025-06</t>
        </is>
      </c>
      <c r="F4585" t="n">
        <v>431482.1833241679</v>
      </c>
    </row>
    <row r="4586">
      <c r="A4586" t="inlineStr">
        <is>
          <t>Milho</t>
        </is>
      </c>
      <c r="B4586" t="inlineStr">
        <is>
          <t>Unaí - MG</t>
        </is>
      </c>
      <c r="C4586" t="n">
        <v>-16.3592</v>
      </c>
      <c r="D4586" t="n">
        <v>-46.9022</v>
      </c>
      <c r="E4586" t="inlineStr">
        <is>
          <t>2024-07</t>
        </is>
      </c>
      <c r="F4586" t="n">
        <v>0</v>
      </c>
    </row>
    <row r="4587">
      <c r="A4587" t="inlineStr">
        <is>
          <t>Milho</t>
        </is>
      </c>
      <c r="B4587" t="inlineStr">
        <is>
          <t>Unaí - MG</t>
        </is>
      </c>
      <c r="C4587" t="n">
        <v>-16.3592</v>
      </c>
      <c r="D4587" t="n">
        <v>-46.9022</v>
      </c>
      <c r="E4587" t="inlineStr">
        <is>
          <t>2024-08</t>
        </is>
      </c>
      <c r="F4587" t="n">
        <v>0</v>
      </c>
    </row>
    <row r="4588">
      <c r="A4588" t="inlineStr">
        <is>
          <t>Milho</t>
        </is>
      </c>
      <c r="B4588" t="inlineStr">
        <is>
          <t>Unaí - MG</t>
        </is>
      </c>
      <c r="C4588" t="n">
        <v>-16.3592</v>
      </c>
      <c r="D4588" t="n">
        <v>-46.9022</v>
      </c>
      <c r="E4588" t="inlineStr">
        <is>
          <t>2024-09</t>
        </is>
      </c>
      <c r="F4588" t="n">
        <v>0</v>
      </c>
    </row>
    <row r="4589">
      <c r="A4589" t="inlineStr">
        <is>
          <t>Milho</t>
        </is>
      </c>
      <c r="B4589" t="inlineStr">
        <is>
          <t>Unaí - MG</t>
        </is>
      </c>
      <c r="C4589" t="n">
        <v>-16.3592</v>
      </c>
      <c r="D4589" t="n">
        <v>-46.9022</v>
      </c>
      <c r="E4589" t="inlineStr">
        <is>
          <t>2024-10</t>
        </is>
      </c>
      <c r="F4589" t="n">
        <v>0</v>
      </c>
    </row>
    <row r="4590">
      <c r="A4590" t="inlineStr">
        <is>
          <t>Milho</t>
        </is>
      </c>
      <c r="B4590" t="inlineStr">
        <is>
          <t>Unaí - MG</t>
        </is>
      </c>
      <c r="C4590" t="n">
        <v>-16.3592</v>
      </c>
      <c r="D4590" t="n">
        <v>-46.9022</v>
      </c>
      <c r="E4590" t="inlineStr">
        <is>
          <t>2024-11</t>
        </is>
      </c>
      <c r="F4590" t="n">
        <v>0</v>
      </c>
    </row>
    <row r="4591">
      <c r="A4591" t="inlineStr">
        <is>
          <t>Milho</t>
        </is>
      </c>
      <c r="B4591" t="inlineStr">
        <is>
          <t>Unaí - MG</t>
        </is>
      </c>
      <c r="C4591" t="n">
        <v>-16.3592</v>
      </c>
      <c r="D4591" t="n">
        <v>-46.9022</v>
      </c>
      <c r="E4591" t="inlineStr">
        <is>
          <t>2024-12</t>
        </is>
      </c>
      <c r="F4591" t="n">
        <v>0</v>
      </c>
    </row>
    <row r="4592">
      <c r="A4592" t="inlineStr">
        <is>
          <t>Milho</t>
        </is>
      </c>
      <c r="B4592" t="inlineStr">
        <is>
          <t>Maracaju - MS</t>
        </is>
      </c>
      <c r="C4592" t="n">
        <v>-21.6105</v>
      </c>
      <c r="D4592" t="n">
        <v>-55.1678</v>
      </c>
      <c r="E4592" t="inlineStr">
        <is>
          <t>2025-01</t>
        </is>
      </c>
      <c r="F4592" t="n">
        <v>40119.51583172164</v>
      </c>
    </row>
    <row r="4593">
      <c r="A4593" t="inlineStr">
        <is>
          <t>Milho</t>
        </is>
      </c>
      <c r="B4593" t="inlineStr">
        <is>
          <t>Maracaju - MS</t>
        </is>
      </c>
      <c r="C4593" t="n">
        <v>-21.6105</v>
      </c>
      <c r="D4593" t="n">
        <v>-55.1678</v>
      </c>
      <c r="E4593" t="inlineStr">
        <is>
          <t>2025-02</t>
        </is>
      </c>
      <c r="F4593" t="n">
        <v>50058.45251292505</v>
      </c>
    </row>
    <row r="4594">
      <c r="A4594" t="inlineStr">
        <is>
          <t>Milho</t>
        </is>
      </c>
      <c r="B4594" t="inlineStr">
        <is>
          <t>Maracaju - MS</t>
        </is>
      </c>
      <c r="C4594" t="n">
        <v>-21.6105</v>
      </c>
      <c r="D4594" t="n">
        <v>-55.1678</v>
      </c>
      <c r="E4594" t="inlineStr">
        <is>
          <t>2025-03</t>
        </is>
      </c>
      <c r="F4594" t="n">
        <v>68213.45873223591</v>
      </c>
    </row>
    <row r="4595">
      <c r="A4595" t="inlineStr">
        <is>
          <t>Milho</t>
        </is>
      </c>
      <c r="B4595" t="inlineStr">
        <is>
          <t>Maracaju - MS</t>
        </is>
      </c>
      <c r="C4595" t="n">
        <v>-21.6105</v>
      </c>
      <c r="D4595" t="n">
        <v>-55.1678</v>
      </c>
      <c r="E4595" t="inlineStr">
        <is>
          <t>2025-04</t>
        </is>
      </c>
      <c r="F4595" t="n">
        <v>40541.74891854727</v>
      </c>
    </row>
    <row r="4596">
      <c r="A4596" t="inlineStr">
        <is>
          <t>Milho</t>
        </is>
      </c>
      <c r="B4596" t="inlineStr">
        <is>
          <t>Maracaju - MS</t>
        </is>
      </c>
      <c r="C4596" t="n">
        <v>-21.6105</v>
      </c>
      <c r="D4596" t="n">
        <v>-55.1678</v>
      </c>
      <c r="E4596" t="inlineStr">
        <is>
          <t>2025-05</t>
        </is>
      </c>
      <c r="F4596" t="n">
        <v>13335.18490823818</v>
      </c>
    </row>
    <row r="4597">
      <c r="A4597" t="inlineStr">
        <is>
          <t>Milho</t>
        </is>
      </c>
      <c r="B4597" t="inlineStr">
        <is>
          <t>Maracaju - MS</t>
        </is>
      </c>
      <c r="C4597" t="n">
        <v>-21.6105</v>
      </c>
      <c r="D4597" t="n">
        <v>-55.1678</v>
      </c>
      <c r="E4597" t="inlineStr">
        <is>
          <t>2025-06</t>
        </is>
      </c>
      <c r="F4597" t="n">
        <v>0</v>
      </c>
    </row>
    <row r="4598">
      <c r="A4598" t="inlineStr">
        <is>
          <t>Milho</t>
        </is>
      </c>
      <c r="B4598" t="inlineStr">
        <is>
          <t>Maracaju - MS</t>
        </is>
      </c>
      <c r="C4598" t="n">
        <v>-21.6105</v>
      </c>
      <c r="D4598" t="n">
        <v>-55.1678</v>
      </c>
      <c r="E4598" t="inlineStr">
        <is>
          <t>2024-07</t>
        </is>
      </c>
      <c r="F4598" t="n">
        <v>0</v>
      </c>
    </row>
    <row r="4599">
      <c r="A4599" t="inlineStr">
        <is>
          <t>Milho</t>
        </is>
      </c>
      <c r="B4599" t="inlineStr">
        <is>
          <t>Maracaju - MS</t>
        </is>
      </c>
      <c r="C4599" t="n">
        <v>-21.6105</v>
      </c>
      <c r="D4599" t="n">
        <v>-55.1678</v>
      </c>
      <c r="E4599" t="inlineStr">
        <is>
          <t>2024-08</t>
        </is>
      </c>
      <c r="F4599" t="n">
        <v>0</v>
      </c>
    </row>
    <row r="4600">
      <c r="A4600" t="inlineStr">
        <is>
          <t>Milho</t>
        </is>
      </c>
      <c r="B4600" t="inlineStr">
        <is>
          <t>Maracaju - MS</t>
        </is>
      </c>
      <c r="C4600" t="n">
        <v>-21.6105</v>
      </c>
      <c r="D4600" t="n">
        <v>-55.1678</v>
      </c>
      <c r="E4600" t="inlineStr">
        <is>
          <t>2024-09</t>
        </is>
      </c>
      <c r="F4600" t="n">
        <v>0</v>
      </c>
    </row>
    <row r="4601">
      <c r="A4601" t="inlineStr">
        <is>
          <t>Milho</t>
        </is>
      </c>
      <c r="B4601" t="inlineStr">
        <is>
          <t>Maracaju - MS</t>
        </is>
      </c>
      <c r="C4601" t="n">
        <v>-21.6105</v>
      </c>
      <c r="D4601" t="n">
        <v>-55.1678</v>
      </c>
      <c r="E4601" t="inlineStr">
        <is>
          <t>2024-10</t>
        </is>
      </c>
      <c r="F4601" t="n">
        <v>0</v>
      </c>
    </row>
    <row r="4602">
      <c r="A4602" t="inlineStr">
        <is>
          <t>Milho</t>
        </is>
      </c>
      <c r="B4602" t="inlineStr">
        <is>
          <t>Maracaju - MS</t>
        </is>
      </c>
      <c r="C4602" t="n">
        <v>-21.6105</v>
      </c>
      <c r="D4602" t="n">
        <v>-55.1678</v>
      </c>
      <c r="E4602" t="inlineStr">
        <is>
          <t>2024-11</t>
        </is>
      </c>
      <c r="F4602" t="n">
        <v>0</v>
      </c>
    </row>
    <row r="4603">
      <c r="A4603" t="inlineStr">
        <is>
          <t>Milho</t>
        </is>
      </c>
      <c r="B4603" t="inlineStr">
        <is>
          <t>Maracaju - MS</t>
        </is>
      </c>
      <c r="C4603" t="n">
        <v>-21.6105</v>
      </c>
      <c r="D4603" t="n">
        <v>-55.1678</v>
      </c>
      <c r="E4603" t="inlineStr">
        <is>
          <t>2024-12</t>
        </is>
      </c>
      <c r="F4603" t="n">
        <v>0</v>
      </c>
    </row>
    <row r="4604">
      <c r="A4604" t="inlineStr">
        <is>
          <t>Milho</t>
        </is>
      </c>
      <c r="B4604" t="inlineStr">
        <is>
          <t>Sorriso - MT</t>
        </is>
      </c>
      <c r="C4604" t="n">
        <v>-12.5425</v>
      </c>
      <c r="D4604" t="n">
        <v>-55.7211</v>
      </c>
      <c r="E4604" t="inlineStr">
        <is>
          <t>2025-01</t>
        </is>
      </c>
      <c r="F4604" t="n">
        <v>0</v>
      </c>
    </row>
    <row r="4605">
      <c r="A4605" t="inlineStr">
        <is>
          <t>Milho</t>
        </is>
      </c>
      <c r="B4605" t="inlineStr">
        <is>
          <t>Sorriso - MT</t>
        </is>
      </c>
      <c r="C4605" t="n">
        <v>-12.5425</v>
      </c>
      <c r="D4605" t="n">
        <v>-55.7211</v>
      </c>
      <c r="E4605" t="inlineStr">
        <is>
          <t>2025-02</t>
        </is>
      </c>
      <c r="F4605" t="n">
        <v>271882.0535063593</v>
      </c>
    </row>
    <row r="4606">
      <c r="A4606" t="inlineStr">
        <is>
          <t>Milho</t>
        </is>
      </c>
      <c r="B4606" t="inlineStr">
        <is>
          <t>Sorriso - MT</t>
        </is>
      </c>
      <c r="C4606" t="n">
        <v>-12.5425</v>
      </c>
      <c r="D4606" t="n">
        <v>-55.7211</v>
      </c>
      <c r="E4606" t="inlineStr">
        <is>
          <t>2025-03</t>
        </is>
      </c>
      <c r="F4606" t="n">
        <v>264633.7047118365</v>
      </c>
    </row>
    <row r="4607">
      <c r="A4607" t="inlineStr">
        <is>
          <t>Milho</t>
        </is>
      </c>
      <c r="B4607" t="inlineStr">
        <is>
          <t>Sorriso - MT</t>
        </is>
      </c>
      <c r="C4607" t="n">
        <v>-12.5425</v>
      </c>
      <c r="D4607" t="n">
        <v>-55.7211</v>
      </c>
      <c r="E4607" t="inlineStr">
        <is>
          <t>2025-04</t>
        </is>
      </c>
      <c r="F4607" t="n">
        <v>220194.0610502863</v>
      </c>
    </row>
    <row r="4608">
      <c r="A4608" t="inlineStr">
        <is>
          <t>Milho</t>
        </is>
      </c>
      <c r="B4608" t="inlineStr">
        <is>
          <t>Sorriso - MT</t>
        </is>
      </c>
      <c r="C4608" t="n">
        <v>-12.5425</v>
      </c>
      <c r="D4608" t="n">
        <v>-55.7211</v>
      </c>
      <c r="E4608" t="inlineStr">
        <is>
          <t>2025-05</t>
        </is>
      </c>
      <c r="F4608" t="n">
        <v>72427.27800669991</v>
      </c>
    </row>
    <row r="4609">
      <c r="A4609" t="inlineStr">
        <is>
          <t>Milho</t>
        </is>
      </c>
      <c r="B4609" t="inlineStr">
        <is>
          <t>Sorriso - MT</t>
        </is>
      </c>
      <c r="C4609" t="n">
        <v>-12.5425</v>
      </c>
      <c r="D4609" t="n">
        <v>-55.7211</v>
      </c>
      <c r="E4609" t="inlineStr">
        <is>
          <t>2025-06</t>
        </is>
      </c>
      <c r="F4609" t="n">
        <v>63077.43605860526</v>
      </c>
    </row>
    <row r="4610">
      <c r="A4610" t="inlineStr">
        <is>
          <t>Milho</t>
        </is>
      </c>
      <c r="B4610" t="inlineStr">
        <is>
          <t>Sorriso - MT</t>
        </is>
      </c>
      <c r="C4610" t="n">
        <v>-12.5425</v>
      </c>
      <c r="D4610" t="n">
        <v>-55.7211</v>
      </c>
      <c r="E4610" t="inlineStr">
        <is>
          <t>2024-07</t>
        </is>
      </c>
      <c r="F4610" t="n">
        <v>0</v>
      </c>
    </row>
    <row r="4611">
      <c r="A4611" t="inlineStr">
        <is>
          <t>Milho</t>
        </is>
      </c>
      <c r="B4611" t="inlineStr">
        <is>
          <t>Sorriso - MT</t>
        </is>
      </c>
      <c r="C4611" t="n">
        <v>-12.5425</v>
      </c>
      <c r="D4611" t="n">
        <v>-55.7211</v>
      </c>
      <c r="E4611" t="inlineStr">
        <is>
          <t>2024-08</t>
        </is>
      </c>
      <c r="F4611" t="n">
        <v>0</v>
      </c>
    </row>
    <row r="4612">
      <c r="A4612" t="inlineStr">
        <is>
          <t>Milho</t>
        </is>
      </c>
      <c r="B4612" t="inlineStr">
        <is>
          <t>Sorriso - MT</t>
        </is>
      </c>
      <c r="C4612" t="n">
        <v>-12.5425</v>
      </c>
      <c r="D4612" t="n">
        <v>-55.7211</v>
      </c>
      <c r="E4612" t="inlineStr">
        <is>
          <t>2024-09</t>
        </is>
      </c>
      <c r="F4612" t="n">
        <v>0</v>
      </c>
    </row>
    <row r="4613">
      <c r="A4613" t="inlineStr">
        <is>
          <t>Milho</t>
        </is>
      </c>
      <c r="B4613" t="inlineStr">
        <is>
          <t>Sorriso - MT</t>
        </is>
      </c>
      <c r="C4613" t="n">
        <v>-12.5425</v>
      </c>
      <c r="D4613" t="n">
        <v>-55.7211</v>
      </c>
      <c r="E4613" t="inlineStr">
        <is>
          <t>2024-10</t>
        </is>
      </c>
      <c r="F4613" t="n">
        <v>0</v>
      </c>
    </row>
    <row r="4614">
      <c r="A4614" t="inlineStr">
        <is>
          <t>Milho</t>
        </is>
      </c>
      <c r="B4614" t="inlineStr">
        <is>
          <t>Sorriso - MT</t>
        </is>
      </c>
      <c r="C4614" t="n">
        <v>-12.5425</v>
      </c>
      <c r="D4614" t="n">
        <v>-55.7211</v>
      </c>
      <c r="E4614" t="inlineStr">
        <is>
          <t>2024-11</t>
        </is>
      </c>
      <c r="F4614" t="n">
        <v>0</v>
      </c>
    </row>
    <row r="4615">
      <c r="A4615" t="inlineStr">
        <is>
          <t>Milho</t>
        </is>
      </c>
      <c r="B4615" t="inlineStr">
        <is>
          <t>Sorriso - MT</t>
        </is>
      </c>
      <c r="C4615" t="n">
        <v>-12.5425</v>
      </c>
      <c r="D4615" t="n">
        <v>-55.7211</v>
      </c>
      <c r="E4615" t="inlineStr">
        <is>
          <t>2024-12</t>
        </is>
      </c>
      <c r="F4615" t="n">
        <v>0</v>
      </c>
    </row>
    <row r="4616">
      <c r="A4616" t="inlineStr">
        <is>
          <t>Milho</t>
        </is>
      </c>
      <c r="B4616" t="inlineStr">
        <is>
          <t>Santana do Araguaia - PA</t>
        </is>
      </c>
      <c r="C4616" t="n">
        <v>-9.328099999999999</v>
      </c>
      <c r="D4616" t="n">
        <v>-50.35</v>
      </c>
      <c r="E4616" t="inlineStr">
        <is>
          <t>2025-01</t>
        </is>
      </c>
      <c r="F4616" t="n">
        <v>0</v>
      </c>
    </row>
    <row r="4617">
      <c r="A4617" t="inlineStr">
        <is>
          <t>Milho</t>
        </is>
      </c>
      <c r="B4617" t="inlineStr">
        <is>
          <t>Santana do Araguaia - PA</t>
        </is>
      </c>
      <c r="C4617" t="n">
        <v>-9.328099999999999</v>
      </c>
      <c r="D4617" t="n">
        <v>-50.35</v>
      </c>
      <c r="E4617" t="inlineStr">
        <is>
          <t>2025-02</t>
        </is>
      </c>
      <c r="F4617" t="n">
        <v>358250.3495277015</v>
      </c>
    </row>
    <row r="4618">
      <c r="A4618" t="inlineStr">
        <is>
          <t>Milho</t>
        </is>
      </c>
      <c r="B4618" t="inlineStr">
        <is>
          <t>Santana do Araguaia - PA</t>
        </is>
      </c>
      <c r="C4618" t="n">
        <v>-9.328099999999999</v>
      </c>
      <c r="D4618" t="n">
        <v>-50.35</v>
      </c>
      <c r="E4618" t="inlineStr">
        <is>
          <t>2025-03</t>
        </is>
      </c>
      <c r="F4618" t="n">
        <v>209219.6582756982</v>
      </c>
    </row>
    <row r="4619">
      <c r="A4619" t="inlineStr">
        <is>
          <t>Milho</t>
        </is>
      </c>
      <c r="B4619" t="inlineStr">
        <is>
          <t>Santana do Araguaia - PA</t>
        </is>
      </c>
      <c r="C4619" t="n">
        <v>-9.328099999999999</v>
      </c>
      <c r="D4619" t="n">
        <v>-50.35</v>
      </c>
      <c r="E4619" t="inlineStr">
        <is>
          <t>2025-04</t>
        </is>
      </c>
      <c r="F4619" t="n">
        <v>290142.7229853699</v>
      </c>
    </row>
    <row r="4620">
      <c r="A4620" t="inlineStr">
        <is>
          <t>Milho</t>
        </is>
      </c>
      <c r="B4620" t="inlineStr">
        <is>
          <t>Santana do Araguaia - PA</t>
        </is>
      </c>
      <c r="C4620" t="n">
        <v>-9.328099999999999</v>
      </c>
      <c r="D4620" t="n">
        <v>-50.35</v>
      </c>
      <c r="E4620" t="inlineStr">
        <is>
          <t>2025-05</t>
        </is>
      </c>
      <c r="F4620" t="n">
        <v>159058.5410512292</v>
      </c>
    </row>
    <row r="4621">
      <c r="A4621" t="inlineStr">
        <is>
          <t>Milho</t>
        </is>
      </c>
      <c r="B4621" t="inlineStr">
        <is>
          <t>Santana do Araguaia - PA</t>
        </is>
      </c>
      <c r="C4621" t="n">
        <v>-9.328099999999999</v>
      </c>
      <c r="D4621" t="n">
        <v>-50.35</v>
      </c>
      <c r="E4621" t="inlineStr">
        <is>
          <t>2025-06</t>
        </is>
      </c>
      <c r="F4621" t="n">
        <v>83115.13475742533</v>
      </c>
    </row>
    <row r="4622">
      <c r="A4622" t="inlineStr">
        <is>
          <t>Milho</t>
        </is>
      </c>
      <c r="B4622" t="inlineStr">
        <is>
          <t>Santana do Araguaia - PA</t>
        </is>
      </c>
      <c r="C4622" t="n">
        <v>-9.328099999999999</v>
      </c>
      <c r="D4622" t="n">
        <v>-50.35</v>
      </c>
      <c r="E4622" t="inlineStr">
        <is>
          <t>2024-07</t>
        </is>
      </c>
      <c r="F4622" t="n">
        <v>0</v>
      </c>
    </row>
    <row r="4623">
      <c r="A4623" t="inlineStr">
        <is>
          <t>Milho</t>
        </is>
      </c>
      <c r="B4623" t="inlineStr">
        <is>
          <t>Santana do Araguaia - PA</t>
        </is>
      </c>
      <c r="C4623" t="n">
        <v>-9.328099999999999</v>
      </c>
      <c r="D4623" t="n">
        <v>-50.35</v>
      </c>
      <c r="E4623" t="inlineStr">
        <is>
          <t>2024-08</t>
        </is>
      </c>
      <c r="F4623" t="n">
        <v>0</v>
      </c>
    </row>
    <row r="4624">
      <c r="A4624" t="inlineStr">
        <is>
          <t>Milho</t>
        </is>
      </c>
      <c r="B4624" t="inlineStr">
        <is>
          <t>Santana do Araguaia - PA</t>
        </is>
      </c>
      <c r="C4624" t="n">
        <v>-9.328099999999999</v>
      </c>
      <c r="D4624" t="n">
        <v>-50.35</v>
      </c>
      <c r="E4624" t="inlineStr">
        <is>
          <t>2024-09</t>
        </is>
      </c>
      <c r="F4624" t="n">
        <v>0</v>
      </c>
    </row>
    <row r="4625">
      <c r="A4625" t="inlineStr">
        <is>
          <t>Milho</t>
        </is>
      </c>
      <c r="B4625" t="inlineStr">
        <is>
          <t>Santana do Araguaia - PA</t>
        </is>
      </c>
      <c r="C4625" t="n">
        <v>-9.328099999999999</v>
      </c>
      <c r="D4625" t="n">
        <v>-50.35</v>
      </c>
      <c r="E4625" t="inlineStr">
        <is>
          <t>2024-10</t>
        </is>
      </c>
      <c r="F4625" t="n">
        <v>0</v>
      </c>
    </row>
    <row r="4626">
      <c r="A4626" t="inlineStr">
        <is>
          <t>Milho</t>
        </is>
      </c>
      <c r="B4626" t="inlineStr">
        <is>
          <t>Santana do Araguaia - PA</t>
        </is>
      </c>
      <c r="C4626" t="n">
        <v>-9.328099999999999</v>
      </c>
      <c r="D4626" t="n">
        <v>-50.35</v>
      </c>
      <c r="E4626" t="inlineStr">
        <is>
          <t>2024-11</t>
        </is>
      </c>
      <c r="F4626" t="n">
        <v>0</v>
      </c>
    </row>
    <row r="4627">
      <c r="A4627" t="inlineStr">
        <is>
          <t>Milho</t>
        </is>
      </c>
      <c r="B4627" t="inlineStr">
        <is>
          <t>Santana do Araguaia - PA</t>
        </is>
      </c>
      <c r="C4627" t="n">
        <v>-9.328099999999999</v>
      </c>
      <c r="D4627" t="n">
        <v>-50.35</v>
      </c>
      <c r="E4627" t="inlineStr">
        <is>
          <t>2024-12</t>
        </is>
      </c>
      <c r="F4627" t="n">
        <v>0</v>
      </c>
    </row>
    <row r="4628">
      <c r="A4628" t="inlineStr">
        <is>
          <t>Milho</t>
        </is>
      </c>
      <c r="B4628" t="inlineStr">
        <is>
          <t>Exu - PE</t>
        </is>
      </c>
      <c r="C4628" t="n">
        <v>-7.50364</v>
      </c>
      <c r="D4628" t="n">
        <v>-39.7238</v>
      </c>
      <c r="E4628" t="inlineStr">
        <is>
          <t>2025-01</t>
        </is>
      </c>
      <c r="F4628" t="n">
        <v>0</v>
      </c>
    </row>
    <row r="4629">
      <c r="A4629" t="inlineStr">
        <is>
          <t>Milho</t>
        </is>
      </c>
      <c r="B4629" t="inlineStr">
        <is>
          <t>Exu - PE</t>
        </is>
      </c>
      <c r="C4629" t="n">
        <v>-7.50364</v>
      </c>
      <c r="D4629" t="n">
        <v>-39.7238</v>
      </c>
      <c r="E4629" t="inlineStr">
        <is>
          <t>2025-02</t>
        </is>
      </c>
      <c r="F4629" t="n">
        <v>0</v>
      </c>
    </row>
    <row r="4630">
      <c r="A4630" t="inlineStr">
        <is>
          <t>Milho</t>
        </is>
      </c>
      <c r="B4630" t="inlineStr">
        <is>
          <t>Exu - PE</t>
        </is>
      </c>
      <c r="C4630" t="n">
        <v>-7.50364</v>
      </c>
      <c r="D4630" t="n">
        <v>-39.7238</v>
      </c>
      <c r="E4630" t="inlineStr">
        <is>
          <t>2025-03</t>
        </is>
      </c>
      <c r="F4630" t="n">
        <v>0</v>
      </c>
    </row>
    <row r="4631">
      <c r="A4631" t="inlineStr">
        <is>
          <t>Milho</t>
        </is>
      </c>
      <c r="B4631" t="inlineStr">
        <is>
          <t>Exu - PE</t>
        </is>
      </c>
      <c r="C4631" t="n">
        <v>-7.50364</v>
      </c>
      <c r="D4631" t="n">
        <v>-39.7238</v>
      </c>
      <c r="E4631" t="inlineStr">
        <is>
          <t>2025-04</t>
        </is>
      </c>
      <c r="F4631" t="n">
        <v>0</v>
      </c>
    </row>
    <row r="4632">
      <c r="A4632" t="inlineStr">
        <is>
          <t>Milho</t>
        </is>
      </c>
      <c r="B4632" t="inlineStr">
        <is>
          <t>Exu - PE</t>
        </is>
      </c>
      <c r="C4632" t="n">
        <v>-7.50364</v>
      </c>
      <c r="D4632" t="n">
        <v>-39.7238</v>
      </c>
      <c r="E4632" t="inlineStr">
        <is>
          <t>2025-05</t>
        </is>
      </c>
      <c r="F4632" t="n">
        <v>0</v>
      </c>
    </row>
    <row r="4633">
      <c r="A4633" t="inlineStr">
        <is>
          <t>Milho</t>
        </is>
      </c>
      <c r="B4633" t="inlineStr">
        <is>
          <t>Exu - PE</t>
        </is>
      </c>
      <c r="C4633" t="n">
        <v>-7.50364</v>
      </c>
      <c r="D4633" t="n">
        <v>-39.7238</v>
      </c>
      <c r="E4633" t="inlineStr">
        <is>
          <t>2025-06</t>
        </is>
      </c>
      <c r="F4633" t="n">
        <v>0</v>
      </c>
    </row>
    <row r="4634">
      <c r="A4634" t="inlineStr">
        <is>
          <t>Milho</t>
        </is>
      </c>
      <c r="B4634" t="inlineStr">
        <is>
          <t>Exu - PE</t>
        </is>
      </c>
      <c r="C4634" t="n">
        <v>-7.50364</v>
      </c>
      <c r="D4634" t="n">
        <v>-39.7238</v>
      </c>
      <c r="E4634" t="inlineStr">
        <is>
          <t>2024-07</t>
        </is>
      </c>
      <c r="F4634" t="n">
        <v>0</v>
      </c>
    </row>
    <row r="4635">
      <c r="A4635" t="inlineStr">
        <is>
          <t>Milho</t>
        </is>
      </c>
      <c r="B4635" t="inlineStr">
        <is>
          <t>Exu - PE</t>
        </is>
      </c>
      <c r="C4635" t="n">
        <v>-7.50364</v>
      </c>
      <c r="D4635" t="n">
        <v>-39.7238</v>
      </c>
      <c r="E4635" t="inlineStr">
        <is>
          <t>2024-08</t>
        </is>
      </c>
      <c r="F4635" t="n">
        <v>0</v>
      </c>
    </row>
    <row r="4636">
      <c r="A4636" t="inlineStr">
        <is>
          <t>Milho</t>
        </is>
      </c>
      <c r="B4636" t="inlineStr">
        <is>
          <t>Exu - PE</t>
        </is>
      </c>
      <c r="C4636" t="n">
        <v>-7.50364</v>
      </c>
      <c r="D4636" t="n">
        <v>-39.7238</v>
      </c>
      <c r="E4636" t="inlineStr">
        <is>
          <t>2024-09</t>
        </is>
      </c>
      <c r="F4636" t="n">
        <v>0</v>
      </c>
    </row>
    <row r="4637">
      <c r="A4637" t="inlineStr">
        <is>
          <t>Milho</t>
        </is>
      </c>
      <c r="B4637" t="inlineStr">
        <is>
          <t>Exu - PE</t>
        </is>
      </c>
      <c r="C4637" t="n">
        <v>-7.50364</v>
      </c>
      <c r="D4637" t="n">
        <v>-39.7238</v>
      </c>
      <c r="E4637" t="inlineStr">
        <is>
          <t>2024-10</t>
        </is>
      </c>
      <c r="F4637" t="n">
        <v>0</v>
      </c>
    </row>
    <row r="4638">
      <c r="A4638" t="inlineStr">
        <is>
          <t>Milho</t>
        </is>
      </c>
      <c r="B4638" t="inlineStr">
        <is>
          <t>Exu - PE</t>
        </is>
      </c>
      <c r="C4638" t="n">
        <v>-7.50364</v>
      </c>
      <c r="D4638" t="n">
        <v>-39.7238</v>
      </c>
      <c r="E4638" t="inlineStr">
        <is>
          <t>2024-11</t>
        </is>
      </c>
      <c r="F4638" t="n">
        <v>0</v>
      </c>
    </row>
    <row r="4639">
      <c r="A4639" t="inlineStr">
        <is>
          <t>Milho</t>
        </is>
      </c>
      <c r="B4639" t="inlineStr">
        <is>
          <t>Exu - PE</t>
        </is>
      </c>
      <c r="C4639" t="n">
        <v>-7.50364</v>
      </c>
      <c r="D4639" t="n">
        <v>-39.7238</v>
      </c>
      <c r="E4639" t="inlineStr">
        <is>
          <t>2024-12</t>
        </is>
      </c>
      <c r="F4639" t="n">
        <v>0</v>
      </c>
    </row>
    <row r="4640">
      <c r="A4640" t="inlineStr">
        <is>
          <t>Milho</t>
        </is>
      </c>
      <c r="B4640" t="inlineStr">
        <is>
          <t>Baixa Grande do Ribeiro - PI</t>
        </is>
      </c>
      <c r="C4640" t="n">
        <v>-7.84903</v>
      </c>
      <c r="D4640" t="n">
        <v>-45.219</v>
      </c>
      <c r="E4640" t="inlineStr">
        <is>
          <t>2025-01</t>
        </is>
      </c>
      <c r="F4640" t="n">
        <v>0</v>
      </c>
    </row>
    <row r="4641">
      <c r="A4641" t="inlineStr">
        <is>
          <t>Milho</t>
        </is>
      </c>
      <c r="B4641" t="inlineStr">
        <is>
          <t>Baixa Grande do Ribeiro - PI</t>
        </is>
      </c>
      <c r="C4641" t="n">
        <v>-7.84903</v>
      </c>
      <c r="D4641" t="n">
        <v>-45.219</v>
      </c>
      <c r="E4641" t="inlineStr">
        <is>
          <t>2025-02</t>
        </is>
      </c>
      <c r="F4641" t="n">
        <v>321964.217265539</v>
      </c>
    </row>
    <row r="4642">
      <c r="A4642" t="inlineStr">
        <is>
          <t>Milho</t>
        </is>
      </c>
      <c r="B4642" t="inlineStr">
        <is>
          <t>Baixa Grande do Ribeiro - PI</t>
        </is>
      </c>
      <c r="C4642" t="n">
        <v>-7.84903</v>
      </c>
      <c r="D4642" t="n">
        <v>-45.219</v>
      </c>
      <c r="E4642" t="inlineStr">
        <is>
          <t>2025-03</t>
        </is>
      </c>
      <c r="F4642" t="n">
        <v>376056.8194956643</v>
      </c>
    </row>
    <row r="4643">
      <c r="A4643" t="inlineStr">
        <is>
          <t>Milho</t>
        </is>
      </c>
      <c r="B4643" t="inlineStr">
        <is>
          <t>Baixa Grande do Ribeiro - PI</t>
        </is>
      </c>
      <c r="C4643" t="n">
        <v>-7.84903</v>
      </c>
      <c r="D4643" t="n">
        <v>-45.219</v>
      </c>
      <c r="E4643" t="inlineStr">
        <is>
          <t>2025-04</t>
        </is>
      </c>
      <c r="F4643" t="n">
        <v>521510.0268537404</v>
      </c>
    </row>
    <row r="4644">
      <c r="A4644" t="inlineStr">
        <is>
          <t>Milho</t>
        </is>
      </c>
      <c r="B4644" t="inlineStr">
        <is>
          <t>Baixa Grande do Ribeiro - PI</t>
        </is>
      </c>
      <c r="C4644" t="n">
        <v>-7.84903</v>
      </c>
      <c r="D4644" t="n">
        <v>-45.219</v>
      </c>
      <c r="E4644" t="inlineStr">
        <is>
          <t>2025-05</t>
        </is>
      </c>
      <c r="F4644" t="n">
        <v>285895.9313590161</v>
      </c>
    </row>
    <row r="4645">
      <c r="A4645" t="inlineStr">
        <is>
          <t>Milho</t>
        </is>
      </c>
      <c r="B4645" t="inlineStr">
        <is>
          <t>Baixa Grande do Ribeiro - PI</t>
        </is>
      </c>
      <c r="C4645" t="n">
        <v>-7.84903</v>
      </c>
      <c r="D4645" t="n">
        <v>-45.219</v>
      </c>
      <c r="E4645" t="inlineStr">
        <is>
          <t>2025-06</t>
        </is>
      </c>
      <c r="F4645" t="n">
        <v>149393.2906994975</v>
      </c>
    </row>
    <row r="4646">
      <c r="A4646" t="inlineStr">
        <is>
          <t>Milho</t>
        </is>
      </c>
      <c r="B4646" t="inlineStr">
        <is>
          <t>Baixa Grande do Ribeiro - PI</t>
        </is>
      </c>
      <c r="C4646" t="n">
        <v>-7.84903</v>
      </c>
      <c r="D4646" t="n">
        <v>-45.219</v>
      </c>
      <c r="E4646" t="inlineStr">
        <is>
          <t>2024-07</t>
        </is>
      </c>
      <c r="F4646" t="n">
        <v>0</v>
      </c>
    </row>
    <row r="4647">
      <c r="A4647" t="inlineStr">
        <is>
          <t>Milho</t>
        </is>
      </c>
      <c r="B4647" t="inlineStr">
        <is>
          <t>Baixa Grande do Ribeiro - PI</t>
        </is>
      </c>
      <c r="C4647" t="n">
        <v>-7.84903</v>
      </c>
      <c r="D4647" t="n">
        <v>-45.219</v>
      </c>
      <c r="E4647" t="inlineStr">
        <is>
          <t>2024-08</t>
        </is>
      </c>
      <c r="F4647" t="n">
        <v>0</v>
      </c>
    </row>
    <row r="4648">
      <c r="A4648" t="inlineStr">
        <is>
          <t>Milho</t>
        </is>
      </c>
      <c r="B4648" t="inlineStr">
        <is>
          <t>Baixa Grande do Ribeiro - PI</t>
        </is>
      </c>
      <c r="C4648" t="n">
        <v>-7.84903</v>
      </c>
      <c r="D4648" t="n">
        <v>-45.219</v>
      </c>
      <c r="E4648" t="inlineStr">
        <is>
          <t>2024-09</t>
        </is>
      </c>
      <c r="F4648" t="n">
        <v>0</v>
      </c>
    </row>
    <row r="4649">
      <c r="A4649" t="inlineStr">
        <is>
          <t>Milho</t>
        </is>
      </c>
      <c r="B4649" t="inlineStr">
        <is>
          <t>Baixa Grande do Ribeiro - PI</t>
        </is>
      </c>
      <c r="C4649" t="n">
        <v>-7.84903</v>
      </c>
      <c r="D4649" t="n">
        <v>-45.219</v>
      </c>
      <c r="E4649" t="inlineStr">
        <is>
          <t>2024-10</t>
        </is>
      </c>
      <c r="F4649" t="n">
        <v>0</v>
      </c>
    </row>
    <row r="4650">
      <c r="A4650" t="inlineStr">
        <is>
          <t>Milho</t>
        </is>
      </c>
      <c r="B4650" t="inlineStr">
        <is>
          <t>Baixa Grande do Ribeiro - PI</t>
        </is>
      </c>
      <c r="C4650" t="n">
        <v>-7.84903</v>
      </c>
      <c r="D4650" t="n">
        <v>-45.219</v>
      </c>
      <c r="E4650" t="inlineStr">
        <is>
          <t>2024-11</t>
        </is>
      </c>
      <c r="F4650" t="n">
        <v>0</v>
      </c>
    </row>
    <row r="4651">
      <c r="A4651" t="inlineStr">
        <is>
          <t>Milho</t>
        </is>
      </c>
      <c r="B4651" t="inlineStr">
        <is>
          <t>Baixa Grande do Ribeiro - PI</t>
        </is>
      </c>
      <c r="C4651" t="n">
        <v>-7.84903</v>
      </c>
      <c r="D4651" t="n">
        <v>-45.219</v>
      </c>
      <c r="E4651" t="inlineStr">
        <is>
          <t>2024-12</t>
        </is>
      </c>
      <c r="F4651" t="n">
        <v>0</v>
      </c>
    </row>
    <row r="4652">
      <c r="A4652" t="inlineStr">
        <is>
          <t>Milho</t>
        </is>
      </c>
      <c r="B4652" t="inlineStr">
        <is>
          <t>Toledo - PR</t>
        </is>
      </c>
      <c r="C4652" t="n">
        <v>-24.7246</v>
      </c>
      <c r="D4652" t="n">
        <v>-53.7412</v>
      </c>
      <c r="E4652" t="inlineStr">
        <is>
          <t>2025-01</t>
        </is>
      </c>
      <c r="F4652" t="n">
        <v>1816789.234320523</v>
      </c>
    </row>
    <row r="4653">
      <c r="A4653" t="inlineStr">
        <is>
          <t>Milho</t>
        </is>
      </c>
      <c r="B4653" t="inlineStr">
        <is>
          <t>Toledo - PR</t>
        </is>
      </c>
      <c r="C4653" t="n">
        <v>-24.7246</v>
      </c>
      <c r="D4653" t="n">
        <v>-53.7412</v>
      </c>
      <c r="E4653" t="inlineStr">
        <is>
          <t>2025-02</t>
        </is>
      </c>
      <c r="F4653" t="n">
        <v>1133434.137063022</v>
      </c>
    </row>
    <row r="4654">
      <c r="A4654" t="inlineStr">
        <is>
          <t>Milho</t>
        </is>
      </c>
      <c r="B4654" t="inlineStr">
        <is>
          <t>Toledo - PR</t>
        </is>
      </c>
      <c r="C4654" t="n">
        <v>-24.7246</v>
      </c>
      <c r="D4654" t="n">
        <v>-53.7412</v>
      </c>
      <c r="E4654" t="inlineStr">
        <is>
          <t>2025-03</t>
        </is>
      </c>
      <c r="F4654" t="n">
        <v>1103216.894493683</v>
      </c>
    </row>
    <row r="4655">
      <c r="A4655" t="inlineStr">
        <is>
          <t>Milho</t>
        </is>
      </c>
      <c r="B4655" t="inlineStr">
        <is>
          <t>Toledo - PR</t>
        </is>
      </c>
      <c r="C4655" t="n">
        <v>-24.7246</v>
      </c>
      <c r="D4655" t="n">
        <v>-53.7412</v>
      </c>
      <c r="E4655" t="inlineStr">
        <is>
          <t>2025-04</t>
        </is>
      </c>
      <c r="F4655" t="n">
        <v>917954.9085872129</v>
      </c>
    </row>
    <row r="4656">
      <c r="A4656" t="inlineStr">
        <is>
          <t>Milho</t>
        </is>
      </c>
      <c r="B4656" t="inlineStr">
        <is>
          <t>Toledo - PR</t>
        </is>
      </c>
      <c r="C4656" t="n">
        <v>-24.7246</v>
      </c>
      <c r="D4656" t="n">
        <v>-53.7412</v>
      </c>
      <c r="E4656" t="inlineStr">
        <is>
          <t>2025-05</t>
        </is>
      </c>
      <c r="F4656" t="n">
        <v>301938.0951726828</v>
      </c>
    </row>
    <row r="4657">
      <c r="A4657" t="inlineStr">
        <is>
          <t>Milho</t>
        </is>
      </c>
      <c r="B4657" t="inlineStr">
        <is>
          <t>Toledo - PR</t>
        </is>
      </c>
      <c r="C4657" t="n">
        <v>-24.7246</v>
      </c>
      <c r="D4657" t="n">
        <v>-53.7412</v>
      </c>
      <c r="E4657" t="inlineStr">
        <is>
          <t>2025-06</t>
        </is>
      </c>
      <c r="F4657" t="n">
        <v>131480.026697608</v>
      </c>
    </row>
    <row r="4658">
      <c r="A4658" t="inlineStr">
        <is>
          <t>Milho</t>
        </is>
      </c>
      <c r="B4658" t="inlineStr">
        <is>
          <t>Toledo - PR</t>
        </is>
      </c>
      <c r="C4658" t="n">
        <v>-24.7246</v>
      </c>
      <c r="D4658" t="n">
        <v>-53.7412</v>
      </c>
      <c r="E4658" t="inlineStr">
        <is>
          <t>2024-07</t>
        </is>
      </c>
      <c r="F4658" t="n">
        <v>0</v>
      </c>
    </row>
    <row r="4659">
      <c r="A4659" t="inlineStr">
        <is>
          <t>Milho</t>
        </is>
      </c>
      <c r="B4659" t="inlineStr">
        <is>
          <t>Toledo - PR</t>
        </is>
      </c>
      <c r="C4659" t="n">
        <v>-24.7246</v>
      </c>
      <c r="D4659" t="n">
        <v>-53.7412</v>
      </c>
      <c r="E4659" t="inlineStr">
        <is>
          <t>2024-08</t>
        </is>
      </c>
      <c r="F4659" t="n">
        <v>0</v>
      </c>
    </row>
    <row r="4660">
      <c r="A4660" t="inlineStr">
        <is>
          <t>Milho</t>
        </is>
      </c>
      <c r="B4660" t="inlineStr">
        <is>
          <t>Toledo - PR</t>
        </is>
      </c>
      <c r="C4660" t="n">
        <v>-24.7246</v>
      </c>
      <c r="D4660" t="n">
        <v>-53.7412</v>
      </c>
      <c r="E4660" t="inlineStr">
        <is>
          <t>2024-09</t>
        </is>
      </c>
      <c r="F4660" t="n">
        <v>0</v>
      </c>
    </row>
    <row r="4661">
      <c r="A4661" t="inlineStr">
        <is>
          <t>Milho</t>
        </is>
      </c>
      <c r="B4661" t="inlineStr">
        <is>
          <t>Toledo - PR</t>
        </is>
      </c>
      <c r="C4661" t="n">
        <v>-24.7246</v>
      </c>
      <c r="D4661" t="n">
        <v>-53.7412</v>
      </c>
      <c r="E4661" t="inlineStr">
        <is>
          <t>2024-10</t>
        </is>
      </c>
      <c r="F4661" t="n">
        <v>0</v>
      </c>
    </row>
    <row r="4662">
      <c r="A4662" t="inlineStr">
        <is>
          <t>Milho</t>
        </is>
      </c>
      <c r="B4662" t="inlineStr">
        <is>
          <t>Toledo - PR</t>
        </is>
      </c>
      <c r="C4662" t="n">
        <v>-24.7246</v>
      </c>
      <c r="D4662" t="n">
        <v>-53.7412</v>
      </c>
      <c r="E4662" t="inlineStr">
        <is>
          <t>2024-11</t>
        </is>
      </c>
      <c r="F4662" t="n">
        <v>0</v>
      </c>
    </row>
    <row r="4663">
      <c r="A4663" t="inlineStr">
        <is>
          <t>Milho</t>
        </is>
      </c>
      <c r="B4663" t="inlineStr">
        <is>
          <t>Toledo - PR</t>
        </is>
      </c>
      <c r="C4663" t="n">
        <v>-24.7246</v>
      </c>
      <c r="D4663" t="n">
        <v>-53.7412</v>
      </c>
      <c r="E4663" t="inlineStr">
        <is>
          <t>2024-12</t>
        </is>
      </c>
      <c r="F4663" t="n">
        <v>1832861.922028222</v>
      </c>
    </row>
    <row r="4664">
      <c r="A4664" t="inlineStr">
        <is>
          <t>Milho</t>
        </is>
      </c>
      <c r="B4664" t="inlineStr">
        <is>
          <t>Macaé - RJ</t>
        </is>
      </c>
      <c r="C4664" t="n">
        <v>-22.3768</v>
      </c>
      <c r="D4664" t="n">
        <v>-41.7848</v>
      </c>
      <c r="E4664" t="inlineStr">
        <is>
          <t>2025-01</t>
        </is>
      </c>
      <c r="F4664" t="n">
        <v>0</v>
      </c>
    </row>
    <row r="4665">
      <c r="A4665" t="inlineStr">
        <is>
          <t>Milho</t>
        </is>
      </c>
      <c r="B4665" t="inlineStr">
        <is>
          <t>Macaé - RJ</t>
        </is>
      </c>
      <c r="C4665" t="n">
        <v>-22.3768</v>
      </c>
      <c r="D4665" t="n">
        <v>-41.7848</v>
      </c>
      <c r="E4665" t="inlineStr">
        <is>
          <t>2025-02</t>
        </is>
      </c>
      <c r="F4665" t="n">
        <v>3700.703405553646</v>
      </c>
    </row>
    <row r="4666">
      <c r="A4666" t="inlineStr">
        <is>
          <t>Milho</t>
        </is>
      </c>
      <c r="B4666" t="inlineStr">
        <is>
          <t>Macaé - RJ</t>
        </is>
      </c>
      <c r="C4666" t="n">
        <v>-22.3768</v>
      </c>
      <c r="D4666" t="n">
        <v>-41.7848</v>
      </c>
      <c r="E4666" t="inlineStr">
        <is>
          <t>2025-03</t>
        </is>
      </c>
      <c r="F4666" t="n">
        <v>3602.043016893959</v>
      </c>
    </row>
    <row r="4667">
      <c r="A4667" t="inlineStr">
        <is>
          <t>Milho</t>
        </is>
      </c>
      <c r="B4667" t="inlineStr">
        <is>
          <t>Macaé - RJ</t>
        </is>
      </c>
      <c r="C4667" t="n">
        <v>-22.3768</v>
      </c>
      <c r="D4667" t="n">
        <v>-41.7848</v>
      </c>
      <c r="E4667" t="inlineStr">
        <is>
          <t>2025-04</t>
        </is>
      </c>
      <c r="F4667" t="n">
        <v>2997.155939873105</v>
      </c>
    </row>
    <row r="4668">
      <c r="A4668" t="inlineStr">
        <is>
          <t>Milho</t>
        </is>
      </c>
      <c r="B4668" t="inlineStr">
        <is>
          <t>Macaé - RJ</t>
        </is>
      </c>
      <c r="C4668" t="n">
        <v>-22.3768</v>
      </c>
      <c r="D4668" t="n">
        <v>-41.7848</v>
      </c>
      <c r="E4668" t="inlineStr">
        <is>
          <t>2025-05</t>
        </is>
      </c>
      <c r="F4668" t="n">
        <v>985.838788980994</v>
      </c>
    </row>
    <row r="4669">
      <c r="A4669" t="inlineStr">
        <is>
          <t>Milho</t>
        </is>
      </c>
      <c r="B4669" t="inlineStr">
        <is>
          <t>Macaé - RJ</t>
        </is>
      </c>
      <c r="C4669" t="n">
        <v>-22.3768</v>
      </c>
      <c r="D4669" t="n">
        <v>-41.7848</v>
      </c>
      <c r="E4669" t="inlineStr">
        <is>
          <t>2025-06</t>
        </is>
      </c>
      <c r="F4669" t="n">
        <v>0</v>
      </c>
    </row>
    <row r="4670">
      <c r="A4670" t="inlineStr">
        <is>
          <t>Milho</t>
        </is>
      </c>
      <c r="B4670" t="inlineStr">
        <is>
          <t>Macaé - RJ</t>
        </is>
      </c>
      <c r="C4670" t="n">
        <v>-22.3768</v>
      </c>
      <c r="D4670" t="n">
        <v>-41.7848</v>
      </c>
      <c r="E4670" t="inlineStr">
        <is>
          <t>2024-07</t>
        </is>
      </c>
      <c r="F4670" t="n">
        <v>0</v>
      </c>
    </row>
    <row r="4671">
      <c r="A4671" t="inlineStr">
        <is>
          <t>Milho</t>
        </is>
      </c>
      <c r="B4671" t="inlineStr">
        <is>
          <t>Macaé - RJ</t>
        </is>
      </c>
      <c r="C4671" t="n">
        <v>-22.3768</v>
      </c>
      <c r="D4671" t="n">
        <v>-41.7848</v>
      </c>
      <c r="E4671" t="inlineStr">
        <is>
          <t>2024-08</t>
        </is>
      </c>
      <c r="F4671" t="n">
        <v>0</v>
      </c>
    </row>
    <row r="4672">
      <c r="A4672" t="inlineStr">
        <is>
          <t>Milho</t>
        </is>
      </c>
      <c r="B4672" t="inlineStr">
        <is>
          <t>Macaé - RJ</t>
        </is>
      </c>
      <c r="C4672" t="n">
        <v>-22.3768</v>
      </c>
      <c r="D4672" t="n">
        <v>-41.7848</v>
      </c>
      <c r="E4672" t="inlineStr">
        <is>
          <t>2024-09</t>
        </is>
      </c>
      <c r="F4672" t="n">
        <v>0</v>
      </c>
    </row>
    <row r="4673">
      <c r="A4673" t="inlineStr">
        <is>
          <t>Milho</t>
        </is>
      </c>
      <c r="B4673" t="inlineStr">
        <is>
          <t>Macaé - RJ</t>
        </is>
      </c>
      <c r="C4673" t="n">
        <v>-22.3768</v>
      </c>
      <c r="D4673" t="n">
        <v>-41.7848</v>
      </c>
      <c r="E4673" t="inlineStr">
        <is>
          <t>2024-10</t>
        </is>
      </c>
      <c r="F4673" t="n">
        <v>0</v>
      </c>
    </row>
    <row r="4674">
      <c r="A4674" t="inlineStr">
        <is>
          <t>Milho</t>
        </is>
      </c>
      <c r="B4674" t="inlineStr">
        <is>
          <t>Macaé - RJ</t>
        </is>
      </c>
      <c r="C4674" t="n">
        <v>-22.3768</v>
      </c>
      <c r="D4674" t="n">
        <v>-41.7848</v>
      </c>
      <c r="E4674" t="inlineStr">
        <is>
          <t>2024-11</t>
        </is>
      </c>
      <c r="F4674" t="n">
        <v>0</v>
      </c>
    </row>
    <row r="4675">
      <c r="A4675" t="inlineStr">
        <is>
          <t>Milho</t>
        </is>
      </c>
      <c r="B4675" t="inlineStr">
        <is>
          <t>Macaé - RJ</t>
        </is>
      </c>
      <c r="C4675" t="n">
        <v>-22.3768</v>
      </c>
      <c r="D4675" t="n">
        <v>-41.7848</v>
      </c>
      <c r="E4675" t="inlineStr">
        <is>
          <t>2024-12</t>
        </is>
      </c>
      <c r="F4675" t="n">
        <v>0</v>
      </c>
    </row>
    <row r="4676">
      <c r="A4676" t="inlineStr">
        <is>
          <t>Milho</t>
        </is>
      </c>
      <c r="B4676" t="inlineStr">
        <is>
          <t>Pimenteiras do Oeste - RO</t>
        </is>
      </c>
      <c r="C4676" t="n">
        <v>-13.4823</v>
      </c>
      <c r="D4676" t="n">
        <v>-61.0471</v>
      </c>
      <c r="E4676" t="inlineStr">
        <is>
          <t>2025-01</t>
        </is>
      </c>
      <c r="F4676" t="n">
        <v>40675.76561794992</v>
      </c>
    </row>
    <row r="4677">
      <c r="A4677" t="inlineStr">
        <is>
          <t>Milho</t>
        </is>
      </c>
      <c r="B4677" t="inlineStr">
        <is>
          <t>Pimenteiras do Oeste - RO</t>
        </is>
      </c>
      <c r="C4677" t="n">
        <v>-13.4823</v>
      </c>
      <c r="D4677" t="n">
        <v>-61.0471</v>
      </c>
      <c r="E4677" t="inlineStr">
        <is>
          <t>2025-02</t>
        </is>
      </c>
      <c r="F4677" t="n">
        <v>59211.25448885833</v>
      </c>
    </row>
    <row r="4678">
      <c r="A4678" t="inlineStr">
        <is>
          <t>Milho</t>
        </is>
      </c>
      <c r="B4678" t="inlineStr">
        <is>
          <t>Pimenteiras do Oeste - RO</t>
        </is>
      </c>
      <c r="C4678" t="n">
        <v>-13.4823</v>
      </c>
      <c r="D4678" t="n">
        <v>-61.0471</v>
      </c>
      <c r="E4678" t="inlineStr">
        <is>
          <t>2025-03</t>
        </is>
      </c>
      <c r="F4678" t="n">
        <v>14819.83412664943</v>
      </c>
    </row>
    <row r="4679">
      <c r="A4679" t="inlineStr">
        <is>
          <t>Milho</t>
        </is>
      </c>
      <c r="B4679" t="inlineStr">
        <is>
          <t>Pimenteiras do Oeste - RO</t>
        </is>
      </c>
      <c r="C4679" t="n">
        <v>-13.4823</v>
      </c>
      <c r="D4679" t="n">
        <v>-61.0471</v>
      </c>
      <c r="E4679" t="inlineStr">
        <is>
          <t>2025-04</t>
        </is>
      </c>
      <c r="F4679" t="n">
        <v>12331.15586690649</v>
      </c>
    </row>
    <row r="4680">
      <c r="A4680" t="inlineStr">
        <is>
          <t>Milho</t>
        </is>
      </c>
      <c r="B4680" t="inlineStr">
        <is>
          <t>Pimenteiras do Oeste - RO</t>
        </is>
      </c>
      <c r="C4680" t="n">
        <v>-13.4823</v>
      </c>
      <c r="D4680" t="n">
        <v>-61.0471</v>
      </c>
      <c r="E4680" t="inlineStr">
        <is>
          <t>2025-05</t>
        </is>
      </c>
      <c r="F4680" t="n">
        <v>0</v>
      </c>
    </row>
    <row r="4681">
      <c r="A4681" t="inlineStr">
        <is>
          <t>Milho</t>
        </is>
      </c>
      <c r="B4681" t="inlineStr">
        <is>
          <t>Pimenteiras do Oeste - RO</t>
        </is>
      </c>
      <c r="C4681" t="n">
        <v>-13.4823</v>
      </c>
      <c r="D4681" t="n">
        <v>-61.0471</v>
      </c>
      <c r="E4681" t="inlineStr">
        <is>
          <t>2025-06</t>
        </is>
      </c>
      <c r="F4681" t="n">
        <v>0</v>
      </c>
    </row>
    <row r="4682">
      <c r="A4682" t="inlineStr">
        <is>
          <t>Milho</t>
        </is>
      </c>
      <c r="B4682" t="inlineStr">
        <is>
          <t>Pimenteiras do Oeste - RO</t>
        </is>
      </c>
      <c r="C4682" t="n">
        <v>-13.4823</v>
      </c>
      <c r="D4682" t="n">
        <v>-61.0471</v>
      </c>
      <c r="E4682" t="inlineStr">
        <is>
          <t>2024-07</t>
        </is>
      </c>
      <c r="F4682" t="n">
        <v>0</v>
      </c>
    </row>
    <row r="4683">
      <c r="A4683" t="inlineStr">
        <is>
          <t>Milho</t>
        </is>
      </c>
      <c r="B4683" t="inlineStr">
        <is>
          <t>Pimenteiras do Oeste - RO</t>
        </is>
      </c>
      <c r="C4683" t="n">
        <v>-13.4823</v>
      </c>
      <c r="D4683" t="n">
        <v>-61.0471</v>
      </c>
      <c r="E4683" t="inlineStr">
        <is>
          <t>2024-08</t>
        </is>
      </c>
      <c r="F4683" t="n">
        <v>0</v>
      </c>
    </row>
    <row r="4684">
      <c r="A4684" t="inlineStr">
        <is>
          <t>Milho</t>
        </is>
      </c>
      <c r="B4684" t="inlineStr">
        <is>
          <t>Pimenteiras do Oeste - RO</t>
        </is>
      </c>
      <c r="C4684" t="n">
        <v>-13.4823</v>
      </c>
      <c r="D4684" t="n">
        <v>-61.0471</v>
      </c>
      <c r="E4684" t="inlineStr">
        <is>
          <t>2024-09</t>
        </is>
      </c>
      <c r="F4684" t="n">
        <v>0</v>
      </c>
    </row>
    <row r="4685">
      <c r="A4685" t="inlineStr">
        <is>
          <t>Milho</t>
        </is>
      </c>
      <c r="B4685" t="inlineStr">
        <is>
          <t>Pimenteiras do Oeste - RO</t>
        </is>
      </c>
      <c r="C4685" t="n">
        <v>-13.4823</v>
      </c>
      <c r="D4685" t="n">
        <v>-61.0471</v>
      </c>
      <c r="E4685" t="inlineStr">
        <is>
          <t>2024-10</t>
        </is>
      </c>
      <c r="F4685" t="n">
        <v>0</v>
      </c>
    </row>
    <row r="4686">
      <c r="A4686" t="inlineStr">
        <is>
          <t>Milho</t>
        </is>
      </c>
      <c r="B4686" t="inlineStr">
        <is>
          <t>Pimenteiras do Oeste - RO</t>
        </is>
      </c>
      <c r="C4686" t="n">
        <v>-13.4823</v>
      </c>
      <c r="D4686" t="n">
        <v>-61.0471</v>
      </c>
      <c r="E4686" t="inlineStr">
        <is>
          <t>2024-11</t>
        </is>
      </c>
      <c r="F4686" t="n">
        <v>0</v>
      </c>
    </row>
    <row r="4687">
      <c r="A4687" t="inlineStr">
        <is>
          <t>Milho</t>
        </is>
      </c>
      <c r="B4687" t="inlineStr">
        <is>
          <t>Pimenteiras do Oeste - RO</t>
        </is>
      </c>
      <c r="C4687" t="n">
        <v>-13.4823</v>
      </c>
      <c r="D4687" t="n">
        <v>-61.0471</v>
      </c>
      <c r="E4687" t="inlineStr">
        <is>
          <t>2024-12</t>
        </is>
      </c>
      <c r="F4687" t="n">
        <v>82071.22823288625</v>
      </c>
    </row>
    <row r="4688">
      <c r="A4688" t="inlineStr">
        <is>
          <t>Milho</t>
        </is>
      </c>
      <c r="B4688" t="inlineStr">
        <is>
          <t>Palmeira das Missões - RS</t>
        </is>
      </c>
      <c r="C4688" t="n">
        <v>-27.9007</v>
      </c>
      <c r="D4688" t="n">
        <v>-53.3134</v>
      </c>
      <c r="E4688" t="inlineStr">
        <is>
          <t>2025-01</t>
        </is>
      </c>
      <c r="F4688" t="n">
        <v>2677500.760785924</v>
      </c>
    </row>
    <row r="4689">
      <c r="A4689" t="inlineStr">
        <is>
          <t>Milho</t>
        </is>
      </c>
      <c r="B4689" t="inlineStr">
        <is>
          <t>Palmeira das Missões - RS</t>
        </is>
      </c>
      <c r="C4689" t="n">
        <v>-27.9007</v>
      </c>
      <c r="D4689" t="n">
        <v>-53.3134</v>
      </c>
      <c r="E4689" t="inlineStr">
        <is>
          <t>2025-02</t>
        </is>
      </c>
      <c r="F4689" t="n">
        <v>1670403.317543865</v>
      </c>
    </row>
    <row r="4690">
      <c r="A4690" t="inlineStr">
        <is>
          <t>Milho</t>
        </is>
      </c>
      <c r="B4690" t="inlineStr">
        <is>
          <t>Palmeira das Missões - RS</t>
        </is>
      </c>
      <c r="C4690" t="n">
        <v>-27.9007</v>
      </c>
      <c r="D4690" t="n">
        <v>-53.3134</v>
      </c>
      <c r="E4690" t="inlineStr">
        <is>
          <t>2025-03</t>
        </is>
      </c>
      <c r="F4690" t="n">
        <v>2276218.741241522</v>
      </c>
    </row>
    <row r="4691">
      <c r="A4691" t="inlineStr">
        <is>
          <t>Milho</t>
        </is>
      </c>
      <c r="B4691" t="inlineStr">
        <is>
          <t>Palmeira das Missões - RS</t>
        </is>
      </c>
      <c r="C4691" t="n">
        <v>-27.9007</v>
      </c>
      <c r="D4691" t="n">
        <v>-53.3134</v>
      </c>
      <c r="E4691" t="inlineStr">
        <is>
          <t>2025-04</t>
        </is>
      </c>
      <c r="F4691" t="n">
        <v>1893975.860023258</v>
      </c>
    </row>
    <row r="4692">
      <c r="A4692" t="inlineStr">
        <is>
          <t>Milho</t>
        </is>
      </c>
      <c r="B4692" t="inlineStr">
        <is>
          <t>Palmeira das Missões - RS</t>
        </is>
      </c>
      <c r="C4692" t="n">
        <v>-27.9007</v>
      </c>
      <c r="D4692" t="n">
        <v>-53.3134</v>
      </c>
      <c r="E4692" t="inlineStr">
        <is>
          <t>2025-05</t>
        </is>
      </c>
      <c r="F4692" t="n">
        <v>444982.5352677556</v>
      </c>
    </row>
    <row r="4693">
      <c r="A4693" t="inlineStr">
        <is>
          <t>Milho</t>
        </is>
      </c>
      <c r="B4693" t="inlineStr">
        <is>
          <t>Palmeira das Missões - RS</t>
        </is>
      </c>
      <c r="C4693" t="n">
        <v>-27.9007</v>
      </c>
      <c r="D4693" t="n">
        <v>-53.3134</v>
      </c>
      <c r="E4693" t="inlineStr">
        <is>
          <t>2025-06</t>
        </is>
      </c>
      <c r="F4693" t="n">
        <v>387538.4825721524</v>
      </c>
    </row>
    <row r="4694">
      <c r="A4694" t="inlineStr">
        <is>
          <t>Milho</t>
        </is>
      </c>
      <c r="B4694" t="inlineStr">
        <is>
          <t>Palmeira das Missões - RS</t>
        </is>
      </c>
      <c r="C4694" t="n">
        <v>-27.9007</v>
      </c>
      <c r="D4694" t="n">
        <v>-53.3134</v>
      </c>
      <c r="E4694" t="inlineStr">
        <is>
          <t>2024-07</t>
        </is>
      </c>
      <c r="F4694" t="n">
        <v>0</v>
      </c>
    </row>
    <row r="4695">
      <c r="A4695" t="inlineStr">
        <is>
          <t>Milho</t>
        </is>
      </c>
      <c r="B4695" t="inlineStr">
        <is>
          <t>Palmeira das Missões - RS</t>
        </is>
      </c>
      <c r="C4695" t="n">
        <v>-27.9007</v>
      </c>
      <c r="D4695" t="n">
        <v>-53.3134</v>
      </c>
      <c r="E4695" t="inlineStr">
        <is>
          <t>2024-08</t>
        </is>
      </c>
      <c r="F4695" t="n">
        <v>0</v>
      </c>
    </row>
    <row r="4696">
      <c r="A4696" t="inlineStr">
        <is>
          <t>Milho</t>
        </is>
      </c>
      <c r="B4696" t="inlineStr">
        <is>
          <t>Palmeira das Missões - RS</t>
        </is>
      </c>
      <c r="C4696" t="n">
        <v>-27.9007</v>
      </c>
      <c r="D4696" t="n">
        <v>-53.3134</v>
      </c>
      <c r="E4696" t="inlineStr">
        <is>
          <t>2024-09</t>
        </is>
      </c>
      <c r="F4696" t="n">
        <v>0</v>
      </c>
    </row>
    <row r="4697">
      <c r="A4697" t="inlineStr">
        <is>
          <t>Milho</t>
        </is>
      </c>
      <c r="B4697" t="inlineStr">
        <is>
          <t>Palmeira das Missões - RS</t>
        </is>
      </c>
      <c r="C4697" t="n">
        <v>-27.9007</v>
      </c>
      <c r="D4697" t="n">
        <v>-53.3134</v>
      </c>
      <c r="E4697" t="inlineStr">
        <is>
          <t>2024-10</t>
        </is>
      </c>
      <c r="F4697" t="n">
        <v>0</v>
      </c>
    </row>
    <row r="4698">
      <c r="A4698" t="inlineStr">
        <is>
          <t>Milho</t>
        </is>
      </c>
      <c r="B4698" t="inlineStr">
        <is>
          <t>Palmeira das Missões - RS</t>
        </is>
      </c>
      <c r="C4698" t="n">
        <v>-27.9007</v>
      </c>
      <c r="D4698" t="n">
        <v>-53.3134</v>
      </c>
      <c r="E4698" t="inlineStr">
        <is>
          <t>2024-11</t>
        </is>
      </c>
      <c r="F4698" t="n">
        <v>0</v>
      </c>
    </row>
    <row r="4699">
      <c r="A4699" t="inlineStr">
        <is>
          <t>Milho</t>
        </is>
      </c>
      <c r="B4699" t="inlineStr">
        <is>
          <t>Palmeira das Missões - RS</t>
        </is>
      </c>
      <c r="C4699" t="n">
        <v>-27.9007</v>
      </c>
      <c r="D4699" t="n">
        <v>-53.3134</v>
      </c>
      <c r="E4699" t="inlineStr">
        <is>
          <t>2024-12</t>
        </is>
      </c>
      <c r="F4699" t="n">
        <v>2701187.95176674</v>
      </c>
    </row>
    <row r="4700">
      <c r="A4700" t="inlineStr">
        <is>
          <t>Milho</t>
        </is>
      </c>
      <c r="B4700" t="inlineStr">
        <is>
          <t>Campos Novos - SC</t>
        </is>
      </c>
      <c r="C4700" t="n">
        <v>-27.4002</v>
      </c>
      <c r="D4700" t="n">
        <v>-51.2276</v>
      </c>
      <c r="E4700" t="inlineStr">
        <is>
          <t>2025-01</t>
        </is>
      </c>
      <c r="F4700" t="n">
        <v>1534092.663275771</v>
      </c>
    </row>
    <row r="4701">
      <c r="A4701" t="inlineStr">
        <is>
          <t>Milho</t>
        </is>
      </c>
      <c r="B4701" t="inlineStr">
        <is>
          <t>Campos Novos - SC</t>
        </is>
      </c>
      <c r="C4701" t="n">
        <v>-27.4002</v>
      </c>
      <c r="D4701" t="n">
        <v>-51.2276</v>
      </c>
      <c r="E4701" t="inlineStr">
        <is>
          <t>2025-02</t>
        </is>
      </c>
      <c r="F4701" t="n">
        <v>957069.1861926373</v>
      </c>
    </row>
    <row r="4702">
      <c r="A4702" t="inlineStr">
        <is>
          <t>Milho</t>
        </is>
      </c>
      <c r="B4702" t="inlineStr">
        <is>
          <t>Campos Novos - SC</t>
        </is>
      </c>
      <c r="C4702" t="n">
        <v>-27.4002</v>
      </c>
      <c r="D4702" t="n">
        <v>-51.2276</v>
      </c>
      <c r="E4702" t="inlineStr">
        <is>
          <t>2025-03</t>
        </is>
      </c>
      <c r="F4702" t="n">
        <v>1304175.342203992</v>
      </c>
    </row>
    <row r="4703">
      <c r="A4703" t="inlineStr">
        <is>
          <t>Milho</t>
        </is>
      </c>
      <c r="B4703" t="inlineStr">
        <is>
          <t>Campos Novos - SC</t>
        </is>
      </c>
      <c r="C4703" t="n">
        <v>-27.4002</v>
      </c>
      <c r="D4703" t="n">
        <v>-51.2276</v>
      </c>
      <c r="E4703" t="inlineStr">
        <is>
          <t>2025-04</t>
        </is>
      </c>
      <c r="F4703" t="n">
        <v>1085166.627713765</v>
      </c>
    </row>
    <row r="4704">
      <c r="A4704" t="inlineStr">
        <is>
          <t>Milho</t>
        </is>
      </c>
      <c r="B4704" t="inlineStr">
        <is>
          <t>Campos Novos - SC</t>
        </is>
      </c>
      <c r="C4704" t="n">
        <v>-27.4002</v>
      </c>
      <c r="D4704" t="n">
        <v>-51.2276</v>
      </c>
      <c r="E4704" t="inlineStr">
        <is>
          <t>2025-05</t>
        </is>
      </c>
      <c r="F4704" t="n">
        <v>254955.8351721028</v>
      </c>
    </row>
    <row r="4705">
      <c r="A4705" t="inlineStr">
        <is>
          <t>Milho</t>
        </is>
      </c>
      <c r="B4705" t="inlineStr">
        <is>
          <t>Campos Novos - SC</t>
        </is>
      </c>
      <c r="C4705" t="n">
        <v>-27.4002</v>
      </c>
      <c r="D4705" t="n">
        <v>-51.2276</v>
      </c>
      <c r="E4705" t="inlineStr">
        <is>
          <t>2025-06</t>
        </is>
      </c>
      <c r="F4705" t="n">
        <v>222042.866078012</v>
      </c>
    </row>
    <row r="4706">
      <c r="A4706" t="inlineStr">
        <is>
          <t>Milho</t>
        </is>
      </c>
      <c r="B4706" t="inlineStr">
        <is>
          <t>Campos Novos - SC</t>
        </is>
      </c>
      <c r="C4706" t="n">
        <v>-27.4002</v>
      </c>
      <c r="D4706" t="n">
        <v>-51.2276</v>
      </c>
      <c r="E4706" t="inlineStr">
        <is>
          <t>2024-07</t>
        </is>
      </c>
      <c r="F4706" t="n">
        <v>0</v>
      </c>
    </row>
    <row r="4707">
      <c r="A4707" t="inlineStr">
        <is>
          <t>Milho</t>
        </is>
      </c>
      <c r="B4707" t="inlineStr">
        <is>
          <t>Campos Novos - SC</t>
        </is>
      </c>
      <c r="C4707" t="n">
        <v>-27.4002</v>
      </c>
      <c r="D4707" t="n">
        <v>-51.2276</v>
      </c>
      <c r="E4707" t="inlineStr">
        <is>
          <t>2024-08</t>
        </is>
      </c>
      <c r="F4707" t="n">
        <v>0</v>
      </c>
    </row>
    <row r="4708">
      <c r="A4708" t="inlineStr">
        <is>
          <t>Milho</t>
        </is>
      </c>
      <c r="B4708" t="inlineStr">
        <is>
          <t>Campos Novos - SC</t>
        </is>
      </c>
      <c r="C4708" t="n">
        <v>-27.4002</v>
      </c>
      <c r="D4708" t="n">
        <v>-51.2276</v>
      </c>
      <c r="E4708" t="inlineStr">
        <is>
          <t>2024-09</t>
        </is>
      </c>
      <c r="F4708" t="n">
        <v>0</v>
      </c>
    </row>
    <row r="4709">
      <c r="A4709" t="inlineStr">
        <is>
          <t>Milho</t>
        </is>
      </c>
      <c r="B4709" t="inlineStr">
        <is>
          <t>Campos Novos - SC</t>
        </is>
      </c>
      <c r="C4709" t="n">
        <v>-27.4002</v>
      </c>
      <c r="D4709" t="n">
        <v>-51.2276</v>
      </c>
      <c r="E4709" t="inlineStr">
        <is>
          <t>2024-10</t>
        </is>
      </c>
      <c r="F4709" t="n">
        <v>0</v>
      </c>
    </row>
    <row r="4710">
      <c r="A4710" t="inlineStr">
        <is>
          <t>Milho</t>
        </is>
      </c>
      <c r="B4710" t="inlineStr">
        <is>
          <t>Campos Novos - SC</t>
        </is>
      </c>
      <c r="C4710" t="n">
        <v>-27.4002</v>
      </c>
      <c r="D4710" t="n">
        <v>-51.2276</v>
      </c>
      <c r="E4710" t="inlineStr">
        <is>
          <t>2024-11</t>
        </is>
      </c>
      <c r="F4710" t="n">
        <v>0</v>
      </c>
    </row>
    <row r="4711">
      <c r="A4711" t="inlineStr">
        <is>
          <t>Milho</t>
        </is>
      </c>
      <c r="B4711" t="inlineStr">
        <is>
          <t>Campos Novos - SC</t>
        </is>
      </c>
      <c r="C4711" t="n">
        <v>-27.4002</v>
      </c>
      <c r="D4711" t="n">
        <v>-51.2276</v>
      </c>
      <c r="E4711" t="inlineStr">
        <is>
          <t>2024-12</t>
        </is>
      </c>
      <c r="F4711" t="n">
        <v>1547664.403918943</v>
      </c>
    </row>
    <row r="4712">
      <c r="A4712" t="inlineStr">
        <is>
          <t>Milho</t>
        </is>
      </c>
      <c r="B4712" t="inlineStr">
        <is>
          <t>Itapeva - SP</t>
        </is>
      </c>
      <c r="C4712" t="n">
        <v>-23.9788</v>
      </c>
      <c r="D4712" t="n">
        <v>-48.8764</v>
      </c>
      <c r="E4712" t="inlineStr">
        <is>
          <t>2025-01</t>
        </is>
      </c>
      <c r="F4712" t="n">
        <v>984168.6381106699</v>
      </c>
    </row>
    <row r="4713">
      <c r="A4713" t="inlineStr">
        <is>
          <t>Milho</t>
        </is>
      </c>
      <c r="B4713" t="inlineStr">
        <is>
          <t>Itapeva - SP</t>
        </is>
      </c>
      <c r="C4713" t="n">
        <v>-23.9788</v>
      </c>
      <c r="D4713" t="n">
        <v>-48.8764</v>
      </c>
      <c r="E4713" t="inlineStr">
        <is>
          <t>2025-02</t>
        </is>
      </c>
      <c r="F4713" t="n">
        <v>613989.94995622</v>
      </c>
    </row>
    <row r="4714">
      <c r="A4714" t="inlineStr">
        <is>
          <t>Milho</t>
        </is>
      </c>
      <c r="B4714" t="inlineStr">
        <is>
          <t>Itapeva - SP</t>
        </is>
      </c>
      <c r="C4714" t="n">
        <v>-23.9788</v>
      </c>
      <c r="D4714" t="n">
        <v>-48.8764</v>
      </c>
      <c r="E4714" t="inlineStr">
        <is>
          <t>2025-03</t>
        </is>
      </c>
      <c r="F4714" t="n">
        <v>597621.038304204</v>
      </c>
    </row>
    <row r="4715">
      <c r="A4715" t="inlineStr">
        <is>
          <t>Milho</t>
        </is>
      </c>
      <c r="B4715" t="inlineStr">
        <is>
          <t>Itapeva - SP</t>
        </is>
      </c>
      <c r="C4715" t="n">
        <v>-23.9788</v>
      </c>
      <c r="D4715" t="n">
        <v>-48.8764</v>
      </c>
      <c r="E4715" t="inlineStr">
        <is>
          <t>2025-04</t>
        </is>
      </c>
      <c r="F4715" t="n">
        <v>497263.2021177518</v>
      </c>
    </row>
    <row r="4716">
      <c r="A4716" t="inlineStr">
        <is>
          <t>Milho</t>
        </is>
      </c>
      <c r="B4716" t="inlineStr">
        <is>
          <t>Itapeva - SP</t>
        </is>
      </c>
      <c r="C4716" t="n">
        <v>-23.9788</v>
      </c>
      <c r="D4716" t="n">
        <v>-48.8764</v>
      </c>
      <c r="E4716" t="inlineStr">
        <is>
          <t>2025-05</t>
        </is>
      </c>
      <c r="F4716" t="n">
        <v>163562.1778829869</v>
      </c>
    </row>
    <row r="4717">
      <c r="A4717" t="inlineStr">
        <is>
          <t>Milho</t>
        </is>
      </c>
      <c r="B4717" t="inlineStr">
        <is>
          <t>Itapeva - SP</t>
        </is>
      </c>
      <c r="C4717" t="n">
        <v>-23.9788</v>
      </c>
      <c r="D4717" t="n">
        <v>-48.8764</v>
      </c>
      <c r="E4717" t="inlineStr">
        <is>
          <t>2025-06</t>
        </is>
      </c>
      <c r="F4717" t="n">
        <v>142447.4742246415</v>
      </c>
    </row>
    <row r="4718">
      <c r="A4718" t="inlineStr">
        <is>
          <t>Milho</t>
        </is>
      </c>
      <c r="B4718" t="inlineStr">
        <is>
          <t>Itapeva - SP</t>
        </is>
      </c>
      <c r="C4718" t="n">
        <v>-23.9788</v>
      </c>
      <c r="D4718" t="n">
        <v>-48.8764</v>
      </c>
      <c r="E4718" t="inlineStr">
        <is>
          <t>2024-07</t>
        </is>
      </c>
      <c r="F4718" t="n">
        <v>0</v>
      </c>
    </row>
    <row r="4719">
      <c r="A4719" t="inlineStr">
        <is>
          <t>Milho</t>
        </is>
      </c>
      <c r="B4719" t="inlineStr">
        <is>
          <t>Itapeva - SP</t>
        </is>
      </c>
      <c r="C4719" t="n">
        <v>-23.9788</v>
      </c>
      <c r="D4719" t="n">
        <v>-48.8764</v>
      </c>
      <c r="E4719" t="inlineStr">
        <is>
          <t>2024-08</t>
        </is>
      </c>
      <c r="F4719" t="n">
        <v>0</v>
      </c>
    </row>
    <row r="4720">
      <c r="A4720" t="inlineStr">
        <is>
          <t>Milho</t>
        </is>
      </c>
      <c r="B4720" t="inlineStr">
        <is>
          <t>Itapeva - SP</t>
        </is>
      </c>
      <c r="C4720" t="n">
        <v>-23.9788</v>
      </c>
      <c r="D4720" t="n">
        <v>-48.8764</v>
      </c>
      <c r="E4720" t="inlineStr">
        <is>
          <t>2024-09</t>
        </is>
      </c>
      <c r="F4720" t="n">
        <v>0</v>
      </c>
    </row>
    <row r="4721">
      <c r="A4721" t="inlineStr">
        <is>
          <t>Milho</t>
        </is>
      </c>
      <c r="B4721" t="inlineStr">
        <is>
          <t>Itapeva - SP</t>
        </is>
      </c>
      <c r="C4721" t="n">
        <v>-23.9788</v>
      </c>
      <c r="D4721" t="n">
        <v>-48.8764</v>
      </c>
      <c r="E4721" t="inlineStr">
        <is>
          <t>2024-10</t>
        </is>
      </c>
      <c r="F4721" t="n">
        <v>0</v>
      </c>
    </row>
    <row r="4722">
      <c r="A4722" t="inlineStr">
        <is>
          <t>Milho</t>
        </is>
      </c>
      <c r="B4722" t="inlineStr">
        <is>
          <t>Itapeva - SP</t>
        </is>
      </c>
      <c r="C4722" t="n">
        <v>-23.9788</v>
      </c>
      <c r="D4722" t="n">
        <v>-48.8764</v>
      </c>
      <c r="E4722" t="inlineStr">
        <is>
          <t>2024-11</t>
        </is>
      </c>
      <c r="F4722" t="n">
        <v>0</v>
      </c>
    </row>
    <row r="4723">
      <c r="A4723" t="inlineStr">
        <is>
          <t>Milho</t>
        </is>
      </c>
      <c r="B4723" t="inlineStr">
        <is>
          <t>Itapeva - SP</t>
        </is>
      </c>
      <c r="C4723" t="n">
        <v>-23.9788</v>
      </c>
      <c r="D4723" t="n">
        <v>-48.8764</v>
      </c>
      <c r="E4723" t="inlineStr">
        <is>
          <t>2024-12</t>
        </is>
      </c>
      <c r="F4723" t="n">
        <v>0</v>
      </c>
    </row>
    <row r="4724">
      <c r="A4724" t="inlineStr">
        <is>
          <t>Milho</t>
        </is>
      </c>
      <c r="B4724" t="inlineStr">
        <is>
          <t>Campos Lindos - TO</t>
        </is>
      </c>
      <c r="C4724" t="n">
        <v>-7.98956</v>
      </c>
      <c r="D4724" t="n">
        <v>-46.8645</v>
      </c>
      <c r="E4724" t="inlineStr">
        <is>
          <t>2025-01</t>
        </is>
      </c>
      <c r="F4724" t="n">
        <v>0</v>
      </c>
    </row>
    <row r="4725">
      <c r="A4725" t="inlineStr">
        <is>
          <t>Milho</t>
        </is>
      </c>
      <c r="B4725" t="inlineStr">
        <is>
          <t>Campos Lindos - TO</t>
        </is>
      </c>
      <c r="C4725" t="n">
        <v>-7.98956</v>
      </c>
      <c r="D4725" t="n">
        <v>-46.8645</v>
      </c>
      <c r="E4725" t="inlineStr">
        <is>
          <t>2025-02</t>
        </is>
      </c>
      <c r="F4725" t="n">
        <v>98290.68245150484</v>
      </c>
    </row>
    <row r="4726">
      <c r="A4726" t="inlineStr">
        <is>
          <t>Milho</t>
        </is>
      </c>
      <c r="B4726" t="inlineStr">
        <is>
          <t>Campos Lindos - TO</t>
        </is>
      </c>
      <c r="C4726" t="n">
        <v>-7.98956</v>
      </c>
      <c r="D4726" t="n">
        <v>-46.8645</v>
      </c>
      <c r="E4726" t="inlineStr">
        <is>
          <t>2025-03</t>
        </is>
      </c>
      <c r="F4726" t="n">
        <v>114804.3150344443</v>
      </c>
    </row>
    <row r="4727">
      <c r="A4727" t="inlineStr">
        <is>
          <t>Milho</t>
        </is>
      </c>
      <c r="B4727" t="inlineStr">
        <is>
          <t>Campos Lindos - TO</t>
        </is>
      </c>
      <c r="C4727" t="n">
        <v>-7.98956</v>
      </c>
      <c r="D4727" t="n">
        <v>-46.8645</v>
      </c>
      <c r="E4727" t="inlineStr">
        <is>
          <t>2025-04</t>
        </is>
      </c>
      <c r="F4727" t="n">
        <v>159208.9235260593</v>
      </c>
    </row>
    <row r="4728">
      <c r="A4728" t="inlineStr">
        <is>
          <t>Milho</t>
        </is>
      </c>
      <c r="B4728" t="inlineStr">
        <is>
          <t>Campos Lindos - TO</t>
        </is>
      </c>
      <c r="C4728" t="n">
        <v>-7.98956</v>
      </c>
      <c r="D4728" t="n">
        <v>-46.8645</v>
      </c>
      <c r="E4728" t="inlineStr">
        <is>
          <t>2025-05</t>
        </is>
      </c>
      <c r="F4728" t="n">
        <v>87279.594117784</v>
      </c>
    </row>
    <row r="4729">
      <c r="A4729" t="inlineStr">
        <is>
          <t>Milho</t>
        </is>
      </c>
      <c r="B4729" t="inlineStr">
        <is>
          <t>Campos Lindos - TO</t>
        </is>
      </c>
      <c r="C4729" t="n">
        <v>-7.98956</v>
      </c>
      <c r="D4729" t="n">
        <v>-46.8645</v>
      </c>
      <c r="E4729" t="inlineStr">
        <is>
          <t>2025-06</t>
        </is>
      </c>
      <c r="F4729" t="n">
        <v>45607.45483222161</v>
      </c>
    </row>
    <row r="4730">
      <c r="A4730" t="inlineStr">
        <is>
          <t>Milho</t>
        </is>
      </c>
      <c r="B4730" t="inlineStr">
        <is>
          <t>Campos Lindos - TO</t>
        </is>
      </c>
      <c r="C4730" t="n">
        <v>-7.98956</v>
      </c>
      <c r="D4730" t="n">
        <v>-46.8645</v>
      </c>
      <c r="E4730" t="inlineStr">
        <is>
          <t>2024-07</t>
        </is>
      </c>
      <c r="F4730" t="n">
        <v>0</v>
      </c>
    </row>
    <row r="4731">
      <c r="A4731" t="inlineStr">
        <is>
          <t>Milho</t>
        </is>
      </c>
      <c r="B4731" t="inlineStr">
        <is>
          <t>Campos Lindos - TO</t>
        </is>
      </c>
      <c r="C4731" t="n">
        <v>-7.98956</v>
      </c>
      <c r="D4731" t="n">
        <v>-46.8645</v>
      </c>
      <c r="E4731" t="inlineStr">
        <is>
          <t>2024-08</t>
        </is>
      </c>
      <c r="F4731" t="n">
        <v>0</v>
      </c>
    </row>
    <row r="4732">
      <c r="A4732" t="inlineStr">
        <is>
          <t>Milho</t>
        </is>
      </c>
      <c r="B4732" t="inlineStr">
        <is>
          <t>Campos Lindos - TO</t>
        </is>
      </c>
      <c r="C4732" t="n">
        <v>-7.98956</v>
      </c>
      <c r="D4732" t="n">
        <v>-46.8645</v>
      </c>
      <c r="E4732" t="inlineStr">
        <is>
          <t>2024-09</t>
        </is>
      </c>
      <c r="F4732" t="n">
        <v>0</v>
      </c>
    </row>
    <row r="4733">
      <c r="A4733" t="inlineStr">
        <is>
          <t>Milho</t>
        </is>
      </c>
      <c r="B4733" t="inlineStr">
        <is>
          <t>Campos Lindos - TO</t>
        </is>
      </c>
      <c r="C4733" t="n">
        <v>-7.98956</v>
      </c>
      <c r="D4733" t="n">
        <v>-46.8645</v>
      </c>
      <c r="E4733" t="inlineStr">
        <is>
          <t>2024-10</t>
        </is>
      </c>
      <c r="F4733" t="n">
        <v>0</v>
      </c>
    </row>
    <row r="4734">
      <c r="A4734" t="inlineStr">
        <is>
          <t>Milho</t>
        </is>
      </c>
      <c r="B4734" t="inlineStr">
        <is>
          <t>Campos Lindos - TO</t>
        </is>
      </c>
      <c r="C4734" t="n">
        <v>-7.98956</v>
      </c>
      <c r="D4734" t="n">
        <v>-46.8645</v>
      </c>
      <c r="E4734" t="inlineStr">
        <is>
          <t>2024-11</t>
        </is>
      </c>
      <c r="F4734" t="n">
        <v>0</v>
      </c>
    </row>
    <row r="4735">
      <c r="A4735" t="inlineStr">
        <is>
          <t>Milho</t>
        </is>
      </c>
      <c r="B4735" t="inlineStr">
        <is>
          <t>Campos Lindos - TO</t>
        </is>
      </c>
      <c r="C4735" t="n">
        <v>-7.98956</v>
      </c>
      <c r="D4735" t="n">
        <v>-46.8645</v>
      </c>
      <c r="E4735" t="inlineStr">
        <is>
          <t>2024-12</t>
        </is>
      </c>
      <c r="F4735" t="n">
        <v>0</v>
      </c>
    </row>
    <row r="4736">
      <c r="A4736" t="inlineStr">
        <is>
          <t>Milho</t>
        </is>
      </c>
      <c r="B4736" t="inlineStr">
        <is>
          <t>Senador Guiomard - AC</t>
        </is>
      </c>
      <c r="C4736" t="n">
        <v>-10.1497</v>
      </c>
      <c r="D4736" t="n">
        <v>-67.7362</v>
      </c>
      <c r="E4736" t="inlineStr">
        <is>
          <t>2025-01</t>
        </is>
      </c>
      <c r="F4736" t="n">
        <v>0</v>
      </c>
    </row>
    <row r="4737">
      <c r="A4737" t="inlineStr">
        <is>
          <t>Milho</t>
        </is>
      </c>
      <c r="B4737" t="inlineStr">
        <is>
          <t>Senador Guiomard - AC</t>
        </is>
      </c>
      <c r="C4737" t="n">
        <v>-10.1497</v>
      </c>
      <c r="D4737" t="n">
        <v>-67.7362</v>
      </c>
      <c r="E4737" t="inlineStr">
        <is>
          <t>2025-02</t>
        </is>
      </c>
      <c r="F4737" t="n">
        <v>0</v>
      </c>
    </row>
    <row r="4738">
      <c r="A4738" t="inlineStr">
        <is>
          <t>Milho</t>
        </is>
      </c>
      <c r="B4738" t="inlineStr">
        <is>
          <t>Senador Guiomard - AC</t>
        </is>
      </c>
      <c r="C4738" t="n">
        <v>-10.1497</v>
      </c>
      <c r="D4738" t="n">
        <v>-67.7362</v>
      </c>
      <c r="E4738" t="inlineStr">
        <is>
          <t>2025-03</t>
        </is>
      </c>
      <c r="F4738" t="n">
        <v>0</v>
      </c>
    </row>
    <row r="4739">
      <c r="A4739" t="inlineStr">
        <is>
          <t>Milho</t>
        </is>
      </c>
      <c r="B4739" t="inlineStr">
        <is>
          <t>Senador Guiomard - AC</t>
        </is>
      </c>
      <c r="C4739" t="n">
        <v>-10.1497</v>
      </c>
      <c r="D4739" t="n">
        <v>-67.7362</v>
      </c>
      <c r="E4739" t="inlineStr">
        <is>
          <t>2025-04</t>
        </is>
      </c>
      <c r="F4739" t="n">
        <v>0</v>
      </c>
    </row>
    <row r="4740">
      <c r="A4740" t="inlineStr">
        <is>
          <t>Milho</t>
        </is>
      </c>
      <c r="B4740" t="inlineStr">
        <is>
          <t>Senador Guiomard - AC</t>
        </is>
      </c>
      <c r="C4740" t="n">
        <v>-10.1497</v>
      </c>
      <c r="D4740" t="n">
        <v>-67.7362</v>
      </c>
      <c r="E4740" t="inlineStr">
        <is>
          <t>2025-05</t>
        </is>
      </c>
      <c r="F4740" t="n">
        <v>0</v>
      </c>
    </row>
    <row r="4741">
      <c r="A4741" t="inlineStr">
        <is>
          <t>Milho</t>
        </is>
      </c>
      <c r="B4741" t="inlineStr">
        <is>
          <t>Senador Guiomard - AC</t>
        </is>
      </c>
      <c r="C4741" t="n">
        <v>-10.1497</v>
      </c>
      <c r="D4741" t="n">
        <v>-67.7362</v>
      </c>
      <c r="E4741" t="inlineStr">
        <is>
          <t>2025-06</t>
        </is>
      </c>
      <c r="F4741" t="n">
        <v>0</v>
      </c>
    </row>
    <row r="4742">
      <c r="A4742" t="inlineStr">
        <is>
          <t>Milho</t>
        </is>
      </c>
      <c r="B4742" t="inlineStr">
        <is>
          <t>Senador Guiomard - AC</t>
        </is>
      </c>
      <c r="C4742" t="n">
        <v>-10.1497</v>
      </c>
      <c r="D4742" t="n">
        <v>-67.7362</v>
      </c>
      <c r="E4742" t="inlineStr">
        <is>
          <t>2024-07</t>
        </is>
      </c>
      <c r="F4742" t="n">
        <v>0</v>
      </c>
    </row>
    <row r="4743">
      <c r="A4743" t="inlineStr">
        <is>
          <t>Milho</t>
        </is>
      </c>
      <c r="B4743" t="inlineStr">
        <is>
          <t>Senador Guiomard - AC</t>
        </is>
      </c>
      <c r="C4743" t="n">
        <v>-10.1497</v>
      </c>
      <c r="D4743" t="n">
        <v>-67.7362</v>
      </c>
      <c r="E4743" t="inlineStr">
        <is>
          <t>2024-08</t>
        </is>
      </c>
      <c r="F4743" t="n">
        <v>0</v>
      </c>
    </row>
    <row r="4744">
      <c r="A4744" t="inlineStr">
        <is>
          <t>Milho</t>
        </is>
      </c>
      <c r="B4744" t="inlineStr">
        <is>
          <t>Senador Guiomard - AC</t>
        </is>
      </c>
      <c r="C4744" t="n">
        <v>-10.1497</v>
      </c>
      <c r="D4744" t="n">
        <v>-67.7362</v>
      </c>
      <c r="E4744" t="inlineStr">
        <is>
          <t>2024-09</t>
        </is>
      </c>
      <c r="F4744" t="n">
        <v>0</v>
      </c>
    </row>
    <row r="4745">
      <c r="A4745" t="inlineStr">
        <is>
          <t>Milho</t>
        </is>
      </c>
      <c r="B4745" t="inlineStr">
        <is>
          <t>Senador Guiomard - AC</t>
        </is>
      </c>
      <c r="C4745" t="n">
        <v>-10.1497</v>
      </c>
      <c r="D4745" t="n">
        <v>-67.7362</v>
      </c>
      <c r="E4745" t="inlineStr">
        <is>
          <t>2024-10</t>
        </is>
      </c>
      <c r="F4745" t="n">
        <v>0</v>
      </c>
    </row>
    <row r="4746">
      <c r="A4746" t="inlineStr">
        <is>
          <t>Milho</t>
        </is>
      </c>
      <c r="B4746" t="inlineStr">
        <is>
          <t>Senador Guiomard - AC</t>
        </is>
      </c>
      <c r="C4746" t="n">
        <v>-10.1497</v>
      </c>
      <c r="D4746" t="n">
        <v>-67.7362</v>
      </c>
      <c r="E4746" t="inlineStr">
        <is>
          <t>2024-11</t>
        </is>
      </c>
      <c r="F4746" t="n">
        <v>0</v>
      </c>
    </row>
    <row r="4747">
      <c r="A4747" t="inlineStr">
        <is>
          <t>Milho</t>
        </is>
      </c>
      <c r="B4747" t="inlineStr">
        <is>
          <t>Senador Guiomard - AC</t>
        </is>
      </c>
      <c r="C4747" t="n">
        <v>-10.1497</v>
      </c>
      <c r="D4747" t="n">
        <v>-67.7362</v>
      </c>
      <c r="E4747" t="inlineStr">
        <is>
          <t>2024-12</t>
        </is>
      </c>
      <c r="F4747" t="n">
        <v>0</v>
      </c>
    </row>
    <row r="4748">
      <c r="A4748" t="inlineStr">
        <is>
          <t>Milho</t>
        </is>
      </c>
      <c r="B4748" t="inlineStr">
        <is>
          <t>Humaitá - AM</t>
        </is>
      </c>
      <c r="C4748" t="n">
        <v>-7.51171</v>
      </c>
      <c r="D4748" t="n">
        <v>-63.0327</v>
      </c>
      <c r="E4748" t="inlineStr">
        <is>
          <t>2025-01</t>
        </is>
      </c>
      <c r="F4748" t="n">
        <v>0</v>
      </c>
    </row>
    <row r="4749">
      <c r="A4749" t="inlineStr">
        <is>
          <t>Milho</t>
        </is>
      </c>
      <c r="B4749" t="inlineStr">
        <is>
          <t>Humaitá - AM</t>
        </is>
      </c>
      <c r="C4749" t="n">
        <v>-7.51171</v>
      </c>
      <c r="D4749" t="n">
        <v>-63.0327</v>
      </c>
      <c r="E4749" t="inlineStr">
        <is>
          <t>2025-02</t>
        </is>
      </c>
      <c r="F4749" t="n">
        <v>0</v>
      </c>
    </row>
    <row r="4750">
      <c r="A4750" t="inlineStr">
        <is>
          <t>Milho</t>
        </is>
      </c>
      <c r="B4750" t="inlineStr">
        <is>
          <t>Humaitá - AM</t>
        </is>
      </c>
      <c r="C4750" t="n">
        <v>-7.51171</v>
      </c>
      <c r="D4750" t="n">
        <v>-63.0327</v>
      </c>
      <c r="E4750" t="inlineStr">
        <is>
          <t>2025-03</t>
        </is>
      </c>
      <c r="F4750" t="n">
        <v>0</v>
      </c>
    </row>
    <row r="4751">
      <c r="A4751" t="inlineStr">
        <is>
          <t>Milho</t>
        </is>
      </c>
      <c r="B4751" t="inlineStr">
        <is>
          <t>Humaitá - AM</t>
        </is>
      </c>
      <c r="C4751" t="n">
        <v>-7.51171</v>
      </c>
      <c r="D4751" t="n">
        <v>-63.0327</v>
      </c>
      <c r="E4751" t="inlineStr">
        <is>
          <t>2025-04</t>
        </is>
      </c>
      <c r="F4751" t="n">
        <v>0</v>
      </c>
    </row>
    <row r="4752">
      <c r="A4752" t="inlineStr">
        <is>
          <t>Milho</t>
        </is>
      </c>
      <c r="B4752" t="inlineStr">
        <is>
          <t>Humaitá - AM</t>
        </is>
      </c>
      <c r="C4752" t="n">
        <v>-7.51171</v>
      </c>
      <c r="D4752" t="n">
        <v>-63.0327</v>
      </c>
      <c r="E4752" t="inlineStr">
        <is>
          <t>2025-05</t>
        </is>
      </c>
      <c r="F4752" t="n">
        <v>0</v>
      </c>
    </row>
    <row r="4753">
      <c r="A4753" t="inlineStr">
        <is>
          <t>Milho</t>
        </is>
      </c>
      <c r="B4753" t="inlineStr">
        <is>
          <t>Humaitá - AM</t>
        </is>
      </c>
      <c r="C4753" t="n">
        <v>-7.51171</v>
      </c>
      <c r="D4753" t="n">
        <v>-63.0327</v>
      </c>
      <c r="E4753" t="inlineStr">
        <is>
          <t>2025-06</t>
        </is>
      </c>
      <c r="F4753" t="n">
        <v>0</v>
      </c>
    </row>
    <row r="4754">
      <c r="A4754" t="inlineStr">
        <is>
          <t>Milho</t>
        </is>
      </c>
      <c r="B4754" t="inlineStr">
        <is>
          <t>Humaitá - AM</t>
        </is>
      </c>
      <c r="C4754" t="n">
        <v>-7.51171</v>
      </c>
      <c r="D4754" t="n">
        <v>-63.0327</v>
      </c>
      <c r="E4754" t="inlineStr">
        <is>
          <t>2024-07</t>
        </is>
      </c>
      <c r="F4754" t="n">
        <v>0</v>
      </c>
    </row>
    <row r="4755">
      <c r="A4755" t="inlineStr">
        <is>
          <t>Milho</t>
        </is>
      </c>
      <c r="B4755" t="inlineStr">
        <is>
          <t>Humaitá - AM</t>
        </is>
      </c>
      <c r="C4755" t="n">
        <v>-7.51171</v>
      </c>
      <c r="D4755" t="n">
        <v>-63.0327</v>
      </c>
      <c r="E4755" t="inlineStr">
        <is>
          <t>2024-08</t>
        </is>
      </c>
      <c r="F4755" t="n">
        <v>0</v>
      </c>
    </row>
    <row r="4756">
      <c r="A4756" t="inlineStr">
        <is>
          <t>Milho</t>
        </is>
      </c>
      <c r="B4756" t="inlineStr">
        <is>
          <t>Humaitá - AM</t>
        </is>
      </c>
      <c r="C4756" t="n">
        <v>-7.51171</v>
      </c>
      <c r="D4756" t="n">
        <v>-63.0327</v>
      </c>
      <c r="E4756" t="inlineStr">
        <is>
          <t>2024-09</t>
        </is>
      </c>
      <c r="F4756" t="n">
        <v>0</v>
      </c>
    </row>
    <row r="4757">
      <c r="A4757" t="inlineStr">
        <is>
          <t>Milho</t>
        </is>
      </c>
      <c r="B4757" t="inlineStr">
        <is>
          <t>Humaitá - AM</t>
        </is>
      </c>
      <c r="C4757" t="n">
        <v>-7.51171</v>
      </c>
      <c r="D4757" t="n">
        <v>-63.0327</v>
      </c>
      <c r="E4757" t="inlineStr">
        <is>
          <t>2024-10</t>
        </is>
      </c>
      <c r="F4757" t="n">
        <v>0</v>
      </c>
    </row>
    <row r="4758">
      <c r="A4758" t="inlineStr">
        <is>
          <t>Milho</t>
        </is>
      </c>
      <c r="B4758" t="inlineStr">
        <is>
          <t>Humaitá - AM</t>
        </is>
      </c>
      <c r="C4758" t="n">
        <v>-7.51171</v>
      </c>
      <c r="D4758" t="n">
        <v>-63.0327</v>
      </c>
      <c r="E4758" t="inlineStr">
        <is>
          <t>2024-11</t>
        </is>
      </c>
      <c r="F4758" t="n">
        <v>0</v>
      </c>
    </row>
    <row r="4759">
      <c r="A4759" t="inlineStr">
        <is>
          <t>Milho</t>
        </is>
      </c>
      <c r="B4759" t="inlineStr">
        <is>
          <t>Humaitá - AM</t>
        </is>
      </c>
      <c r="C4759" t="n">
        <v>-7.51171</v>
      </c>
      <c r="D4759" t="n">
        <v>-63.0327</v>
      </c>
      <c r="E4759" t="inlineStr">
        <is>
          <t>2024-12</t>
        </is>
      </c>
      <c r="F4759" t="n">
        <v>0</v>
      </c>
    </row>
    <row r="4760">
      <c r="A4760" t="inlineStr">
        <is>
          <t>Milho</t>
        </is>
      </c>
      <c r="B4760" t="inlineStr">
        <is>
          <t>Palmeira das Missões - RS</t>
        </is>
      </c>
      <c r="C4760" t="n">
        <v>-27.9007</v>
      </c>
      <c r="D4760" t="n">
        <v>-53.3134</v>
      </c>
      <c r="E4760" t="inlineStr">
        <is>
          <t>2025-01</t>
        </is>
      </c>
      <c r="F4760" t="n">
        <v>0</v>
      </c>
    </row>
    <row r="4761">
      <c r="A4761" t="inlineStr">
        <is>
          <t>Milho</t>
        </is>
      </c>
      <c r="B4761" t="inlineStr">
        <is>
          <t>Palmeira das Missões - RS</t>
        </is>
      </c>
      <c r="C4761" t="n">
        <v>-27.9007</v>
      </c>
      <c r="D4761" t="n">
        <v>-53.3134</v>
      </c>
      <c r="E4761" t="inlineStr">
        <is>
          <t>2025-02</t>
        </is>
      </c>
      <c r="F4761" t="n">
        <v>0</v>
      </c>
    </row>
    <row r="4762">
      <c r="A4762" t="inlineStr">
        <is>
          <t>Milho</t>
        </is>
      </c>
      <c r="B4762" t="inlineStr">
        <is>
          <t>Palmeira das Missões - RS</t>
        </is>
      </c>
      <c r="C4762" t="n">
        <v>-27.9007</v>
      </c>
      <c r="D4762" t="n">
        <v>-53.3134</v>
      </c>
      <c r="E4762" t="inlineStr">
        <is>
          <t>2025-03</t>
        </is>
      </c>
      <c r="F4762" t="n">
        <v>0</v>
      </c>
    </row>
    <row r="4763">
      <c r="A4763" t="inlineStr">
        <is>
          <t>Milho</t>
        </is>
      </c>
      <c r="B4763" t="inlineStr">
        <is>
          <t>Palmeira das Missões - RS</t>
        </is>
      </c>
      <c r="C4763" t="n">
        <v>-27.9007</v>
      </c>
      <c r="D4763" t="n">
        <v>-53.3134</v>
      </c>
      <c r="E4763" t="inlineStr">
        <is>
          <t>2025-04</t>
        </is>
      </c>
      <c r="F4763" t="n">
        <v>0</v>
      </c>
    </row>
    <row r="4764">
      <c r="A4764" t="inlineStr">
        <is>
          <t>Milho</t>
        </is>
      </c>
      <c r="B4764" t="inlineStr">
        <is>
          <t>Palmeira das Missões - RS</t>
        </is>
      </c>
      <c r="C4764" t="n">
        <v>-27.9007</v>
      </c>
      <c r="D4764" t="n">
        <v>-53.3134</v>
      </c>
      <c r="E4764" t="inlineStr">
        <is>
          <t>2025-05</t>
        </is>
      </c>
      <c r="F4764" t="n">
        <v>0</v>
      </c>
    </row>
    <row r="4765">
      <c r="A4765" t="inlineStr">
        <is>
          <t>Milho</t>
        </is>
      </c>
      <c r="B4765" t="inlineStr">
        <is>
          <t>Palmeira das Missões - RS</t>
        </is>
      </c>
      <c r="C4765" t="n">
        <v>-27.9007</v>
      </c>
      <c r="D4765" t="n">
        <v>-53.3134</v>
      </c>
      <c r="E4765" t="inlineStr">
        <is>
          <t>2025-06</t>
        </is>
      </c>
      <c r="F4765" t="n">
        <v>0</v>
      </c>
    </row>
    <row r="4766">
      <c r="A4766" t="inlineStr">
        <is>
          <t>Milho</t>
        </is>
      </c>
      <c r="B4766" t="inlineStr">
        <is>
          <t>Palmeira das Missões - RS</t>
        </is>
      </c>
      <c r="C4766" t="n">
        <v>-27.9007</v>
      </c>
      <c r="D4766" t="n">
        <v>-53.3134</v>
      </c>
      <c r="E4766" t="inlineStr">
        <is>
          <t>2024-07</t>
        </is>
      </c>
      <c r="F4766" t="n">
        <v>0</v>
      </c>
    </row>
    <row r="4767">
      <c r="A4767" t="inlineStr">
        <is>
          <t>Milho</t>
        </is>
      </c>
      <c r="B4767" t="inlineStr">
        <is>
          <t>Palmeira das Missões - RS</t>
        </is>
      </c>
      <c r="C4767" t="n">
        <v>-27.9007</v>
      </c>
      <c r="D4767" t="n">
        <v>-53.3134</v>
      </c>
      <c r="E4767" t="inlineStr">
        <is>
          <t>2024-08</t>
        </is>
      </c>
      <c r="F4767" t="n">
        <v>0</v>
      </c>
    </row>
    <row r="4768">
      <c r="A4768" t="inlineStr">
        <is>
          <t>Milho</t>
        </is>
      </c>
      <c r="B4768" t="inlineStr">
        <is>
          <t>Palmeira das Missões - RS</t>
        </is>
      </c>
      <c r="C4768" t="n">
        <v>-27.9007</v>
      </c>
      <c r="D4768" t="n">
        <v>-53.3134</v>
      </c>
      <c r="E4768" t="inlineStr">
        <is>
          <t>2024-09</t>
        </is>
      </c>
      <c r="F4768" t="n">
        <v>0</v>
      </c>
    </row>
    <row r="4769">
      <c r="A4769" t="inlineStr">
        <is>
          <t>Milho</t>
        </is>
      </c>
      <c r="B4769" t="inlineStr">
        <is>
          <t>Palmeira das Missões - RS</t>
        </is>
      </c>
      <c r="C4769" t="n">
        <v>-27.9007</v>
      </c>
      <c r="D4769" t="n">
        <v>-53.3134</v>
      </c>
      <c r="E4769" t="inlineStr">
        <is>
          <t>2024-10</t>
        </is>
      </c>
      <c r="F4769" t="n">
        <v>0</v>
      </c>
    </row>
    <row r="4770">
      <c r="A4770" t="inlineStr">
        <is>
          <t>Milho</t>
        </is>
      </c>
      <c r="B4770" t="inlineStr">
        <is>
          <t>Palmeira das Missões - RS</t>
        </is>
      </c>
      <c r="C4770" t="n">
        <v>-27.9007</v>
      </c>
      <c r="D4770" t="n">
        <v>-53.3134</v>
      </c>
      <c r="E4770" t="inlineStr">
        <is>
          <t>2024-11</t>
        </is>
      </c>
      <c r="F4770" t="n">
        <v>0</v>
      </c>
    </row>
    <row r="4771">
      <c r="A4771" t="inlineStr">
        <is>
          <t>Milho</t>
        </is>
      </c>
      <c r="B4771" t="inlineStr">
        <is>
          <t>Palmeira das Missões - RS</t>
        </is>
      </c>
      <c r="C4771" t="n">
        <v>-27.9007</v>
      </c>
      <c r="D4771" t="n">
        <v>-53.3134</v>
      </c>
      <c r="E4771" t="inlineStr">
        <is>
          <t>2024-12</t>
        </is>
      </c>
      <c r="F4771" t="n">
        <v>0</v>
      </c>
    </row>
    <row r="4772">
      <c r="A4772" t="inlineStr">
        <is>
          <t>Milho</t>
        </is>
      </c>
      <c r="B4772" t="inlineStr">
        <is>
          <t>Limoeiro de Anadia - AL</t>
        </is>
      </c>
      <c r="C4772" t="n">
        <v>-9.74098</v>
      </c>
      <c r="D4772" t="n">
        <v>-36.5121</v>
      </c>
      <c r="E4772" t="inlineStr">
        <is>
          <t>2025-01</t>
        </is>
      </c>
      <c r="F4772" t="n">
        <v>0</v>
      </c>
    </row>
    <row r="4773">
      <c r="A4773" t="inlineStr">
        <is>
          <t>Milho</t>
        </is>
      </c>
      <c r="B4773" t="inlineStr">
        <is>
          <t>Limoeiro de Anadia - AL</t>
        </is>
      </c>
      <c r="C4773" t="n">
        <v>-9.74098</v>
      </c>
      <c r="D4773" t="n">
        <v>-36.5121</v>
      </c>
      <c r="E4773" t="inlineStr">
        <is>
          <t>2025-02</t>
        </is>
      </c>
      <c r="F4773" t="n">
        <v>0</v>
      </c>
    </row>
    <row r="4774">
      <c r="A4774" t="inlineStr">
        <is>
          <t>Milho</t>
        </is>
      </c>
      <c r="B4774" t="inlineStr">
        <is>
          <t>Limoeiro de Anadia - AL</t>
        </is>
      </c>
      <c r="C4774" t="n">
        <v>-9.74098</v>
      </c>
      <c r="D4774" t="n">
        <v>-36.5121</v>
      </c>
      <c r="E4774" t="inlineStr">
        <is>
          <t>2025-03</t>
        </is>
      </c>
      <c r="F4774" t="n">
        <v>0</v>
      </c>
    </row>
    <row r="4775">
      <c r="A4775" t="inlineStr">
        <is>
          <t>Milho</t>
        </is>
      </c>
      <c r="B4775" t="inlineStr">
        <is>
          <t>Limoeiro de Anadia - AL</t>
        </is>
      </c>
      <c r="C4775" t="n">
        <v>-9.74098</v>
      </c>
      <c r="D4775" t="n">
        <v>-36.5121</v>
      </c>
      <c r="E4775" t="inlineStr">
        <is>
          <t>2025-04</t>
        </is>
      </c>
      <c r="F4775" t="n">
        <v>0</v>
      </c>
    </row>
    <row r="4776">
      <c r="A4776" t="inlineStr">
        <is>
          <t>Milho</t>
        </is>
      </c>
      <c r="B4776" t="inlineStr">
        <is>
          <t>Limoeiro de Anadia - AL</t>
        </is>
      </c>
      <c r="C4776" t="n">
        <v>-9.74098</v>
      </c>
      <c r="D4776" t="n">
        <v>-36.5121</v>
      </c>
      <c r="E4776" t="inlineStr">
        <is>
          <t>2025-05</t>
        </is>
      </c>
      <c r="F4776" t="n">
        <v>0</v>
      </c>
    </row>
    <row r="4777">
      <c r="A4777" t="inlineStr">
        <is>
          <t>Milho</t>
        </is>
      </c>
      <c r="B4777" t="inlineStr">
        <is>
          <t>Limoeiro de Anadia - AL</t>
        </is>
      </c>
      <c r="C4777" t="n">
        <v>-9.74098</v>
      </c>
      <c r="D4777" t="n">
        <v>-36.5121</v>
      </c>
      <c r="E4777" t="inlineStr">
        <is>
          <t>2025-06</t>
        </is>
      </c>
      <c r="F4777" t="n">
        <v>0</v>
      </c>
    </row>
    <row r="4778">
      <c r="A4778" t="inlineStr">
        <is>
          <t>Milho</t>
        </is>
      </c>
      <c r="B4778" t="inlineStr">
        <is>
          <t>Limoeiro de Anadia - AL</t>
        </is>
      </c>
      <c r="C4778" t="n">
        <v>-9.74098</v>
      </c>
      <c r="D4778" t="n">
        <v>-36.5121</v>
      </c>
      <c r="E4778" t="inlineStr">
        <is>
          <t>2024-07</t>
        </is>
      </c>
      <c r="F4778" t="n">
        <v>0</v>
      </c>
    </row>
    <row r="4779">
      <c r="A4779" t="inlineStr">
        <is>
          <t>Milho</t>
        </is>
      </c>
      <c r="B4779" t="inlineStr">
        <is>
          <t>Limoeiro de Anadia - AL</t>
        </is>
      </c>
      <c r="C4779" t="n">
        <v>-9.74098</v>
      </c>
      <c r="D4779" t="n">
        <v>-36.5121</v>
      </c>
      <c r="E4779" t="inlineStr">
        <is>
          <t>2024-08</t>
        </is>
      </c>
      <c r="F4779" t="n">
        <v>0</v>
      </c>
    </row>
    <row r="4780">
      <c r="A4780" t="inlineStr">
        <is>
          <t>Milho</t>
        </is>
      </c>
      <c r="B4780" t="inlineStr">
        <is>
          <t>Limoeiro de Anadia - AL</t>
        </is>
      </c>
      <c r="C4780" t="n">
        <v>-9.74098</v>
      </c>
      <c r="D4780" t="n">
        <v>-36.5121</v>
      </c>
      <c r="E4780" t="inlineStr">
        <is>
          <t>2024-09</t>
        </is>
      </c>
      <c r="F4780" t="n">
        <v>0</v>
      </c>
    </row>
    <row r="4781">
      <c r="A4781" t="inlineStr">
        <is>
          <t>Milho</t>
        </is>
      </c>
      <c r="B4781" t="inlineStr">
        <is>
          <t>Limoeiro de Anadia - AL</t>
        </is>
      </c>
      <c r="C4781" t="n">
        <v>-9.74098</v>
      </c>
      <c r="D4781" t="n">
        <v>-36.5121</v>
      </c>
      <c r="E4781" t="inlineStr">
        <is>
          <t>2024-10</t>
        </is>
      </c>
      <c r="F4781" t="n">
        <v>0</v>
      </c>
    </row>
    <row r="4782">
      <c r="A4782" t="inlineStr">
        <is>
          <t>Milho</t>
        </is>
      </c>
      <c r="B4782" t="inlineStr">
        <is>
          <t>Limoeiro de Anadia - AL</t>
        </is>
      </c>
      <c r="C4782" t="n">
        <v>-9.74098</v>
      </c>
      <c r="D4782" t="n">
        <v>-36.5121</v>
      </c>
      <c r="E4782" t="inlineStr">
        <is>
          <t>2024-11</t>
        </is>
      </c>
      <c r="F4782" t="n">
        <v>0</v>
      </c>
    </row>
    <row r="4783">
      <c r="A4783" t="inlineStr">
        <is>
          <t>Milho</t>
        </is>
      </c>
      <c r="B4783" t="inlineStr">
        <is>
          <t>Limoeiro de Anadia - AL</t>
        </is>
      </c>
      <c r="C4783" t="n">
        <v>-9.74098</v>
      </c>
      <c r="D4783" t="n">
        <v>-36.5121</v>
      </c>
      <c r="E4783" t="inlineStr">
        <is>
          <t>2024-12</t>
        </is>
      </c>
      <c r="F4783" t="n">
        <v>0</v>
      </c>
    </row>
    <row r="4784">
      <c r="A4784" t="inlineStr">
        <is>
          <t>Milho</t>
        </is>
      </c>
      <c r="B4784" t="inlineStr">
        <is>
          <t>Macapá - AP</t>
        </is>
      </c>
      <c r="C4784" t="n">
        <v>0.034934</v>
      </c>
      <c r="D4784" t="n">
        <v>-51.0694</v>
      </c>
      <c r="E4784" t="inlineStr">
        <is>
          <t>2025-01</t>
        </is>
      </c>
      <c r="F4784" t="n">
        <v>0</v>
      </c>
    </row>
    <row r="4785">
      <c r="A4785" t="inlineStr">
        <is>
          <t>Milho</t>
        </is>
      </c>
      <c r="B4785" t="inlineStr">
        <is>
          <t>Macapá - AP</t>
        </is>
      </c>
      <c r="C4785" t="n">
        <v>0.034934</v>
      </c>
      <c r="D4785" t="n">
        <v>-51.0694</v>
      </c>
      <c r="E4785" t="inlineStr">
        <is>
          <t>2025-02</t>
        </is>
      </c>
      <c r="F4785" t="n">
        <v>0</v>
      </c>
    </row>
    <row r="4786">
      <c r="A4786" t="inlineStr">
        <is>
          <t>Milho</t>
        </is>
      </c>
      <c r="B4786" t="inlineStr">
        <is>
          <t>Macapá - AP</t>
        </is>
      </c>
      <c r="C4786" t="n">
        <v>0.034934</v>
      </c>
      <c r="D4786" t="n">
        <v>-51.0694</v>
      </c>
      <c r="E4786" t="inlineStr">
        <is>
          <t>2025-03</t>
        </is>
      </c>
      <c r="F4786" t="n">
        <v>0</v>
      </c>
    </row>
    <row r="4787">
      <c r="A4787" t="inlineStr">
        <is>
          <t>Milho</t>
        </is>
      </c>
      <c r="B4787" t="inlineStr">
        <is>
          <t>Macapá - AP</t>
        </is>
      </c>
      <c r="C4787" t="n">
        <v>0.034934</v>
      </c>
      <c r="D4787" t="n">
        <v>-51.0694</v>
      </c>
      <c r="E4787" t="inlineStr">
        <is>
          <t>2025-04</t>
        </is>
      </c>
      <c r="F4787" t="n">
        <v>0</v>
      </c>
    </row>
    <row r="4788">
      <c r="A4788" t="inlineStr">
        <is>
          <t>Milho</t>
        </is>
      </c>
      <c r="B4788" t="inlineStr">
        <is>
          <t>Macapá - AP</t>
        </is>
      </c>
      <c r="C4788" t="n">
        <v>0.034934</v>
      </c>
      <c r="D4788" t="n">
        <v>-51.0694</v>
      </c>
      <c r="E4788" t="inlineStr">
        <is>
          <t>2025-05</t>
        </is>
      </c>
      <c r="F4788" t="n">
        <v>0</v>
      </c>
    </row>
    <row r="4789">
      <c r="A4789" t="inlineStr">
        <is>
          <t>Milho</t>
        </is>
      </c>
      <c r="B4789" t="inlineStr">
        <is>
          <t>Macapá - AP</t>
        </is>
      </c>
      <c r="C4789" t="n">
        <v>0.034934</v>
      </c>
      <c r="D4789" t="n">
        <v>-51.0694</v>
      </c>
      <c r="E4789" t="inlineStr">
        <is>
          <t>2025-06</t>
        </is>
      </c>
      <c r="F4789" t="n">
        <v>0</v>
      </c>
    </row>
    <row r="4790">
      <c r="A4790" t="inlineStr">
        <is>
          <t>Milho</t>
        </is>
      </c>
      <c r="B4790" t="inlineStr">
        <is>
          <t>Macapá - AP</t>
        </is>
      </c>
      <c r="C4790" t="n">
        <v>0.034934</v>
      </c>
      <c r="D4790" t="n">
        <v>-51.0694</v>
      </c>
      <c r="E4790" t="inlineStr">
        <is>
          <t>2024-07</t>
        </is>
      </c>
      <c r="F4790" t="n">
        <v>0</v>
      </c>
    </row>
    <row r="4791">
      <c r="A4791" t="inlineStr">
        <is>
          <t>Milho</t>
        </is>
      </c>
      <c r="B4791" t="inlineStr">
        <is>
          <t>Macapá - AP</t>
        </is>
      </c>
      <c r="C4791" t="n">
        <v>0.034934</v>
      </c>
      <c r="D4791" t="n">
        <v>-51.0694</v>
      </c>
      <c r="E4791" t="inlineStr">
        <is>
          <t>2024-08</t>
        </is>
      </c>
      <c r="F4791" t="n">
        <v>0</v>
      </c>
    </row>
    <row r="4792">
      <c r="A4792" t="inlineStr">
        <is>
          <t>Milho</t>
        </is>
      </c>
      <c r="B4792" t="inlineStr">
        <is>
          <t>Macapá - AP</t>
        </is>
      </c>
      <c r="C4792" t="n">
        <v>0.034934</v>
      </c>
      <c r="D4792" t="n">
        <v>-51.0694</v>
      </c>
      <c r="E4792" t="inlineStr">
        <is>
          <t>2024-09</t>
        </is>
      </c>
      <c r="F4792" t="n">
        <v>0</v>
      </c>
    </row>
    <row r="4793">
      <c r="A4793" t="inlineStr">
        <is>
          <t>Milho</t>
        </is>
      </c>
      <c r="B4793" t="inlineStr">
        <is>
          <t>Macapá - AP</t>
        </is>
      </c>
      <c r="C4793" t="n">
        <v>0.034934</v>
      </c>
      <c r="D4793" t="n">
        <v>-51.0694</v>
      </c>
      <c r="E4793" t="inlineStr">
        <is>
          <t>2024-10</t>
        </is>
      </c>
      <c r="F4793" t="n">
        <v>0</v>
      </c>
    </row>
    <row r="4794">
      <c r="A4794" t="inlineStr">
        <is>
          <t>Milho</t>
        </is>
      </c>
      <c r="B4794" t="inlineStr">
        <is>
          <t>Macapá - AP</t>
        </is>
      </c>
      <c r="C4794" t="n">
        <v>0.034934</v>
      </c>
      <c r="D4794" t="n">
        <v>-51.0694</v>
      </c>
      <c r="E4794" t="inlineStr">
        <is>
          <t>2024-11</t>
        </is>
      </c>
      <c r="F4794" t="n">
        <v>0</v>
      </c>
    </row>
    <row r="4795">
      <c r="A4795" t="inlineStr">
        <is>
          <t>Milho</t>
        </is>
      </c>
      <c r="B4795" t="inlineStr">
        <is>
          <t>Macapá - AP</t>
        </is>
      </c>
      <c r="C4795" t="n">
        <v>0.034934</v>
      </c>
      <c r="D4795" t="n">
        <v>-51.0694</v>
      </c>
      <c r="E4795" t="inlineStr">
        <is>
          <t>2024-12</t>
        </is>
      </c>
      <c r="F4795" t="n">
        <v>0</v>
      </c>
    </row>
    <row r="4796">
      <c r="A4796" t="inlineStr">
        <is>
          <t>Milho</t>
        </is>
      </c>
      <c r="B4796" t="inlineStr">
        <is>
          <t>Correntina - BA</t>
        </is>
      </c>
      <c r="C4796" t="n">
        <v>-13.3477</v>
      </c>
      <c r="D4796" t="n">
        <v>-44.6333</v>
      </c>
      <c r="E4796" t="inlineStr">
        <is>
          <t>2025-01</t>
        </is>
      </c>
      <c r="F4796" t="n">
        <v>0</v>
      </c>
    </row>
    <row r="4797">
      <c r="A4797" t="inlineStr">
        <is>
          <t>Milho</t>
        </is>
      </c>
      <c r="B4797" t="inlineStr">
        <is>
          <t>Correntina - BA</t>
        </is>
      </c>
      <c r="C4797" t="n">
        <v>-13.3477</v>
      </c>
      <c r="D4797" t="n">
        <v>-44.6333</v>
      </c>
      <c r="E4797" t="inlineStr">
        <is>
          <t>2025-02</t>
        </is>
      </c>
      <c r="F4797" t="n">
        <v>0</v>
      </c>
    </row>
    <row r="4798">
      <c r="A4798" t="inlineStr">
        <is>
          <t>Milho</t>
        </is>
      </c>
      <c r="B4798" t="inlineStr">
        <is>
          <t>Correntina - BA</t>
        </is>
      </c>
      <c r="C4798" t="n">
        <v>-13.3477</v>
      </c>
      <c r="D4798" t="n">
        <v>-44.6333</v>
      </c>
      <c r="E4798" t="inlineStr">
        <is>
          <t>2025-03</t>
        </is>
      </c>
      <c r="F4798" t="n">
        <v>0</v>
      </c>
    </row>
    <row r="4799">
      <c r="A4799" t="inlineStr">
        <is>
          <t>Milho</t>
        </is>
      </c>
      <c r="B4799" t="inlineStr">
        <is>
          <t>Correntina - BA</t>
        </is>
      </c>
      <c r="C4799" t="n">
        <v>-13.3477</v>
      </c>
      <c r="D4799" t="n">
        <v>-44.6333</v>
      </c>
      <c r="E4799" t="inlineStr">
        <is>
          <t>2025-04</t>
        </is>
      </c>
      <c r="F4799" t="n">
        <v>0</v>
      </c>
    </row>
    <row r="4800">
      <c r="A4800" t="inlineStr">
        <is>
          <t>Milho</t>
        </is>
      </c>
      <c r="B4800" t="inlineStr">
        <is>
          <t>Correntina - BA</t>
        </is>
      </c>
      <c r="C4800" t="n">
        <v>-13.3477</v>
      </c>
      <c r="D4800" t="n">
        <v>-44.6333</v>
      </c>
      <c r="E4800" t="inlineStr">
        <is>
          <t>2025-05</t>
        </is>
      </c>
      <c r="F4800" t="n">
        <v>0</v>
      </c>
    </row>
    <row r="4801">
      <c r="A4801" t="inlineStr">
        <is>
          <t>Milho</t>
        </is>
      </c>
      <c r="B4801" t="inlineStr">
        <is>
          <t>Correntina - BA</t>
        </is>
      </c>
      <c r="C4801" t="n">
        <v>-13.3477</v>
      </c>
      <c r="D4801" t="n">
        <v>-44.6333</v>
      </c>
      <c r="E4801" t="inlineStr">
        <is>
          <t>2025-06</t>
        </is>
      </c>
      <c r="F4801" t="n">
        <v>0</v>
      </c>
    </row>
    <row r="4802">
      <c r="A4802" t="inlineStr">
        <is>
          <t>Milho</t>
        </is>
      </c>
      <c r="B4802" t="inlineStr">
        <is>
          <t>Correntina - BA</t>
        </is>
      </c>
      <c r="C4802" t="n">
        <v>-13.3477</v>
      </c>
      <c r="D4802" t="n">
        <v>-44.6333</v>
      </c>
      <c r="E4802" t="inlineStr">
        <is>
          <t>2024-07</t>
        </is>
      </c>
      <c r="F4802" t="n">
        <v>0</v>
      </c>
    </row>
    <row r="4803">
      <c r="A4803" t="inlineStr">
        <is>
          <t>Milho</t>
        </is>
      </c>
      <c r="B4803" t="inlineStr">
        <is>
          <t>Correntina - BA</t>
        </is>
      </c>
      <c r="C4803" t="n">
        <v>-13.3477</v>
      </c>
      <c r="D4803" t="n">
        <v>-44.6333</v>
      </c>
      <c r="E4803" t="inlineStr">
        <is>
          <t>2024-08</t>
        </is>
      </c>
      <c r="F4803" t="n">
        <v>15097.73340869363</v>
      </c>
    </row>
    <row r="4804">
      <c r="A4804" t="inlineStr">
        <is>
          <t>Milho</t>
        </is>
      </c>
      <c r="B4804" t="inlineStr">
        <is>
          <t>Correntina - BA</t>
        </is>
      </c>
      <c r="C4804" t="n">
        <v>-13.3477</v>
      </c>
      <c r="D4804" t="n">
        <v>-44.6333</v>
      </c>
      <c r="E4804" t="inlineStr">
        <is>
          <t>2024-09</t>
        </is>
      </c>
      <c r="F4804" t="n">
        <v>32653.203021665</v>
      </c>
    </row>
    <row r="4805">
      <c r="A4805" t="inlineStr">
        <is>
          <t>Milho</t>
        </is>
      </c>
      <c r="B4805" t="inlineStr">
        <is>
          <t>Correntina - BA</t>
        </is>
      </c>
      <c r="C4805" t="n">
        <v>-13.3477</v>
      </c>
      <c r="D4805" t="n">
        <v>-44.6333</v>
      </c>
      <c r="E4805" t="inlineStr">
        <is>
          <t>2024-10</t>
        </is>
      </c>
      <c r="F4805" t="n">
        <v>227036.436526196</v>
      </c>
    </row>
    <row r="4806">
      <c r="A4806" t="inlineStr">
        <is>
          <t>Milho</t>
        </is>
      </c>
      <c r="B4806" t="inlineStr">
        <is>
          <t>Correntina - BA</t>
        </is>
      </c>
      <c r="C4806" t="n">
        <v>-13.3477</v>
      </c>
      <c r="D4806" t="n">
        <v>-44.6333</v>
      </c>
      <c r="E4806" t="inlineStr">
        <is>
          <t>2024-11</t>
        </is>
      </c>
      <c r="F4806" t="n">
        <v>340171.0304560625</v>
      </c>
    </row>
    <row r="4807">
      <c r="A4807" t="inlineStr">
        <is>
          <t>Milho</t>
        </is>
      </c>
      <c r="B4807" t="inlineStr">
        <is>
          <t>Correntina - BA</t>
        </is>
      </c>
      <c r="C4807" t="n">
        <v>-13.3477</v>
      </c>
      <c r="D4807" t="n">
        <v>-44.6333</v>
      </c>
      <c r="E4807" t="inlineStr">
        <is>
          <t>2024-12</t>
        </is>
      </c>
      <c r="F4807" t="n">
        <v>0</v>
      </c>
    </row>
    <row r="4808">
      <c r="A4808" t="inlineStr">
        <is>
          <t>Milho</t>
        </is>
      </c>
      <c r="B4808" t="inlineStr">
        <is>
          <t>Crateús - CE</t>
        </is>
      </c>
      <c r="C4808" t="n">
        <v>-5.16768</v>
      </c>
      <c r="D4808" t="n">
        <v>-40.6536</v>
      </c>
      <c r="E4808" t="inlineStr">
        <is>
          <t>2025-01</t>
        </is>
      </c>
      <c r="F4808" t="n">
        <v>0</v>
      </c>
    </row>
    <row r="4809">
      <c r="A4809" t="inlineStr">
        <is>
          <t>Milho</t>
        </is>
      </c>
      <c r="B4809" t="inlineStr">
        <is>
          <t>Crateús - CE</t>
        </is>
      </c>
      <c r="C4809" t="n">
        <v>-5.16768</v>
      </c>
      <c r="D4809" t="n">
        <v>-40.6536</v>
      </c>
      <c r="E4809" t="inlineStr">
        <is>
          <t>2025-02</t>
        </is>
      </c>
      <c r="F4809" t="n">
        <v>0</v>
      </c>
    </row>
    <row r="4810">
      <c r="A4810" t="inlineStr">
        <is>
          <t>Milho</t>
        </is>
      </c>
      <c r="B4810" t="inlineStr">
        <is>
          <t>Crateús - CE</t>
        </is>
      </c>
      <c r="C4810" t="n">
        <v>-5.16768</v>
      </c>
      <c r="D4810" t="n">
        <v>-40.6536</v>
      </c>
      <c r="E4810" t="inlineStr">
        <is>
          <t>2025-03</t>
        </is>
      </c>
      <c r="F4810" t="n">
        <v>0</v>
      </c>
    </row>
    <row r="4811">
      <c r="A4811" t="inlineStr">
        <is>
          <t>Milho</t>
        </is>
      </c>
      <c r="B4811" t="inlineStr">
        <is>
          <t>Crateús - CE</t>
        </is>
      </c>
      <c r="C4811" t="n">
        <v>-5.16768</v>
      </c>
      <c r="D4811" t="n">
        <v>-40.6536</v>
      </c>
      <c r="E4811" t="inlineStr">
        <is>
          <t>2025-04</t>
        </is>
      </c>
      <c r="F4811" t="n">
        <v>0</v>
      </c>
    </row>
    <row r="4812">
      <c r="A4812" t="inlineStr">
        <is>
          <t>Milho</t>
        </is>
      </c>
      <c r="B4812" t="inlineStr">
        <is>
          <t>Crateús - CE</t>
        </is>
      </c>
      <c r="C4812" t="n">
        <v>-5.16768</v>
      </c>
      <c r="D4812" t="n">
        <v>-40.6536</v>
      </c>
      <c r="E4812" t="inlineStr">
        <is>
          <t>2025-05</t>
        </is>
      </c>
      <c r="F4812" t="n">
        <v>41016.83569700852</v>
      </c>
    </row>
    <row r="4813">
      <c r="A4813" t="inlineStr">
        <is>
          <t>Milho</t>
        </is>
      </c>
      <c r="B4813" t="inlineStr">
        <is>
          <t>Crateús - CE</t>
        </is>
      </c>
      <c r="C4813" t="n">
        <v>-5.16768</v>
      </c>
      <c r="D4813" t="n">
        <v>-40.6536</v>
      </c>
      <c r="E4813" t="inlineStr">
        <is>
          <t>2025-06</t>
        </is>
      </c>
      <c r="F4813" t="n">
        <v>35721.85649121093</v>
      </c>
    </row>
    <row r="4814">
      <c r="A4814" t="inlineStr">
        <is>
          <t>Milho</t>
        </is>
      </c>
      <c r="B4814" t="inlineStr">
        <is>
          <t>Crateús - CE</t>
        </is>
      </c>
      <c r="C4814" t="n">
        <v>-5.16768</v>
      </c>
      <c r="D4814" t="n">
        <v>-40.6536</v>
      </c>
      <c r="E4814" t="inlineStr">
        <is>
          <t>2024-07</t>
        </is>
      </c>
      <c r="F4814" t="n">
        <v>80390.2502631242</v>
      </c>
    </row>
    <row r="4815">
      <c r="A4815" t="inlineStr">
        <is>
          <t>Milho</t>
        </is>
      </c>
      <c r="B4815" t="inlineStr">
        <is>
          <t>Crateús - CE</t>
        </is>
      </c>
      <c r="C4815" t="n">
        <v>-5.16768</v>
      </c>
      <c r="D4815" t="n">
        <v>-40.6536</v>
      </c>
      <c r="E4815" t="inlineStr">
        <is>
          <t>2024-08</t>
        </is>
      </c>
      <c r="F4815" t="n">
        <v>40851.7014512861</v>
      </c>
    </row>
    <row r="4816">
      <c r="A4816" t="inlineStr">
        <is>
          <t>Milho</t>
        </is>
      </c>
      <c r="B4816" t="inlineStr">
        <is>
          <t>Crateús - CE</t>
        </is>
      </c>
      <c r="C4816" t="n">
        <v>-5.16768</v>
      </c>
      <c r="D4816" t="n">
        <v>-40.6536</v>
      </c>
      <c r="E4816" t="inlineStr">
        <is>
          <t>2024-09</t>
        </is>
      </c>
      <c r="F4816" t="n">
        <v>22088.3967341279</v>
      </c>
    </row>
    <row r="4817">
      <c r="A4817" t="inlineStr">
        <is>
          <t>Milho</t>
        </is>
      </c>
      <c r="B4817" t="inlineStr">
        <is>
          <t>Crateús - CE</t>
        </is>
      </c>
      <c r="C4817" t="n">
        <v>-5.16768</v>
      </c>
      <c r="D4817" t="n">
        <v>-40.6536</v>
      </c>
      <c r="E4817" t="inlineStr">
        <is>
          <t>2024-10</t>
        </is>
      </c>
      <c r="F4817" t="n">
        <v>0</v>
      </c>
    </row>
    <row r="4818">
      <c r="A4818" t="inlineStr">
        <is>
          <t>Milho</t>
        </is>
      </c>
      <c r="B4818" t="inlineStr">
        <is>
          <t>Crateús - CE</t>
        </is>
      </c>
      <c r="C4818" t="n">
        <v>-5.16768</v>
      </c>
      <c r="D4818" t="n">
        <v>-40.6536</v>
      </c>
      <c r="E4818" t="inlineStr">
        <is>
          <t>2024-11</t>
        </is>
      </c>
      <c r="F4818" t="n">
        <v>0</v>
      </c>
    </row>
    <row r="4819">
      <c r="A4819" t="inlineStr">
        <is>
          <t>Milho</t>
        </is>
      </c>
      <c r="B4819" t="inlineStr">
        <is>
          <t>Crateús - CE</t>
        </is>
      </c>
      <c r="C4819" t="n">
        <v>-5.16768</v>
      </c>
      <c r="D4819" t="n">
        <v>-40.6536</v>
      </c>
      <c r="E4819" t="inlineStr">
        <is>
          <t>2024-12</t>
        </is>
      </c>
      <c r="F4819" t="n">
        <v>0</v>
      </c>
    </row>
    <row r="4820">
      <c r="A4820" t="inlineStr">
        <is>
          <t>Milho</t>
        </is>
      </c>
      <c r="B4820" t="inlineStr">
        <is>
          <t>Brasília - DF</t>
        </is>
      </c>
      <c r="C4820" t="n">
        <v>-15.7795</v>
      </c>
      <c r="D4820" t="n">
        <v>-47.9297</v>
      </c>
      <c r="E4820" t="inlineStr">
        <is>
          <t>2025-01</t>
        </is>
      </c>
      <c r="F4820" t="n">
        <v>0</v>
      </c>
    </row>
    <row r="4821">
      <c r="A4821" t="inlineStr">
        <is>
          <t>Milho</t>
        </is>
      </c>
      <c r="B4821" t="inlineStr">
        <is>
          <t>Brasília - DF</t>
        </is>
      </c>
      <c r="C4821" t="n">
        <v>-15.7795</v>
      </c>
      <c r="D4821" t="n">
        <v>-47.9297</v>
      </c>
      <c r="E4821" t="inlineStr">
        <is>
          <t>2025-02</t>
        </is>
      </c>
      <c r="F4821" t="n">
        <v>0</v>
      </c>
    </row>
    <row r="4822">
      <c r="A4822" t="inlineStr">
        <is>
          <t>Milho</t>
        </is>
      </c>
      <c r="B4822" t="inlineStr">
        <is>
          <t>Brasília - DF</t>
        </is>
      </c>
      <c r="C4822" t="n">
        <v>-15.7795</v>
      </c>
      <c r="D4822" t="n">
        <v>-47.9297</v>
      </c>
      <c r="E4822" t="inlineStr">
        <is>
          <t>2025-03</t>
        </is>
      </c>
      <c r="F4822" t="n">
        <v>0</v>
      </c>
    </row>
    <row r="4823">
      <c r="A4823" t="inlineStr">
        <is>
          <t>Milho</t>
        </is>
      </c>
      <c r="B4823" t="inlineStr">
        <is>
          <t>Brasília - DF</t>
        </is>
      </c>
      <c r="C4823" t="n">
        <v>-15.7795</v>
      </c>
      <c r="D4823" t="n">
        <v>-47.9297</v>
      </c>
      <c r="E4823" t="inlineStr">
        <is>
          <t>2025-04</t>
        </is>
      </c>
      <c r="F4823" t="n">
        <v>0</v>
      </c>
    </row>
    <row r="4824">
      <c r="A4824" t="inlineStr">
        <is>
          <t>Milho</t>
        </is>
      </c>
      <c r="B4824" t="inlineStr">
        <is>
          <t>Brasília - DF</t>
        </is>
      </c>
      <c r="C4824" t="n">
        <v>-15.7795</v>
      </c>
      <c r="D4824" t="n">
        <v>-47.9297</v>
      </c>
      <c r="E4824" t="inlineStr">
        <is>
          <t>2025-05</t>
        </is>
      </c>
      <c r="F4824" t="n">
        <v>37845.40597396914</v>
      </c>
    </row>
    <row r="4825">
      <c r="A4825" t="inlineStr">
        <is>
          <t>Milho</t>
        </is>
      </c>
      <c r="B4825" t="inlineStr">
        <is>
          <t>Brasília - DF</t>
        </is>
      </c>
      <c r="C4825" t="n">
        <v>-15.7795</v>
      </c>
      <c r="D4825" t="n">
        <v>-47.9297</v>
      </c>
      <c r="E4825" t="inlineStr">
        <is>
          <t>2025-06</t>
        </is>
      </c>
      <c r="F4825" t="n">
        <v>54933.05931903558</v>
      </c>
    </row>
    <row r="4826">
      <c r="A4826" t="inlineStr">
        <is>
          <t>Milho</t>
        </is>
      </c>
      <c r="B4826" t="inlineStr">
        <is>
          <t>Brasília - DF</t>
        </is>
      </c>
      <c r="C4826" t="n">
        <v>-15.7795</v>
      </c>
      <c r="D4826" t="n">
        <v>-47.9297</v>
      </c>
      <c r="E4826" t="inlineStr">
        <is>
          <t>2024-07</t>
        </is>
      </c>
      <c r="F4826" t="n">
        <v>52981.75747064219</v>
      </c>
    </row>
    <row r="4827">
      <c r="A4827" t="inlineStr">
        <is>
          <t>Milho</t>
        </is>
      </c>
      <c r="B4827" t="inlineStr">
        <is>
          <t>Brasília - DF</t>
        </is>
      </c>
      <c r="C4827" t="n">
        <v>-15.7795</v>
      </c>
      <c r="D4827" t="n">
        <v>-47.9297</v>
      </c>
      <c r="E4827" t="inlineStr">
        <is>
          <t>2024-08</t>
        </is>
      </c>
      <c r="F4827" t="n">
        <v>37693.03994028152</v>
      </c>
    </row>
    <row r="4828">
      <c r="A4828" t="inlineStr">
        <is>
          <t>Milho</t>
        </is>
      </c>
      <c r="B4828" t="inlineStr">
        <is>
          <t>Brasília - DF</t>
        </is>
      </c>
      <c r="C4828" t="n">
        <v>-15.7795</v>
      </c>
      <c r="D4828" t="n">
        <v>-47.9297</v>
      </c>
      <c r="E4828" t="inlineStr">
        <is>
          <t>2024-09</t>
        </is>
      </c>
      <c r="F4828" t="n">
        <v>0</v>
      </c>
    </row>
    <row r="4829">
      <c r="A4829" t="inlineStr">
        <is>
          <t>Milho</t>
        </is>
      </c>
      <c r="B4829" t="inlineStr">
        <is>
          <t>Brasília - DF</t>
        </is>
      </c>
      <c r="C4829" t="n">
        <v>-15.7795</v>
      </c>
      <c r="D4829" t="n">
        <v>-47.9297</v>
      </c>
      <c r="E4829" t="inlineStr">
        <is>
          <t>2024-10</t>
        </is>
      </c>
      <c r="F4829" t="n">
        <v>0</v>
      </c>
    </row>
    <row r="4830">
      <c r="A4830" t="inlineStr">
        <is>
          <t>Milho</t>
        </is>
      </c>
      <c r="B4830" t="inlineStr">
        <is>
          <t>Brasília - DF</t>
        </is>
      </c>
      <c r="C4830" t="n">
        <v>-15.7795</v>
      </c>
      <c r="D4830" t="n">
        <v>-47.9297</v>
      </c>
      <c r="E4830" t="inlineStr">
        <is>
          <t>2024-11</t>
        </is>
      </c>
      <c r="F4830" t="n">
        <v>0</v>
      </c>
    </row>
    <row r="4831">
      <c r="A4831" t="inlineStr">
        <is>
          <t>Milho</t>
        </is>
      </c>
      <c r="B4831" t="inlineStr">
        <is>
          <t>Brasília - DF</t>
        </is>
      </c>
      <c r="C4831" t="n">
        <v>-15.7795</v>
      </c>
      <c r="D4831" t="n">
        <v>-47.9297</v>
      </c>
      <c r="E4831" t="inlineStr">
        <is>
          <t>2024-12</t>
        </is>
      </c>
      <c r="F4831" t="n">
        <v>0</v>
      </c>
    </row>
    <row r="4832">
      <c r="A4832" t="inlineStr">
        <is>
          <t>Milho</t>
        </is>
      </c>
      <c r="B4832" t="inlineStr">
        <is>
          <t>Pinheiros - ES</t>
        </is>
      </c>
      <c r="C4832" t="n">
        <v>-18.4141</v>
      </c>
      <c r="D4832" t="n">
        <v>-40.2171</v>
      </c>
      <c r="E4832" t="inlineStr">
        <is>
          <t>2025-01</t>
        </is>
      </c>
      <c r="F4832" t="n">
        <v>0</v>
      </c>
    </row>
    <row r="4833">
      <c r="A4833" t="inlineStr">
        <is>
          <t>Milho</t>
        </is>
      </c>
      <c r="B4833" t="inlineStr">
        <is>
          <t>Pinheiros - ES</t>
        </is>
      </c>
      <c r="C4833" t="n">
        <v>-18.4141</v>
      </c>
      <c r="D4833" t="n">
        <v>-40.2171</v>
      </c>
      <c r="E4833" t="inlineStr">
        <is>
          <t>2025-02</t>
        </is>
      </c>
      <c r="F4833" t="n">
        <v>0</v>
      </c>
    </row>
    <row r="4834">
      <c r="A4834" t="inlineStr">
        <is>
          <t>Milho</t>
        </is>
      </c>
      <c r="B4834" t="inlineStr">
        <is>
          <t>Pinheiros - ES</t>
        </is>
      </c>
      <c r="C4834" t="n">
        <v>-18.4141</v>
      </c>
      <c r="D4834" t="n">
        <v>-40.2171</v>
      </c>
      <c r="E4834" t="inlineStr">
        <is>
          <t>2025-03</t>
        </is>
      </c>
      <c r="F4834" t="n">
        <v>0</v>
      </c>
    </row>
    <row r="4835">
      <c r="A4835" t="inlineStr">
        <is>
          <t>Milho</t>
        </is>
      </c>
      <c r="B4835" t="inlineStr">
        <is>
          <t>Pinheiros - ES</t>
        </is>
      </c>
      <c r="C4835" t="n">
        <v>-18.4141</v>
      </c>
      <c r="D4835" t="n">
        <v>-40.2171</v>
      </c>
      <c r="E4835" t="inlineStr">
        <is>
          <t>2025-04</t>
        </is>
      </c>
      <c r="F4835" t="n">
        <v>0</v>
      </c>
    </row>
    <row r="4836">
      <c r="A4836" t="inlineStr">
        <is>
          <t>Milho</t>
        </is>
      </c>
      <c r="B4836" t="inlineStr">
        <is>
          <t>Pinheiros - ES</t>
        </is>
      </c>
      <c r="C4836" t="n">
        <v>-18.4141</v>
      </c>
      <c r="D4836" t="n">
        <v>-40.2171</v>
      </c>
      <c r="E4836" t="inlineStr">
        <is>
          <t>2025-05</t>
        </is>
      </c>
      <c r="F4836" t="n">
        <v>0</v>
      </c>
    </row>
    <row r="4837">
      <c r="A4837" t="inlineStr">
        <is>
          <t>Milho</t>
        </is>
      </c>
      <c r="B4837" t="inlineStr">
        <is>
          <t>Pinheiros - ES</t>
        </is>
      </c>
      <c r="C4837" t="n">
        <v>-18.4141</v>
      </c>
      <c r="D4837" t="n">
        <v>-40.2171</v>
      </c>
      <c r="E4837" t="inlineStr">
        <is>
          <t>2025-06</t>
        </is>
      </c>
      <c r="F4837" t="n">
        <v>1868.573111814987</v>
      </c>
    </row>
    <row r="4838">
      <c r="A4838" t="inlineStr">
        <is>
          <t>Milho</t>
        </is>
      </c>
      <c r="B4838" t="inlineStr">
        <is>
          <t>Pinheiros - ES</t>
        </is>
      </c>
      <c r="C4838" t="n">
        <v>-18.4141</v>
      </c>
      <c r="D4838" t="n">
        <v>-40.2171</v>
      </c>
      <c r="E4838" t="inlineStr">
        <is>
          <t>2024-07</t>
        </is>
      </c>
      <c r="F4838" t="n">
        <v>4205.130271734641</v>
      </c>
    </row>
    <row r="4839">
      <c r="A4839" t="inlineStr">
        <is>
          <t>Milho</t>
        </is>
      </c>
      <c r="B4839" t="inlineStr">
        <is>
          <t>Pinheiros - ES</t>
        </is>
      </c>
      <c r="C4839" t="n">
        <v>-18.4141</v>
      </c>
      <c r="D4839" t="n">
        <v>-40.2171</v>
      </c>
      <c r="E4839" t="inlineStr">
        <is>
          <t>2024-08</t>
        </is>
      </c>
      <c r="F4839" t="n">
        <v>2136.909959384332</v>
      </c>
    </row>
    <row r="4840">
      <c r="A4840" t="inlineStr">
        <is>
          <t>Milho</t>
        </is>
      </c>
      <c r="B4840" t="inlineStr">
        <is>
          <t>Pinheiros - ES</t>
        </is>
      </c>
      <c r="C4840" t="n">
        <v>-18.4141</v>
      </c>
      <c r="D4840" t="n">
        <v>-40.2171</v>
      </c>
      <c r="E4840" t="inlineStr">
        <is>
          <t>2024-09</t>
        </is>
      </c>
      <c r="F4840" t="n">
        <v>1155.421029997375</v>
      </c>
    </row>
    <row r="4841">
      <c r="A4841" t="inlineStr">
        <is>
          <t>Milho</t>
        </is>
      </c>
      <c r="B4841" t="inlineStr">
        <is>
          <t>Pinheiros - ES</t>
        </is>
      </c>
      <c r="C4841" t="n">
        <v>-18.4141</v>
      </c>
      <c r="D4841" t="n">
        <v>-40.2171</v>
      </c>
      <c r="E4841" t="inlineStr">
        <is>
          <t>2024-10</t>
        </is>
      </c>
      <c r="F4841" t="n">
        <v>0</v>
      </c>
    </row>
    <row r="4842">
      <c r="A4842" t="inlineStr">
        <is>
          <t>Milho</t>
        </is>
      </c>
      <c r="B4842" t="inlineStr">
        <is>
          <t>Pinheiros - ES</t>
        </is>
      </c>
      <c r="C4842" t="n">
        <v>-18.4141</v>
      </c>
      <c r="D4842" t="n">
        <v>-40.2171</v>
      </c>
      <c r="E4842" t="inlineStr">
        <is>
          <t>2024-11</t>
        </is>
      </c>
      <c r="F4842" t="n">
        <v>0</v>
      </c>
    </row>
    <row r="4843">
      <c r="A4843" t="inlineStr">
        <is>
          <t>Milho</t>
        </is>
      </c>
      <c r="B4843" t="inlineStr">
        <is>
          <t>Pinheiros - ES</t>
        </is>
      </c>
      <c r="C4843" t="n">
        <v>-18.4141</v>
      </c>
      <c r="D4843" t="n">
        <v>-40.2171</v>
      </c>
      <c r="E4843" t="inlineStr">
        <is>
          <t>2024-12</t>
        </is>
      </c>
      <c r="F4843" t="n">
        <v>0</v>
      </c>
    </row>
    <row r="4844">
      <c r="A4844" t="inlineStr">
        <is>
          <t>Milho</t>
        </is>
      </c>
      <c r="B4844" t="inlineStr">
        <is>
          <t>Rio Verde - GO</t>
        </is>
      </c>
      <c r="C4844" t="n">
        <v>-17.7923</v>
      </c>
      <c r="D4844" t="n">
        <v>-50.9192</v>
      </c>
      <c r="E4844" t="inlineStr">
        <is>
          <t>2025-01</t>
        </is>
      </c>
      <c r="F4844" t="n">
        <v>0</v>
      </c>
    </row>
    <row r="4845">
      <c r="A4845" t="inlineStr">
        <is>
          <t>Milho</t>
        </is>
      </c>
      <c r="B4845" t="inlineStr">
        <is>
          <t>Rio Verde - GO</t>
        </is>
      </c>
      <c r="C4845" t="n">
        <v>-17.7923</v>
      </c>
      <c r="D4845" t="n">
        <v>-50.9192</v>
      </c>
      <c r="E4845" t="inlineStr">
        <is>
          <t>2025-02</t>
        </is>
      </c>
      <c r="F4845" t="n">
        <v>0</v>
      </c>
    </row>
    <row r="4846">
      <c r="A4846" t="inlineStr">
        <is>
          <t>Milho</t>
        </is>
      </c>
      <c r="B4846" t="inlineStr">
        <is>
          <t>Rio Verde - GO</t>
        </is>
      </c>
      <c r="C4846" t="n">
        <v>-17.7923</v>
      </c>
      <c r="D4846" t="n">
        <v>-50.9192</v>
      </c>
      <c r="E4846" t="inlineStr">
        <is>
          <t>2025-03</t>
        </is>
      </c>
      <c r="F4846" t="n">
        <v>0</v>
      </c>
    </row>
    <row r="4847">
      <c r="A4847" t="inlineStr">
        <is>
          <t>Milho</t>
        </is>
      </c>
      <c r="B4847" t="inlineStr">
        <is>
          <t>Rio Verde - GO</t>
        </is>
      </c>
      <c r="C4847" t="n">
        <v>-17.7923</v>
      </c>
      <c r="D4847" t="n">
        <v>-50.9192</v>
      </c>
      <c r="E4847" t="inlineStr">
        <is>
          <t>2025-04</t>
        </is>
      </c>
      <c r="F4847" t="n">
        <v>0</v>
      </c>
    </row>
    <row r="4848">
      <c r="A4848" t="inlineStr">
        <is>
          <t>Milho</t>
        </is>
      </c>
      <c r="B4848" t="inlineStr">
        <is>
          <t>Rio Verde - GO</t>
        </is>
      </c>
      <c r="C4848" t="n">
        <v>-17.7923</v>
      </c>
      <c r="D4848" t="n">
        <v>-50.9192</v>
      </c>
      <c r="E4848" t="inlineStr">
        <is>
          <t>2025-05</t>
        </is>
      </c>
      <c r="F4848" t="n">
        <v>1638225.815197415</v>
      </c>
    </row>
    <row r="4849">
      <c r="A4849" t="inlineStr">
        <is>
          <t>Milho</t>
        </is>
      </c>
      <c r="B4849" t="inlineStr">
        <is>
          <t>Rio Verde - GO</t>
        </is>
      </c>
      <c r="C4849" t="n">
        <v>-17.7923</v>
      </c>
      <c r="D4849" t="n">
        <v>-50.9192</v>
      </c>
      <c r="E4849" t="inlineStr">
        <is>
          <t>2025-06</t>
        </is>
      </c>
      <c r="F4849" t="n">
        <v>2377904.360336731</v>
      </c>
    </row>
    <row r="4850">
      <c r="A4850" t="inlineStr">
        <is>
          <t>Milho</t>
        </is>
      </c>
      <c r="B4850" t="inlineStr">
        <is>
          <t>Rio Verde - GO</t>
        </is>
      </c>
      <c r="C4850" t="n">
        <v>-17.7923</v>
      </c>
      <c r="D4850" t="n">
        <v>-50.9192</v>
      </c>
      <c r="E4850" t="inlineStr">
        <is>
          <t>2024-07</t>
        </is>
      </c>
      <c r="F4850" t="n">
        <v>2293437.752593661</v>
      </c>
    </row>
    <row r="4851">
      <c r="A4851" t="inlineStr">
        <is>
          <t>Milho</t>
        </is>
      </c>
      <c r="B4851" t="inlineStr">
        <is>
          <t>Rio Verde - GO</t>
        </is>
      </c>
      <c r="C4851" t="n">
        <v>-17.7923</v>
      </c>
      <c r="D4851" t="n">
        <v>-50.9192</v>
      </c>
      <c r="E4851" t="inlineStr">
        <is>
          <t>2024-08</t>
        </is>
      </c>
      <c r="F4851" t="n">
        <v>1631630.29948494</v>
      </c>
    </row>
    <row r="4852">
      <c r="A4852" t="inlineStr">
        <is>
          <t>Milho</t>
        </is>
      </c>
      <c r="B4852" t="inlineStr">
        <is>
          <t>Rio Verde - GO</t>
        </is>
      </c>
      <c r="C4852" t="n">
        <v>-17.7923</v>
      </c>
      <c r="D4852" t="n">
        <v>-50.9192</v>
      </c>
      <c r="E4852" t="inlineStr">
        <is>
          <t>2024-09</t>
        </is>
      </c>
      <c r="F4852" t="n">
        <v>882217.7803640212</v>
      </c>
    </row>
    <row r="4853">
      <c r="A4853" t="inlineStr">
        <is>
          <t>Milho</t>
        </is>
      </c>
      <c r="B4853" t="inlineStr">
        <is>
          <t>Rio Verde - GO</t>
        </is>
      </c>
      <c r="C4853" t="n">
        <v>-17.7923</v>
      </c>
      <c r="D4853" t="n">
        <v>-50.9192</v>
      </c>
      <c r="E4853" t="inlineStr">
        <is>
          <t>2024-10</t>
        </is>
      </c>
      <c r="F4853" t="n">
        <v>0</v>
      </c>
    </row>
    <row r="4854">
      <c r="A4854" t="inlineStr">
        <is>
          <t>Milho</t>
        </is>
      </c>
      <c r="B4854" t="inlineStr">
        <is>
          <t>Rio Verde - GO</t>
        </is>
      </c>
      <c r="C4854" t="n">
        <v>-17.7923</v>
      </c>
      <c r="D4854" t="n">
        <v>-50.9192</v>
      </c>
      <c r="E4854" t="inlineStr">
        <is>
          <t>2024-11</t>
        </is>
      </c>
      <c r="F4854" t="n">
        <v>0</v>
      </c>
    </row>
    <row r="4855">
      <c r="A4855" t="inlineStr">
        <is>
          <t>Milho</t>
        </is>
      </c>
      <c r="B4855" t="inlineStr">
        <is>
          <t>Rio Verde - GO</t>
        </is>
      </c>
      <c r="C4855" t="n">
        <v>-17.7923</v>
      </c>
      <c r="D4855" t="n">
        <v>-50.9192</v>
      </c>
      <c r="E4855" t="inlineStr">
        <is>
          <t>2024-12</t>
        </is>
      </c>
      <c r="F4855" t="n">
        <v>0</v>
      </c>
    </row>
    <row r="4856">
      <c r="A4856" t="inlineStr">
        <is>
          <t>Milho</t>
        </is>
      </c>
      <c r="B4856" t="inlineStr">
        <is>
          <t>Balsas - MA</t>
        </is>
      </c>
      <c r="C4856" t="n">
        <v>-7.53214</v>
      </c>
      <c r="D4856" t="n">
        <v>-46.0372</v>
      </c>
      <c r="E4856" t="inlineStr">
        <is>
          <t>2025-01</t>
        </is>
      </c>
      <c r="F4856" t="n">
        <v>0</v>
      </c>
    </row>
    <row r="4857">
      <c r="A4857" t="inlineStr">
        <is>
          <t>Milho</t>
        </is>
      </c>
      <c r="B4857" t="inlineStr">
        <is>
          <t>Balsas - MA</t>
        </is>
      </c>
      <c r="C4857" t="n">
        <v>-7.53214</v>
      </c>
      <c r="D4857" t="n">
        <v>-46.0372</v>
      </c>
      <c r="E4857" t="inlineStr">
        <is>
          <t>2025-02</t>
        </is>
      </c>
      <c r="F4857" t="n">
        <v>0</v>
      </c>
    </row>
    <row r="4858">
      <c r="A4858" t="inlineStr">
        <is>
          <t>Milho</t>
        </is>
      </c>
      <c r="B4858" t="inlineStr">
        <is>
          <t>Balsas - MA</t>
        </is>
      </c>
      <c r="C4858" t="n">
        <v>-7.53214</v>
      </c>
      <c r="D4858" t="n">
        <v>-46.0372</v>
      </c>
      <c r="E4858" t="inlineStr">
        <is>
          <t>2025-03</t>
        </is>
      </c>
      <c r="F4858" t="n">
        <v>0</v>
      </c>
    </row>
    <row r="4859">
      <c r="A4859" t="inlineStr">
        <is>
          <t>Milho</t>
        </is>
      </c>
      <c r="B4859" t="inlineStr">
        <is>
          <t>Balsas - MA</t>
        </is>
      </c>
      <c r="C4859" t="n">
        <v>-7.53214</v>
      </c>
      <c r="D4859" t="n">
        <v>-46.0372</v>
      </c>
      <c r="E4859" t="inlineStr">
        <is>
          <t>2025-04</t>
        </is>
      </c>
      <c r="F4859" t="n">
        <v>0</v>
      </c>
    </row>
    <row r="4860">
      <c r="A4860" t="inlineStr">
        <is>
          <t>Milho</t>
        </is>
      </c>
      <c r="B4860" t="inlineStr">
        <is>
          <t>Balsas - MA</t>
        </is>
      </c>
      <c r="C4860" t="n">
        <v>-7.53214</v>
      </c>
      <c r="D4860" t="n">
        <v>-46.0372</v>
      </c>
      <c r="E4860" t="inlineStr">
        <is>
          <t>2025-05</t>
        </is>
      </c>
      <c r="F4860" t="n">
        <v>265410.9874652482</v>
      </c>
    </row>
    <row r="4861">
      <c r="A4861" t="inlineStr">
        <is>
          <t>Milho</t>
        </is>
      </c>
      <c r="B4861" t="inlineStr">
        <is>
          <t>Balsas - MA</t>
        </is>
      </c>
      <c r="C4861" t="n">
        <v>-7.53214</v>
      </c>
      <c r="D4861" t="n">
        <v>-46.0372</v>
      </c>
      <c r="E4861" t="inlineStr">
        <is>
          <t>2025-06</t>
        </is>
      </c>
      <c r="F4861" t="n">
        <v>385247.2220374806</v>
      </c>
    </row>
    <row r="4862">
      <c r="A4862" t="inlineStr">
        <is>
          <t>Milho</t>
        </is>
      </c>
      <c r="B4862" t="inlineStr">
        <is>
          <t>Balsas - MA</t>
        </is>
      </c>
      <c r="C4862" t="n">
        <v>-7.53214</v>
      </c>
      <c r="D4862" t="n">
        <v>-46.0372</v>
      </c>
      <c r="E4862" t="inlineStr">
        <is>
          <t>2024-07</t>
        </is>
      </c>
      <c r="F4862" t="n">
        <v>371562.6826040531</v>
      </c>
    </row>
    <row r="4863">
      <c r="A4863" t="inlineStr">
        <is>
          <t>Milho</t>
        </is>
      </c>
      <c r="B4863" t="inlineStr">
        <is>
          <t>Balsas - MA</t>
        </is>
      </c>
      <c r="C4863" t="n">
        <v>-7.53214</v>
      </c>
      <c r="D4863" t="n">
        <v>-46.0372</v>
      </c>
      <c r="E4863" t="inlineStr">
        <is>
          <t>2024-08</t>
        </is>
      </c>
      <c r="F4863" t="n">
        <v>264342.439819465</v>
      </c>
    </row>
    <row r="4864">
      <c r="A4864" t="inlineStr">
        <is>
          <t>Milho</t>
        </is>
      </c>
      <c r="B4864" t="inlineStr">
        <is>
          <t>Balsas - MA</t>
        </is>
      </c>
      <c r="C4864" t="n">
        <v>-7.53214</v>
      </c>
      <c r="D4864" t="n">
        <v>-46.0372</v>
      </c>
      <c r="E4864" t="inlineStr">
        <is>
          <t>2024-09</t>
        </is>
      </c>
      <c r="F4864" t="n">
        <v>0</v>
      </c>
    </row>
    <row r="4865">
      <c r="A4865" t="inlineStr">
        <is>
          <t>Milho</t>
        </is>
      </c>
      <c r="B4865" t="inlineStr">
        <is>
          <t>Balsas - MA</t>
        </is>
      </c>
      <c r="C4865" t="n">
        <v>-7.53214</v>
      </c>
      <c r="D4865" t="n">
        <v>-46.0372</v>
      </c>
      <c r="E4865" t="inlineStr">
        <is>
          <t>2024-10</t>
        </is>
      </c>
      <c r="F4865" t="n">
        <v>0</v>
      </c>
    </row>
    <row r="4866">
      <c r="A4866" t="inlineStr">
        <is>
          <t>Milho</t>
        </is>
      </c>
      <c r="B4866" t="inlineStr">
        <is>
          <t>Balsas - MA</t>
        </is>
      </c>
      <c r="C4866" t="n">
        <v>-7.53214</v>
      </c>
      <c r="D4866" t="n">
        <v>-46.0372</v>
      </c>
      <c r="E4866" t="inlineStr">
        <is>
          <t>2024-11</t>
        </is>
      </c>
      <c r="F4866" t="n">
        <v>0</v>
      </c>
    </row>
    <row r="4867">
      <c r="A4867" t="inlineStr">
        <is>
          <t>Milho</t>
        </is>
      </c>
      <c r="B4867" t="inlineStr">
        <is>
          <t>Balsas - MA</t>
        </is>
      </c>
      <c r="C4867" t="n">
        <v>-7.53214</v>
      </c>
      <c r="D4867" t="n">
        <v>-46.0372</v>
      </c>
      <c r="E4867" t="inlineStr">
        <is>
          <t>2024-12</t>
        </is>
      </c>
      <c r="F4867" t="n">
        <v>0</v>
      </c>
    </row>
    <row r="4868">
      <c r="A4868" t="inlineStr">
        <is>
          <t>Milho</t>
        </is>
      </c>
      <c r="B4868" t="inlineStr">
        <is>
          <t>Unaí - MG</t>
        </is>
      </c>
      <c r="C4868" t="n">
        <v>-16.3592</v>
      </c>
      <c r="D4868" t="n">
        <v>-46.9022</v>
      </c>
      <c r="E4868" t="inlineStr">
        <is>
          <t>2025-01</t>
        </is>
      </c>
      <c r="F4868" t="n">
        <v>0</v>
      </c>
    </row>
    <row r="4869">
      <c r="A4869" t="inlineStr">
        <is>
          <t>Milho</t>
        </is>
      </c>
      <c r="B4869" t="inlineStr">
        <is>
          <t>Unaí - MG</t>
        </is>
      </c>
      <c r="C4869" t="n">
        <v>-16.3592</v>
      </c>
      <c r="D4869" t="n">
        <v>-46.9022</v>
      </c>
      <c r="E4869" t="inlineStr">
        <is>
          <t>2025-02</t>
        </is>
      </c>
      <c r="F4869" t="n">
        <v>0</v>
      </c>
    </row>
    <row r="4870">
      <c r="A4870" t="inlineStr">
        <is>
          <t>Milho</t>
        </is>
      </c>
      <c r="B4870" t="inlineStr">
        <is>
          <t>Unaí - MG</t>
        </is>
      </c>
      <c r="C4870" t="n">
        <v>-16.3592</v>
      </c>
      <c r="D4870" t="n">
        <v>-46.9022</v>
      </c>
      <c r="E4870" t="inlineStr">
        <is>
          <t>2025-03</t>
        </is>
      </c>
      <c r="F4870" t="n">
        <v>0</v>
      </c>
    </row>
    <row r="4871">
      <c r="A4871" t="inlineStr">
        <is>
          <t>Milho</t>
        </is>
      </c>
      <c r="B4871" t="inlineStr">
        <is>
          <t>Unaí - MG</t>
        </is>
      </c>
      <c r="C4871" t="n">
        <v>-16.3592</v>
      </c>
      <c r="D4871" t="n">
        <v>-46.9022</v>
      </c>
      <c r="E4871" t="inlineStr">
        <is>
          <t>2025-04</t>
        </is>
      </c>
      <c r="F4871" t="n">
        <v>0</v>
      </c>
    </row>
    <row r="4872">
      <c r="A4872" t="inlineStr">
        <is>
          <t>Milho</t>
        </is>
      </c>
      <c r="B4872" t="inlineStr">
        <is>
          <t>Unaí - MG</t>
        </is>
      </c>
      <c r="C4872" t="n">
        <v>-16.3592</v>
      </c>
      <c r="D4872" t="n">
        <v>-46.9022</v>
      </c>
      <c r="E4872" t="inlineStr">
        <is>
          <t>2025-05</t>
        </is>
      </c>
      <c r="F4872" t="n">
        <v>193284.9140546941</v>
      </c>
    </row>
    <row r="4873">
      <c r="A4873" t="inlineStr">
        <is>
          <t>Milho</t>
        </is>
      </c>
      <c r="B4873" t="inlineStr">
        <is>
          <t>Unaí - MG</t>
        </is>
      </c>
      <c r="C4873" t="n">
        <v>-16.3592</v>
      </c>
      <c r="D4873" t="n">
        <v>-46.9022</v>
      </c>
      <c r="E4873" t="inlineStr">
        <is>
          <t>2025-06</t>
        </is>
      </c>
      <c r="F4873" t="n">
        <v>336666.4368154266</v>
      </c>
    </row>
    <row r="4874">
      <c r="A4874" t="inlineStr">
        <is>
          <t>Milho</t>
        </is>
      </c>
      <c r="B4874" t="inlineStr">
        <is>
          <t>Unaí - MG</t>
        </is>
      </c>
      <c r="C4874" t="n">
        <v>-16.3592</v>
      </c>
      <c r="D4874" t="n">
        <v>-46.9022</v>
      </c>
      <c r="E4874" t="inlineStr">
        <is>
          <t>2024-07</t>
        </is>
      </c>
      <c r="F4874" t="n">
        <v>757650.9669212039</v>
      </c>
    </row>
    <row r="4875">
      <c r="A4875" t="inlineStr">
        <is>
          <t>Milho</t>
        </is>
      </c>
      <c r="B4875" t="inlineStr">
        <is>
          <t>Unaí - MG</t>
        </is>
      </c>
      <c r="C4875" t="n">
        <v>-16.3592</v>
      </c>
      <c r="D4875" t="n">
        <v>-46.9022</v>
      </c>
      <c r="E4875" t="inlineStr">
        <is>
          <t>2024-08</t>
        </is>
      </c>
      <c r="F4875" t="n">
        <v>385013.4935970081</v>
      </c>
    </row>
    <row r="4876">
      <c r="A4876" t="inlineStr">
        <is>
          <t>Milho</t>
        </is>
      </c>
      <c r="B4876" t="inlineStr">
        <is>
          <t>Unaí - MG</t>
        </is>
      </c>
      <c r="C4876" t="n">
        <v>-16.3592</v>
      </c>
      <c r="D4876" t="n">
        <v>-46.9022</v>
      </c>
      <c r="E4876" t="inlineStr">
        <is>
          <t>2024-09</t>
        </is>
      </c>
      <c r="F4876" t="n">
        <v>208175.6816103333</v>
      </c>
    </row>
    <row r="4877">
      <c r="A4877" t="inlineStr">
        <is>
          <t>Milho</t>
        </is>
      </c>
      <c r="B4877" t="inlineStr">
        <is>
          <t>Unaí - MG</t>
        </is>
      </c>
      <c r="C4877" t="n">
        <v>-16.3592</v>
      </c>
      <c r="D4877" t="n">
        <v>-46.9022</v>
      </c>
      <c r="E4877" t="inlineStr">
        <is>
          <t>2024-10</t>
        </is>
      </c>
      <c r="F4877" t="n">
        <v>0</v>
      </c>
    </row>
    <row r="4878">
      <c r="A4878" t="inlineStr">
        <is>
          <t>Milho</t>
        </is>
      </c>
      <c r="B4878" t="inlineStr">
        <is>
          <t>Unaí - MG</t>
        </is>
      </c>
      <c r="C4878" t="n">
        <v>-16.3592</v>
      </c>
      <c r="D4878" t="n">
        <v>-46.9022</v>
      </c>
      <c r="E4878" t="inlineStr">
        <is>
          <t>2024-11</t>
        </is>
      </c>
      <c r="F4878" t="n">
        <v>0</v>
      </c>
    </row>
    <row r="4879">
      <c r="A4879" t="inlineStr">
        <is>
          <t>Milho</t>
        </is>
      </c>
      <c r="B4879" t="inlineStr">
        <is>
          <t>Unaí - MG</t>
        </is>
      </c>
      <c r="C4879" t="n">
        <v>-16.3592</v>
      </c>
      <c r="D4879" t="n">
        <v>-46.9022</v>
      </c>
      <c r="E4879" t="inlineStr">
        <is>
          <t>2024-12</t>
        </is>
      </c>
      <c r="F4879" t="n">
        <v>0</v>
      </c>
    </row>
    <row r="4880">
      <c r="A4880" t="inlineStr">
        <is>
          <t>Milho</t>
        </is>
      </c>
      <c r="B4880" t="inlineStr">
        <is>
          <t>Maracaju - MS</t>
        </is>
      </c>
      <c r="C4880" t="n">
        <v>-21.6105</v>
      </c>
      <c r="D4880" t="n">
        <v>-55.1678</v>
      </c>
      <c r="E4880" t="inlineStr">
        <is>
          <t>2025-01</t>
        </is>
      </c>
      <c r="F4880" t="n">
        <v>0</v>
      </c>
    </row>
    <row r="4881">
      <c r="A4881" t="inlineStr">
        <is>
          <t>Milho</t>
        </is>
      </c>
      <c r="B4881" t="inlineStr">
        <is>
          <t>Maracaju - MS</t>
        </is>
      </c>
      <c r="C4881" t="n">
        <v>-21.6105</v>
      </c>
      <c r="D4881" t="n">
        <v>-55.1678</v>
      </c>
      <c r="E4881" t="inlineStr">
        <is>
          <t>2025-02</t>
        </is>
      </c>
      <c r="F4881" t="n">
        <v>0</v>
      </c>
    </row>
    <row r="4882">
      <c r="A4882" t="inlineStr">
        <is>
          <t>Milho</t>
        </is>
      </c>
      <c r="B4882" t="inlineStr">
        <is>
          <t>Maracaju - MS</t>
        </is>
      </c>
      <c r="C4882" t="n">
        <v>-21.6105</v>
      </c>
      <c r="D4882" t="n">
        <v>-55.1678</v>
      </c>
      <c r="E4882" t="inlineStr">
        <is>
          <t>2025-03</t>
        </is>
      </c>
      <c r="F4882" t="n">
        <v>0</v>
      </c>
    </row>
    <row r="4883">
      <c r="A4883" t="inlineStr">
        <is>
          <t>Milho</t>
        </is>
      </c>
      <c r="B4883" t="inlineStr">
        <is>
          <t>Maracaju - MS</t>
        </is>
      </c>
      <c r="C4883" t="n">
        <v>-21.6105</v>
      </c>
      <c r="D4883" t="n">
        <v>-55.1678</v>
      </c>
      <c r="E4883" t="inlineStr">
        <is>
          <t>2025-04</t>
        </is>
      </c>
      <c r="F4883" t="n">
        <v>0</v>
      </c>
    </row>
    <row r="4884">
      <c r="A4884" t="inlineStr">
        <is>
          <t>Milho</t>
        </is>
      </c>
      <c r="B4884" t="inlineStr">
        <is>
          <t>Maracaju - MS</t>
        </is>
      </c>
      <c r="C4884" t="n">
        <v>-21.6105</v>
      </c>
      <c r="D4884" t="n">
        <v>-55.1678</v>
      </c>
      <c r="E4884" t="inlineStr">
        <is>
          <t>2025-05</t>
        </is>
      </c>
      <c r="F4884" t="n">
        <v>797457.9764408334</v>
      </c>
    </row>
    <row r="4885">
      <c r="A4885" t="inlineStr">
        <is>
          <t>Milho</t>
        </is>
      </c>
      <c r="B4885" t="inlineStr">
        <is>
          <t>Maracaju - MS</t>
        </is>
      </c>
      <c r="C4885" t="n">
        <v>-21.6105</v>
      </c>
      <c r="D4885" t="n">
        <v>-55.1678</v>
      </c>
      <c r="E4885" t="inlineStr">
        <is>
          <t>2025-06</t>
        </is>
      </c>
      <c r="F4885" t="n">
        <v>1389023.746376834</v>
      </c>
    </row>
    <row r="4886">
      <c r="A4886" t="inlineStr">
        <is>
          <t>Milho</t>
        </is>
      </c>
      <c r="B4886" t="inlineStr">
        <is>
          <t>Maracaju - MS</t>
        </is>
      </c>
      <c r="C4886" t="n">
        <v>-21.6105</v>
      </c>
      <c r="D4886" t="n">
        <v>-55.1678</v>
      </c>
      <c r="E4886" t="inlineStr">
        <is>
          <t>2024-07</t>
        </is>
      </c>
      <c r="F4886" t="n">
        <v>3125928.424804296</v>
      </c>
    </row>
    <row r="4887">
      <c r="A4887" t="inlineStr">
        <is>
          <t>Milho</t>
        </is>
      </c>
      <c r="B4887" t="inlineStr">
        <is>
          <t>Maracaju - MS</t>
        </is>
      </c>
      <c r="C4887" t="n">
        <v>-21.6105</v>
      </c>
      <c r="D4887" t="n">
        <v>-55.1678</v>
      </c>
      <c r="E4887" t="inlineStr">
        <is>
          <t>2024-08</t>
        </is>
      </c>
      <c r="F4887" t="n">
        <v>1588494.803166089</v>
      </c>
    </row>
    <row r="4888">
      <c r="A4888" t="inlineStr">
        <is>
          <t>Milho</t>
        </is>
      </c>
      <c r="B4888" t="inlineStr">
        <is>
          <t>Maracaju - MS</t>
        </is>
      </c>
      <c r="C4888" t="n">
        <v>-21.6105</v>
      </c>
      <c r="D4888" t="n">
        <v>-55.1678</v>
      </c>
      <c r="E4888" t="inlineStr">
        <is>
          <t>2024-09</t>
        </is>
      </c>
      <c r="F4888" t="n">
        <v>1717789.084710368</v>
      </c>
    </row>
    <row r="4889">
      <c r="A4889" t="inlineStr">
        <is>
          <t>Milho</t>
        </is>
      </c>
      <c r="B4889" t="inlineStr">
        <is>
          <t>Maracaju - MS</t>
        </is>
      </c>
      <c r="C4889" t="n">
        <v>-21.6105</v>
      </c>
      <c r="D4889" t="n">
        <v>-55.1678</v>
      </c>
      <c r="E4889" t="inlineStr">
        <is>
          <t>2024-10</t>
        </is>
      </c>
      <c r="F4889" t="n">
        <v>0</v>
      </c>
    </row>
    <row r="4890">
      <c r="A4890" t="inlineStr">
        <is>
          <t>Milho</t>
        </is>
      </c>
      <c r="B4890" t="inlineStr">
        <is>
          <t>Maracaju - MS</t>
        </is>
      </c>
      <c r="C4890" t="n">
        <v>-21.6105</v>
      </c>
      <c r="D4890" t="n">
        <v>-55.1678</v>
      </c>
      <c r="E4890" t="inlineStr">
        <is>
          <t>2024-11</t>
        </is>
      </c>
      <c r="F4890" t="n">
        <v>0</v>
      </c>
    </row>
    <row r="4891">
      <c r="A4891" t="inlineStr">
        <is>
          <t>Milho</t>
        </is>
      </c>
      <c r="B4891" t="inlineStr">
        <is>
          <t>Maracaju - MS</t>
        </is>
      </c>
      <c r="C4891" t="n">
        <v>-21.6105</v>
      </c>
      <c r="D4891" t="n">
        <v>-55.1678</v>
      </c>
      <c r="E4891" t="inlineStr">
        <is>
          <t>2024-12</t>
        </is>
      </c>
      <c r="F4891" t="n">
        <v>0</v>
      </c>
    </row>
    <row r="4892">
      <c r="A4892" t="inlineStr">
        <is>
          <t>Milho</t>
        </is>
      </c>
      <c r="B4892" t="inlineStr">
        <is>
          <t>Sorriso - MT</t>
        </is>
      </c>
      <c r="C4892" t="n">
        <v>-12.5425</v>
      </c>
      <c r="D4892" t="n">
        <v>-55.7211</v>
      </c>
      <c r="E4892" t="inlineStr">
        <is>
          <t>2025-01</t>
        </is>
      </c>
      <c r="F4892" t="n">
        <v>0</v>
      </c>
    </row>
    <row r="4893">
      <c r="A4893" t="inlineStr">
        <is>
          <t>Milho</t>
        </is>
      </c>
      <c r="B4893" t="inlineStr">
        <is>
          <t>Sorriso - MT</t>
        </is>
      </c>
      <c r="C4893" t="n">
        <v>-12.5425</v>
      </c>
      <c r="D4893" t="n">
        <v>-55.7211</v>
      </c>
      <c r="E4893" t="inlineStr">
        <is>
          <t>2025-02</t>
        </is>
      </c>
      <c r="F4893" t="n">
        <v>0</v>
      </c>
    </row>
    <row r="4894">
      <c r="A4894" t="inlineStr">
        <is>
          <t>Milho</t>
        </is>
      </c>
      <c r="B4894" t="inlineStr">
        <is>
          <t>Sorriso - MT</t>
        </is>
      </c>
      <c r="C4894" t="n">
        <v>-12.5425</v>
      </c>
      <c r="D4894" t="n">
        <v>-55.7211</v>
      </c>
      <c r="E4894" t="inlineStr">
        <is>
          <t>2025-03</t>
        </is>
      </c>
      <c r="F4894" t="n">
        <v>0</v>
      </c>
    </row>
    <row r="4895">
      <c r="A4895" t="inlineStr">
        <is>
          <t>Milho</t>
        </is>
      </c>
      <c r="B4895" t="inlineStr">
        <is>
          <t>Sorriso - MT</t>
        </is>
      </c>
      <c r="C4895" t="n">
        <v>-12.5425</v>
      </c>
      <c r="D4895" t="n">
        <v>-55.7211</v>
      </c>
      <c r="E4895" t="inlineStr">
        <is>
          <t>2025-04</t>
        </is>
      </c>
      <c r="F4895" t="n">
        <v>0</v>
      </c>
    </row>
    <row r="4896">
      <c r="A4896" t="inlineStr">
        <is>
          <t>Milho</t>
        </is>
      </c>
      <c r="B4896" t="inlineStr">
        <is>
          <t>Sorriso - MT</t>
        </is>
      </c>
      <c r="C4896" t="n">
        <v>-12.5425</v>
      </c>
      <c r="D4896" t="n">
        <v>-55.7211</v>
      </c>
      <c r="E4896" t="inlineStr">
        <is>
          <t>2025-05</t>
        </is>
      </c>
      <c r="F4896" t="n">
        <v>7019830.467659563</v>
      </c>
    </row>
    <row r="4897">
      <c r="A4897" t="inlineStr">
        <is>
          <t>Milho</t>
        </is>
      </c>
      <c r="B4897" t="inlineStr">
        <is>
          <t>Sorriso - MT</t>
        </is>
      </c>
      <c r="C4897" t="n">
        <v>-12.5425</v>
      </c>
      <c r="D4897" t="n">
        <v>-55.7211</v>
      </c>
      <c r="E4897" t="inlineStr">
        <is>
          <t>2025-06</t>
        </is>
      </c>
      <c r="F4897" t="n">
        <v>10189367.86554104</v>
      </c>
    </row>
    <row r="4898">
      <c r="A4898" t="inlineStr">
        <is>
          <t>Milho</t>
        </is>
      </c>
      <c r="B4898" t="inlineStr">
        <is>
          <t>Sorriso - MT</t>
        </is>
      </c>
      <c r="C4898" t="n">
        <v>-12.5425</v>
      </c>
      <c r="D4898" t="n">
        <v>-55.7211</v>
      </c>
      <c r="E4898" t="inlineStr">
        <is>
          <t>2024-07</t>
        </is>
      </c>
      <c r="F4898" t="n">
        <v>9827426.757646091</v>
      </c>
    </row>
    <row r="4899">
      <c r="A4899" t="inlineStr">
        <is>
          <t>Milho</t>
        </is>
      </c>
      <c r="B4899" t="inlineStr">
        <is>
          <t>Sorriso - MT</t>
        </is>
      </c>
      <c r="C4899" t="n">
        <v>-12.5425</v>
      </c>
      <c r="D4899" t="n">
        <v>-55.7211</v>
      </c>
      <c r="E4899" t="inlineStr">
        <is>
          <t>2024-08</t>
        </is>
      </c>
      <c r="F4899" t="n">
        <v>6991568.550578994</v>
      </c>
    </row>
    <row r="4900">
      <c r="A4900" t="inlineStr">
        <is>
          <t>Milho</t>
        </is>
      </c>
      <c r="B4900" t="inlineStr">
        <is>
          <t>Sorriso - MT</t>
        </is>
      </c>
      <c r="C4900" t="n">
        <v>-12.5425</v>
      </c>
      <c r="D4900" t="n">
        <v>-55.7211</v>
      </c>
      <c r="E4900" t="inlineStr">
        <is>
          <t>2024-09</t>
        </is>
      </c>
      <c r="F4900" t="n">
        <v>3780320.879001688</v>
      </c>
    </row>
    <row r="4901">
      <c r="A4901" t="inlineStr">
        <is>
          <t>Milho</t>
        </is>
      </c>
      <c r="B4901" t="inlineStr">
        <is>
          <t>Sorriso - MT</t>
        </is>
      </c>
      <c r="C4901" t="n">
        <v>-12.5425</v>
      </c>
      <c r="D4901" t="n">
        <v>-55.7211</v>
      </c>
      <c r="E4901" t="inlineStr">
        <is>
          <t>2024-10</t>
        </is>
      </c>
      <c r="F4901" t="n">
        <v>0</v>
      </c>
    </row>
    <row r="4902">
      <c r="A4902" t="inlineStr">
        <is>
          <t>Milho</t>
        </is>
      </c>
      <c r="B4902" t="inlineStr">
        <is>
          <t>Sorriso - MT</t>
        </is>
      </c>
      <c r="C4902" t="n">
        <v>-12.5425</v>
      </c>
      <c r="D4902" t="n">
        <v>-55.7211</v>
      </c>
      <c r="E4902" t="inlineStr">
        <is>
          <t>2024-11</t>
        </is>
      </c>
      <c r="F4902" t="n">
        <v>0</v>
      </c>
    </row>
    <row r="4903">
      <c r="A4903" t="inlineStr">
        <is>
          <t>Milho</t>
        </is>
      </c>
      <c r="B4903" t="inlineStr">
        <is>
          <t>Sorriso - MT</t>
        </is>
      </c>
      <c r="C4903" t="n">
        <v>-12.5425</v>
      </c>
      <c r="D4903" t="n">
        <v>-55.7211</v>
      </c>
      <c r="E4903" t="inlineStr">
        <is>
          <t>2024-12</t>
        </is>
      </c>
      <c r="F4903" t="n">
        <v>0</v>
      </c>
    </row>
    <row r="4904">
      <c r="A4904" t="inlineStr">
        <is>
          <t>Milho</t>
        </is>
      </c>
      <c r="B4904" t="inlineStr">
        <is>
          <t>Santana do Araguaia - PA</t>
        </is>
      </c>
      <c r="C4904" t="n">
        <v>-9.328099999999999</v>
      </c>
      <c r="D4904" t="n">
        <v>-50.35</v>
      </c>
      <c r="E4904" t="inlineStr">
        <is>
          <t>2025-01</t>
        </is>
      </c>
      <c r="F4904" t="n">
        <v>0</v>
      </c>
    </row>
    <row r="4905">
      <c r="A4905" t="inlineStr">
        <is>
          <t>Milho</t>
        </is>
      </c>
      <c r="B4905" t="inlineStr">
        <is>
          <t>Santana do Araguaia - PA</t>
        </is>
      </c>
      <c r="C4905" t="n">
        <v>-9.328099999999999</v>
      </c>
      <c r="D4905" t="n">
        <v>-50.35</v>
      </c>
      <c r="E4905" t="inlineStr">
        <is>
          <t>2025-02</t>
        </is>
      </c>
      <c r="F4905" t="n">
        <v>0</v>
      </c>
    </row>
    <row r="4906">
      <c r="A4906" t="inlineStr">
        <is>
          <t>Milho</t>
        </is>
      </c>
      <c r="B4906" t="inlineStr">
        <is>
          <t>Santana do Araguaia - PA</t>
        </is>
      </c>
      <c r="C4906" t="n">
        <v>-9.328099999999999</v>
      </c>
      <c r="D4906" t="n">
        <v>-50.35</v>
      </c>
      <c r="E4906" t="inlineStr">
        <is>
          <t>2025-03</t>
        </is>
      </c>
      <c r="F4906" t="n">
        <v>0</v>
      </c>
    </row>
    <row r="4907">
      <c r="A4907" t="inlineStr">
        <is>
          <t>Milho</t>
        </is>
      </c>
      <c r="B4907" t="inlineStr">
        <is>
          <t>Santana do Araguaia - PA</t>
        </is>
      </c>
      <c r="C4907" t="n">
        <v>-9.328099999999999</v>
      </c>
      <c r="D4907" t="n">
        <v>-50.35</v>
      </c>
      <c r="E4907" t="inlineStr">
        <is>
          <t>2025-04</t>
        </is>
      </c>
      <c r="F4907" t="n">
        <v>0</v>
      </c>
    </row>
    <row r="4908">
      <c r="A4908" t="inlineStr">
        <is>
          <t>Milho</t>
        </is>
      </c>
      <c r="B4908" t="inlineStr">
        <is>
          <t>Santana do Araguaia - PA</t>
        </is>
      </c>
      <c r="C4908" t="n">
        <v>-9.328099999999999</v>
      </c>
      <c r="D4908" t="n">
        <v>-50.35</v>
      </c>
      <c r="E4908" t="inlineStr">
        <is>
          <t>2025-05</t>
        </is>
      </c>
      <c r="F4908" t="n">
        <v>284030.8520584375</v>
      </c>
    </row>
    <row r="4909">
      <c r="A4909" t="inlineStr">
        <is>
          <t>Milho</t>
        </is>
      </c>
      <c r="B4909" t="inlineStr">
        <is>
          <t>Santana do Araguaia - PA</t>
        </is>
      </c>
      <c r="C4909" t="n">
        <v>-9.328099999999999</v>
      </c>
      <c r="D4909" t="n">
        <v>-50.35</v>
      </c>
      <c r="E4909" t="inlineStr">
        <is>
          <t>2025-06</t>
        </is>
      </c>
      <c r="F4909" t="n">
        <v>106013.3600949746</v>
      </c>
    </row>
    <row r="4910">
      <c r="A4910" t="inlineStr">
        <is>
          <t>Milho</t>
        </is>
      </c>
      <c r="B4910" t="inlineStr">
        <is>
          <t>Santana do Araguaia - PA</t>
        </is>
      </c>
      <c r="C4910" t="n">
        <v>-9.328099999999999</v>
      </c>
      <c r="D4910" t="n">
        <v>-50.35</v>
      </c>
      <c r="E4910" t="inlineStr">
        <is>
          <t>2024-07</t>
        </is>
      </c>
      <c r="F4910" t="n">
        <v>102247.61196312</v>
      </c>
    </row>
    <row r="4911">
      <c r="A4911" t="inlineStr">
        <is>
          <t>Milho</t>
        </is>
      </c>
      <c r="B4911" t="inlineStr">
        <is>
          <t>Santana do Araguaia - PA</t>
        </is>
      </c>
      <c r="C4911" t="n">
        <v>-9.328099999999999</v>
      </c>
      <c r="D4911" t="n">
        <v>-50.35</v>
      </c>
      <c r="E4911" t="inlineStr">
        <is>
          <t>2024-08</t>
        </is>
      </c>
      <c r="F4911" t="n">
        <v>121237.4316971223</v>
      </c>
    </row>
    <row r="4912">
      <c r="A4912" t="inlineStr">
        <is>
          <t>Milho</t>
        </is>
      </c>
      <c r="B4912" t="inlineStr">
        <is>
          <t>Santana do Araguaia - PA</t>
        </is>
      </c>
      <c r="C4912" t="n">
        <v>-9.328099999999999</v>
      </c>
      <c r="D4912" t="n">
        <v>-50.35</v>
      </c>
      <c r="E4912" t="inlineStr">
        <is>
          <t>2024-09</t>
        </is>
      </c>
      <c r="F4912" t="n">
        <v>131105.456821479</v>
      </c>
    </row>
    <row r="4913">
      <c r="A4913" t="inlineStr">
        <is>
          <t>Milho</t>
        </is>
      </c>
      <c r="B4913" t="inlineStr">
        <is>
          <t>Santana do Araguaia - PA</t>
        </is>
      </c>
      <c r="C4913" t="n">
        <v>-9.328099999999999</v>
      </c>
      <c r="D4913" t="n">
        <v>-50.35</v>
      </c>
      <c r="E4913" t="inlineStr">
        <is>
          <t>2024-10</t>
        </is>
      </c>
      <c r="F4913" t="n">
        <v>390673.3223883364</v>
      </c>
    </row>
    <row r="4914">
      <c r="A4914" t="inlineStr">
        <is>
          <t>Milho</t>
        </is>
      </c>
      <c r="B4914" t="inlineStr">
        <is>
          <t>Santana do Araguaia - PA</t>
        </is>
      </c>
      <c r="C4914" t="n">
        <v>-9.328099999999999</v>
      </c>
      <c r="D4914" t="n">
        <v>-50.35</v>
      </c>
      <c r="E4914" t="inlineStr">
        <is>
          <t>2024-11</t>
        </is>
      </c>
      <c r="F4914" t="n">
        <v>1365816.343217078</v>
      </c>
    </row>
    <row r="4915">
      <c r="A4915" t="inlineStr">
        <is>
          <t>Milho</t>
        </is>
      </c>
      <c r="B4915" t="inlineStr">
        <is>
          <t>Santana do Araguaia - PA</t>
        </is>
      </c>
      <c r="C4915" t="n">
        <v>-9.328099999999999</v>
      </c>
      <c r="D4915" t="n">
        <v>-50.35</v>
      </c>
      <c r="E4915" t="inlineStr">
        <is>
          <t>2024-12</t>
        </is>
      </c>
      <c r="F4915" t="n">
        <v>0</v>
      </c>
    </row>
    <row r="4916">
      <c r="A4916" t="inlineStr">
        <is>
          <t>Milho</t>
        </is>
      </c>
      <c r="B4916" t="inlineStr">
        <is>
          <t>Sousa - PB</t>
        </is>
      </c>
      <c r="C4916" t="n">
        <v>-6.75148</v>
      </c>
      <c r="D4916" t="n">
        <v>-38.2311</v>
      </c>
      <c r="E4916" t="inlineStr">
        <is>
          <t>2025-01</t>
        </is>
      </c>
      <c r="F4916" t="n">
        <v>0</v>
      </c>
    </row>
    <row r="4917">
      <c r="A4917" t="inlineStr">
        <is>
          <t>Milho</t>
        </is>
      </c>
      <c r="B4917" t="inlineStr">
        <is>
          <t>Sousa - PB</t>
        </is>
      </c>
      <c r="C4917" t="n">
        <v>-6.75148</v>
      </c>
      <c r="D4917" t="n">
        <v>-38.2311</v>
      </c>
      <c r="E4917" t="inlineStr">
        <is>
          <t>2025-02</t>
        </is>
      </c>
      <c r="F4917" t="n">
        <v>0</v>
      </c>
    </row>
    <row r="4918">
      <c r="A4918" t="inlineStr">
        <is>
          <t>Milho</t>
        </is>
      </c>
      <c r="B4918" t="inlineStr">
        <is>
          <t>Sousa - PB</t>
        </is>
      </c>
      <c r="C4918" t="n">
        <v>-6.75148</v>
      </c>
      <c r="D4918" t="n">
        <v>-38.2311</v>
      </c>
      <c r="E4918" t="inlineStr">
        <is>
          <t>2025-03</t>
        </is>
      </c>
      <c r="F4918" t="n">
        <v>0</v>
      </c>
    </row>
    <row r="4919">
      <c r="A4919" t="inlineStr">
        <is>
          <t>Milho</t>
        </is>
      </c>
      <c r="B4919" t="inlineStr">
        <is>
          <t>Sousa - PB</t>
        </is>
      </c>
      <c r="C4919" t="n">
        <v>-6.75148</v>
      </c>
      <c r="D4919" t="n">
        <v>-38.2311</v>
      </c>
      <c r="E4919" t="inlineStr">
        <is>
          <t>2025-04</t>
        </is>
      </c>
      <c r="F4919" t="n">
        <v>0</v>
      </c>
    </row>
    <row r="4920">
      <c r="A4920" t="inlineStr">
        <is>
          <t>Milho</t>
        </is>
      </c>
      <c r="B4920" t="inlineStr">
        <is>
          <t>Sousa - PB</t>
        </is>
      </c>
      <c r="C4920" t="n">
        <v>-6.75148</v>
      </c>
      <c r="D4920" t="n">
        <v>-38.2311</v>
      </c>
      <c r="E4920" t="inlineStr">
        <is>
          <t>2025-05</t>
        </is>
      </c>
      <c r="F4920" t="n">
        <v>5045.974187305688</v>
      </c>
    </row>
    <row r="4921">
      <c r="A4921" t="inlineStr">
        <is>
          <t>Milho</t>
        </is>
      </c>
      <c r="B4921" t="inlineStr">
        <is>
          <t>Sousa - PB</t>
        </is>
      </c>
      <c r="C4921" t="n">
        <v>-6.75148</v>
      </c>
      <c r="D4921" t="n">
        <v>-38.2311</v>
      </c>
      <c r="E4921" t="inlineStr">
        <is>
          <t>2025-06</t>
        </is>
      </c>
      <c r="F4921" t="n">
        <v>4394.57512297651</v>
      </c>
    </row>
    <row r="4922">
      <c r="A4922" t="inlineStr">
        <is>
          <t>Milho</t>
        </is>
      </c>
      <c r="B4922" t="inlineStr">
        <is>
          <t>Sousa - PB</t>
        </is>
      </c>
      <c r="C4922" t="n">
        <v>-6.75148</v>
      </c>
      <c r="D4922" t="n">
        <v>-38.2311</v>
      </c>
      <c r="E4922" t="inlineStr">
        <is>
          <t>2024-07</t>
        </is>
      </c>
      <c r="F4922" t="n">
        <v>7064.122413664599</v>
      </c>
    </row>
    <row r="4923">
      <c r="A4923" t="inlineStr">
        <is>
          <t>Milho</t>
        </is>
      </c>
      <c r="B4923" t="inlineStr">
        <is>
          <t>Sousa - PB</t>
        </is>
      </c>
      <c r="C4923" t="n">
        <v>-6.75148</v>
      </c>
      <c r="D4923" t="n">
        <v>-38.2311</v>
      </c>
      <c r="E4923" t="inlineStr">
        <is>
          <t>2024-08</t>
        </is>
      </c>
      <c r="F4923" t="n">
        <v>8376.098396661657</v>
      </c>
    </row>
    <row r="4924">
      <c r="A4924" t="inlineStr">
        <is>
          <t>Milho</t>
        </is>
      </c>
      <c r="B4924" t="inlineStr">
        <is>
          <t>Sousa - PB</t>
        </is>
      </c>
      <c r="C4924" t="n">
        <v>-6.75148</v>
      </c>
      <c r="D4924" t="n">
        <v>-38.2311</v>
      </c>
      <c r="E4924" t="inlineStr">
        <is>
          <t>2024-09</t>
        </is>
      </c>
      <c r="F4924" t="n">
        <v>5434.718591298139</v>
      </c>
    </row>
    <row r="4925">
      <c r="A4925" t="inlineStr">
        <is>
          <t>Milho</t>
        </is>
      </c>
      <c r="B4925" t="inlineStr">
        <is>
          <t>Sousa - PB</t>
        </is>
      </c>
      <c r="C4925" t="n">
        <v>-6.75148</v>
      </c>
      <c r="D4925" t="n">
        <v>-38.2311</v>
      </c>
      <c r="E4925" t="inlineStr">
        <is>
          <t>2024-10</t>
        </is>
      </c>
      <c r="F4925" t="n">
        <v>16194.5934195491</v>
      </c>
    </row>
    <row r="4926">
      <c r="A4926" t="inlineStr">
        <is>
          <t>Milho</t>
        </is>
      </c>
      <c r="B4926" t="inlineStr">
        <is>
          <t>Sousa - PB</t>
        </is>
      </c>
      <c r="C4926" t="n">
        <v>-6.75148</v>
      </c>
      <c r="D4926" t="n">
        <v>-38.2311</v>
      </c>
      <c r="E4926" t="inlineStr">
        <is>
          <t>2024-11</t>
        </is>
      </c>
      <c r="F4926" t="n">
        <v>28308.61374018995</v>
      </c>
    </row>
    <row r="4927">
      <c r="A4927" t="inlineStr">
        <is>
          <t>Milho</t>
        </is>
      </c>
      <c r="B4927" t="inlineStr">
        <is>
          <t>Sousa - PB</t>
        </is>
      </c>
      <c r="C4927" t="n">
        <v>-6.75148</v>
      </c>
      <c r="D4927" t="n">
        <v>-38.2311</v>
      </c>
      <c r="E4927" t="inlineStr">
        <is>
          <t>2024-12</t>
        </is>
      </c>
      <c r="F4927" t="n">
        <v>0</v>
      </c>
    </row>
    <row r="4928">
      <c r="A4928" t="inlineStr">
        <is>
          <t>Milho</t>
        </is>
      </c>
      <c r="B4928" t="inlineStr">
        <is>
          <t>Exu - PE</t>
        </is>
      </c>
      <c r="C4928" t="n">
        <v>-7.50364</v>
      </c>
      <c r="D4928" t="n">
        <v>-39.7238</v>
      </c>
      <c r="E4928" t="inlineStr">
        <is>
          <t>2025-01</t>
        </is>
      </c>
      <c r="F4928" t="n">
        <v>0</v>
      </c>
    </row>
    <row r="4929">
      <c r="A4929" t="inlineStr">
        <is>
          <t>Milho</t>
        </is>
      </c>
      <c r="B4929" t="inlineStr">
        <is>
          <t>Exu - PE</t>
        </is>
      </c>
      <c r="C4929" t="n">
        <v>-7.50364</v>
      </c>
      <c r="D4929" t="n">
        <v>-39.7238</v>
      </c>
      <c r="E4929" t="inlineStr">
        <is>
          <t>2025-02</t>
        </is>
      </c>
      <c r="F4929" t="n">
        <v>0</v>
      </c>
    </row>
    <row r="4930">
      <c r="A4930" t="inlineStr">
        <is>
          <t>Milho</t>
        </is>
      </c>
      <c r="B4930" t="inlineStr">
        <is>
          <t>Exu - PE</t>
        </is>
      </c>
      <c r="C4930" t="n">
        <v>-7.50364</v>
      </c>
      <c r="D4930" t="n">
        <v>-39.7238</v>
      </c>
      <c r="E4930" t="inlineStr">
        <is>
          <t>2025-03</t>
        </is>
      </c>
      <c r="F4930" t="n">
        <v>0</v>
      </c>
    </row>
    <row r="4931">
      <c r="A4931" t="inlineStr">
        <is>
          <t>Milho</t>
        </is>
      </c>
      <c r="B4931" t="inlineStr">
        <is>
          <t>Exu - PE</t>
        </is>
      </c>
      <c r="C4931" t="n">
        <v>-7.50364</v>
      </c>
      <c r="D4931" t="n">
        <v>-39.7238</v>
      </c>
      <c r="E4931" t="inlineStr">
        <is>
          <t>2025-04</t>
        </is>
      </c>
      <c r="F4931" t="n">
        <v>0</v>
      </c>
    </row>
    <row r="4932">
      <c r="A4932" t="inlineStr">
        <is>
          <t>Milho</t>
        </is>
      </c>
      <c r="B4932" t="inlineStr">
        <is>
          <t>Exu - PE</t>
        </is>
      </c>
      <c r="C4932" t="n">
        <v>-7.50364</v>
      </c>
      <c r="D4932" t="n">
        <v>-39.7238</v>
      </c>
      <c r="E4932" t="inlineStr">
        <is>
          <t>2025-05</t>
        </is>
      </c>
      <c r="F4932" t="n">
        <v>9333.133625151582</v>
      </c>
    </row>
    <row r="4933">
      <c r="A4933" t="inlineStr">
        <is>
          <t>Milho</t>
        </is>
      </c>
      <c r="B4933" t="inlineStr">
        <is>
          <t>Exu - PE</t>
        </is>
      </c>
      <c r="C4933" t="n">
        <v>-7.50364</v>
      </c>
      <c r="D4933" t="n">
        <v>-39.7238</v>
      </c>
      <c r="E4933" t="inlineStr">
        <is>
          <t>2025-06</t>
        </is>
      </c>
      <c r="F4933" t="n">
        <v>8128.293036395193</v>
      </c>
    </row>
    <row r="4934">
      <c r="A4934" t="inlineStr">
        <is>
          <t>Milho</t>
        </is>
      </c>
      <c r="B4934" t="inlineStr">
        <is>
          <t>Exu - PE</t>
        </is>
      </c>
      <c r="C4934" t="n">
        <v>-7.50364</v>
      </c>
      <c r="D4934" t="n">
        <v>-39.7238</v>
      </c>
      <c r="E4934" t="inlineStr">
        <is>
          <t>2024-07</t>
        </is>
      </c>
      <c r="F4934" t="n">
        <v>7839.564292305295</v>
      </c>
    </row>
    <row r="4935">
      <c r="A4935" t="inlineStr">
        <is>
          <t>Milho</t>
        </is>
      </c>
      <c r="B4935" t="inlineStr">
        <is>
          <t>Exu - PE</t>
        </is>
      </c>
      <c r="C4935" t="n">
        <v>-7.50364</v>
      </c>
      <c r="D4935" t="n">
        <v>-39.7238</v>
      </c>
      <c r="E4935" t="inlineStr">
        <is>
          <t>2024-08</t>
        </is>
      </c>
      <c r="F4935" t="n">
        <v>21689.63608775097</v>
      </c>
    </row>
    <row r="4936">
      <c r="A4936" t="inlineStr">
        <is>
          <t>Milho</t>
        </is>
      </c>
      <c r="B4936" t="inlineStr">
        <is>
          <t>Exu - PE</t>
        </is>
      </c>
      <c r="C4936" t="n">
        <v>-7.50364</v>
      </c>
      <c r="D4936" t="n">
        <v>-39.7238</v>
      </c>
      <c r="E4936" t="inlineStr">
        <is>
          <t>2024-09</t>
        </is>
      </c>
      <c r="F4936" t="n">
        <v>10052.16296097717</v>
      </c>
    </row>
    <row r="4937">
      <c r="A4937" t="inlineStr">
        <is>
          <t>Milho</t>
        </is>
      </c>
      <c r="B4937" t="inlineStr">
        <is>
          <t>Exu - PE</t>
        </is>
      </c>
      <c r="C4937" t="n">
        <v>-7.50364</v>
      </c>
      <c r="D4937" t="n">
        <v>-39.7238</v>
      </c>
      <c r="E4937" t="inlineStr">
        <is>
          <t>2024-10</t>
        </is>
      </c>
      <c r="F4937" t="n">
        <v>29953.84018608253</v>
      </c>
    </row>
    <row r="4938">
      <c r="A4938" t="inlineStr">
        <is>
          <t>Milho</t>
        </is>
      </c>
      <c r="B4938" t="inlineStr">
        <is>
          <t>Exu - PE</t>
        </is>
      </c>
      <c r="C4938" t="n">
        <v>-7.50364</v>
      </c>
      <c r="D4938" t="n">
        <v>-39.7238</v>
      </c>
      <c r="E4938" t="inlineStr">
        <is>
          <t>2024-11</t>
        </is>
      </c>
      <c r="F4938" t="n">
        <v>104720.3433757816</v>
      </c>
    </row>
    <row r="4939">
      <c r="A4939" t="inlineStr">
        <is>
          <t>Milho</t>
        </is>
      </c>
      <c r="B4939" t="inlineStr">
        <is>
          <t>Exu - PE</t>
        </is>
      </c>
      <c r="C4939" t="n">
        <v>-7.50364</v>
      </c>
      <c r="D4939" t="n">
        <v>-39.7238</v>
      </c>
      <c r="E4939" t="inlineStr">
        <is>
          <t>2024-12</t>
        </is>
      </c>
      <c r="F4939" t="n">
        <v>0</v>
      </c>
    </row>
    <row r="4940">
      <c r="A4940" t="inlineStr">
        <is>
          <t>Milho</t>
        </is>
      </c>
      <c r="B4940" t="inlineStr">
        <is>
          <t>Baixa Grande do Ribeiro - PI</t>
        </is>
      </c>
      <c r="C4940" t="n">
        <v>-7.84903</v>
      </c>
      <c r="D4940" t="n">
        <v>-45.219</v>
      </c>
      <c r="E4940" t="inlineStr">
        <is>
          <t>2025-01</t>
        </is>
      </c>
      <c r="F4940" t="n">
        <v>0</v>
      </c>
    </row>
    <row r="4941">
      <c r="A4941" t="inlineStr">
        <is>
          <t>Milho</t>
        </is>
      </c>
      <c r="B4941" t="inlineStr">
        <is>
          <t>Baixa Grande do Ribeiro - PI</t>
        </is>
      </c>
      <c r="C4941" t="n">
        <v>-7.84903</v>
      </c>
      <c r="D4941" t="n">
        <v>-45.219</v>
      </c>
      <c r="E4941" t="inlineStr">
        <is>
          <t>2025-02</t>
        </is>
      </c>
      <c r="F4941" t="n">
        <v>0</v>
      </c>
    </row>
    <row r="4942">
      <c r="A4942" t="inlineStr">
        <is>
          <t>Milho</t>
        </is>
      </c>
      <c r="B4942" t="inlineStr">
        <is>
          <t>Baixa Grande do Ribeiro - PI</t>
        </is>
      </c>
      <c r="C4942" t="n">
        <v>-7.84903</v>
      </c>
      <c r="D4942" t="n">
        <v>-45.219</v>
      </c>
      <c r="E4942" t="inlineStr">
        <is>
          <t>2025-03</t>
        </is>
      </c>
      <c r="F4942" t="n">
        <v>0</v>
      </c>
    </row>
    <row r="4943">
      <c r="A4943" t="inlineStr">
        <is>
          <t>Milho</t>
        </is>
      </c>
      <c r="B4943" t="inlineStr">
        <is>
          <t>Baixa Grande do Ribeiro - PI</t>
        </is>
      </c>
      <c r="C4943" t="n">
        <v>-7.84903</v>
      </c>
      <c r="D4943" t="n">
        <v>-45.219</v>
      </c>
      <c r="E4943" t="inlineStr">
        <is>
          <t>2025-04</t>
        </is>
      </c>
      <c r="F4943" t="n">
        <v>0</v>
      </c>
    </row>
    <row r="4944">
      <c r="A4944" t="inlineStr">
        <is>
          <t>Milho</t>
        </is>
      </c>
      <c r="B4944" t="inlineStr">
        <is>
          <t>Baixa Grande do Ribeiro - PI</t>
        </is>
      </c>
      <c r="C4944" t="n">
        <v>-7.84903</v>
      </c>
      <c r="D4944" t="n">
        <v>-45.219</v>
      </c>
      <c r="E4944" t="inlineStr">
        <is>
          <t>2025-05</t>
        </is>
      </c>
      <c r="F4944" t="n">
        <v>82890.738400916</v>
      </c>
    </row>
    <row r="4945">
      <c r="A4945" t="inlineStr">
        <is>
          <t>Milho</t>
        </is>
      </c>
      <c r="B4945" t="inlineStr">
        <is>
          <t>Baixa Grande do Ribeiro - PI</t>
        </is>
      </c>
      <c r="C4945" t="n">
        <v>-7.84903</v>
      </c>
      <c r="D4945" t="n">
        <v>-45.219</v>
      </c>
      <c r="E4945" t="inlineStr">
        <is>
          <t>2025-06</t>
        </is>
      </c>
      <c r="F4945" t="n">
        <v>120316.8979798534</v>
      </c>
    </row>
    <row r="4946">
      <c r="A4946" t="inlineStr">
        <is>
          <t>Milho</t>
        </is>
      </c>
      <c r="B4946" t="inlineStr">
        <is>
          <t>Baixa Grande do Ribeiro - PI</t>
        </is>
      </c>
      <c r="C4946" t="n">
        <v>-7.84903</v>
      </c>
      <c r="D4946" t="n">
        <v>-45.219</v>
      </c>
      <c r="E4946" t="inlineStr">
        <is>
          <t>2024-07</t>
        </is>
      </c>
      <c r="F4946" t="n">
        <v>116043.0674608295</v>
      </c>
    </row>
    <row r="4947">
      <c r="A4947" t="inlineStr">
        <is>
          <t>Milho</t>
        </is>
      </c>
      <c r="B4947" t="inlineStr">
        <is>
          <t>Baixa Grande do Ribeiro - PI</t>
        </is>
      </c>
      <c r="C4947" t="n">
        <v>-7.84903</v>
      </c>
      <c r="D4947" t="n">
        <v>-45.219</v>
      </c>
      <c r="E4947" t="inlineStr">
        <is>
          <t>2024-08</t>
        </is>
      </c>
      <c r="F4947" t="n">
        <v>82557.01934798068</v>
      </c>
    </row>
    <row r="4948">
      <c r="A4948" t="inlineStr">
        <is>
          <t>Milho</t>
        </is>
      </c>
      <c r="B4948" t="inlineStr">
        <is>
          <t>Baixa Grande do Ribeiro - PI</t>
        </is>
      </c>
      <c r="C4948" t="n">
        <v>-7.84903</v>
      </c>
      <c r="D4948" t="n">
        <v>-45.219</v>
      </c>
      <c r="E4948" t="inlineStr">
        <is>
          <t>2024-09</t>
        </is>
      </c>
      <c r="F4948" t="n">
        <v>0</v>
      </c>
    </row>
    <row r="4949">
      <c r="A4949" t="inlineStr">
        <is>
          <t>Milho</t>
        </is>
      </c>
      <c r="B4949" t="inlineStr">
        <is>
          <t>Baixa Grande do Ribeiro - PI</t>
        </is>
      </c>
      <c r="C4949" t="n">
        <v>-7.84903</v>
      </c>
      <c r="D4949" t="n">
        <v>-45.219</v>
      </c>
      <c r="E4949" t="inlineStr">
        <is>
          <t>2024-10</t>
        </is>
      </c>
      <c r="F4949" t="n">
        <v>0</v>
      </c>
    </row>
    <row r="4950">
      <c r="A4950" t="inlineStr">
        <is>
          <t>Milho</t>
        </is>
      </c>
      <c r="B4950" t="inlineStr">
        <is>
          <t>Baixa Grande do Ribeiro - PI</t>
        </is>
      </c>
      <c r="C4950" t="n">
        <v>-7.84903</v>
      </c>
      <c r="D4950" t="n">
        <v>-45.219</v>
      </c>
      <c r="E4950" t="inlineStr">
        <is>
          <t>2024-11</t>
        </is>
      </c>
      <c r="F4950" t="n">
        <v>0</v>
      </c>
    </row>
    <row r="4951">
      <c r="A4951" t="inlineStr">
        <is>
          <t>Milho</t>
        </is>
      </c>
      <c r="B4951" t="inlineStr">
        <is>
          <t>Baixa Grande do Ribeiro - PI</t>
        </is>
      </c>
      <c r="C4951" t="n">
        <v>-7.84903</v>
      </c>
      <c r="D4951" t="n">
        <v>-45.219</v>
      </c>
      <c r="E4951" t="inlineStr">
        <is>
          <t>2024-12</t>
        </is>
      </c>
      <c r="F4951" t="n">
        <v>0</v>
      </c>
    </row>
    <row r="4952">
      <c r="A4952" t="inlineStr">
        <is>
          <t>Milho</t>
        </is>
      </c>
      <c r="B4952" t="inlineStr">
        <is>
          <t>Toledo - PR</t>
        </is>
      </c>
      <c r="C4952" t="n">
        <v>-24.7246</v>
      </c>
      <c r="D4952" t="n">
        <v>-53.7412</v>
      </c>
      <c r="E4952" t="inlineStr">
        <is>
          <t>2025-01</t>
        </is>
      </c>
      <c r="F4952" t="n">
        <v>0</v>
      </c>
    </row>
    <row r="4953">
      <c r="A4953" t="inlineStr">
        <is>
          <t>Milho</t>
        </is>
      </c>
      <c r="B4953" t="inlineStr">
        <is>
          <t>Toledo - PR</t>
        </is>
      </c>
      <c r="C4953" t="n">
        <v>-24.7246</v>
      </c>
      <c r="D4953" t="n">
        <v>-53.7412</v>
      </c>
      <c r="E4953" t="inlineStr">
        <is>
          <t>2025-02</t>
        </is>
      </c>
      <c r="F4953" t="n">
        <v>0</v>
      </c>
    </row>
    <row r="4954">
      <c r="A4954" t="inlineStr">
        <is>
          <t>Milho</t>
        </is>
      </c>
      <c r="B4954" t="inlineStr">
        <is>
          <t>Toledo - PR</t>
        </is>
      </c>
      <c r="C4954" t="n">
        <v>-24.7246</v>
      </c>
      <c r="D4954" t="n">
        <v>-53.7412</v>
      </c>
      <c r="E4954" t="inlineStr">
        <is>
          <t>2025-03</t>
        </is>
      </c>
      <c r="F4954" t="n">
        <v>0</v>
      </c>
    </row>
    <row r="4955">
      <c r="A4955" t="inlineStr">
        <is>
          <t>Milho</t>
        </is>
      </c>
      <c r="B4955" t="inlineStr">
        <is>
          <t>Toledo - PR</t>
        </is>
      </c>
      <c r="C4955" t="n">
        <v>-24.7246</v>
      </c>
      <c r="D4955" t="n">
        <v>-53.7412</v>
      </c>
      <c r="E4955" t="inlineStr">
        <is>
          <t>2025-04</t>
        </is>
      </c>
      <c r="F4955" t="n">
        <v>0</v>
      </c>
    </row>
    <row r="4956">
      <c r="A4956" t="inlineStr">
        <is>
          <t>Milho</t>
        </is>
      </c>
      <c r="B4956" t="inlineStr">
        <is>
          <t>Toledo - PR</t>
        </is>
      </c>
      <c r="C4956" t="n">
        <v>-24.7246</v>
      </c>
      <c r="D4956" t="n">
        <v>-53.7412</v>
      </c>
      <c r="E4956" t="inlineStr">
        <is>
          <t>2025-05</t>
        </is>
      </c>
      <c r="F4956" t="n">
        <v>1023328.386984027</v>
      </c>
    </row>
    <row r="4957">
      <c r="A4957" t="inlineStr">
        <is>
          <t>Milho</t>
        </is>
      </c>
      <c r="B4957" t="inlineStr">
        <is>
          <t>Toledo - PR</t>
        </is>
      </c>
      <c r="C4957" t="n">
        <v>-24.7246</v>
      </c>
      <c r="D4957" t="n">
        <v>-53.7412</v>
      </c>
      <c r="E4957" t="inlineStr">
        <is>
          <t>2025-06</t>
        </is>
      </c>
      <c r="F4957" t="n">
        <v>1782448.068556974</v>
      </c>
    </row>
    <row r="4958">
      <c r="A4958" t="inlineStr">
        <is>
          <t>Milho</t>
        </is>
      </c>
      <c r="B4958" t="inlineStr">
        <is>
          <t>Toledo - PR</t>
        </is>
      </c>
      <c r="C4958" t="n">
        <v>-24.7246</v>
      </c>
      <c r="D4958" t="n">
        <v>-53.7412</v>
      </c>
      <c r="E4958" t="inlineStr">
        <is>
          <t>2024-07</t>
        </is>
      </c>
      <c r="F4958" t="n">
        <v>1719132.930933915</v>
      </c>
    </row>
    <row r="4959">
      <c r="A4959" t="inlineStr">
        <is>
          <t>Milho</t>
        </is>
      </c>
      <c r="B4959" t="inlineStr">
        <is>
          <t>Toledo - PR</t>
        </is>
      </c>
      <c r="C4959" t="n">
        <v>-24.7246</v>
      </c>
      <c r="D4959" t="n">
        <v>-53.7412</v>
      </c>
      <c r="E4959" t="inlineStr">
        <is>
          <t>2024-08</t>
        </is>
      </c>
      <c r="F4959" t="n">
        <v>2038416.910583212</v>
      </c>
    </row>
    <row r="4960">
      <c r="A4960" t="inlineStr">
        <is>
          <t>Milho</t>
        </is>
      </c>
      <c r="B4960" t="inlineStr">
        <is>
          <t>Toledo - PR</t>
        </is>
      </c>
      <c r="C4960" t="n">
        <v>-24.7246</v>
      </c>
      <c r="D4960" t="n">
        <v>-53.7412</v>
      </c>
      <c r="E4960" t="inlineStr">
        <is>
          <t>2024-09</t>
        </is>
      </c>
      <c r="F4960" t="n">
        <v>5143441.910074941</v>
      </c>
    </row>
    <row r="4961">
      <c r="A4961" t="inlineStr">
        <is>
          <t>Milho</t>
        </is>
      </c>
      <c r="B4961" t="inlineStr">
        <is>
          <t>Toledo - PR</t>
        </is>
      </c>
      <c r="C4961" t="n">
        <v>-24.7246</v>
      </c>
      <c r="D4961" t="n">
        <v>-53.7412</v>
      </c>
      <c r="E4961" t="inlineStr">
        <is>
          <t>2024-10</t>
        </is>
      </c>
      <c r="F4961" t="n">
        <v>3284279.020606365</v>
      </c>
    </row>
    <row r="4962">
      <c r="A4962" t="inlineStr">
        <is>
          <t>Milho</t>
        </is>
      </c>
      <c r="B4962" t="inlineStr">
        <is>
          <t>Toledo - PR</t>
        </is>
      </c>
      <c r="C4962" t="n">
        <v>-24.7246</v>
      </c>
      <c r="D4962" t="n">
        <v>-53.7412</v>
      </c>
      <c r="E4962" t="inlineStr">
        <is>
          <t>2024-11</t>
        </is>
      </c>
      <c r="F4962" t="n">
        <v>0</v>
      </c>
    </row>
    <row r="4963">
      <c r="A4963" t="inlineStr">
        <is>
          <t>Milho</t>
        </is>
      </c>
      <c r="B4963" t="inlineStr">
        <is>
          <t>Toledo - PR</t>
        </is>
      </c>
      <c r="C4963" t="n">
        <v>-24.7246</v>
      </c>
      <c r="D4963" t="n">
        <v>-53.7412</v>
      </c>
      <c r="E4963" t="inlineStr">
        <is>
          <t>2024-12</t>
        </is>
      </c>
      <c r="F4963" t="n">
        <v>0</v>
      </c>
    </row>
    <row r="4964">
      <c r="A4964" t="inlineStr">
        <is>
          <t>Milho</t>
        </is>
      </c>
      <c r="B4964" t="inlineStr">
        <is>
          <t>Macaé - RJ</t>
        </is>
      </c>
      <c r="C4964" t="n">
        <v>-22.3768</v>
      </c>
      <c r="D4964" t="n">
        <v>-41.7848</v>
      </c>
      <c r="E4964" t="inlineStr">
        <is>
          <t>2025-01</t>
        </is>
      </c>
      <c r="F4964" t="n">
        <v>0</v>
      </c>
    </row>
    <row r="4965">
      <c r="A4965" t="inlineStr">
        <is>
          <t>Milho</t>
        </is>
      </c>
      <c r="B4965" t="inlineStr">
        <is>
          <t>Macaé - RJ</t>
        </is>
      </c>
      <c r="C4965" t="n">
        <v>-22.3768</v>
      </c>
      <c r="D4965" t="n">
        <v>-41.7848</v>
      </c>
      <c r="E4965" t="inlineStr">
        <is>
          <t>2025-02</t>
        </is>
      </c>
      <c r="F4965" t="n">
        <v>0</v>
      </c>
    </row>
    <row r="4966">
      <c r="A4966" t="inlineStr">
        <is>
          <t>Milho</t>
        </is>
      </c>
      <c r="B4966" t="inlineStr">
        <is>
          <t>Macaé - RJ</t>
        </is>
      </c>
      <c r="C4966" t="n">
        <v>-22.3768</v>
      </c>
      <c r="D4966" t="n">
        <v>-41.7848</v>
      </c>
      <c r="E4966" t="inlineStr">
        <is>
          <t>2025-03</t>
        </is>
      </c>
      <c r="F4966" t="n">
        <v>0</v>
      </c>
    </row>
    <row r="4967">
      <c r="A4967" t="inlineStr">
        <is>
          <t>Milho</t>
        </is>
      </c>
      <c r="B4967" t="inlineStr">
        <is>
          <t>Macaé - RJ</t>
        </is>
      </c>
      <c r="C4967" t="n">
        <v>-22.3768</v>
      </c>
      <c r="D4967" t="n">
        <v>-41.7848</v>
      </c>
      <c r="E4967" t="inlineStr">
        <is>
          <t>2025-04</t>
        </is>
      </c>
      <c r="F4967" t="n">
        <v>0</v>
      </c>
    </row>
    <row r="4968">
      <c r="A4968" t="inlineStr">
        <is>
          <t>Milho</t>
        </is>
      </c>
      <c r="B4968" t="inlineStr">
        <is>
          <t>Macaé - RJ</t>
        </is>
      </c>
      <c r="C4968" t="n">
        <v>-22.3768</v>
      </c>
      <c r="D4968" t="n">
        <v>-41.7848</v>
      </c>
      <c r="E4968" t="inlineStr">
        <is>
          <t>2025-05</t>
        </is>
      </c>
      <c r="F4968" t="n">
        <v>0</v>
      </c>
    </row>
    <row r="4969">
      <c r="A4969" t="inlineStr">
        <is>
          <t>Milho</t>
        </is>
      </c>
      <c r="B4969" t="inlineStr">
        <is>
          <t>Macaé - RJ</t>
        </is>
      </c>
      <c r="C4969" t="n">
        <v>-22.3768</v>
      </c>
      <c r="D4969" t="n">
        <v>-41.7848</v>
      </c>
      <c r="E4969" t="inlineStr">
        <is>
          <t>2025-06</t>
        </is>
      </c>
      <c r="F4969" t="n">
        <v>0</v>
      </c>
    </row>
    <row r="4970">
      <c r="A4970" t="inlineStr">
        <is>
          <t>Milho</t>
        </is>
      </c>
      <c r="B4970" t="inlineStr">
        <is>
          <t>Macaé - RJ</t>
        </is>
      </c>
      <c r="C4970" t="n">
        <v>-22.3768</v>
      </c>
      <c r="D4970" t="n">
        <v>-41.7848</v>
      </c>
      <c r="E4970" t="inlineStr">
        <is>
          <t>2024-07</t>
        </is>
      </c>
      <c r="F4970" t="n">
        <v>0</v>
      </c>
    </row>
    <row r="4971">
      <c r="A4971" t="inlineStr">
        <is>
          <t>Milho</t>
        </is>
      </c>
      <c r="B4971" t="inlineStr">
        <is>
          <t>Macaé - RJ</t>
        </is>
      </c>
      <c r="C4971" t="n">
        <v>-22.3768</v>
      </c>
      <c r="D4971" t="n">
        <v>-41.7848</v>
      </c>
      <c r="E4971" t="inlineStr">
        <is>
          <t>2024-08</t>
        </is>
      </c>
      <c r="F4971" t="n">
        <v>0</v>
      </c>
    </row>
    <row r="4972">
      <c r="A4972" t="inlineStr">
        <is>
          <t>Milho</t>
        </is>
      </c>
      <c r="B4972" t="inlineStr">
        <is>
          <t>Macaé - RJ</t>
        </is>
      </c>
      <c r="C4972" t="n">
        <v>-22.3768</v>
      </c>
      <c r="D4972" t="n">
        <v>-41.7848</v>
      </c>
      <c r="E4972" t="inlineStr">
        <is>
          <t>2024-09</t>
        </is>
      </c>
      <c r="F4972" t="n">
        <v>0</v>
      </c>
    </row>
    <row r="4973">
      <c r="A4973" t="inlineStr">
        <is>
          <t>Milho</t>
        </is>
      </c>
      <c r="B4973" t="inlineStr">
        <is>
          <t>Macaé - RJ</t>
        </is>
      </c>
      <c r="C4973" t="n">
        <v>-22.3768</v>
      </c>
      <c r="D4973" t="n">
        <v>-41.7848</v>
      </c>
      <c r="E4973" t="inlineStr">
        <is>
          <t>2024-10</t>
        </is>
      </c>
      <c r="F4973" t="n">
        <v>0</v>
      </c>
    </row>
    <row r="4974">
      <c r="A4974" t="inlineStr">
        <is>
          <t>Milho</t>
        </is>
      </c>
      <c r="B4974" t="inlineStr">
        <is>
          <t>Macaé - RJ</t>
        </is>
      </c>
      <c r="C4974" t="n">
        <v>-22.3768</v>
      </c>
      <c r="D4974" t="n">
        <v>-41.7848</v>
      </c>
      <c r="E4974" t="inlineStr">
        <is>
          <t>2024-11</t>
        </is>
      </c>
      <c r="F4974" t="n">
        <v>0</v>
      </c>
    </row>
    <row r="4975">
      <c r="A4975" t="inlineStr">
        <is>
          <t>Milho</t>
        </is>
      </c>
      <c r="B4975" t="inlineStr">
        <is>
          <t>Macaé - RJ</t>
        </is>
      </c>
      <c r="C4975" t="n">
        <v>-22.3768</v>
      </c>
      <c r="D4975" t="n">
        <v>-41.7848</v>
      </c>
      <c r="E4975" t="inlineStr">
        <is>
          <t>2024-12</t>
        </is>
      </c>
      <c r="F4975" t="n">
        <v>0</v>
      </c>
    </row>
    <row r="4976">
      <c r="A4976" t="inlineStr">
        <is>
          <t>Milho</t>
        </is>
      </c>
      <c r="B4976" t="inlineStr">
        <is>
          <t>Apodi - RN</t>
        </is>
      </c>
      <c r="C4976" t="n">
        <v>-5.65349</v>
      </c>
      <c r="D4976" t="n">
        <v>-37.7946</v>
      </c>
      <c r="E4976" t="inlineStr">
        <is>
          <t>2025-01</t>
        </is>
      </c>
      <c r="F4976" t="n">
        <v>0</v>
      </c>
    </row>
    <row r="4977">
      <c r="A4977" t="inlineStr">
        <is>
          <t>Milho</t>
        </is>
      </c>
      <c r="B4977" t="inlineStr">
        <is>
          <t>Apodi - RN</t>
        </is>
      </c>
      <c r="C4977" t="n">
        <v>-5.65349</v>
      </c>
      <c r="D4977" t="n">
        <v>-37.7946</v>
      </c>
      <c r="E4977" t="inlineStr">
        <is>
          <t>2025-02</t>
        </is>
      </c>
      <c r="F4977" t="n">
        <v>0</v>
      </c>
    </row>
    <row r="4978">
      <c r="A4978" t="inlineStr">
        <is>
          <t>Milho</t>
        </is>
      </c>
      <c r="B4978" t="inlineStr">
        <is>
          <t>Apodi - RN</t>
        </is>
      </c>
      <c r="C4978" t="n">
        <v>-5.65349</v>
      </c>
      <c r="D4978" t="n">
        <v>-37.7946</v>
      </c>
      <c r="E4978" t="inlineStr">
        <is>
          <t>2025-03</t>
        </is>
      </c>
      <c r="F4978" t="n">
        <v>0</v>
      </c>
    </row>
    <row r="4979">
      <c r="A4979" t="inlineStr">
        <is>
          <t>Milho</t>
        </is>
      </c>
      <c r="B4979" t="inlineStr">
        <is>
          <t>Apodi - RN</t>
        </is>
      </c>
      <c r="C4979" t="n">
        <v>-5.65349</v>
      </c>
      <c r="D4979" t="n">
        <v>-37.7946</v>
      </c>
      <c r="E4979" t="inlineStr">
        <is>
          <t>2025-04</t>
        </is>
      </c>
      <c r="F4979" t="n">
        <v>0</v>
      </c>
    </row>
    <row r="4980">
      <c r="A4980" t="inlineStr">
        <is>
          <t>Milho</t>
        </is>
      </c>
      <c r="B4980" t="inlineStr">
        <is>
          <t>Apodi - RN</t>
        </is>
      </c>
      <c r="C4980" t="n">
        <v>-5.65349</v>
      </c>
      <c r="D4980" t="n">
        <v>-37.7946</v>
      </c>
      <c r="E4980" t="inlineStr">
        <is>
          <t>2025-05</t>
        </is>
      </c>
      <c r="F4980" t="n">
        <v>2444.222637657268</v>
      </c>
    </row>
    <row r="4981">
      <c r="A4981" t="inlineStr">
        <is>
          <t>Milho</t>
        </is>
      </c>
      <c r="B4981" t="inlineStr">
        <is>
          <t>Apodi - RN</t>
        </is>
      </c>
      <c r="C4981" t="n">
        <v>-5.65349</v>
      </c>
      <c r="D4981" t="n">
        <v>-37.7946</v>
      </c>
      <c r="E4981" t="inlineStr">
        <is>
          <t>2025-06</t>
        </is>
      </c>
      <c r="F4981" t="n">
        <v>2128.691031651912</v>
      </c>
    </row>
    <row r="4982">
      <c r="A4982" t="inlineStr">
        <is>
          <t>Milho</t>
        </is>
      </c>
      <c r="B4982" t="inlineStr">
        <is>
          <t>Apodi - RN</t>
        </is>
      </c>
      <c r="C4982" t="n">
        <v>-5.65349</v>
      </c>
      <c r="D4982" t="n">
        <v>-37.7946</v>
      </c>
      <c r="E4982" t="inlineStr">
        <is>
          <t>2024-07</t>
        </is>
      </c>
      <c r="F4982" t="n">
        <v>3421.794737297409</v>
      </c>
    </row>
    <row r="4983">
      <c r="A4983" t="inlineStr">
        <is>
          <t>Milho</t>
        </is>
      </c>
      <c r="B4983" t="inlineStr">
        <is>
          <t>Apodi - RN</t>
        </is>
      </c>
      <c r="C4983" t="n">
        <v>-5.65349</v>
      </c>
      <c r="D4983" t="n">
        <v>-37.7946</v>
      </c>
      <c r="E4983" t="inlineStr">
        <is>
          <t>2024-08</t>
        </is>
      </c>
      <c r="F4983" t="n">
        <v>4057.303615993502</v>
      </c>
    </row>
    <row r="4984">
      <c r="A4984" t="inlineStr">
        <is>
          <t>Milho</t>
        </is>
      </c>
      <c r="B4984" t="inlineStr">
        <is>
          <t>Apodi - RN</t>
        </is>
      </c>
      <c r="C4984" t="n">
        <v>-5.65349</v>
      </c>
      <c r="D4984" t="n">
        <v>-37.7946</v>
      </c>
      <c r="E4984" t="inlineStr">
        <is>
          <t>2024-09</t>
        </is>
      </c>
      <c r="F4984" t="n">
        <v>2632.526786119091</v>
      </c>
    </row>
    <row r="4985">
      <c r="A4985" t="inlineStr">
        <is>
          <t>Milho</t>
        </is>
      </c>
      <c r="B4985" t="inlineStr">
        <is>
          <t>Apodi - RN</t>
        </is>
      </c>
      <c r="C4985" t="n">
        <v>-5.65349</v>
      </c>
      <c r="D4985" t="n">
        <v>-37.7946</v>
      </c>
      <c r="E4985" t="inlineStr">
        <is>
          <t>2024-10</t>
        </is>
      </c>
      <c r="F4985" t="n">
        <v>0</v>
      </c>
    </row>
    <row r="4986">
      <c r="A4986" t="inlineStr">
        <is>
          <t>Milho</t>
        </is>
      </c>
      <c r="B4986" t="inlineStr">
        <is>
          <t>Apodi - RN</t>
        </is>
      </c>
      <c r="C4986" t="n">
        <v>-5.65349</v>
      </c>
      <c r="D4986" t="n">
        <v>-37.7946</v>
      </c>
      <c r="E4986" t="inlineStr">
        <is>
          <t>2024-11</t>
        </is>
      </c>
      <c r="F4986" t="n">
        <v>0</v>
      </c>
    </row>
    <row r="4987">
      <c r="A4987" t="inlineStr">
        <is>
          <t>Milho</t>
        </is>
      </c>
      <c r="B4987" t="inlineStr">
        <is>
          <t>Apodi - RN</t>
        </is>
      </c>
      <c r="C4987" t="n">
        <v>-5.65349</v>
      </c>
      <c r="D4987" t="n">
        <v>-37.7946</v>
      </c>
      <c r="E4987" t="inlineStr">
        <is>
          <t>2024-12</t>
        </is>
      </c>
      <c r="F4987" t="n">
        <v>0</v>
      </c>
    </row>
    <row r="4988">
      <c r="A4988" t="inlineStr">
        <is>
          <t>Milho</t>
        </is>
      </c>
      <c r="B4988" t="inlineStr">
        <is>
          <t>Pimenteiras do Oeste - RO</t>
        </is>
      </c>
      <c r="C4988" t="n">
        <v>-13.4823</v>
      </c>
      <c r="D4988" t="n">
        <v>-61.0471</v>
      </c>
      <c r="E4988" t="inlineStr">
        <is>
          <t>2025-01</t>
        </is>
      </c>
      <c r="F4988" t="n">
        <v>0</v>
      </c>
    </row>
    <row r="4989">
      <c r="A4989" t="inlineStr">
        <is>
          <t>Milho</t>
        </is>
      </c>
      <c r="B4989" t="inlineStr">
        <is>
          <t>Pimenteiras do Oeste - RO</t>
        </is>
      </c>
      <c r="C4989" t="n">
        <v>-13.4823</v>
      </c>
      <c r="D4989" t="n">
        <v>-61.0471</v>
      </c>
      <c r="E4989" t="inlineStr">
        <is>
          <t>2025-02</t>
        </is>
      </c>
      <c r="F4989" t="n">
        <v>0</v>
      </c>
    </row>
    <row r="4990">
      <c r="A4990" t="inlineStr">
        <is>
          <t>Milho</t>
        </is>
      </c>
      <c r="B4990" t="inlineStr">
        <is>
          <t>Pimenteiras do Oeste - RO</t>
        </is>
      </c>
      <c r="C4990" t="n">
        <v>-13.4823</v>
      </c>
      <c r="D4990" t="n">
        <v>-61.0471</v>
      </c>
      <c r="E4990" t="inlineStr">
        <is>
          <t>2025-03</t>
        </is>
      </c>
      <c r="F4990" t="n">
        <v>0</v>
      </c>
    </row>
    <row r="4991">
      <c r="A4991" t="inlineStr">
        <is>
          <t>Milho</t>
        </is>
      </c>
      <c r="B4991" t="inlineStr">
        <is>
          <t>Pimenteiras do Oeste - RO</t>
        </is>
      </c>
      <c r="C4991" t="n">
        <v>-13.4823</v>
      </c>
      <c r="D4991" t="n">
        <v>-61.0471</v>
      </c>
      <c r="E4991" t="inlineStr">
        <is>
          <t>2025-04</t>
        </is>
      </c>
      <c r="F4991" t="n">
        <v>0</v>
      </c>
    </row>
    <row r="4992">
      <c r="A4992" t="inlineStr">
        <is>
          <t>Milho</t>
        </is>
      </c>
      <c r="B4992" t="inlineStr">
        <is>
          <t>Pimenteiras do Oeste - RO</t>
        </is>
      </c>
      <c r="C4992" t="n">
        <v>-13.4823</v>
      </c>
      <c r="D4992" t="n">
        <v>-61.0471</v>
      </c>
      <c r="E4992" t="inlineStr">
        <is>
          <t>2025-05</t>
        </is>
      </c>
      <c r="F4992" t="n">
        <v>150948.5456129907</v>
      </c>
    </row>
    <row r="4993">
      <c r="A4993" t="inlineStr">
        <is>
          <t>Milho</t>
        </is>
      </c>
      <c r="B4993" t="inlineStr">
        <is>
          <t>Pimenteiras do Oeste - RO</t>
        </is>
      </c>
      <c r="C4993" t="n">
        <v>-13.4823</v>
      </c>
      <c r="D4993" t="n">
        <v>-61.0471</v>
      </c>
      <c r="E4993" t="inlineStr">
        <is>
          <t>2025-06</t>
        </is>
      </c>
      <c r="F4993" t="n">
        <v>262924.3427638435</v>
      </c>
    </row>
    <row r="4994">
      <c r="A4994" t="inlineStr">
        <is>
          <t>Milho</t>
        </is>
      </c>
      <c r="B4994" t="inlineStr">
        <is>
          <t>Pimenteiras do Oeste - RO</t>
        </is>
      </c>
      <c r="C4994" t="n">
        <v>-13.4823</v>
      </c>
      <c r="D4994" t="n">
        <v>-61.0471</v>
      </c>
      <c r="E4994" t="inlineStr">
        <is>
          <t>2024-07</t>
        </is>
      </c>
      <c r="F4994" t="n">
        <v>422641.4820184252</v>
      </c>
    </row>
    <row r="4995">
      <c r="A4995" t="inlineStr">
        <is>
          <t>Milho</t>
        </is>
      </c>
      <c r="B4995" t="inlineStr">
        <is>
          <t>Pimenteiras do Oeste - RO</t>
        </is>
      </c>
      <c r="C4995" t="n">
        <v>-13.4823</v>
      </c>
      <c r="D4995" t="n">
        <v>-61.0471</v>
      </c>
      <c r="E4995" t="inlineStr">
        <is>
          <t>2024-08</t>
        </is>
      </c>
      <c r="F4995" t="n">
        <v>501136.0835210634</v>
      </c>
    </row>
    <row r="4996">
      <c r="A4996" t="inlineStr">
        <is>
          <t>Milho</t>
        </is>
      </c>
      <c r="B4996" t="inlineStr">
        <is>
          <t>Pimenteiras do Oeste - RO</t>
        </is>
      </c>
      <c r="C4996" t="n">
        <v>-13.4823</v>
      </c>
      <c r="D4996" t="n">
        <v>-61.0471</v>
      </c>
      <c r="E4996" t="inlineStr">
        <is>
          <t>2024-09</t>
        </is>
      </c>
      <c r="F4996" t="n">
        <v>325155.3958544408</v>
      </c>
    </row>
    <row r="4997">
      <c r="A4997" t="inlineStr">
        <is>
          <t>Milho</t>
        </is>
      </c>
      <c r="B4997" t="inlineStr">
        <is>
          <t>Pimenteiras do Oeste - RO</t>
        </is>
      </c>
      <c r="C4997" t="n">
        <v>-13.4823</v>
      </c>
      <c r="D4997" t="n">
        <v>-61.0471</v>
      </c>
      <c r="E4997" t="inlineStr">
        <is>
          <t>2024-10</t>
        </is>
      </c>
      <c r="F4997" t="n">
        <v>484455.574430895</v>
      </c>
    </row>
    <row r="4998">
      <c r="A4998" t="inlineStr">
        <is>
          <t>Milho</t>
        </is>
      </c>
      <c r="B4998" t="inlineStr">
        <is>
          <t>Pimenteiras do Oeste - RO</t>
        </is>
      </c>
      <c r="C4998" t="n">
        <v>-13.4823</v>
      </c>
      <c r="D4998" t="n">
        <v>-61.0471</v>
      </c>
      <c r="E4998" t="inlineStr">
        <is>
          <t>2024-11</t>
        </is>
      </c>
      <c r="F4998" t="n">
        <v>0</v>
      </c>
    </row>
    <row r="4999">
      <c r="A4999" t="inlineStr">
        <is>
          <t>Milho</t>
        </is>
      </c>
      <c r="B4999" t="inlineStr">
        <is>
          <t>Pimenteiras do Oeste - RO</t>
        </is>
      </c>
      <c r="C4999" t="n">
        <v>-13.4823</v>
      </c>
      <c r="D4999" t="n">
        <v>-61.0471</v>
      </c>
      <c r="E4999" t="inlineStr">
        <is>
          <t>2024-12</t>
        </is>
      </c>
      <c r="F4999" t="n">
        <v>0</v>
      </c>
    </row>
    <row r="5000">
      <c r="A5000" t="inlineStr">
        <is>
          <t>Milho</t>
        </is>
      </c>
      <c r="B5000" t="inlineStr">
        <is>
          <t>Bonfim - RR</t>
        </is>
      </c>
      <c r="C5000" t="n">
        <v>3.36161</v>
      </c>
      <c r="D5000" t="n">
        <v>-59.8333</v>
      </c>
      <c r="E5000" t="inlineStr">
        <is>
          <t>2025-01</t>
        </is>
      </c>
      <c r="F5000" t="n">
        <v>0</v>
      </c>
    </row>
    <row r="5001">
      <c r="A5001" t="inlineStr">
        <is>
          <t>Milho</t>
        </is>
      </c>
      <c r="B5001" t="inlineStr">
        <is>
          <t>Bonfim - RR</t>
        </is>
      </c>
      <c r="C5001" t="n">
        <v>3.36161</v>
      </c>
      <c r="D5001" t="n">
        <v>-59.8333</v>
      </c>
      <c r="E5001" t="inlineStr">
        <is>
          <t>2025-02</t>
        </is>
      </c>
      <c r="F5001" t="n">
        <v>0</v>
      </c>
    </row>
    <row r="5002">
      <c r="A5002" t="inlineStr">
        <is>
          <t>Milho</t>
        </is>
      </c>
      <c r="B5002" t="inlineStr">
        <is>
          <t>Bonfim - RR</t>
        </is>
      </c>
      <c r="C5002" t="n">
        <v>3.36161</v>
      </c>
      <c r="D5002" t="n">
        <v>-59.8333</v>
      </c>
      <c r="E5002" t="inlineStr">
        <is>
          <t>2025-03</t>
        </is>
      </c>
      <c r="F5002" t="n">
        <v>0</v>
      </c>
    </row>
    <row r="5003">
      <c r="A5003" t="inlineStr">
        <is>
          <t>Milho</t>
        </is>
      </c>
      <c r="B5003" t="inlineStr">
        <is>
          <t>Bonfim - RR</t>
        </is>
      </c>
      <c r="C5003" t="n">
        <v>3.36161</v>
      </c>
      <c r="D5003" t="n">
        <v>-59.8333</v>
      </c>
      <c r="E5003" t="inlineStr">
        <is>
          <t>2025-04</t>
        </is>
      </c>
      <c r="F5003" t="n">
        <v>0</v>
      </c>
    </row>
    <row r="5004">
      <c r="A5004" t="inlineStr">
        <is>
          <t>Milho</t>
        </is>
      </c>
      <c r="B5004" t="inlineStr">
        <is>
          <t>Bonfim - RR</t>
        </is>
      </c>
      <c r="C5004" t="n">
        <v>3.36161</v>
      </c>
      <c r="D5004" t="n">
        <v>-59.8333</v>
      </c>
      <c r="E5004" t="inlineStr">
        <is>
          <t>2025-05</t>
        </is>
      </c>
      <c r="F5004" t="n">
        <v>0</v>
      </c>
    </row>
    <row r="5005">
      <c r="A5005" t="inlineStr">
        <is>
          <t>Milho</t>
        </is>
      </c>
      <c r="B5005" t="inlineStr">
        <is>
          <t>Bonfim - RR</t>
        </is>
      </c>
      <c r="C5005" t="n">
        <v>3.36161</v>
      </c>
      <c r="D5005" t="n">
        <v>-59.8333</v>
      </c>
      <c r="E5005" t="inlineStr">
        <is>
          <t>2025-06</t>
        </is>
      </c>
      <c r="F5005" t="n">
        <v>0</v>
      </c>
    </row>
    <row r="5006">
      <c r="A5006" t="inlineStr">
        <is>
          <t>Milho</t>
        </is>
      </c>
      <c r="B5006" t="inlineStr">
        <is>
          <t>Bonfim - RR</t>
        </is>
      </c>
      <c r="C5006" t="n">
        <v>3.36161</v>
      </c>
      <c r="D5006" t="n">
        <v>-59.8333</v>
      </c>
      <c r="E5006" t="inlineStr">
        <is>
          <t>2024-07</t>
        </is>
      </c>
      <c r="F5006" t="n">
        <v>0</v>
      </c>
    </row>
    <row r="5007">
      <c r="A5007" t="inlineStr">
        <is>
          <t>Milho</t>
        </is>
      </c>
      <c r="B5007" t="inlineStr">
        <is>
          <t>Bonfim - RR</t>
        </is>
      </c>
      <c r="C5007" t="n">
        <v>3.36161</v>
      </c>
      <c r="D5007" t="n">
        <v>-59.8333</v>
      </c>
      <c r="E5007" t="inlineStr">
        <is>
          <t>2024-08</t>
        </is>
      </c>
      <c r="F5007" t="n">
        <v>0</v>
      </c>
    </row>
    <row r="5008">
      <c r="A5008" t="inlineStr">
        <is>
          <t>Milho</t>
        </is>
      </c>
      <c r="B5008" t="inlineStr">
        <is>
          <t>Bonfim - RR</t>
        </is>
      </c>
      <c r="C5008" t="n">
        <v>3.36161</v>
      </c>
      <c r="D5008" t="n">
        <v>-59.8333</v>
      </c>
      <c r="E5008" t="inlineStr">
        <is>
          <t>2024-09</t>
        </is>
      </c>
      <c r="F5008" t="n">
        <v>0</v>
      </c>
    </row>
    <row r="5009">
      <c r="A5009" t="inlineStr">
        <is>
          <t>Milho</t>
        </is>
      </c>
      <c r="B5009" t="inlineStr">
        <is>
          <t>Bonfim - RR</t>
        </is>
      </c>
      <c r="C5009" t="n">
        <v>3.36161</v>
      </c>
      <c r="D5009" t="n">
        <v>-59.8333</v>
      </c>
      <c r="E5009" t="inlineStr">
        <is>
          <t>2024-10</t>
        </is>
      </c>
      <c r="F5009" t="n">
        <v>0</v>
      </c>
    </row>
    <row r="5010">
      <c r="A5010" t="inlineStr">
        <is>
          <t>Milho</t>
        </is>
      </c>
      <c r="B5010" t="inlineStr">
        <is>
          <t>Bonfim - RR</t>
        </is>
      </c>
      <c r="C5010" t="n">
        <v>3.36161</v>
      </c>
      <c r="D5010" t="n">
        <v>-59.8333</v>
      </c>
      <c r="E5010" t="inlineStr">
        <is>
          <t>2024-11</t>
        </is>
      </c>
      <c r="F5010" t="n">
        <v>0</v>
      </c>
    </row>
    <row r="5011">
      <c r="A5011" t="inlineStr">
        <is>
          <t>Milho</t>
        </is>
      </c>
      <c r="B5011" t="inlineStr">
        <is>
          <t>Bonfim - RR</t>
        </is>
      </c>
      <c r="C5011" t="n">
        <v>3.36161</v>
      </c>
      <c r="D5011" t="n">
        <v>-59.8333</v>
      </c>
      <c r="E5011" t="inlineStr">
        <is>
          <t>2024-12</t>
        </is>
      </c>
      <c r="F5011" t="n">
        <v>0</v>
      </c>
    </row>
    <row r="5012">
      <c r="A5012" t="inlineStr">
        <is>
          <t>Milho</t>
        </is>
      </c>
      <c r="B5012" t="inlineStr">
        <is>
          <t>Campos Novos - SC</t>
        </is>
      </c>
      <c r="C5012" t="n">
        <v>-27.4002</v>
      </c>
      <c r="D5012" t="n">
        <v>-51.2276</v>
      </c>
      <c r="E5012" t="inlineStr">
        <is>
          <t>2025-01</t>
        </is>
      </c>
      <c r="F5012" t="n">
        <v>0</v>
      </c>
    </row>
    <row r="5013">
      <c r="A5013" t="inlineStr">
        <is>
          <t>Milho</t>
        </is>
      </c>
      <c r="B5013" t="inlineStr">
        <is>
          <t>Campos Novos - SC</t>
        </is>
      </c>
      <c r="C5013" t="n">
        <v>-27.4002</v>
      </c>
      <c r="D5013" t="n">
        <v>-51.2276</v>
      </c>
      <c r="E5013" t="inlineStr">
        <is>
          <t>2025-02</t>
        </is>
      </c>
      <c r="F5013" t="n">
        <v>0</v>
      </c>
    </row>
    <row r="5014">
      <c r="A5014" t="inlineStr">
        <is>
          <t>Milho</t>
        </is>
      </c>
      <c r="B5014" t="inlineStr">
        <is>
          <t>Campos Novos - SC</t>
        </is>
      </c>
      <c r="C5014" t="n">
        <v>-27.4002</v>
      </c>
      <c r="D5014" t="n">
        <v>-51.2276</v>
      </c>
      <c r="E5014" t="inlineStr">
        <is>
          <t>2025-03</t>
        </is>
      </c>
      <c r="F5014" t="n">
        <v>0</v>
      </c>
    </row>
    <row r="5015">
      <c r="A5015" t="inlineStr">
        <is>
          <t>Milho</t>
        </is>
      </c>
      <c r="B5015" t="inlineStr">
        <is>
          <t>Campos Novos - SC</t>
        </is>
      </c>
      <c r="C5015" t="n">
        <v>-27.4002</v>
      </c>
      <c r="D5015" t="n">
        <v>-51.2276</v>
      </c>
      <c r="E5015" t="inlineStr">
        <is>
          <t>2025-04</t>
        </is>
      </c>
      <c r="F5015" t="n">
        <v>0</v>
      </c>
    </row>
    <row r="5016">
      <c r="A5016" t="inlineStr">
        <is>
          <t>Milho</t>
        </is>
      </c>
      <c r="B5016" t="inlineStr">
        <is>
          <t>Campos Novos - SC</t>
        </is>
      </c>
      <c r="C5016" t="n">
        <v>-27.4002</v>
      </c>
      <c r="D5016" t="n">
        <v>-51.2276</v>
      </c>
      <c r="E5016" t="inlineStr">
        <is>
          <t>2025-05</t>
        </is>
      </c>
      <c r="F5016" t="n">
        <v>0</v>
      </c>
    </row>
    <row r="5017">
      <c r="A5017" t="inlineStr">
        <is>
          <t>Milho</t>
        </is>
      </c>
      <c r="B5017" t="inlineStr">
        <is>
          <t>Campos Novos - SC</t>
        </is>
      </c>
      <c r="C5017" t="n">
        <v>-27.4002</v>
      </c>
      <c r="D5017" t="n">
        <v>-51.2276</v>
      </c>
      <c r="E5017" t="inlineStr">
        <is>
          <t>2025-06</t>
        </is>
      </c>
      <c r="F5017" t="n">
        <v>0</v>
      </c>
    </row>
    <row r="5018">
      <c r="A5018" t="inlineStr">
        <is>
          <t>Milho</t>
        </is>
      </c>
      <c r="B5018" t="inlineStr">
        <is>
          <t>Campos Novos - SC</t>
        </is>
      </c>
      <c r="C5018" t="n">
        <v>-27.4002</v>
      </c>
      <c r="D5018" t="n">
        <v>-51.2276</v>
      </c>
      <c r="E5018" t="inlineStr">
        <is>
          <t>2024-07</t>
        </is>
      </c>
      <c r="F5018" t="n">
        <v>0</v>
      </c>
    </row>
    <row r="5019">
      <c r="A5019" t="inlineStr">
        <is>
          <t>Milho</t>
        </is>
      </c>
      <c r="B5019" t="inlineStr">
        <is>
          <t>Campos Novos - SC</t>
        </is>
      </c>
      <c r="C5019" t="n">
        <v>-27.4002</v>
      </c>
      <c r="D5019" t="n">
        <v>-51.2276</v>
      </c>
      <c r="E5019" t="inlineStr">
        <is>
          <t>2024-08</t>
        </is>
      </c>
      <c r="F5019" t="n">
        <v>0</v>
      </c>
    </row>
    <row r="5020">
      <c r="A5020" t="inlineStr">
        <is>
          <t>Milho</t>
        </is>
      </c>
      <c r="B5020" t="inlineStr">
        <is>
          <t>Campos Novos - SC</t>
        </is>
      </c>
      <c r="C5020" t="n">
        <v>-27.4002</v>
      </c>
      <c r="D5020" t="n">
        <v>-51.2276</v>
      </c>
      <c r="E5020" t="inlineStr">
        <is>
          <t>2024-09</t>
        </is>
      </c>
      <c r="F5020" t="n">
        <v>0</v>
      </c>
    </row>
    <row r="5021">
      <c r="A5021" t="inlineStr">
        <is>
          <t>Milho</t>
        </is>
      </c>
      <c r="B5021" t="inlineStr">
        <is>
          <t>Campos Novos - SC</t>
        </is>
      </c>
      <c r="C5021" t="n">
        <v>-27.4002</v>
      </c>
      <c r="D5021" t="n">
        <v>-51.2276</v>
      </c>
      <c r="E5021" t="inlineStr">
        <is>
          <t>2024-10</t>
        </is>
      </c>
      <c r="F5021" t="n">
        <v>0</v>
      </c>
    </row>
    <row r="5022">
      <c r="A5022" t="inlineStr">
        <is>
          <t>Milho</t>
        </is>
      </c>
      <c r="B5022" t="inlineStr">
        <is>
          <t>Campos Novos - SC</t>
        </is>
      </c>
      <c r="C5022" t="n">
        <v>-27.4002</v>
      </c>
      <c r="D5022" t="n">
        <v>-51.2276</v>
      </c>
      <c r="E5022" t="inlineStr">
        <is>
          <t>2024-11</t>
        </is>
      </c>
      <c r="F5022" t="n">
        <v>0</v>
      </c>
    </row>
    <row r="5023">
      <c r="A5023" t="inlineStr">
        <is>
          <t>Milho</t>
        </is>
      </c>
      <c r="B5023" t="inlineStr">
        <is>
          <t>Campos Novos - SC</t>
        </is>
      </c>
      <c r="C5023" t="n">
        <v>-27.4002</v>
      </c>
      <c r="D5023" t="n">
        <v>-51.2276</v>
      </c>
      <c r="E5023" t="inlineStr">
        <is>
          <t>2024-12</t>
        </is>
      </c>
      <c r="F5023" t="n">
        <v>0</v>
      </c>
    </row>
    <row r="5024">
      <c r="A5024" t="inlineStr">
        <is>
          <t>Milho</t>
        </is>
      </c>
      <c r="B5024" t="inlineStr">
        <is>
          <t>Carira - SE</t>
        </is>
      </c>
      <c r="C5024" t="n">
        <v>-10.3524</v>
      </c>
      <c r="D5024" t="n">
        <v>-37.7002</v>
      </c>
      <c r="E5024" t="inlineStr">
        <is>
          <t>2025-01</t>
        </is>
      </c>
      <c r="F5024" t="n">
        <v>0</v>
      </c>
    </row>
    <row r="5025">
      <c r="A5025" t="inlineStr">
        <is>
          <t>Milho</t>
        </is>
      </c>
      <c r="B5025" t="inlineStr">
        <is>
          <t>Carira - SE</t>
        </is>
      </c>
      <c r="C5025" t="n">
        <v>-10.3524</v>
      </c>
      <c r="D5025" t="n">
        <v>-37.7002</v>
      </c>
      <c r="E5025" t="inlineStr">
        <is>
          <t>2025-02</t>
        </is>
      </c>
      <c r="F5025" t="n">
        <v>0</v>
      </c>
    </row>
    <row r="5026">
      <c r="A5026" t="inlineStr">
        <is>
          <t>Milho</t>
        </is>
      </c>
      <c r="B5026" t="inlineStr">
        <is>
          <t>Carira - SE</t>
        </is>
      </c>
      <c r="C5026" t="n">
        <v>-10.3524</v>
      </c>
      <c r="D5026" t="n">
        <v>-37.7002</v>
      </c>
      <c r="E5026" t="inlineStr">
        <is>
          <t>2025-03</t>
        </is>
      </c>
      <c r="F5026" t="n">
        <v>0</v>
      </c>
    </row>
    <row r="5027">
      <c r="A5027" t="inlineStr">
        <is>
          <t>Milho</t>
        </is>
      </c>
      <c r="B5027" t="inlineStr">
        <is>
          <t>Carira - SE</t>
        </is>
      </c>
      <c r="C5027" t="n">
        <v>-10.3524</v>
      </c>
      <c r="D5027" t="n">
        <v>-37.7002</v>
      </c>
      <c r="E5027" t="inlineStr">
        <is>
          <t>2025-04</t>
        </is>
      </c>
      <c r="F5027" t="n">
        <v>0</v>
      </c>
    </row>
    <row r="5028">
      <c r="A5028" t="inlineStr">
        <is>
          <t>Milho</t>
        </is>
      </c>
      <c r="B5028" t="inlineStr">
        <is>
          <t>Carira - SE</t>
        </is>
      </c>
      <c r="C5028" t="n">
        <v>-10.3524</v>
      </c>
      <c r="D5028" t="n">
        <v>-37.7002</v>
      </c>
      <c r="E5028" t="inlineStr">
        <is>
          <t>2025-05</t>
        </is>
      </c>
      <c r="F5028" t="n">
        <v>0</v>
      </c>
    </row>
    <row r="5029">
      <c r="A5029" t="inlineStr">
        <is>
          <t>Milho</t>
        </is>
      </c>
      <c r="B5029" t="inlineStr">
        <is>
          <t>Carira - SE</t>
        </is>
      </c>
      <c r="C5029" t="n">
        <v>-10.3524</v>
      </c>
      <c r="D5029" t="n">
        <v>-37.7002</v>
      </c>
      <c r="E5029" t="inlineStr">
        <is>
          <t>2025-06</t>
        </is>
      </c>
      <c r="F5029" t="n">
        <v>0</v>
      </c>
    </row>
    <row r="5030">
      <c r="A5030" t="inlineStr">
        <is>
          <t>Milho</t>
        </is>
      </c>
      <c r="B5030" t="inlineStr">
        <is>
          <t>Carira - SE</t>
        </is>
      </c>
      <c r="C5030" t="n">
        <v>-10.3524</v>
      </c>
      <c r="D5030" t="n">
        <v>-37.7002</v>
      </c>
      <c r="E5030" t="inlineStr">
        <is>
          <t>2024-07</t>
        </is>
      </c>
      <c r="F5030" t="n">
        <v>0</v>
      </c>
    </row>
    <row r="5031">
      <c r="A5031" t="inlineStr">
        <is>
          <t>Milho</t>
        </is>
      </c>
      <c r="B5031" t="inlineStr">
        <is>
          <t>Carira - SE</t>
        </is>
      </c>
      <c r="C5031" t="n">
        <v>-10.3524</v>
      </c>
      <c r="D5031" t="n">
        <v>-37.7002</v>
      </c>
      <c r="E5031" t="inlineStr">
        <is>
          <t>2024-08</t>
        </is>
      </c>
      <c r="F5031" t="n">
        <v>0</v>
      </c>
    </row>
    <row r="5032">
      <c r="A5032" t="inlineStr">
        <is>
          <t>Milho</t>
        </is>
      </c>
      <c r="B5032" t="inlineStr">
        <is>
          <t>Carira - SE</t>
        </is>
      </c>
      <c r="C5032" t="n">
        <v>-10.3524</v>
      </c>
      <c r="D5032" t="n">
        <v>-37.7002</v>
      </c>
      <c r="E5032" t="inlineStr">
        <is>
          <t>2024-09</t>
        </is>
      </c>
      <c r="F5032" t="n">
        <v>0</v>
      </c>
    </row>
    <row r="5033">
      <c r="A5033" t="inlineStr">
        <is>
          <t>Milho</t>
        </is>
      </c>
      <c r="B5033" t="inlineStr">
        <is>
          <t>Carira - SE</t>
        </is>
      </c>
      <c r="C5033" t="n">
        <v>-10.3524</v>
      </c>
      <c r="D5033" t="n">
        <v>-37.7002</v>
      </c>
      <c r="E5033" t="inlineStr">
        <is>
          <t>2024-10</t>
        </is>
      </c>
      <c r="F5033" t="n">
        <v>0</v>
      </c>
    </row>
    <row r="5034">
      <c r="A5034" t="inlineStr">
        <is>
          <t>Milho</t>
        </is>
      </c>
      <c r="B5034" t="inlineStr">
        <is>
          <t>Carira - SE</t>
        </is>
      </c>
      <c r="C5034" t="n">
        <v>-10.3524</v>
      </c>
      <c r="D5034" t="n">
        <v>-37.7002</v>
      </c>
      <c r="E5034" t="inlineStr">
        <is>
          <t>2024-11</t>
        </is>
      </c>
      <c r="F5034" t="n">
        <v>0</v>
      </c>
    </row>
    <row r="5035">
      <c r="A5035" t="inlineStr">
        <is>
          <t>Milho</t>
        </is>
      </c>
      <c r="B5035" t="inlineStr">
        <is>
          <t>Carira - SE</t>
        </is>
      </c>
      <c r="C5035" t="n">
        <v>-10.3524</v>
      </c>
      <c r="D5035" t="n">
        <v>-37.7002</v>
      </c>
      <c r="E5035" t="inlineStr">
        <is>
          <t>2024-12</t>
        </is>
      </c>
      <c r="F5035" t="n">
        <v>0</v>
      </c>
    </row>
    <row r="5036">
      <c r="A5036" t="inlineStr">
        <is>
          <t>Milho</t>
        </is>
      </c>
      <c r="B5036" t="inlineStr">
        <is>
          <t>Itapeva - SP</t>
        </is>
      </c>
      <c r="C5036" t="n">
        <v>-23.9788</v>
      </c>
      <c r="D5036" t="n">
        <v>-48.8764</v>
      </c>
      <c r="E5036" t="inlineStr">
        <is>
          <t>2025-01</t>
        </is>
      </c>
      <c r="F5036" t="n">
        <v>0</v>
      </c>
    </row>
    <row r="5037">
      <c r="A5037" t="inlineStr">
        <is>
          <t>Milho</t>
        </is>
      </c>
      <c r="B5037" t="inlineStr">
        <is>
          <t>Itapeva - SP</t>
        </is>
      </c>
      <c r="C5037" t="n">
        <v>-23.9788</v>
      </c>
      <c r="D5037" t="n">
        <v>-48.8764</v>
      </c>
      <c r="E5037" t="inlineStr">
        <is>
          <t>2025-02</t>
        </is>
      </c>
      <c r="F5037" t="n">
        <v>0</v>
      </c>
    </row>
    <row r="5038">
      <c r="A5038" t="inlineStr">
        <is>
          <t>Milho</t>
        </is>
      </c>
      <c r="B5038" t="inlineStr">
        <is>
          <t>Itapeva - SP</t>
        </is>
      </c>
      <c r="C5038" t="n">
        <v>-23.9788</v>
      </c>
      <c r="D5038" t="n">
        <v>-48.8764</v>
      </c>
      <c r="E5038" t="inlineStr">
        <is>
          <t>2025-03</t>
        </is>
      </c>
      <c r="F5038" t="n">
        <v>0</v>
      </c>
    </row>
    <row r="5039">
      <c r="A5039" t="inlineStr">
        <is>
          <t>Milho</t>
        </is>
      </c>
      <c r="B5039" t="inlineStr">
        <is>
          <t>Itapeva - SP</t>
        </is>
      </c>
      <c r="C5039" t="n">
        <v>-23.9788</v>
      </c>
      <c r="D5039" t="n">
        <v>-48.8764</v>
      </c>
      <c r="E5039" t="inlineStr">
        <is>
          <t>2025-04</t>
        </is>
      </c>
      <c r="F5039" t="n">
        <v>0</v>
      </c>
    </row>
    <row r="5040">
      <c r="A5040" t="inlineStr">
        <is>
          <t>Milho</t>
        </is>
      </c>
      <c r="B5040" t="inlineStr">
        <is>
          <t>Itapeva - SP</t>
        </is>
      </c>
      <c r="C5040" t="n">
        <v>-23.9788</v>
      </c>
      <c r="D5040" t="n">
        <v>-48.8764</v>
      </c>
      <c r="E5040" t="inlineStr">
        <is>
          <t>2025-05</t>
        </is>
      </c>
      <c r="F5040" t="n">
        <v>300873.862562829</v>
      </c>
    </row>
    <row r="5041">
      <c r="A5041" t="inlineStr">
        <is>
          <t>Milho</t>
        </is>
      </c>
      <c r="B5041" t="inlineStr">
        <is>
          <t>Itapeva - SP</t>
        </is>
      </c>
      <c r="C5041" t="n">
        <v>-23.9788</v>
      </c>
      <c r="D5041" t="n">
        <v>-48.8764</v>
      </c>
      <c r="E5041" t="inlineStr">
        <is>
          <t>2025-06</t>
        </is>
      </c>
      <c r="F5041" t="n">
        <v>262033.2055797655</v>
      </c>
    </row>
    <row r="5042">
      <c r="A5042" t="inlineStr">
        <is>
          <t>Milho</t>
        </is>
      </c>
      <c r="B5042" t="inlineStr">
        <is>
          <t>Itapeva - SP</t>
        </is>
      </c>
      <c r="C5042" t="n">
        <v>-23.9788</v>
      </c>
      <c r="D5042" t="n">
        <v>-48.8764</v>
      </c>
      <c r="E5042" t="inlineStr">
        <is>
          <t>2024-07</t>
        </is>
      </c>
      <c r="F5042" t="n">
        <v>589692.6151917352</v>
      </c>
    </row>
    <row r="5043">
      <c r="A5043" t="inlineStr">
        <is>
          <t>Milho</t>
        </is>
      </c>
      <c r="B5043" t="inlineStr">
        <is>
          <t>Itapeva - SP</t>
        </is>
      </c>
      <c r="C5043" t="n">
        <v>-23.9788</v>
      </c>
      <c r="D5043" t="n">
        <v>-48.8764</v>
      </c>
      <c r="E5043" t="inlineStr">
        <is>
          <t>2024-08</t>
        </is>
      </c>
      <c r="F5043" t="n">
        <v>499437.5682994812</v>
      </c>
    </row>
    <row r="5044">
      <c r="A5044" t="inlineStr">
        <is>
          <t>Milho</t>
        </is>
      </c>
      <c r="B5044" t="inlineStr">
        <is>
          <t>Itapeva - SP</t>
        </is>
      </c>
      <c r="C5044" t="n">
        <v>-23.9788</v>
      </c>
      <c r="D5044" t="n">
        <v>-48.8764</v>
      </c>
      <c r="E5044" t="inlineStr">
        <is>
          <t>2024-09</t>
        </is>
      </c>
      <c r="F5044" t="n">
        <v>324053.3371374594</v>
      </c>
    </row>
    <row r="5045">
      <c r="A5045" t="inlineStr">
        <is>
          <t>Milho</t>
        </is>
      </c>
      <c r="B5045" t="inlineStr">
        <is>
          <t>Itapeva - SP</t>
        </is>
      </c>
      <c r="C5045" t="n">
        <v>-23.9788</v>
      </c>
      <c r="D5045" t="n">
        <v>-48.8764</v>
      </c>
      <c r="E5045" t="inlineStr">
        <is>
          <t>2024-10</t>
        </is>
      </c>
      <c r="F5045" t="n">
        <v>0</v>
      </c>
    </row>
    <row r="5046">
      <c r="A5046" t="inlineStr">
        <is>
          <t>Milho</t>
        </is>
      </c>
      <c r="B5046" t="inlineStr">
        <is>
          <t>Itapeva - SP</t>
        </is>
      </c>
      <c r="C5046" t="n">
        <v>-23.9788</v>
      </c>
      <c r="D5046" t="n">
        <v>-48.8764</v>
      </c>
      <c r="E5046" t="inlineStr">
        <is>
          <t>2024-11</t>
        </is>
      </c>
      <c r="F5046" t="n">
        <v>0</v>
      </c>
    </row>
    <row r="5047">
      <c r="A5047" t="inlineStr">
        <is>
          <t>Milho</t>
        </is>
      </c>
      <c r="B5047" t="inlineStr">
        <is>
          <t>Itapeva - SP</t>
        </is>
      </c>
      <c r="C5047" t="n">
        <v>-23.9788</v>
      </c>
      <c r="D5047" t="n">
        <v>-48.8764</v>
      </c>
      <c r="E5047" t="inlineStr">
        <is>
          <t>2024-12</t>
        </is>
      </c>
      <c r="F5047" t="n">
        <v>0</v>
      </c>
    </row>
    <row r="5048">
      <c r="A5048" t="inlineStr">
        <is>
          <t>Milho</t>
        </is>
      </c>
      <c r="B5048" t="inlineStr">
        <is>
          <t>Campos Lindos - TO</t>
        </is>
      </c>
      <c r="C5048" t="n">
        <v>-7.98956</v>
      </c>
      <c r="D5048" t="n">
        <v>-46.8645</v>
      </c>
      <c r="E5048" t="inlineStr">
        <is>
          <t>2025-01</t>
        </is>
      </c>
      <c r="F5048" t="n">
        <v>0</v>
      </c>
    </row>
    <row r="5049">
      <c r="A5049" t="inlineStr">
        <is>
          <t>Milho</t>
        </is>
      </c>
      <c r="B5049" t="inlineStr">
        <is>
          <t>Campos Lindos - TO</t>
        </is>
      </c>
      <c r="C5049" t="n">
        <v>-7.98956</v>
      </c>
      <c r="D5049" t="n">
        <v>-46.8645</v>
      </c>
      <c r="E5049" t="inlineStr">
        <is>
          <t>2025-02</t>
        </is>
      </c>
      <c r="F5049" t="n">
        <v>0</v>
      </c>
    </row>
    <row r="5050">
      <c r="A5050" t="inlineStr">
        <is>
          <t>Milho</t>
        </is>
      </c>
      <c r="B5050" t="inlineStr">
        <is>
          <t>Campos Lindos - TO</t>
        </is>
      </c>
      <c r="C5050" t="n">
        <v>-7.98956</v>
      </c>
      <c r="D5050" t="n">
        <v>-46.8645</v>
      </c>
      <c r="E5050" t="inlineStr">
        <is>
          <t>2025-03</t>
        </is>
      </c>
      <c r="F5050" t="n">
        <v>0</v>
      </c>
    </row>
    <row r="5051">
      <c r="A5051" t="inlineStr">
        <is>
          <t>Milho</t>
        </is>
      </c>
      <c r="B5051" t="inlineStr">
        <is>
          <t>Campos Lindos - TO</t>
        </is>
      </c>
      <c r="C5051" t="n">
        <v>-7.98956</v>
      </c>
      <c r="D5051" t="n">
        <v>-46.8645</v>
      </c>
      <c r="E5051" t="inlineStr">
        <is>
          <t>2025-04</t>
        </is>
      </c>
      <c r="F5051" t="n">
        <v>0</v>
      </c>
    </row>
    <row r="5052">
      <c r="A5052" t="inlineStr">
        <is>
          <t>Milho</t>
        </is>
      </c>
      <c r="B5052" t="inlineStr">
        <is>
          <t>Campos Lindos - TO</t>
        </is>
      </c>
      <c r="C5052" t="n">
        <v>-7.98956</v>
      </c>
      <c r="D5052" t="n">
        <v>-46.8645</v>
      </c>
      <c r="E5052" t="inlineStr">
        <is>
          <t>2025-05</t>
        </is>
      </c>
      <c r="F5052" t="n">
        <v>267713.5697740849</v>
      </c>
    </row>
    <row r="5053">
      <c r="A5053" t="inlineStr">
        <is>
          <t>Milho</t>
        </is>
      </c>
      <c r="B5053" t="inlineStr">
        <is>
          <t>Campos Lindos - TO</t>
        </is>
      </c>
      <c r="C5053" t="n">
        <v>-7.98956</v>
      </c>
      <c r="D5053" t="n">
        <v>-46.8645</v>
      </c>
      <c r="E5053" t="inlineStr">
        <is>
          <t>2025-06</t>
        </is>
      </c>
      <c r="F5053" t="n">
        <v>233153.6686755463</v>
      </c>
    </row>
    <row r="5054">
      <c r="A5054" t="inlineStr">
        <is>
          <t>Milho</t>
        </is>
      </c>
      <c r="B5054" t="inlineStr">
        <is>
          <t>Campos Lindos - TO</t>
        </is>
      </c>
      <c r="C5054" t="n">
        <v>-7.98956</v>
      </c>
      <c r="D5054" t="n">
        <v>-46.8645</v>
      </c>
      <c r="E5054" t="inlineStr">
        <is>
          <t>2024-07</t>
        </is>
      </c>
      <c r="F5054" t="n">
        <v>524700.6627218369</v>
      </c>
    </row>
    <row r="5055">
      <c r="A5055" t="inlineStr">
        <is>
          <t>Milho</t>
        </is>
      </c>
      <c r="B5055" t="inlineStr">
        <is>
          <t>Campos Lindos - TO</t>
        </is>
      </c>
      <c r="C5055" t="n">
        <v>-7.98956</v>
      </c>
      <c r="D5055" t="n">
        <v>-46.8645</v>
      </c>
      <c r="E5055" t="inlineStr">
        <is>
          <t>2024-08</t>
        </is>
      </c>
      <c r="F5055" t="n">
        <v>266635.7519058108</v>
      </c>
    </row>
    <row r="5056">
      <c r="A5056" t="inlineStr">
        <is>
          <t>Milho</t>
        </is>
      </c>
      <c r="B5056" t="inlineStr">
        <is>
          <t>Campos Lindos - TO</t>
        </is>
      </c>
      <c r="C5056" t="n">
        <v>-7.98956</v>
      </c>
      <c r="D5056" t="n">
        <v>-46.8645</v>
      </c>
      <c r="E5056" t="inlineStr">
        <is>
          <t>2024-09</t>
        </is>
      </c>
      <c r="F5056" t="n">
        <v>288338.358617503</v>
      </c>
    </row>
    <row r="5057">
      <c r="A5057" t="inlineStr">
        <is>
          <t>Milho</t>
        </is>
      </c>
      <c r="B5057" t="inlineStr">
        <is>
          <t>Campos Lindos - TO</t>
        </is>
      </c>
      <c r="C5057" t="n">
        <v>-7.98956</v>
      </c>
      <c r="D5057" t="n">
        <v>-46.8645</v>
      </c>
      <c r="E5057" t="inlineStr">
        <is>
          <t>2024-10</t>
        </is>
      </c>
      <c r="F5057" t="n">
        <v>0</v>
      </c>
    </row>
    <row r="5058">
      <c r="A5058" t="inlineStr">
        <is>
          <t>Milho</t>
        </is>
      </c>
      <c r="B5058" t="inlineStr">
        <is>
          <t>Campos Lindos - TO</t>
        </is>
      </c>
      <c r="C5058" t="n">
        <v>-7.98956</v>
      </c>
      <c r="D5058" t="n">
        <v>-46.8645</v>
      </c>
      <c r="E5058" t="inlineStr">
        <is>
          <t>2024-11</t>
        </is>
      </c>
      <c r="F5058" t="n">
        <v>0</v>
      </c>
    </row>
    <row r="5059">
      <c r="A5059" t="inlineStr">
        <is>
          <t>Milho</t>
        </is>
      </c>
      <c r="B5059" t="inlineStr">
        <is>
          <t>Campos Lindos - TO</t>
        </is>
      </c>
      <c r="C5059" t="n">
        <v>-7.98956</v>
      </c>
      <c r="D5059" t="n">
        <v>-46.8645</v>
      </c>
      <c r="E5059" t="inlineStr">
        <is>
          <t>2024-12</t>
        </is>
      </c>
      <c r="F5059" t="n">
        <v>0</v>
      </c>
    </row>
    <row r="5060">
      <c r="A5060" t="inlineStr">
        <is>
          <t>Milho</t>
        </is>
      </c>
      <c r="B5060" t="inlineStr">
        <is>
          <t>Senador Guiomard - AC</t>
        </is>
      </c>
      <c r="C5060" t="n">
        <v>-10.1497</v>
      </c>
      <c r="D5060" t="n">
        <v>-67.7362</v>
      </c>
      <c r="E5060" t="inlineStr">
        <is>
          <t>2025-01</t>
        </is>
      </c>
      <c r="F5060" t="n">
        <v>0</v>
      </c>
    </row>
    <row r="5061">
      <c r="A5061" t="inlineStr">
        <is>
          <t>Milho</t>
        </is>
      </c>
      <c r="B5061" t="inlineStr">
        <is>
          <t>Senador Guiomard - AC</t>
        </is>
      </c>
      <c r="C5061" t="n">
        <v>-10.1497</v>
      </c>
      <c r="D5061" t="n">
        <v>-67.7362</v>
      </c>
      <c r="E5061" t="inlineStr">
        <is>
          <t>2025-02</t>
        </is>
      </c>
      <c r="F5061" t="n">
        <v>0</v>
      </c>
    </row>
    <row r="5062">
      <c r="A5062" t="inlineStr">
        <is>
          <t>Milho</t>
        </is>
      </c>
      <c r="B5062" t="inlineStr">
        <is>
          <t>Senador Guiomard - AC</t>
        </is>
      </c>
      <c r="C5062" t="n">
        <v>-10.1497</v>
      </c>
      <c r="D5062" t="n">
        <v>-67.7362</v>
      </c>
      <c r="E5062" t="inlineStr">
        <is>
          <t>2025-03</t>
        </is>
      </c>
      <c r="F5062" t="n">
        <v>0</v>
      </c>
    </row>
    <row r="5063">
      <c r="A5063" t="inlineStr">
        <is>
          <t>Milho</t>
        </is>
      </c>
      <c r="B5063" t="inlineStr">
        <is>
          <t>Senador Guiomard - AC</t>
        </is>
      </c>
      <c r="C5063" t="n">
        <v>-10.1497</v>
      </c>
      <c r="D5063" t="n">
        <v>-67.7362</v>
      </c>
      <c r="E5063" t="inlineStr">
        <is>
          <t>2025-04</t>
        </is>
      </c>
      <c r="F5063" t="n">
        <v>0</v>
      </c>
    </row>
    <row r="5064">
      <c r="A5064" t="inlineStr">
        <is>
          <t>Milho</t>
        </is>
      </c>
      <c r="B5064" t="inlineStr">
        <is>
          <t>Senador Guiomard - AC</t>
        </is>
      </c>
      <c r="C5064" t="n">
        <v>-10.1497</v>
      </c>
      <c r="D5064" t="n">
        <v>-67.7362</v>
      </c>
      <c r="E5064" t="inlineStr">
        <is>
          <t>2025-05</t>
        </is>
      </c>
      <c r="F5064" t="n">
        <v>0</v>
      </c>
    </row>
    <row r="5065">
      <c r="A5065" t="inlineStr">
        <is>
          <t>Milho</t>
        </is>
      </c>
      <c r="B5065" t="inlineStr">
        <is>
          <t>Senador Guiomard - AC</t>
        </is>
      </c>
      <c r="C5065" t="n">
        <v>-10.1497</v>
      </c>
      <c r="D5065" t="n">
        <v>-67.7362</v>
      </c>
      <c r="E5065" t="inlineStr">
        <is>
          <t>2025-06</t>
        </is>
      </c>
      <c r="F5065" t="n">
        <v>0</v>
      </c>
    </row>
    <row r="5066">
      <c r="A5066" t="inlineStr">
        <is>
          <t>Milho</t>
        </is>
      </c>
      <c r="B5066" t="inlineStr">
        <is>
          <t>Senador Guiomard - AC</t>
        </is>
      </c>
      <c r="C5066" t="n">
        <v>-10.1497</v>
      </c>
      <c r="D5066" t="n">
        <v>-67.7362</v>
      </c>
      <c r="E5066" t="inlineStr">
        <is>
          <t>2024-07</t>
        </is>
      </c>
      <c r="F5066" t="n">
        <v>0</v>
      </c>
    </row>
    <row r="5067">
      <c r="A5067" t="inlineStr">
        <is>
          <t>Milho</t>
        </is>
      </c>
      <c r="B5067" t="inlineStr">
        <is>
          <t>Senador Guiomard - AC</t>
        </is>
      </c>
      <c r="C5067" t="n">
        <v>-10.1497</v>
      </c>
      <c r="D5067" t="n">
        <v>-67.7362</v>
      </c>
      <c r="E5067" t="inlineStr">
        <is>
          <t>2024-08</t>
        </is>
      </c>
      <c r="F5067" t="n">
        <v>0</v>
      </c>
    </row>
    <row r="5068">
      <c r="A5068" t="inlineStr">
        <is>
          <t>Milho</t>
        </is>
      </c>
      <c r="B5068" t="inlineStr">
        <is>
          <t>Senador Guiomard - AC</t>
        </is>
      </c>
      <c r="C5068" t="n">
        <v>-10.1497</v>
      </c>
      <c r="D5068" t="n">
        <v>-67.7362</v>
      </c>
      <c r="E5068" t="inlineStr">
        <is>
          <t>2024-09</t>
        </is>
      </c>
      <c r="F5068" t="n">
        <v>0</v>
      </c>
    </row>
    <row r="5069">
      <c r="A5069" t="inlineStr">
        <is>
          <t>Milho</t>
        </is>
      </c>
      <c r="B5069" t="inlineStr">
        <is>
          <t>Senador Guiomard - AC</t>
        </is>
      </c>
      <c r="C5069" t="n">
        <v>-10.1497</v>
      </c>
      <c r="D5069" t="n">
        <v>-67.7362</v>
      </c>
      <c r="E5069" t="inlineStr">
        <is>
          <t>2024-10</t>
        </is>
      </c>
      <c r="F5069" t="n">
        <v>0</v>
      </c>
    </row>
    <row r="5070">
      <c r="A5070" t="inlineStr">
        <is>
          <t>Milho</t>
        </is>
      </c>
      <c r="B5070" t="inlineStr">
        <is>
          <t>Senador Guiomard - AC</t>
        </is>
      </c>
      <c r="C5070" t="n">
        <v>-10.1497</v>
      </c>
      <c r="D5070" t="n">
        <v>-67.7362</v>
      </c>
      <c r="E5070" t="inlineStr">
        <is>
          <t>2024-11</t>
        </is>
      </c>
      <c r="F5070" t="n">
        <v>0</v>
      </c>
    </row>
    <row r="5071">
      <c r="A5071" t="inlineStr">
        <is>
          <t>Milho</t>
        </is>
      </c>
      <c r="B5071" t="inlineStr">
        <is>
          <t>Senador Guiomard - AC</t>
        </is>
      </c>
      <c r="C5071" t="n">
        <v>-10.1497</v>
      </c>
      <c r="D5071" t="n">
        <v>-67.7362</v>
      </c>
      <c r="E5071" t="inlineStr">
        <is>
          <t>2024-12</t>
        </is>
      </c>
      <c r="F5071" t="n">
        <v>0</v>
      </c>
    </row>
    <row r="5072">
      <c r="A5072" t="inlineStr">
        <is>
          <t>Milho</t>
        </is>
      </c>
      <c r="B5072" t="inlineStr">
        <is>
          <t>Humaitá - AM</t>
        </is>
      </c>
      <c r="C5072" t="n">
        <v>-7.51171</v>
      </c>
      <c r="D5072" t="n">
        <v>-63.0327</v>
      </c>
      <c r="E5072" t="inlineStr">
        <is>
          <t>2025-01</t>
        </is>
      </c>
      <c r="F5072" t="n">
        <v>0</v>
      </c>
    </row>
    <row r="5073">
      <c r="A5073" t="inlineStr">
        <is>
          <t>Milho</t>
        </is>
      </c>
      <c r="B5073" t="inlineStr">
        <is>
          <t>Humaitá - AM</t>
        </is>
      </c>
      <c r="C5073" t="n">
        <v>-7.51171</v>
      </c>
      <c r="D5073" t="n">
        <v>-63.0327</v>
      </c>
      <c r="E5073" t="inlineStr">
        <is>
          <t>2025-02</t>
        </is>
      </c>
      <c r="F5073" t="n">
        <v>0</v>
      </c>
    </row>
    <row r="5074">
      <c r="A5074" t="inlineStr">
        <is>
          <t>Milho</t>
        </is>
      </c>
      <c r="B5074" t="inlineStr">
        <is>
          <t>Humaitá - AM</t>
        </is>
      </c>
      <c r="C5074" t="n">
        <v>-7.51171</v>
      </c>
      <c r="D5074" t="n">
        <v>-63.0327</v>
      </c>
      <c r="E5074" t="inlineStr">
        <is>
          <t>2025-03</t>
        </is>
      </c>
      <c r="F5074" t="n">
        <v>0</v>
      </c>
    </row>
    <row r="5075">
      <c r="A5075" t="inlineStr">
        <is>
          <t>Milho</t>
        </is>
      </c>
      <c r="B5075" t="inlineStr">
        <is>
          <t>Humaitá - AM</t>
        </is>
      </c>
      <c r="C5075" t="n">
        <v>-7.51171</v>
      </c>
      <c r="D5075" t="n">
        <v>-63.0327</v>
      </c>
      <c r="E5075" t="inlineStr">
        <is>
          <t>2025-04</t>
        </is>
      </c>
      <c r="F5075" t="n">
        <v>0</v>
      </c>
    </row>
    <row r="5076">
      <c r="A5076" t="inlineStr">
        <is>
          <t>Milho</t>
        </is>
      </c>
      <c r="B5076" t="inlineStr">
        <is>
          <t>Humaitá - AM</t>
        </is>
      </c>
      <c r="C5076" t="n">
        <v>-7.51171</v>
      </c>
      <c r="D5076" t="n">
        <v>-63.0327</v>
      </c>
      <c r="E5076" t="inlineStr">
        <is>
          <t>2025-05</t>
        </is>
      </c>
      <c r="F5076" t="n">
        <v>0</v>
      </c>
    </row>
    <row r="5077">
      <c r="A5077" t="inlineStr">
        <is>
          <t>Milho</t>
        </is>
      </c>
      <c r="B5077" t="inlineStr">
        <is>
          <t>Humaitá - AM</t>
        </is>
      </c>
      <c r="C5077" t="n">
        <v>-7.51171</v>
      </c>
      <c r="D5077" t="n">
        <v>-63.0327</v>
      </c>
      <c r="E5077" t="inlineStr">
        <is>
          <t>2025-06</t>
        </is>
      </c>
      <c r="F5077" t="n">
        <v>0</v>
      </c>
    </row>
    <row r="5078">
      <c r="A5078" t="inlineStr">
        <is>
          <t>Milho</t>
        </is>
      </c>
      <c r="B5078" t="inlineStr">
        <is>
          <t>Humaitá - AM</t>
        </is>
      </c>
      <c r="C5078" t="n">
        <v>-7.51171</v>
      </c>
      <c r="D5078" t="n">
        <v>-63.0327</v>
      </c>
      <c r="E5078" t="inlineStr">
        <is>
          <t>2024-07</t>
        </is>
      </c>
      <c r="F5078" t="n">
        <v>0</v>
      </c>
    </row>
    <row r="5079">
      <c r="A5079" t="inlineStr">
        <is>
          <t>Milho</t>
        </is>
      </c>
      <c r="B5079" t="inlineStr">
        <is>
          <t>Humaitá - AM</t>
        </is>
      </c>
      <c r="C5079" t="n">
        <v>-7.51171</v>
      </c>
      <c r="D5079" t="n">
        <v>-63.0327</v>
      </c>
      <c r="E5079" t="inlineStr">
        <is>
          <t>2024-08</t>
        </is>
      </c>
      <c r="F5079" t="n">
        <v>0</v>
      </c>
    </row>
    <row r="5080">
      <c r="A5080" t="inlineStr">
        <is>
          <t>Milho</t>
        </is>
      </c>
      <c r="B5080" t="inlineStr">
        <is>
          <t>Humaitá - AM</t>
        </is>
      </c>
      <c r="C5080" t="n">
        <v>-7.51171</v>
      </c>
      <c r="D5080" t="n">
        <v>-63.0327</v>
      </c>
      <c r="E5080" t="inlineStr">
        <is>
          <t>2024-09</t>
        </is>
      </c>
      <c r="F5080" t="n">
        <v>0</v>
      </c>
    </row>
    <row r="5081">
      <c r="A5081" t="inlineStr">
        <is>
          <t>Milho</t>
        </is>
      </c>
      <c r="B5081" t="inlineStr">
        <is>
          <t>Humaitá - AM</t>
        </is>
      </c>
      <c r="C5081" t="n">
        <v>-7.51171</v>
      </c>
      <c r="D5081" t="n">
        <v>-63.0327</v>
      </c>
      <c r="E5081" t="inlineStr">
        <is>
          <t>2024-10</t>
        </is>
      </c>
      <c r="F5081" t="n">
        <v>0</v>
      </c>
    </row>
    <row r="5082">
      <c r="A5082" t="inlineStr">
        <is>
          <t>Milho</t>
        </is>
      </c>
      <c r="B5082" t="inlineStr">
        <is>
          <t>Humaitá - AM</t>
        </is>
      </c>
      <c r="C5082" t="n">
        <v>-7.51171</v>
      </c>
      <c r="D5082" t="n">
        <v>-63.0327</v>
      </c>
      <c r="E5082" t="inlineStr">
        <is>
          <t>2024-11</t>
        </is>
      </c>
      <c r="F5082" t="n">
        <v>0</v>
      </c>
    </row>
    <row r="5083">
      <c r="A5083" t="inlineStr">
        <is>
          <t>Milho</t>
        </is>
      </c>
      <c r="B5083" t="inlineStr">
        <is>
          <t>Humaitá - AM</t>
        </is>
      </c>
      <c r="C5083" t="n">
        <v>-7.51171</v>
      </c>
      <c r="D5083" t="n">
        <v>-63.0327</v>
      </c>
      <c r="E5083" t="inlineStr">
        <is>
          <t>2024-12</t>
        </is>
      </c>
      <c r="F5083" t="n">
        <v>0</v>
      </c>
    </row>
    <row r="5084">
      <c r="A5084" t="inlineStr">
        <is>
          <t>Milho</t>
        </is>
      </c>
      <c r="B5084" t="inlineStr">
        <is>
          <t>Palmeira das Missões - RS</t>
        </is>
      </c>
      <c r="C5084" t="n">
        <v>-27.9007</v>
      </c>
      <c r="D5084" t="n">
        <v>-53.3134</v>
      </c>
      <c r="E5084" t="inlineStr">
        <is>
          <t>2025-01</t>
        </is>
      </c>
      <c r="F5084" t="n">
        <v>0</v>
      </c>
    </row>
    <row r="5085">
      <c r="A5085" t="inlineStr">
        <is>
          <t>Milho</t>
        </is>
      </c>
      <c r="B5085" t="inlineStr">
        <is>
          <t>Palmeira das Missões - RS</t>
        </is>
      </c>
      <c r="C5085" t="n">
        <v>-27.9007</v>
      </c>
      <c r="D5085" t="n">
        <v>-53.3134</v>
      </c>
      <c r="E5085" t="inlineStr">
        <is>
          <t>2025-02</t>
        </is>
      </c>
      <c r="F5085" t="n">
        <v>0</v>
      </c>
    </row>
    <row r="5086">
      <c r="A5086" t="inlineStr">
        <is>
          <t>Milho</t>
        </is>
      </c>
      <c r="B5086" t="inlineStr">
        <is>
          <t>Palmeira das Missões - RS</t>
        </is>
      </c>
      <c r="C5086" t="n">
        <v>-27.9007</v>
      </c>
      <c r="D5086" t="n">
        <v>-53.3134</v>
      </c>
      <c r="E5086" t="inlineStr">
        <is>
          <t>2025-03</t>
        </is>
      </c>
      <c r="F5086" t="n">
        <v>0</v>
      </c>
    </row>
    <row r="5087">
      <c r="A5087" t="inlineStr">
        <is>
          <t>Milho</t>
        </is>
      </c>
      <c r="B5087" t="inlineStr">
        <is>
          <t>Palmeira das Missões - RS</t>
        </is>
      </c>
      <c r="C5087" t="n">
        <v>-27.9007</v>
      </c>
      <c r="D5087" t="n">
        <v>-53.3134</v>
      </c>
      <c r="E5087" t="inlineStr">
        <is>
          <t>2025-04</t>
        </is>
      </c>
      <c r="F5087" t="n">
        <v>0</v>
      </c>
    </row>
    <row r="5088">
      <c r="A5088" t="inlineStr">
        <is>
          <t>Milho</t>
        </is>
      </c>
      <c r="B5088" t="inlineStr">
        <is>
          <t>Palmeira das Missões - RS</t>
        </is>
      </c>
      <c r="C5088" t="n">
        <v>-27.9007</v>
      </c>
      <c r="D5088" t="n">
        <v>-53.3134</v>
      </c>
      <c r="E5088" t="inlineStr">
        <is>
          <t>2025-05</t>
        </is>
      </c>
      <c r="F5088" t="n">
        <v>0</v>
      </c>
    </row>
    <row r="5089">
      <c r="A5089" t="inlineStr">
        <is>
          <t>Milho</t>
        </is>
      </c>
      <c r="B5089" t="inlineStr">
        <is>
          <t>Palmeira das Missões - RS</t>
        </is>
      </c>
      <c r="C5089" t="n">
        <v>-27.9007</v>
      </c>
      <c r="D5089" t="n">
        <v>-53.3134</v>
      </c>
      <c r="E5089" t="inlineStr">
        <is>
          <t>2025-06</t>
        </is>
      </c>
      <c r="F5089" t="n">
        <v>0</v>
      </c>
    </row>
    <row r="5090">
      <c r="A5090" t="inlineStr">
        <is>
          <t>Milho</t>
        </is>
      </c>
      <c r="B5090" t="inlineStr">
        <is>
          <t>Palmeira das Missões - RS</t>
        </is>
      </c>
      <c r="C5090" t="n">
        <v>-27.9007</v>
      </c>
      <c r="D5090" t="n">
        <v>-53.3134</v>
      </c>
      <c r="E5090" t="inlineStr">
        <is>
          <t>2024-07</t>
        </is>
      </c>
      <c r="F5090" t="n">
        <v>0</v>
      </c>
    </row>
    <row r="5091">
      <c r="A5091" t="inlineStr">
        <is>
          <t>Milho</t>
        </is>
      </c>
      <c r="B5091" t="inlineStr">
        <is>
          <t>Palmeira das Missões - RS</t>
        </is>
      </c>
      <c r="C5091" t="n">
        <v>-27.9007</v>
      </c>
      <c r="D5091" t="n">
        <v>-53.3134</v>
      </c>
      <c r="E5091" t="inlineStr">
        <is>
          <t>2024-08</t>
        </is>
      </c>
      <c r="F5091" t="n">
        <v>0</v>
      </c>
    </row>
    <row r="5092">
      <c r="A5092" t="inlineStr">
        <is>
          <t>Milho</t>
        </is>
      </c>
      <c r="B5092" t="inlineStr">
        <is>
          <t>Palmeira das Missões - RS</t>
        </is>
      </c>
      <c r="C5092" t="n">
        <v>-27.9007</v>
      </c>
      <c r="D5092" t="n">
        <v>-53.3134</v>
      </c>
      <c r="E5092" t="inlineStr">
        <is>
          <t>2024-09</t>
        </is>
      </c>
      <c r="F5092" t="n">
        <v>0</v>
      </c>
    </row>
    <row r="5093">
      <c r="A5093" t="inlineStr">
        <is>
          <t>Milho</t>
        </is>
      </c>
      <c r="B5093" t="inlineStr">
        <is>
          <t>Palmeira das Missões - RS</t>
        </is>
      </c>
      <c r="C5093" t="n">
        <v>-27.9007</v>
      </c>
      <c r="D5093" t="n">
        <v>-53.3134</v>
      </c>
      <c r="E5093" t="inlineStr">
        <is>
          <t>2024-10</t>
        </is>
      </c>
      <c r="F5093" t="n">
        <v>0</v>
      </c>
    </row>
    <row r="5094">
      <c r="A5094" t="inlineStr">
        <is>
          <t>Milho</t>
        </is>
      </c>
      <c r="B5094" t="inlineStr">
        <is>
          <t>Palmeira das Missões - RS</t>
        </is>
      </c>
      <c r="C5094" t="n">
        <v>-27.9007</v>
      </c>
      <c r="D5094" t="n">
        <v>-53.3134</v>
      </c>
      <c r="E5094" t="inlineStr">
        <is>
          <t>2024-11</t>
        </is>
      </c>
      <c r="F5094" t="n">
        <v>0</v>
      </c>
    </row>
    <row r="5095">
      <c r="A5095" t="inlineStr">
        <is>
          <t>Milho</t>
        </is>
      </c>
      <c r="B5095" t="inlineStr">
        <is>
          <t>Palmeira das Missões - RS</t>
        </is>
      </c>
      <c r="C5095" t="n">
        <v>-27.9007</v>
      </c>
      <c r="D5095" t="n">
        <v>-53.3134</v>
      </c>
      <c r="E5095" t="inlineStr">
        <is>
          <t>2024-12</t>
        </is>
      </c>
      <c r="F5095" t="n">
        <v>0</v>
      </c>
    </row>
    <row r="5096">
      <c r="A5096" t="inlineStr">
        <is>
          <t>Milho</t>
        </is>
      </c>
      <c r="B5096" t="inlineStr">
        <is>
          <t>Limoeiro de Anadia - AL</t>
        </is>
      </c>
      <c r="C5096" t="n">
        <v>-9.74098</v>
      </c>
      <c r="D5096" t="n">
        <v>-36.5121</v>
      </c>
      <c r="E5096" t="inlineStr">
        <is>
          <t>2025-01</t>
        </is>
      </c>
      <c r="F5096" t="n">
        <v>0</v>
      </c>
    </row>
    <row r="5097">
      <c r="A5097" t="inlineStr">
        <is>
          <t>Milho</t>
        </is>
      </c>
      <c r="B5097" t="inlineStr">
        <is>
          <t>Limoeiro de Anadia - AL</t>
        </is>
      </c>
      <c r="C5097" t="n">
        <v>-9.74098</v>
      </c>
      <c r="D5097" t="n">
        <v>-36.5121</v>
      </c>
      <c r="E5097" t="inlineStr">
        <is>
          <t>2025-02</t>
        </is>
      </c>
      <c r="F5097" t="n">
        <v>0</v>
      </c>
    </row>
    <row r="5098">
      <c r="A5098" t="inlineStr">
        <is>
          <t>Milho</t>
        </is>
      </c>
      <c r="B5098" t="inlineStr">
        <is>
          <t>Limoeiro de Anadia - AL</t>
        </is>
      </c>
      <c r="C5098" t="n">
        <v>-9.74098</v>
      </c>
      <c r="D5098" t="n">
        <v>-36.5121</v>
      </c>
      <c r="E5098" t="inlineStr">
        <is>
          <t>2025-03</t>
        </is>
      </c>
      <c r="F5098" t="n">
        <v>0</v>
      </c>
    </row>
    <row r="5099">
      <c r="A5099" t="inlineStr">
        <is>
          <t>Milho</t>
        </is>
      </c>
      <c r="B5099" t="inlineStr">
        <is>
          <t>Limoeiro de Anadia - AL</t>
        </is>
      </c>
      <c r="C5099" t="n">
        <v>-9.74098</v>
      </c>
      <c r="D5099" t="n">
        <v>-36.5121</v>
      </c>
      <c r="E5099" t="inlineStr">
        <is>
          <t>2025-04</t>
        </is>
      </c>
      <c r="F5099" t="n">
        <v>0</v>
      </c>
    </row>
    <row r="5100">
      <c r="A5100" t="inlineStr">
        <is>
          <t>Milho</t>
        </is>
      </c>
      <c r="B5100" t="inlineStr">
        <is>
          <t>Limoeiro de Anadia - AL</t>
        </is>
      </c>
      <c r="C5100" t="n">
        <v>-9.74098</v>
      </c>
      <c r="D5100" t="n">
        <v>-36.5121</v>
      </c>
      <c r="E5100" t="inlineStr">
        <is>
          <t>2025-05</t>
        </is>
      </c>
      <c r="F5100" t="n">
        <v>0</v>
      </c>
    </row>
    <row r="5101">
      <c r="A5101" t="inlineStr">
        <is>
          <t>Milho</t>
        </is>
      </c>
      <c r="B5101" t="inlineStr">
        <is>
          <t>Limoeiro de Anadia - AL</t>
        </is>
      </c>
      <c r="C5101" t="n">
        <v>-9.74098</v>
      </c>
      <c r="D5101" t="n">
        <v>-36.5121</v>
      </c>
      <c r="E5101" t="inlineStr">
        <is>
          <t>2025-06</t>
        </is>
      </c>
      <c r="F5101" t="n">
        <v>0</v>
      </c>
    </row>
    <row r="5102">
      <c r="A5102" t="inlineStr">
        <is>
          <t>Milho</t>
        </is>
      </c>
      <c r="B5102" t="inlineStr">
        <is>
          <t>Limoeiro de Anadia - AL</t>
        </is>
      </c>
      <c r="C5102" t="n">
        <v>-9.74098</v>
      </c>
      <c r="D5102" t="n">
        <v>-36.5121</v>
      </c>
      <c r="E5102" t="inlineStr">
        <is>
          <t>2024-07</t>
        </is>
      </c>
      <c r="F5102" t="n">
        <v>0</v>
      </c>
    </row>
    <row r="5103">
      <c r="A5103" t="inlineStr">
        <is>
          <t>Milho</t>
        </is>
      </c>
      <c r="B5103" t="inlineStr">
        <is>
          <t>Limoeiro de Anadia - AL</t>
        </is>
      </c>
      <c r="C5103" t="n">
        <v>-9.74098</v>
      </c>
      <c r="D5103" t="n">
        <v>-36.5121</v>
      </c>
      <c r="E5103" t="inlineStr">
        <is>
          <t>2024-08</t>
        </is>
      </c>
      <c r="F5103" t="n">
        <v>15812.51202742817</v>
      </c>
    </row>
    <row r="5104">
      <c r="A5104" t="inlineStr">
        <is>
          <t>Milho</t>
        </is>
      </c>
      <c r="B5104" t="inlineStr">
        <is>
          <t>Limoeiro de Anadia - AL</t>
        </is>
      </c>
      <c r="C5104" t="n">
        <v>-9.74098</v>
      </c>
      <c r="D5104" t="n">
        <v>-36.5121</v>
      </c>
      <c r="E5104" t="inlineStr">
        <is>
          <t>2024-09</t>
        </is>
      </c>
      <c r="F5104" t="n">
        <v>17099.55897144189</v>
      </c>
    </row>
    <row r="5105">
      <c r="A5105" t="inlineStr">
        <is>
          <t>Milho</t>
        </is>
      </c>
      <c r="B5105" t="inlineStr">
        <is>
          <t>Limoeiro de Anadia - AL</t>
        </is>
      </c>
      <c r="C5105" t="n">
        <v>-9.74098</v>
      </c>
      <c r="D5105" t="n">
        <v>-36.5121</v>
      </c>
      <c r="E5105" t="inlineStr">
        <is>
          <t>2024-10</t>
        </is>
      </c>
      <c r="F5105" t="n">
        <v>118892.5610902521</v>
      </c>
    </row>
    <row r="5106">
      <c r="A5106" t="inlineStr">
        <is>
          <t>Milho</t>
        </is>
      </c>
      <c r="B5106" t="inlineStr">
        <is>
          <t>Limoeiro de Anadia - AL</t>
        </is>
      </c>
      <c r="C5106" t="n">
        <v>-9.74098</v>
      </c>
      <c r="D5106" t="n">
        <v>-36.5121</v>
      </c>
      <c r="E5106" t="inlineStr">
        <is>
          <t>2024-11</t>
        </is>
      </c>
      <c r="F5106" t="n">
        <v>178137.9484211775</v>
      </c>
    </row>
    <row r="5107">
      <c r="A5107" t="inlineStr">
        <is>
          <t>Milho</t>
        </is>
      </c>
      <c r="B5107" t="inlineStr">
        <is>
          <t>Limoeiro de Anadia - AL</t>
        </is>
      </c>
      <c r="C5107" t="n">
        <v>-9.74098</v>
      </c>
      <c r="D5107" t="n">
        <v>-36.5121</v>
      </c>
      <c r="E5107" t="inlineStr">
        <is>
          <t>2024-12</t>
        </is>
      </c>
      <c r="F5107" t="n">
        <v>96375.07086776046</v>
      </c>
    </row>
    <row r="5108">
      <c r="A5108" t="inlineStr">
        <is>
          <t>Milho</t>
        </is>
      </c>
      <c r="B5108" t="inlineStr">
        <is>
          <t>Macapá - AP</t>
        </is>
      </c>
      <c r="C5108" t="n">
        <v>0.034934</v>
      </c>
      <c r="D5108" t="n">
        <v>-51.0694</v>
      </c>
      <c r="E5108" t="inlineStr">
        <is>
          <t>2025-01</t>
        </is>
      </c>
      <c r="F5108" t="n">
        <v>0</v>
      </c>
    </row>
    <row r="5109">
      <c r="A5109" t="inlineStr">
        <is>
          <t>Milho</t>
        </is>
      </c>
      <c r="B5109" t="inlineStr">
        <is>
          <t>Macapá - AP</t>
        </is>
      </c>
      <c r="C5109" t="n">
        <v>0.034934</v>
      </c>
      <c r="D5109" t="n">
        <v>-51.0694</v>
      </c>
      <c r="E5109" t="inlineStr">
        <is>
          <t>2025-02</t>
        </is>
      </c>
      <c r="F5109" t="n">
        <v>0</v>
      </c>
    </row>
    <row r="5110">
      <c r="A5110" t="inlineStr">
        <is>
          <t>Milho</t>
        </is>
      </c>
      <c r="B5110" t="inlineStr">
        <is>
          <t>Macapá - AP</t>
        </is>
      </c>
      <c r="C5110" t="n">
        <v>0.034934</v>
      </c>
      <c r="D5110" t="n">
        <v>-51.0694</v>
      </c>
      <c r="E5110" t="inlineStr">
        <is>
          <t>2025-03</t>
        </is>
      </c>
      <c r="F5110" t="n">
        <v>0</v>
      </c>
    </row>
    <row r="5111">
      <c r="A5111" t="inlineStr">
        <is>
          <t>Milho</t>
        </is>
      </c>
      <c r="B5111" t="inlineStr">
        <is>
          <t>Macapá - AP</t>
        </is>
      </c>
      <c r="C5111" t="n">
        <v>0.034934</v>
      </c>
      <c r="D5111" t="n">
        <v>-51.0694</v>
      </c>
      <c r="E5111" t="inlineStr">
        <is>
          <t>2025-04</t>
        </is>
      </c>
      <c r="F5111" t="n">
        <v>282.588988616607</v>
      </c>
    </row>
    <row r="5112">
      <c r="A5112" t="inlineStr">
        <is>
          <t>Milho</t>
        </is>
      </c>
      <c r="B5112" t="inlineStr">
        <is>
          <t>Macapá - AP</t>
        </is>
      </c>
      <c r="C5112" t="n">
        <v>0.034934</v>
      </c>
      <c r="D5112" t="n">
        <v>-51.0694</v>
      </c>
      <c r="E5112" t="inlineStr">
        <is>
          <t>2025-05</t>
        </is>
      </c>
      <c r="F5112" t="n">
        <v>516.391746609092</v>
      </c>
    </row>
    <row r="5113">
      <c r="A5113" t="inlineStr">
        <is>
          <t>Milho</t>
        </is>
      </c>
      <c r="B5113" t="inlineStr">
        <is>
          <t>Macapá - AP</t>
        </is>
      </c>
      <c r="C5113" t="n">
        <v>0.034934</v>
      </c>
      <c r="D5113" t="n">
        <v>-51.0694</v>
      </c>
      <c r="E5113" t="inlineStr">
        <is>
          <t>2025-06</t>
        </is>
      </c>
      <c r="F5113" t="n">
        <v>449.7292770675897</v>
      </c>
    </row>
    <row r="5114">
      <c r="A5114" t="inlineStr">
        <is>
          <t>Milho</t>
        </is>
      </c>
      <c r="B5114" t="inlineStr">
        <is>
          <t>Macapá - AP</t>
        </is>
      </c>
      <c r="C5114" t="n">
        <v>0.034934</v>
      </c>
      <c r="D5114" t="n">
        <v>-51.0694</v>
      </c>
      <c r="E5114" t="inlineStr">
        <is>
          <t>2024-07</t>
        </is>
      </c>
      <c r="F5114" t="n">
        <v>260.2525449747037</v>
      </c>
    </row>
    <row r="5115">
      <c r="A5115" t="inlineStr">
        <is>
          <t>Milho</t>
        </is>
      </c>
      <c r="B5115" t="inlineStr">
        <is>
          <t>Macapá - AP</t>
        </is>
      </c>
      <c r="C5115" t="n">
        <v>0.034934</v>
      </c>
      <c r="D5115" t="n">
        <v>-51.0694</v>
      </c>
      <c r="E5115" t="inlineStr">
        <is>
          <t>2024-08</t>
        </is>
      </c>
      <c r="F5115" t="n">
        <v>154.2938242741239</v>
      </c>
    </row>
    <row r="5116">
      <c r="A5116" t="inlineStr">
        <is>
          <t>Milho</t>
        </is>
      </c>
      <c r="B5116" t="inlineStr">
        <is>
          <t>Macapá - AP</t>
        </is>
      </c>
      <c r="C5116" t="n">
        <v>0.034934</v>
      </c>
      <c r="D5116" t="n">
        <v>-51.0694</v>
      </c>
      <c r="E5116" t="inlineStr">
        <is>
          <t>2024-09</t>
        </is>
      </c>
      <c r="F5116" t="n">
        <v>0</v>
      </c>
    </row>
    <row r="5117">
      <c r="A5117" t="inlineStr">
        <is>
          <t>Milho</t>
        </is>
      </c>
      <c r="B5117" t="inlineStr">
        <is>
          <t>Macapá - AP</t>
        </is>
      </c>
      <c r="C5117" t="n">
        <v>0.034934</v>
      </c>
      <c r="D5117" t="n">
        <v>-51.0694</v>
      </c>
      <c r="E5117" t="inlineStr">
        <is>
          <t>2024-10</t>
        </is>
      </c>
      <c r="F5117" t="n">
        <v>0</v>
      </c>
    </row>
    <row r="5118">
      <c r="A5118" t="inlineStr">
        <is>
          <t>Milho</t>
        </is>
      </c>
      <c r="B5118" t="inlineStr">
        <is>
          <t>Macapá - AP</t>
        </is>
      </c>
      <c r="C5118" t="n">
        <v>0.034934</v>
      </c>
      <c r="D5118" t="n">
        <v>-51.0694</v>
      </c>
      <c r="E5118" t="inlineStr">
        <is>
          <t>2024-11</t>
        </is>
      </c>
      <c r="F5118" t="n">
        <v>0</v>
      </c>
    </row>
    <row r="5119">
      <c r="A5119" t="inlineStr">
        <is>
          <t>Milho</t>
        </is>
      </c>
      <c r="B5119" t="inlineStr">
        <is>
          <t>Macapá - AP</t>
        </is>
      </c>
      <c r="C5119" t="n">
        <v>0.034934</v>
      </c>
      <c r="D5119" t="n">
        <v>-51.0694</v>
      </c>
      <c r="E5119" t="inlineStr">
        <is>
          <t>2024-12</t>
        </is>
      </c>
      <c r="F5119" t="n">
        <v>0</v>
      </c>
    </row>
    <row r="5120">
      <c r="A5120" t="inlineStr">
        <is>
          <t>Milho</t>
        </is>
      </c>
      <c r="B5120" t="inlineStr">
        <is>
          <t>Correntina - BA</t>
        </is>
      </c>
      <c r="C5120" t="n">
        <v>-13.3477</v>
      </c>
      <c r="D5120" t="n">
        <v>-44.6333</v>
      </c>
      <c r="E5120" t="inlineStr">
        <is>
          <t>2025-01</t>
        </is>
      </c>
      <c r="F5120" t="n">
        <v>0</v>
      </c>
    </row>
    <row r="5121">
      <c r="A5121" t="inlineStr">
        <is>
          <t>Milho</t>
        </is>
      </c>
      <c r="B5121" t="inlineStr">
        <is>
          <t>Correntina - BA</t>
        </is>
      </c>
      <c r="C5121" t="n">
        <v>-13.3477</v>
      </c>
      <c r="D5121" t="n">
        <v>-44.6333</v>
      </c>
      <c r="E5121" t="inlineStr">
        <is>
          <t>2025-02</t>
        </is>
      </c>
      <c r="F5121" t="n">
        <v>0</v>
      </c>
    </row>
    <row r="5122">
      <c r="A5122" t="inlineStr">
        <is>
          <t>Milho</t>
        </is>
      </c>
      <c r="B5122" t="inlineStr">
        <is>
          <t>Correntina - BA</t>
        </is>
      </c>
      <c r="C5122" t="n">
        <v>-13.3477</v>
      </c>
      <c r="D5122" t="n">
        <v>-44.6333</v>
      </c>
      <c r="E5122" t="inlineStr">
        <is>
          <t>2025-03</t>
        </is>
      </c>
      <c r="F5122" t="n">
        <v>0</v>
      </c>
    </row>
    <row r="5123">
      <c r="A5123" t="inlineStr">
        <is>
          <t>Milho</t>
        </is>
      </c>
      <c r="B5123" t="inlineStr">
        <is>
          <t>Correntina - BA</t>
        </is>
      </c>
      <c r="C5123" t="n">
        <v>-13.3477</v>
      </c>
      <c r="D5123" t="n">
        <v>-44.6333</v>
      </c>
      <c r="E5123" t="inlineStr">
        <is>
          <t>2025-04</t>
        </is>
      </c>
      <c r="F5123" t="n">
        <v>0</v>
      </c>
    </row>
    <row r="5124">
      <c r="A5124" t="inlineStr">
        <is>
          <t>Milho</t>
        </is>
      </c>
      <c r="B5124" t="inlineStr">
        <is>
          <t>Correntina - BA</t>
        </is>
      </c>
      <c r="C5124" t="n">
        <v>-13.3477</v>
      </c>
      <c r="D5124" t="n">
        <v>-44.6333</v>
      </c>
      <c r="E5124" t="inlineStr">
        <is>
          <t>2025-05</t>
        </is>
      </c>
      <c r="F5124" t="n">
        <v>0</v>
      </c>
    </row>
    <row r="5125">
      <c r="A5125" t="inlineStr">
        <is>
          <t>Milho</t>
        </is>
      </c>
      <c r="B5125" t="inlineStr">
        <is>
          <t>Correntina - BA</t>
        </is>
      </c>
      <c r="C5125" t="n">
        <v>-13.3477</v>
      </c>
      <c r="D5125" t="n">
        <v>-44.6333</v>
      </c>
      <c r="E5125" t="inlineStr">
        <is>
          <t>2025-06</t>
        </is>
      </c>
      <c r="F5125" t="n">
        <v>0</v>
      </c>
    </row>
    <row r="5126">
      <c r="A5126" t="inlineStr">
        <is>
          <t>Milho</t>
        </is>
      </c>
      <c r="B5126" t="inlineStr">
        <is>
          <t>Correntina - BA</t>
        </is>
      </c>
      <c r="C5126" t="n">
        <v>-13.3477</v>
      </c>
      <c r="D5126" t="n">
        <v>-44.6333</v>
      </c>
      <c r="E5126" t="inlineStr">
        <is>
          <t>2024-07</t>
        </is>
      </c>
      <c r="F5126" t="n">
        <v>0</v>
      </c>
    </row>
    <row r="5127">
      <c r="A5127" t="inlineStr">
        <is>
          <t>Milho</t>
        </is>
      </c>
      <c r="B5127" t="inlineStr">
        <is>
          <t>Correntina - BA</t>
        </is>
      </c>
      <c r="C5127" t="n">
        <v>-13.3477</v>
      </c>
      <c r="D5127" t="n">
        <v>-44.6333</v>
      </c>
      <c r="E5127" t="inlineStr">
        <is>
          <t>2024-08</t>
        </is>
      </c>
      <c r="F5127" t="n">
        <v>96294.82409745071</v>
      </c>
    </row>
    <row r="5128">
      <c r="A5128" t="inlineStr">
        <is>
          <t>Milho</t>
        </is>
      </c>
      <c r="B5128" t="inlineStr">
        <is>
          <t>Correntina - BA</t>
        </is>
      </c>
      <c r="C5128" t="n">
        <v>-13.3477</v>
      </c>
      <c r="D5128" t="n">
        <v>-44.6333</v>
      </c>
      <c r="E5128" t="inlineStr">
        <is>
          <t>2024-09</t>
        </is>
      </c>
      <c r="F5128" t="n">
        <v>208265.3307005002</v>
      </c>
    </row>
    <row r="5129">
      <c r="A5129" t="inlineStr">
        <is>
          <t>Milho</t>
        </is>
      </c>
      <c r="B5129" t="inlineStr">
        <is>
          <t>Correntina - BA</t>
        </is>
      </c>
      <c r="C5129" t="n">
        <v>-13.3477</v>
      </c>
      <c r="D5129" t="n">
        <v>-44.6333</v>
      </c>
      <c r="E5129" t="inlineStr">
        <is>
          <t>2024-10</t>
        </is>
      </c>
      <c r="F5129" t="n">
        <v>1448060.654350484</v>
      </c>
    </row>
    <row r="5130">
      <c r="A5130" t="inlineStr">
        <is>
          <t>Milho</t>
        </is>
      </c>
      <c r="B5130" t="inlineStr">
        <is>
          <t>Correntina - BA</t>
        </is>
      </c>
      <c r="C5130" t="n">
        <v>-13.3477</v>
      </c>
      <c r="D5130" t="n">
        <v>-44.6333</v>
      </c>
      <c r="E5130" t="inlineStr">
        <is>
          <t>2024-11</t>
        </is>
      </c>
      <c r="F5130" t="n">
        <v>2169644.18791187</v>
      </c>
    </row>
    <row r="5131">
      <c r="A5131" t="inlineStr">
        <is>
          <t>Milho</t>
        </is>
      </c>
      <c r="B5131" t="inlineStr">
        <is>
          <t>Correntina - BA</t>
        </is>
      </c>
      <c r="C5131" t="n">
        <v>-13.3477</v>
      </c>
      <c r="D5131" t="n">
        <v>-44.6333</v>
      </c>
      <c r="E5131" t="inlineStr">
        <is>
          <t>2024-12</t>
        </is>
      </c>
      <c r="F5131" t="n">
        <v>0</v>
      </c>
    </row>
    <row r="5132">
      <c r="A5132" t="inlineStr">
        <is>
          <t>Milho</t>
        </is>
      </c>
      <c r="B5132" t="inlineStr">
        <is>
          <t>Crateús - CE</t>
        </is>
      </c>
      <c r="C5132" t="n">
        <v>-5.16768</v>
      </c>
      <c r="D5132" t="n">
        <v>-40.6536</v>
      </c>
      <c r="E5132" t="inlineStr">
        <is>
          <t>2025-01</t>
        </is>
      </c>
      <c r="F5132" t="n">
        <v>0</v>
      </c>
    </row>
    <row r="5133">
      <c r="A5133" t="inlineStr">
        <is>
          <t>Milho</t>
        </is>
      </c>
      <c r="B5133" t="inlineStr">
        <is>
          <t>Crateús - CE</t>
        </is>
      </c>
      <c r="C5133" t="n">
        <v>-5.16768</v>
      </c>
      <c r="D5133" t="n">
        <v>-40.6536</v>
      </c>
      <c r="E5133" t="inlineStr">
        <is>
          <t>2025-02</t>
        </is>
      </c>
      <c r="F5133" t="n">
        <v>0</v>
      </c>
    </row>
    <row r="5134">
      <c r="A5134" t="inlineStr">
        <is>
          <t>Milho</t>
        </is>
      </c>
      <c r="B5134" t="inlineStr">
        <is>
          <t>Crateús - CE</t>
        </is>
      </c>
      <c r="C5134" t="n">
        <v>-5.16768</v>
      </c>
      <c r="D5134" t="n">
        <v>-40.6536</v>
      </c>
      <c r="E5134" t="inlineStr">
        <is>
          <t>2025-03</t>
        </is>
      </c>
      <c r="F5134" t="n">
        <v>0</v>
      </c>
    </row>
    <row r="5135">
      <c r="A5135" t="inlineStr">
        <is>
          <t>Milho</t>
        </is>
      </c>
      <c r="B5135" t="inlineStr">
        <is>
          <t>Crateús - CE</t>
        </is>
      </c>
      <c r="C5135" t="n">
        <v>-5.16768</v>
      </c>
      <c r="D5135" t="n">
        <v>-40.6536</v>
      </c>
      <c r="E5135" t="inlineStr">
        <is>
          <t>2025-04</t>
        </is>
      </c>
      <c r="F5135" t="n">
        <v>0</v>
      </c>
    </row>
    <row r="5136">
      <c r="A5136" t="inlineStr">
        <is>
          <t>Milho</t>
        </is>
      </c>
      <c r="B5136" t="inlineStr">
        <is>
          <t>Crateús - CE</t>
        </is>
      </c>
      <c r="C5136" t="n">
        <v>-5.16768</v>
      </c>
      <c r="D5136" t="n">
        <v>-40.6536</v>
      </c>
      <c r="E5136" t="inlineStr">
        <is>
          <t>2025-05</t>
        </is>
      </c>
      <c r="F5136" t="n">
        <v>0</v>
      </c>
    </row>
    <row r="5137">
      <c r="A5137" t="inlineStr">
        <is>
          <t>Milho</t>
        </is>
      </c>
      <c r="B5137" t="inlineStr">
        <is>
          <t>Crateús - CE</t>
        </is>
      </c>
      <c r="C5137" t="n">
        <v>-5.16768</v>
      </c>
      <c r="D5137" t="n">
        <v>-40.6536</v>
      </c>
      <c r="E5137" t="inlineStr">
        <is>
          <t>2025-06</t>
        </is>
      </c>
      <c r="F5137" t="n">
        <v>0</v>
      </c>
    </row>
    <row r="5138">
      <c r="A5138" t="inlineStr">
        <is>
          <t>Milho</t>
        </is>
      </c>
      <c r="B5138" t="inlineStr">
        <is>
          <t>Crateús - CE</t>
        </is>
      </c>
      <c r="C5138" t="n">
        <v>-5.16768</v>
      </c>
      <c r="D5138" t="n">
        <v>-40.6536</v>
      </c>
      <c r="E5138" t="inlineStr">
        <is>
          <t>2024-07</t>
        </is>
      </c>
      <c r="F5138" t="n">
        <v>0</v>
      </c>
    </row>
    <row r="5139">
      <c r="A5139" t="inlineStr">
        <is>
          <t>Milho</t>
        </is>
      </c>
      <c r="B5139" t="inlineStr">
        <is>
          <t>Crateús - CE</t>
        </is>
      </c>
      <c r="C5139" t="n">
        <v>-5.16768</v>
      </c>
      <c r="D5139" t="n">
        <v>-40.6536</v>
      </c>
      <c r="E5139" t="inlineStr">
        <is>
          <t>2024-08</t>
        </is>
      </c>
      <c r="F5139" t="n">
        <v>0</v>
      </c>
    </row>
    <row r="5140">
      <c r="A5140" t="inlineStr">
        <is>
          <t>Milho</t>
        </is>
      </c>
      <c r="B5140" t="inlineStr">
        <is>
          <t>Crateús - CE</t>
        </is>
      </c>
      <c r="C5140" t="n">
        <v>-5.16768</v>
      </c>
      <c r="D5140" t="n">
        <v>-40.6536</v>
      </c>
      <c r="E5140" t="inlineStr">
        <is>
          <t>2024-09</t>
        </is>
      </c>
      <c r="F5140" t="n">
        <v>0</v>
      </c>
    </row>
    <row r="5141">
      <c r="A5141" t="inlineStr">
        <is>
          <t>Milho</t>
        </is>
      </c>
      <c r="B5141" t="inlineStr">
        <is>
          <t>Crateús - CE</t>
        </is>
      </c>
      <c r="C5141" t="n">
        <v>-5.16768</v>
      </c>
      <c r="D5141" t="n">
        <v>-40.6536</v>
      </c>
      <c r="E5141" t="inlineStr">
        <is>
          <t>2024-10</t>
        </is>
      </c>
      <c r="F5141" t="n">
        <v>0</v>
      </c>
    </row>
    <row r="5142">
      <c r="A5142" t="inlineStr">
        <is>
          <t>Milho</t>
        </is>
      </c>
      <c r="B5142" t="inlineStr">
        <is>
          <t>Crateús - CE</t>
        </is>
      </c>
      <c r="C5142" t="n">
        <v>-5.16768</v>
      </c>
      <c r="D5142" t="n">
        <v>-40.6536</v>
      </c>
      <c r="E5142" t="inlineStr">
        <is>
          <t>2024-11</t>
        </is>
      </c>
      <c r="F5142" t="n">
        <v>0</v>
      </c>
    </row>
    <row r="5143">
      <c r="A5143" t="inlineStr">
        <is>
          <t>Milho</t>
        </is>
      </c>
      <c r="B5143" t="inlineStr">
        <is>
          <t>Crateús - CE</t>
        </is>
      </c>
      <c r="C5143" t="n">
        <v>-5.16768</v>
      </c>
      <c r="D5143" t="n">
        <v>-40.6536</v>
      </c>
      <c r="E5143" t="inlineStr">
        <is>
          <t>2024-12</t>
        </is>
      </c>
      <c r="F5143" t="n">
        <v>0</v>
      </c>
    </row>
    <row r="5144">
      <c r="A5144" t="inlineStr">
        <is>
          <t>Milho</t>
        </is>
      </c>
      <c r="B5144" t="inlineStr">
        <is>
          <t>Brasília - DF</t>
        </is>
      </c>
      <c r="C5144" t="n">
        <v>-15.7795</v>
      </c>
      <c r="D5144" t="n">
        <v>-47.9297</v>
      </c>
      <c r="E5144" t="inlineStr">
        <is>
          <t>2025-01</t>
        </is>
      </c>
      <c r="F5144" t="n">
        <v>0</v>
      </c>
    </row>
    <row r="5145">
      <c r="A5145" t="inlineStr">
        <is>
          <t>Milho</t>
        </is>
      </c>
      <c r="B5145" t="inlineStr">
        <is>
          <t>Brasília - DF</t>
        </is>
      </c>
      <c r="C5145" t="n">
        <v>-15.7795</v>
      </c>
      <c r="D5145" t="n">
        <v>-47.9297</v>
      </c>
      <c r="E5145" t="inlineStr">
        <is>
          <t>2025-02</t>
        </is>
      </c>
      <c r="F5145" t="n">
        <v>0</v>
      </c>
    </row>
    <row r="5146">
      <c r="A5146" t="inlineStr">
        <is>
          <t>Milho</t>
        </is>
      </c>
      <c r="B5146" t="inlineStr">
        <is>
          <t>Brasília - DF</t>
        </is>
      </c>
      <c r="C5146" t="n">
        <v>-15.7795</v>
      </c>
      <c r="D5146" t="n">
        <v>-47.9297</v>
      </c>
      <c r="E5146" t="inlineStr">
        <is>
          <t>2025-03</t>
        </is>
      </c>
      <c r="F5146" t="n">
        <v>0</v>
      </c>
    </row>
    <row r="5147">
      <c r="A5147" t="inlineStr">
        <is>
          <t>Milho</t>
        </is>
      </c>
      <c r="B5147" t="inlineStr">
        <is>
          <t>Brasília - DF</t>
        </is>
      </c>
      <c r="C5147" t="n">
        <v>-15.7795</v>
      </c>
      <c r="D5147" t="n">
        <v>-47.9297</v>
      </c>
      <c r="E5147" t="inlineStr">
        <is>
          <t>2025-04</t>
        </is>
      </c>
      <c r="F5147" t="n">
        <v>0</v>
      </c>
    </row>
    <row r="5148">
      <c r="A5148" t="inlineStr">
        <is>
          <t>Milho</t>
        </is>
      </c>
      <c r="B5148" t="inlineStr">
        <is>
          <t>Brasília - DF</t>
        </is>
      </c>
      <c r="C5148" t="n">
        <v>-15.7795</v>
      </c>
      <c r="D5148" t="n">
        <v>-47.9297</v>
      </c>
      <c r="E5148" t="inlineStr">
        <is>
          <t>2025-05</t>
        </is>
      </c>
      <c r="F5148" t="n">
        <v>0</v>
      </c>
    </row>
    <row r="5149">
      <c r="A5149" t="inlineStr">
        <is>
          <t>Milho</t>
        </is>
      </c>
      <c r="B5149" t="inlineStr">
        <is>
          <t>Brasília - DF</t>
        </is>
      </c>
      <c r="C5149" t="n">
        <v>-15.7795</v>
      </c>
      <c r="D5149" t="n">
        <v>-47.9297</v>
      </c>
      <c r="E5149" t="inlineStr">
        <is>
          <t>2025-06</t>
        </is>
      </c>
      <c r="F5149" t="n">
        <v>0</v>
      </c>
    </row>
    <row r="5150">
      <c r="A5150" t="inlineStr">
        <is>
          <t>Milho</t>
        </is>
      </c>
      <c r="B5150" t="inlineStr">
        <is>
          <t>Brasília - DF</t>
        </is>
      </c>
      <c r="C5150" t="n">
        <v>-15.7795</v>
      </c>
      <c r="D5150" t="n">
        <v>-47.9297</v>
      </c>
      <c r="E5150" t="inlineStr">
        <is>
          <t>2024-07</t>
        </is>
      </c>
      <c r="F5150" t="n">
        <v>0</v>
      </c>
    </row>
    <row r="5151">
      <c r="A5151" t="inlineStr">
        <is>
          <t>Milho</t>
        </is>
      </c>
      <c r="B5151" t="inlineStr">
        <is>
          <t>Brasília - DF</t>
        </is>
      </c>
      <c r="C5151" t="n">
        <v>-15.7795</v>
      </c>
      <c r="D5151" t="n">
        <v>-47.9297</v>
      </c>
      <c r="E5151" t="inlineStr">
        <is>
          <t>2024-08</t>
        </is>
      </c>
      <c r="F5151" t="n">
        <v>0</v>
      </c>
    </row>
    <row r="5152">
      <c r="A5152" t="inlineStr">
        <is>
          <t>Milho</t>
        </is>
      </c>
      <c r="B5152" t="inlineStr">
        <is>
          <t>Brasília - DF</t>
        </is>
      </c>
      <c r="C5152" t="n">
        <v>-15.7795</v>
      </c>
      <c r="D5152" t="n">
        <v>-47.9297</v>
      </c>
      <c r="E5152" t="inlineStr">
        <is>
          <t>2024-09</t>
        </is>
      </c>
      <c r="F5152" t="n">
        <v>0</v>
      </c>
    </row>
    <row r="5153">
      <c r="A5153" t="inlineStr">
        <is>
          <t>Milho</t>
        </is>
      </c>
      <c r="B5153" t="inlineStr">
        <is>
          <t>Brasília - DF</t>
        </is>
      </c>
      <c r="C5153" t="n">
        <v>-15.7795</v>
      </c>
      <c r="D5153" t="n">
        <v>-47.9297</v>
      </c>
      <c r="E5153" t="inlineStr">
        <is>
          <t>2024-10</t>
        </is>
      </c>
      <c r="F5153" t="n">
        <v>0</v>
      </c>
    </row>
    <row r="5154">
      <c r="A5154" t="inlineStr">
        <is>
          <t>Milho</t>
        </is>
      </c>
      <c r="B5154" t="inlineStr">
        <is>
          <t>Brasília - DF</t>
        </is>
      </c>
      <c r="C5154" t="n">
        <v>-15.7795</v>
      </c>
      <c r="D5154" t="n">
        <v>-47.9297</v>
      </c>
      <c r="E5154" t="inlineStr">
        <is>
          <t>2024-11</t>
        </is>
      </c>
      <c r="F5154" t="n">
        <v>0</v>
      </c>
    </row>
    <row r="5155">
      <c r="A5155" t="inlineStr">
        <is>
          <t>Milho</t>
        </is>
      </c>
      <c r="B5155" t="inlineStr">
        <is>
          <t>Brasília - DF</t>
        </is>
      </c>
      <c r="C5155" t="n">
        <v>-15.7795</v>
      </c>
      <c r="D5155" t="n">
        <v>-47.9297</v>
      </c>
      <c r="E5155" t="inlineStr">
        <is>
          <t>2024-12</t>
        </is>
      </c>
      <c r="F5155" t="n">
        <v>0</v>
      </c>
    </row>
    <row r="5156">
      <c r="A5156" t="inlineStr">
        <is>
          <t>Milho</t>
        </is>
      </c>
      <c r="B5156" t="inlineStr">
        <is>
          <t>Pinheiros - ES</t>
        </is>
      </c>
      <c r="C5156" t="n">
        <v>-18.4141</v>
      </c>
      <c r="D5156" t="n">
        <v>-40.2171</v>
      </c>
      <c r="E5156" t="inlineStr">
        <is>
          <t>2025-01</t>
        </is>
      </c>
      <c r="F5156" t="n">
        <v>0</v>
      </c>
    </row>
    <row r="5157">
      <c r="A5157" t="inlineStr">
        <is>
          <t>Milho</t>
        </is>
      </c>
      <c r="B5157" t="inlineStr">
        <is>
          <t>Pinheiros - ES</t>
        </is>
      </c>
      <c r="C5157" t="n">
        <v>-18.4141</v>
      </c>
      <c r="D5157" t="n">
        <v>-40.2171</v>
      </c>
      <c r="E5157" t="inlineStr">
        <is>
          <t>2025-02</t>
        </is>
      </c>
      <c r="F5157" t="n">
        <v>0</v>
      </c>
    </row>
    <row r="5158">
      <c r="A5158" t="inlineStr">
        <is>
          <t>Milho</t>
        </is>
      </c>
      <c r="B5158" t="inlineStr">
        <is>
          <t>Pinheiros - ES</t>
        </is>
      </c>
      <c r="C5158" t="n">
        <v>-18.4141</v>
      </c>
      <c r="D5158" t="n">
        <v>-40.2171</v>
      </c>
      <c r="E5158" t="inlineStr">
        <is>
          <t>2025-03</t>
        </is>
      </c>
      <c r="F5158" t="n">
        <v>0</v>
      </c>
    </row>
    <row r="5159">
      <c r="A5159" t="inlineStr">
        <is>
          <t>Milho</t>
        </is>
      </c>
      <c r="B5159" t="inlineStr">
        <is>
          <t>Pinheiros - ES</t>
        </is>
      </c>
      <c r="C5159" t="n">
        <v>-18.4141</v>
      </c>
      <c r="D5159" t="n">
        <v>-40.2171</v>
      </c>
      <c r="E5159" t="inlineStr">
        <is>
          <t>2025-04</t>
        </is>
      </c>
      <c r="F5159" t="n">
        <v>0</v>
      </c>
    </row>
    <row r="5160">
      <c r="A5160" t="inlineStr">
        <is>
          <t>Milho</t>
        </is>
      </c>
      <c r="B5160" t="inlineStr">
        <is>
          <t>Pinheiros - ES</t>
        </is>
      </c>
      <c r="C5160" t="n">
        <v>-18.4141</v>
      </c>
      <c r="D5160" t="n">
        <v>-40.2171</v>
      </c>
      <c r="E5160" t="inlineStr">
        <is>
          <t>2025-05</t>
        </is>
      </c>
      <c r="F5160" t="n">
        <v>0</v>
      </c>
    </row>
    <row r="5161">
      <c r="A5161" t="inlineStr">
        <is>
          <t>Milho</t>
        </is>
      </c>
      <c r="B5161" t="inlineStr">
        <is>
          <t>Pinheiros - ES</t>
        </is>
      </c>
      <c r="C5161" t="n">
        <v>-18.4141</v>
      </c>
      <c r="D5161" t="n">
        <v>-40.2171</v>
      </c>
      <c r="E5161" t="inlineStr">
        <is>
          <t>2025-06</t>
        </is>
      </c>
      <c r="F5161" t="n">
        <v>0</v>
      </c>
    </row>
    <row r="5162">
      <c r="A5162" t="inlineStr">
        <is>
          <t>Milho</t>
        </is>
      </c>
      <c r="B5162" t="inlineStr">
        <is>
          <t>Pinheiros - ES</t>
        </is>
      </c>
      <c r="C5162" t="n">
        <v>-18.4141</v>
      </c>
      <c r="D5162" t="n">
        <v>-40.2171</v>
      </c>
      <c r="E5162" t="inlineStr">
        <is>
          <t>2024-07</t>
        </is>
      </c>
      <c r="F5162" t="n">
        <v>0</v>
      </c>
    </row>
    <row r="5163">
      <c r="A5163" t="inlineStr">
        <is>
          <t>Milho</t>
        </is>
      </c>
      <c r="B5163" t="inlineStr">
        <is>
          <t>Pinheiros - ES</t>
        </is>
      </c>
      <c r="C5163" t="n">
        <v>-18.4141</v>
      </c>
      <c r="D5163" t="n">
        <v>-40.2171</v>
      </c>
      <c r="E5163" t="inlineStr">
        <is>
          <t>2024-08</t>
        </is>
      </c>
      <c r="F5163" t="n">
        <v>0</v>
      </c>
    </row>
    <row r="5164">
      <c r="A5164" t="inlineStr">
        <is>
          <t>Milho</t>
        </is>
      </c>
      <c r="B5164" t="inlineStr">
        <is>
          <t>Pinheiros - ES</t>
        </is>
      </c>
      <c r="C5164" t="n">
        <v>-18.4141</v>
      </c>
      <c r="D5164" t="n">
        <v>-40.2171</v>
      </c>
      <c r="E5164" t="inlineStr">
        <is>
          <t>2024-09</t>
        </is>
      </c>
      <c r="F5164" t="n">
        <v>0</v>
      </c>
    </row>
    <row r="5165">
      <c r="A5165" t="inlineStr">
        <is>
          <t>Milho</t>
        </is>
      </c>
      <c r="B5165" t="inlineStr">
        <is>
          <t>Pinheiros - ES</t>
        </is>
      </c>
      <c r="C5165" t="n">
        <v>-18.4141</v>
      </c>
      <c r="D5165" t="n">
        <v>-40.2171</v>
      </c>
      <c r="E5165" t="inlineStr">
        <is>
          <t>2024-10</t>
        </is>
      </c>
      <c r="F5165" t="n">
        <v>0</v>
      </c>
    </row>
    <row r="5166">
      <c r="A5166" t="inlineStr">
        <is>
          <t>Milho</t>
        </is>
      </c>
      <c r="B5166" t="inlineStr">
        <is>
          <t>Pinheiros - ES</t>
        </is>
      </c>
      <c r="C5166" t="n">
        <v>-18.4141</v>
      </c>
      <c r="D5166" t="n">
        <v>-40.2171</v>
      </c>
      <c r="E5166" t="inlineStr">
        <is>
          <t>2024-11</t>
        </is>
      </c>
      <c r="F5166" t="n">
        <v>0</v>
      </c>
    </row>
    <row r="5167">
      <c r="A5167" t="inlineStr">
        <is>
          <t>Milho</t>
        </is>
      </c>
      <c r="B5167" t="inlineStr">
        <is>
          <t>Pinheiros - ES</t>
        </is>
      </c>
      <c r="C5167" t="n">
        <v>-18.4141</v>
      </c>
      <c r="D5167" t="n">
        <v>-40.2171</v>
      </c>
      <c r="E5167" t="inlineStr">
        <is>
          <t>2024-12</t>
        </is>
      </c>
      <c r="F5167" t="n">
        <v>0</v>
      </c>
    </row>
    <row r="5168">
      <c r="A5168" t="inlineStr">
        <is>
          <t>Milho</t>
        </is>
      </c>
      <c r="B5168" t="inlineStr">
        <is>
          <t>Rio Verde - GO</t>
        </is>
      </c>
      <c r="C5168" t="n">
        <v>-17.7923</v>
      </c>
      <c r="D5168" t="n">
        <v>-50.9192</v>
      </c>
      <c r="E5168" t="inlineStr">
        <is>
          <t>2025-01</t>
        </is>
      </c>
      <c r="F5168" t="n">
        <v>0</v>
      </c>
    </row>
    <row r="5169">
      <c r="A5169" t="inlineStr">
        <is>
          <t>Milho</t>
        </is>
      </c>
      <c r="B5169" t="inlineStr">
        <is>
          <t>Rio Verde - GO</t>
        </is>
      </c>
      <c r="C5169" t="n">
        <v>-17.7923</v>
      </c>
      <c r="D5169" t="n">
        <v>-50.9192</v>
      </c>
      <c r="E5169" t="inlineStr">
        <is>
          <t>2025-02</t>
        </is>
      </c>
      <c r="F5169" t="n">
        <v>0</v>
      </c>
    </row>
    <row r="5170">
      <c r="A5170" t="inlineStr">
        <is>
          <t>Milho</t>
        </is>
      </c>
      <c r="B5170" t="inlineStr">
        <is>
          <t>Rio Verde - GO</t>
        </is>
      </c>
      <c r="C5170" t="n">
        <v>-17.7923</v>
      </c>
      <c r="D5170" t="n">
        <v>-50.9192</v>
      </c>
      <c r="E5170" t="inlineStr">
        <is>
          <t>2025-03</t>
        </is>
      </c>
      <c r="F5170" t="n">
        <v>0</v>
      </c>
    </row>
    <row r="5171">
      <c r="A5171" t="inlineStr">
        <is>
          <t>Milho</t>
        </is>
      </c>
      <c r="B5171" t="inlineStr">
        <is>
          <t>Rio Verde - GO</t>
        </is>
      </c>
      <c r="C5171" t="n">
        <v>-17.7923</v>
      </c>
      <c r="D5171" t="n">
        <v>-50.9192</v>
      </c>
      <c r="E5171" t="inlineStr">
        <is>
          <t>2025-04</t>
        </is>
      </c>
      <c r="F5171" t="n">
        <v>0</v>
      </c>
    </row>
    <row r="5172">
      <c r="A5172" t="inlineStr">
        <is>
          <t>Milho</t>
        </is>
      </c>
      <c r="B5172" t="inlineStr">
        <is>
          <t>Rio Verde - GO</t>
        </is>
      </c>
      <c r="C5172" t="n">
        <v>-17.7923</v>
      </c>
      <c r="D5172" t="n">
        <v>-50.9192</v>
      </c>
      <c r="E5172" t="inlineStr">
        <is>
          <t>2025-05</t>
        </is>
      </c>
      <c r="F5172" t="n">
        <v>0</v>
      </c>
    </row>
    <row r="5173">
      <c r="A5173" t="inlineStr">
        <is>
          <t>Milho</t>
        </is>
      </c>
      <c r="B5173" t="inlineStr">
        <is>
          <t>Rio Verde - GO</t>
        </is>
      </c>
      <c r="C5173" t="n">
        <v>-17.7923</v>
      </c>
      <c r="D5173" t="n">
        <v>-50.9192</v>
      </c>
      <c r="E5173" t="inlineStr">
        <is>
          <t>2025-06</t>
        </is>
      </c>
      <c r="F5173" t="n">
        <v>0</v>
      </c>
    </row>
    <row r="5174">
      <c r="A5174" t="inlineStr">
        <is>
          <t>Milho</t>
        </is>
      </c>
      <c r="B5174" t="inlineStr">
        <is>
          <t>Rio Verde - GO</t>
        </is>
      </c>
      <c r="C5174" t="n">
        <v>-17.7923</v>
      </c>
      <c r="D5174" t="n">
        <v>-50.9192</v>
      </c>
      <c r="E5174" t="inlineStr">
        <is>
          <t>2024-07</t>
        </is>
      </c>
      <c r="F5174" t="n">
        <v>0</v>
      </c>
    </row>
    <row r="5175">
      <c r="A5175" t="inlineStr">
        <is>
          <t>Milho</t>
        </is>
      </c>
      <c r="B5175" t="inlineStr">
        <is>
          <t>Rio Verde - GO</t>
        </is>
      </c>
      <c r="C5175" t="n">
        <v>-17.7923</v>
      </c>
      <c r="D5175" t="n">
        <v>-50.9192</v>
      </c>
      <c r="E5175" t="inlineStr">
        <is>
          <t>2024-08</t>
        </is>
      </c>
      <c r="F5175" t="n">
        <v>0</v>
      </c>
    </row>
    <row r="5176">
      <c r="A5176" t="inlineStr">
        <is>
          <t>Milho</t>
        </is>
      </c>
      <c r="B5176" t="inlineStr">
        <is>
          <t>Rio Verde - GO</t>
        </is>
      </c>
      <c r="C5176" t="n">
        <v>-17.7923</v>
      </c>
      <c r="D5176" t="n">
        <v>-50.9192</v>
      </c>
      <c r="E5176" t="inlineStr">
        <is>
          <t>2024-09</t>
        </is>
      </c>
      <c r="F5176" t="n">
        <v>0</v>
      </c>
    </row>
    <row r="5177">
      <c r="A5177" t="inlineStr">
        <is>
          <t>Milho</t>
        </is>
      </c>
      <c r="B5177" t="inlineStr">
        <is>
          <t>Rio Verde - GO</t>
        </is>
      </c>
      <c r="C5177" t="n">
        <v>-17.7923</v>
      </c>
      <c r="D5177" t="n">
        <v>-50.9192</v>
      </c>
      <c r="E5177" t="inlineStr">
        <is>
          <t>2024-10</t>
        </is>
      </c>
      <c r="F5177" t="n">
        <v>0</v>
      </c>
    </row>
    <row r="5178">
      <c r="A5178" t="inlineStr">
        <is>
          <t>Milho</t>
        </is>
      </c>
      <c r="B5178" t="inlineStr">
        <is>
          <t>Rio Verde - GO</t>
        </is>
      </c>
      <c r="C5178" t="n">
        <v>-17.7923</v>
      </c>
      <c r="D5178" t="n">
        <v>-50.9192</v>
      </c>
      <c r="E5178" t="inlineStr">
        <is>
          <t>2024-11</t>
        </is>
      </c>
      <c r="F5178" t="n">
        <v>0</v>
      </c>
    </row>
    <row r="5179">
      <c r="A5179" t="inlineStr">
        <is>
          <t>Milho</t>
        </is>
      </c>
      <c r="B5179" t="inlineStr">
        <is>
          <t>Rio Verde - GO</t>
        </is>
      </c>
      <c r="C5179" t="n">
        <v>-17.7923</v>
      </c>
      <c r="D5179" t="n">
        <v>-50.9192</v>
      </c>
      <c r="E5179" t="inlineStr">
        <is>
          <t>2024-12</t>
        </is>
      </c>
      <c r="F5179" t="n">
        <v>0</v>
      </c>
    </row>
    <row r="5180">
      <c r="A5180" t="inlineStr">
        <is>
          <t>Milho</t>
        </is>
      </c>
      <c r="B5180" t="inlineStr">
        <is>
          <t>Balsas - MA</t>
        </is>
      </c>
      <c r="C5180" t="n">
        <v>-7.53214</v>
      </c>
      <c r="D5180" t="n">
        <v>-46.0372</v>
      </c>
      <c r="E5180" t="inlineStr">
        <is>
          <t>2025-01</t>
        </is>
      </c>
      <c r="F5180" t="n">
        <v>0</v>
      </c>
    </row>
    <row r="5181">
      <c r="A5181" t="inlineStr">
        <is>
          <t>Milho</t>
        </is>
      </c>
      <c r="B5181" t="inlineStr">
        <is>
          <t>Balsas - MA</t>
        </is>
      </c>
      <c r="C5181" t="n">
        <v>-7.53214</v>
      </c>
      <c r="D5181" t="n">
        <v>-46.0372</v>
      </c>
      <c r="E5181" t="inlineStr">
        <is>
          <t>2025-02</t>
        </is>
      </c>
      <c r="F5181" t="n">
        <v>0</v>
      </c>
    </row>
    <row r="5182">
      <c r="A5182" t="inlineStr">
        <is>
          <t>Milho</t>
        </is>
      </c>
      <c r="B5182" t="inlineStr">
        <is>
          <t>Balsas - MA</t>
        </is>
      </c>
      <c r="C5182" t="n">
        <v>-7.53214</v>
      </c>
      <c r="D5182" t="n">
        <v>-46.0372</v>
      </c>
      <c r="E5182" t="inlineStr">
        <is>
          <t>2025-03</t>
        </is>
      </c>
      <c r="F5182" t="n">
        <v>0</v>
      </c>
    </row>
    <row r="5183">
      <c r="A5183" t="inlineStr">
        <is>
          <t>Milho</t>
        </is>
      </c>
      <c r="B5183" t="inlineStr">
        <is>
          <t>Balsas - MA</t>
        </is>
      </c>
      <c r="C5183" t="n">
        <v>-7.53214</v>
      </c>
      <c r="D5183" t="n">
        <v>-46.0372</v>
      </c>
      <c r="E5183" t="inlineStr">
        <is>
          <t>2025-04</t>
        </is>
      </c>
      <c r="F5183" t="n">
        <v>0</v>
      </c>
    </row>
    <row r="5184">
      <c r="A5184" t="inlineStr">
        <is>
          <t>Milho</t>
        </is>
      </c>
      <c r="B5184" t="inlineStr">
        <is>
          <t>Balsas - MA</t>
        </is>
      </c>
      <c r="C5184" t="n">
        <v>-7.53214</v>
      </c>
      <c r="D5184" t="n">
        <v>-46.0372</v>
      </c>
      <c r="E5184" t="inlineStr">
        <is>
          <t>2025-05</t>
        </is>
      </c>
      <c r="F5184" t="n">
        <v>0</v>
      </c>
    </row>
    <row r="5185">
      <c r="A5185" t="inlineStr">
        <is>
          <t>Milho</t>
        </is>
      </c>
      <c r="B5185" t="inlineStr">
        <is>
          <t>Balsas - MA</t>
        </is>
      </c>
      <c r="C5185" t="n">
        <v>-7.53214</v>
      </c>
      <c r="D5185" t="n">
        <v>-46.0372</v>
      </c>
      <c r="E5185" t="inlineStr">
        <is>
          <t>2025-06</t>
        </is>
      </c>
      <c r="F5185" t="n">
        <v>0</v>
      </c>
    </row>
    <row r="5186">
      <c r="A5186" t="inlineStr">
        <is>
          <t>Milho</t>
        </is>
      </c>
      <c r="B5186" t="inlineStr">
        <is>
          <t>Balsas - MA</t>
        </is>
      </c>
      <c r="C5186" t="n">
        <v>-7.53214</v>
      </c>
      <c r="D5186" t="n">
        <v>-46.0372</v>
      </c>
      <c r="E5186" t="inlineStr">
        <is>
          <t>2024-07</t>
        </is>
      </c>
      <c r="F5186" t="n">
        <v>0</v>
      </c>
    </row>
    <row r="5187">
      <c r="A5187" t="inlineStr">
        <is>
          <t>Milho</t>
        </is>
      </c>
      <c r="B5187" t="inlineStr">
        <is>
          <t>Balsas - MA</t>
        </is>
      </c>
      <c r="C5187" t="n">
        <v>-7.53214</v>
      </c>
      <c r="D5187" t="n">
        <v>-46.0372</v>
      </c>
      <c r="E5187" t="inlineStr">
        <is>
          <t>2024-08</t>
        </is>
      </c>
      <c r="F5187" t="n">
        <v>0</v>
      </c>
    </row>
    <row r="5188">
      <c r="A5188" t="inlineStr">
        <is>
          <t>Milho</t>
        </is>
      </c>
      <c r="B5188" t="inlineStr">
        <is>
          <t>Balsas - MA</t>
        </is>
      </c>
      <c r="C5188" t="n">
        <v>-7.53214</v>
      </c>
      <c r="D5188" t="n">
        <v>-46.0372</v>
      </c>
      <c r="E5188" t="inlineStr">
        <is>
          <t>2024-09</t>
        </is>
      </c>
      <c r="F5188" t="n">
        <v>0</v>
      </c>
    </row>
    <row r="5189">
      <c r="A5189" t="inlineStr">
        <is>
          <t>Milho</t>
        </is>
      </c>
      <c r="B5189" t="inlineStr">
        <is>
          <t>Balsas - MA</t>
        </is>
      </c>
      <c r="C5189" t="n">
        <v>-7.53214</v>
      </c>
      <c r="D5189" t="n">
        <v>-46.0372</v>
      </c>
      <c r="E5189" t="inlineStr">
        <is>
          <t>2024-10</t>
        </is>
      </c>
      <c r="F5189" t="n">
        <v>0</v>
      </c>
    </row>
    <row r="5190">
      <c r="A5190" t="inlineStr">
        <is>
          <t>Milho</t>
        </is>
      </c>
      <c r="B5190" t="inlineStr">
        <is>
          <t>Balsas - MA</t>
        </is>
      </c>
      <c r="C5190" t="n">
        <v>-7.53214</v>
      </c>
      <c r="D5190" t="n">
        <v>-46.0372</v>
      </c>
      <c r="E5190" t="inlineStr">
        <is>
          <t>2024-11</t>
        </is>
      </c>
      <c r="F5190" t="n">
        <v>0</v>
      </c>
    </row>
    <row r="5191">
      <c r="A5191" t="inlineStr">
        <is>
          <t>Milho</t>
        </is>
      </c>
      <c r="B5191" t="inlineStr">
        <is>
          <t>Balsas - MA</t>
        </is>
      </c>
      <c r="C5191" t="n">
        <v>-7.53214</v>
      </c>
      <c r="D5191" t="n">
        <v>-46.0372</v>
      </c>
      <c r="E5191" t="inlineStr">
        <is>
          <t>2024-12</t>
        </is>
      </c>
      <c r="F5191" t="n">
        <v>0</v>
      </c>
    </row>
    <row r="5192">
      <c r="A5192" t="inlineStr">
        <is>
          <t>Milho</t>
        </is>
      </c>
      <c r="B5192" t="inlineStr">
        <is>
          <t>Unaí - MG</t>
        </is>
      </c>
      <c r="C5192" t="n">
        <v>-16.3592</v>
      </c>
      <c r="D5192" t="n">
        <v>-46.9022</v>
      </c>
      <c r="E5192" t="inlineStr">
        <is>
          <t>2025-01</t>
        </is>
      </c>
      <c r="F5192" t="n">
        <v>0</v>
      </c>
    </row>
    <row r="5193">
      <c r="A5193" t="inlineStr">
        <is>
          <t>Milho</t>
        </is>
      </c>
      <c r="B5193" t="inlineStr">
        <is>
          <t>Unaí - MG</t>
        </is>
      </c>
      <c r="C5193" t="n">
        <v>-16.3592</v>
      </c>
      <c r="D5193" t="n">
        <v>-46.9022</v>
      </c>
      <c r="E5193" t="inlineStr">
        <is>
          <t>2025-02</t>
        </is>
      </c>
      <c r="F5193" t="n">
        <v>0</v>
      </c>
    </row>
    <row r="5194">
      <c r="A5194" t="inlineStr">
        <is>
          <t>Milho</t>
        </is>
      </c>
      <c r="B5194" t="inlineStr">
        <is>
          <t>Unaí - MG</t>
        </is>
      </c>
      <c r="C5194" t="n">
        <v>-16.3592</v>
      </c>
      <c r="D5194" t="n">
        <v>-46.9022</v>
      </c>
      <c r="E5194" t="inlineStr">
        <is>
          <t>2025-03</t>
        </is>
      </c>
      <c r="F5194" t="n">
        <v>0</v>
      </c>
    </row>
    <row r="5195">
      <c r="A5195" t="inlineStr">
        <is>
          <t>Milho</t>
        </is>
      </c>
      <c r="B5195" t="inlineStr">
        <is>
          <t>Unaí - MG</t>
        </is>
      </c>
      <c r="C5195" t="n">
        <v>-16.3592</v>
      </c>
      <c r="D5195" t="n">
        <v>-46.9022</v>
      </c>
      <c r="E5195" t="inlineStr">
        <is>
          <t>2025-04</t>
        </is>
      </c>
      <c r="F5195" t="n">
        <v>0</v>
      </c>
    </row>
    <row r="5196">
      <c r="A5196" t="inlineStr">
        <is>
          <t>Milho</t>
        </is>
      </c>
      <c r="B5196" t="inlineStr">
        <is>
          <t>Unaí - MG</t>
        </is>
      </c>
      <c r="C5196" t="n">
        <v>-16.3592</v>
      </c>
      <c r="D5196" t="n">
        <v>-46.9022</v>
      </c>
      <c r="E5196" t="inlineStr">
        <is>
          <t>2025-05</t>
        </is>
      </c>
      <c r="F5196" t="n">
        <v>0</v>
      </c>
    </row>
    <row r="5197">
      <c r="A5197" t="inlineStr">
        <is>
          <t>Milho</t>
        </is>
      </c>
      <c r="B5197" t="inlineStr">
        <is>
          <t>Unaí - MG</t>
        </is>
      </c>
      <c r="C5197" t="n">
        <v>-16.3592</v>
      </c>
      <c r="D5197" t="n">
        <v>-46.9022</v>
      </c>
      <c r="E5197" t="inlineStr">
        <is>
          <t>2025-06</t>
        </is>
      </c>
      <c r="F5197" t="n">
        <v>0</v>
      </c>
    </row>
    <row r="5198">
      <c r="A5198" t="inlineStr">
        <is>
          <t>Milho</t>
        </is>
      </c>
      <c r="B5198" t="inlineStr">
        <is>
          <t>Unaí - MG</t>
        </is>
      </c>
      <c r="C5198" t="n">
        <v>-16.3592</v>
      </c>
      <c r="D5198" t="n">
        <v>-46.9022</v>
      </c>
      <c r="E5198" t="inlineStr">
        <is>
          <t>2024-07</t>
        </is>
      </c>
      <c r="F5198" t="n">
        <v>0</v>
      </c>
    </row>
    <row r="5199">
      <c r="A5199" t="inlineStr">
        <is>
          <t>Milho</t>
        </is>
      </c>
      <c r="B5199" t="inlineStr">
        <is>
          <t>Unaí - MG</t>
        </is>
      </c>
      <c r="C5199" t="n">
        <v>-16.3592</v>
      </c>
      <c r="D5199" t="n">
        <v>-46.9022</v>
      </c>
      <c r="E5199" t="inlineStr">
        <is>
          <t>2024-08</t>
        </is>
      </c>
      <c r="F5199" t="n">
        <v>0</v>
      </c>
    </row>
    <row r="5200">
      <c r="A5200" t="inlineStr">
        <is>
          <t>Milho</t>
        </is>
      </c>
      <c r="B5200" t="inlineStr">
        <is>
          <t>Unaí - MG</t>
        </is>
      </c>
      <c r="C5200" t="n">
        <v>-16.3592</v>
      </c>
      <c r="D5200" t="n">
        <v>-46.9022</v>
      </c>
      <c r="E5200" t="inlineStr">
        <is>
          <t>2024-09</t>
        </is>
      </c>
      <c r="F5200" t="n">
        <v>0</v>
      </c>
    </row>
    <row r="5201">
      <c r="A5201" t="inlineStr">
        <is>
          <t>Milho</t>
        </is>
      </c>
      <c r="B5201" t="inlineStr">
        <is>
          <t>Unaí - MG</t>
        </is>
      </c>
      <c r="C5201" t="n">
        <v>-16.3592</v>
      </c>
      <c r="D5201" t="n">
        <v>-46.9022</v>
      </c>
      <c r="E5201" t="inlineStr">
        <is>
          <t>2024-10</t>
        </is>
      </c>
      <c r="F5201" t="n">
        <v>0</v>
      </c>
    </row>
    <row r="5202">
      <c r="A5202" t="inlineStr">
        <is>
          <t>Milho</t>
        </is>
      </c>
      <c r="B5202" t="inlineStr">
        <is>
          <t>Unaí - MG</t>
        </is>
      </c>
      <c r="C5202" t="n">
        <v>-16.3592</v>
      </c>
      <c r="D5202" t="n">
        <v>-46.9022</v>
      </c>
      <c r="E5202" t="inlineStr">
        <is>
          <t>2024-11</t>
        </is>
      </c>
      <c r="F5202" t="n">
        <v>0</v>
      </c>
    </row>
    <row r="5203">
      <c r="A5203" t="inlineStr">
        <is>
          <t>Milho</t>
        </is>
      </c>
      <c r="B5203" t="inlineStr">
        <is>
          <t>Unaí - MG</t>
        </is>
      </c>
      <c r="C5203" t="n">
        <v>-16.3592</v>
      </c>
      <c r="D5203" t="n">
        <v>-46.9022</v>
      </c>
      <c r="E5203" t="inlineStr">
        <is>
          <t>2024-12</t>
        </is>
      </c>
      <c r="F5203" t="n">
        <v>0</v>
      </c>
    </row>
    <row r="5204">
      <c r="A5204" t="inlineStr">
        <is>
          <t>Milho</t>
        </is>
      </c>
      <c r="B5204" t="inlineStr">
        <is>
          <t>Maracaju - MS</t>
        </is>
      </c>
      <c r="C5204" t="n">
        <v>-21.6105</v>
      </c>
      <c r="D5204" t="n">
        <v>-55.1678</v>
      </c>
      <c r="E5204" t="inlineStr">
        <is>
          <t>2025-01</t>
        </is>
      </c>
      <c r="F5204" t="n">
        <v>0</v>
      </c>
    </row>
    <row r="5205">
      <c r="A5205" t="inlineStr">
        <is>
          <t>Milho</t>
        </is>
      </c>
      <c r="B5205" t="inlineStr">
        <is>
          <t>Maracaju - MS</t>
        </is>
      </c>
      <c r="C5205" t="n">
        <v>-21.6105</v>
      </c>
      <c r="D5205" t="n">
        <v>-55.1678</v>
      </c>
      <c r="E5205" t="inlineStr">
        <is>
          <t>2025-02</t>
        </is>
      </c>
      <c r="F5205" t="n">
        <v>0</v>
      </c>
    </row>
    <row r="5206">
      <c r="A5206" t="inlineStr">
        <is>
          <t>Milho</t>
        </is>
      </c>
      <c r="B5206" t="inlineStr">
        <is>
          <t>Maracaju - MS</t>
        </is>
      </c>
      <c r="C5206" t="n">
        <v>-21.6105</v>
      </c>
      <c r="D5206" t="n">
        <v>-55.1678</v>
      </c>
      <c r="E5206" t="inlineStr">
        <is>
          <t>2025-03</t>
        </is>
      </c>
      <c r="F5206" t="n">
        <v>0</v>
      </c>
    </row>
    <row r="5207">
      <c r="A5207" t="inlineStr">
        <is>
          <t>Milho</t>
        </is>
      </c>
      <c r="B5207" t="inlineStr">
        <is>
          <t>Maracaju - MS</t>
        </is>
      </c>
      <c r="C5207" t="n">
        <v>-21.6105</v>
      </c>
      <c r="D5207" t="n">
        <v>-55.1678</v>
      </c>
      <c r="E5207" t="inlineStr">
        <is>
          <t>2025-04</t>
        </is>
      </c>
      <c r="F5207" t="n">
        <v>0</v>
      </c>
    </row>
    <row r="5208">
      <c r="A5208" t="inlineStr">
        <is>
          <t>Milho</t>
        </is>
      </c>
      <c r="B5208" t="inlineStr">
        <is>
          <t>Maracaju - MS</t>
        </is>
      </c>
      <c r="C5208" t="n">
        <v>-21.6105</v>
      </c>
      <c r="D5208" t="n">
        <v>-55.1678</v>
      </c>
      <c r="E5208" t="inlineStr">
        <is>
          <t>2025-05</t>
        </is>
      </c>
      <c r="F5208" t="n">
        <v>0</v>
      </c>
    </row>
    <row r="5209">
      <c r="A5209" t="inlineStr">
        <is>
          <t>Milho</t>
        </is>
      </c>
      <c r="B5209" t="inlineStr">
        <is>
          <t>Maracaju - MS</t>
        </is>
      </c>
      <c r="C5209" t="n">
        <v>-21.6105</v>
      </c>
      <c r="D5209" t="n">
        <v>-55.1678</v>
      </c>
      <c r="E5209" t="inlineStr">
        <is>
          <t>2025-06</t>
        </is>
      </c>
      <c r="F5209" t="n">
        <v>0</v>
      </c>
    </row>
    <row r="5210">
      <c r="A5210" t="inlineStr">
        <is>
          <t>Milho</t>
        </is>
      </c>
      <c r="B5210" t="inlineStr">
        <is>
          <t>Maracaju - MS</t>
        </is>
      </c>
      <c r="C5210" t="n">
        <v>-21.6105</v>
      </c>
      <c r="D5210" t="n">
        <v>-55.1678</v>
      </c>
      <c r="E5210" t="inlineStr">
        <is>
          <t>2024-07</t>
        </is>
      </c>
      <c r="F5210" t="n">
        <v>0</v>
      </c>
    </row>
    <row r="5211">
      <c r="A5211" t="inlineStr">
        <is>
          <t>Milho</t>
        </is>
      </c>
      <c r="B5211" t="inlineStr">
        <is>
          <t>Maracaju - MS</t>
        </is>
      </c>
      <c r="C5211" t="n">
        <v>-21.6105</v>
      </c>
      <c r="D5211" t="n">
        <v>-55.1678</v>
      </c>
      <c r="E5211" t="inlineStr">
        <is>
          <t>2024-08</t>
        </is>
      </c>
      <c r="F5211" t="n">
        <v>0</v>
      </c>
    </row>
    <row r="5212">
      <c r="A5212" t="inlineStr">
        <is>
          <t>Milho</t>
        </is>
      </c>
      <c r="B5212" t="inlineStr">
        <is>
          <t>Maracaju - MS</t>
        </is>
      </c>
      <c r="C5212" t="n">
        <v>-21.6105</v>
      </c>
      <c r="D5212" t="n">
        <v>-55.1678</v>
      </c>
      <c r="E5212" t="inlineStr">
        <is>
          <t>2024-09</t>
        </is>
      </c>
      <c r="F5212" t="n">
        <v>0</v>
      </c>
    </row>
    <row r="5213">
      <c r="A5213" t="inlineStr">
        <is>
          <t>Milho</t>
        </is>
      </c>
      <c r="B5213" t="inlineStr">
        <is>
          <t>Maracaju - MS</t>
        </is>
      </c>
      <c r="C5213" t="n">
        <v>-21.6105</v>
      </c>
      <c r="D5213" t="n">
        <v>-55.1678</v>
      </c>
      <c r="E5213" t="inlineStr">
        <is>
          <t>2024-10</t>
        </is>
      </c>
      <c r="F5213" t="n">
        <v>0</v>
      </c>
    </row>
    <row r="5214">
      <c r="A5214" t="inlineStr">
        <is>
          <t>Milho</t>
        </is>
      </c>
      <c r="B5214" t="inlineStr">
        <is>
          <t>Maracaju - MS</t>
        </is>
      </c>
      <c r="C5214" t="n">
        <v>-21.6105</v>
      </c>
      <c r="D5214" t="n">
        <v>-55.1678</v>
      </c>
      <c r="E5214" t="inlineStr">
        <is>
          <t>2024-11</t>
        </is>
      </c>
      <c r="F5214" t="n">
        <v>0</v>
      </c>
    </row>
    <row r="5215">
      <c r="A5215" t="inlineStr">
        <is>
          <t>Milho</t>
        </is>
      </c>
      <c r="B5215" t="inlineStr">
        <is>
          <t>Maracaju - MS</t>
        </is>
      </c>
      <c r="C5215" t="n">
        <v>-21.6105</v>
      </c>
      <c r="D5215" t="n">
        <v>-55.1678</v>
      </c>
      <c r="E5215" t="inlineStr">
        <is>
          <t>2024-12</t>
        </is>
      </c>
      <c r="F5215" t="n">
        <v>0</v>
      </c>
    </row>
    <row r="5216">
      <c r="A5216" t="inlineStr">
        <is>
          <t>Milho</t>
        </is>
      </c>
      <c r="B5216" t="inlineStr">
        <is>
          <t>Sorriso - MT</t>
        </is>
      </c>
      <c r="C5216" t="n">
        <v>-12.5425</v>
      </c>
      <c r="D5216" t="n">
        <v>-55.7211</v>
      </c>
      <c r="E5216" t="inlineStr">
        <is>
          <t>2025-01</t>
        </is>
      </c>
      <c r="F5216" t="n">
        <v>0</v>
      </c>
    </row>
    <row r="5217">
      <c r="A5217" t="inlineStr">
        <is>
          <t>Milho</t>
        </is>
      </c>
      <c r="B5217" t="inlineStr">
        <is>
          <t>Sorriso - MT</t>
        </is>
      </c>
      <c r="C5217" t="n">
        <v>-12.5425</v>
      </c>
      <c r="D5217" t="n">
        <v>-55.7211</v>
      </c>
      <c r="E5217" t="inlineStr">
        <is>
          <t>2025-02</t>
        </is>
      </c>
      <c r="F5217" t="n">
        <v>0</v>
      </c>
    </row>
    <row r="5218">
      <c r="A5218" t="inlineStr">
        <is>
          <t>Milho</t>
        </is>
      </c>
      <c r="B5218" t="inlineStr">
        <is>
          <t>Sorriso - MT</t>
        </is>
      </c>
      <c r="C5218" t="n">
        <v>-12.5425</v>
      </c>
      <c r="D5218" t="n">
        <v>-55.7211</v>
      </c>
      <c r="E5218" t="inlineStr">
        <is>
          <t>2025-03</t>
        </is>
      </c>
      <c r="F5218" t="n">
        <v>0</v>
      </c>
    </row>
    <row r="5219">
      <c r="A5219" t="inlineStr">
        <is>
          <t>Milho</t>
        </is>
      </c>
      <c r="B5219" t="inlineStr">
        <is>
          <t>Sorriso - MT</t>
        </is>
      </c>
      <c r="C5219" t="n">
        <v>-12.5425</v>
      </c>
      <c r="D5219" t="n">
        <v>-55.7211</v>
      </c>
      <c r="E5219" t="inlineStr">
        <is>
          <t>2025-04</t>
        </is>
      </c>
      <c r="F5219" t="n">
        <v>0</v>
      </c>
    </row>
    <row r="5220">
      <c r="A5220" t="inlineStr">
        <is>
          <t>Milho</t>
        </is>
      </c>
      <c r="B5220" t="inlineStr">
        <is>
          <t>Sorriso - MT</t>
        </is>
      </c>
      <c r="C5220" t="n">
        <v>-12.5425</v>
      </c>
      <c r="D5220" t="n">
        <v>-55.7211</v>
      </c>
      <c r="E5220" t="inlineStr">
        <is>
          <t>2025-05</t>
        </is>
      </c>
      <c r="F5220" t="n">
        <v>0</v>
      </c>
    </row>
    <row r="5221">
      <c r="A5221" t="inlineStr">
        <is>
          <t>Milho</t>
        </is>
      </c>
      <c r="B5221" t="inlineStr">
        <is>
          <t>Sorriso - MT</t>
        </is>
      </c>
      <c r="C5221" t="n">
        <v>-12.5425</v>
      </c>
      <c r="D5221" t="n">
        <v>-55.7211</v>
      </c>
      <c r="E5221" t="inlineStr">
        <is>
          <t>2025-06</t>
        </is>
      </c>
      <c r="F5221" t="n">
        <v>0</v>
      </c>
    </row>
    <row r="5222">
      <c r="A5222" t="inlineStr">
        <is>
          <t>Milho</t>
        </is>
      </c>
      <c r="B5222" t="inlineStr">
        <is>
          <t>Sorriso - MT</t>
        </is>
      </c>
      <c r="C5222" t="n">
        <v>-12.5425</v>
      </c>
      <c r="D5222" t="n">
        <v>-55.7211</v>
      </c>
      <c r="E5222" t="inlineStr">
        <is>
          <t>2024-07</t>
        </is>
      </c>
      <c r="F5222" t="n">
        <v>0</v>
      </c>
    </row>
    <row r="5223">
      <c r="A5223" t="inlineStr">
        <is>
          <t>Milho</t>
        </is>
      </c>
      <c r="B5223" t="inlineStr">
        <is>
          <t>Sorriso - MT</t>
        </is>
      </c>
      <c r="C5223" t="n">
        <v>-12.5425</v>
      </c>
      <c r="D5223" t="n">
        <v>-55.7211</v>
      </c>
      <c r="E5223" t="inlineStr">
        <is>
          <t>2024-08</t>
        </is>
      </c>
      <c r="F5223" t="n">
        <v>0</v>
      </c>
    </row>
    <row r="5224">
      <c r="A5224" t="inlineStr">
        <is>
          <t>Milho</t>
        </is>
      </c>
      <c r="B5224" t="inlineStr">
        <is>
          <t>Sorriso - MT</t>
        </is>
      </c>
      <c r="C5224" t="n">
        <v>-12.5425</v>
      </c>
      <c r="D5224" t="n">
        <v>-55.7211</v>
      </c>
      <c r="E5224" t="inlineStr">
        <is>
          <t>2024-09</t>
        </is>
      </c>
      <c r="F5224" t="n">
        <v>0</v>
      </c>
    </row>
    <row r="5225">
      <c r="A5225" t="inlineStr">
        <is>
          <t>Milho</t>
        </is>
      </c>
      <c r="B5225" t="inlineStr">
        <is>
          <t>Sorriso - MT</t>
        </is>
      </c>
      <c r="C5225" t="n">
        <v>-12.5425</v>
      </c>
      <c r="D5225" t="n">
        <v>-55.7211</v>
      </c>
      <c r="E5225" t="inlineStr">
        <is>
          <t>2024-10</t>
        </is>
      </c>
      <c r="F5225" t="n">
        <v>0</v>
      </c>
    </row>
    <row r="5226">
      <c r="A5226" t="inlineStr">
        <is>
          <t>Milho</t>
        </is>
      </c>
      <c r="B5226" t="inlineStr">
        <is>
          <t>Sorriso - MT</t>
        </is>
      </c>
      <c r="C5226" t="n">
        <v>-12.5425</v>
      </c>
      <c r="D5226" t="n">
        <v>-55.7211</v>
      </c>
      <c r="E5226" t="inlineStr">
        <is>
          <t>2024-11</t>
        </is>
      </c>
      <c r="F5226" t="n">
        <v>0</v>
      </c>
    </row>
    <row r="5227">
      <c r="A5227" t="inlineStr">
        <is>
          <t>Milho</t>
        </is>
      </c>
      <c r="B5227" t="inlineStr">
        <is>
          <t>Sorriso - MT</t>
        </is>
      </c>
      <c r="C5227" t="n">
        <v>-12.5425</v>
      </c>
      <c r="D5227" t="n">
        <v>-55.7211</v>
      </c>
      <c r="E5227" t="inlineStr">
        <is>
          <t>2024-12</t>
        </is>
      </c>
      <c r="F5227" t="n">
        <v>0</v>
      </c>
    </row>
    <row r="5228">
      <c r="A5228" t="inlineStr">
        <is>
          <t>Milho</t>
        </is>
      </c>
      <c r="B5228" t="inlineStr">
        <is>
          <t>Santana do Araguaia - PA</t>
        </is>
      </c>
      <c r="C5228" t="n">
        <v>-9.328099999999999</v>
      </c>
      <c r="D5228" t="n">
        <v>-50.35</v>
      </c>
      <c r="E5228" t="inlineStr">
        <is>
          <t>2025-01</t>
        </is>
      </c>
      <c r="F5228" t="n">
        <v>0</v>
      </c>
    </row>
    <row r="5229">
      <c r="A5229" t="inlineStr">
        <is>
          <t>Milho</t>
        </is>
      </c>
      <c r="B5229" t="inlineStr">
        <is>
          <t>Santana do Araguaia - PA</t>
        </is>
      </c>
      <c r="C5229" t="n">
        <v>-9.328099999999999</v>
      </c>
      <c r="D5229" t="n">
        <v>-50.35</v>
      </c>
      <c r="E5229" t="inlineStr">
        <is>
          <t>2025-02</t>
        </is>
      </c>
      <c r="F5229" t="n">
        <v>0</v>
      </c>
    </row>
    <row r="5230">
      <c r="A5230" t="inlineStr">
        <is>
          <t>Milho</t>
        </is>
      </c>
      <c r="B5230" t="inlineStr">
        <is>
          <t>Santana do Araguaia - PA</t>
        </is>
      </c>
      <c r="C5230" t="n">
        <v>-9.328099999999999</v>
      </c>
      <c r="D5230" t="n">
        <v>-50.35</v>
      </c>
      <c r="E5230" t="inlineStr">
        <is>
          <t>2025-03</t>
        </is>
      </c>
      <c r="F5230" t="n">
        <v>0</v>
      </c>
    </row>
    <row r="5231">
      <c r="A5231" t="inlineStr">
        <is>
          <t>Milho</t>
        </is>
      </c>
      <c r="B5231" t="inlineStr">
        <is>
          <t>Santana do Araguaia - PA</t>
        </is>
      </c>
      <c r="C5231" t="n">
        <v>-9.328099999999999</v>
      </c>
      <c r="D5231" t="n">
        <v>-50.35</v>
      </c>
      <c r="E5231" t="inlineStr">
        <is>
          <t>2025-04</t>
        </is>
      </c>
      <c r="F5231" t="n">
        <v>0</v>
      </c>
    </row>
    <row r="5232">
      <c r="A5232" t="inlineStr">
        <is>
          <t>Milho</t>
        </is>
      </c>
      <c r="B5232" t="inlineStr">
        <is>
          <t>Santana do Araguaia - PA</t>
        </is>
      </c>
      <c r="C5232" t="n">
        <v>-9.328099999999999</v>
      </c>
      <c r="D5232" t="n">
        <v>-50.35</v>
      </c>
      <c r="E5232" t="inlineStr">
        <is>
          <t>2025-05</t>
        </is>
      </c>
      <c r="F5232" t="n">
        <v>0</v>
      </c>
    </row>
    <row r="5233">
      <c r="A5233" t="inlineStr">
        <is>
          <t>Milho</t>
        </is>
      </c>
      <c r="B5233" t="inlineStr">
        <is>
          <t>Santana do Araguaia - PA</t>
        </is>
      </c>
      <c r="C5233" t="n">
        <v>-9.328099999999999</v>
      </c>
      <c r="D5233" t="n">
        <v>-50.35</v>
      </c>
      <c r="E5233" t="inlineStr">
        <is>
          <t>2025-06</t>
        </is>
      </c>
      <c r="F5233" t="n">
        <v>0</v>
      </c>
    </row>
    <row r="5234">
      <c r="A5234" t="inlineStr">
        <is>
          <t>Milho</t>
        </is>
      </c>
      <c r="B5234" t="inlineStr">
        <is>
          <t>Santana do Araguaia - PA</t>
        </is>
      </c>
      <c r="C5234" t="n">
        <v>-9.328099999999999</v>
      </c>
      <c r="D5234" t="n">
        <v>-50.35</v>
      </c>
      <c r="E5234" t="inlineStr">
        <is>
          <t>2024-07</t>
        </is>
      </c>
      <c r="F5234" t="n">
        <v>0</v>
      </c>
    </row>
    <row r="5235">
      <c r="A5235" t="inlineStr">
        <is>
          <t>Milho</t>
        </is>
      </c>
      <c r="B5235" t="inlineStr">
        <is>
          <t>Santana do Araguaia - PA</t>
        </is>
      </c>
      <c r="C5235" t="n">
        <v>-9.328099999999999</v>
      </c>
      <c r="D5235" t="n">
        <v>-50.35</v>
      </c>
      <c r="E5235" t="inlineStr">
        <is>
          <t>2024-08</t>
        </is>
      </c>
      <c r="F5235" t="n">
        <v>0</v>
      </c>
    </row>
    <row r="5236">
      <c r="A5236" t="inlineStr">
        <is>
          <t>Milho</t>
        </is>
      </c>
      <c r="B5236" t="inlineStr">
        <is>
          <t>Santana do Araguaia - PA</t>
        </is>
      </c>
      <c r="C5236" t="n">
        <v>-9.328099999999999</v>
      </c>
      <c r="D5236" t="n">
        <v>-50.35</v>
      </c>
      <c r="E5236" t="inlineStr">
        <is>
          <t>2024-09</t>
        </is>
      </c>
      <c r="F5236" t="n">
        <v>0</v>
      </c>
    </row>
    <row r="5237">
      <c r="A5237" t="inlineStr">
        <is>
          <t>Milho</t>
        </is>
      </c>
      <c r="B5237" t="inlineStr">
        <is>
          <t>Santana do Araguaia - PA</t>
        </is>
      </c>
      <c r="C5237" t="n">
        <v>-9.328099999999999</v>
      </c>
      <c r="D5237" t="n">
        <v>-50.35</v>
      </c>
      <c r="E5237" t="inlineStr">
        <is>
          <t>2024-10</t>
        </is>
      </c>
      <c r="F5237" t="n">
        <v>0</v>
      </c>
    </row>
    <row r="5238">
      <c r="A5238" t="inlineStr">
        <is>
          <t>Milho</t>
        </is>
      </c>
      <c r="B5238" t="inlineStr">
        <is>
          <t>Santana do Araguaia - PA</t>
        </is>
      </c>
      <c r="C5238" t="n">
        <v>-9.328099999999999</v>
      </c>
      <c r="D5238" t="n">
        <v>-50.35</v>
      </c>
      <c r="E5238" t="inlineStr">
        <is>
          <t>2024-11</t>
        </is>
      </c>
      <c r="F5238" t="n">
        <v>0</v>
      </c>
    </row>
    <row r="5239">
      <c r="A5239" t="inlineStr">
        <is>
          <t>Milho</t>
        </is>
      </c>
      <c r="B5239" t="inlineStr">
        <is>
          <t>Santana do Araguaia - PA</t>
        </is>
      </c>
      <c r="C5239" t="n">
        <v>-9.328099999999999</v>
      </c>
      <c r="D5239" t="n">
        <v>-50.35</v>
      </c>
      <c r="E5239" t="inlineStr">
        <is>
          <t>2024-12</t>
        </is>
      </c>
      <c r="F5239" t="n">
        <v>0</v>
      </c>
    </row>
    <row r="5240">
      <c r="A5240" t="inlineStr">
        <is>
          <t>Milho</t>
        </is>
      </c>
      <c r="B5240" t="inlineStr">
        <is>
          <t>Sousa - PB</t>
        </is>
      </c>
      <c r="C5240" t="n">
        <v>-6.75148</v>
      </c>
      <c r="D5240" t="n">
        <v>-38.2311</v>
      </c>
      <c r="E5240" t="inlineStr">
        <is>
          <t>2025-01</t>
        </is>
      </c>
      <c r="F5240" t="n">
        <v>0</v>
      </c>
    </row>
    <row r="5241">
      <c r="A5241" t="inlineStr">
        <is>
          <t>Milho</t>
        </is>
      </c>
      <c r="B5241" t="inlineStr">
        <is>
          <t>Sousa - PB</t>
        </is>
      </c>
      <c r="C5241" t="n">
        <v>-6.75148</v>
      </c>
      <c r="D5241" t="n">
        <v>-38.2311</v>
      </c>
      <c r="E5241" t="inlineStr">
        <is>
          <t>2025-02</t>
        </is>
      </c>
      <c r="F5241" t="n">
        <v>0</v>
      </c>
    </row>
    <row r="5242">
      <c r="A5242" t="inlineStr">
        <is>
          <t>Milho</t>
        </is>
      </c>
      <c r="B5242" t="inlineStr">
        <is>
          <t>Sousa - PB</t>
        </is>
      </c>
      <c r="C5242" t="n">
        <v>-6.75148</v>
      </c>
      <c r="D5242" t="n">
        <v>-38.2311</v>
      </c>
      <c r="E5242" t="inlineStr">
        <is>
          <t>2025-03</t>
        </is>
      </c>
      <c r="F5242" t="n">
        <v>0</v>
      </c>
    </row>
    <row r="5243">
      <c r="A5243" t="inlineStr">
        <is>
          <t>Milho</t>
        </is>
      </c>
      <c r="B5243" t="inlineStr">
        <is>
          <t>Sousa - PB</t>
        </is>
      </c>
      <c r="C5243" t="n">
        <v>-6.75148</v>
      </c>
      <c r="D5243" t="n">
        <v>-38.2311</v>
      </c>
      <c r="E5243" t="inlineStr">
        <is>
          <t>2025-04</t>
        </is>
      </c>
      <c r="F5243" t="n">
        <v>0</v>
      </c>
    </row>
    <row r="5244">
      <c r="A5244" t="inlineStr">
        <is>
          <t>Milho</t>
        </is>
      </c>
      <c r="B5244" t="inlineStr">
        <is>
          <t>Sousa - PB</t>
        </is>
      </c>
      <c r="C5244" t="n">
        <v>-6.75148</v>
      </c>
      <c r="D5244" t="n">
        <v>-38.2311</v>
      </c>
      <c r="E5244" t="inlineStr">
        <is>
          <t>2025-05</t>
        </is>
      </c>
      <c r="F5244" t="n">
        <v>0</v>
      </c>
    </row>
    <row r="5245">
      <c r="A5245" t="inlineStr">
        <is>
          <t>Milho</t>
        </is>
      </c>
      <c r="B5245" t="inlineStr">
        <is>
          <t>Sousa - PB</t>
        </is>
      </c>
      <c r="C5245" t="n">
        <v>-6.75148</v>
      </c>
      <c r="D5245" t="n">
        <v>-38.2311</v>
      </c>
      <c r="E5245" t="inlineStr">
        <is>
          <t>2025-06</t>
        </is>
      </c>
      <c r="F5245" t="n">
        <v>0</v>
      </c>
    </row>
    <row r="5246">
      <c r="A5246" t="inlineStr">
        <is>
          <t>Milho</t>
        </is>
      </c>
      <c r="B5246" t="inlineStr">
        <is>
          <t>Sousa - PB</t>
        </is>
      </c>
      <c r="C5246" t="n">
        <v>-6.75148</v>
      </c>
      <c r="D5246" t="n">
        <v>-38.2311</v>
      </c>
      <c r="E5246" t="inlineStr">
        <is>
          <t>2024-07</t>
        </is>
      </c>
      <c r="F5246" t="n">
        <v>0</v>
      </c>
    </row>
    <row r="5247">
      <c r="A5247" t="inlineStr">
        <is>
          <t>Milho</t>
        </is>
      </c>
      <c r="B5247" t="inlineStr">
        <is>
          <t>Sousa - PB</t>
        </is>
      </c>
      <c r="C5247" t="n">
        <v>-6.75148</v>
      </c>
      <c r="D5247" t="n">
        <v>-38.2311</v>
      </c>
      <c r="E5247" t="inlineStr">
        <is>
          <t>2024-08</t>
        </is>
      </c>
      <c r="F5247" t="n">
        <v>0</v>
      </c>
    </row>
    <row r="5248">
      <c r="A5248" t="inlineStr">
        <is>
          <t>Milho</t>
        </is>
      </c>
      <c r="B5248" t="inlineStr">
        <is>
          <t>Sousa - PB</t>
        </is>
      </c>
      <c r="C5248" t="n">
        <v>-6.75148</v>
      </c>
      <c r="D5248" t="n">
        <v>-38.2311</v>
      </c>
      <c r="E5248" t="inlineStr">
        <is>
          <t>2024-09</t>
        </is>
      </c>
      <c r="F5248" t="n">
        <v>0</v>
      </c>
    </row>
    <row r="5249">
      <c r="A5249" t="inlineStr">
        <is>
          <t>Milho</t>
        </is>
      </c>
      <c r="B5249" t="inlineStr">
        <is>
          <t>Sousa - PB</t>
        </is>
      </c>
      <c r="C5249" t="n">
        <v>-6.75148</v>
      </c>
      <c r="D5249" t="n">
        <v>-38.2311</v>
      </c>
      <c r="E5249" t="inlineStr">
        <is>
          <t>2024-10</t>
        </is>
      </c>
      <c r="F5249" t="n">
        <v>0</v>
      </c>
    </row>
    <row r="5250">
      <c r="A5250" t="inlineStr">
        <is>
          <t>Milho</t>
        </is>
      </c>
      <c r="B5250" t="inlineStr">
        <is>
          <t>Sousa - PB</t>
        </is>
      </c>
      <c r="C5250" t="n">
        <v>-6.75148</v>
      </c>
      <c r="D5250" t="n">
        <v>-38.2311</v>
      </c>
      <c r="E5250" t="inlineStr">
        <is>
          <t>2024-11</t>
        </is>
      </c>
      <c r="F5250" t="n">
        <v>0</v>
      </c>
    </row>
    <row r="5251">
      <c r="A5251" t="inlineStr">
        <is>
          <t>Milho</t>
        </is>
      </c>
      <c r="B5251" t="inlineStr">
        <is>
          <t>Sousa - PB</t>
        </is>
      </c>
      <c r="C5251" t="n">
        <v>-6.75148</v>
      </c>
      <c r="D5251" t="n">
        <v>-38.2311</v>
      </c>
      <c r="E5251" t="inlineStr">
        <is>
          <t>2024-12</t>
        </is>
      </c>
      <c r="F5251" t="n">
        <v>0</v>
      </c>
    </row>
    <row r="5252">
      <c r="A5252" t="inlineStr">
        <is>
          <t>Milho</t>
        </is>
      </c>
      <c r="B5252" t="inlineStr">
        <is>
          <t>Exu - PE</t>
        </is>
      </c>
      <c r="C5252" t="n">
        <v>-7.50364</v>
      </c>
      <c r="D5252" t="n">
        <v>-39.7238</v>
      </c>
      <c r="E5252" t="inlineStr">
        <is>
          <t>2025-01</t>
        </is>
      </c>
      <c r="F5252" t="n">
        <v>0</v>
      </c>
    </row>
    <row r="5253">
      <c r="A5253" t="inlineStr">
        <is>
          <t>Milho</t>
        </is>
      </c>
      <c r="B5253" t="inlineStr">
        <is>
          <t>Exu - PE</t>
        </is>
      </c>
      <c r="C5253" t="n">
        <v>-7.50364</v>
      </c>
      <c r="D5253" t="n">
        <v>-39.7238</v>
      </c>
      <c r="E5253" t="inlineStr">
        <is>
          <t>2025-02</t>
        </is>
      </c>
      <c r="F5253" t="n">
        <v>0</v>
      </c>
    </row>
    <row r="5254">
      <c r="A5254" t="inlineStr">
        <is>
          <t>Milho</t>
        </is>
      </c>
      <c r="B5254" t="inlineStr">
        <is>
          <t>Exu - PE</t>
        </is>
      </c>
      <c r="C5254" t="n">
        <v>-7.50364</v>
      </c>
      <c r="D5254" t="n">
        <v>-39.7238</v>
      </c>
      <c r="E5254" t="inlineStr">
        <is>
          <t>2025-03</t>
        </is>
      </c>
      <c r="F5254" t="n">
        <v>0</v>
      </c>
    </row>
    <row r="5255">
      <c r="A5255" t="inlineStr">
        <is>
          <t>Milho</t>
        </is>
      </c>
      <c r="B5255" t="inlineStr">
        <is>
          <t>Exu - PE</t>
        </is>
      </c>
      <c r="C5255" t="n">
        <v>-7.50364</v>
      </c>
      <c r="D5255" t="n">
        <v>-39.7238</v>
      </c>
      <c r="E5255" t="inlineStr">
        <is>
          <t>2025-04</t>
        </is>
      </c>
      <c r="F5255" t="n">
        <v>0</v>
      </c>
    </row>
    <row r="5256">
      <c r="A5256" t="inlineStr">
        <is>
          <t>Milho</t>
        </is>
      </c>
      <c r="B5256" t="inlineStr">
        <is>
          <t>Exu - PE</t>
        </is>
      </c>
      <c r="C5256" t="n">
        <v>-7.50364</v>
      </c>
      <c r="D5256" t="n">
        <v>-39.7238</v>
      </c>
      <c r="E5256" t="inlineStr">
        <is>
          <t>2025-05</t>
        </is>
      </c>
      <c r="F5256" t="n">
        <v>11014.35428694651</v>
      </c>
    </row>
    <row r="5257">
      <c r="A5257" t="inlineStr">
        <is>
          <t>Milho</t>
        </is>
      </c>
      <c r="B5257" t="inlineStr">
        <is>
          <t>Exu - PE</t>
        </is>
      </c>
      <c r="C5257" t="n">
        <v>-7.50364</v>
      </c>
      <c r="D5257" t="n">
        <v>-39.7238</v>
      </c>
      <c r="E5257" t="inlineStr">
        <is>
          <t>2025-06</t>
        </is>
      </c>
      <c r="F5257" t="n">
        <v>9592.480172973288</v>
      </c>
    </row>
    <row r="5258">
      <c r="A5258" t="inlineStr">
        <is>
          <t>Milho</t>
        </is>
      </c>
      <c r="B5258" t="inlineStr">
        <is>
          <t>Exu - PE</t>
        </is>
      </c>
      <c r="C5258" t="n">
        <v>-7.50364</v>
      </c>
      <c r="D5258" t="n">
        <v>-39.7238</v>
      </c>
      <c r="E5258" t="inlineStr">
        <is>
          <t>2024-07</t>
        </is>
      </c>
      <c r="F5258" t="n">
        <v>9251.741380628011</v>
      </c>
    </row>
    <row r="5259">
      <c r="A5259" t="inlineStr">
        <is>
          <t>Milho</t>
        </is>
      </c>
      <c r="B5259" t="inlineStr">
        <is>
          <t>Exu - PE</t>
        </is>
      </c>
      <c r="C5259" t="n">
        <v>-7.50364</v>
      </c>
      <c r="D5259" t="n">
        <v>-39.7238</v>
      </c>
      <c r="E5259" t="inlineStr">
        <is>
          <t>2024-08</t>
        </is>
      </c>
      <c r="F5259" t="n">
        <v>25596.6908672166</v>
      </c>
    </row>
    <row r="5260">
      <c r="A5260" t="inlineStr">
        <is>
          <t>Milho</t>
        </is>
      </c>
      <c r="B5260" t="inlineStr">
        <is>
          <t>Exu - PE</t>
        </is>
      </c>
      <c r="C5260" t="n">
        <v>-7.50364</v>
      </c>
      <c r="D5260" t="n">
        <v>-39.7238</v>
      </c>
      <c r="E5260" t="inlineStr">
        <is>
          <t>2024-09</t>
        </is>
      </c>
      <c r="F5260" t="n">
        <v>11862.90571303436</v>
      </c>
    </row>
    <row r="5261">
      <c r="A5261" t="inlineStr">
        <is>
          <t>Milho</t>
        </is>
      </c>
      <c r="B5261" t="inlineStr">
        <is>
          <t>Exu - PE</t>
        </is>
      </c>
      <c r="C5261" t="n">
        <v>-7.50364</v>
      </c>
      <c r="D5261" t="n">
        <v>-39.7238</v>
      </c>
      <c r="E5261" t="inlineStr">
        <is>
          <t>2024-10</t>
        </is>
      </c>
      <c r="F5261" t="n">
        <v>35349.56439228421</v>
      </c>
    </row>
    <row r="5262">
      <c r="A5262" t="inlineStr">
        <is>
          <t>Milho</t>
        </is>
      </c>
      <c r="B5262" t="inlineStr">
        <is>
          <t>Exu - PE</t>
        </is>
      </c>
      <c r="C5262" t="n">
        <v>-7.50364</v>
      </c>
      <c r="D5262" t="n">
        <v>-39.7238</v>
      </c>
      <c r="E5262" t="inlineStr">
        <is>
          <t>2024-11</t>
        </is>
      </c>
      <c r="F5262" t="n">
        <v>123584.1046873276</v>
      </c>
    </row>
    <row r="5263">
      <c r="A5263" t="inlineStr">
        <is>
          <t>Milho</t>
        </is>
      </c>
      <c r="B5263" t="inlineStr">
        <is>
          <t>Exu - PE</t>
        </is>
      </c>
      <c r="C5263" t="n">
        <v>-7.50364</v>
      </c>
      <c r="D5263" t="n">
        <v>-39.7238</v>
      </c>
      <c r="E5263" t="inlineStr">
        <is>
          <t>2024-12</t>
        </is>
      </c>
      <c r="F5263" t="n">
        <v>0</v>
      </c>
    </row>
    <row r="5264">
      <c r="A5264" t="inlineStr">
        <is>
          <t>Milho</t>
        </is>
      </c>
      <c r="B5264" t="inlineStr">
        <is>
          <t>Baixa Grande do Ribeiro - PI</t>
        </is>
      </c>
      <c r="C5264" t="n">
        <v>-7.84903</v>
      </c>
      <c r="D5264" t="n">
        <v>-45.219</v>
      </c>
      <c r="E5264" t="inlineStr">
        <is>
          <t>2025-01</t>
        </is>
      </c>
      <c r="F5264" t="n">
        <v>0</v>
      </c>
    </row>
    <row r="5265">
      <c r="A5265" t="inlineStr">
        <is>
          <t>Milho</t>
        </is>
      </c>
      <c r="B5265" t="inlineStr">
        <is>
          <t>Baixa Grande do Ribeiro - PI</t>
        </is>
      </c>
      <c r="C5265" t="n">
        <v>-7.84903</v>
      </c>
      <c r="D5265" t="n">
        <v>-45.219</v>
      </c>
      <c r="E5265" t="inlineStr">
        <is>
          <t>2025-02</t>
        </is>
      </c>
      <c r="F5265" t="n">
        <v>0</v>
      </c>
    </row>
    <row r="5266">
      <c r="A5266" t="inlineStr">
        <is>
          <t>Milho</t>
        </is>
      </c>
      <c r="B5266" t="inlineStr">
        <is>
          <t>Baixa Grande do Ribeiro - PI</t>
        </is>
      </c>
      <c r="C5266" t="n">
        <v>-7.84903</v>
      </c>
      <c r="D5266" t="n">
        <v>-45.219</v>
      </c>
      <c r="E5266" t="inlineStr">
        <is>
          <t>2025-03</t>
        </is>
      </c>
      <c r="F5266" t="n">
        <v>0</v>
      </c>
    </row>
    <row r="5267">
      <c r="A5267" t="inlineStr">
        <is>
          <t>Milho</t>
        </is>
      </c>
      <c r="B5267" t="inlineStr">
        <is>
          <t>Baixa Grande do Ribeiro - PI</t>
        </is>
      </c>
      <c r="C5267" t="n">
        <v>-7.84903</v>
      </c>
      <c r="D5267" t="n">
        <v>-45.219</v>
      </c>
      <c r="E5267" t="inlineStr">
        <is>
          <t>2025-04</t>
        </is>
      </c>
      <c r="F5267" t="n">
        <v>0</v>
      </c>
    </row>
    <row r="5268">
      <c r="A5268" t="inlineStr">
        <is>
          <t>Milho</t>
        </is>
      </c>
      <c r="B5268" t="inlineStr">
        <is>
          <t>Baixa Grande do Ribeiro - PI</t>
        </is>
      </c>
      <c r="C5268" t="n">
        <v>-7.84903</v>
      </c>
      <c r="D5268" t="n">
        <v>-45.219</v>
      </c>
      <c r="E5268" t="inlineStr">
        <is>
          <t>2025-05</t>
        </is>
      </c>
      <c r="F5268" t="n">
        <v>0</v>
      </c>
    </row>
    <row r="5269">
      <c r="A5269" t="inlineStr">
        <is>
          <t>Milho</t>
        </is>
      </c>
      <c r="B5269" t="inlineStr">
        <is>
          <t>Baixa Grande do Ribeiro - PI</t>
        </is>
      </c>
      <c r="C5269" t="n">
        <v>-7.84903</v>
      </c>
      <c r="D5269" t="n">
        <v>-45.219</v>
      </c>
      <c r="E5269" t="inlineStr">
        <is>
          <t>2025-06</t>
        </is>
      </c>
      <c r="F5269" t="n">
        <v>0</v>
      </c>
    </row>
    <row r="5270">
      <c r="A5270" t="inlineStr">
        <is>
          <t>Milho</t>
        </is>
      </c>
      <c r="B5270" t="inlineStr">
        <is>
          <t>Baixa Grande do Ribeiro - PI</t>
        </is>
      </c>
      <c r="C5270" t="n">
        <v>-7.84903</v>
      </c>
      <c r="D5270" t="n">
        <v>-45.219</v>
      </c>
      <c r="E5270" t="inlineStr">
        <is>
          <t>2024-07</t>
        </is>
      </c>
      <c r="F5270" t="n">
        <v>0</v>
      </c>
    </row>
    <row r="5271">
      <c r="A5271" t="inlineStr">
        <is>
          <t>Milho</t>
        </is>
      </c>
      <c r="B5271" t="inlineStr">
        <is>
          <t>Baixa Grande do Ribeiro - PI</t>
        </is>
      </c>
      <c r="C5271" t="n">
        <v>-7.84903</v>
      </c>
      <c r="D5271" t="n">
        <v>-45.219</v>
      </c>
      <c r="E5271" t="inlineStr">
        <is>
          <t>2024-08</t>
        </is>
      </c>
      <c r="F5271" t="n">
        <v>0</v>
      </c>
    </row>
    <row r="5272">
      <c r="A5272" t="inlineStr">
        <is>
          <t>Milho</t>
        </is>
      </c>
      <c r="B5272" t="inlineStr">
        <is>
          <t>Baixa Grande do Ribeiro - PI</t>
        </is>
      </c>
      <c r="C5272" t="n">
        <v>-7.84903</v>
      </c>
      <c r="D5272" t="n">
        <v>-45.219</v>
      </c>
      <c r="E5272" t="inlineStr">
        <is>
          <t>2024-09</t>
        </is>
      </c>
      <c r="F5272" t="n">
        <v>0</v>
      </c>
    </row>
    <row r="5273">
      <c r="A5273" t="inlineStr">
        <is>
          <t>Milho</t>
        </is>
      </c>
      <c r="B5273" t="inlineStr">
        <is>
          <t>Baixa Grande do Ribeiro - PI</t>
        </is>
      </c>
      <c r="C5273" t="n">
        <v>-7.84903</v>
      </c>
      <c r="D5273" t="n">
        <v>-45.219</v>
      </c>
      <c r="E5273" t="inlineStr">
        <is>
          <t>2024-10</t>
        </is>
      </c>
      <c r="F5273" t="n">
        <v>0</v>
      </c>
    </row>
    <row r="5274">
      <c r="A5274" t="inlineStr">
        <is>
          <t>Milho</t>
        </is>
      </c>
      <c r="B5274" t="inlineStr">
        <is>
          <t>Baixa Grande do Ribeiro - PI</t>
        </is>
      </c>
      <c r="C5274" t="n">
        <v>-7.84903</v>
      </c>
      <c r="D5274" t="n">
        <v>-45.219</v>
      </c>
      <c r="E5274" t="inlineStr">
        <is>
          <t>2024-11</t>
        </is>
      </c>
      <c r="F5274" t="n">
        <v>0</v>
      </c>
    </row>
    <row r="5275">
      <c r="A5275" t="inlineStr">
        <is>
          <t>Milho</t>
        </is>
      </c>
      <c r="B5275" t="inlineStr">
        <is>
          <t>Baixa Grande do Ribeiro - PI</t>
        </is>
      </c>
      <c r="C5275" t="n">
        <v>-7.84903</v>
      </c>
      <c r="D5275" t="n">
        <v>-45.219</v>
      </c>
      <c r="E5275" t="inlineStr">
        <is>
          <t>2024-12</t>
        </is>
      </c>
      <c r="F5275" t="n">
        <v>0</v>
      </c>
    </row>
    <row r="5276">
      <c r="A5276" t="inlineStr">
        <is>
          <t>Milho</t>
        </is>
      </c>
      <c r="B5276" t="inlineStr">
        <is>
          <t>Toledo - PR</t>
        </is>
      </c>
      <c r="C5276" t="n">
        <v>-24.7246</v>
      </c>
      <c r="D5276" t="n">
        <v>-53.7412</v>
      </c>
      <c r="E5276" t="inlineStr">
        <is>
          <t>2025-01</t>
        </is>
      </c>
      <c r="F5276" t="n">
        <v>0</v>
      </c>
    </row>
    <row r="5277">
      <c r="A5277" t="inlineStr">
        <is>
          <t>Milho</t>
        </is>
      </c>
      <c r="B5277" t="inlineStr">
        <is>
          <t>Toledo - PR</t>
        </is>
      </c>
      <c r="C5277" t="n">
        <v>-24.7246</v>
      </c>
      <c r="D5277" t="n">
        <v>-53.7412</v>
      </c>
      <c r="E5277" t="inlineStr">
        <is>
          <t>2025-02</t>
        </is>
      </c>
      <c r="F5277" t="n">
        <v>0</v>
      </c>
    </row>
    <row r="5278">
      <c r="A5278" t="inlineStr">
        <is>
          <t>Milho</t>
        </is>
      </c>
      <c r="B5278" t="inlineStr">
        <is>
          <t>Toledo - PR</t>
        </is>
      </c>
      <c r="C5278" t="n">
        <v>-24.7246</v>
      </c>
      <c r="D5278" t="n">
        <v>-53.7412</v>
      </c>
      <c r="E5278" t="inlineStr">
        <is>
          <t>2025-03</t>
        </is>
      </c>
      <c r="F5278" t="n">
        <v>0</v>
      </c>
    </row>
    <row r="5279">
      <c r="A5279" t="inlineStr">
        <is>
          <t>Milho</t>
        </is>
      </c>
      <c r="B5279" t="inlineStr">
        <is>
          <t>Toledo - PR</t>
        </is>
      </c>
      <c r="C5279" t="n">
        <v>-24.7246</v>
      </c>
      <c r="D5279" t="n">
        <v>-53.7412</v>
      </c>
      <c r="E5279" t="inlineStr">
        <is>
          <t>2025-04</t>
        </is>
      </c>
      <c r="F5279" t="n">
        <v>0</v>
      </c>
    </row>
    <row r="5280">
      <c r="A5280" t="inlineStr">
        <is>
          <t>Milho</t>
        </is>
      </c>
      <c r="B5280" t="inlineStr">
        <is>
          <t>Toledo - PR</t>
        </is>
      </c>
      <c r="C5280" t="n">
        <v>-24.7246</v>
      </c>
      <c r="D5280" t="n">
        <v>-53.7412</v>
      </c>
      <c r="E5280" t="inlineStr">
        <is>
          <t>2025-05</t>
        </is>
      </c>
      <c r="F5280" t="n">
        <v>0</v>
      </c>
    </row>
    <row r="5281">
      <c r="A5281" t="inlineStr">
        <is>
          <t>Milho</t>
        </is>
      </c>
      <c r="B5281" t="inlineStr">
        <is>
          <t>Toledo - PR</t>
        </is>
      </c>
      <c r="C5281" t="n">
        <v>-24.7246</v>
      </c>
      <c r="D5281" t="n">
        <v>-53.7412</v>
      </c>
      <c r="E5281" t="inlineStr">
        <is>
          <t>2025-06</t>
        </is>
      </c>
      <c r="F5281" t="n">
        <v>0</v>
      </c>
    </row>
    <row r="5282">
      <c r="A5282" t="inlineStr">
        <is>
          <t>Milho</t>
        </is>
      </c>
      <c r="B5282" t="inlineStr">
        <is>
          <t>Toledo - PR</t>
        </is>
      </c>
      <c r="C5282" t="n">
        <v>-24.7246</v>
      </c>
      <c r="D5282" t="n">
        <v>-53.7412</v>
      </c>
      <c r="E5282" t="inlineStr">
        <is>
          <t>2024-07</t>
        </is>
      </c>
      <c r="F5282" t="n">
        <v>0</v>
      </c>
    </row>
    <row r="5283">
      <c r="A5283" t="inlineStr">
        <is>
          <t>Milho</t>
        </is>
      </c>
      <c r="B5283" t="inlineStr">
        <is>
          <t>Toledo - PR</t>
        </is>
      </c>
      <c r="C5283" t="n">
        <v>-24.7246</v>
      </c>
      <c r="D5283" t="n">
        <v>-53.7412</v>
      </c>
      <c r="E5283" t="inlineStr">
        <is>
          <t>2024-08</t>
        </is>
      </c>
      <c r="F5283" t="n">
        <v>0</v>
      </c>
    </row>
    <row r="5284">
      <c r="A5284" t="inlineStr">
        <is>
          <t>Milho</t>
        </is>
      </c>
      <c r="B5284" t="inlineStr">
        <is>
          <t>Toledo - PR</t>
        </is>
      </c>
      <c r="C5284" t="n">
        <v>-24.7246</v>
      </c>
      <c r="D5284" t="n">
        <v>-53.7412</v>
      </c>
      <c r="E5284" t="inlineStr">
        <is>
          <t>2024-09</t>
        </is>
      </c>
      <c r="F5284" t="n">
        <v>0</v>
      </c>
    </row>
    <row r="5285">
      <c r="A5285" t="inlineStr">
        <is>
          <t>Milho</t>
        </is>
      </c>
      <c r="B5285" t="inlineStr">
        <is>
          <t>Toledo - PR</t>
        </is>
      </c>
      <c r="C5285" t="n">
        <v>-24.7246</v>
      </c>
      <c r="D5285" t="n">
        <v>-53.7412</v>
      </c>
      <c r="E5285" t="inlineStr">
        <is>
          <t>2024-10</t>
        </is>
      </c>
      <c r="F5285" t="n">
        <v>0</v>
      </c>
    </row>
    <row r="5286">
      <c r="A5286" t="inlineStr">
        <is>
          <t>Milho</t>
        </is>
      </c>
      <c r="B5286" t="inlineStr">
        <is>
          <t>Toledo - PR</t>
        </is>
      </c>
      <c r="C5286" t="n">
        <v>-24.7246</v>
      </c>
      <c r="D5286" t="n">
        <v>-53.7412</v>
      </c>
      <c r="E5286" t="inlineStr">
        <is>
          <t>2024-11</t>
        </is>
      </c>
      <c r="F5286" t="n">
        <v>0</v>
      </c>
    </row>
    <row r="5287">
      <c r="A5287" t="inlineStr">
        <is>
          <t>Milho</t>
        </is>
      </c>
      <c r="B5287" t="inlineStr">
        <is>
          <t>Toledo - PR</t>
        </is>
      </c>
      <c r="C5287" t="n">
        <v>-24.7246</v>
      </c>
      <c r="D5287" t="n">
        <v>-53.7412</v>
      </c>
      <c r="E5287" t="inlineStr">
        <is>
          <t>2024-12</t>
        </is>
      </c>
      <c r="F5287" t="n">
        <v>0</v>
      </c>
    </row>
    <row r="5288">
      <c r="A5288" t="inlineStr">
        <is>
          <t>Milho</t>
        </is>
      </c>
      <c r="B5288" t="inlineStr">
        <is>
          <t>Macaé - RJ</t>
        </is>
      </c>
      <c r="C5288" t="n">
        <v>-22.3768</v>
      </c>
      <c r="D5288" t="n">
        <v>-41.7848</v>
      </c>
      <c r="E5288" t="inlineStr">
        <is>
          <t>2025-01</t>
        </is>
      </c>
      <c r="F5288" t="n">
        <v>0</v>
      </c>
    </row>
    <row r="5289">
      <c r="A5289" t="inlineStr">
        <is>
          <t>Milho</t>
        </is>
      </c>
      <c r="B5289" t="inlineStr">
        <is>
          <t>Macaé - RJ</t>
        </is>
      </c>
      <c r="C5289" t="n">
        <v>-22.3768</v>
      </c>
      <c r="D5289" t="n">
        <v>-41.7848</v>
      </c>
      <c r="E5289" t="inlineStr">
        <is>
          <t>2025-02</t>
        </is>
      </c>
      <c r="F5289" t="n">
        <v>0</v>
      </c>
    </row>
    <row r="5290">
      <c r="A5290" t="inlineStr">
        <is>
          <t>Milho</t>
        </is>
      </c>
      <c r="B5290" t="inlineStr">
        <is>
          <t>Macaé - RJ</t>
        </is>
      </c>
      <c r="C5290" t="n">
        <v>-22.3768</v>
      </c>
      <c r="D5290" t="n">
        <v>-41.7848</v>
      </c>
      <c r="E5290" t="inlineStr">
        <is>
          <t>2025-03</t>
        </is>
      </c>
      <c r="F5290" t="n">
        <v>0</v>
      </c>
    </row>
    <row r="5291">
      <c r="A5291" t="inlineStr">
        <is>
          <t>Milho</t>
        </is>
      </c>
      <c r="B5291" t="inlineStr">
        <is>
          <t>Macaé - RJ</t>
        </is>
      </c>
      <c r="C5291" t="n">
        <v>-22.3768</v>
      </c>
      <c r="D5291" t="n">
        <v>-41.7848</v>
      </c>
      <c r="E5291" t="inlineStr">
        <is>
          <t>2025-04</t>
        </is>
      </c>
      <c r="F5291" t="n">
        <v>0</v>
      </c>
    </row>
    <row r="5292">
      <c r="A5292" t="inlineStr">
        <is>
          <t>Milho</t>
        </is>
      </c>
      <c r="B5292" t="inlineStr">
        <is>
          <t>Macaé - RJ</t>
        </is>
      </c>
      <c r="C5292" t="n">
        <v>-22.3768</v>
      </c>
      <c r="D5292" t="n">
        <v>-41.7848</v>
      </c>
      <c r="E5292" t="inlineStr">
        <is>
          <t>2025-05</t>
        </is>
      </c>
      <c r="F5292" t="n">
        <v>0</v>
      </c>
    </row>
    <row r="5293">
      <c r="A5293" t="inlineStr">
        <is>
          <t>Milho</t>
        </is>
      </c>
      <c r="B5293" t="inlineStr">
        <is>
          <t>Macaé - RJ</t>
        </is>
      </c>
      <c r="C5293" t="n">
        <v>-22.3768</v>
      </c>
      <c r="D5293" t="n">
        <v>-41.7848</v>
      </c>
      <c r="E5293" t="inlineStr">
        <is>
          <t>2025-06</t>
        </is>
      </c>
      <c r="F5293" t="n">
        <v>0</v>
      </c>
    </row>
    <row r="5294">
      <c r="A5294" t="inlineStr">
        <is>
          <t>Milho</t>
        </is>
      </c>
      <c r="B5294" t="inlineStr">
        <is>
          <t>Macaé - RJ</t>
        </is>
      </c>
      <c r="C5294" t="n">
        <v>-22.3768</v>
      </c>
      <c r="D5294" t="n">
        <v>-41.7848</v>
      </c>
      <c r="E5294" t="inlineStr">
        <is>
          <t>2024-07</t>
        </is>
      </c>
      <c r="F5294" t="n">
        <v>0</v>
      </c>
    </row>
    <row r="5295">
      <c r="A5295" t="inlineStr">
        <is>
          <t>Milho</t>
        </is>
      </c>
      <c r="B5295" t="inlineStr">
        <is>
          <t>Macaé - RJ</t>
        </is>
      </c>
      <c r="C5295" t="n">
        <v>-22.3768</v>
      </c>
      <c r="D5295" t="n">
        <v>-41.7848</v>
      </c>
      <c r="E5295" t="inlineStr">
        <is>
          <t>2024-08</t>
        </is>
      </c>
      <c r="F5295" t="n">
        <v>0</v>
      </c>
    </row>
    <row r="5296">
      <c r="A5296" t="inlineStr">
        <is>
          <t>Milho</t>
        </is>
      </c>
      <c r="B5296" t="inlineStr">
        <is>
          <t>Macaé - RJ</t>
        </is>
      </c>
      <c r="C5296" t="n">
        <v>-22.3768</v>
      </c>
      <c r="D5296" t="n">
        <v>-41.7848</v>
      </c>
      <c r="E5296" t="inlineStr">
        <is>
          <t>2024-09</t>
        </is>
      </c>
      <c r="F5296" t="n">
        <v>0</v>
      </c>
    </row>
    <row r="5297">
      <c r="A5297" t="inlineStr">
        <is>
          <t>Milho</t>
        </is>
      </c>
      <c r="B5297" t="inlineStr">
        <is>
          <t>Macaé - RJ</t>
        </is>
      </c>
      <c r="C5297" t="n">
        <v>-22.3768</v>
      </c>
      <c r="D5297" t="n">
        <v>-41.7848</v>
      </c>
      <c r="E5297" t="inlineStr">
        <is>
          <t>2024-10</t>
        </is>
      </c>
      <c r="F5297" t="n">
        <v>0</v>
      </c>
    </row>
    <row r="5298">
      <c r="A5298" t="inlineStr">
        <is>
          <t>Milho</t>
        </is>
      </c>
      <c r="B5298" t="inlineStr">
        <is>
          <t>Macaé - RJ</t>
        </is>
      </c>
      <c r="C5298" t="n">
        <v>-22.3768</v>
      </c>
      <c r="D5298" t="n">
        <v>-41.7848</v>
      </c>
      <c r="E5298" t="inlineStr">
        <is>
          <t>2024-11</t>
        </is>
      </c>
      <c r="F5298" t="n">
        <v>0</v>
      </c>
    </row>
    <row r="5299">
      <c r="A5299" t="inlineStr">
        <is>
          <t>Milho</t>
        </is>
      </c>
      <c r="B5299" t="inlineStr">
        <is>
          <t>Macaé - RJ</t>
        </is>
      </c>
      <c r="C5299" t="n">
        <v>-22.3768</v>
      </c>
      <c r="D5299" t="n">
        <v>-41.7848</v>
      </c>
      <c r="E5299" t="inlineStr">
        <is>
          <t>2024-12</t>
        </is>
      </c>
      <c r="F5299" t="n">
        <v>0</v>
      </c>
    </row>
    <row r="5300">
      <c r="A5300" t="inlineStr">
        <is>
          <t>Milho</t>
        </is>
      </c>
      <c r="B5300" t="inlineStr">
        <is>
          <t>Apodi - RN</t>
        </is>
      </c>
      <c r="C5300" t="n">
        <v>-5.65349</v>
      </c>
      <c r="D5300" t="n">
        <v>-37.7946</v>
      </c>
      <c r="E5300" t="inlineStr">
        <is>
          <t>2025-01</t>
        </is>
      </c>
      <c r="F5300" t="n">
        <v>0</v>
      </c>
    </row>
    <row r="5301">
      <c r="A5301" t="inlineStr">
        <is>
          <t>Milho</t>
        </is>
      </c>
      <c r="B5301" t="inlineStr">
        <is>
          <t>Apodi - RN</t>
        </is>
      </c>
      <c r="C5301" t="n">
        <v>-5.65349</v>
      </c>
      <c r="D5301" t="n">
        <v>-37.7946</v>
      </c>
      <c r="E5301" t="inlineStr">
        <is>
          <t>2025-02</t>
        </is>
      </c>
      <c r="F5301" t="n">
        <v>0</v>
      </c>
    </row>
    <row r="5302">
      <c r="A5302" t="inlineStr">
        <is>
          <t>Milho</t>
        </is>
      </c>
      <c r="B5302" t="inlineStr">
        <is>
          <t>Apodi - RN</t>
        </is>
      </c>
      <c r="C5302" t="n">
        <v>-5.65349</v>
      </c>
      <c r="D5302" t="n">
        <v>-37.7946</v>
      </c>
      <c r="E5302" t="inlineStr">
        <is>
          <t>2025-03</t>
        </is>
      </c>
      <c r="F5302" t="n">
        <v>0</v>
      </c>
    </row>
    <row r="5303">
      <c r="A5303" t="inlineStr">
        <is>
          <t>Milho</t>
        </is>
      </c>
      <c r="B5303" t="inlineStr">
        <is>
          <t>Apodi - RN</t>
        </is>
      </c>
      <c r="C5303" t="n">
        <v>-5.65349</v>
      </c>
      <c r="D5303" t="n">
        <v>-37.7946</v>
      </c>
      <c r="E5303" t="inlineStr">
        <is>
          <t>2025-04</t>
        </is>
      </c>
      <c r="F5303" t="n">
        <v>0</v>
      </c>
    </row>
    <row r="5304">
      <c r="A5304" t="inlineStr">
        <is>
          <t>Milho</t>
        </is>
      </c>
      <c r="B5304" t="inlineStr">
        <is>
          <t>Apodi - RN</t>
        </is>
      </c>
      <c r="C5304" t="n">
        <v>-5.65349</v>
      </c>
      <c r="D5304" t="n">
        <v>-37.7946</v>
      </c>
      <c r="E5304" t="inlineStr">
        <is>
          <t>2025-05</t>
        </is>
      </c>
      <c r="F5304" t="n">
        <v>0</v>
      </c>
    </row>
    <row r="5305">
      <c r="A5305" t="inlineStr">
        <is>
          <t>Milho</t>
        </is>
      </c>
      <c r="B5305" t="inlineStr">
        <is>
          <t>Apodi - RN</t>
        </is>
      </c>
      <c r="C5305" t="n">
        <v>-5.65349</v>
      </c>
      <c r="D5305" t="n">
        <v>-37.7946</v>
      </c>
      <c r="E5305" t="inlineStr">
        <is>
          <t>2025-06</t>
        </is>
      </c>
      <c r="F5305" t="n">
        <v>0</v>
      </c>
    </row>
    <row r="5306">
      <c r="A5306" t="inlineStr">
        <is>
          <t>Milho</t>
        </is>
      </c>
      <c r="B5306" t="inlineStr">
        <is>
          <t>Apodi - RN</t>
        </is>
      </c>
      <c r="C5306" t="n">
        <v>-5.65349</v>
      </c>
      <c r="D5306" t="n">
        <v>-37.7946</v>
      </c>
      <c r="E5306" t="inlineStr">
        <is>
          <t>2024-07</t>
        </is>
      </c>
      <c r="F5306" t="n">
        <v>0</v>
      </c>
    </row>
    <row r="5307">
      <c r="A5307" t="inlineStr">
        <is>
          <t>Milho</t>
        </is>
      </c>
      <c r="B5307" t="inlineStr">
        <is>
          <t>Apodi - RN</t>
        </is>
      </c>
      <c r="C5307" t="n">
        <v>-5.65349</v>
      </c>
      <c r="D5307" t="n">
        <v>-37.7946</v>
      </c>
      <c r="E5307" t="inlineStr">
        <is>
          <t>2024-08</t>
        </is>
      </c>
      <c r="F5307" t="n">
        <v>0</v>
      </c>
    </row>
    <row r="5308">
      <c r="A5308" t="inlineStr">
        <is>
          <t>Milho</t>
        </is>
      </c>
      <c r="B5308" t="inlineStr">
        <is>
          <t>Apodi - RN</t>
        </is>
      </c>
      <c r="C5308" t="n">
        <v>-5.65349</v>
      </c>
      <c r="D5308" t="n">
        <v>-37.7946</v>
      </c>
      <c r="E5308" t="inlineStr">
        <is>
          <t>2024-09</t>
        </is>
      </c>
      <c r="F5308" t="n">
        <v>0</v>
      </c>
    </row>
    <row r="5309">
      <c r="A5309" t="inlineStr">
        <is>
          <t>Milho</t>
        </is>
      </c>
      <c r="B5309" t="inlineStr">
        <is>
          <t>Apodi - RN</t>
        </is>
      </c>
      <c r="C5309" t="n">
        <v>-5.65349</v>
      </c>
      <c r="D5309" t="n">
        <v>-37.7946</v>
      </c>
      <c r="E5309" t="inlineStr">
        <is>
          <t>2024-10</t>
        </is>
      </c>
      <c r="F5309" t="n">
        <v>0</v>
      </c>
    </row>
    <row r="5310">
      <c r="A5310" t="inlineStr">
        <is>
          <t>Milho</t>
        </is>
      </c>
      <c r="B5310" t="inlineStr">
        <is>
          <t>Apodi - RN</t>
        </is>
      </c>
      <c r="C5310" t="n">
        <v>-5.65349</v>
      </c>
      <c r="D5310" t="n">
        <v>-37.7946</v>
      </c>
      <c r="E5310" t="inlineStr">
        <is>
          <t>2024-11</t>
        </is>
      </c>
      <c r="F5310" t="n">
        <v>0</v>
      </c>
    </row>
    <row r="5311">
      <c r="A5311" t="inlineStr">
        <is>
          <t>Milho</t>
        </is>
      </c>
      <c r="B5311" t="inlineStr">
        <is>
          <t>Apodi - RN</t>
        </is>
      </c>
      <c r="C5311" t="n">
        <v>-5.65349</v>
      </c>
      <c r="D5311" t="n">
        <v>-37.7946</v>
      </c>
      <c r="E5311" t="inlineStr">
        <is>
          <t>2024-12</t>
        </is>
      </c>
      <c r="F5311" t="n">
        <v>0</v>
      </c>
    </row>
    <row r="5312">
      <c r="A5312" t="inlineStr">
        <is>
          <t>Milho</t>
        </is>
      </c>
      <c r="B5312" t="inlineStr">
        <is>
          <t>Pimenteiras do Oeste - RO</t>
        </is>
      </c>
      <c r="C5312" t="n">
        <v>-13.4823</v>
      </c>
      <c r="D5312" t="n">
        <v>-61.0471</v>
      </c>
      <c r="E5312" t="inlineStr">
        <is>
          <t>2025-01</t>
        </is>
      </c>
      <c r="F5312" t="n">
        <v>0</v>
      </c>
    </row>
    <row r="5313">
      <c r="A5313" t="inlineStr">
        <is>
          <t>Milho</t>
        </is>
      </c>
      <c r="B5313" t="inlineStr">
        <is>
          <t>Pimenteiras do Oeste - RO</t>
        </is>
      </c>
      <c r="C5313" t="n">
        <v>-13.4823</v>
      </c>
      <c r="D5313" t="n">
        <v>-61.0471</v>
      </c>
      <c r="E5313" t="inlineStr">
        <is>
          <t>2025-02</t>
        </is>
      </c>
      <c r="F5313" t="n">
        <v>0</v>
      </c>
    </row>
    <row r="5314">
      <c r="A5314" t="inlineStr">
        <is>
          <t>Milho</t>
        </is>
      </c>
      <c r="B5314" t="inlineStr">
        <is>
          <t>Pimenteiras do Oeste - RO</t>
        </is>
      </c>
      <c r="C5314" t="n">
        <v>-13.4823</v>
      </c>
      <c r="D5314" t="n">
        <v>-61.0471</v>
      </c>
      <c r="E5314" t="inlineStr">
        <is>
          <t>2025-03</t>
        </is>
      </c>
      <c r="F5314" t="n">
        <v>0</v>
      </c>
    </row>
    <row r="5315">
      <c r="A5315" t="inlineStr">
        <is>
          <t>Milho</t>
        </is>
      </c>
      <c r="B5315" t="inlineStr">
        <is>
          <t>Pimenteiras do Oeste - RO</t>
        </is>
      </c>
      <c r="C5315" t="n">
        <v>-13.4823</v>
      </c>
      <c r="D5315" t="n">
        <v>-61.0471</v>
      </c>
      <c r="E5315" t="inlineStr">
        <is>
          <t>2025-04</t>
        </is>
      </c>
      <c r="F5315" t="n">
        <v>0</v>
      </c>
    </row>
    <row r="5316">
      <c r="A5316" t="inlineStr">
        <is>
          <t>Milho</t>
        </is>
      </c>
      <c r="B5316" t="inlineStr">
        <is>
          <t>Pimenteiras do Oeste - RO</t>
        </is>
      </c>
      <c r="C5316" t="n">
        <v>-13.4823</v>
      </c>
      <c r="D5316" t="n">
        <v>-61.0471</v>
      </c>
      <c r="E5316" t="inlineStr">
        <is>
          <t>2025-05</t>
        </is>
      </c>
      <c r="F5316" t="n">
        <v>0</v>
      </c>
    </row>
    <row r="5317">
      <c r="A5317" t="inlineStr">
        <is>
          <t>Milho</t>
        </is>
      </c>
      <c r="B5317" t="inlineStr">
        <is>
          <t>Pimenteiras do Oeste - RO</t>
        </is>
      </c>
      <c r="C5317" t="n">
        <v>-13.4823</v>
      </c>
      <c r="D5317" t="n">
        <v>-61.0471</v>
      </c>
      <c r="E5317" t="inlineStr">
        <is>
          <t>2025-06</t>
        </is>
      </c>
      <c r="F5317" t="n">
        <v>0</v>
      </c>
    </row>
    <row r="5318">
      <c r="A5318" t="inlineStr">
        <is>
          <t>Milho</t>
        </is>
      </c>
      <c r="B5318" t="inlineStr">
        <is>
          <t>Pimenteiras do Oeste - RO</t>
        </is>
      </c>
      <c r="C5318" t="n">
        <v>-13.4823</v>
      </c>
      <c r="D5318" t="n">
        <v>-61.0471</v>
      </c>
      <c r="E5318" t="inlineStr">
        <is>
          <t>2024-07</t>
        </is>
      </c>
      <c r="F5318" t="n">
        <v>0</v>
      </c>
    </row>
    <row r="5319">
      <c r="A5319" t="inlineStr">
        <is>
          <t>Milho</t>
        </is>
      </c>
      <c r="B5319" t="inlineStr">
        <is>
          <t>Pimenteiras do Oeste - RO</t>
        </is>
      </c>
      <c r="C5319" t="n">
        <v>-13.4823</v>
      </c>
      <c r="D5319" t="n">
        <v>-61.0471</v>
      </c>
      <c r="E5319" t="inlineStr">
        <is>
          <t>2024-08</t>
        </is>
      </c>
      <c r="F5319" t="n">
        <v>0</v>
      </c>
    </row>
    <row r="5320">
      <c r="A5320" t="inlineStr">
        <is>
          <t>Milho</t>
        </is>
      </c>
      <c r="B5320" t="inlineStr">
        <is>
          <t>Pimenteiras do Oeste - RO</t>
        </is>
      </c>
      <c r="C5320" t="n">
        <v>-13.4823</v>
      </c>
      <c r="D5320" t="n">
        <v>-61.0471</v>
      </c>
      <c r="E5320" t="inlineStr">
        <is>
          <t>2024-09</t>
        </is>
      </c>
      <c r="F5320" t="n">
        <v>0</v>
      </c>
    </row>
    <row r="5321">
      <c r="A5321" t="inlineStr">
        <is>
          <t>Milho</t>
        </is>
      </c>
      <c r="B5321" t="inlineStr">
        <is>
          <t>Pimenteiras do Oeste - RO</t>
        </is>
      </c>
      <c r="C5321" t="n">
        <v>-13.4823</v>
      </c>
      <c r="D5321" t="n">
        <v>-61.0471</v>
      </c>
      <c r="E5321" t="inlineStr">
        <is>
          <t>2024-10</t>
        </is>
      </c>
      <c r="F5321" t="n">
        <v>0</v>
      </c>
    </row>
    <row r="5322">
      <c r="A5322" t="inlineStr">
        <is>
          <t>Milho</t>
        </is>
      </c>
      <c r="B5322" t="inlineStr">
        <is>
          <t>Pimenteiras do Oeste - RO</t>
        </is>
      </c>
      <c r="C5322" t="n">
        <v>-13.4823</v>
      </c>
      <c r="D5322" t="n">
        <v>-61.0471</v>
      </c>
      <c r="E5322" t="inlineStr">
        <is>
          <t>2024-11</t>
        </is>
      </c>
      <c r="F5322" t="n">
        <v>0</v>
      </c>
    </row>
    <row r="5323">
      <c r="A5323" t="inlineStr">
        <is>
          <t>Milho</t>
        </is>
      </c>
      <c r="B5323" t="inlineStr">
        <is>
          <t>Pimenteiras do Oeste - RO</t>
        </is>
      </c>
      <c r="C5323" t="n">
        <v>-13.4823</v>
      </c>
      <c r="D5323" t="n">
        <v>-61.0471</v>
      </c>
      <c r="E5323" t="inlineStr">
        <is>
          <t>2024-12</t>
        </is>
      </c>
      <c r="F5323" t="n">
        <v>0</v>
      </c>
    </row>
    <row r="5324">
      <c r="A5324" t="inlineStr">
        <is>
          <t>Milho</t>
        </is>
      </c>
      <c r="B5324" t="inlineStr">
        <is>
          <t>Bonfim - RR</t>
        </is>
      </c>
      <c r="C5324" t="n">
        <v>3.36161</v>
      </c>
      <c r="D5324" t="n">
        <v>-59.8333</v>
      </c>
      <c r="E5324" t="inlineStr">
        <is>
          <t>2025-01</t>
        </is>
      </c>
      <c r="F5324" t="n">
        <v>0</v>
      </c>
    </row>
    <row r="5325">
      <c r="A5325" t="inlineStr">
        <is>
          <t>Milho</t>
        </is>
      </c>
      <c r="B5325" t="inlineStr">
        <is>
          <t>Bonfim - RR</t>
        </is>
      </c>
      <c r="C5325" t="n">
        <v>3.36161</v>
      </c>
      <c r="D5325" t="n">
        <v>-59.8333</v>
      </c>
      <c r="E5325" t="inlineStr">
        <is>
          <t>2025-02</t>
        </is>
      </c>
      <c r="F5325" t="n">
        <v>0</v>
      </c>
    </row>
    <row r="5326">
      <c r="A5326" t="inlineStr">
        <is>
          <t>Milho</t>
        </is>
      </c>
      <c r="B5326" t="inlineStr">
        <is>
          <t>Bonfim - RR</t>
        </is>
      </c>
      <c r="C5326" t="n">
        <v>3.36161</v>
      </c>
      <c r="D5326" t="n">
        <v>-59.8333</v>
      </c>
      <c r="E5326" t="inlineStr">
        <is>
          <t>2025-03</t>
        </is>
      </c>
      <c r="F5326" t="n">
        <v>0</v>
      </c>
    </row>
    <row r="5327">
      <c r="A5327" t="inlineStr">
        <is>
          <t>Milho</t>
        </is>
      </c>
      <c r="B5327" t="inlineStr">
        <is>
          <t>Bonfim - RR</t>
        </is>
      </c>
      <c r="C5327" t="n">
        <v>3.36161</v>
      </c>
      <c r="D5327" t="n">
        <v>-59.8333</v>
      </c>
      <c r="E5327" t="inlineStr">
        <is>
          <t>2025-04</t>
        </is>
      </c>
      <c r="F5327" t="n">
        <v>0</v>
      </c>
    </row>
    <row r="5328">
      <c r="A5328" t="inlineStr">
        <is>
          <t>Milho</t>
        </is>
      </c>
      <c r="B5328" t="inlineStr">
        <is>
          <t>Bonfim - RR</t>
        </is>
      </c>
      <c r="C5328" t="n">
        <v>3.36161</v>
      </c>
      <c r="D5328" t="n">
        <v>-59.8333</v>
      </c>
      <c r="E5328" t="inlineStr">
        <is>
          <t>2025-05</t>
        </is>
      </c>
      <c r="F5328" t="n">
        <v>0</v>
      </c>
    </row>
    <row r="5329">
      <c r="A5329" t="inlineStr">
        <is>
          <t>Milho</t>
        </is>
      </c>
      <c r="B5329" t="inlineStr">
        <is>
          <t>Bonfim - RR</t>
        </is>
      </c>
      <c r="C5329" t="n">
        <v>3.36161</v>
      </c>
      <c r="D5329" t="n">
        <v>-59.8333</v>
      </c>
      <c r="E5329" t="inlineStr">
        <is>
          <t>2025-06</t>
        </is>
      </c>
      <c r="F5329" t="n">
        <v>0</v>
      </c>
    </row>
    <row r="5330">
      <c r="A5330" t="inlineStr">
        <is>
          <t>Milho</t>
        </is>
      </c>
      <c r="B5330" t="inlineStr">
        <is>
          <t>Bonfim - RR</t>
        </is>
      </c>
      <c r="C5330" t="n">
        <v>3.36161</v>
      </c>
      <c r="D5330" t="n">
        <v>-59.8333</v>
      </c>
      <c r="E5330" t="inlineStr">
        <is>
          <t>2024-07</t>
        </is>
      </c>
      <c r="F5330" t="n">
        <v>0</v>
      </c>
    </row>
    <row r="5331">
      <c r="A5331" t="inlineStr">
        <is>
          <t>Milho</t>
        </is>
      </c>
      <c r="B5331" t="inlineStr">
        <is>
          <t>Bonfim - RR</t>
        </is>
      </c>
      <c r="C5331" t="n">
        <v>3.36161</v>
      </c>
      <c r="D5331" t="n">
        <v>-59.8333</v>
      </c>
      <c r="E5331" t="inlineStr">
        <is>
          <t>2024-08</t>
        </is>
      </c>
      <c r="F5331" t="n">
        <v>11339.48871220355</v>
      </c>
    </row>
    <row r="5332">
      <c r="A5332" t="inlineStr">
        <is>
          <t>Milho</t>
        </is>
      </c>
      <c r="B5332" t="inlineStr">
        <is>
          <t>Bonfim - RR</t>
        </is>
      </c>
      <c r="C5332" t="n">
        <v>3.36161</v>
      </c>
      <c r="D5332" t="n">
        <v>-59.8333</v>
      </c>
      <c r="E5332" t="inlineStr">
        <is>
          <t>2024-09</t>
        </is>
      </c>
      <c r="F5332" t="n">
        <v>12262.45745166787</v>
      </c>
    </row>
    <row r="5333">
      <c r="A5333" t="inlineStr">
        <is>
          <t>Milho</t>
        </is>
      </c>
      <c r="B5333" t="inlineStr">
        <is>
          <t>Bonfim - RR</t>
        </is>
      </c>
      <c r="C5333" t="n">
        <v>3.36161</v>
      </c>
      <c r="D5333" t="n">
        <v>-59.8333</v>
      </c>
      <c r="E5333" t="inlineStr">
        <is>
          <t>2024-10</t>
        </is>
      </c>
      <c r="F5333" t="n">
        <v>85260.38444172266</v>
      </c>
    </row>
    <row r="5334">
      <c r="A5334" t="inlineStr">
        <is>
          <t>Milho</t>
        </is>
      </c>
      <c r="B5334" t="inlineStr">
        <is>
          <t>Bonfim - RR</t>
        </is>
      </c>
      <c r="C5334" t="n">
        <v>3.36161</v>
      </c>
      <c r="D5334" t="n">
        <v>-59.8333</v>
      </c>
      <c r="E5334" t="inlineStr">
        <is>
          <t>2024-11</t>
        </is>
      </c>
      <c r="F5334" t="n">
        <v>127746.5118656155</v>
      </c>
    </row>
    <row r="5335">
      <c r="A5335" t="inlineStr">
        <is>
          <t>Milho</t>
        </is>
      </c>
      <c r="B5335" t="inlineStr">
        <is>
          <t>Bonfim - RR</t>
        </is>
      </c>
      <c r="C5335" t="n">
        <v>3.36161</v>
      </c>
      <c r="D5335" t="n">
        <v>-59.8333</v>
      </c>
      <c r="E5335" t="inlineStr">
        <is>
          <t>2024-12</t>
        </is>
      </c>
      <c r="F5335" t="n">
        <v>138225.2264974926</v>
      </c>
    </row>
    <row r="5336">
      <c r="A5336" t="inlineStr">
        <is>
          <t>Milho</t>
        </is>
      </c>
      <c r="B5336" t="inlineStr">
        <is>
          <t>Campos Novos - SC</t>
        </is>
      </c>
      <c r="C5336" t="n">
        <v>-27.4002</v>
      </c>
      <c r="D5336" t="n">
        <v>-51.2276</v>
      </c>
      <c r="E5336" t="inlineStr">
        <is>
          <t>2025-01</t>
        </is>
      </c>
      <c r="F5336" t="n">
        <v>0</v>
      </c>
    </row>
    <row r="5337">
      <c r="A5337" t="inlineStr">
        <is>
          <t>Milho</t>
        </is>
      </c>
      <c r="B5337" t="inlineStr">
        <is>
          <t>Campos Novos - SC</t>
        </is>
      </c>
      <c r="C5337" t="n">
        <v>-27.4002</v>
      </c>
      <c r="D5337" t="n">
        <v>-51.2276</v>
      </c>
      <c r="E5337" t="inlineStr">
        <is>
          <t>2025-02</t>
        </is>
      </c>
      <c r="F5337" t="n">
        <v>0</v>
      </c>
    </row>
    <row r="5338">
      <c r="A5338" t="inlineStr">
        <is>
          <t>Milho</t>
        </is>
      </c>
      <c r="B5338" t="inlineStr">
        <is>
          <t>Campos Novos - SC</t>
        </is>
      </c>
      <c r="C5338" t="n">
        <v>-27.4002</v>
      </c>
      <c r="D5338" t="n">
        <v>-51.2276</v>
      </c>
      <c r="E5338" t="inlineStr">
        <is>
          <t>2025-03</t>
        </is>
      </c>
      <c r="F5338" t="n">
        <v>0</v>
      </c>
    </row>
    <row r="5339">
      <c r="A5339" t="inlineStr">
        <is>
          <t>Milho</t>
        </is>
      </c>
      <c r="B5339" t="inlineStr">
        <is>
          <t>Campos Novos - SC</t>
        </is>
      </c>
      <c r="C5339" t="n">
        <v>-27.4002</v>
      </c>
      <c r="D5339" t="n">
        <v>-51.2276</v>
      </c>
      <c r="E5339" t="inlineStr">
        <is>
          <t>2025-04</t>
        </is>
      </c>
      <c r="F5339" t="n">
        <v>0</v>
      </c>
    </row>
    <row r="5340">
      <c r="A5340" t="inlineStr">
        <is>
          <t>Milho</t>
        </is>
      </c>
      <c r="B5340" t="inlineStr">
        <is>
          <t>Campos Novos - SC</t>
        </is>
      </c>
      <c r="C5340" t="n">
        <v>-27.4002</v>
      </c>
      <c r="D5340" t="n">
        <v>-51.2276</v>
      </c>
      <c r="E5340" t="inlineStr">
        <is>
          <t>2025-05</t>
        </is>
      </c>
      <c r="F5340" t="n">
        <v>0</v>
      </c>
    </row>
    <row r="5341">
      <c r="A5341" t="inlineStr">
        <is>
          <t>Milho</t>
        </is>
      </c>
      <c r="B5341" t="inlineStr">
        <is>
          <t>Campos Novos - SC</t>
        </is>
      </c>
      <c r="C5341" t="n">
        <v>-27.4002</v>
      </c>
      <c r="D5341" t="n">
        <v>-51.2276</v>
      </c>
      <c r="E5341" t="inlineStr">
        <is>
          <t>2025-06</t>
        </is>
      </c>
      <c r="F5341" t="n">
        <v>0</v>
      </c>
    </row>
    <row r="5342">
      <c r="A5342" t="inlineStr">
        <is>
          <t>Milho</t>
        </is>
      </c>
      <c r="B5342" t="inlineStr">
        <is>
          <t>Campos Novos - SC</t>
        </is>
      </c>
      <c r="C5342" t="n">
        <v>-27.4002</v>
      </c>
      <c r="D5342" t="n">
        <v>-51.2276</v>
      </c>
      <c r="E5342" t="inlineStr">
        <is>
          <t>2024-07</t>
        </is>
      </c>
      <c r="F5342" t="n">
        <v>0</v>
      </c>
    </row>
    <row r="5343">
      <c r="A5343" t="inlineStr">
        <is>
          <t>Milho</t>
        </is>
      </c>
      <c r="B5343" t="inlineStr">
        <is>
          <t>Campos Novos - SC</t>
        </is>
      </c>
      <c r="C5343" t="n">
        <v>-27.4002</v>
      </c>
      <c r="D5343" t="n">
        <v>-51.2276</v>
      </c>
      <c r="E5343" t="inlineStr">
        <is>
          <t>2024-08</t>
        </is>
      </c>
      <c r="F5343" t="n">
        <v>0</v>
      </c>
    </row>
    <row r="5344">
      <c r="A5344" t="inlineStr">
        <is>
          <t>Milho</t>
        </is>
      </c>
      <c r="B5344" t="inlineStr">
        <is>
          <t>Campos Novos - SC</t>
        </is>
      </c>
      <c r="C5344" t="n">
        <v>-27.4002</v>
      </c>
      <c r="D5344" t="n">
        <v>-51.2276</v>
      </c>
      <c r="E5344" t="inlineStr">
        <is>
          <t>2024-09</t>
        </is>
      </c>
      <c r="F5344" t="n">
        <v>0</v>
      </c>
    </row>
    <row r="5345">
      <c r="A5345" t="inlineStr">
        <is>
          <t>Milho</t>
        </is>
      </c>
      <c r="B5345" t="inlineStr">
        <is>
          <t>Campos Novos - SC</t>
        </is>
      </c>
      <c r="C5345" t="n">
        <v>-27.4002</v>
      </c>
      <c r="D5345" t="n">
        <v>-51.2276</v>
      </c>
      <c r="E5345" t="inlineStr">
        <is>
          <t>2024-10</t>
        </is>
      </c>
      <c r="F5345" t="n">
        <v>0</v>
      </c>
    </row>
    <row r="5346">
      <c r="A5346" t="inlineStr">
        <is>
          <t>Milho</t>
        </is>
      </c>
      <c r="B5346" t="inlineStr">
        <is>
          <t>Campos Novos - SC</t>
        </is>
      </c>
      <c r="C5346" t="n">
        <v>-27.4002</v>
      </c>
      <c r="D5346" t="n">
        <v>-51.2276</v>
      </c>
      <c r="E5346" t="inlineStr">
        <is>
          <t>2024-11</t>
        </is>
      </c>
      <c r="F5346" t="n">
        <v>0</v>
      </c>
    </row>
    <row r="5347">
      <c r="A5347" t="inlineStr">
        <is>
          <t>Milho</t>
        </is>
      </c>
      <c r="B5347" t="inlineStr">
        <is>
          <t>Campos Novos - SC</t>
        </is>
      </c>
      <c r="C5347" t="n">
        <v>-27.4002</v>
      </c>
      <c r="D5347" t="n">
        <v>-51.2276</v>
      </c>
      <c r="E5347" t="inlineStr">
        <is>
          <t>2024-12</t>
        </is>
      </c>
      <c r="F5347" t="n">
        <v>0</v>
      </c>
    </row>
    <row r="5348">
      <c r="A5348" t="inlineStr">
        <is>
          <t>Milho</t>
        </is>
      </c>
      <c r="B5348" t="inlineStr">
        <is>
          <t>Carira - SE</t>
        </is>
      </c>
      <c r="C5348" t="n">
        <v>-10.3524</v>
      </c>
      <c r="D5348" t="n">
        <v>-37.7002</v>
      </c>
      <c r="E5348" t="inlineStr">
        <is>
          <t>2025-01</t>
        </is>
      </c>
      <c r="F5348" t="n">
        <v>0</v>
      </c>
    </row>
    <row r="5349">
      <c r="A5349" t="inlineStr">
        <is>
          <t>Milho</t>
        </is>
      </c>
      <c r="B5349" t="inlineStr">
        <is>
          <t>Carira - SE</t>
        </is>
      </c>
      <c r="C5349" t="n">
        <v>-10.3524</v>
      </c>
      <c r="D5349" t="n">
        <v>-37.7002</v>
      </c>
      <c r="E5349" t="inlineStr">
        <is>
          <t>2025-02</t>
        </is>
      </c>
      <c r="F5349" t="n">
        <v>0</v>
      </c>
    </row>
    <row r="5350">
      <c r="A5350" t="inlineStr">
        <is>
          <t>Milho</t>
        </is>
      </c>
      <c r="B5350" t="inlineStr">
        <is>
          <t>Carira - SE</t>
        </is>
      </c>
      <c r="C5350" t="n">
        <v>-10.3524</v>
      </c>
      <c r="D5350" t="n">
        <v>-37.7002</v>
      </c>
      <c r="E5350" t="inlineStr">
        <is>
          <t>2025-03</t>
        </is>
      </c>
      <c r="F5350" t="n">
        <v>0</v>
      </c>
    </row>
    <row r="5351">
      <c r="A5351" t="inlineStr">
        <is>
          <t>Milho</t>
        </is>
      </c>
      <c r="B5351" t="inlineStr">
        <is>
          <t>Carira - SE</t>
        </is>
      </c>
      <c r="C5351" t="n">
        <v>-10.3524</v>
      </c>
      <c r="D5351" t="n">
        <v>-37.7002</v>
      </c>
      <c r="E5351" t="inlineStr">
        <is>
          <t>2025-04</t>
        </is>
      </c>
      <c r="F5351" t="n">
        <v>0</v>
      </c>
    </row>
    <row r="5352">
      <c r="A5352" t="inlineStr">
        <is>
          <t>Milho</t>
        </is>
      </c>
      <c r="B5352" t="inlineStr">
        <is>
          <t>Carira - SE</t>
        </is>
      </c>
      <c r="C5352" t="n">
        <v>-10.3524</v>
      </c>
      <c r="D5352" t="n">
        <v>-37.7002</v>
      </c>
      <c r="E5352" t="inlineStr">
        <is>
          <t>2025-05</t>
        </is>
      </c>
      <c r="F5352" t="n">
        <v>0</v>
      </c>
    </row>
    <row r="5353">
      <c r="A5353" t="inlineStr">
        <is>
          <t>Milho</t>
        </is>
      </c>
      <c r="B5353" t="inlineStr">
        <is>
          <t>Carira - SE</t>
        </is>
      </c>
      <c r="C5353" t="n">
        <v>-10.3524</v>
      </c>
      <c r="D5353" t="n">
        <v>-37.7002</v>
      </c>
      <c r="E5353" t="inlineStr">
        <is>
          <t>2025-06</t>
        </is>
      </c>
      <c r="F5353" t="n">
        <v>0</v>
      </c>
    </row>
    <row r="5354">
      <c r="A5354" t="inlineStr">
        <is>
          <t>Milho</t>
        </is>
      </c>
      <c r="B5354" t="inlineStr">
        <is>
          <t>Carira - SE</t>
        </is>
      </c>
      <c r="C5354" t="n">
        <v>-10.3524</v>
      </c>
      <c r="D5354" t="n">
        <v>-37.7002</v>
      </c>
      <c r="E5354" t="inlineStr">
        <is>
          <t>2024-07</t>
        </is>
      </c>
      <c r="F5354" t="n">
        <v>0</v>
      </c>
    </row>
    <row r="5355">
      <c r="A5355" t="inlineStr">
        <is>
          <t>Milho</t>
        </is>
      </c>
      <c r="B5355" t="inlineStr">
        <is>
          <t>Carira - SE</t>
        </is>
      </c>
      <c r="C5355" t="n">
        <v>-10.3524</v>
      </c>
      <c r="D5355" t="n">
        <v>-37.7002</v>
      </c>
      <c r="E5355" t="inlineStr">
        <is>
          <t>2024-08</t>
        </is>
      </c>
      <c r="F5355" t="n">
        <v>88184.48288921088</v>
      </c>
    </row>
    <row r="5356">
      <c r="A5356" t="inlineStr">
        <is>
          <t>Milho</t>
        </is>
      </c>
      <c r="B5356" t="inlineStr">
        <is>
          <t>Carira - SE</t>
        </is>
      </c>
      <c r="C5356" t="n">
        <v>-10.3524</v>
      </c>
      <c r="D5356" t="n">
        <v>-37.7002</v>
      </c>
      <c r="E5356" t="inlineStr">
        <is>
          <t>2024-09</t>
        </is>
      </c>
      <c r="F5356" t="n">
        <v>190724.3786331431</v>
      </c>
    </row>
    <row r="5357">
      <c r="A5357" t="inlineStr">
        <is>
          <t>Milho</t>
        </is>
      </c>
      <c r="B5357" t="inlineStr">
        <is>
          <t>Carira - SE</t>
        </is>
      </c>
      <c r="C5357" t="n">
        <v>-10.3524</v>
      </c>
      <c r="D5357" t="n">
        <v>-37.7002</v>
      </c>
      <c r="E5357" t="inlineStr">
        <is>
          <t>2024-10</t>
        </is>
      </c>
      <c r="F5357" t="n">
        <v>1326099.104422065</v>
      </c>
    </row>
    <row r="5358">
      <c r="A5358" t="inlineStr">
        <is>
          <t>Milho</t>
        </is>
      </c>
      <c r="B5358" t="inlineStr">
        <is>
          <t>Carira - SE</t>
        </is>
      </c>
      <c r="C5358" t="n">
        <v>-10.3524</v>
      </c>
      <c r="D5358" t="n">
        <v>-37.7002</v>
      </c>
      <c r="E5358" t="inlineStr">
        <is>
          <t>2024-11</t>
        </is>
      </c>
      <c r="F5358" t="n">
        <v>1986907.941915596</v>
      </c>
    </row>
    <row r="5359">
      <c r="A5359" t="inlineStr">
        <is>
          <t>Milho</t>
        </is>
      </c>
      <c r="B5359" t="inlineStr">
        <is>
          <t>Carira - SE</t>
        </is>
      </c>
      <c r="C5359" t="n">
        <v>-10.3524</v>
      </c>
      <c r="D5359" t="n">
        <v>-37.7002</v>
      </c>
      <c r="E5359" t="inlineStr">
        <is>
          <t>2024-12</t>
        </is>
      </c>
      <c r="F5359" t="n">
        <v>0</v>
      </c>
    </row>
    <row r="5360">
      <c r="A5360" t="inlineStr">
        <is>
          <t>Milho</t>
        </is>
      </c>
      <c r="B5360" t="inlineStr">
        <is>
          <t>Itapeva - SP</t>
        </is>
      </c>
      <c r="C5360" t="n">
        <v>-23.9788</v>
      </c>
      <c r="D5360" t="n">
        <v>-48.8764</v>
      </c>
      <c r="E5360" t="inlineStr">
        <is>
          <t>2025-01</t>
        </is>
      </c>
      <c r="F5360" t="n">
        <v>0</v>
      </c>
    </row>
    <row r="5361">
      <c r="A5361" t="inlineStr">
        <is>
          <t>Milho</t>
        </is>
      </c>
      <c r="B5361" t="inlineStr">
        <is>
          <t>Itapeva - SP</t>
        </is>
      </c>
      <c r="C5361" t="n">
        <v>-23.9788</v>
      </c>
      <c r="D5361" t="n">
        <v>-48.8764</v>
      </c>
      <c r="E5361" t="inlineStr">
        <is>
          <t>2025-02</t>
        </is>
      </c>
      <c r="F5361" t="n">
        <v>0</v>
      </c>
    </row>
    <row r="5362">
      <c r="A5362" t="inlineStr">
        <is>
          <t>Milho</t>
        </is>
      </c>
      <c r="B5362" t="inlineStr">
        <is>
          <t>Itapeva - SP</t>
        </is>
      </c>
      <c r="C5362" t="n">
        <v>-23.9788</v>
      </c>
      <c r="D5362" t="n">
        <v>-48.8764</v>
      </c>
      <c r="E5362" t="inlineStr">
        <is>
          <t>2025-03</t>
        </is>
      </c>
      <c r="F5362" t="n">
        <v>0</v>
      </c>
    </row>
    <row r="5363">
      <c r="A5363" t="inlineStr">
        <is>
          <t>Milho</t>
        </is>
      </c>
      <c r="B5363" t="inlineStr">
        <is>
          <t>Itapeva - SP</t>
        </is>
      </c>
      <c r="C5363" t="n">
        <v>-23.9788</v>
      </c>
      <c r="D5363" t="n">
        <v>-48.8764</v>
      </c>
      <c r="E5363" t="inlineStr">
        <is>
          <t>2025-04</t>
        </is>
      </c>
      <c r="F5363" t="n">
        <v>0</v>
      </c>
    </row>
    <row r="5364">
      <c r="A5364" t="inlineStr">
        <is>
          <t>Milho</t>
        </is>
      </c>
      <c r="B5364" t="inlineStr">
        <is>
          <t>Itapeva - SP</t>
        </is>
      </c>
      <c r="C5364" t="n">
        <v>-23.9788</v>
      </c>
      <c r="D5364" t="n">
        <v>-48.8764</v>
      </c>
      <c r="E5364" t="inlineStr">
        <is>
          <t>2025-05</t>
        </is>
      </c>
      <c r="F5364" t="n">
        <v>0</v>
      </c>
    </row>
    <row r="5365">
      <c r="A5365" t="inlineStr">
        <is>
          <t>Milho</t>
        </is>
      </c>
      <c r="B5365" t="inlineStr">
        <is>
          <t>Itapeva - SP</t>
        </is>
      </c>
      <c r="C5365" t="n">
        <v>-23.9788</v>
      </c>
      <c r="D5365" t="n">
        <v>-48.8764</v>
      </c>
      <c r="E5365" t="inlineStr">
        <is>
          <t>2025-06</t>
        </is>
      </c>
      <c r="F5365" t="n">
        <v>0</v>
      </c>
    </row>
    <row r="5366">
      <c r="A5366" t="inlineStr">
        <is>
          <t>Milho</t>
        </is>
      </c>
      <c r="B5366" t="inlineStr">
        <is>
          <t>Itapeva - SP</t>
        </is>
      </c>
      <c r="C5366" t="n">
        <v>-23.9788</v>
      </c>
      <c r="D5366" t="n">
        <v>-48.8764</v>
      </c>
      <c r="E5366" t="inlineStr">
        <is>
          <t>2024-07</t>
        </is>
      </c>
      <c r="F5366" t="n">
        <v>0</v>
      </c>
    </row>
    <row r="5367">
      <c r="A5367" t="inlineStr">
        <is>
          <t>Milho</t>
        </is>
      </c>
      <c r="B5367" t="inlineStr">
        <is>
          <t>Itapeva - SP</t>
        </is>
      </c>
      <c r="C5367" t="n">
        <v>-23.9788</v>
      </c>
      <c r="D5367" t="n">
        <v>-48.8764</v>
      </c>
      <c r="E5367" t="inlineStr">
        <is>
          <t>2024-08</t>
        </is>
      </c>
      <c r="F5367" t="n">
        <v>0</v>
      </c>
    </row>
    <row r="5368">
      <c r="A5368" t="inlineStr">
        <is>
          <t>Milho</t>
        </is>
      </c>
      <c r="B5368" t="inlineStr">
        <is>
          <t>Itapeva - SP</t>
        </is>
      </c>
      <c r="C5368" t="n">
        <v>-23.9788</v>
      </c>
      <c r="D5368" t="n">
        <v>-48.8764</v>
      </c>
      <c r="E5368" t="inlineStr">
        <is>
          <t>2024-09</t>
        </is>
      </c>
      <c r="F5368" t="n">
        <v>0</v>
      </c>
    </row>
    <row r="5369">
      <c r="A5369" t="inlineStr">
        <is>
          <t>Milho</t>
        </is>
      </c>
      <c r="B5369" t="inlineStr">
        <is>
          <t>Itapeva - SP</t>
        </is>
      </c>
      <c r="C5369" t="n">
        <v>-23.9788</v>
      </c>
      <c r="D5369" t="n">
        <v>-48.8764</v>
      </c>
      <c r="E5369" t="inlineStr">
        <is>
          <t>2024-10</t>
        </is>
      </c>
      <c r="F5369" t="n">
        <v>0</v>
      </c>
    </row>
    <row r="5370">
      <c r="A5370" t="inlineStr">
        <is>
          <t>Milho</t>
        </is>
      </c>
      <c r="B5370" t="inlineStr">
        <is>
          <t>Itapeva - SP</t>
        </is>
      </c>
      <c r="C5370" t="n">
        <v>-23.9788</v>
      </c>
      <c r="D5370" t="n">
        <v>-48.8764</v>
      </c>
      <c r="E5370" t="inlineStr">
        <is>
          <t>2024-11</t>
        </is>
      </c>
      <c r="F5370" t="n">
        <v>0</v>
      </c>
    </row>
    <row r="5371">
      <c r="A5371" t="inlineStr">
        <is>
          <t>Milho</t>
        </is>
      </c>
      <c r="B5371" t="inlineStr">
        <is>
          <t>Itapeva - SP</t>
        </is>
      </c>
      <c r="C5371" t="n">
        <v>-23.9788</v>
      </c>
      <c r="D5371" t="n">
        <v>-48.8764</v>
      </c>
      <c r="E5371" t="inlineStr">
        <is>
          <t>2024-12</t>
        </is>
      </c>
      <c r="F5371" t="n">
        <v>0</v>
      </c>
    </row>
    <row r="5372">
      <c r="A5372" t="inlineStr">
        <is>
          <t>Milho</t>
        </is>
      </c>
      <c r="B5372" t="inlineStr">
        <is>
          <t>Campos Lindos - TO</t>
        </is>
      </c>
      <c r="C5372" t="n">
        <v>-7.98956</v>
      </c>
      <c r="D5372" t="n">
        <v>-46.8645</v>
      </c>
      <c r="E5372" t="inlineStr">
        <is>
          <t>2025-01</t>
        </is>
      </c>
      <c r="F5372" t="n">
        <v>0</v>
      </c>
    </row>
    <row r="5373">
      <c r="A5373" t="inlineStr">
        <is>
          <t>Milho</t>
        </is>
      </c>
      <c r="B5373" t="inlineStr">
        <is>
          <t>Campos Lindos - TO</t>
        </is>
      </c>
      <c r="C5373" t="n">
        <v>-7.98956</v>
      </c>
      <c r="D5373" t="n">
        <v>-46.8645</v>
      </c>
      <c r="E5373" t="inlineStr">
        <is>
          <t>2025-02</t>
        </is>
      </c>
      <c r="F5373" t="n">
        <v>0</v>
      </c>
    </row>
    <row r="5374">
      <c r="A5374" t="inlineStr">
        <is>
          <t>Milho</t>
        </is>
      </c>
      <c r="B5374" t="inlineStr">
        <is>
          <t>Campos Lindos - TO</t>
        </is>
      </c>
      <c r="C5374" t="n">
        <v>-7.98956</v>
      </c>
      <c r="D5374" t="n">
        <v>-46.8645</v>
      </c>
      <c r="E5374" t="inlineStr">
        <is>
          <t>2025-03</t>
        </is>
      </c>
      <c r="F5374" t="n">
        <v>0</v>
      </c>
    </row>
    <row r="5375">
      <c r="A5375" t="inlineStr">
        <is>
          <t>Milho</t>
        </is>
      </c>
      <c r="B5375" t="inlineStr">
        <is>
          <t>Campos Lindos - TO</t>
        </is>
      </c>
      <c r="C5375" t="n">
        <v>-7.98956</v>
      </c>
      <c r="D5375" t="n">
        <v>-46.8645</v>
      </c>
      <c r="E5375" t="inlineStr">
        <is>
          <t>2025-04</t>
        </is>
      </c>
      <c r="F5375" t="n">
        <v>0</v>
      </c>
    </row>
    <row r="5376">
      <c r="A5376" t="inlineStr">
        <is>
          <t>Milho</t>
        </is>
      </c>
      <c r="B5376" t="inlineStr">
        <is>
          <t>Campos Lindos - TO</t>
        </is>
      </c>
      <c r="C5376" t="n">
        <v>-7.98956</v>
      </c>
      <c r="D5376" t="n">
        <v>-46.8645</v>
      </c>
      <c r="E5376" t="inlineStr">
        <is>
          <t>2025-05</t>
        </is>
      </c>
      <c r="F5376" t="n">
        <v>0</v>
      </c>
    </row>
    <row r="5377">
      <c r="A5377" t="inlineStr">
        <is>
          <t>Milho</t>
        </is>
      </c>
      <c r="B5377" t="inlineStr">
        <is>
          <t>Campos Lindos - TO</t>
        </is>
      </c>
      <c r="C5377" t="n">
        <v>-7.98956</v>
      </c>
      <c r="D5377" t="n">
        <v>-46.8645</v>
      </c>
      <c r="E5377" t="inlineStr">
        <is>
          <t>2025-06</t>
        </is>
      </c>
      <c r="F5377" t="n">
        <v>0</v>
      </c>
    </row>
    <row r="5378">
      <c r="A5378" t="inlineStr">
        <is>
          <t>Milho</t>
        </is>
      </c>
      <c r="B5378" t="inlineStr">
        <is>
          <t>Campos Lindos - TO</t>
        </is>
      </c>
      <c r="C5378" t="n">
        <v>-7.98956</v>
      </c>
      <c r="D5378" t="n">
        <v>-46.8645</v>
      </c>
      <c r="E5378" t="inlineStr">
        <is>
          <t>2024-07</t>
        </is>
      </c>
      <c r="F5378" t="n">
        <v>0</v>
      </c>
    </row>
    <row r="5379">
      <c r="A5379" t="inlineStr">
        <is>
          <t>Milho</t>
        </is>
      </c>
      <c r="B5379" t="inlineStr">
        <is>
          <t>Campos Lindos - TO</t>
        </is>
      </c>
      <c r="C5379" t="n">
        <v>-7.98956</v>
      </c>
      <c r="D5379" t="n">
        <v>-46.8645</v>
      </c>
      <c r="E5379" t="inlineStr">
        <is>
          <t>2024-08</t>
        </is>
      </c>
      <c r="F5379" t="n">
        <v>0</v>
      </c>
    </row>
    <row r="5380">
      <c r="A5380" t="inlineStr">
        <is>
          <t>Milho</t>
        </is>
      </c>
      <c r="B5380" t="inlineStr">
        <is>
          <t>Campos Lindos - TO</t>
        </is>
      </c>
      <c r="C5380" t="n">
        <v>-7.98956</v>
      </c>
      <c r="D5380" t="n">
        <v>-46.8645</v>
      </c>
      <c r="E5380" t="inlineStr">
        <is>
          <t>2024-09</t>
        </is>
      </c>
      <c r="F5380" t="n">
        <v>0</v>
      </c>
    </row>
    <row r="5381">
      <c r="A5381" t="inlineStr">
        <is>
          <t>Milho</t>
        </is>
      </c>
      <c r="B5381" t="inlineStr">
        <is>
          <t>Campos Lindos - TO</t>
        </is>
      </c>
      <c r="C5381" t="n">
        <v>-7.98956</v>
      </c>
      <c r="D5381" t="n">
        <v>-46.8645</v>
      </c>
      <c r="E5381" t="inlineStr">
        <is>
          <t>2024-10</t>
        </is>
      </c>
      <c r="F5381" t="n">
        <v>0</v>
      </c>
    </row>
    <row r="5382">
      <c r="A5382" t="inlineStr">
        <is>
          <t>Milho</t>
        </is>
      </c>
      <c r="B5382" t="inlineStr">
        <is>
          <t>Campos Lindos - TO</t>
        </is>
      </c>
      <c r="C5382" t="n">
        <v>-7.98956</v>
      </c>
      <c r="D5382" t="n">
        <v>-46.8645</v>
      </c>
      <c r="E5382" t="inlineStr">
        <is>
          <t>2024-11</t>
        </is>
      </c>
      <c r="F5382" t="n">
        <v>0</v>
      </c>
    </row>
    <row r="5383">
      <c r="A5383" t="inlineStr">
        <is>
          <t>Milho</t>
        </is>
      </c>
      <c r="B5383" t="inlineStr">
        <is>
          <t>Campos Lindos - TO</t>
        </is>
      </c>
      <c r="C5383" t="n">
        <v>-7.98956</v>
      </c>
      <c r="D5383" t="n">
        <v>-46.8645</v>
      </c>
      <c r="E5383" t="inlineStr">
        <is>
          <t>2024-12</t>
        </is>
      </c>
      <c r="F5383" t="n">
        <v>0</v>
      </c>
    </row>
    <row r="5384">
      <c r="A5384" t="inlineStr">
        <is>
          <t>Soja</t>
        </is>
      </c>
      <c r="B5384" t="inlineStr">
        <is>
          <t>Plácido de Castro - AC</t>
        </is>
      </c>
      <c r="C5384" t="n">
        <v>-10.2806</v>
      </c>
      <c r="D5384" t="n">
        <v>-67.1371</v>
      </c>
      <c r="E5384" t="inlineStr">
        <is>
          <t>2025-01</t>
        </is>
      </c>
      <c r="F5384" t="n">
        <v>0</v>
      </c>
    </row>
    <row r="5385">
      <c r="A5385" t="inlineStr">
        <is>
          <t>Soja</t>
        </is>
      </c>
      <c r="B5385" t="inlineStr">
        <is>
          <t>Plácido de Castro - AC</t>
        </is>
      </c>
      <c r="C5385" t="n">
        <v>-10.2806</v>
      </c>
      <c r="D5385" t="n">
        <v>-67.1371</v>
      </c>
      <c r="E5385" t="inlineStr">
        <is>
          <t>2025-02</t>
        </is>
      </c>
      <c r="F5385" t="n">
        <v>0</v>
      </c>
    </row>
    <row r="5386">
      <c r="A5386" t="inlineStr">
        <is>
          <t>Soja</t>
        </is>
      </c>
      <c r="B5386" t="inlineStr">
        <is>
          <t>Plácido de Castro - AC</t>
        </is>
      </c>
      <c r="C5386" t="n">
        <v>-10.2806</v>
      </c>
      <c r="D5386" t="n">
        <v>-67.1371</v>
      </c>
      <c r="E5386" t="inlineStr">
        <is>
          <t>2025-03</t>
        </is>
      </c>
      <c r="F5386" t="n">
        <v>0</v>
      </c>
    </row>
    <row r="5387">
      <c r="A5387" t="inlineStr">
        <is>
          <t>Soja</t>
        </is>
      </c>
      <c r="B5387" t="inlineStr">
        <is>
          <t>Plácido de Castro - AC</t>
        </is>
      </c>
      <c r="C5387" t="n">
        <v>-10.2806</v>
      </c>
      <c r="D5387" t="n">
        <v>-67.1371</v>
      </c>
      <c r="E5387" t="inlineStr">
        <is>
          <t>2025-04</t>
        </is>
      </c>
      <c r="F5387" t="n">
        <v>0</v>
      </c>
    </row>
    <row r="5388">
      <c r="A5388" t="inlineStr">
        <is>
          <t>Soja</t>
        </is>
      </c>
      <c r="B5388" t="inlineStr">
        <is>
          <t>Plácido de Castro - AC</t>
        </is>
      </c>
      <c r="C5388" t="n">
        <v>-10.2806</v>
      </c>
      <c r="D5388" t="n">
        <v>-67.1371</v>
      </c>
      <c r="E5388" t="inlineStr">
        <is>
          <t>2025-05</t>
        </is>
      </c>
      <c r="F5388" t="n">
        <v>0</v>
      </c>
    </row>
    <row r="5389">
      <c r="A5389" t="inlineStr">
        <is>
          <t>Soja</t>
        </is>
      </c>
      <c r="B5389" t="inlineStr">
        <is>
          <t>Plácido de Castro - AC</t>
        </is>
      </c>
      <c r="C5389" t="n">
        <v>-10.2806</v>
      </c>
      <c r="D5389" t="n">
        <v>-67.1371</v>
      </c>
      <c r="E5389" t="inlineStr">
        <is>
          <t>2025-06</t>
        </is>
      </c>
      <c r="F5389" t="n">
        <v>0</v>
      </c>
    </row>
    <row r="5390">
      <c r="A5390" t="inlineStr">
        <is>
          <t>Soja</t>
        </is>
      </c>
      <c r="B5390" t="inlineStr">
        <is>
          <t>Plácido de Castro - AC</t>
        </is>
      </c>
      <c r="C5390" t="n">
        <v>-10.2806</v>
      </c>
      <c r="D5390" t="n">
        <v>-67.1371</v>
      </c>
      <c r="E5390" t="inlineStr">
        <is>
          <t>2024-07</t>
        </is>
      </c>
      <c r="F5390" t="n">
        <v>0</v>
      </c>
    </row>
    <row r="5391">
      <c r="A5391" t="inlineStr">
        <is>
          <t>Soja</t>
        </is>
      </c>
      <c r="B5391" t="inlineStr">
        <is>
          <t>Plácido de Castro - AC</t>
        </is>
      </c>
      <c r="C5391" t="n">
        <v>-10.2806</v>
      </c>
      <c r="D5391" t="n">
        <v>-67.1371</v>
      </c>
      <c r="E5391" t="inlineStr">
        <is>
          <t>2024-08</t>
        </is>
      </c>
      <c r="F5391" t="n">
        <v>0</v>
      </c>
    </row>
    <row r="5392">
      <c r="A5392" t="inlineStr">
        <is>
          <t>Soja</t>
        </is>
      </c>
      <c r="B5392" t="inlineStr">
        <is>
          <t>Plácido de Castro - AC</t>
        </is>
      </c>
      <c r="C5392" t="n">
        <v>-10.2806</v>
      </c>
      <c r="D5392" t="n">
        <v>-67.1371</v>
      </c>
      <c r="E5392" t="inlineStr">
        <is>
          <t>2024-09</t>
        </is>
      </c>
      <c r="F5392" t="n">
        <v>0</v>
      </c>
    </row>
    <row r="5393">
      <c r="A5393" t="inlineStr">
        <is>
          <t>Soja</t>
        </is>
      </c>
      <c r="B5393" t="inlineStr">
        <is>
          <t>Plácido de Castro - AC</t>
        </is>
      </c>
      <c r="C5393" t="n">
        <v>-10.2806</v>
      </c>
      <c r="D5393" t="n">
        <v>-67.1371</v>
      </c>
      <c r="E5393" t="inlineStr">
        <is>
          <t>2024-10</t>
        </is>
      </c>
      <c r="F5393" t="n">
        <v>0</v>
      </c>
    </row>
    <row r="5394">
      <c r="A5394" t="inlineStr">
        <is>
          <t>Soja</t>
        </is>
      </c>
      <c r="B5394" t="inlineStr">
        <is>
          <t>Plácido de Castro - AC</t>
        </is>
      </c>
      <c r="C5394" t="n">
        <v>-10.2806</v>
      </c>
      <c r="D5394" t="n">
        <v>-67.1371</v>
      </c>
      <c r="E5394" t="inlineStr">
        <is>
          <t>2024-11</t>
        </is>
      </c>
      <c r="F5394" t="n">
        <v>0</v>
      </c>
    </row>
    <row r="5395">
      <c r="A5395" t="inlineStr">
        <is>
          <t>Soja</t>
        </is>
      </c>
      <c r="B5395" t="inlineStr">
        <is>
          <t>Plácido de Castro - AC</t>
        </is>
      </c>
      <c r="C5395" t="n">
        <v>-10.2806</v>
      </c>
      <c r="D5395" t="n">
        <v>-67.1371</v>
      </c>
      <c r="E5395" t="inlineStr">
        <is>
          <t>2024-12</t>
        </is>
      </c>
      <c r="F5395" t="n">
        <v>0</v>
      </c>
    </row>
    <row r="5396">
      <c r="A5396" t="inlineStr">
        <is>
          <t>Soja</t>
        </is>
      </c>
      <c r="B5396" t="inlineStr">
        <is>
          <t>Anadia - AL</t>
        </is>
      </c>
      <c r="C5396" t="n">
        <v>-9.684889999999999</v>
      </c>
      <c r="D5396" t="n">
        <v>-36.3078</v>
      </c>
      <c r="E5396" t="inlineStr">
        <is>
          <t>2025-01</t>
        </is>
      </c>
      <c r="F5396" t="n">
        <v>0</v>
      </c>
    </row>
    <row r="5397">
      <c r="A5397" t="inlineStr">
        <is>
          <t>Soja</t>
        </is>
      </c>
      <c r="B5397" t="inlineStr">
        <is>
          <t>Anadia - AL</t>
        </is>
      </c>
      <c r="C5397" t="n">
        <v>-9.684889999999999</v>
      </c>
      <c r="D5397" t="n">
        <v>-36.3078</v>
      </c>
      <c r="E5397" t="inlineStr">
        <is>
          <t>2025-02</t>
        </is>
      </c>
      <c r="F5397" t="n">
        <v>0</v>
      </c>
    </row>
    <row r="5398">
      <c r="A5398" t="inlineStr">
        <is>
          <t>Soja</t>
        </is>
      </c>
      <c r="B5398" t="inlineStr">
        <is>
          <t>Anadia - AL</t>
        </is>
      </c>
      <c r="C5398" t="n">
        <v>-9.684889999999999</v>
      </c>
      <c r="D5398" t="n">
        <v>-36.3078</v>
      </c>
      <c r="E5398" t="inlineStr">
        <is>
          <t>2025-03</t>
        </is>
      </c>
      <c r="F5398" t="n">
        <v>0</v>
      </c>
    </row>
    <row r="5399">
      <c r="A5399" t="inlineStr">
        <is>
          <t>Soja</t>
        </is>
      </c>
      <c r="B5399" t="inlineStr">
        <is>
          <t>Anadia - AL</t>
        </is>
      </c>
      <c r="C5399" t="n">
        <v>-9.684889999999999</v>
      </c>
      <c r="D5399" t="n">
        <v>-36.3078</v>
      </c>
      <c r="E5399" t="inlineStr">
        <is>
          <t>2025-04</t>
        </is>
      </c>
      <c r="F5399" t="n">
        <v>0</v>
      </c>
    </row>
    <row r="5400">
      <c r="A5400" t="inlineStr">
        <is>
          <t>Soja</t>
        </is>
      </c>
      <c r="B5400" t="inlineStr">
        <is>
          <t>Anadia - AL</t>
        </is>
      </c>
      <c r="C5400" t="n">
        <v>-9.684889999999999</v>
      </c>
      <c r="D5400" t="n">
        <v>-36.3078</v>
      </c>
      <c r="E5400" t="inlineStr">
        <is>
          <t>2025-05</t>
        </is>
      </c>
      <c r="F5400" t="n">
        <v>0</v>
      </c>
    </row>
    <row r="5401">
      <c r="A5401" t="inlineStr">
        <is>
          <t>Soja</t>
        </is>
      </c>
      <c r="B5401" t="inlineStr">
        <is>
          <t>Anadia - AL</t>
        </is>
      </c>
      <c r="C5401" t="n">
        <v>-9.684889999999999</v>
      </c>
      <c r="D5401" t="n">
        <v>-36.3078</v>
      </c>
      <c r="E5401" t="inlineStr">
        <is>
          <t>2025-06</t>
        </is>
      </c>
      <c r="F5401" t="n">
        <v>0</v>
      </c>
    </row>
    <row r="5402">
      <c r="A5402" t="inlineStr">
        <is>
          <t>Soja</t>
        </is>
      </c>
      <c r="B5402" t="inlineStr">
        <is>
          <t>Anadia - AL</t>
        </is>
      </c>
      <c r="C5402" t="n">
        <v>-9.684889999999999</v>
      </c>
      <c r="D5402" t="n">
        <v>-36.3078</v>
      </c>
      <c r="E5402" t="inlineStr">
        <is>
          <t>2024-07</t>
        </is>
      </c>
      <c r="F5402" t="n">
        <v>0</v>
      </c>
    </row>
    <row r="5403">
      <c r="A5403" t="inlineStr">
        <is>
          <t>Soja</t>
        </is>
      </c>
      <c r="B5403" t="inlineStr">
        <is>
          <t>Anadia - AL</t>
        </is>
      </c>
      <c r="C5403" t="n">
        <v>-9.684889999999999</v>
      </c>
      <c r="D5403" t="n">
        <v>-36.3078</v>
      </c>
      <c r="E5403" t="inlineStr">
        <is>
          <t>2024-08</t>
        </is>
      </c>
      <c r="F5403" t="n">
        <v>0</v>
      </c>
    </row>
    <row r="5404">
      <c r="A5404" t="inlineStr">
        <is>
          <t>Soja</t>
        </is>
      </c>
      <c r="B5404" t="inlineStr">
        <is>
          <t>Anadia - AL</t>
        </is>
      </c>
      <c r="C5404" t="n">
        <v>-9.684889999999999</v>
      </c>
      <c r="D5404" t="n">
        <v>-36.3078</v>
      </c>
      <c r="E5404" t="inlineStr">
        <is>
          <t>2024-09</t>
        </is>
      </c>
      <c r="F5404" t="n">
        <v>0</v>
      </c>
    </row>
    <row r="5405">
      <c r="A5405" t="inlineStr">
        <is>
          <t>Soja</t>
        </is>
      </c>
      <c r="B5405" t="inlineStr">
        <is>
          <t>Anadia - AL</t>
        </is>
      </c>
      <c r="C5405" t="n">
        <v>-9.684889999999999</v>
      </c>
      <c r="D5405" t="n">
        <v>-36.3078</v>
      </c>
      <c r="E5405" t="inlineStr">
        <is>
          <t>2024-10</t>
        </is>
      </c>
      <c r="F5405" t="n">
        <v>0</v>
      </c>
    </row>
    <row r="5406">
      <c r="A5406" t="inlineStr">
        <is>
          <t>Soja</t>
        </is>
      </c>
      <c r="B5406" t="inlineStr">
        <is>
          <t>Anadia - AL</t>
        </is>
      </c>
      <c r="C5406" t="n">
        <v>-9.684889999999999</v>
      </c>
      <c r="D5406" t="n">
        <v>-36.3078</v>
      </c>
      <c r="E5406" t="inlineStr">
        <is>
          <t>2024-11</t>
        </is>
      </c>
      <c r="F5406" t="n">
        <v>0</v>
      </c>
    </row>
    <row r="5407">
      <c r="A5407" t="inlineStr">
        <is>
          <t>Soja</t>
        </is>
      </c>
      <c r="B5407" t="inlineStr">
        <is>
          <t>Anadia - AL</t>
        </is>
      </c>
      <c r="C5407" t="n">
        <v>-9.684889999999999</v>
      </c>
      <c r="D5407" t="n">
        <v>-36.3078</v>
      </c>
      <c r="E5407" t="inlineStr">
        <is>
          <t>2024-12</t>
        </is>
      </c>
      <c r="F5407" t="n">
        <v>0</v>
      </c>
    </row>
    <row r="5408">
      <c r="A5408" t="inlineStr">
        <is>
          <t>Soja</t>
        </is>
      </c>
      <c r="B5408" t="inlineStr">
        <is>
          <t>Macapá - AP</t>
        </is>
      </c>
      <c r="C5408" t="n">
        <v>0.034934</v>
      </c>
      <c r="D5408" t="n">
        <v>-51.0694</v>
      </c>
      <c r="E5408" t="inlineStr">
        <is>
          <t>2025-01</t>
        </is>
      </c>
      <c r="F5408" t="n">
        <v>0</v>
      </c>
    </row>
    <row r="5409">
      <c r="A5409" t="inlineStr">
        <is>
          <t>Soja</t>
        </is>
      </c>
      <c r="B5409" t="inlineStr">
        <is>
          <t>Macapá - AP</t>
        </is>
      </c>
      <c r="C5409" t="n">
        <v>0.034934</v>
      </c>
      <c r="D5409" t="n">
        <v>-51.0694</v>
      </c>
      <c r="E5409" t="inlineStr">
        <is>
          <t>2025-02</t>
        </is>
      </c>
      <c r="F5409" t="n">
        <v>0</v>
      </c>
    </row>
    <row r="5410">
      <c r="A5410" t="inlineStr">
        <is>
          <t>Soja</t>
        </is>
      </c>
      <c r="B5410" t="inlineStr">
        <is>
          <t>Macapá - AP</t>
        </is>
      </c>
      <c r="C5410" t="n">
        <v>0.034934</v>
      </c>
      <c r="D5410" t="n">
        <v>-51.0694</v>
      </c>
      <c r="E5410" t="inlineStr">
        <is>
          <t>2025-03</t>
        </is>
      </c>
      <c r="F5410" t="n">
        <v>0</v>
      </c>
    </row>
    <row r="5411">
      <c r="A5411" t="inlineStr">
        <is>
          <t>Soja</t>
        </is>
      </c>
      <c r="B5411" t="inlineStr">
        <is>
          <t>Macapá - AP</t>
        </is>
      </c>
      <c r="C5411" t="n">
        <v>0.034934</v>
      </c>
      <c r="D5411" t="n">
        <v>-51.0694</v>
      </c>
      <c r="E5411" t="inlineStr">
        <is>
          <t>2025-04</t>
        </is>
      </c>
      <c r="F5411" t="n">
        <v>0</v>
      </c>
    </row>
    <row r="5412">
      <c r="A5412" t="inlineStr">
        <is>
          <t>Soja</t>
        </is>
      </c>
      <c r="B5412" t="inlineStr">
        <is>
          <t>Macapá - AP</t>
        </is>
      </c>
      <c r="C5412" t="n">
        <v>0.034934</v>
      </c>
      <c r="D5412" t="n">
        <v>-51.0694</v>
      </c>
      <c r="E5412" t="inlineStr">
        <is>
          <t>2025-05</t>
        </is>
      </c>
      <c r="F5412" t="n">
        <v>0</v>
      </c>
    </row>
    <row r="5413">
      <c r="A5413" t="inlineStr">
        <is>
          <t>Soja</t>
        </is>
      </c>
      <c r="B5413" t="inlineStr">
        <is>
          <t>Macapá - AP</t>
        </is>
      </c>
      <c r="C5413" t="n">
        <v>0.034934</v>
      </c>
      <c r="D5413" t="n">
        <v>-51.0694</v>
      </c>
      <c r="E5413" t="inlineStr">
        <is>
          <t>2025-06</t>
        </is>
      </c>
      <c r="F5413" t="n">
        <v>0</v>
      </c>
    </row>
    <row r="5414">
      <c r="A5414" t="inlineStr">
        <is>
          <t>Soja</t>
        </is>
      </c>
      <c r="B5414" t="inlineStr">
        <is>
          <t>Macapá - AP</t>
        </is>
      </c>
      <c r="C5414" t="n">
        <v>0.034934</v>
      </c>
      <c r="D5414" t="n">
        <v>-51.0694</v>
      </c>
      <c r="E5414" t="inlineStr">
        <is>
          <t>2024-07</t>
        </is>
      </c>
      <c r="F5414" t="n">
        <v>0</v>
      </c>
    </row>
    <row r="5415">
      <c r="A5415" t="inlineStr">
        <is>
          <t>Soja</t>
        </is>
      </c>
      <c r="B5415" t="inlineStr">
        <is>
          <t>Macapá - AP</t>
        </is>
      </c>
      <c r="C5415" t="n">
        <v>0.034934</v>
      </c>
      <c r="D5415" t="n">
        <v>-51.0694</v>
      </c>
      <c r="E5415" t="inlineStr">
        <is>
          <t>2024-08</t>
        </is>
      </c>
      <c r="F5415" t="n">
        <v>0</v>
      </c>
    </row>
    <row r="5416">
      <c r="A5416" t="inlineStr">
        <is>
          <t>Soja</t>
        </is>
      </c>
      <c r="B5416" t="inlineStr">
        <is>
          <t>Macapá - AP</t>
        </is>
      </c>
      <c r="C5416" t="n">
        <v>0.034934</v>
      </c>
      <c r="D5416" t="n">
        <v>-51.0694</v>
      </c>
      <c r="E5416" t="inlineStr">
        <is>
          <t>2024-09</t>
        </is>
      </c>
      <c r="F5416" t="n">
        <v>0</v>
      </c>
    </row>
    <row r="5417">
      <c r="A5417" t="inlineStr">
        <is>
          <t>Soja</t>
        </is>
      </c>
      <c r="B5417" t="inlineStr">
        <is>
          <t>Macapá - AP</t>
        </is>
      </c>
      <c r="C5417" t="n">
        <v>0.034934</v>
      </c>
      <c r="D5417" t="n">
        <v>-51.0694</v>
      </c>
      <c r="E5417" t="inlineStr">
        <is>
          <t>2024-10</t>
        </is>
      </c>
      <c r="F5417" t="n">
        <v>0</v>
      </c>
    </row>
    <row r="5418">
      <c r="A5418" t="inlineStr">
        <is>
          <t>Soja</t>
        </is>
      </c>
      <c r="B5418" t="inlineStr">
        <is>
          <t>Macapá - AP</t>
        </is>
      </c>
      <c r="C5418" t="n">
        <v>0.034934</v>
      </c>
      <c r="D5418" t="n">
        <v>-51.0694</v>
      </c>
      <c r="E5418" t="inlineStr">
        <is>
          <t>2024-11</t>
        </is>
      </c>
      <c r="F5418" t="n">
        <v>0</v>
      </c>
    </row>
    <row r="5419">
      <c r="A5419" t="inlineStr">
        <is>
          <t>Soja</t>
        </is>
      </c>
      <c r="B5419" t="inlineStr">
        <is>
          <t>Macapá - AP</t>
        </is>
      </c>
      <c r="C5419" t="n">
        <v>0.034934</v>
      </c>
      <c r="D5419" t="n">
        <v>-51.0694</v>
      </c>
      <c r="E5419" t="inlineStr">
        <is>
          <t>2024-12</t>
        </is>
      </c>
      <c r="F5419" t="n">
        <v>0</v>
      </c>
    </row>
    <row r="5420">
      <c r="A5420" t="inlineStr">
        <is>
          <t>Soja</t>
        </is>
      </c>
      <c r="B5420" t="inlineStr">
        <is>
          <t>Limoeiro do Norte - CE</t>
        </is>
      </c>
      <c r="C5420" t="n">
        <v>-5.14392</v>
      </c>
      <c r="D5420" t="n">
        <v>-38.0847</v>
      </c>
      <c r="E5420" t="inlineStr">
        <is>
          <t>2025-01</t>
        </is>
      </c>
      <c r="F5420" t="n">
        <v>0</v>
      </c>
    </row>
    <row r="5421">
      <c r="A5421" t="inlineStr">
        <is>
          <t>Soja</t>
        </is>
      </c>
      <c r="B5421" t="inlineStr">
        <is>
          <t>Limoeiro do Norte - CE</t>
        </is>
      </c>
      <c r="C5421" t="n">
        <v>-5.14392</v>
      </c>
      <c r="D5421" t="n">
        <v>-38.0847</v>
      </c>
      <c r="E5421" t="inlineStr">
        <is>
          <t>2025-02</t>
        </is>
      </c>
      <c r="F5421" t="n">
        <v>0</v>
      </c>
    </row>
    <row r="5422">
      <c r="A5422" t="inlineStr">
        <is>
          <t>Soja</t>
        </is>
      </c>
      <c r="B5422" t="inlineStr">
        <is>
          <t>Limoeiro do Norte - CE</t>
        </is>
      </c>
      <c r="C5422" t="n">
        <v>-5.14392</v>
      </c>
      <c r="D5422" t="n">
        <v>-38.0847</v>
      </c>
      <c r="E5422" t="inlineStr">
        <is>
          <t>2025-03</t>
        </is>
      </c>
      <c r="F5422" t="n">
        <v>0</v>
      </c>
    </row>
    <row r="5423">
      <c r="A5423" t="inlineStr">
        <is>
          <t>Soja</t>
        </is>
      </c>
      <c r="B5423" t="inlineStr">
        <is>
          <t>Limoeiro do Norte - CE</t>
        </is>
      </c>
      <c r="C5423" t="n">
        <v>-5.14392</v>
      </c>
      <c r="D5423" t="n">
        <v>-38.0847</v>
      </c>
      <c r="E5423" t="inlineStr">
        <is>
          <t>2025-04</t>
        </is>
      </c>
      <c r="F5423" t="n">
        <v>0</v>
      </c>
    </row>
    <row r="5424">
      <c r="A5424" t="inlineStr">
        <is>
          <t>Soja</t>
        </is>
      </c>
      <c r="B5424" t="inlineStr">
        <is>
          <t>Limoeiro do Norte - CE</t>
        </is>
      </c>
      <c r="C5424" t="n">
        <v>-5.14392</v>
      </c>
      <c r="D5424" t="n">
        <v>-38.0847</v>
      </c>
      <c r="E5424" t="inlineStr">
        <is>
          <t>2025-05</t>
        </is>
      </c>
      <c r="F5424" t="n">
        <v>0</v>
      </c>
    </row>
    <row r="5425">
      <c r="A5425" t="inlineStr">
        <is>
          <t>Soja</t>
        </is>
      </c>
      <c r="B5425" t="inlineStr">
        <is>
          <t>Limoeiro do Norte - CE</t>
        </is>
      </c>
      <c r="C5425" t="n">
        <v>-5.14392</v>
      </c>
      <c r="D5425" t="n">
        <v>-38.0847</v>
      </c>
      <c r="E5425" t="inlineStr">
        <is>
          <t>2025-06</t>
        </is>
      </c>
      <c r="F5425" t="n">
        <v>0</v>
      </c>
    </row>
    <row r="5426">
      <c r="A5426" t="inlineStr">
        <is>
          <t>Soja</t>
        </is>
      </c>
      <c r="B5426" t="inlineStr">
        <is>
          <t>Limoeiro do Norte - CE</t>
        </is>
      </c>
      <c r="C5426" t="n">
        <v>-5.14392</v>
      </c>
      <c r="D5426" t="n">
        <v>-38.0847</v>
      </c>
      <c r="E5426" t="inlineStr">
        <is>
          <t>2024-07</t>
        </is>
      </c>
      <c r="F5426" t="n">
        <v>0</v>
      </c>
    </row>
    <row r="5427">
      <c r="A5427" t="inlineStr">
        <is>
          <t>Soja</t>
        </is>
      </c>
      <c r="B5427" t="inlineStr">
        <is>
          <t>Limoeiro do Norte - CE</t>
        </is>
      </c>
      <c r="C5427" t="n">
        <v>-5.14392</v>
      </c>
      <c r="D5427" t="n">
        <v>-38.0847</v>
      </c>
      <c r="E5427" t="inlineStr">
        <is>
          <t>2024-08</t>
        </is>
      </c>
      <c r="F5427" t="n">
        <v>0</v>
      </c>
    </row>
    <row r="5428">
      <c r="A5428" t="inlineStr">
        <is>
          <t>Soja</t>
        </is>
      </c>
      <c r="B5428" t="inlineStr">
        <is>
          <t>Limoeiro do Norte - CE</t>
        </is>
      </c>
      <c r="C5428" t="n">
        <v>-5.14392</v>
      </c>
      <c r="D5428" t="n">
        <v>-38.0847</v>
      </c>
      <c r="E5428" t="inlineStr">
        <is>
          <t>2024-09</t>
        </is>
      </c>
      <c r="F5428" t="n">
        <v>0</v>
      </c>
    </row>
    <row r="5429">
      <c r="A5429" t="inlineStr">
        <is>
          <t>Soja</t>
        </is>
      </c>
      <c r="B5429" t="inlineStr">
        <is>
          <t>Limoeiro do Norte - CE</t>
        </is>
      </c>
      <c r="C5429" t="n">
        <v>-5.14392</v>
      </c>
      <c r="D5429" t="n">
        <v>-38.0847</v>
      </c>
      <c r="E5429" t="inlineStr">
        <is>
          <t>2024-10</t>
        </is>
      </c>
      <c r="F5429" t="n">
        <v>0</v>
      </c>
    </row>
    <row r="5430">
      <c r="A5430" t="inlineStr">
        <is>
          <t>Soja</t>
        </is>
      </c>
      <c r="B5430" t="inlineStr">
        <is>
          <t>Limoeiro do Norte - CE</t>
        </is>
      </c>
      <c r="C5430" t="n">
        <v>-5.14392</v>
      </c>
      <c r="D5430" t="n">
        <v>-38.0847</v>
      </c>
      <c r="E5430" t="inlineStr">
        <is>
          <t>2024-11</t>
        </is>
      </c>
      <c r="F5430" t="n">
        <v>0</v>
      </c>
    </row>
    <row r="5431">
      <c r="A5431" t="inlineStr">
        <is>
          <t>Soja</t>
        </is>
      </c>
      <c r="B5431" t="inlineStr">
        <is>
          <t>Limoeiro do Norte - CE</t>
        </is>
      </c>
      <c r="C5431" t="n">
        <v>-5.14392</v>
      </c>
      <c r="D5431" t="n">
        <v>-38.0847</v>
      </c>
      <c r="E5431" t="inlineStr">
        <is>
          <t>2024-12</t>
        </is>
      </c>
      <c r="F5431" t="n">
        <v>0</v>
      </c>
    </row>
    <row r="5432">
      <c r="A5432" t="inlineStr">
        <is>
          <t>Soja</t>
        </is>
      </c>
      <c r="B5432" t="inlineStr">
        <is>
          <t>Pinheiros - ES</t>
        </is>
      </c>
      <c r="C5432" t="n">
        <v>-18.4141</v>
      </c>
      <c r="D5432" t="n">
        <v>-40.2171</v>
      </c>
      <c r="E5432" t="inlineStr">
        <is>
          <t>2025-01</t>
        </is>
      </c>
      <c r="F5432" t="n">
        <v>0</v>
      </c>
    </row>
    <row r="5433">
      <c r="A5433" t="inlineStr">
        <is>
          <t>Soja</t>
        </is>
      </c>
      <c r="B5433" t="inlineStr">
        <is>
          <t>Pinheiros - ES</t>
        </is>
      </c>
      <c r="C5433" t="n">
        <v>-18.4141</v>
      </c>
      <c r="D5433" t="n">
        <v>-40.2171</v>
      </c>
      <c r="E5433" t="inlineStr">
        <is>
          <t>2025-02</t>
        </is>
      </c>
      <c r="F5433" t="n">
        <v>0</v>
      </c>
    </row>
    <row r="5434">
      <c r="A5434" t="inlineStr">
        <is>
          <t>Soja</t>
        </is>
      </c>
      <c r="B5434" t="inlineStr">
        <is>
          <t>Pinheiros - ES</t>
        </is>
      </c>
      <c r="C5434" t="n">
        <v>-18.4141</v>
      </c>
      <c r="D5434" t="n">
        <v>-40.2171</v>
      </c>
      <c r="E5434" t="inlineStr">
        <is>
          <t>2025-03</t>
        </is>
      </c>
      <c r="F5434" t="n">
        <v>0</v>
      </c>
    </row>
    <row r="5435">
      <c r="A5435" t="inlineStr">
        <is>
          <t>Soja</t>
        </is>
      </c>
      <c r="B5435" t="inlineStr">
        <is>
          <t>Pinheiros - ES</t>
        </is>
      </c>
      <c r="C5435" t="n">
        <v>-18.4141</v>
      </c>
      <c r="D5435" t="n">
        <v>-40.2171</v>
      </c>
      <c r="E5435" t="inlineStr">
        <is>
          <t>2025-04</t>
        </is>
      </c>
      <c r="F5435" t="n">
        <v>0</v>
      </c>
    </row>
    <row r="5436">
      <c r="A5436" t="inlineStr">
        <is>
          <t>Soja</t>
        </is>
      </c>
      <c r="B5436" t="inlineStr">
        <is>
          <t>Pinheiros - ES</t>
        </is>
      </c>
      <c r="C5436" t="n">
        <v>-18.4141</v>
      </c>
      <c r="D5436" t="n">
        <v>-40.2171</v>
      </c>
      <c r="E5436" t="inlineStr">
        <is>
          <t>2025-05</t>
        </is>
      </c>
      <c r="F5436" t="n">
        <v>0</v>
      </c>
    </row>
    <row r="5437">
      <c r="A5437" t="inlineStr">
        <is>
          <t>Soja</t>
        </is>
      </c>
      <c r="B5437" t="inlineStr">
        <is>
          <t>Pinheiros - ES</t>
        </is>
      </c>
      <c r="C5437" t="n">
        <v>-18.4141</v>
      </c>
      <c r="D5437" t="n">
        <v>-40.2171</v>
      </c>
      <c r="E5437" t="inlineStr">
        <is>
          <t>2025-06</t>
        </is>
      </c>
      <c r="F5437" t="n">
        <v>0</v>
      </c>
    </row>
    <row r="5438">
      <c r="A5438" t="inlineStr">
        <is>
          <t>Soja</t>
        </is>
      </c>
      <c r="B5438" t="inlineStr">
        <is>
          <t>Pinheiros - ES</t>
        </is>
      </c>
      <c r="C5438" t="n">
        <v>-18.4141</v>
      </c>
      <c r="D5438" t="n">
        <v>-40.2171</v>
      </c>
      <c r="E5438" t="inlineStr">
        <is>
          <t>2024-07</t>
        </is>
      </c>
      <c r="F5438" t="n">
        <v>0</v>
      </c>
    </row>
    <row r="5439">
      <c r="A5439" t="inlineStr">
        <is>
          <t>Soja</t>
        </is>
      </c>
      <c r="B5439" t="inlineStr">
        <is>
          <t>Pinheiros - ES</t>
        </is>
      </c>
      <c r="C5439" t="n">
        <v>-18.4141</v>
      </c>
      <c r="D5439" t="n">
        <v>-40.2171</v>
      </c>
      <c r="E5439" t="inlineStr">
        <is>
          <t>2024-08</t>
        </is>
      </c>
      <c r="F5439" t="n">
        <v>0</v>
      </c>
    </row>
    <row r="5440">
      <c r="A5440" t="inlineStr">
        <is>
          <t>Soja</t>
        </is>
      </c>
      <c r="B5440" t="inlineStr">
        <is>
          <t>Pinheiros - ES</t>
        </is>
      </c>
      <c r="C5440" t="n">
        <v>-18.4141</v>
      </c>
      <c r="D5440" t="n">
        <v>-40.2171</v>
      </c>
      <c r="E5440" t="inlineStr">
        <is>
          <t>2024-09</t>
        </is>
      </c>
      <c r="F5440" t="n">
        <v>0</v>
      </c>
    </row>
    <row r="5441">
      <c r="A5441" t="inlineStr">
        <is>
          <t>Soja</t>
        </is>
      </c>
      <c r="B5441" t="inlineStr">
        <is>
          <t>Pinheiros - ES</t>
        </is>
      </c>
      <c r="C5441" t="n">
        <v>-18.4141</v>
      </c>
      <c r="D5441" t="n">
        <v>-40.2171</v>
      </c>
      <c r="E5441" t="inlineStr">
        <is>
          <t>2024-10</t>
        </is>
      </c>
      <c r="F5441" t="n">
        <v>0</v>
      </c>
    </row>
    <row r="5442">
      <c r="A5442" t="inlineStr">
        <is>
          <t>Soja</t>
        </is>
      </c>
      <c r="B5442" t="inlineStr">
        <is>
          <t>Pinheiros - ES</t>
        </is>
      </c>
      <c r="C5442" t="n">
        <v>-18.4141</v>
      </c>
      <c r="D5442" t="n">
        <v>-40.2171</v>
      </c>
      <c r="E5442" t="inlineStr">
        <is>
          <t>2024-11</t>
        </is>
      </c>
      <c r="F5442" t="n">
        <v>0</v>
      </c>
    </row>
    <row r="5443">
      <c r="A5443" t="inlineStr">
        <is>
          <t>Soja</t>
        </is>
      </c>
      <c r="B5443" t="inlineStr">
        <is>
          <t>Pinheiros - ES</t>
        </is>
      </c>
      <c r="C5443" t="n">
        <v>-18.4141</v>
      </c>
      <c r="D5443" t="n">
        <v>-40.2171</v>
      </c>
      <c r="E5443" t="inlineStr">
        <is>
          <t>2024-12</t>
        </is>
      </c>
      <c r="F5443" t="n">
        <v>0</v>
      </c>
    </row>
    <row r="5444">
      <c r="A5444" t="inlineStr">
        <is>
          <t>Soja</t>
        </is>
      </c>
      <c r="B5444" t="inlineStr">
        <is>
          <t>Campos dos Goytacazes - RJ</t>
        </is>
      </c>
      <c r="C5444" t="n">
        <v>-21.7622</v>
      </c>
      <c r="D5444" t="n">
        <v>-41.3181</v>
      </c>
      <c r="E5444" t="inlineStr">
        <is>
          <t>2025-01</t>
        </is>
      </c>
      <c r="F5444" t="n">
        <v>0</v>
      </c>
    </row>
    <row r="5445">
      <c r="A5445" t="inlineStr">
        <is>
          <t>Soja</t>
        </is>
      </c>
      <c r="B5445" t="inlineStr">
        <is>
          <t>Campos dos Goytacazes - RJ</t>
        </is>
      </c>
      <c r="C5445" t="n">
        <v>-21.7622</v>
      </c>
      <c r="D5445" t="n">
        <v>-41.3181</v>
      </c>
      <c r="E5445" t="inlineStr">
        <is>
          <t>2025-02</t>
        </is>
      </c>
      <c r="F5445" t="n">
        <v>0</v>
      </c>
    </row>
    <row r="5446">
      <c r="A5446" t="inlineStr">
        <is>
          <t>Soja</t>
        </is>
      </c>
      <c r="B5446" t="inlineStr">
        <is>
          <t>Campos dos Goytacazes - RJ</t>
        </is>
      </c>
      <c r="C5446" t="n">
        <v>-21.7622</v>
      </c>
      <c r="D5446" t="n">
        <v>-41.3181</v>
      </c>
      <c r="E5446" t="inlineStr">
        <is>
          <t>2025-03</t>
        </is>
      </c>
      <c r="F5446" t="n">
        <v>0</v>
      </c>
    </row>
    <row r="5447">
      <c r="A5447" t="inlineStr">
        <is>
          <t>Soja</t>
        </is>
      </c>
      <c r="B5447" t="inlineStr">
        <is>
          <t>Campos dos Goytacazes - RJ</t>
        </is>
      </c>
      <c r="C5447" t="n">
        <v>-21.7622</v>
      </c>
      <c r="D5447" t="n">
        <v>-41.3181</v>
      </c>
      <c r="E5447" t="inlineStr">
        <is>
          <t>2025-04</t>
        </is>
      </c>
      <c r="F5447" t="n">
        <v>0</v>
      </c>
    </row>
    <row r="5448">
      <c r="A5448" t="inlineStr">
        <is>
          <t>Soja</t>
        </is>
      </c>
      <c r="B5448" t="inlineStr">
        <is>
          <t>Campos dos Goytacazes - RJ</t>
        </is>
      </c>
      <c r="C5448" t="n">
        <v>-21.7622</v>
      </c>
      <c r="D5448" t="n">
        <v>-41.3181</v>
      </c>
      <c r="E5448" t="inlineStr">
        <is>
          <t>2025-05</t>
        </is>
      </c>
      <c r="F5448" t="n">
        <v>0</v>
      </c>
    </row>
    <row r="5449">
      <c r="A5449" t="inlineStr">
        <is>
          <t>Soja</t>
        </is>
      </c>
      <c r="B5449" t="inlineStr">
        <is>
          <t>Campos dos Goytacazes - RJ</t>
        </is>
      </c>
      <c r="C5449" t="n">
        <v>-21.7622</v>
      </c>
      <c r="D5449" t="n">
        <v>-41.3181</v>
      </c>
      <c r="E5449" t="inlineStr">
        <is>
          <t>2025-06</t>
        </is>
      </c>
      <c r="F5449" t="n">
        <v>0</v>
      </c>
    </row>
    <row r="5450">
      <c r="A5450" t="inlineStr">
        <is>
          <t>Soja</t>
        </is>
      </c>
      <c r="B5450" t="inlineStr">
        <is>
          <t>Campos dos Goytacazes - RJ</t>
        </is>
      </c>
      <c r="C5450" t="n">
        <v>-21.7622</v>
      </c>
      <c r="D5450" t="n">
        <v>-41.3181</v>
      </c>
      <c r="E5450" t="inlineStr">
        <is>
          <t>2024-07</t>
        </is>
      </c>
      <c r="F5450" t="n">
        <v>0</v>
      </c>
    </row>
    <row r="5451">
      <c r="A5451" t="inlineStr">
        <is>
          <t>Soja</t>
        </is>
      </c>
      <c r="B5451" t="inlineStr">
        <is>
          <t>Campos dos Goytacazes - RJ</t>
        </is>
      </c>
      <c r="C5451" t="n">
        <v>-21.7622</v>
      </c>
      <c r="D5451" t="n">
        <v>-41.3181</v>
      </c>
      <c r="E5451" t="inlineStr">
        <is>
          <t>2024-08</t>
        </is>
      </c>
      <c r="F5451" t="n">
        <v>0</v>
      </c>
    </row>
    <row r="5452">
      <c r="A5452" t="inlineStr">
        <is>
          <t>Soja</t>
        </is>
      </c>
      <c r="B5452" t="inlineStr">
        <is>
          <t>Campos dos Goytacazes - RJ</t>
        </is>
      </c>
      <c r="C5452" t="n">
        <v>-21.7622</v>
      </c>
      <c r="D5452" t="n">
        <v>-41.3181</v>
      </c>
      <c r="E5452" t="inlineStr">
        <is>
          <t>2024-09</t>
        </is>
      </c>
      <c r="F5452" t="n">
        <v>0</v>
      </c>
    </row>
    <row r="5453">
      <c r="A5453" t="inlineStr">
        <is>
          <t>Soja</t>
        </is>
      </c>
      <c r="B5453" t="inlineStr">
        <is>
          <t>Campos dos Goytacazes - RJ</t>
        </is>
      </c>
      <c r="C5453" t="n">
        <v>-21.7622</v>
      </c>
      <c r="D5453" t="n">
        <v>-41.3181</v>
      </c>
      <c r="E5453" t="inlineStr">
        <is>
          <t>2024-10</t>
        </is>
      </c>
      <c r="F5453" t="n">
        <v>0</v>
      </c>
    </row>
    <row r="5454">
      <c r="A5454" t="inlineStr">
        <is>
          <t>Soja</t>
        </is>
      </c>
      <c r="B5454" t="inlineStr">
        <is>
          <t>Campos dos Goytacazes - RJ</t>
        </is>
      </c>
      <c r="C5454" t="n">
        <v>-21.7622</v>
      </c>
      <c r="D5454" t="n">
        <v>-41.3181</v>
      </c>
      <c r="E5454" t="inlineStr">
        <is>
          <t>2024-11</t>
        </is>
      </c>
      <c r="F5454" t="n">
        <v>0</v>
      </c>
    </row>
    <row r="5455">
      <c r="A5455" t="inlineStr">
        <is>
          <t>Soja</t>
        </is>
      </c>
      <c r="B5455" t="inlineStr">
        <is>
          <t>Campos dos Goytacazes - RJ</t>
        </is>
      </c>
      <c r="C5455" t="n">
        <v>-21.7622</v>
      </c>
      <c r="D5455" t="n">
        <v>-41.3181</v>
      </c>
      <c r="E5455" t="inlineStr">
        <is>
          <t>2024-12</t>
        </is>
      </c>
      <c r="F5455" t="n">
        <v>0</v>
      </c>
    </row>
    <row r="5456">
      <c r="A5456" t="inlineStr">
        <is>
          <t>Soja</t>
        </is>
      </c>
      <c r="B5456" t="inlineStr">
        <is>
          <t>Alto do Rodrigues - RN</t>
        </is>
      </c>
      <c r="C5456" t="n">
        <v>-5.28186</v>
      </c>
      <c r="D5456" t="n">
        <v>-36.75</v>
      </c>
      <c r="E5456" t="inlineStr">
        <is>
          <t>2025-01</t>
        </is>
      </c>
      <c r="F5456" t="n">
        <v>0</v>
      </c>
    </row>
    <row r="5457">
      <c r="A5457" t="inlineStr">
        <is>
          <t>Soja</t>
        </is>
      </c>
      <c r="B5457" t="inlineStr">
        <is>
          <t>Alto do Rodrigues - RN</t>
        </is>
      </c>
      <c r="C5457" t="n">
        <v>-5.28186</v>
      </c>
      <c r="D5457" t="n">
        <v>-36.75</v>
      </c>
      <c r="E5457" t="inlineStr">
        <is>
          <t>2025-02</t>
        </is>
      </c>
      <c r="F5457" t="n">
        <v>0</v>
      </c>
    </row>
    <row r="5458">
      <c r="A5458" t="inlineStr">
        <is>
          <t>Soja</t>
        </is>
      </c>
      <c r="B5458" t="inlineStr">
        <is>
          <t>Alto do Rodrigues - RN</t>
        </is>
      </c>
      <c r="C5458" t="n">
        <v>-5.28186</v>
      </c>
      <c r="D5458" t="n">
        <v>-36.75</v>
      </c>
      <c r="E5458" t="inlineStr">
        <is>
          <t>2025-03</t>
        </is>
      </c>
      <c r="F5458" t="n">
        <v>0</v>
      </c>
    </row>
    <row r="5459">
      <c r="A5459" t="inlineStr">
        <is>
          <t>Soja</t>
        </is>
      </c>
      <c r="B5459" t="inlineStr">
        <is>
          <t>Alto do Rodrigues - RN</t>
        </is>
      </c>
      <c r="C5459" t="n">
        <v>-5.28186</v>
      </c>
      <c r="D5459" t="n">
        <v>-36.75</v>
      </c>
      <c r="E5459" t="inlineStr">
        <is>
          <t>2025-04</t>
        </is>
      </c>
      <c r="F5459" t="n">
        <v>0</v>
      </c>
    </row>
    <row r="5460">
      <c r="A5460" t="inlineStr">
        <is>
          <t>Soja</t>
        </is>
      </c>
      <c r="B5460" t="inlineStr">
        <is>
          <t>Alto do Rodrigues - RN</t>
        </is>
      </c>
      <c r="C5460" t="n">
        <v>-5.28186</v>
      </c>
      <c r="D5460" t="n">
        <v>-36.75</v>
      </c>
      <c r="E5460" t="inlineStr">
        <is>
          <t>2025-05</t>
        </is>
      </c>
      <c r="F5460" t="n">
        <v>0</v>
      </c>
    </row>
    <row r="5461">
      <c r="A5461" t="inlineStr">
        <is>
          <t>Soja</t>
        </is>
      </c>
      <c r="B5461" t="inlineStr">
        <is>
          <t>Alto do Rodrigues - RN</t>
        </is>
      </c>
      <c r="C5461" t="n">
        <v>-5.28186</v>
      </c>
      <c r="D5461" t="n">
        <v>-36.75</v>
      </c>
      <c r="E5461" t="inlineStr">
        <is>
          <t>2025-06</t>
        </is>
      </c>
      <c r="F5461" t="n">
        <v>0</v>
      </c>
    </row>
    <row r="5462">
      <c r="A5462" t="inlineStr">
        <is>
          <t>Soja</t>
        </is>
      </c>
      <c r="B5462" t="inlineStr">
        <is>
          <t>Alto do Rodrigues - RN</t>
        </is>
      </c>
      <c r="C5462" t="n">
        <v>-5.28186</v>
      </c>
      <c r="D5462" t="n">
        <v>-36.75</v>
      </c>
      <c r="E5462" t="inlineStr">
        <is>
          <t>2024-07</t>
        </is>
      </c>
      <c r="F5462" t="n">
        <v>0</v>
      </c>
    </row>
    <row r="5463">
      <c r="A5463" t="inlineStr">
        <is>
          <t>Soja</t>
        </is>
      </c>
      <c r="B5463" t="inlineStr">
        <is>
          <t>Alto do Rodrigues - RN</t>
        </is>
      </c>
      <c r="C5463" t="n">
        <v>-5.28186</v>
      </c>
      <c r="D5463" t="n">
        <v>-36.75</v>
      </c>
      <c r="E5463" t="inlineStr">
        <is>
          <t>2024-08</t>
        </is>
      </c>
      <c r="F5463" t="n">
        <v>0</v>
      </c>
    </row>
    <row r="5464">
      <c r="A5464" t="inlineStr">
        <is>
          <t>Soja</t>
        </is>
      </c>
      <c r="B5464" t="inlineStr">
        <is>
          <t>Alto do Rodrigues - RN</t>
        </is>
      </c>
      <c r="C5464" t="n">
        <v>-5.28186</v>
      </c>
      <c r="D5464" t="n">
        <v>-36.75</v>
      </c>
      <c r="E5464" t="inlineStr">
        <is>
          <t>2024-09</t>
        </is>
      </c>
      <c r="F5464" t="n">
        <v>0</v>
      </c>
    </row>
    <row r="5465">
      <c r="A5465" t="inlineStr">
        <is>
          <t>Soja</t>
        </is>
      </c>
      <c r="B5465" t="inlineStr">
        <is>
          <t>Alto do Rodrigues - RN</t>
        </is>
      </c>
      <c r="C5465" t="n">
        <v>-5.28186</v>
      </c>
      <c r="D5465" t="n">
        <v>-36.75</v>
      </c>
      <c r="E5465" t="inlineStr">
        <is>
          <t>2024-10</t>
        </is>
      </c>
      <c r="F5465" t="n">
        <v>0</v>
      </c>
    </row>
    <row r="5466">
      <c r="A5466" t="inlineStr">
        <is>
          <t>Soja</t>
        </is>
      </c>
      <c r="B5466" t="inlineStr">
        <is>
          <t>Alto do Rodrigues - RN</t>
        </is>
      </c>
      <c r="C5466" t="n">
        <v>-5.28186</v>
      </c>
      <c r="D5466" t="n">
        <v>-36.75</v>
      </c>
      <c r="E5466" t="inlineStr">
        <is>
          <t>2024-11</t>
        </is>
      </c>
      <c r="F5466" t="n">
        <v>0</v>
      </c>
    </row>
    <row r="5467">
      <c r="A5467" t="inlineStr">
        <is>
          <t>Soja</t>
        </is>
      </c>
      <c r="B5467" t="inlineStr">
        <is>
          <t>Alto do Rodrigues - RN</t>
        </is>
      </c>
      <c r="C5467" t="n">
        <v>-5.28186</v>
      </c>
      <c r="D5467" t="n">
        <v>-36.75</v>
      </c>
      <c r="E5467" t="inlineStr">
        <is>
          <t>2024-12</t>
        </is>
      </c>
      <c r="F5467" t="n">
        <v>0</v>
      </c>
    </row>
    <row r="5468">
      <c r="A5468" t="inlineStr">
        <is>
          <t>Soja</t>
        </is>
      </c>
      <c r="B5468" t="inlineStr">
        <is>
          <t>Humaitá - AM</t>
        </is>
      </c>
      <c r="C5468" t="n">
        <v>-7.51171</v>
      </c>
      <c r="D5468" t="n">
        <v>-63.0327</v>
      </c>
      <c r="E5468" t="inlineStr">
        <is>
          <t>2025-01</t>
        </is>
      </c>
      <c r="F5468" t="n">
        <v>15528.4164004876</v>
      </c>
    </row>
    <row r="5469">
      <c r="A5469" t="inlineStr">
        <is>
          <t>Soja</t>
        </is>
      </c>
      <c r="B5469" t="inlineStr">
        <is>
          <t>Humaitá - AM</t>
        </is>
      </c>
      <c r="C5469" t="n">
        <v>-7.51171</v>
      </c>
      <c r="D5469" t="n">
        <v>-63.0327</v>
      </c>
      <c r="E5469" t="inlineStr">
        <is>
          <t>2025-02</t>
        </is>
      </c>
      <c r="F5469" t="n">
        <v>15528.4164004876</v>
      </c>
    </row>
    <row r="5470">
      <c r="A5470" t="inlineStr">
        <is>
          <t>Soja</t>
        </is>
      </c>
      <c r="B5470" t="inlineStr">
        <is>
          <t>Humaitá - AM</t>
        </is>
      </c>
      <c r="C5470" t="n">
        <v>-7.51171</v>
      </c>
      <c r="D5470" t="n">
        <v>-63.0327</v>
      </c>
      <c r="E5470" t="inlineStr">
        <is>
          <t>2025-03</t>
        </is>
      </c>
      <c r="F5470" t="n">
        <v>9317.0498402926</v>
      </c>
    </row>
    <row r="5471">
      <c r="A5471" t="inlineStr">
        <is>
          <t>Soja</t>
        </is>
      </c>
      <c r="B5471" t="inlineStr">
        <is>
          <t>Humaitá - AM</t>
        </is>
      </c>
      <c r="C5471" t="n">
        <v>-7.51171</v>
      </c>
      <c r="D5471" t="n">
        <v>-63.0327</v>
      </c>
      <c r="E5471" t="inlineStr">
        <is>
          <t>2025-04</t>
        </is>
      </c>
      <c r="F5471" t="n">
        <v>0</v>
      </c>
    </row>
    <row r="5472">
      <c r="A5472" t="inlineStr">
        <is>
          <t>Soja</t>
        </is>
      </c>
      <c r="B5472" t="inlineStr">
        <is>
          <t>Humaitá - AM</t>
        </is>
      </c>
      <c r="C5472" t="n">
        <v>-7.51171</v>
      </c>
      <c r="D5472" t="n">
        <v>-63.0327</v>
      </c>
      <c r="E5472" t="inlineStr">
        <is>
          <t>2025-05</t>
        </is>
      </c>
      <c r="F5472" t="n">
        <v>0</v>
      </c>
    </row>
    <row r="5473">
      <c r="A5473" t="inlineStr">
        <is>
          <t>Soja</t>
        </is>
      </c>
      <c r="B5473" t="inlineStr">
        <is>
          <t>Humaitá - AM</t>
        </is>
      </c>
      <c r="C5473" t="n">
        <v>-7.51171</v>
      </c>
      <c r="D5473" t="n">
        <v>-63.0327</v>
      </c>
      <c r="E5473" t="inlineStr">
        <is>
          <t>2025-06</t>
        </is>
      </c>
      <c r="F5473" t="n">
        <v>0</v>
      </c>
    </row>
    <row r="5474">
      <c r="A5474" t="inlineStr">
        <is>
          <t>Soja</t>
        </is>
      </c>
      <c r="B5474" t="inlineStr">
        <is>
          <t>Humaitá - AM</t>
        </is>
      </c>
      <c r="C5474" t="n">
        <v>-7.51171</v>
      </c>
      <c r="D5474" t="n">
        <v>-63.0327</v>
      </c>
      <c r="E5474" t="inlineStr">
        <is>
          <t>2024-07</t>
        </is>
      </c>
      <c r="F5474" t="n">
        <v>0</v>
      </c>
    </row>
    <row r="5475">
      <c r="A5475" t="inlineStr">
        <is>
          <t>Soja</t>
        </is>
      </c>
      <c r="B5475" t="inlineStr">
        <is>
          <t>Humaitá - AM</t>
        </is>
      </c>
      <c r="C5475" t="n">
        <v>-7.51171</v>
      </c>
      <c r="D5475" t="n">
        <v>-63.0327</v>
      </c>
      <c r="E5475" t="inlineStr">
        <is>
          <t>2024-08</t>
        </is>
      </c>
      <c r="F5475" t="n">
        <v>0</v>
      </c>
    </row>
    <row r="5476">
      <c r="A5476" t="inlineStr">
        <is>
          <t>Soja</t>
        </is>
      </c>
      <c r="B5476" t="inlineStr">
        <is>
          <t>Humaitá - AM</t>
        </is>
      </c>
      <c r="C5476" t="n">
        <v>-7.51171</v>
      </c>
      <c r="D5476" t="n">
        <v>-63.0327</v>
      </c>
      <c r="E5476" t="inlineStr">
        <is>
          <t>2024-09</t>
        </is>
      </c>
      <c r="F5476" t="n">
        <v>0</v>
      </c>
    </row>
    <row r="5477">
      <c r="A5477" t="inlineStr">
        <is>
          <t>Soja</t>
        </is>
      </c>
      <c r="B5477" t="inlineStr">
        <is>
          <t>Humaitá - AM</t>
        </is>
      </c>
      <c r="C5477" t="n">
        <v>-7.51171</v>
      </c>
      <c r="D5477" t="n">
        <v>-63.0327</v>
      </c>
      <c r="E5477" t="inlineStr">
        <is>
          <t>2024-10</t>
        </is>
      </c>
      <c r="F5477" t="n">
        <v>0</v>
      </c>
    </row>
    <row r="5478">
      <c r="A5478" t="inlineStr">
        <is>
          <t>Soja</t>
        </is>
      </c>
      <c r="B5478" t="inlineStr">
        <is>
          <t>Humaitá - AM</t>
        </is>
      </c>
      <c r="C5478" t="n">
        <v>-7.51171</v>
      </c>
      <c r="D5478" t="n">
        <v>-63.0327</v>
      </c>
      <c r="E5478" t="inlineStr">
        <is>
          <t>2024-11</t>
        </is>
      </c>
      <c r="F5478" t="n">
        <v>0</v>
      </c>
    </row>
    <row r="5479">
      <c r="A5479" t="inlineStr">
        <is>
          <t>Soja</t>
        </is>
      </c>
      <c r="B5479" t="inlineStr">
        <is>
          <t>Humaitá - AM</t>
        </is>
      </c>
      <c r="C5479" t="n">
        <v>-7.51171</v>
      </c>
      <c r="D5479" t="n">
        <v>-63.0327</v>
      </c>
      <c r="E5479" t="inlineStr">
        <is>
          <t>2024-12</t>
        </is>
      </c>
      <c r="F5479" t="n">
        <v>4658.5249201463</v>
      </c>
    </row>
    <row r="5480">
      <c r="A5480" t="inlineStr">
        <is>
          <t>Soja</t>
        </is>
      </c>
      <c r="B5480" t="inlineStr">
        <is>
          <t>São Desidério - BA</t>
        </is>
      </c>
      <c r="C5480" t="n">
        <v>-12.3572</v>
      </c>
      <c r="D5480" t="n">
        <v>-44.9769</v>
      </c>
      <c r="E5480" t="inlineStr">
        <is>
          <t>2025-01</t>
        </is>
      </c>
      <c r="F5480" t="n">
        <v>0</v>
      </c>
    </row>
    <row r="5481">
      <c r="A5481" t="inlineStr">
        <is>
          <t>Soja</t>
        </is>
      </c>
      <c r="B5481" t="inlineStr">
        <is>
          <t>São Desidério - BA</t>
        </is>
      </c>
      <c r="C5481" t="n">
        <v>-12.3572</v>
      </c>
      <c r="D5481" t="n">
        <v>-44.9769</v>
      </c>
      <c r="E5481" t="inlineStr">
        <is>
          <t>2025-02</t>
        </is>
      </c>
      <c r="F5481" t="n">
        <v>1831462.839383914</v>
      </c>
    </row>
    <row r="5482">
      <c r="A5482" t="inlineStr">
        <is>
          <t>Soja</t>
        </is>
      </c>
      <c r="B5482" t="inlineStr">
        <is>
          <t>São Desidério - BA</t>
        </is>
      </c>
      <c r="C5482" t="n">
        <v>-12.3572</v>
      </c>
      <c r="D5482" t="n">
        <v>-44.9769</v>
      </c>
      <c r="E5482" t="inlineStr">
        <is>
          <t>2025-03</t>
        </is>
      </c>
      <c r="F5482" t="n">
        <v>3052438.065639857</v>
      </c>
    </row>
    <row r="5483">
      <c r="A5483" t="inlineStr">
        <is>
          <t>Soja</t>
        </is>
      </c>
      <c r="B5483" t="inlineStr">
        <is>
          <t>São Desidério - BA</t>
        </is>
      </c>
      <c r="C5483" t="n">
        <v>-12.3572</v>
      </c>
      <c r="D5483" t="n">
        <v>-44.9769</v>
      </c>
      <c r="E5483" t="inlineStr">
        <is>
          <t>2025-04</t>
        </is>
      </c>
      <c r="F5483" t="n">
        <v>3052438.065639857</v>
      </c>
    </row>
    <row r="5484">
      <c r="A5484" t="inlineStr">
        <is>
          <t>Soja</t>
        </is>
      </c>
      <c r="B5484" t="inlineStr">
        <is>
          <t>São Desidério - BA</t>
        </is>
      </c>
      <c r="C5484" t="n">
        <v>-12.3572</v>
      </c>
      <c r="D5484" t="n">
        <v>-44.9769</v>
      </c>
      <c r="E5484" t="inlineStr">
        <is>
          <t>2025-05</t>
        </is>
      </c>
      <c r="F5484" t="n">
        <v>915731.4196919572</v>
      </c>
    </row>
    <row r="5485">
      <c r="A5485" t="inlineStr">
        <is>
          <t>Soja</t>
        </is>
      </c>
      <c r="B5485" t="inlineStr">
        <is>
          <t>São Desidério - BA</t>
        </is>
      </c>
      <c r="C5485" t="n">
        <v>-12.3572</v>
      </c>
      <c r="D5485" t="n">
        <v>-44.9769</v>
      </c>
      <c r="E5485" t="inlineStr">
        <is>
          <t>2025-06</t>
        </is>
      </c>
      <c r="F5485" t="n">
        <v>0</v>
      </c>
    </row>
    <row r="5486">
      <c r="A5486" t="inlineStr">
        <is>
          <t>Soja</t>
        </is>
      </c>
      <c r="B5486" t="inlineStr">
        <is>
          <t>São Desidério - BA</t>
        </is>
      </c>
      <c r="C5486" t="n">
        <v>-12.3572</v>
      </c>
      <c r="D5486" t="n">
        <v>-44.9769</v>
      </c>
      <c r="E5486" t="inlineStr">
        <is>
          <t>2024-07</t>
        </is>
      </c>
      <c r="F5486" t="n">
        <v>0</v>
      </c>
    </row>
    <row r="5487">
      <c r="A5487" t="inlineStr">
        <is>
          <t>Soja</t>
        </is>
      </c>
      <c r="B5487" t="inlineStr">
        <is>
          <t>São Desidério - BA</t>
        </is>
      </c>
      <c r="C5487" t="n">
        <v>-12.3572</v>
      </c>
      <c r="D5487" t="n">
        <v>-44.9769</v>
      </c>
      <c r="E5487" t="inlineStr">
        <is>
          <t>2024-08</t>
        </is>
      </c>
      <c r="F5487" t="n">
        <v>0</v>
      </c>
    </row>
    <row r="5488">
      <c r="A5488" t="inlineStr">
        <is>
          <t>Soja</t>
        </is>
      </c>
      <c r="B5488" t="inlineStr">
        <is>
          <t>São Desidério - BA</t>
        </is>
      </c>
      <c r="C5488" t="n">
        <v>-12.3572</v>
      </c>
      <c r="D5488" t="n">
        <v>-44.9769</v>
      </c>
      <c r="E5488" t="inlineStr">
        <is>
          <t>2024-09</t>
        </is>
      </c>
      <c r="F5488" t="n">
        <v>0</v>
      </c>
    </row>
    <row r="5489">
      <c r="A5489" t="inlineStr">
        <is>
          <t>Soja</t>
        </is>
      </c>
      <c r="B5489" t="inlineStr">
        <is>
          <t>São Desidério - BA</t>
        </is>
      </c>
      <c r="C5489" t="n">
        <v>-12.3572</v>
      </c>
      <c r="D5489" t="n">
        <v>-44.9769</v>
      </c>
      <c r="E5489" t="inlineStr">
        <is>
          <t>2024-10</t>
        </is>
      </c>
      <c r="F5489" t="n">
        <v>0</v>
      </c>
    </row>
    <row r="5490">
      <c r="A5490" t="inlineStr">
        <is>
          <t>Soja</t>
        </is>
      </c>
      <c r="B5490" t="inlineStr">
        <is>
          <t>São Desidério - BA</t>
        </is>
      </c>
      <c r="C5490" t="n">
        <v>-12.3572</v>
      </c>
      <c r="D5490" t="n">
        <v>-44.9769</v>
      </c>
      <c r="E5490" t="inlineStr">
        <is>
          <t>2024-11</t>
        </is>
      </c>
      <c r="F5490" t="n">
        <v>0</v>
      </c>
    </row>
    <row r="5491">
      <c r="A5491" t="inlineStr">
        <is>
          <t>Soja</t>
        </is>
      </c>
      <c r="B5491" t="inlineStr">
        <is>
          <t>São Desidério - BA</t>
        </is>
      </c>
      <c r="C5491" t="n">
        <v>-12.3572</v>
      </c>
      <c r="D5491" t="n">
        <v>-44.9769</v>
      </c>
      <c r="E5491" t="inlineStr">
        <is>
          <t>2024-12</t>
        </is>
      </c>
      <c r="F5491" t="n">
        <v>0</v>
      </c>
    </row>
    <row r="5492">
      <c r="A5492" t="inlineStr">
        <is>
          <t>Soja</t>
        </is>
      </c>
      <c r="B5492" t="inlineStr">
        <is>
          <t>Brasília - DF</t>
        </is>
      </c>
      <c r="C5492" t="n">
        <v>-15.7795</v>
      </c>
      <c r="D5492" t="n">
        <v>-47.9297</v>
      </c>
      <c r="E5492" t="inlineStr">
        <is>
          <t>2025-01</t>
        </is>
      </c>
      <c r="F5492" t="n">
        <v>0</v>
      </c>
    </row>
    <row r="5493">
      <c r="A5493" t="inlineStr">
        <is>
          <t>Soja</t>
        </is>
      </c>
      <c r="B5493" t="inlineStr">
        <is>
          <t>Brasília - DF</t>
        </is>
      </c>
      <c r="C5493" t="n">
        <v>-15.7795</v>
      </c>
      <c r="D5493" t="n">
        <v>-47.9297</v>
      </c>
      <c r="E5493" t="inlineStr">
        <is>
          <t>2025-02</t>
        </is>
      </c>
      <c r="F5493" t="n">
        <v>63645.8026867987</v>
      </c>
    </row>
    <row r="5494">
      <c r="A5494" t="inlineStr">
        <is>
          <t>Soja</t>
        </is>
      </c>
      <c r="B5494" t="inlineStr">
        <is>
          <t>Brasília - DF</t>
        </is>
      </c>
      <c r="C5494" t="n">
        <v>-15.7795</v>
      </c>
      <c r="D5494" t="n">
        <v>-47.9297</v>
      </c>
      <c r="E5494" t="inlineStr">
        <is>
          <t>2025-03</t>
        </is>
      </c>
      <c r="F5494" t="n">
        <v>63645.8026867987</v>
      </c>
    </row>
    <row r="5495">
      <c r="A5495" t="inlineStr">
        <is>
          <t>Soja</t>
        </is>
      </c>
      <c r="B5495" t="inlineStr">
        <is>
          <t>Brasília - DF</t>
        </is>
      </c>
      <c r="C5495" t="n">
        <v>-15.7795</v>
      </c>
      <c r="D5495" t="n">
        <v>-47.9297</v>
      </c>
      <c r="E5495" t="inlineStr">
        <is>
          <t>2025-04</t>
        </is>
      </c>
      <c r="F5495" t="n">
        <v>148506.8729358636</v>
      </c>
    </row>
    <row r="5496">
      <c r="A5496" t="inlineStr">
        <is>
          <t>Soja</t>
        </is>
      </c>
      <c r="B5496" t="inlineStr">
        <is>
          <t>Brasília - DF</t>
        </is>
      </c>
      <c r="C5496" t="n">
        <v>-15.7795</v>
      </c>
      <c r="D5496" t="n">
        <v>-47.9297</v>
      </c>
      <c r="E5496" t="inlineStr">
        <is>
          <t>2025-05</t>
        </is>
      </c>
      <c r="F5496" t="n">
        <v>63645.8026867987</v>
      </c>
    </row>
    <row r="5497">
      <c r="A5497" t="inlineStr">
        <is>
          <t>Soja</t>
        </is>
      </c>
      <c r="B5497" t="inlineStr">
        <is>
          <t>Brasília - DF</t>
        </is>
      </c>
      <c r="C5497" t="n">
        <v>-15.7795</v>
      </c>
      <c r="D5497" t="n">
        <v>-47.9297</v>
      </c>
      <c r="E5497" t="inlineStr">
        <is>
          <t>2025-06</t>
        </is>
      </c>
      <c r="F5497" t="n">
        <v>0</v>
      </c>
    </row>
    <row r="5498">
      <c r="A5498" t="inlineStr">
        <is>
          <t>Soja</t>
        </is>
      </c>
      <c r="B5498" t="inlineStr">
        <is>
          <t>Brasília - DF</t>
        </is>
      </c>
      <c r="C5498" t="n">
        <v>-15.7795</v>
      </c>
      <c r="D5498" t="n">
        <v>-47.9297</v>
      </c>
      <c r="E5498" t="inlineStr">
        <is>
          <t>2024-07</t>
        </is>
      </c>
      <c r="F5498" t="n">
        <v>0</v>
      </c>
    </row>
    <row r="5499">
      <c r="A5499" t="inlineStr">
        <is>
          <t>Soja</t>
        </is>
      </c>
      <c r="B5499" t="inlineStr">
        <is>
          <t>Brasília - DF</t>
        </is>
      </c>
      <c r="C5499" t="n">
        <v>-15.7795</v>
      </c>
      <c r="D5499" t="n">
        <v>-47.9297</v>
      </c>
      <c r="E5499" t="inlineStr">
        <is>
          <t>2024-08</t>
        </is>
      </c>
      <c r="F5499" t="n">
        <v>0</v>
      </c>
    </row>
    <row r="5500">
      <c r="A5500" t="inlineStr">
        <is>
          <t>Soja</t>
        </is>
      </c>
      <c r="B5500" t="inlineStr">
        <is>
          <t>Brasília - DF</t>
        </is>
      </c>
      <c r="C5500" t="n">
        <v>-15.7795</v>
      </c>
      <c r="D5500" t="n">
        <v>-47.9297</v>
      </c>
      <c r="E5500" t="inlineStr">
        <is>
          <t>2024-09</t>
        </is>
      </c>
      <c r="F5500" t="n">
        <v>0</v>
      </c>
    </row>
    <row r="5501">
      <c r="A5501" t="inlineStr">
        <is>
          <t>Soja</t>
        </is>
      </c>
      <c r="B5501" t="inlineStr">
        <is>
          <t>Brasília - DF</t>
        </is>
      </c>
      <c r="C5501" t="n">
        <v>-15.7795</v>
      </c>
      <c r="D5501" t="n">
        <v>-47.9297</v>
      </c>
      <c r="E5501" t="inlineStr">
        <is>
          <t>2024-10</t>
        </is>
      </c>
      <c r="F5501" t="n">
        <v>0</v>
      </c>
    </row>
    <row r="5502">
      <c r="A5502" t="inlineStr">
        <is>
          <t>Soja</t>
        </is>
      </c>
      <c r="B5502" t="inlineStr">
        <is>
          <t>Brasília - DF</t>
        </is>
      </c>
      <c r="C5502" t="n">
        <v>-15.7795</v>
      </c>
      <c r="D5502" t="n">
        <v>-47.9297</v>
      </c>
      <c r="E5502" t="inlineStr">
        <is>
          <t>2024-11</t>
        </is>
      </c>
      <c r="F5502" t="n">
        <v>0</v>
      </c>
    </row>
    <row r="5503">
      <c r="A5503" t="inlineStr">
        <is>
          <t>Soja</t>
        </is>
      </c>
      <c r="B5503" t="inlineStr">
        <is>
          <t>Brasília - DF</t>
        </is>
      </c>
      <c r="C5503" t="n">
        <v>-15.7795</v>
      </c>
      <c r="D5503" t="n">
        <v>-47.9297</v>
      </c>
      <c r="E5503" t="inlineStr">
        <is>
          <t>2024-12</t>
        </is>
      </c>
      <c r="F5503" t="n">
        <v>0</v>
      </c>
    </row>
    <row r="5504">
      <c r="A5504" t="inlineStr">
        <is>
          <t>Soja</t>
        </is>
      </c>
      <c r="B5504" t="inlineStr">
        <is>
          <t>Rio Verde - GO</t>
        </is>
      </c>
      <c r="C5504" t="n">
        <v>-17.7923</v>
      </c>
      <c r="D5504" t="n">
        <v>-50.9192</v>
      </c>
      <c r="E5504" t="inlineStr">
        <is>
          <t>2025-01</t>
        </is>
      </c>
      <c r="F5504" t="n">
        <v>0</v>
      </c>
    </row>
    <row r="5505">
      <c r="A5505" t="inlineStr">
        <is>
          <t>Soja</t>
        </is>
      </c>
      <c r="B5505" t="inlineStr">
        <is>
          <t>Rio Verde - GO</t>
        </is>
      </c>
      <c r="C5505" t="n">
        <v>-17.7923</v>
      </c>
      <c r="D5505" t="n">
        <v>-50.9192</v>
      </c>
      <c r="E5505" t="inlineStr">
        <is>
          <t>2025-02</t>
        </is>
      </c>
      <c r="F5505" t="n">
        <v>4786252.117508151</v>
      </c>
    </row>
    <row r="5506">
      <c r="A5506" t="inlineStr">
        <is>
          <t>Soja</t>
        </is>
      </c>
      <c r="B5506" t="inlineStr">
        <is>
          <t>Rio Verde - GO</t>
        </is>
      </c>
      <c r="C5506" t="n">
        <v>-17.7923</v>
      </c>
      <c r="D5506" t="n">
        <v>-50.9192</v>
      </c>
      <c r="E5506" t="inlineStr">
        <is>
          <t>2025-03</t>
        </is>
      </c>
      <c r="F5506" t="n">
        <v>11167921.60751902</v>
      </c>
    </row>
    <row r="5507">
      <c r="A5507" t="inlineStr">
        <is>
          <t>Soja</t>
        </is>
      </c>
      <c r="B5507" t="inlineStr">
        <is>
          <t>Rio Verde - GO</t>
        </is>
      </c>
      <c r="C5507" t="n">
        <v>-17.7923</v>
      </c>
      <c r="D5507" t="n">
        <v>-50.9192</v>
      </c>
      <c r="E5507" t="inlineStr">
        <is>
          <t>2025-04</t>
        </is>
      </c>
      <c r="F5507" t="n">
        <v>4786252.117508151</v>
      </c>
    </row>
    <row r="5508">
      <c r="A5508" t="inlineStr">
        <is>
          <t>Soja</t>
        </is>
      </c>
      <c r="B5508" t="inlineStr">
        <is>
          <t>Rio Verde - GO</t>
        </is>
      </c>
      <c r="C5508" t="n">
        <v>-17.7923</v>
      </c>
      <c r="D5508" t="n">
        <v>-50.9192</v>
      </c>
      <c r="E5508" t="inlineStr">
        <is>
          <t>2025-05</t>
        </is>
      </c>
      <c r="F5508" t="n">
        <v>0</v>
      </c>
    </row>
    <row r="5509">
      <c r="A5509" t="inlineStr">
        <is>
          <t>Soja</t>
        </is>
      </c>
      <c r="B5509" t="inlineStr">
        <is>
          <t>Rio Verde - GO</t>
        </is>
      </c>
      <c r="C5509" t="n">
        <v>-17.7923</v>
      </c>
      <c r="D5509" t="n">
        <v>-50.9192</v>
      </c>
      <c r="E5509" t="inlineStr">
        <is>
          <t>2025-06</t>
        </is>
      </c>
      <c r="F5509" t="n">
        <v>0</v>
      </c>
    </row>
    <row r="5510">
      <c r="A5510" t="inlineStr">
        <is>
          <t>Soja</t>
        </is>
      </c>
      <c r="B5510" t="inlineStr">
        <is>
          <t>Rio Verde - GO</t>
        </is>
      </c>
      <c r="C5510" t="n">
        <v>-17.7923</v>
      </c>
      <c r="D5510" t="n">
        <v>-50.9192</v>
      </c>
      <c r="E5510" t="inlineStr">
        <is>
          <t>2024-07</t>
        </is>
      </c>
      <c r="F5510" t="n">
        <v>0</v>
      </c>
    </row>
    <row r="5511">
      <c r="A5511" t="inlineStr">
        <is>
          <t>Soja</t>
        </is>
      </c>
      <c r="B5511" t="inlineStr">
        <is>
          <t>Rio Verde - GO</t>
        </is>
      </c>
      <c r="C5511" t="n">
        <v>-17.7923</v>
      </c>
      <c r="D5511" t="n">
        <v>-50.9192</v>
      </c>
      <c r="E5511" t="inlineStr">
        <is>
          <t>2024-08</t>
        </is>
      </c>
      <c r="F5511" t="n">
        <v>0</v>
      </c>
    </row>
    <row r="5512">
      <c r="A5512" t="inlineStr">
        <is>
          <t>Soja</t>
        </is>
      </c>
      <c r="B5512" t="inlineStr">
        <is>
          <t>Rio Verde - GO</t>
        </is>
      </c>
      <c r="C5512" t="n">
        <v>-17.7923</v>
      </c>
      <c r="D5512" t="n">
        <v>-50.9192</v>
      </c>
      <c r="E5512" t="inlineStr">
        <is>
          <t>2024-09</t>
        </is>
      </c>
      <c r="F5512" t="n">
        <v>0</v>
      </c>
    </row>
    <row r="5513">
      <c r="A5513" t="inlineStr">
        <is>
          <t>Soja</t>
        </is>
      </c>
      <c r="B5513" t="inlineStr">
        <is>
          <t>Rio Verde - GO</t>
        </is>
      </c>
      <c r="C5513" t="n">
        <v>-17.7923</v>
      </c>
      <c r="D5513" t="n">
        <v>-50.9192</v>
      </c>
      <c r="E5513" t="inlineStr">
        <is>
          <t>2024-10</t>
        </is>
      </c>
      <c r="F5513" t="n">
        <v>0</v>
      </c>
    </row>
    <row r="5514">
      <c r="A5514" t="inlineStr">
        <is>
          <t>Soja</t>
        </is>
      </c>
      <c r="B5514" t="inlineStr">
        <is>
          <t>Rio Verde - GO</t>
        </is>
      </c>
      <c r="C5514" t="n">
        <v>-17.7923</v>
      </c>
      <c r="D5514" t="n">
        <v>-50.9192</v>
      </c>
      <c r="E5514" t="inlineStr">
        <is>
          <t>2024-11</t>
        </is>
      </c>
      <c r="F5514" t="n">
        <v>0</v>
      </c>
    </row>
    <row r="5515">
      <c r="A5515" t="inlineStr">
        <is>
          <t>Soja</t>
        </is>
      </c>
      <c r="B5515" t="inlineStr">
        <is>
          <t>Rio Verde - GO</t>
        </is>
      </c>
      <c r="C5515" t="n">
        <v>-17.7923</v>
      </c>
      <c r="D5515" t="n">
        <v>-50.9192</v>
      </c>
      <c r="E5515" t="inlineStr">
        <is>
          <t>2024-12</t>
        </is>
      </c>
      <c r="F5515" t="n">
        <v>0</v>
      </c>
    </row>
    <row r="5516">
      <c r="A5516" t="inlineStr">
        <is>
          <t>Soja</t>
        </is>
      </c>
      <c r="B5516" t="inlineStr">
        <is>
          <t>Balsas - MA</t>
        </is>
      </c>
      <c r="C5516" t="n">
        <v>-7.53214</v>
      </c>
      <c r="D5516" t="n">
        <v>-46.0372</v>
      </c>
      <c r="E5516" t="inlineStr">
        <is>
          <t>2025-01</t>
        </is>
      </c>
      <c r="F5516" t="n">
        <v>0</v>
      </c>
    </row>
    <row r="5517">
      <c r="A5517" t="inlineStr">
        <is>
          <t>Soja</t>
        </is>
      </c>
      <c r="B5517" t="inlineStr">
        <is>
          <t>Balsas - MA</t>
        </is>
      </c>
      <c r="C5517" t="n">
        <v>-7.53214</v>
      </c>
      <c r="D5517" t="n">
        <v>-46.0372</v>
      </c>
      <c r="E5517" t="inlineStr">
        <is>
          <t>2025-02</t>
        </is>
      </c>
      <c r="F5517" t="n">
        <v>502944.7026565941</v>
      </c>
    </row>
    <row r="5518">
      <c r="A5518" t="inlineStr">
        <is>
          <t>Soja</t>
        </is>
      </c>
      <c r="B5518" t="inlineStr">
        <is>
          <t>Balsas - MA</t>
        </is>
      </c>
      <c r="C5518" t="n">
        <v>-7.53214</v>
      </c>
      <c r="D5518" t="n">
        <v>-46.0372</v>
      </c>
      <c r="E5518" t="inlineStr">
        <is>
          <t>2025-03</t>
        </is>
      </c>
      <c r="F5518" t="n">
        <v>1676482.342188647</v>
      </c>
    </row>
    <row r="5519">
      <c r="A5519" t="inlineStr">
        <is>
          <t>Soja</t>
        </is>
      </c>
      <c r="B5519" t="inlineStr">
        <is>
          <t>Balsas - MA</t>
        </is>
      </c>
      <c r="C5519" t="n">
        <v>-7.53214</v>
      </c>
      <c r="D5519" t="n">
        <v>-46.0372</v>
      </c>
      <c r="E5519" t="inlineStr">
        <is>
          <t>2025-04</t>
        </is>
      </c>
      <c r="F5519" t="n">
        <v>1676482.342188647</v>
      </c>
    </row>
    <row r="5520">
      <c r="A5520" t="inlineStr">
        <is>
          <t>Soja</t>
        </is>
      </c>
      <c r="B5520" t="inlineStr">
        <is>
          <t>Balsas - MA</t>
        </is>
      </c>
      <c r="C5520" t="n">
        <v>-7.53214</v>
      </c>
      <c r="D5520" t="n">
        <v>-46.0372</v>
      </c>
      <c r="E5520" t="inlineStr">
        <is>
          <t>2025-05</t>
        </is>
      </c>
      <c r="F5520" t="n">
        <v>1005889.405313188</v>
      </c>
    </row>
    <row r="5521">
      <c r="A5521" t="inlineStr">
        <is>
          <t>Soja</t>
        </is>
      </c>
      <c r="B5521" t="inlineStr">
        <is>
          <t>Balsas - MA</t>
        </is>
      </c>
      <c r="C5521" t="n">
        <v>-7.53214</v>
      </c>
      <c r="D5521" t="n">
        <v>-46.0372</v>
      </c>
      <c r="E5521" t="inlineStr">
        <is>
          <t>2025-06</t>
        </is>
      </c>
      <c r="F5521" t="n">
        <v>0</v>
      </c>
    </row>
    <row r="5522">
      <c r="A5522" t="inlineStr">
        <is>
          <t>Soja</t>
        </is>
      </c>
      <c r="B5522" t="inlineStr">
        <is>
          <t>Balsas - MA</t>
        </is>
      </c>
      <c r="C5522" t="n">
        <v>-7.53214</v>
      </c>
      <c r="D5522" t="n">
        <v>-46.0372</v>
      </c>
      <c r="E5522" t="inlineStr">
        <is>
          <t>2024-07</t>
        </is>
      </c>
      <c r="F5522" t="n">
        <v>0</v>
      </c>
    </row>
    <row r="5523">
      <c r="A5523" t="inlineStr">
        <is>
          <t>Soja</t>
        </is>
      </c>
      <c r="B5523" t="inlineStr">
        <is>
          <t>Balsas - MA</t>
        </is>
      </c>
      <c r="C5523" t="n">
        <v>-7.53214</v>
      </c>
      <c r="D5523" t="n">
        <v>-46.0372</v>
      </c>
      <c r="E5523" t="inlineStr">
        <is>
          <t>2024-08</t>
        </is>
      </c>
      <c r="F5523" t="n">
        <v>0</v>
      </c>
    </row>
    <row r="5524">
      <c r="A5524" t="inlineStr">
        <is>
          <t>Soja</t>
        </is>
      </c>
      <c r="B5524" t="inlineStr">
        <is>
          <t>Balsas - MA</t>
        </is>
      </c>
      <c r="C5524" t="n">
        <v>-7.53214</v>
      </c>
      <c r="D5524" t="n">
        <v>-46.0372</v>
      </c>
      <c r="E5524" t="inlineStr">
        <is>
          <t>2024-09</t>
        </is>
      </c>
      <c r="F5524" t="n">
        <v>0</v>
      </c>
    </row>
    <row r="5525">
      <c r="A5525" t="inlineStr">
        <is>
          <t>Soja</t>
        </is>
      </c>
      <c r="B5525" t="inlineStr">
        <is>
          <t>Balsas - MA</t>
        </is>
      </c>
      <c r="C5525" t="n">
        <v>-7.53214</v>
      </c>
      <c r="D5525" t="n">
        <v>-46.0372</v>
      </c>
      <c r="E5525" t="inlineStr">
        <is>
          <t>2024-10</t>
        </is>
      </c>
      <c r="F5525" t="n">
        <v>0</v>
      </c>
    </row>
    <row r="5526">
      <c r="A5526" t="inlineStr">
        <is>
          <t>Soja</t>
        </is>
      </c>
      <c r="B5526" t="inlineStr">
        <is>
          <t>Balsas - MA</t>
        </is>
      </c>
      <c r="C5526" t="n">
        <v>-7.53214</v>
      </c>
      <c r="D5526" t="n">
        <v>-46.0372</v>
      </c>
      <c r="E5526" t="inlineStr">
        <is>
          <t>2024-11</t>
        </is>
      </c>
      <c r="F5526" t="n">
        <v>0</v>
      </c>
    </row>
    <row r="5527">
      <c r="A5527" t="inlineStr">
        <is>
          <t>Soja</t>
        </is>
      </c>
      <c r="B5527" t="inlineStr">
        <is>
          <t>Balsas - MA</t>
        </is>
      </c>
      <c r="C5527" t="n">
        <v>-7.53214</v>
      </c>
      <c r="D5527" t="n">
        <v>-46.0372</v>
      </c>
      <c r="E5527" t="inlineStr">
        <is>
          <t>2024-12</t>
        </is>
      </c>
      <c r="F5527" t="n">
        <v>0</v>
      </c>
    </row>
    <row r="5528">
      <c r="A5528" t="inlineStr">
        <is>
          <t>Soja</t>
        </is>
      </c>
      <c r="B5528" t="inlineStr">
        <is>
          <t>Unaí - MG</t>
        </is>
      </c>
      <c r="C5528" t="n">
        <v>-16.3592</v>
      </c>
      <c r="D5528" t="n">
        <v>-46.9022</v>
      </c>
      <c r="E5528" t="inlineStr">
        <is>
          <t>2025-01</t>
        </is>
      </c>
      <c r="F5528" t="n">
        <v>0</v>
      </c>
    </row>
    <row r="5529">
      <c r="A5529" t="inlineStr">
        <is>
          <t>Soja</t>
        </is>
      </c>
      <c r="B5529" t="inlineStr">
        <is>
          <t>Unaí - MG</t>
        </is>
      </c>
      <c r="C5529" t="n">
        <v>-16.3592</v>
      </c>
      <c r="D5529" t="n">
        <v>-46.9022</v>
      </c>
      <c r="E5529" t="inlineStr">
        <is>
          <t>2025-02</t>
        </is>
      </c>
      <c r="F5529" t="n">
        <v>1060744.133494695</v>
      </c>
    </row>
    <row r="5530">
      <c r="A5530" t="inlineStr">
        <is>
          <t>Soja</t>
        </is>
      </c>
      <c r="B5530" t="inlineStr">
        <is>
          <t>Unaí - MG</t>
        </is>
      </c>
      <c r="C5530" t="n">
        <v>-16.3592</v>
      </c>
      <c r="D5530" t="n">
        <v>-46.9022</v>
      </c>
      <c r="E5530" t="inlineStr">
        <is>
          <t>2025-03</t>
        </is>
      </c>
      <c r="F5530" t="n">
        <v>2121488.266989391</v>
      </c>
    </row>
    <row r="5531">
      <c r="A5531" t="inlineStr">
        <is>
          <t>Soja</t>
        </is>
      </c>
      <c r="B5531" t="inlineStr">
        <is>
          <t>Unaí - MG</t>
        </is>
      </c>
      <c r="C5531" t="n">
        <v>-16.3592</v>
      </c>
      <c r="D5531" t="n">
        <v>-46.9022</v>
      </c>
      <c r="E5531" t="inlineStr">
        <is>
          <t>2025-04</t>
        </is>
      </c>
      <c r="F5531" t="n">
        <v>4950139.289641913</v>
      </c>
    </row>
    <row r="5532">
      <c r="A5532" t="inlineStr">
        <is>
          <t>Soja</t>
        </is>
      </c>
      <c r="B5532" t="inlineStr">
        <is>
          <t>Unaí - MG</t>
        </is>
      </c>
      <c r="C5532" t="n">
        <v>-16.3592</v>
      </c>
      <c r="D5532" t="n">
        <v>-46.9022</v>
      </c>
      <c r="E5532" t="inlineStr">
        <is>
          <t>2025-05</t>
        </is>
      </c>
      <c r="F5532" t="n">
        <v>1060744.133494695</v>
      </c>
    </row>
    <row r="5533">
      <c r="A5533" t="inlineStr">
        <is>
          <t>Soja</t>
        </is>
      </c>
      <c r="B5533" t="inlineStr">
        <is>
          <t>Unaí - MG</t>
        </is>
      </c>
      <c r="C5533" t="n">
        <v>-16.3592</v>
      </c>
      <c r="D5533" t="n">
        <v>-46.9022</v>
      </c>
      <c r="E5533" t="inlineStr">
        <is>
          <t>2025-06</t>
        </is>
      </c>
      <c r="F5533" t="n">
        <v>0</v>
      </c>
    </row>
    <row r="5534">
      <c r="A5534" t="inlineStr">
        <is>
          <t>Soja</t>
        </is>
      </c>
      <c r="B5534" t="inlineStr">
        <is>
          <t>Unaí - MG</t>
        </is>
      </c>
      <c r="C5534" t="n">
        <v>-16.3592</v>
      </c>
      <c r="D5534" t="n">
        <v>-46.9022</v>
      </c>
      <c r="E5534" t="inlineStr">
        <is>
          <t>2024-07</t>
        </is>
      </c>
      <c r="F5534" t="n">
        <v>0</v>
      </c>
    </row>
    <row r="5535">
      <c r="A5535" t="inlineStr">
        <is>
          <t>Soja</t>
        </is>
      </c>
      <c r="B5535" t="inlineStr">
        <is>
          <t>Unaí - MG</t>
        </is>
      </c>
      <c r="C5535" t="n">
        <v>-16.3592</v>
      </c>
      <c r="D5535" t="n">
        <v>-46.9022</v>
      </c>
      <c r="E5535" t="inlineStr">
        <is>
          <t>2024-08</t>
        </is>
      </c>
      <c r="F5535" t="n">
        <v>0</v>
      </c>
    </row>
    <row r="5536">
      <c r="A5536" t="inlineStr">
        <is>
          <t>Soja</t>
        </is>
      </c>
      <c r="B5536" t="inlineStr">
        <is>
          <t>Unaí - MG</t>
        </is>
      </c>
      <c r="C5536" t="n">
        <v>-16.3592</v>
      </c>
      <c r="D5536" t="n">
        <v>-46.9022</v>
      </c>
      <c r="E5536" t="inlineStr">
        <is>
          <t>2024-09</t>
        </is>
      </c>
      <c r="F5536" t="n">
        <v>0</v>
      </c>
    </row>
    <row r="5537">
      <c r="A5537" t="inlineStr">
        <is>
          <t>Soja</t>
        </is>
      </c>
      <c r="B5537" t="inlineStr">
        <is>
          <t>Unaí - MG</t>
        </is>
      </c>
      <c r="C5537" t="n">
        <v>-16.3592</v>
      </c>
      <c r="D5537" t="n">
        <v>-46.9022</v>
      </c>
      <c r="E5537" t="inlineStr">
        <is>
          <t>2024-10</t>
        </is>
      </c>
      <c r="F5537" t="n">
        <v>0</v>
      </c>
    </row>
    <row r="5538">
      <c r="A5538" t="inlineStr">
        <is>
          <t>Soja</t>
        </is>
      </c>
      <c r="B5538" t="inlineStr">
        <is>
          <t>Unaí - MG</t>
        </is>
      </c>
      <c r="C5538" t="n">
        <v>-16.3592</v>
      </c>
      <c r="D5538" t="n">
        <v>-46.9022</v>
      </c>
      <c r="E5538" t="inlineStr">
        <is>
          <t>2024-11</t>
        </is>
      </c>
      <c r="F5538" t="n">
        <v>0</v>
      </c>
    </row>
    <row r="5539">
      <c r="A5539" t="inlineStr">
        <is>
          <t>Soja</t>
        </is>
      </c>
      <c r="B5539" t="inlineStr">
        <is>
          <t>Unaí - MG</t>
        </is>
      </c>
      <c r="C5539" t="n">
        <v>-16.3592</v>
      </c>
      <c r="D5539" t="n">
        <v>-46.9022</v>
      </c>
      <c r="E5539" t="inlineStr">
        <is>
          <t>2024-12</t>
        </is>
      </c>
      <c r="F5539" t="n">
        <v>0</v>
      </c>
    </row>
    <row r="5540">
      <c r="A5540" t="inlineStr">
        <is>
          <t>Soja</t>
        </is>
      </c>
      <c r="B5540" t="inlineStr">
        <is>
          <t>Ponta Porã - MS</t>
        </is>
      </c>
      <c r="C5540" t="n">
        <v>-22.5296</v>
      </c>
      <c r="D5540" t="n">
        <v>-55.7203</v>
      </c>
      <c r="E5540" t="inlineStr">
        <is>
          <t>2025-01</t>
        </is>
      </c>
      <c r="F5540" t="n">
        <v>0</v>
      </c>
    </row>
    <row r="5541">
      <c r="A5541" t="inlineStr">
        <is>
          <t>Soja</t>
        </is>
      </c>
      <c r="B5541" t="inlineStr">
        <is>
          <t>Ponta Porã - MS</t>
        </is>
      </c>
      <c r="C5541" t="n">
        <v>-22.5296</v>
      </c>
      <c r="D5541" t="n">
        <v>-55.7203</v>
      </c>
      <c r="E5541" t="inlineStr">
        <is>
          <t>2025-02</t>
        </is>
      </c>
      <c r="F5541" t="n">
        <v>3279767.976553642</v>
      </c>
    </row>
    <row r="5542">
      <c r="A5542" t="inlineStr">
        <is>
          <t>Soja</t>
        </is>
      </c>
      <c r="B5542" t="inlineStr">
        <is>
          <t>Ponta Porã - MS</t>
        </is>
      </c>
      <c r="C5542" t="n">
        <v>-22.5296</v>
      </c>
      <c r="D5542" t="n">
        <v>-55.7203</v>
      </c>
      <c r="E5542" t="inlineStr">
        <is>
          <t>2025-03</t>
        </is>
      </c>
      <c r="F5542" t="n">
        <v>7652791.945291832</v>
      </c>
    </row>
    <row r="5543">
      <c r="A5543" t="inlineStr">
        <is>
          <t>Soja</t>
        </is>
      </c>
      <c r="B5543" t="inlineStr">
        <is>
          <t>Ponta Porã - MS</t>
        </is>
      </c>
      <c r="C5543" t="n">
        <v>-22.5296</v>
      </c>
      <c r="D5543" t="n">
        <v>-55.7203</v>
      </c>
      <c r="E5543" t="inlineStr">
        <is>
          <t>2025-04</t>
        </is>
      </c>
      <c r="F5543" t="n">
        <v>3279767.976553642</v>
      </c>
    </row>
    <row r="5544">
      <c r="A5544" t="inlineStr">
        <is>
          <t>Soja</t>
        </is>
      </c>
      <c r="B5544" t="inlineStr">
        <is>
          <t>Ponta Porã - MS</t>
        </is>
      </c>
      <c r="C5544" t="n">
        <v>-22.5296</v>
      </c>
      <c r="D5544" t="n">
        <v>-55.7203</v>
      </c>
      <c r="E5544" t="inlineStr">
        <is>
          <t>2025-05</t>
        </is>
      </c>
      <c r="F5544" t="n">
        <v>0</v>
      </c>
    </row>
    <row r="5545">
      <c r="A5545" t="inlineStr">
        <is>
          <t>Soja</t>
        </is>
      </c>
      <c r="B5545" t="inlineStr">
        <is>
          <t>Ponta Porã - MS</t>
        </is>
      </c>
      <c r="C5545" t="n">
        <v>-22.5296</v>
      </c>
      <c r="D5545" t="n">
        <v>-55.7203</v>
      </c>
      <c r="E5545" t="inlineStr">
        <is>
          <t>2025-06</t>
        </is>
      </c>
      <c r="F5545" t="n">
        <v>0</v>
      </c>
    </row>
    <row r="5546">
      <c r="A5546" t="inlineStr">
        <is>
          <t>Soja</t>
        </is>
      </c>
      <c r="B5546" t="inlineStr">
        <is>
          <t>Ponta Porã - MS</t>
        </is>
      </c>
      <c r="C5546" t="n">
        <v>-22.5296</v>
      </c>
      <c r="D5546" t="n">
        <v>-55.7203</v>
      </c>
      <c r="E5546" t="inlineStr">
        <is>
          <t>2024-07</t>
        </is>
      </c>
      <c r="F5546" t="n">
        <v>0</v>
      </c>
    </row>
    <row r="5547">
      <c r="A5547" t="inlineStr">
        <is>
          <t>Soja</t>
        </is>
      </c>
      <c r="B5547" t="inlineStr">
        <is>
          <t>Ponta Porã - MS</t>
        </is>
      </c>
      <c r="C5547" t="n">
        <v>-22.5296</v>
      </c>
      <c r="D5547" t="n">
        <v>-55.7203</v>
      </c>
      <c r="E5547" t="inlineStr">
        <is>
          <t>2024-08</t>
        </is>
      </c>
      <c r="F5547" t="n">
        <v>0</v>
      </c>
    </row>
    <row r="5548">
      <c r="A5548" t="inlineStr">
        <is>
          <t>Soja</t>
        </is>
      </c>
      <c r="B5548" t="inlineStr">
        <is>
          <t>Ponta Porã - MS</t>
        </is>
      </c>
      <c r="C5548" t="n">
        <v>-22.5296</v>
      </c>
      <c r="D5548" t="n">
        <v>-55.7203</v>
      </c>
      <c r="E5548" t="inlineStr">
        <is>
          <t>2024-09</t>
        </is>
      </c>
      <c r="F5548" t="n">
        <v>0</v>
      </c>
    </row>
    <row r="5549">
      <c r="A5549" t="inlineStr">
        <is>
          <t>Soja</t>
        </is>
      </c>
      <c r="B5549" t="inlineStr">
        <is>
          <t>Ponta Porã - MS</t>
        </is>
      </c>
      <c r="C5549" t="n">
        <v>-22.5296</v>
      </c>
      <c r="D5549" t="n">
        <v>-55.7203</v>
      </c>
      <c r="E5549" t="inlineStr">
        <is>
          <t>2024-10</t>
        </is>
      </c>
      <c r="F5549" t="n">
        <v>0</v>
      </c>
    </row>
    <row r="5550">
      <c r="A5550" t="inlineStr">
        <is>
          <t>Soja</t>
        </is>
      </c>
      <c r="B5550" t="inlineStr">
        <is>
          <t>Ponta Porã - MS</t>
        </is>
      </c>
      <c r="C5550" t="n">
        <v>-22.5296</v>
      </c>
      <c r="D5550" t="n">
        <v>-55.7203</v>
      </c>
      <c r="E5550" t="inlineStr">
        <is>
          <t>2024-11</t>
        </is>
      </c>
      <c r="F5550" t="n">
        <v>0</v>
      </c>
    </row>
    <row r="5551">
      <c r="A5551" t="inlineStr">
        <is>
          <t>Soja</t>
        </is>
      </c>
      <c r="B5551" t="inlineStr">
        <is>
          <t>Ponta Porã - MS</t>
        </is>
      </c>
      <c r="C5551" t="n">
        <v>-22.5296</v>
      </c>
      <c r="D5551" t="n">
        <v>-55.7203</v>
      </c>
      <c r="E5551" t="inlineStr">
        <is>
          <t>2024-12</t>
        </is>
      </c>
      <c r="F5551" t="n">
        <v>0</v>
      </c>
    </row>
    <row r="5552">
      <c r="A5552" t="inlineStr">
        <is>
          <t>Soja</t>
        </is>
      </c>
      <c r="B5552" t="inlineStr">
        <is>
          <t>Sorriso - MT</t>
        </is>
      </c>
      <c r="C5552" t="n">
        <v>-12.5425</v>
      </c>
      <c r="D5552" t="n">
        <v>-55.7211</v>
      </c>
      <c r="E5552" t="inlineStr">
        <is>
          <t>2025-01</t>
        </is>
      </c>
      <c r="F5552" t="n">
        <v>9627834.919114592</v>
      </c>
    </row>
    <row r="5553">
      <c r="A5553" t="inlineStr">
        <is>
          <t>Soja</t>
        </is>
      </c>
      <c r="B5553" t="inlineStr">
        <is>
          <t>Sorriso - MT</t>
        </is>
      </c>
      <c r="C5553" t="n">
        <v>-12.5425</v>
      </c>
      <c r="D5553" t="n">
        <v>-55.7211</v>
      </c>
      <c r="E5553" t="inlineStr">
        <is>
          <t>2025-02</t>
        </is>
      </c>
      <c r="F5553" t="n">
        <v>16046391.53185766</v>
      </c>
    </row>
    <row r="5554">
      <c r="A5554" t="inlineStr">
        <is>
          <t>Soja</t>
        </is>
      </c>
      <c r="B5554" t="inlineStr">
        <is>
          <t>Sorriso - MT</t>
        </is>
      </c>
      <c r="C5554" t="n">
        <v>-12.5425</v>
      </c>
      <c r="D5554" t="n">
        <v>-55.7211</v>
      </c>
      <c r="E5554" t="inlineStr">
        <is>
          <t>2025-03</t>
        </is>
      </c>
      <c r="F5554" t="n">
        <v>16046391.53185766</v>
      </c>
    </row>
    <row r="5555">
      <c r="A5555" t="inlineStr">
        <is>
          <t>Soja</t>
        </is>
      </c>
      <c r="B5555" t="inlineStr">
        <is>
          <t>Sorriso - MT</t>
        </is>
      </c>
      <c r="C5555" t="n">
        <v>-12.5425</v>
      </c>
      <c r="D5555" t="n">
        <v>-55.7211</v>
      </c>
      <c r="E5555" t="inlineStr">
        <is>
          <t>2025-04</t>
        </is>
      </c>
      <c r="F5555" t="n">
        <v>9627834.919114592</v>
      </c>
    </row>
    <row r="5556">
      <c r="A5556" t="inlineStr">
        <is>
          <t>Soja</t>
        </is>
      </c>
      <c r="B5556" t="inlineStr">
        <is>
          <t>Sorriso - MT</t>
        </is>
      </c>
      <c r="C5556" t="n">
        <v>-12.5425</v>
      </c>
      <c r="D5556" t="n">
        <v>-55.7211</v>
      </c>
      <c r="E5556" t="inlineStr">
        <is>
          <t>2025-05</t>
        </is>
      </c>
      <c r="F5556" t="n">
        <v>0</v>
      </c>
    </row>
    <row r="5557">
      <c r="A5557" t="inlineStr">
        <is>
          <t>Soja</t>
        </is>
      </c>
      <c r="B5557" t="inlineStr">
        <is>
          <t>Sorriso - MT</t>
        </is>
      </c>
      <c r="C5557" t="n">
        <v>-12.5425</v>
      </c>
      <c r="D5557" t="n">
        <v>-55.7211</v>
      </c>
      <c r="E5557" t="inlineStr">
        <is>
          <t>2025-06</t>
        </is>
      </c>
      <c r="F5557" t="n">
        <v>0</v>
      </c>
    </row>
    <row r="5558">
      <c r="A5558" t="inlineStr">
        <is>
          <t>Soja</t>
        </is>
      </c>
      <c r="B5558" t="inlineStr">
        <is>
          <t>Sorriso - MT</t>
        </is>
      </c>
      <c r="C5558" t="n">
        <v>-12.5425</v>
      </c>
      <c r="D5558" t="n">
        <v>-55.7211</v>
      </c>
      <c r="E5558" t="inlineStr">
        <is>
          <t>2024-07</t>
        </is>
      </c>
      <c r="F5558" t="n">
        <v>0</v>
      </c>
    </row>
    <row r="5559">
      <c r="A5559" t="inlineStr">
        <is>
          <t>Soja</t>
        </is>
      </c>
      <c r="B5559" t="inlineStr">
        <is>
          <t>Sorriso - MT</t>
        </is>
      </c>
      <c r="C5559" t="n">
        <v>-12.5425</v>
      </c>
      <c r="D5559" t="n">
        <v>-55.7211</v>
      </c>
      <c r="E5559" t="inlineStr">
        <is>
          <t>2024-08</t>
        </is>
      </c>
      <c r="F5559" t="n">
        <v>0</v>
      </c>
    </row>
    <row r="5560">
      <c r="A5560" t="inlineStr">
        <is>
          <t>Soja</t>
        </is>
      </c>
      <c r="B5560" t="inlineStr">
        <is>
          <t>Sorriso - MT</t>
        </is>
      </c>
      <c r="C5560" t="n">
        <v>-12.5425</v>
      </c>
      <c r="D5560" t="n">
        <v>-55.7211</v>
      </c>
      <c r="E5560" t="inlineStr">
        <is>
          <t>2024-09</t>
        </is>
      </c>
      <c r="F5560" t="n">
        <v>0</v>
      </c>
    </row>
    <row r="5561">
      <c r="A5561" t="inlineStr">
        <is>
          <t>Soja</t>
        </is>
      </c>
      <c r="B5561" t="inlineStr">
        <is>
          <t>Sorriso - MT</t>
        </is>
      </c>
      <c r="C5561" t="n">
        <v>-12.5425</v>
      </c>
      <c r="D5561" t="n">
        <v>-55.7211</v>
      </c>
      <c r="E5561" t="inlineStr">
        <is>
          <t>2024-10</t>
        </is>
      </c>
      <c r="F5561" t="n">
        <v>0</v>
      </c>
    </row>
    <row r="5562">
      <c r="A5562" t="inlineStr">
        <is>
          <t>Soja</t>
        </is>
      </c>
      <c r="B5562" t="inlineStr">
        <is>
          <t>Sorriso - MT</t>
        </is>
      </c>
      <c r="C5562" t="n">
        <v>-12.5425</v>
      </c>
      <c r="D5562" t="n">
        <v>-55.7211</v>
      </c>
      <c r="E5562" t="inlineStr">
        <is>
          <t>2024-11</t>
        </is>
      </c>
      <c r="F5562" t="n">
        <v>0</v>
      </c>
    </row>
    <row r="5563">
      <c r="A5563" t="inlineStr">
        <is>
          <t>Soja</t>
        </is>
      </c>
      <c r="B5563" t="inlineStr">
        <is>
          <t>Sorriso - MT</t>
        </is>
      </c>
      <c r="C5563" t="n">
        <v>-12.5425</v>
      </c>
      <c r="D5563" t="n">
        <v>-55.7211</v>
      </c>
      <c r="E5563" t="inlineStr">
        <is>
          <t>2024-12</t>
        </is>
      </c>
      <c r="F5563" t="n">
        <v>0</v>
      </c>
    </row>
    <row r="5564">
      <c r="A5564" t="inlineStr">
        <is>
          <t>Soja</t>
        </is>
      </c>
      <c r="B5564" t="inlineStr">
        <is>
          <t>Paragominas - PA</t>
        </is>
      </c>
      <c r="C5564" t="n">
        <v>-3.00212</v>
      </c>
      <c r="D5564" t="n">
        <v>-47.3527</v>
      </c>
      <c r="E5564" t="inlineStr">
        <is>
          <t>2025-01</t>
        </is>
      </c>
      <c r="F5564" t="n">
        <v>0</v>
      </c>
    </row>
    <row r="5565">
      <c r="A5565" t="inlineStr">
        <is>
          <t>Soja</t>
        </is>
      </c>
      <c r="B5565" t="inlineStr">
        <is>
          <t>Paragominas - PA</t>
        </is>
      </c>
      <c r="C5565" t="n">
        <v>-3.00212</v>
      </c>
      <c r="D5565" t="n">
        <v>-47.3527</v>
      </c>
      <c r="E5565" t="inlineStr">
        <is>
          <t>2025-02</t>
        </is>
      </c>
      <c r="F5565" t="n">
        <v>0</v>
      </c>
    </row>
    <row r="5566">
      <c r="A5566" t="inlineStr">
        <is>
          <t>Soja</t>
        </is>
      </c>
      <c r="B5566" t="inlineStr">
        <is>
          <t>Paragominas - PA</t>
        </is>
      </c>
      <c r="C5566" t="n">
        <v>-3.00212</v>
      </c>
      <c r="D5566" t="n">
        <v>-47.3527</v>
      </c>
      <c r="E5566" t="inlineStr">
        <is>
          <t>2025-03</t>
        </is>
      </c>
      <c r="F5566" t="n">
        <v>0</v>
      </c>
    </row>
    <row r="5567">
      <c r="A5567" t="inlineStr">
        <is>
          <t>Soja</t>
        </is>
      </c>
      <c r="B5567" t="inlineStr">
        <is>
          <t>Paragominas - PA</t>
        </is>
      </c>
      <c r="C5567" t="n">
        <v>-3.00212</v>
      </c>
      <c r="D5567" t="n">
        <v>-47.3527</v>
      </c>
      <c r="E5567" t="inlineStr">
        <is>
          <t>2025-04</t>
        </is>
      </c>
      <c r="F5567" t="n">
        <v>0</v>
      </c>
    </row>
    <row r="5568">
      <c r="A5568" t="inlineStr">
        <is>
          <t>Soja</t>
        </is>
      </c>
      <c r="B5568" t="inlineStr">
        <is>
          <t>Paragominas - PA</t>
        </is>
      </c>
      <c r="C5568" t="n">
        <v>-3.00212</v>
      </c>
      <c r="D5568" t="n">
        <v>-47.3527</v>
      </c>
      <c r="E5568" t="inlineStr">
        <is>
          <t>2025-05</t>
        </is>
      </c>
      <c r="F5568" t="n">
        <v>0</v>
      </c>
    </row>
    <row r="5569">
      <c r="A5569" t="inlineStr">
        <is>
          <t>Soja</t>
        </is>
      </c>
      <c r="B5569" t="inlineStr">
        <is>
          <t>Paragominas - PA</t>
        </is>
      </c>
      <c r="C5569" t="n">
        <v>-3.00212</v>
      </c>
      <c r="D5569" t="n">
        <v>-47.3527</v>
      </c>
      <c r="E5569" t="inlineStr">
        <is>
          <t>2025-06</t>
        </is>
      </c>
      <c r="F5569" t="n">
        <v>1038470.41190855</v>
      </c>
    </row>
    <row r="5570">
      <c r="A5570" t="inlineStr">
        <is>
          <t>Soja</t>
        </is>
      </c>
      <c r="B5570" t="inlineStr">
        <is>
          <t>Paragominas - PA</t>
        </is>
      </c>
      <c r="C5570" t="n">
        <v>-3.00212</v>
      </c>
      <c r="D5570" t="n">
        <v>-47.3527</v>
      </c>
      <c r="E5570" t="inlineStr">
        <is>
          <t>2024-07</t>
        </is>
      </c>
      <c r="F5570" t="n">
        <v>2423097.627786617</v>
      </c>
    </row>
    <row r="5571">
      <c r="A5571" t="inlineStr">
        <is>
          <t>Soja</t>
        </is>
      </c>
      <c r="B5571" t="inlineStr">
        <is>
          <t>Paragominas - PA</t>
        </is>
      </c>
      <c r="C5571" t="n">
        <v>-3.00212</v>
      </c>
      <c r="D5571" t="n">
        <v>-47.3527</v>
      </c>
      <c r="E5571" t="inlineStr">
        <is>
          <t>2024-08</t>
        </is>
      </c>
      <c r="F5571" t="n">
        <v>1038470.41190855</v>
      </c>
    </row>
    <row r="5572">
      <c r="A5572" t="inlineStr">
        <is>
          <t>Soja</t>
        </is>
      </c>
      <c r="B5572" t="inlineStr">
        <is>
          <t>Paragominas - PA</t>
        </is>
      </c>
      <c r="C5572" t="n">
        <v>-3.00212</v>
      </c>
      <c r="D5572" t="n">
        <v>-47.3527</v>
      </c>
      <c r="E5572" t="inlineStr">
        <is>
          <t>2024-09</t>
        </is>
      </c>
      <c r="F5572" t="n">
        <v>0</v>
      </c>
    </row>
    <row r="5573">
      <c r="A5573" t="inlineStr">
        <is>
          <t>Soja</t>
        </is>
      </c>
      <c r="B5573" t="inlineStr">
        <is>
          <t>Paragominas - PA</t>
        </is>
      </c>
      <c r="C5573" t="n">
        <v>-3.00212</v>
      </c>
      <c r="D5573" t="n">
        <v>-47.3527</v>
      </c>
      <c r="E5573" t="inlineStr">
        <is>
          <t>2024-10</t>
        </is>
      </c>
      <c r="F5573" t="n">
        <v>0</v>
      </c>
    </row>
    <row r="5574">
      <c r="A5574" t="inlineStr">
        <is>
          <t>Soja</t>
        </is>
      </c>
      <c r="B5574" t="inlineStr">
        <is>
          <t>Paragominas - PA</t>
        </is>
      </c>
      <c r="C5574" t="n">
        <v>-3.00212</v>
      </c>
      <c r="D5574" t="n">
        <v>-47.3527</v>
      </c>
      <c r="E5574" t="inlineStr">
        <is>
          <t>2024-11</t>
        </is>
      </c>
      <c r="F5574" t="n">
        <v>0</v>
      </c>
    </row>
    <row r="5575">
      <c r="A5575" t="inlineStr">
        <is>
          <t>Soja</t>
        </is>
      </c>
      <c r="B5575" t="inlineStr">
        <is>
          <t>Paragominas - PA</t>
        </is>
      </c>
      <c r="C5575" t="n">
        <v>-3.00212</v>
      </c>
      <c r="D5575" t="n">
        <v>-47.3527</v>
      </c>
      <c r="E5575" t="inlineStr">
        <is>
          <t>2024-12</t>
        </is>
      </c>
      <c r="F5575" t="n">
        <v>0</v>
      </c>
    </row>
    <row r="5576">
      <c r="A5576" t="inlineStr">
        <is>
          <t>Soja</t>
        </is>
      </c>
      <c r="B5576" t="inlineStr">
        <is>
          <t>Baixa Grande do Ribeiro - PI</t>
        </is>
      </c>
      <c r="C5576" t="n">
        <v>-7.84903</v>
      </c>
      <c r="D5576" t="n">
        <v>-45.219</v>
      </c>
      <c r="E5576" t="inlineStr">
        <is>
          <t>2025-01</t>
        </is>
      </c>
      <c r="F5576" t="n">
        <v>0</v>
      </c>
    </row>
    <row r="5577">
      <c r="A5577" t="inlineStr">
        <is>
          <t>Soja</t>
        </is>
      </c>
      <c r="B5577" t="inlineStr">
        <is>
          <t>Baixa Grande do Ribeiro - PI</t>
        </is>
      </c>
      <c r="C5577" t="n">
        <v>-7.84903</v>
      </c>
      <c r="D5577" t="n">
        <v>-45.219</v>
      </c>
      <c r="E5577" t="inlineStr">
        <is>
          <t>2025-02</t>
        </is>
      </c>
      <c r="F5577" t="n">
        <v>708866.3855261108</v>
      </c>
    </row>
    <row r="5578">
      <c r="A5578" t="inlineStr">
        <is>
          <t>Soja</t>
        </is>
      </c>
      <c r="B5578" t="inlineStr">
        <is>
          <t>Baixa Grande do Ribeiro - PI</t>
        </is>
      </c>
      <c r="C5578" t="n">
        <v>-7.84903</v>
      </c>
      <c r="D5578" t="n">
        <v>-45.219</v>
      </c>
      <c r="E5578" t="inlineStr">
        <is>
          <t>2025-03</t>
        </is>
      </c>
      <c r="F5578" t="n">
        <v>708866.3855261108</v>
      </c>
    </row>
    <row r="5579">
      <c r="A5579" t="inlineStr">
        <is>
          <t>Soja</t>
        </is>
      </c>
      <c r="B5579" t="inlineStr">
        <is>
          <t>Baixa Grande do Ribeiro - PI</t>
        </is>
      </c>
      <c r="C5579" t="n">
        <v>-7.84903</v>
      </c>
      <c r="D5579" t="n">
        <v>-45.219</v>
      </c>
      <c r="E5579" t="inlineStr">
        <is>
          <t>2025-04</t>
        </is>
      </c>
      <c r="F5579" t="n">
        <v>1654021.566227592</v>
      </c>
    </row>
    <row r="5580">
      <c r="A5580" t="inlineStr">
        <is>
          <t>Soja</t>
        </is>
      </c>
      <c r="B5580" t="inlineStr">
        <is>
          <t>Baixa Grande do Ribeiro - PI</t>
        </is>
      </c>
      <c r="C5580" t="n">
        <v>-7.84903</v>
      </c>
      <c r="D5580" t="n">
        <v>-45.219</v>
      </c>
      <c r="E5580" t="inlineStr">
        <is>
          <t>2025-05</t>
        </is>
      </c>
      <c r="F5580" t="n">
        <v>708866.3855261108</v>
      </c>
    </row>
    <row r="5581">
      <c r="A5581" t="inlineStr">
        <is>
          <t>Soja</t>
        </is>
      </c>
      <c r="B5581" t="inlineStr">
        <is>
          <t>Baixa Grande do Ribeiro - PI</t>
        </is>
      </c>
      <c r="C5581" t="n">
        <v>-7.84903</v>
      </c>
      <c r="D5581" t="n">
        <v>-45.219</v>
      </c>
      <c r="E5581" t="inlineStr">
        <is>
          <t>2025-06</t>
        </is>
      </c>
      <c r="F5581" t="n">
        <v>0</v>
      </c>
    </row>
    <row r="5582">
      <c r="A5582" t="inlineStr">
        <is>
          <t>Soja</t>
        </is>
      </c>
      <c r="B5582" t="inlineStr">
        <is>
          <t>Baixa Grande do Ribeiro - PI</t>
        </is>
      </c>
      <c r="C5582" t="n">
        <v>-7.84903</v>
      </c>
      <c r="D5582" t="n">
        <v>-45.219</v>
      </c>
      <c r="E5582" t="inlineStr">
        <is>
          <t>2024-07</t>
        </is>
      </c>
      <c r="F5582" t="n">
        <v>0</v>
      </c>
    </row>
    <row r="5583">
      <c r="A5583" t="inlineStr">
        <is>
          <t>Soja</t>
        </is>
      </c>
      <c r="B5583" t="inlineStr">
        <is>
          <t>Baixa Grande do Ribeiro - PI</t>
        </is>
      </c>
      <c r="C5583" t="n">
        <v>-7.84903</v>
      </c>
      <c r="D5583" t="n">
        <v>-45.219</v>
      </c>
      <c r="E5583" t="inlineStr">
        <is>
          <t>2024-08</t>
        </is>
      </c>
      <c r="F5583" t="n">
        <v>0</v>
      </c>
    </row>
    <row r="5584">
      <c r="A5584" t="inlineStr">
        <is>
          <t>Soja</t>
        </is>
      </c>
      <c r="B5584" t="inlineStr">
        <is>
          <t>Baixa Grande do Ribeiro - PI</t>
        </is>
      </c>
      <c r="C5584" t="n">
        <v>-7.84903</v>
      </c>
      <c r="D5584" t="n">
        <v>-45.219</v>
      </c>
      <c r="E5584" t="inlineStr">
        <is>
          <t>2024-09</t>
        </is>
      </c>
      <c r="F5584" t="n">
        <v>0</v>
      </c>
    </row>
    <row r="5585">
      <c r="A5585" t="inlineStr">
        <is>
          <t>Soja</t>
        </is>
      </c>
      <c r="B5585" t="inlineStr">
        <is>
          <t>Baixa Grande do Ribeiro - PI</t>
        </is>
      </c>
      <c r="C5585" t="n">
        <v>-7.84903</v>
      </c>
      <c r="D5585" t="n">
        <v>-45.219</v>
      </c>
      <c r="E5585" t="inlineStr">
        <is>
          <t>2024-10</t>
        </is>
      </c>
      <c r="F5585" t="n">
        <v>0</v>
      </c>
    </row>
    <row r="5586">
      <c r="A5586" t="inlineStr">
        <is>
          <t>Soja</t>
        </is>
      </c>
      <c r="B5586" t="inlineStr">
        <is>
          <t>Baixa Grande do Ribeiro - PI</t>
        </is>
      </c>
      <c r="C5586" t="n">
        <v>-7.84903</v>
      </c>
      <c r="D5586" t="n">
        <v>-45.219</v>
      </c>
      <c r="E5586" t="inlineStr">
        <is>
          <t>2024-11</t>
        </is>
      </c>
      <c r="F5586" t="n">
        <v>0</v>
      </c>
    </row>
    <row r="5587">
      <c r="A5587" t="inlineStr">
        <is>
          <t>Soja</t>
        </is>
      </c>
      <c r="B5587" t="inlineStr">
        <is>
          <t>Baixa Grande do Ribeiro - PI</t>
        </is>
      </c>
      <c r="C5587" t="n">
        <v>-7.84903</v>
      </c>
      <c r="D5587" t="n">
        <v>-45.219</v>
      </c>
      <c r="E5587" t="inlineStr">
        <is>
          <t>2024-12</t>
        </is>
      </c>
      <c r="F5587" t="n">
        <v>0</v>
      </c>
    </row>
    <row r="5588">
      <c r="A5588" t="inlineStr">
        <is>
          <t>Soja</t>
        </is>
      </c>
      <c r="B5588" t="inlineStr">
        <is>
          <t>Tibagi - PR</t>
        </is>
      </c>
      <c r="C5588" t="n">
        <v>-24.5153</v>
      </c>
      <c r="D5588" t="n">
        <v>-50.4176</v>
      </c>
      <c r="E5588" t="inlineStr">
        <is>
          <t>2025-01</t>
        </is>
      </c>
      <c r="F5588" t="n">
        <v>2399158.553883917</v>
      </c>
    </row>
    <row r="5589">
      <c r="A5589" t="inlineStr">
        <is>
          <t>Soja</t>
        </is>
      </c>
      <c r="B5589" t="inlineStr">
        <is>
          <t>Tibagi - PR</t>
        </is>
      </c>
      <c r="C5589" t="n">
        <v>-24.5153</v>
      </c>
      <c r="D5589" t="n">
        <v>-50.4176</v>
      </c>
      <c r="E5589" t="inlineStr">
        <is>
          <t>2025-02</t>
        </is>
      </c>
      <c r="F5589" t="n">
        <v>4798317.107767834</v>
      </c>
    </row>
    <row r="5590">
      <c r="A5590" t="inlineStr">
        <is>
          <t>Soja</t>
        </is>
      </c>
      <c r="B5590" t="inlineStr">
        <is>
          <t>Tibagi - PR</t>
        </is>
      </c>
      <c r="C5590" t="n">
        <v>-24.5153</v>
      </c>
      <c r="D5590" t="n">
        <v>-50.4176</v>
      </c>
      <c r="E5590" t="inlineStr">
        <is>
          <t>2025-03</t>
        </is>
      </c>
      <c r="F5590" t="n">
        <v>7997195.179613058</v>
      </c>
    </row>
    <row r="5591">
      <c r="A5591" t="inlineStr">
        <is>
          <t>Soja</t>
        </is>
      </c>
      <c r="B5591" t="inlineStr">
        <is>
          <t>Tibagi - PR</t>
        </is>
      </c>
      <c r="C5591" t="n">
        <v>-24.5153</v>
      </c>
      <c r="D5591" t="n">
        <v>-50.4176</v>
      </c>
      <c r="E5591" t="inlineStr">
        <is>
          <t>2025-04</t>
        </is>
      </c>
      <c r="F5591" t="n">
        <v>4798317.107767834</v>
      </c>
    </row>
    <row r="5592">
      <c r="A5592" t="inlineStr">
        <is>
          <t>Soja</t>
        </is>
      </c>
      <c r="B5592" t="inlineStr">
        <is>
          <t>Tibagi - PR</t>
        </is>
      </c>
      <c r="C5592" t="n">
        <v>-24.5153</v>
      </c>
      <c r="D5592" t="n">
        <v>-50.4176</v>
      </c>
      <c r="E5592" t="inlineStr">
        <is>
          <t>2025-05</t>
        </is>
      </c>
      <c r="F5592" t="n">
        <v>0</v>
      </c>
    </row>
    <row r="5593">
      <c r="A5593" t="inlineStr">
        <is>
          <t>Soja</t>
        </is>
      </c>
      <c r="B5593" t="inlineStr">
        <is>
          <t>Tibagi - PR</t>
        </is>
      </c>
      <c r="C5593" t="n">
        <v>-24.5153</v>
      </c>
      <c r="D5593" t="n">
        <v>-50.4176</v>
      </c>
      <c r="E5593" t="inlineStr">
        <is>
          <t>2025-06</t>
        </is>
      </c>
      <c r="F5593" t="n">
        <v>0</v>
      </c>
    </row>
    <row r="5594">
      <c r="A5594" t="inlineStr">
        <is>
          <t>Soja</t>
        </is>
      </c>
      <c r="B5594" t="inlineStr">
        <is>
          <t>Tibagi - PR</t>
        </is>
      </c>
      <c r="C5594" t="n">
        <v>-24.5153</v>
      </c>
      <c r="D5594" t="n">
        <v>-50.4176</v>
      </c>
      <c r="E5594" t="inlineStr">
        <is>
          <t>2024-07</t>
        </is>
      </c>
      <c r="F5594" t="n">
        <v>0</v>
      </c>
    </row>
    <row r="5595">
      <c r="A5595" t="inlineStr">
        <is>
          <t>Soja</t>
        </is>
      </c>
      <c r="B5595" t="inlineStr">
        <is>
          <t>Tibagi - PR</t>
        </is>
      </c>
      <c r="C5595" t="n">
        <v>-24.5153</v>
      </c>
      <c r="D5595" t="n">
        <v>-50.4176</v>
      </c>
      <c r="E5595" t="inlineStr">
        <is>
          <t>2024-08</t>
        </is>
      </c>
      <c r="F5595" t="n">
        <v>0</v>
      </c>
    </row>
    <row r="5596">
      <c r="A5596" t="inlineStr">
        <is>
          <t>Soja</t>
        </is>
      </c>
      <c r="B5596" t="inlineStr">
        <is>
          <t>Tibagi - PR</t>
        </is>
      </c>
      <c r="C5596" t="n">
        <v>-24.5153</v>
      </c>
      <c r="D5596" t="n">
        <v>-50.4176</v>
      </c>
      <c r="E5596" t="inlineStr">
        <is>
          <t>2024-09</t>
        </is>
      </c>
      <c r="F5596" t="n">
        <v>0</v>
      </c>
    </row>
    <row r="5597">
      <c r="A5597" t="inlineStr">
        <is>
          <t>Soja</t>
        </is>
      </c>
      <c r="B5597" t="inlineStr">
        <is>
          <t>Tibagi - PR</t>
        </is>
      </c>
      <c r="C5597" t="n">
        <v>-24.5153</v>
      </c>
      <c r="D5597" t="n">
        <v>-50.4176</v>
      </c>
      <c r="E5597" t="inlineStr">
        <is>
          <t>2024-10</t>
        </is>
      </c>
      <c r="F5597" t="n">
        <v>0</v>
      </c>
    </row>
    <row r="5598">
      <c r="A5598" t="inlineStr">
        <is>
          <t>Soja</t>
        </is>
      </c>
      <c r="B5598" t="inlineStr">
        <is>
          <t>Tibagi - PR</t>
        </is>
      </c>
      <c r="C5598" t="n">
        <v>-24.5153</v>
      </c>
      <c r="D5598" t="n">
        <v>-50.4176</v>
      </c>
      <c r="E5598" t="inlineStr">
        <is>
          <t>2024-11</t>
        </is>
      </c>
      <c r="F5598" t="n">
        <v>0</v>
      </c>
    </row>
    <row r="5599">
      <c r="A5599" t="inlineStr">
        <is>
          <t>Soja</t>
        </is>
      </c>
      <c r="B5599" t="inlineStr">
        <is>
          <t>Tibagi - PR</t>
        </is>
      </c>
      <c r="C5599" t="n">
        <v>-24.5153</v>
      </c>
      <c r="D5599" t="n">
        <v>-50.4176</v>
      </c>
      <c r="E5599" t="inlineStr">
        <is>
          <t>2024-12</t>
        </is>
      </c>
      <c r="F5599" t="n">
        <v>0</v>
      </c>
    </row>
    <row r="5600">
      <c r="A5600" t="inlineStr">
        <is>
          <t>Soja</t>
        </is>
      </c>
      <c r="B5600" t="inlineStr">
        <is>
          <t>Pimenteiras do Oeste - RO</t>
        </is>
      </c>
      <c r="C5600" t="n">
        <v>-13.4823</v>
      </c>
      <c r="D5600" t="n">
        <v>-61.0471</v>
      </c>
      <c r="E5600" t="inlineStr">
        <is>
          <t>2025-01</t>
        </is>
      </c>
      <c r="F5600" t="n">
        <v>0</v>
      </c>
    </row>
    <row r="5601">
      <c r="A5601" t="inlineStr">
        <is>
          <t>Soja</t>
        </is>
      </c>
      <c r="B5601" t="inlineStr">
        <is>
          <t>Pimenteiras do Oeste - RO</t>
        </is>
      </c>
      <c r="C5601" t="n">
        <v>-13.4823</v>
      </c>
      <c r="D5601" t="n">
        <v>-61.0471</v>
      </c>
      <c r="E5601" t="inlineStr">
        <is>
          <t>2025-02</t>
        </is>
      </c>
      <c r="F5601" t="n">
        <v>344491.3914089399</v>
      </c>
    </row>
    <row r="5602">
      <c r="A5602" t="inlineStr">
        <is>
          <t>Soja</t>
        </is>
      </c>
      <c r="B5602" t="inlineStr">
        <is>
          <t>Pimenteiras do Oeste - RO</t>
        </is>
      </c>
      <c r="C5602" t="n">
        <v>-13.4823</v>
      </c>
      <c r="D5602" t="n">
        <v>-61.0471</v>
      </c>
      <c r="E5602" t="inlineStr">
        <is>
          <t>2025-03</t>
        </is>
      </c>
      <c r="F5602" t="n">
        <v>1607626.49324172</v>
      </c>
    </row>
    <row r="5603">
      <c r="A5603" t="inlineStr">
        <is>
          <t>Soja</t>
        </is>
      </c>
      <c r="B5603" t="inlineStr">
        <is>
          <t>Pimenteiras do Oeste - RO</t>
        </is>
      </c>
      <c r="C5603" t="n">
        <v>-13.4823</v>
      </c>
      <c r="D5603" t="n">
        <v>-61.0471</v>
      </c>
      <c r="E5603" t="inlineStr">
        <is>
          <t>2025-04</t>
        </is>
      </c>
      <c r="F5603" t="n">
        <v>688982.7828178798</v>
      </c>
    </row>
    <row r="5604">
      <c r="A5604" t="inlineStr">
        <is>
          <t>Soja</t>
        </is>
      </c>
      <c r="B5604" t="inlineStr">
        <is>
          <t>Pimenteiras do Oeste - RO</t>
        </is>
      </c>
      <c r="C5604" t="n">
        <v>-13.4823</v>
      </c>
      <c r="D5604" t="n">
        <v>-61.0471</v>
      </c>
      <c r="E5604" t="inlineStr">
        <is>
          <t>2025-05</t>
        </is>
      </c>
      <c r="F5604" t="n">
        <v>0</v>
      </c>
    </row>
    <row r="5605">
      <c r="A5605" t="inlineStr">
        <is>
          <t>Soja</t>
        </is>
      </c>
      <c r="B5605" t="inlineStr">
        <is>
          <t>Pimenteiras do Oeste - RO</t>
        </is>
      </c>
      <c r="C5605" t="n">
        <v>-13.4823</v>
      </c>
      <c r="D5605" t="n">
        <v>-61.0471</v>
      </c>
      <c r="E5605" t="inlineStr">
        <is>
          <t>2025-06</t>
        </is>
      </c>
      <c r="F5605" t="n">
        <v>0</v>
      </c>
    </row>
    <row r="5606">
      <c r="A5606" t="inlineStr">
        <is>
          <t>Soja</t>
        </is>
      </c>
      <c r="B5606" t="inlineStr">
        <is>
          <t>Pimenteiras do Oeste - RO</t>
        </is>
      </c>
      <c r="C5606" t="n">
        <v>-13.4823</v>
      </c>
      <c r="D5606" t="n">
        <v>-61.0471</v>
      </c>
      <c r="E5606" t="inlineStr">
        <is>
          <t>2024-07</t>
        </is>
      </c>
      <c r="F5606" t="n">
        <v>0</v>
      </c>
    </row>
    <row r="5607">
      <c r="A5607" t="inlineStr">
        <is>
          <t>Soja</t>
        </is>
      </c>
      <c r="B5607" t="inlineStr">
        <is>
          <t>Pimenteiras do Oeste - RO</t>
        </is>
      </c>
      <c r="C5607" t="n">
        <v>-13.4823</v>
      </c>
      <c r="D5607" t="n">
        <v>-61.0471</v>
      </c>
      <c r="E5607" t="inlineStr">
        <is>
          <t>2024-08</t>
        </is>
      </c>
      <c r="F5607" t="n">
        <v>0</v>
      </c>
    </row>
    <row r="5608">
      <c r="A5608" t="inlineStr">
        <is>
          <t>Soja</t>
        </is>
      </c>
      <c r="B5608" t="inlineStr">
        <is>
          <t>Pimenteiras do Oeste - RO</t>
        </is>
      </c>
      <c r="C5608" t="n">
        <v>-13.4823</v>
      </c>
      <c r="D5608" t="n">
        <v>-61.0471</v>
      </c>
      <c r="E5608" t="inlineStr">
        <is>
          <t>2024-09</t>
        </is>
      </c>
      <c r="F5608" t="n">
        <v>0</v>
      </c>
    </row>
    <row r="5609">
      <c r="A5609" t="inlineStr">
        <is>
          <t>Soja</t>
        </is>
      </c>
      <c r="B5609" t="inlineStr">
        <is>
          <t>Pimenteiras do Oeste - RO</t>
        </is>
      </c>
      <c r="C5609" t="n">
        <v>-13.4823</v>
      </c>
      <c r="D5609" t="n">
        <v>-61.0471</v>
      </c>
      <c r="E5609" t="inlineStr">
        <is>
          <t>2024-10</t>
        </is>
      </c>
      <c r="F5609" t="n">
        <v>0</v>
      </c>
    </row>
    <row r="5610">
      <c r="A5610" t="inlineStr">
        <is>
          <t>Soja</t>
        </is>
      </c>
      <c r="B5610" t="inlineStr">
        <is>
          <t>Pimenteiras do Oeste - RO</t>
        </is>
      </c>
      <c r="C5610" t="n">
        <v>-13.4823</v>
      </c>
      <c r="D5610" t="n">
        <v>-61.0471</v>
      </c>
      <c r="E5610" t="inlineStr">
        <is>
          <t>2024-11</t>
        </is>
      </c>
      <c r="F5610" t="n">
        <v>0</v>
      </c>
    </row>
    <row r="5611">
      <c r="A5611" t="inlineStr">
        <is>
          <t>Soja</t>
        </is>
      </c>
      <c r="B5611" t="inlineStr">
        <is>
          <t>Pimenteiras do Oeste - RO</t>
        </is>
      </c>
      <c r="C5611" t="n">
        <v>-13.4823</v>
      </c>
      <c r="D5611" t="n">
        <v>-61.0471</v>
      </c>
      <c r="E5611" t="inlineStr">
        <is>
          <t>2024-12</t>
        </is>
      </c>
      <c r="F5611" t="n">
        <v>0</v>
      </c>
    </row>
    <row r="5612">
      <c r="A5612" t="inlineStr">
        <is>
          <t>Soja</t>
        </is>
      </c>
      <c r="B5612" t="inlineStr">
        <is>
          <t>Bonfim - RR</t>
        </is>
      </c>
      <c r="C5612" t="n">
        <v>3.36161</v>
      </c>
      <c r="D5612" t="n">
        <v>-59.8333</v>
      </c>
      <c r="E5612" t="inlineStr">
        <is>
          <t>2025-01</t>
        </is>
      </c>
      <c r="F5612" t="n">
        <v>0</v>
      </c>
    </row>
    <row r="5613">
      <c r="A5613" t="inlineStr">
        <is>
          <t>Soja</t>
        </is>
      </c>
      <c r="B5613" t="inlineStr">
        <is>
          <t>Bonfim - RR</t>
        </is>
      </c>
      <c r="C5613" t="n">
        <v>3.36161</v>
      </c>
      <c r="D5613" t="n">
        <v>-59.8333</v>
      </c>
      <c r="E5613" t="inlineStr">
        <is>
          <t>2025-02</t>
        </is>
      </c>
      <c r="F5613" t="n">
        <v>0</v>
      </c>
    </row>
    <row r="5614">
      <c r="A5614" t="inlineStr">
        <is>
          <t>Soja</t>
        </is>
      </c>
      <c r="B5614" t="inlineStr">
        <is>
          <t>Bonfim - RR</t>
        </is>
      </c>
      <c r="C5614" t="n">
        <v>3.36161</v>
      </c>
      <c r="D5614" t="n">
        <v>-59.8333</v>
      </c>
      <c r="E5614" t="inlineStr">
        <is>
          <t>2025-03</t>
        </is>
      </c>
      <c r="F5614" t="n">
        <v>0</v>
      </c>
    </row>
    <row r="5615">
      <c r="A5615" t="inlineStr">
        <is>
          <t>Soja</t>
        </is>
      </c>
      <c r="B5615" t="inlineStr">
        <is>
          <t>Bonfim - RR</t>
        </is>
      </c>
      <c r="C5615" t="n">
        <v>3.36161</v>
      </c>
      <c r="D5615" t="n">
        <v>-59.8333</v>
      </c>
      <c r="E5615" t="inlineStr">
        <is>
          <t>2025-04</t>
        </is>
      </c>
      <c r="F5615" t="n">
        <v>0</v>
      </c>
    </row>
    <row r="5616">
      <c r="A5616" t="inlineStr">
        <is>
          <t>Soja</t>
        </is>
      </c>
      <c r="B5616" t="inlineStr">
        <is>
          <t>Bonfim - RR</t>
        </is>
      </c>
      <c r="C5616" t="n">
        <v>3.36161</v>
      </c>
      <c r="D5616" t="n">
        <v>-59.8333</v>
      </c>
      <c r="E5616" t="inlineStr">
        <is>
          <t>2025-05</t>
        </is>
      </c>
      <c r="F5616" t="n">
        <v>0</v>
      </c>
    </row>
    <row r="5617">
      <c r="A5617" t="inlineStr">
        <is>
          <t>Soja</t>
        </is>
      </c>
      <c r="B5617" t="inlineStr">
        <is>
          <t>Bonfim - RR</t>
        </is>
      </c>
      <c r="C5617" t="n">
        <v>3.36161</v>
      </c>
      <c r="D5617" t="n">
        <v>-59.8333</v>
      </c>
      <c r="E5617" t="inlineStr">
        <is>
          <t>2025-06</t>
        </is>
      </c>
      <c r="F5617" t="n">
        <v>0</v>
      </c>
    </row>
    <row r="5618">
      <c r="A5618" t="inlineStr">
        <is>
          <t>Soja</t>
        </is>
      </c>
      <c r="B5618" t="inlineStr">
        <is>
          <t>Bonfim - RR</t>
        </is>
      </c>
      <c r="C5618" t="n">
        <v>3.36161</v>
      </c>
      <c r="D5618" t="n">
        <v>-59.8333</v>
      </c>
      <c r="E5618" t="inlineStr">
        <is>
          <t>2024-07</t>
        </is>
      </c>
      <c r="F5618" t="n">
        <v>43343.6922778611</v>
      </c>
    </row>
    <row r="5619">
      <c r="A5619" t="inlineStr">
        <is>
          <t>Soja</t>
        </is>
      </c>
      <c r="B5619" t="inlineStr">
        <is>
          <t>Bonfim - RR</t>
        </is>
      </c>
      <c r="C5619" t="n">
        <v>3.36161</v>
      </c>
      <c r="D5619" t="n">
        <v>-59.8333</v>
      </c>
      <c r="E5619" t="inlineStr">
        <is>
          <t>2024-08</t>
        </is>
      </c>
      <c r="F5619" t="n">
        <v>86687.3845557223</v>
      </c>
    </row>
    <row r="5620">
      <c r="A5620" t="inlineStr">
        <is>
          <t>Soja</t>
        </is>
      </c>
      <c r="B5620" t="inlineStr">
        <is>
          <t>Bonfim - RR</t>
        </is>
      </c>
      <c r="C5620" t="n">
        <v>3.36161</v>
      </c>
      <c r="D5620" t="n">
        <v>-59.8333</v>
      </c>
      <c r="E5620" t="inlineStr">
        <is>
          <t>2024-09</t>
        </is>
      </c>
      <c r="F5620" t="n">
        <v>202270.563963352</v>
      </c>
    </row>
    <row r="5621">
      <c r="A5621" t="inlineStr">
        <is>
          <t>Soja</t>
        </is>
      </c>
      <c r="B5621" t="inlineStr">
        <is>
          <t>Bonfim - RR</t>
        </is>
      </c>
      <c r="C5621" t="n">
        <v>3.36161</v>
      </c>
      <c r="D5621" t="n">
        <v>-59.8333</v>
      </c>
      <c r="E5621" t="inlineStr">
        <is>
          <t>2024-10</t>
        </is>
      </c>
      <c r="F5621" t="n">
        <v>86687.3845557223</v>
      </c>
    </row>
    <row r="5622">
      <c r="A5622" t="inlineStr">
        <is>
          <t>Soja</t>
        </is>
      </c>
      <c r="B5622" t="inlineStr">
        <is>
          <t>Bonfim - RR</t>
        </is>
      </c>
      <c r="C5622" t="n">
        <v>3.36161</v>
      </c>
      <c r="D5622" t="n">
        <v>-59.8333</v>
      </c>
      <c r="E5622" t="inlineStr">
        <is>
          <t>2024-11</t>
        </is>
      </c>
      <c r="F5622" t="n">
        <v>43343.6922778611</v>
      </c>
    </row>
    <row r="5623">
      <c r="A5623" t="inlineStr">
        <is>
          <t>Soja</t>
        </is>
      </c>
      <c r="B5623" t="inlineStr">
        <is>
          <t>Bonfim - RR</t>
        </is>
      </c>
      <c r="C5623" t="n">
        <v>3.36161</v>
      </c>
      <c r="D5623" t="n">
        <v>-59.8333</v>
      </c>
      <c r="E5623" t="inlineStr">
        <is>
          <t>2024-12</t>
        </is>
      </c>
      <c r="F5623" t="n">
        <v>0</v>
      </c>
    </row>
    <row r="5624">
      <c r="A5624" t="inlineStr">
        <is>
          <t>Soja</t>
        </is>
      </c>
      <c r="B5624" t="inlineStr">
        <is>
          <t>Tupanciretã - RS</t>
        </is>
      </c>
      <c r="C5624" t="n">
        <v>-29.0858</v>
      </c>
      <c r="D5624" t="n">
        <v>-53.8445</v>
      </c>
      <c r="E5624" t="inlineStr">
        <is>
          <t>2025-01</t>
        </is>
      </c>
      <c r="F5624" t="n">
        <v>1559734.962895881</v>
      </c>
    </row>
    <row r="5625">
      <c r="A5625" t="inlineStr">
        <is>
          <t>Soja</t>
        </is>
      </c>
      <c r="B5625" t="inlineStr">
        <is>
          <t>Tupanciretã - RS</t>
        </is>
      </c>
      <c r="C5625" t="n">
        <v>-29.0858</v>
      </c>
      <c r="D5625" t="n">
        <v>-53.8445</v>
      </c>
      <c r="E5625" t="inlineStr">
        <is>
          <t>2025-02</t>
        </is>
      </c>
      <c r="F5625" t="n">
        <v>3119469.925791762</v>
      </c>
    </row>
    <row r="5626">
      <c r="A5626" t="inlineStr">
        <is>
          <t>Soja</t>
        </is>
      </c>
      <c r="B5626" t="inlineStr">
        <is>
          <t>Tupanciretã - RS</t>
        </is>
      </c>
      <c r="C5626" t="n">
        <v>-29.0858</v>
      </c>
      <c r="D5626" t="n">
        <v>-53.8445</v>
      </c>
      <c r="E5626" t="inlineStr">
        <is>
          <t>2025-03</t>
        </is>
      </c>
      <c r="F5626" t="n">
        <v>7278763.160180777</v>
      </c>
    </row>
    <row r="5627">
      <c r="A5627" t="inlineStr">
        <is>
          <t>Soja</t>
        </is>
      </c>
      <c r="B5627" t="inlineStr">
        <is>
          <t>Tupanciretã - RS</t>
        </is>
      </c>
      <c r="C5627" t="n">
        <v>-29.0858</v>
      </c>
      <c r="D5627" t="n">
        <v>-53.8445</v>
      </c>
      <c r="E5627" t="inlineStr">
        <is>
          <t>2025-04</t>
        </is>
      </c>
      <c r="F5627" t="n">
        <v>3119469.925791762</v>
      </c>
    </row>
    <row r="5628">
      <c r="A5628" t="inlineStr">
        <is>
          <t>Soja</t>
        </is>
      </c>
      <c r="B5628" t="inlineStr">
        <is>
          <t>Tupanciretã - RS</t>
        </is>
      </c>
      <c r="C5628" t="n">
        <v>-29.0858</v>
      </c>
      <c r="D5628" t="n">
        <v>-53.8445</v>
      </c>
      <c r="E5628" t="inlineStr">
        <is>
          <t>2025-05</t>
        </is>
      </c>
      <c r="F5628" t="n">
        <v>1559734.962895881</v>
      </c>
    </row>
    <row r="5629">
      <c r="A5629" t="inlineStr">
        <is>
          <t>Soja</t>
        </is>
      </c>
      <c r="B5629" t="inlineStr">
        <is>
          <t>Tupanciretã - RS</t>
        </is>
      </c>
      <c r="C5629" t="n">
        <v>-29.0858</v>
      </c>
      <c r="D5629" t="n">
        <v>-53.8445</v>
      </c>
      <c r="E5629" t="inlineStr">
        <is>
          <t>2025-06</t>
        </is>
      </c>
      <c r="F5629" t="n">
        <v>0</v>
      </c>
    </row>
    <row r="5630">
      <c r="A5630" t="inlineStr">
        <is>
          <t>Soja</t>
        </is>
      </c>
      <c r="B5630" t="inlineStr">
        <is>
          <t>Tupanciretã - RS</t>
        </is>
      </c>
      <c r="C5630" t="n">
        <v>-29.0858</v>
      </c>
      <c r="D5630" t="n">
        <v>-53.8445</v>
      </c>
      <c r="E5630" t="inlineStr">
        <is>
          <t>2024-07</t>
        </is>
      </c>
      <c r="F5630" t="n">
        <v>0</v>
      </c>
    </row>
    <row r="5631">
      <c r="A5631" t="inlineStr">
        <is>
          <t>Soja</t>
        </is>
      </c>
      <c r="B5631" t="inlineStr">
        <is>
          <t>Tupanciretã - RS</t>
        </is>
      </c>
      <c r="C5631" t="n">
        <v>-29.0858</v>
      </c>
      <c r="D5631" t="n">
        <v>-53.8445</v>
      </c>
      <c r="E5631" t="inlineStr">
        <is>
          <t>2024-08</t>
        </is>
      </c>
      <c r="F5631" t="n">
        <v>0</v>
      </c>
    </row>
    <row r="5632">
      <c r="A5632" t="inlineStr">
        <is>
          <t>Soja</t>
        </is>
      </c>
      <c r="B5632" t="inlineStr">
        <is>
          <t>Tupanciretã - RS</t>
        </is>
      </c>
      <c r="C5632" t="n">
        <v>-29.0858</v>
      </c>
      <c r="D5632" t="n">
        <v>-53.8445</v>
      </c>
      <c r="E5632" t="inlineStr">
        <is>
          <t>2024-09</t>
        </is>
      </c>
      <c r="F5632" t="n">
        <v>0</v>
      </c>
    </row>
    <row r="5633">
      <c r="A5633" t="inlineStr">
        <is>
          <t>Soja</t>
        </is>
      </c>
      <c r="B5633" t="inlineStr">
        <is>
          <t>Tupanciretã - RS</t>
        </is>
      </c>
      <c r="C5633" t="n">
        <v>-29.0858</v>
      </c>
      <c r="D5633" t="n">
        <v>-53.8445</v>
      </c>
      <c r="E5633" t="inlineStr">
        <is>
          <t>2024-10</t>
        </is>
      </c>
      <c r="F5633" t="n">
        <v>0</v>
      </c>
    </row>
    <row r="5634">
      <c r="A5634" t="inlineStr">
        <is>
          <t>Soja</t>
        </is>
      </c>
      <c r="B5634" t="inlineStr">
        <is>
          <t>Tupanciretã - RS</t>
        </is>
      </c>
      <c r="C5634" t="n">
        <v>-29.0858</v>
      </c>
      <c r="D5634" t="n">
        <v>-53.8445</v>
      </c>
      <c r="E5634" t="inlineStr">
        <is>
          <t>2024-11</t>
        </is>
      </c>
      <c r="F5634" t="n">
        <v>0</v>
      </c>
    </row>
    <row r="5635">
      <c r="A5635" t="inlineStr">
        <is>
          <t>Soja</t>
        </is>
      </c>
      <c r="B5635" t="inlineStr">
        <is>
          <t>Tupanciretã - RS</t>
        </is>
      </c>
      <c r="C5635" t="n">
        <v>-29.0858</v>
      </c>
      <c r="D5635" t="n">
        <v>-53.8445</v>
      </c>
      <c r="E5635" t="inlineStr">
        <is>
          <t>2024-12</t>
        </is>
      </c>
      <c r="F5635" t="n">
        <v>0</v>
      </c>
    </row>
    <row r="5636">
      <c r="A5636" t="inlineStr">
        <is>
          <t>Soja</t>
        </is>
      </c>
      <c r="B5636" t="inlineStr">
        <is>
          <t>Campos Novos - SC</t>
        </is>
      </c>
      <c r="C5636" t="n">
        <v>-27.4002</v>
      </c>
      <c r="D5636" t="n">
        <v>-51.2276</v>
      </c>
      <c r="E5636" t="inlineStr">
        <is>
          <t>2025-01</t>
        </is>
      </c>
      <c r="F5636" t="n">
        <v>0</v>
      </c>
    </row>
    <row r="5637">
      <c r="A5637" t="inlineStr">
        <is>
          <t>Soja</t>
        </is>
      </c>
      <c r="B5637" t="inlineStr">
        <is>
          <t>Campos Novos - SC</t>
        </is>
      </c>
      <c r="C5637" t="n">
        <v>-27.4002</v>
      </c>
      <c r="D5637" t="n">
        <v>-51.2276</v>
      </c>
      <c r="E5637" t="inlineStr">
        <is>
          <t>2025-02</t>
        </is>
      </c>
      <c r="F5637" t="n">
        <v>604991.6320844486</v>
      </c>
    </row>
    <row r="5638">
      <c r="A5638" t="inlineStr">
        <is>
          <t>Soja</t>
        </is>
      </c>
      <c r="B5638" t="inlineStr">
        <is>
          <t>Campos Novos - SC</t>
        </is>
      </c>
      <c r="C5638" t="n">
        <v>-27.4002</v>
      </c>
      <c r="D5638" t="n">
        <v>-51.2276</v>
      </c>
      <c r="E5638" t="inlineStr">
        <is>
          <t>2025-03</t>
        </is>
      </c>
      <c r="F5638" t="n">
        <v>1008319.386807415</v>
      </c>
    </row>
    <row r="5639">
      <c r="A5639" t="inlineStr">
        <is>
          <t>Soja</t>
        </is>
      </c>
      <c r="B5639" t="inlineStr">
        <is>
          <t>Campos Novos - SC</t>
        </is>
      </c>
      <c r="C5639" t="n">
        <v>-27.4002</v>
      </c>
      <c r="D5639" t="n">
        <v>-51.2276</v>
      </c>
      <c r="E5639" t="inlineStr">
        <is>
          <t>2025-04</t>
        </is>
      </c>
      <c r="F5639" t="n">
        <v>1008319.386807415</v>
      </c>
    </row>
    <row r="5640">
      <c r="A5640" t="inlineStr">
        <is>
          <t>Soja</t>
        </is>
      </c>
      <c r="B5640" t="inlineStr">
        <is>
          <t>Campos Novos - SC</t>
        </is>
      </c>
      <c r="C5640" t="n">
        <v>-27.4002</v>
      </c>
      <c r="D5640" t="n">
        <v>-51.2276</v>
      </c>
      <c r="E5640" t="inlineStr">
        <is>
          <t>2025-05</t>
        </is>
      </c>
      <c r="F5640" t="n">
        <v>604991.6320844486</v>
      </c>
    </row>
    <row r="5641">
      <c r="A5641" t="inlineStr">
        <is>
          <t>Soja</t>
        </is>
      </c>
      <c r="B5641" t="inlineStr">
        <is>
          <t>Campos Novos - SC</t>
        </is>
      </c>
      <c r="C5641" t="n">
        <v>-27.4002</v>
      </c>
      <c r="D5641" t="n">
        <v>-51.2276</v>
      </c>
      <c r="E5641" t="inlineStr">
        <is>
          <t>2025-06</t>
        </is>
      </c>
      <c r="F5641" t="n">
        <v>0</v>
      </c>
    </row>
    <row r="5642">
      <c r="A5642" t="inlineStr">
        <is>
          <t>Soja</t>
        </is>
      </c>
      <c r="B5642" t="inlineStr">
        <is>
          <t>Campos Novos - SC</t>
        </is>
      </c>
      <c r="C5642" t="n">
        <v>-27.4002</v>
      </c>
      <c r="D5642" t="n">
        <v>-51.2276</v>
      </c>
      <c r="E5642" t="inlineStr">
        <is>
          <t>2024-07</t>
        </is>
      </c>
      <c r="F5642" t="n">
        <v>0</v>
      </c>
    </row>
    <row r="5643">
      <c r="A5643" t="inlineStr">
        <is>
          <t>Soja</t>
        </is>
      </c>
      <c r="B5643" t="inlineStr">
        <is>
          <t>Campos Novos - SC</t>
        </is>
      </c>
      <c r="C5643" t="n">
        <v>-27.4002</v>
      </c>
      <c r="D5643" t="n">
        <v>-51.2276</v>
      </c>
      <c r="E5643" t="inlineStr">
        <is>
          <t>2024-08</t>
        </is>
      </c>
      <c r="F5643" t="n">
        <v>0</v>
      </c>
    </row>
    <row r="5644">
      <c r="A5644" t="inlineStr">
        <is>
          <t>Soja</t>
        </is>
      </c>
      <c r="B5644" t="inlineStr">
        <is>
          <t>Campos Novos - SC</t>
        </is>
      </c>
      <c r="C5644" t="n">
        <v>-27.4002</v>
      </c>
      <c r="D5644" t="n">
        <v>-51.2276</v>
      </c>
      <c r="E5644" t="inlineStr">
        <is>
          <t>2024-09</t>
        </is>
      </c>
      <c r="F5644" t="n">
        <v>0</v>
      </c>
    </row>
    <row r="5645">
      <c r="A5645" t="inlineStr">
        <is>
          <t>Soja</t>
        </is>
      </c>
      <c r="B5645" t="inlineStr">
        <is>
          <t>Campos Novos - SC</t>
        </is>
      </c>
      <c r="C5645" t="n">
        <v>-27.4002</v>
      </c>
      <c r="D5645" t="n">
        <v>-51.2276</v>
      </c>
      <c r="E5645" t="inlineStr">
        <is>
          <t>2024-10</t>
        </is>
      </c>
      <c r="F5645" t="n">
        <v>0</v>
      </c>
    </row>
    <row r="5646">
      <c r="A5646" t="inlineStr">
        <is>
          <t>Soja</t>
        </is>
      </c>
      <c r="B5646" t="inlineStr">
        <is>
          <t>Campos Novos - SC</t>
        </is>
      </c>
      <c r="C5646" t="n">
        <v>-27.4002</v>
      </c>
      <c r="D5646" t="n">
        <v>-51.2276</v>
      </c>
      <c r="E5646" t="inlineStr">
        <is>
          <t>2024-11</t>
        </is>
      </c>
      <c r="F5646" t="n">
        <v>0</v>
      </c>
    </row>
    <row r="5647">
      <c r="A5647" t="inlineStr">
        <is>
          <t>Soja</t>
        </is>
      </c>
      <c r="B5647" t="inlineStr">
        <is>
          <t>Campos Novos - SC</t>
        </is>
      </c>
      <c r="C5647" t="n">
        <v>-27.4002</v>
      </c>
      <c r="D5647" t="n">
        <v>-51.2276</v>
      </c>
      <c r="E5647" t="inlineStr">
        <is>
          <t>2024-12</t>
        </is>
      </c>
      <c r="F5647" t="n">
        <v>0</v>
      </c>
    </row>
    <row r="5648">
      <c r="A5648" t="inlineStr">
        <is>
          <t>Soja</t>
        </is>
      </c>
      <c r="B5648" t="inlineStr">
        <is>
          <t>Itapeva - SP</t>
        </is>
      </c>
      <c r="C5648" t="n">
        <v>-23.9788</v>
      </c>
      <c r="D5648" t="n">
        <v>-48.8764</v>
      </c>
      <c r="E5648" t="inlineStr">
        <is>
          <t>2025-01</t>
        </is>
      </c>
      <c r="F5648" t="n">
        <v>990225.1152691965</v>
      </c>
    </row>
    <row r="5649">
      <c r="A5649" t="inlineStr">
        <is>
          <t>Soja</t>
        </is>
      </c>
      <c r="B5649" t="inlineStr">
        <is>
          <t>Itapeva - SP</t>
        </is>
      </c>
      <c r="C5649" t="n">
        <v>-23.9788</v>
      </c>
      <c r="D5649" t="n">
        <v>-48.8764</v>
      </c>
      <c r="E5649" t="inlineStr">
        <is>
          <t>2025-02</t>
        </is>
      </c>
      <c r="F5649" t="n">
        <v>990225.1152691965</v>
      </c>
    </row>
    <row r="5650">
      <c r="A5650" t="inlineStr">
        <is>
          <t>Soja</t>
        </is>
      </c>
      <c r="B5650" t="inlineStr">
        <is>
          <t>Itapeva - SP</t>
        </is>
      </c>
      <c r="C5650" t="n">
        <v>-23.9788</v>
      </c>
      <c r="D5650" t="n">
        <v>-48.8764</v>
      </c>
      <c r="E5650" t="inlineStr">
        <is>
          <t>2025-03</t>
        </is>
      </c>
      <c r="F5650" t="n">
        <v>2310525.268961458</v>
      </c>
    </row>
    <row r="5651">
      <c r="A5651" t="inlineStr">
        <is>
          <t>Soja</t>
        </is>
      </c>
      <c r="B5651" t="inlineStr">
        <is>
          <t>Itapeva - SP</t>
        </is>
      </c>
      <c r="C5651" t="n">
        <v>-23.9788</v>
      </c>
      <c r="D5651" t="n">
        <v>-48.8764</v>
      </c>
      <c r="E5651" t="inlineStr">
        <is>
          <t>2025-04</t>
        </is>
      </c>
      <c r="F5651" t="n">
        <v>990225.1152691965</v>
      </c>
    </row>
    <row r="5652">
      <c r="A5652" t="inlineStr">
        <is>
          <t>Soja</t>
        </is>
      </c>
      <c r="B5652" t="inlineStr">
        <is>
          <t>Itapeva - SP</t>
        </is>
      </c>
      <c r="C5652" t="n">
        <v>-23.9788</v>
      </c>
      <c r="D5652" t="n">
        <v>-48.8764</v>
      </c>
      <c r="E5652" t="inlineStr">
        <is>
          <t>2025-05</t>
        </is>
      </c>
      <c r="F5652" t="n">
        <v>0</v>
      </c>
    </row>
    <row r="5653">
      <c r="A5653" t="inlineStr">
        <is>
          <t>Soja</t>
        </is>
      </c>
      <c r="B5653" t="inlineStr">
        <is>
          <t>Itapeva - SP</t>
        </is>
      </c>
      <c r="C5653" t="n">
        <v>-23.9788</v>
      </c>
      <c r="D5653" t="n">
        <v>-48.8764</v>
      </c>
      <c r="E5653" t="inlineStr">
        <is>
          <t>2025-06</t>
        </is>
      </c>
      <c r="F5653" t="n">
        <v>0</v>
      </c>
    </row>
    <row r="5654">
      <c r="A5654" t="inlineStr">
        <is>
          <t>Soja</t>
        </is>
      </c>
      <c r="B5654" t="inlineStr">
        <is>
          <t>Itapeva - SP</t>
        </is>
      </c>
      <c r="C5654" t="n">
        <v>-23.9788</v>
      </c>
      <c r="D5654" t="n">
        <v>-48.8764</v>
      </c>
      <c r="E5654" t="inlineStr">
        <is>
          <t>2024-07</t>
        </is>
      </c>
      <c r="F5654" t="n">
        <v>0</v>
      </c>
    </row>
    <row r="5655">
      <c r="A5655" t="inlineStr">
        <is>
          <t>Soja</t>
        </is>
      </c>
      <c r="B5655" t="inlineStr">
        <is>
          <t>Itapeva - SP</t>
        </is>
      </c>
      <c r="C5655" t="n">
        <v>-23.9788</v>
      </c>
      <c r="D5655" t="n">
        <v>-48.8764</v>
      </c>
      <c r="E5655" t="inlineStr">
        <is>
          <t>2024-08</t>
        </is>
      </c>
      <c r="F5655" t="n">
        <v>0</v>
      </c>
    </row>
    <row r="5656">
      <c r="A5656" t="inlineStr">
        <is>
          <t>Soja</t>
        </is>
      </c>
      <c r="B5656" t="inlineStr">
        <is>
          <t>Itapeva - SP</t>
        </is>
      </c>
      <c r="C5656" t="n">
        <v>-23.9788</v>
      </c>
      <c r="D5656" t="n">
        <v>-48.8764</v>
      </c>
      <c r="E5656" t="inlineStr">
        <is>
          <t>2024-09</t>
        </is>
      </c>
      <c r="F5656" t="n">
        <v>0</v>
      </c>
    </row>
    <row r="5657">
      <c r="A5657" t="inlineStr">
        <is>
          <t>Soja</t>
        </is>
      </c>
      <c r="B5657" t="inlineStr">
        <is>
          <t>Itapeva - SP</t>
        </is>
      </c>
      <c r="C5657" t="n">
        <v>-23.9788</v>
      </c>
      <c r="D5657" t="n">
        <v>-48.8764</v>
      </c>
      <c r="E5657" t="inlineStr">
        <is>
          <t>2024-10</t>
        </is>
      </c>
      <c r="F5657" t="n">
        <v>0</v>
      </c>
    </row>
    <row r="5658">
      <c r="A5658" t="inlineStr">
        <is>
          <t>Soja</t>
        </is>
      </c>
      <c r="B5658" t="inlineStr">
        <is>
          <t>Itapeva - SP</t>
        </is>
      </c>
      <c r="C5658" t="n">
        <v>-23.9788</v>
      </c>
      <c r="D5658" t="n">
        <v>-48.8764</v>
      </c>
      <c r="E5658" t="inlineStr">
        <is>
          <t>2024-11</t>
        </is>
      </c>
      <c r="F5658" t="n">
        <v>0</v>
      </c>
    </row>
    <row r="5659">
      <c r="A5659" t="inlineStr">
        <is>
          <t>Soja</t>
        </is>
      </c>
      <c r="B5659" t="inlineStr">
        <is>
          <t>Itapeva - SP</t>
        </is>
      </c>
      <c r="C5659" t="n">
        <v>-23.9788</v>
      </c>
      <c r="D5659" t="n">
        <v>-48.8764</v>
      </c>
      <c r="E5659" t="inlineStr">
        <is>
          <t>2024-12</t>
        </is>
      </c>
      <c r="F5659" t="n">
        <v>0</v>
      </c>
    </row>
    <row r="5660">
      <c r="A5660" t="inlineStr">
        <is>
          <t>Soja</t>
        </is>
      </c>
      <c r="B5660" t="inlineStr">
        <is>
          <t>Campos Lindos - TO</t>
        </is>
      </c>
      <c r="C5660" t="n">
        <v>-7.98956</v>
      </c>
      <c r="D5660" t="n">
        <v>-46.8645</v>
      </c>
      <c r="E5660" t="inlineStr">
        <is>
          <t>2025-01</t>
        </is>
      </c>
      <c r="F5660" t="n">
        <v>0</v>
      </c>
    </row>
    <row r="5661">
      <c r="A5661" t="inlineStr">
        <is>
          <t>Soja</t>
        </is>
      </c>
      <c r="B5661" t="inlineStr">
        <is>
          <t>Campos Lindos - TO</t>
        </is>
      </c>
      <c r="C5661" t="n">
        <v>-7.98956</v>
      </c>
      <c r="D5661" t="n">
        <v>-46.8645</v>
      </c>
      <c r="E5661" t="inlineStr">
        <is>
          <t>2025-02</t>
        </is>
      </c>
      <c r="F5661" t="n">
        <v>1004541.668173096</v>
      </c>
    </row>
    <row r="5662">
      <c r="A5662" t="inlineStr">
        <is>
          <t>Soja</t>
        </is>
      </c>
      <c r="B5662" t="inlineStr">
        <is>
          <t>Campos Lindos - TO</t>
        </is>
      </c>
      <c r="C5662" t="n">
        <v>-7.98956</v>
      </c>
      <c r="D5662" t="n">
        <v>-46.8645</v>
      </c>
      <c r="E5662" t="inlineStr">
        <is>
          <t>2025-03</t>
        </is>
      </c>
      <c r="F5662" t="n">
        <v>1674236.113621827</v>
      </c>
    </row>
    <row r="5663">
      <c r="A5663" t="inlineStr">
        <is>
          <t>Soja</t>
        </is>
      </c>
      <c r="B5663" t="inlineStr">
        <is>
          <t>Campos Lindos - TO</t>
        </is>
      </c>
      <c r="C5663" t="n">
        <v>-7.98956</v>
      </c>
      <c r="D5663" t="n">
        <v>-46.8645</v>
      </c>
      <c r="E5663" t="inlineStr">
        <is>
          <t>2025-04</t>
        </is>
      </c>
      <c r="F5663" t="n">
        <v>1674236.113621827</v>
      </c>
    </row>
    <row r="5664">
      <c r="A5664" t="inlineStr">
        <is>
          <t>Soja</t>
        </is>
      </c>
      <c r="B5664" t="inlineStr">
        <is>
          <t>Campos Lindos - TO</t>
        </is>
      </c>
      <c r="C5664" t="n">
        <v>-7.98956</v>
      </c>
      <c r="D5664" t="n">
        <v>-46.8645</v>
      </c>
      <c r="E5664" t="inlineStr">
        <is>
          <t>2025-05</t>
        </is>
      </c>
      <c r="F5664" t="n">
        <v>1004541.668173096</v>
      </c>
    </row>
    <row r="5665">
      <c r="A5665" t="inlineStr">
        <is>
          <t>Soja</t>
        </is>
      </c>
      <c r="B5665" t="inlineStr">
        <is>
          <t>Campos Lindos - TO</t>
        </is>
      </c>
      <c r="C5665" t="n">
        <v>-7.98956</v>
      </c>
      <c r="D5665" t="n">
        <v>-46.8645</v>
      </c>
      <c r="E5665" t="inlineStr">
        <is>
          <t>2025-06</t>
        </is>
      </c>
      <c r="F5665" t="n">
        <v>0</v>
      </c>
    </row>
    <row r="5666">
      <c r="A5666" t="inlineStr">
        <is>
          <t>Soja</t>
        </is>
      </c>
      <c r="B5666" t="inlineStr">
        <is>
          <t>Campos Lindos - TO</t>
        </is>
      </c>
      <c r="C5666" t="n">
        <v>-7.98956</v>
      </c>
      <c r="D5666" t="n">
        <v>-46.8645</v>
      </c>
      <c r="E5666" t="inlineStr">
        <is>
          <t>2024-07</t>
        </is>
      </c>
      <c r="F5666" t="n">
        <v>0</v>
      </c>
    </row>
    <row r="5667">
      <c r="A5667" t="inlineStr">
        <is>
          <t>Soja</t>
        </is>
      </c>
      <c r="B5667" t="inlineStr">
        <is>
          <t>Campos Lindos - TO</t>
        </is>
      </c>
      <c r="C5667" t="n">
        <v>-7.98956</v>
      </c>
      <c r="D5667" t="n">
        <v>-46.8645</v>
      </c>
      <c r="E5667" t="inlineStr">
        <is>
          <t>2024-08</t>
        </is>
      </c>
      <c r="F5667" t="n">
        <v>0</v>
      </c>
    </row>
    <row r="5668">
      <c r="A5668" t="inlineStr">
        <is>
          <t>Soja</t>
        </is>
      </c>
      <c r="B5668" t="inlineStr">
        <is>
          <t>Campos Lindos - TO</t>
        </is>
      </c>
      <c r="C5668" t="n">
        <v>-7.98956</v>
      </c>
      <c r="D5668" t="n">
        <v>-46.8645</v>
      </c>
      <c r="E5668" t="inlineStr">
        <is>
          <t>2024-09</t>
        </is>
      </c>
      <c r="F5668" t="n">
        <v>0</v>
      </c>
    </row>
    <row r="5669">
      <c r="A5669" t="inlineStr">
        <is>
          <t>Soja</t>
        </is>
      </c>
      <c r="B5669" t="inlineStr">
        <is>
          <t>Campos Lindos - TO</t>
        </is>
      </c>
      <c r="C5669" t="n">
        <v>-7.98956</v>
      </c>
      <c r="D5669" t="n">
        <v>-46.8645</v>
      </c>
      <c r="E5669" t="inlineStr">
        <is>
          <t>2024-10</t>
        </is>
      </c>
      <c r="F5669" t="n">
        <v>0</v>
      </c>
    </row>
    <row r="5670">
      <c r="A5670" t="inlineStr">
        <is>
          <t>Soja</t>
        </is>
      </c>
      <c r="B5670" t="inlineStr">
        <is>
          <t>Campos Lindos - TO</t>
        </is>
      </c>
      <c r="C5670" t="n">
        <v>-7.98956</v>
      </c>
      <c r="D5670" t="n">
        <v>-46.8645</v>
      </c>
      <c r="E5670" t="inlineStr">
        <is>
          <t>2024-11</t>
        </is>
      </c>
      <c r="F5670" t="n">
        <v>0</v>
      </c>
    </row>
    <row r="5671">
      <c r="A5671" t="inlineStr">
        <is>
          <t>Soja</t>
        </is>
      </c>
      <c r="B5671" t="inlineStr">
        <is>
          <t>Campos Lindos - TO</t>
        </is>
      </c>
      <c r="C5671" t="n">
        <v>-7.98956</v>
      </c>
      <c r="D5671" t="n">
        <v>-46.8645</v>
      </c>
      <c r="E5671" t="inlineStr">
        <is>
          <t>2024-12</t>
        </is>
      </c>
      <c r="F5671" t="n">
        <v>0</v>
      </c>
    </row>
    <row r="5672">
      <c r="A5672" t="inlineStr">
        <is>
          <t>Milho</t>
        </is>
      </c>
      <c r="B5672" t="inlineStr">
        <is>
          <t>Limoeiro de Anadia - AL</t>
        </is>
      </c>
      <c r="C5672" t="n">
        <v>-9.74098</v>
      </c>
      <c r="D5672" t="n">
        <v>-36.5121</v>
      </c>
      <c r="E5672" t="inlineStr">
        <is>
          <t>2025-07</t>
        </is>
      </c>
      <c r="F5672" t="n">
        <v>0</v>
      </c>
    </row>
    <row r="5673">
      <c r="A5673" t="inlineStr">
        <is>
          <t>Milho</t>
        </is>
      </c>
      <c r="B5673" t="inlineStr">
        <is>
          <t>Limoeiro de Anadia - AL</t>
        </is>
      </c>
      <c r="C5673" t="n">
        <v>-9.74098</v>
      </c>
      <c r="D5673" t="n">
        <v>-36.5121</v>
      </c>
      <c r="E5673" t="inlineStr">
        <is>
          <t>2025-08</t>
        </is>
      </c>
      <c r="F5673" t="n">
        <v>0</v>
      </c>
    </row>
    <row r="5674">
      <c r="A5674" t="inlineStr">
        <is>
          <t>Milho</t>
        </is>
      </c>
      <c r="B5674" t="inlineStr">
        <is>
          <t>Limoeiro de Anadia - AL</t>
        </is>
      </c>
      <c r="C5674" t="n">
        <v>-9.74098</v>
      </c>
      <c r="D5674" t="n">
        <v>-36.5121</v>
      </c>
      <c r="E5674" t="inlineStr">
        <is>
          <t>2025-09</t>
        </is>
      </c>
      <c r="F5674" t="n">
        <v>0</v>
      </c>
    </row>
    <row r="5675">
      <c r="A5675" t="inlineStr">
        <is>
          <t>Milho</t>
        </is>
      </c>
      <c r="B5675" t="inlineStr">
        <is>
          <t>Limoeiro de Anadia - AL</t>
        </is>
      </c>
      <c r="C5675" t="n">
        <v>-9.74098</v>
      </c>
      <c r="D5675" t="n">
        <v>-36.5121</v>
      </c>
      <c r="E5675" t="inlineStr">
        <is>
          <t>2025-10</t>
        </is>
      </c>
      <c r="F5675" t="n">
        <v>0</v>
      </c>
    </row>
    <row r="5676">
      <c r="A5676" t="inlineStr">
        <is>
          <t>Milho</t>
        </is>
      </c>
      <c r="B5676" t="inlineStr">
        <is>
          <t>Limoeiro de Anadia - AL</t>
        </is>
      </c>
      <c r="C5676" t="n">
        <v>-9.74098</v>
      </c>
      <c r="D5676" t="n">
        <v>-36.5121</v>
      </c>
      <c r="E5676" t="inlineStr">
        <is>
          <t>2025-11</t>
        </is>
      </c>
      <c r="F5676" t="n">
        <v>0</v>
      </c>
    </row>
    <row r="5677">
      <c r="A5677" t="inlineStr">
        <is>
          <t>Milho</t>
        </is>
      </c>
      <c r="B5677" t="inlineStr">
        <is>
          <t>Limoeiro de Anadia - AL</t>
        </is>
      </c>
      <c r="C5677" t="n">
        <v>-9.74098</v>
      </c>
      <c r="D5677" t="n">
        <v>-36.5121</v>
      </c>
      <c r="E5677" t="inlineStr">
        <is>
          <t>2025-12</t>
        </is>
      </c>
      <c r="F5677" t="n">
        <v>0</v>
      </c>
    </row>
    <row r="5678">
      <c r="A5678" t="inlineStr">
        <is>
          <t>Milho</t>
        </is>
      </c>
      <c r="B5678" t="inlineStr">
        <is>
          <t>Macapá - AP</t>
        </is>
      </c>
      <c r="C5678" t="n">
        <v>0.034934</v>
      </c>
      <c r="D5678" t="n">
        <v>-51.0694</v>
      </c>
      <c r="E5678" t="inlineStr">
        <is>
          <t>2025-07</t>
        </is>
      </c>
      <c r="F5678" t="n">
        <v>0</v>
      </c>
    </row>
    <row r="5679">
      <c r="A5679" t="inlineStr">
        <is>
          <t>Milho</t>
        </is>
      </c>
      <c r="B5679" t="inlineStr">
        <is>
          <t>Macapá - AP</t>
        </is>
      </c>
      <c r="C5679" t="n">
        <v>0.034934</v>
      </c>
      <c r="D5679" t="n">
        <v>-51.0694</v>
      </c>
      <c r="E5679" t="inlineStr">
        <is>
          <t>2025-08</t>
        </is>
      </c>
      <c r="F5679" t="n">
        <v>0</v>
      </c>
    </row>
    <row r="5680">
      <c r="A5680" t="inlineStr">
        <is>
          <t>Milho</t>
        </is>
      </c>
      <c r="B5680" t="inlineStr">
        <is>
          <t>Macapá - AP</t>
        </is>
      </c>
      <c r="C5680" t="n">
        <v>0.034934</v>
      </c>
      <c r="D5680" t="n">
        <v>-51.0694</v>
      </c>
      <c r="E5680" t="inlineStr">
        <is>
          <t>2025-09</t>
        </is>
      </c>
      <c r="F5680" t="n">
        <v>0</v>
      </c>
    </row>
    <row r="5681">
      <c r="A5681" t="inlineStr">
        <is>
          <t>Milho</t>
        </is>
      </c>
      <c r="B5681" t="inlineStr">
        <is>
          <t>Macapá - AP</t>
        </is>
      </c>
      <c r="C5681" t="n">
        <v>0.034934</v>
      </c>
      <c r="D5681" t="n">
        <v>-51.0694</v>
      </c>
      <c r="E5681" t="inlineStr">
        <is>
          <t>2025-10</t>
        </is>
      </c>
      <c r="F5681" t="n">
        <v>0</v>
      </c>
    </row>
    <row r="5682">
      <c r="A5682" t="inlineStr">
        <is>
          <t>Milho</t>
        </is>
      </c>
      <c r="B5682" t="inlineStr">
        <is>
          <t>Macapá - AP</t>
        </is>
      </c>
      <c r="C5682" t="n">
        <v>0.034934</v>
      </c>
      <c r="D5682" t="n">
        <v>-51.0694</v>
      </c>
      <c r="E5682" t="inlineStr">
        <is>
          <t>2025-11</t>
        </is>
      </c>
      <c r="F5682" t="n">
        <v>0</v>
      </c>
    </row>
    <row r="5683">
      <c r="A5683" t="inlineStr">
        <is>
          <t>Milho</t>
        </is>
      </c>
      <c r="B5683" t="inlineStr">
        <is>
          <t>Macapá - AP</t>
        </is>
      </c>
      <c r="C5683" t="n">
        <v>0.034934</v>
      </c>
      <c r="D5683" t="n">
        <v>-51.0694</v>
      </c>
      <c r="E5683" t="inlineStr">
        <is>
          <t>2025-12</t>
        </is>
      </c>
      <c r="F5683" t="n">
        <v>0</v>
      </c>
    </row>
    <row r="5684">
      <c r="A5684" t="inlineStr">
        <is>
          <t>Milho</t>
        </is>
      </c>
      <c r="B5684" t="inlineStr">
        <is>
          <t>Crateús - CE</t>
        </is>
      </c>
      <c r="C5684" t="n">
        <v>-5.16768</v>
      </c>
      <c r="D5684" t="n">
        <v>-40.6536</v>
      </c>
      <c r="E5684" t="inlineStr">
        <is>
          <t>2025-07</t>
        </is>
      </c>
      <c r="F5684" t="n">
        <v>0</v>
      </c>
    </row>
    <row r="5685">
      <c r="A5685" t="inlineStr">
        <is>
          <t>Milho</t>
        </is>
      </c>
      <c r="B5685" t="inlineStr">
        <is>
          <t>Crateús - CE</t>
        </is>
      </c>
      <c r="C5685" t="n">
        <v>-5.16768</v>
      </c>
      <c r="D5685" t="n">
        <v>-40.6536</v>
      </c>
      <c r="E5685" t="inlineStr">
        <is>
          <t>2025-08</t>
        </is>
      </c>
      <c r="F5685" t="n">
        <v>0</v>
      </c>
    </row>
    <row r="5686">
      <c r="A5686" t="inlineStr">
        <is>
          <t>Milho</t>
        </is>
      </c>
      <c r="B5686" t="inlineStr">
        <is>
          <t>Crateús - CE</t>
        </is>
      </c>
      <c r="C5686" t="n">
        <v>-5.16768</v>
      </c>
      <c r="D5686" t="n">
        <v>-40.6536</v>
      </c>
      <c r="E5686" t="inlineStr">
        <is>
          <t>2025-09</t>
        </is>
      </c>
      <c r="F5686" t="n">
        <v>0</v>
      </c>
    </row>
    <row r="5687">
      <c r="A5687" t="inlineStr">
        <is>
          <t>Milho</t>
        </is>
      </c>
      <c r="B5687" t="inlineStr">
        <is>
          <t>Crateús - CE</t>
        </is>
      </c>
      <c r="C5687" t="n">
        <v>-5.16768</v>
      </c>
      <c r="D5687" t="n">
        <v>-40.6536</v>
      </c>
      <c r="E5687" t="inlineStr">
        <is>
          <t>2025-10</t>
        </is>
      </c>
      <c r="F5687" t="n">
        <v>0</v>
      </c>
    </row>
    <row r="5688">
      <c r="A5688" t="inlineStr">
        <is>
          <t>Milho</t>
        </is>
      </c>
      <c r="B5688" t="inlineStr">
        <is>
          <t>Crateús - CE</t>
        </is>
      </c>
      <c r="C5688" t="n">
        <v>-5.16768</v>
      </c>
      <c r="D5688" t="n">
        <v>-40.6536</v>
      </c>
      <c r="E5688" t="inlineStr">
        <is>
          <t>2025-11</t>
        </is>
      </c>
      <c r="F5688" t="n">
        <v>0</v>
      </c>
    </row>
    <row r="5689">
      <c r="A5689" t="inlineStr">
        <is>
          <t>Milho</t>
        </is>
      </c>
      <c r="B5689" t="inlineStr">
        <is>
          <t>Crateús - CE</t>
        </is>
      </c>
      <c r="C5689" t="n">
        <v>-5.16768</v>
      </c>
      <c r="D5689" t="n">
        <v>-40.6536</v>
      </c>
      <c r="E5689" t="inlineStr">
        <is>
          <t>2025-12</t>
        </is>
      </c>
      <c r="F5689" t="n">
        <v>0</v>
      </c>
    </row>
    <row r="5690">
      <c r="A5690" t="inlineStr">
        <is>
          <t>Milho</t>
        </is>
      </c>
      <c r="B5690" t="inlineStr">
        <is>
          <t>Sousa - PB</t>
        </is>
      </c>
      <c r="C5690" t="n">
        <v>-6.75148</v>
      </c>
      <c r="D5690" t="n">
        <v>-38.2311</v>
      </c>
      <c r="E5690" t="inlineStr">
        <is>
          <t>2025-07</t>
        </is>
      </c>
      <c r="F5690" t="n">
        <v>0</v>
      </c>
    </row>
    <row r="5691">
      <c r="A5691" t="inlineStr">
        <is>
          <t>Milho</t>
        </is>
      </c>
      <c r="B5691" t="inlineStr">
        <is>
          <t>Sousa - PB</t>
        </is>
      </c>
      <c r="C5691" t="n">
        <v>-6.75148</v>
      </c>
      <c r="D5691" t="n">
        <v>-38.2311</v>
      </c>
      <c r="E5691" t="inlineStr">
        <is>
          <t>2025-08</t>
        </is>
      </c>
      <c r="F5691" t="n">
        <v>0</v>
      </c>
    </row>
    <row r="5692">
      <c r="A5692" t="inlineStr">
        <is>
          <t>Milho</t>
        </is>
      </c>
      <c r="B5692" t="inlineStr">
        <is>
          <t>Sousa - PB</t>
        </is>
      </c>
      <c r="C5692" t="n">
        <v>-6.75148</v>
      </c>
      <c r="D5692" t="n">
        <v>-38.2311</v>
      </c>
      <c r="E5692" t="inlineStr">
        <is>
          <t>2025-09</t>
        </is>
      </c>
      <c r="F5692" t="n">
        <v>0</v>
      </c>
    </row>
    <row r="5693">
      <c r="A5693" t="inlineStr">
        <is>
          <t>Milho</t>
        </is>
      </c>
      <c r="B5693" t="inlineStr">
        <is>
          <t>Sousa - PB</t>
        </is>
      </c>
      <c r="C5693" t="n">
        <v>-6.75148</v>
      </c>
      <c r="D5693" t="n">
        <v>-38.2311</v>
      </c>
      <c r="E5693" t="inlineStr">
        <is>
          <t>2025-10</t>
        </is>
      </c>
      <c r="F5693" t="n">
        <v>0</v>
      </c>
    </row>
    <row r="5694">
      <c r="A5694" t="inlineStr">
        <is>
          <t>Milho</t>
        </is>
      </c>
      <c r="B5694" t="inlineStr">
        <is>
          <t>Sousa - PB</t>
        </is>
      </c>
      <c r="C5694" t="n">
        <v>-6.75148</v>
      </c>
      <c r="D5694" t="n">
        <v>-38.2311</v>
      </c>
      <c r="E5694" t="inlineStr">
        <is>
          <t>2025-11</t>
        </is>
      </c>
      <c r="F5694" t="n">
        <v>0</v>
      </c>
    </row>
    <row r="5695">
      <c r="A5695" t="inlineStr">
        <is>
          <t>Milho</t>
        </is>
      </c>
      <c r="B5695" t="inlineStr">
        <is>
          <t>Sousa - PB</t>
        </is>
      </c>
      <c r="C5695" t="n">
        <v>-6.75148</v>
      </c>
      <c r="D5695" t="n">
        <v>-38.2311</v>
      </c>
      <c r="E5695" t="inlineStr">
        <is>
          <t>2025-12</t>
        </is>
      </c>
      <c r="F5695" t="n">
        <v>0</v>
      </c>
    </row>
    <row r="5696">
      <c r="A5696" t="inlineStr">
        <is>
          <t>Milho</t>
        </is>
      </c>
      <c r="B5696" t="inlineStr">
        <is>
          <t>Apodi - RN</t>
        </is>
      </c>
      <c r="C5696" t="n">
        <v>-5.65349</v>
      </c>
      <c r="D5696" t="n">
        <v>-37.7946</v>
      </c>
      <c r="E5696" t="inlineStr">
        <is>
          <t>2025-07</t>
        </is>
      </c>
      <c r="F5696" t="n">
        <v>0</v>
      </c>
    </row>
    <row r="5697">
      <c r="A5697" t="inlineStr">
        <is>
          <t>Milho</t>
        </is>
      </c>
      <c r="B5697" t="inlineStr">
        <is>
          <t>Apodi - RN</t>
        </is>
      </c>
      <c r="C5697" t="n">
        <v>-5.65349</v>
      </c>
      <c r="D5697" t="n">
        <v>-37.7946</v>
      </c>
      <c r="E5697" t="inlineStr">
        <is>
          <t>2025-08</t>
        </is>
      </c>
      <c r="F5697" t="n">
        <v>0</v>
      </c>
    </row>
    <row r="5698">
      <c r="A5698" t="inlineStr">
        <is>
          <t>Milho</t>
        </is>
      </c>
      <c r="B5698" t="inlineStr">
        <is>
          <t>Apodi - RN</t>
        </is>
      </c>
      <c r="C5698" t="n">
        <v>-5.65349</v>
      </c>
      <c r="D5698" t="n">
        <v>-37.7946</v>
      </c>
      <c r="E5698" t="inlineStr">
        <is>
          <t>2025-09</t>
        </is>
      </c>
      <c r="F5698" t="n">
        <v>0</v>
      </c>
    </row>
    <row r="5699">
      <c r="A5699" t="inlineStr">
        <is>
          <t>Milho</t>
        </is>
      </c>
      <c r="B5699" t="inlineStr">
        <is>
          <t>Apodi - RN</t>
        </is>
      </c>
      <c r="C5699" t="n">
        <v>-5.65349</v>
      </c>
      <c r="D5699" t="n">
        <v>-37.7946</v>
      </c>
      <c r="E5699" t="inlineStr">
        <is>
          <t>2025-10</t>
        </is>
      </c>
      <c r="F5699" t="n">
        <v>0</v>
      </c>
    </row>
    <row r="5700">
      <c r="A5700" t="inlineStr">
        <is>
          <t>Milho</t>
        </is>
      </c>
      <c r="B5700" t="inlineStr">
        <is>
          <t>Apodi - RN</t>
        </is>
      </c>
      <c r="C5700" t="n">
        <v>-5.65349</v>
      </c>
      <c r="D5700" t="n">
        <v>-37.7946</v>
      </c>
      <c r="E5700" t="inlineStr">
        <is>
          <t>2025-11</t>
        </is>
      </c>
      <c r="F5700" t="n">
        <v>0</v>
      </c>
    </row>
    <row r="5701">
      <c r="A5701" t="inlineStr">
        <is>
          <t>Milho</t>
        </is>
      </c>
      <c r="B5701" t="inlineStr">
        <is>
          <t>Apodi - RN</t>
        </is>
      </c>
      <c r="C5701" t="n">
        <v>-5.65349</v>
      </c>
      <c r="D5701" t="n">
        <v>-37.7946</v>
      </c>
      <c r="E5701" t="inlineStr">
        <is>
          <t>2025-12</t>
        </is>
      </c>
      <c r="F5701" t="n">
        <v>0</v>
      </c>
    </row>
    <row r="5702">
      <c r="A5702" t="inlineStr">
        <is>
          <t>Milho</t>
        </is>
      </c>
      <c r="B5702" t="inlineStr">
        <is>
          <t>Bonfim - RR</t>
        </is>
      </c>
      <c r="C5702" t="n">
        <v>3.36161</v>
      </c>
      <c r="D5702" t="n">
        <v>-59.8333</v>
      </c>
      <c r="E5702" t="inlineStr">
        <is>
          <t>2025-07</t>
        </is>
      </c>
      <c r="F5702" t="n">
        <v>0</v>
      </c>
    </row>
    <row r="5703">
      <c r="A5703" t="inlineStr">
        <is>
          <t>Milho</t>
        </is>
      </c>
      <c r="B5703" t="inlineStr">
        <is>
          <t>Bonfim - RR</t>
        </is>
      </c>
      <c r="C5703" t="n">
        <v>3.36161</v>
      </c>
      <c r="D5703" t="n">
        <v>-59.8333</v>
      </c>
      <c r="E5703" t="inlineStr">
        <is>
          <t>2025-08</t>
        </is>
      </c>
      <c r="F5703" t="n">
        <v>0</v>
      </c>
    </row>
    <row r="5704">
      <c r="A5704" t="inlineStr">
        <is>
          <t>Milho</t>
        </is>
      </c>
      <c r="B5704" t="inlineStr">
        <is>
          <t>Bonfim - RR</t>
        </is>
      </c>
      <c r="C5704" t="n">
        <v>3.36161</v>
      </c>
      <c r="D5704" t="n">
        <v>-59.8333</v>
      </c>
      <c r="E5704" t="inlineStr">
        <is>
          <t>2025-09</t>
        </is>
      </c>
      <c r="F5704" t="n">
        <v>0</v>
      </c>
    </row>
    <row r="5705">
      <c r="A5705" t="inlineStr">
        <is>
          <t>Milho</t>
        </is>
      </c>
      <c r="B5705" t="inlineStr">
        <is>
          <t>Bonfim - RR</t>
        </is>
      </c>
      <c r="C5705" t="n">
        <v>3.36161</v>
      </c>
      <c r="D5705" t="n">
        <v>-59.8333</v>
      </c>
      <c r="E5705" t="inlineStr">
        <is>
          <t>2025-10</t>
        </is>
      </c>
      <c r="F5705" t="n">
        <v>0</v>
      </c>
    </row>
    <row r="5706">
      <c r="A5706" t="inlineStr">
        <is>
          <t>Milho</t>
        </is>
      </c>
      <c r="B5706" t="inlineStr">
        <is>
          <t>Bonfim - RR</t>
        </is>
      </c>
      <c r="C5706" t="n">
        <v>3.36161</v>
      </c>
      <c r="D5706" t="n">
        <v>-59.8333</v>
      </c>
      <c r="E5706" t="inlineStr">
        <is>
          <t>2025-11</t>
        </is>
      </c>
      <c r="F5706" t="n">
        <v>0</v>
      </c>
    </row>
    <row r="5707">
      <c r="A5707" t="inlineStr">
        <is>
          <t>Milho</t>
        </is>
      </c>
      <c r="B5707" t="inlineStr">
        <is>
          <t>Bonfim - RR</t>
        </is>
      </c>
      <c r="C5707" t="n">
        <v>3.36161</v>
      </c>
      <c r="D5707" t="n">
        <v>-59.8333</v>
      </c>
      <c r="E5707" t="inlineStr">
        <is>
          <t>2025-12</t>
        </is>
      </c>
      <c r="F5707" t="n">
        <v>0</v>
      </c>
    </row>
    <row r="5708">
      <c r="A5708" t="inlineStr">
        <is>
          <t>Milho</t>
        </is>
      </c>
      <c r="B5708" t="inlineStr">
        <is>
          <t>Carira - SE</t>
        </is>
      </c>
      <c r="C5708" t="n">
        <v>-10.3524</v>
      </c>
      <c r="D5708" t="n">
        <v>-37.7002</v>
      </c>
      <c r="E5708" t="inlineStr">
        <is>
          <t>2025-07</t>
        </is>
      </c>
      <c r="F5708" t="n">
        <v>0</v>
      </c>
    </row>
    <row r="5709">
      <c r="A5709" t="inlineStr">
        <is>
          <t>Milho</t>
        </is>
      </c>
      <c r="B5709" t="inlineStr">
        <is>
          <t>Carira - SE</t>
        </is>
      </c>
      <c r="C5709" t="n">
        <v>-10.3524</v>
      </c>
      <c r="D5709" t="n">
        <v>-37.7002</v>
      </c>
      <c r="E5709" t="inlineStr">
        <is>
          <t>2025-08</t>
        </is>
      </c>
      <c r="F5709" t="n">
        <v>0</v>
      </c>
    </row>
    <row r="5710">
      <c r="A5710" t="inlineStr">
        <is>
          <t>Milho</t>
        </is>
      </c>
      <c r="B5710" t="inlineStr">
        <is>
          <t>Carira - SE</t>
        </is>
      </c>
      <c r="C5710" t="n">
        <v>-10.3524</v>
      </c>
      <c r="D5710" t="n">
        <v>-37.7002</v>
      </c>
      <c r="E5710" t="inlineStr">
        <is>
          <t>2025-09</t>
        </is>
      </c>
      <c r="F5710" t="n">
        <v>0</v>
      </c>
    </row>
    <row r="5711">
      <c r="A5711" t="inlineStr">
        <is>
          <t>Milho</t>
        </is>
      </c>
      <c r="B5711" t="inlineStr">
        <is>
          <t>Carira - SE</t>
        </is>
      </c>
      <c r="C5711" t="n">
        <v>-10.3524</v>
      </c>
      <c r="D5711" t="n">
        <v>-37.7002</v>
      </c>
      <c r="E5711" t="inlineStr">
        <is>
          <t>2025-10</t>
        </is>
      </c>
      <c r="F5711" t="n">
        <v>0</v>
      </c>
    </row>
    <row r="5712">
      <c r="A5712" t="inlineStr">
        <is>
          <t>Milho</t>
        </is>
      </c>
      <c r="B5712" t="inlineStr">
        <is>
          <t>Carira - SE</t>
        </is>
      </c>
      <c r="C5712" t="n">
        <v>-10.3524</v>
      </c>
      <c r="D5712" t="n">
        <v>-37.7002</v>
      </c>
      <c r="E5712" t="inlineStr">
        <is>
          <t>2025-11</t>
        </is>
      </c>
      <c r="F5712" t="n">
        <v>0</v>
      </c>
    </row>
    <row r="5713">
      <c r="A5713" t="inlineStr">
        <is>
          <t>Milho</t>
        </is>
      </c>
      <c r="B5713" t="inlineStr">
        <is>
          <t>Carira - SE</t>
        </is>
      </c>
      <c r="C5713" t="n">
        <v>-10.3524</v>
      </c>
      <c r="D5713" t="n">
        <v>-37.7002</v>
      </c>
      <c r="E5713" t="inlineStr">
        <is>
          <t>2025-12</t>
        </is>
      </c>
      <c r="F5713" t="n">
        <v>0</v>
      </c>
    </row>
    <row r="5714">
      <c r="A5714" t="inlineStr">
        <is>
          <t>Milho</t>
        </is>
      </c>
      <c r="B5714" t="inlineStr">
        <is>
          <t>Senador Guiomard - AC</t>
        </is>
      </c>
      <c r="C5714" t="n">
        <v>-10.1497</v>
      </c>
      <c r="D5714" t="n">
        <v>-67.7362</v>
      </c>
      <c r="E5714" t="inlineStr">
        <is>
          <t>2025-07</t>
        </is>
      </c>
      <c r="F5714" t="n">
        <v>0</v>
      </c>
    </row>
    <row r="5715">
      <c r="A5715" t="inlineStr">
        <is>
          <t>Milho</t>
        </is>
      </c>
      <c r="B5715" t="inlineStr">
        <is>
          <t>Senador Guiomard - AC</t>
        </is>
      </c>
      <c r="C5715" t="n">
        <v>-10.1497</v>
      </c>
      <c r="D5715" t="n">
        <v>-67.7362</v>
      </c>
      <c r="E5715" t="inlineStr">
        <is>
          <t>2025-08</t>
        </is>
      </c>
      <c r="F5715" t="n">
        <v>0</v>
      </c>
    </row>
    <row r="5716">
      <c r="A5716" t="inlineStr">
        <is>
          <t>Milho</t>
        </is>
      </c>
      <c r="B5716" t="inlineStr">
        <is>
          <t>Senador Guiomard - AC</t>
        </is>
      </c>
      <c r="C5716" t="n">
        <v>-10.1497</v>
      </c>
      <c r="D5716" t="n">
        <v>-67.7362</v>
      </c>
      <c r="E5716" t="inlineStr">
        <is>
          <t>2025-09</t>
        </is>
      </c>
      <c r="F5716" t="n">
        <v>0</v>
      </c>
    </row>
    <row r="5717">
      <c r="A5717" t="inlineStr">
        <is>
          <t>Milho</t>
        </is>
      </c>
      <c r="B5717" t="inlineStr">
        <is>
          <t>Senador Guiomard - AC</t>
        </is>
      </c>
      <c r="C5717" t="n">
        <v>-10.1497</v>
      </c>
      <c r="D5717" t="n">
        <v>-67.7362</v>
      </c>
      <c r="E5717" t="inlineStr">
        <is>
          <t>2025-10</t>
        </is>
      </c>
      <c r="F5717" t="n">
        <v>0</v>
      </c>
    </row>
    <row r="5718">
      <c r="A5718" t="inlineStr">
        <is>
          <t>Milho</t>
        </is>
      </c>
      <c r="B5718" t="inlineStr">
        <is>
          <t>Senador Guiomard - AC</t>
        </is>
      </c>
      <c r="C5718" t="n">
        <v>-10.1497</v>
      </c>
      <c r="D5718" t="n">
        <v>-67.7362</v>
      </c>
      <c r="E5718" t="inlineStr">
        <is>
          <t>2025-11</t>
        </is>
      </c>
      <c r="F5718" t="n">
        <v>0</v>
      </c>
    </row>
    <row r="5719">
      <c r="A5719" t="inlineStr">
        <is>
          <t>Milho</t>
        </is>
      </c>
      <c r="B5719" t="inlineStr">
        <is>
          <t>Senador Guiomard - AC</t>
        </is>
      </c>
      <c r="C5719" t="n">
        <v>-10.1497</v>
      </c>
      <c r="D5719" t="n">
        <v>-67.7362</v>
      </c>
      <c r="E5719" t="inlineStr">
        <is>
          <t>2025-12</t>
        </is>
      </c>
      <c r="F5719" t="n">
        <v>0</v>
      </c>
    </row>
    <row r="5720">
      <c r="A5720" t="inlineStr">
        <is>
          <t>Milho</t>
        </is>
      </c>
      <c r="B5720" t="inlineStr">
        <is>
          <t>Humaitá - AM</t>
        </is>
      </c>
      <c r="C5720" t="n">
        <v>-7.51171</v>
      </c>
      <c r="D5720" t="n">
        <v>-63.0327</v>
      </c>
      <c r="E5720" t="inlineStr">
        <is>
          <t>2025-07</t>
        </is>
      </c>
      <c r="F5720" t="n">
        <v>0</v>
      </c>
    </row>
    <row r="5721">
      <c r="A5721" t="inlineStr">
        <is>
          <t>Milho</t>
        </is>
      </c>
      <c r="B5721" t="inlineStr">
        <is>
          <t>Humaitá - AM</t>
        </is>
      </c>
      <c r="C5721" t="n">
        <v>-7.51171</v>
      </c>
      <c r="D5721" t="n">
        <v>-63.0327</v>
      </c>
      <c r="E5721" t="inlineStr">
        <is>
          <t>2025-08</t>
        </is>
      </c>
      <c r="F5721" t="n">
        <v>0</v>
      </c>
    </row>
    <row r="5722">
      <c r="A5722" t="inlineStr">
        <is>
          <t>Milho</t>
        </is>
      </c>
      <c r="B5722" t="inlineStr">
        <is>
          <t>Humaitá - AM</t>
        </is>
      </c>
      <c r="C5722" t="n">
        <v>-7.51171</v>
      </c>
      <c r="D5722" t="n">
        <v>-63.0327</v>
      </c>
      <c r="E5722" t="inlineStr">
        <is>
          <t>2025-09</t>
        </is>
      </c>
      <c r="F5722" t="n">
        <v>0</v>
      </c>
    </row>
    <row r="5723">
      <c r="A5723" t="inlineStr">
        <is>
          <t>Milho</t>
        </is>
      </c>
      <c r="B5723" t="inlineStr">
        <is>
          <t>Humaitá - AM</t>
        </is>
      </c>
      <c r="C5723" t="n">
        <v>-7.51171</v>
      </c>
      <c r="D5723" t="n">
        <v>-63.0327</v>
      </c>
      <c r="E5723" t="inlineStr">
        <is>
          <t>2025-10</t>
        </is>
      </c>
      <c r="F5723" t="n">
        <v>0</v>
      </c>
    </row>
    <row r="5724">
      <c r="A5724" t="inlineStr">
        <is>
          <t>Milho</t>
        </is>
      </c>
      <c r="B5724" t="inlineStr">
        <is>
          <t>Humaitá - AM</t>
        </is>
      </c>
      <c r="C5724" t="n">
        <v>-7.51171</v>
      </c>
      <c r="D5724" t="n">
        <v>-63.0327</v>
      </c>
      <c r="E5724" t="inlineStr">
        <is>
          <t>2025-11</t>
        </is>
      </c>
      <c r="F5724" t="n">
        <v>0</v>
      </c>
    </row>
    <row r="5725">
      <c r="A5725" t="inlineStr">
        <is>
          <t>Milho</t>
        </is>
      </c>
      <c r="B5725" t="inlineStr">
        <is>
          <t>Humaitá - AM</t>
        </is>
      </c>
      <c r="C5725" t="n">
        <v>-7.51171</v>
      </c>
      <c r="D5725" t="n">
        <v>-63.0327</v>
      </c>
      <c r="E5725" t="inlineStr">
        <is>
          <t>2025-12</t>
        </is>
      </c>
      <c r="F5725" t="n">
        <v>0</v>
      </c>
    </row>
    <row r="5726">
      <c r="A5726" t="inlineStr">
        <is>
          <t>Milho</t>
        </is>
      </c>
      <c r="B5726" t="inlineStr">
        <is>
          <t>Correntina - BA</t>
        </is>
      </c>
      <c r="C5726" t="n">
        <v>-13.3477</v>
      </c>
      <c r="D5726" t="n">
        <v>-44.6333</v>
      </c>
      <c r="E5726" t="inlineStr">
        <is>
          <t>2025-07</t>
        </is>
      </c>
      <c r="F5726" t="n">
        <v>0</v>
      </c>
    </row>
    <row r="5727">
      <c r="A5727" t="inlineStr">
        <is>
          <t>Milho</t>
        </is>
      </c>
      <c r="B5727" t="inlineStr">
        <is>
          <t>Correntina - BA</t>
        </is>
      </c>
      <c r="C5727" t="n">
        <v>-13.3477</v>
      </c>
      <c r="D5727" t="n">
        <v>-44.6333</v>
      </c>
      <c r="E5727" t="inlineStr">
        <is>
          <t>2025-08</t>
        </is>
      </c>
      <c r="F5727" t="n">
        <v>0</v>
      </c>
    </row>
    <row r="5728">
      <c r="A5728" t="inlineStr">
        <is>
          <t>Milho</t>
        </is>
      </c>
      <c r="B5728" t="inlineStr">
        <is>
          <t>Correntina - BA</t>
        </is>
      </c>
      <c r="C5728" t="n">
        <v>-13.3477</v>
      </c>
      <c r="D5728" t="n">
        <v>-44.6333</v>
      </c>
      <c r="E5728" t="inlineStr">
        <is>
          <t>2025-09</t>
        </is>
      </c>
      <c r="F5728" t="n">
        <v>0</v>
      </c>
    </row>
    <row r="5729">
      <c r="A5729" t="inlineStr">
        <is>
          <t>Milho</t>
        </is>
      </c>
      <c r="B5729" t="inlineStr">
        <is>
          <t>Correntina - BA</t>
        </is>
      </c>
      <c r="C5729" t="n">
        <v>-13.3477</v>
      </c>
      <c r="D5729" t="n">
        <v>-44.6333</v>
      </c>
      <c r="E5729" t="inlineStr">
        <is>
          <t>2025-10</t>
        </is>
      </c>
      <c r="F5729" t="n">
        <v>0</v>
      </c>
    </row>
    <row r="5730">
      <c r="A5730" t="inlineStr">
        <is>
          <t>Milho</t>
        </is>
      </c>
      <c r="B5730" t="inlineStr">
        <is>
          <t>Correntina - BA</t>
        </is>
      </c>
      <c r="C5730" t="n">
        <v>-13.3477</v>
      </c>
      <c r="D5730" t="n">
        <v>-44.6333</v>
      </c>
      <c r="E5730" t="inlineStr">
        <is>
          <t>2025-11</t>
        </is>
      </c>
      <c r="F5730" t="n">
        <v>0</v>
      </c>
    </row>
    <row r="5731">
      <c r="A5731" t="inlineStr">
        <is>
          <t>Milho</t>
        </is>
      </c>
      <c r="B5731" t="inlineStr">
        <is>
          <t>Correntina - BA</t>
        </is>
      </c>
      <c r="C5731" t="n">
        <v>-13.3477</v>
      </c>
      <c r="D5731" t="n">
        <v>-44.6333</v>
      </c>
      <c r="E5731" t="inlineStr">
        <is>
          <t>2025-12</t>
        </is>
      </c>
      <c r="F5731" t="n">
        <v>0</v>
      </c>
    </row>
    <row r="5732">
      <c r="A5732" t="inlineStr">
        <is>
          <t>Milho</t>
        </is>
      </c>
      <c r="B5732" t="inlineStr">
        <is>
          <t>Brasília - DF</t>
        </is>
      </c>
      <c r="C5732" t="n">
        <v>-15.7795</v>
      </c>
      <c r="D5732" t="n">
        <v>-47.9297</v>
      </c>
      <c r="E5732" t="inlineStr">
        <is>
          <t>2025-07</t>
        </is>
      </c>
      <c r="F5732" t="n">
        <v>0</v>
      </c>
    </row>
    <row r="5733">
      <c r="A5733" t="inlineStr">
        <is>
          <t>Milho</t>
        </is>
      </c>
      <c r="B5733" t="inlineStr">
        <is>
          <t>Brasília - DF</t>
        </is>
      </c>
      <c r="C5733" t="n">
        <v>-15.7795</v>
      </c>
      <c r="D5733" t="n">
        <v>-47.9297</v>
      </c>
      <c r="E5733" t="inlineStr">
        <is>
          <t>2025-08</t>
        </is>
      </c>
      <c r="F5733" t="n">
        <v>0</v>
      </c>
    </row>
    <row r="5734">
      <c r="A5734" t="inlineStr">
        <is>
          <t>Milho</t>
        </is>
      </c>
      <c r="B5734" t="inlineStr">
        <is>
          <t>Brasília - DF</t>
        </is>
      </c>
      <c r="C5734" t="n">
        <v>-15.7795</v>
      </c>
      <c r="D5734" t="n">
        <v>-47.9297</v>
      </c>
      <c r="E5734" t="inlineStr">
        <is>
          <t>2025-09</t>
        </is>
      </c>
      <c r="F5734" t="n">
        <v>0</v>
      </c>
    </row>
    <row r="5735">
      <c r="A5735" t="inlineStr">
        <is>
          <t>Milho</t>
        </is>
      </c>
      <c r="B5735" t="inlineStr">
        <is>
          <t>Brasília - DF</t>
        </is>
      </c>
      <c r="C5735" t="n">
        <v>-15.7795</v>
      </c>
      <c r="D5735" t="n">
        <v>-47.9297</v>
      </c>
      <c r="E5735" t="inlineStr">
        <is>
          <t>2025-10</t>
        </is>
      </c>
      <c r="F5735" t="n">
        <v>0</v>
      </c>
    </row>
    <row r="5736">
      <c r="A5736" t="inlineStr">
        <is>
          <t>Milho</t>
        </is>
      </c>
      <c r="B5736" t="inlineStr">
        <is>
          <t>Brasília - DF</t>
        </is>
      </c>
      <c r="C5736" t="n">
        <v>-15.7795</v>
      </c>
      <c r="D5736" t="n">
        <v>-47.9297</v>
      </c>
      <c r="E5736" t="inlineStr">
        <is>
          <t>2025-11</t>
        </is>
      </c>
      <c r="F5736" t="n">
        <v>0</v>
      </c>
    </row>
    <row r="5737">
      <c r="A5737" t="inlineStr">
        <is>
          <t>Milho</t>
        </is>
      </c>
      <c r="B5737" t="inlineStr">
        <is>
          <t>Brasília - DF</t>
        </is>
      </c>
      <c r="C5737" t="n">
        <v>-15.7795</v>
      </c>
      <c r="D5737" t="n">
        <v>-47.9297</v>
      </c>
      <c r="E5737" t="inlineStr">
        <is>
          <t>2025-12</t>
        </is>
      </c>
      <c r="F5737" t="n">
        <v>0</v>
      </c>
    </row>
    <row r="5738">
      <c r="A5738" t="inlineStr">
        <is>
          <t>Milho</t>
        </is>
      </c>
      <c r="B5738" t="inlineStr">
        <is>
          <t>Pinheiros - ES</t>
        </is>
      </c>
      <c r="C5738" t="n">
        <v>-18.4141</v>
      </c>
      <c r="D5738" t="n">
        <v>-40.2171</v>
      </c>
      <c r="E5738" t="inlineStr">
        <is>
          <t>2025-07</t>
        </is>
      </c>
      <c r="F5738" t="n">
        <v>0</v>
      </c>
    </row>
    <row r="5739">
      <c r="A5739" t="inlineStr">
        <is>
          <t>Milho</t>
        </is>
      </c>
      <c r="B5739" t="inlineStr">
        <is>
          <t>Pinheiros - ES</t>
        </is>
      </c>
      <c r="C5739" t="n">
        <v>-18.4141</v>
      </c>
      <c r="D5739" t="n">
        <v>-40.2171</v>
      </c>
      <c r="E5739" t="inlineStr">
        <is>
          <t>2025-08</t>
        </is>
      </c>
      <c r="F5739" t="n">
        <v>0</v>
      </c>
    </row>
    <row r="5740">
      <c r="A5740" t="inlineStr">
        <is>
          <t>Milho</t>
        </is>
      </c>
      <c r="B5740" t="inlineStr">
        <is>
          <t>Pinheiros - ES</t>
        </is>
      </c>
      <c r="C5740" t="n">
        <v>-18.4141</v>
      </c>
      <c r="D5740" t="n">
        <v>-40.2171</v>
      </c>
      <c r="E5740" t="inlineStr">
        <is>
          <t>2025-09</t>
        </is>
      </c>
      <c r="F5740" t="n">
        <v>0</v>
      </c>
    </row>
    <row r="5741">
      <c r="A5741" t="inlineStr">
        <is>
          <t>Milho</t>
        </is>
      </c>
      <c r="B5741" t="inlineStr">
        <is>
          <t>Pinheiros - ES</t>
        </is>
      </c>
      <c r="C5741" t="n">
        <v>-18.4141</v>
      </c>
      <c r="D5741" t="n">
        <v>-40.2171</v>
      </c>
      <c r="E5741" t="inlineStr">
        <is>
          <t>2025-10</t>
        </is>
      </c>
      <c r="F5741" t="n">
        <v>0</v>
      </c>
    </row>
    <row r="5742">
      <c r="A5742" t="inlineStr">
        <is>
          <t>Milho</t>
        </is>
      </c>
      <c r="B5742" t="inlineStr">
        <is>
          <t>Pinheiros - ES</t>
        </is>
      </c>
      <c r="C5742" t="n">
        <v>-18.4141</v>
      </c>
      <c r="D5742" t="n">
        <v>-40.2171</v>
      </c>
      <c r="E5742" t="inlineStr">
        <is>
          <t>2025-11</t>
        </is>
      </c>
      <c r="F5742" t="n">
        <v>0</v>
      </c>
    </row>
    <row r="5743">
      <c r="A5743" t="inlineStr">
        <is>
          <t>Milho</t>
        </is>
      </c>
      <c r="B5743" t="inlineStr">
        <is>
          <t>Pinheiros - ES</t>
        </is>
      </c>
      <c r="C5743" t="n">
        <v>-18.4141</v>
      </c>
      <c r="D5743" t="n">
        <v>-40.2171</v>
      </c>
      <c r="E5743" t="inlineStr">
        <is>
          <t>2025-12</t>
        </is>
      </c>
      <c r="F5743" t="n">
        <v>0</v>
      </c>
    </row>
    <row r="5744">
      <c r="A5744" t="inlineStr">
        <is>
          <t>Milho</t>
        </is>
      </c>
      <c r="B5744" t="inlineStr">
        <is>
          <t>Rio Verde - GO</t>
        </is>
      </c>
      <c r="C5744" t="n">
        <v>-17.7923</v>
      </c>
      <c r="D5744" t="n">
        <v>-50.9192</v>
      </c>
      <c r="E5744" t="inlineStr">
        <is>
          <t>2025-07</t>
        </is>
      </c>
      <c r="F5744" t="n">
        <v>0</v>
      </c>
    </row>
    <row r="5745">
      <c r="A5745" t="inlineStr">
        <is>
          <t>Milho</t>
        </is>
      </c>
      <c r="B5745" t="inlineStr">
        <is>
          <t>Rio Verde - GO</t>
        </is>
      </c>
      <c r="C5745" t="n">
        <v>-17.7923</v>
      </c>
      <c r="D5745" t="n">
        <v>-50.9192</v>
      </c>
      <c r="E5745" t="inlineStr">
        <is>
          <t>2025-08</t>
        </is>
      </c>
      <c r="F5745" t="n">
        <v>0</v>
      </c>
    </row>
    <row r="5746">
      <c r="A5746" t="inlineStr">
        <is>
          <t>Milho</t>
        </is>
      </c>
      <c r="B5746" t="inlineStr">
        <is>
          <t>Rio Verde - GO</t>
        </is>
      </c>
      <c r="C5746" t="n">
        <v>-17.7923</v>
      </c>
      <c r="D5746" t="n">
        <v>-50.9192</v>
      </c>
      <c r="E5746" t="inlineStr">
        <is>
          <t>2025-09</t>
        </is>
      </c>
      <c r="F5746" t="n">
        <v>0</v>
      </c>
    </row>
    <row r="5747">
      <c r="A5747" t="inlineStr">
        <is>
          <t>Milho</t>
        </is>
      </c>
      <c r="B5747" t="inlineStr">
        <is>
          <t>Rio Verde - GO</t>
        </is>
      </c>
      <c r="C5747" t="n">
        <v>-17.7923</v>
      </c>
      <c r="D5747" t="n">
        <v>-50.9192</v>
      </c>
      <c r="E5747" t="inlineStr">
        <is>
          <t>2025-10</t>
        </is>
      </c>
      <c r="F5747" t="n">
        <v>0</v>
      </c>
    </row>
    <row r="5748">
      <c r="A5748" t="inlineStr">
        <is>
          <t>Milho</t>
        </is>
      </c>
      <c r="B5748" t="inlineStr">
        <is>
          <t>Rio Verde - GO</t>
        </is>
      </c>
      <c r="C5748" t="n">
        <v>-17.7923</v>
      </c>
      <c r="D5748" t="n">
        <v>-50.9192</v>
      </c>
      <c r="E5748" t="inlineStr">
        <is>
          <t>2025-11</t>
        </is>
      </c>
      <c r="F5748" t="n">
        <v>0</v>
      </c>
    </row>
    <row r="5749">
      <c r="A5749" t="inlineStr">
        <is>
          <t>Milho</t>
        </is>
      </c>
      <c r="B5749" t="inlineStr">
        <is>
          <t>Rio Verde - GO</t>
        </is>
      </c>
      <c r="C5749" t="n">
        <v>-17.7923</v>
      </c>
      <c r="D5749" t="n">
        <v>-50.9192</v>
      </c>
      <c r="E5749" t="inlineStr">
        <is>
          <t>2025-12</t>
        </is>
      </c>
      <c r="F5749" t="n">
        <v>0</v>
      </c>
    </row>
    <row r="5750">
      <c r="A5750" t="inlineStr">
        <is>
          <t>Milho</t>
        </is>
      </c>
      <c r="B5750" t="inlineStr">
        <is>
          <t>Balsas - MA</t>
        </is>
      </c>
      <c r="C5750" t="n">
        <v>-7.53214</v>
      </c>
      <c r="D5750" t="n">
        <v>-46.0372</v>
      </c>
      <c r="E5750" t="inlineStr">
        <is>
          <t>2025-07</t>
        </is>
      </c>
      <c r="F5750" t="n">
        <v>0</v>
      </c>
    </row>
    <row r="5751">
      <c r="A5751" t="inlineStr">
        <is>
          <t>Milho</t>
        </is>
      </c>
      <c r="B5751" t="inlineStr">
        <is>
          <t>Balsas - MA</t>
        </is>
      </c>
      <c r="C5751" t="n">
        <v>-7.53214</v>
      </c>
      <c r="D5751" t="n">
        <v>-46.0372</v>
      </c>
      <c r="E5751" t="inlineStr">
        <is>
          <t>2025-08</t>
        </is>
      </c>
      <c r="F5751" t="n">
        <v>0</v>
      </c>
    </row>
    <row r="5752">
      <c r="A5752" t="inlineStr">
        <is>
          <t>Milho</t>
        </is>
      </c>
      <c r="B5752" t="inlineStr">
        <is>
          <t>Balsas - MA</t>
        </is>
      </c>
      <c r="C5752" t="n">
        <v>-7.53214</v>
      </c>
      <c r="D5752" t="n">
        <v>-46.0372</v>
      </c>
      <c r="E5752" t="inlineStr">
        <is>
          <t>2025-09</t>
        </is>
      </c>
      <c r="F5752" t="n">
        <v>0</v>
      </c>
    </row>
    <row r="5753">
      <c r="A5753" t="inlineStr">
        <is>
          <t>Milho</t>
        </is>
      </c>
      <c r="B5753" t="inlineStr">
        <is>
          <t>Balsas - MA</t>
        </is>
      </c>
      <c r="C5753" t="n">
        <v>-7.53214</v>
      </c>
      <c r="D5753" t="n">
        <v>-46.0372</v>
      </c>
      <c r="E5753" t="inlineStr">
        <is>
          <t>2025-10</t>
        </is>
      </c>
      <c r="F5753" t="n">
        <v>0</v>
      </c>
    </row>
    <row r="5754">
      <c r="A5754" t="inlineStr">
        <is>
          <t>Milho</t>
        </is>
      </c>
      <c r="B5754" t="inlineStr">
        <is>
          <t>Balsas - MA</t>
        </is>
      </c>
      <c r="C5754" t="n">
        <v>-7.53214</v>
      </c>
      <c r="D5754" t="n">
        <v>-46.0372</v>
      </c>
      <c r="E5754" t="inlineStr">
        <is>
          <t>2025-11</t>
        </is>
      </c>
      <c r="F5754" t="n">
        <v>0</v>
      </c>
    </row>
    <row r="5755">
      <c r="A5755" t="inlineStr">
        <is>
          <t>Milho</t>
        </is>
      </c>
      <c r="B5755" t="inlineStr">
        <is>
          <t>Balsas - MA</t>
        </is>
      </c>
      <c r="C5755" t="n">
        <v>-7.53214</v>
      </c>
      <c r="D5755" t="n">
        <v>-46.0372</v>
      </c>
      <c r="E5755" t="inlineStr">
        <is>
          <t>2025-12</t>
        </is>
      </c>
      <c r="F5755" t="n">
        <v>0</v>
      </c>
    </row>
    <row r="5756">
      <c r="A5756" t="inlineStr">
        <is>
          <t>Milho</t>
        </is>
      </c>
      <c r="B5756" t="inlineStr">
        <is>
          <t>Unaí - MG</t>
        </is>
      </c>
      <c r="C5756" t="n">
        <v>-16.3592</v>
      </c>
      <c r="D5756" t="n">
        <v>-46.9022</v>
      </c>
      <c r="E5756" t="inlineStr">
        <is>
          <t>2025-07</t>
        </is>
      </c>
      <c r="F5756" t="n">
        <v>0</v>
      </c>
    </row>
    <row r="5757">
      <c r="A5757" t="inlineStr">
        <is>
          <t>Milho</t>
        </is>
      </c>
      <c r="B5757" t="inlineStr">
        <is>
          <t>Unaí - MG</t>
        </is>
      </c>
      <c r="C5757" t="n">
        <v>-16.3592</v>
      </c>
      <c r="D5757" t="n">
        <v>-46.9022</v>
      </c>
      <c r="E5757" t="inlineStr">
        <is>
          <t>2025-08</t>
        </is>
      </c>
      <c r="F5757" t="n">
        <v>0</v>
      </c>
    </row>
    <row r="5758">
      <c r="A5758" t="inlineStr">
        <is>
          <t>Milho</t>
        </is>
      </c>
      <c r="B5758" t="inlineStr">
        <is>
          <t>Unaí - MG</t>
        </is>
      </c>
      <c r="C5758" t="n">
        <v>-16.3592</v>
      </c>
      <c r="D5758" t="n">
        <v>-46.9022</v>
      </c>
      <c r="E5758" t="inlineStr">
        <is>
          <t>2025-09</t>
        </is>
      </c>
      <c r="F5758" t="n">
        <v>0</v>
      </c>
    </row>
    <row r="5759">
      <c r="A5759" t="inlineStr">
        <is>
          <t>Milho</t>
        </is>
      </c>
      <c r="B5759" t="inlineStr">
        <is>
          <t>Unaí - MG</t>
        </is>
      </c>
      <c r="C5759" t="n">
        <v>-16.3592</v>
      </c>
      <c r="D5759" t="n">
        <v>-46.9022</v>
      </c>
      <c r="E5759" t="inlineStr">
        <is>
          <t>2025-10</t>
        </is>
      </c>
      <c r="F5759" t="n">
        <v>0</v>
      </c>
    </row>
    <row r="5760">
      <c r="A5760" t="inlineStr">
        <is>
          <t>Milho</t>
        </is>
      </c>
      <c r="B5760" t="inlineStr">
        <is>
          <t>Unaí - MG</t>
        </is>
      </c>
      <c r="C5760" t="n">
        <v>-16.3592</v>
      </c>
      <c r="D5760" t="n">
        <v>-46.9022</v>
      </c>
      <c r="E5760" t="inlineStr">
        <is>
          <t>2025-11</t>
        </is>
      </c>
      <c r="F5760" t="n">
        <v>0</v>
      </c>
    </row>
    <row r="5761">
      <c r="A5761" t="inlineStr">
        <is>
          <t>Milho</t>
        </is>
      </c>
      <c r="B5761" t="inlineStr">
        <is>
          <t>Unaí - MG</t>
        </is>
      </c>
      <c r="C5761" t="n">
        <v>-16.3592</v>
      </c>
      <c r="D5761" t="n">
        <v>-46.9022</v>
      </c>
      <c r="E5761" t="inlineStr">
        <is>
          <t>2025-12</t>
        </is>
      </c>
      <c r="F5761" t="n">
        <v>0</v>
      </c>
    </row>
    <row r="5762">
      <c r="A5762" t="inlineStr">
        <is>
          <t>Milho</t>
        </is>
      </c>
      <c r="B5762" t="inlineStr">
        <is>
          <t>Maracaju - MS</t>
        </is>
      </c>
      <c r="C5762" t="n">
        <v>-21.6105</v>
      </c>
      <c r="D5762" t="n">
        <v>-55.1678</v>
      </c>
      <c r="E5762" t="inlineStr">
        <is>
          <t>2025-07</t>
        </is>
      </c>
      <c r="F5762" t="n">
        <v>0</v>
      </c>
    </row>
    <row r="5763">
      <c r="A5763" t="inlineStr">
        <is>
          <t>Milho</t>
        </is>
      </c>
      <c r="B5763" t="inlineStr">
        <is>
          <t>Maracaju - MS</t>
        </is>
      </c>
      <c r="C5763" t="n">
        <v>-21.6105</v>
      </c>
      <c r="D5763" t="n">
        <v>-55.1678</v>
      </c>
      <c r="E5763" t="inlineStr">
        <is>
          <t>2025-08</t>
        </is>
      </c>
      <c r="F5763" t="n">
        <v>0</v>
      </c>
    </row>
    <row r="5764">
      <c r="A5764" t="inlineStr">
        <is>
          <t>Milho</t>
        </is>
      </c>
      <c r="B5764" t="inlineStr">
        <is>
          <t>Maracaju - MS</t>
        </is>
      </c>
      <c r="C5764" t="n">
        <v>-21.6105</v>
      </c>
      <c r="D5764" t="n">
        <v>-55.1678</v>
      </c>
      <c r="E5764" t="inlineStr">
        <is>
          <t>2025-09</t>
        </is>
      </c>
      <c r="F5764" t="n">
        <v>0</v>
      </c>
    </row>
    <row r="5765">
      <c r="A5765" t="inlineStr">
        <is>
          <t>Milho</t>
        </is>
      </c>
      <c r="B5765" t="inlineStr">
        <is>
          <t>Maracaju - MS</t>
        </is>
      </c>
      <c r="C5765" t="n">
        <v>-21.6105</v>
      </c>
      <c r="D5765" t="n">
        <v>-55.1678</v>
      </c>
      <c r="E5765" t="inlineStr">
        <is>
          <t>2025-10</t>
        </is>
      </c>
      <c r="F5765" t="n">
        <v>0</v>
      </c>
    </row>
    <row r="5766">
      <c r="A5766" t="inlineStr">
        <is>
          <t>Milho</t>
        </is>
      </c>
      <c r="B5766" t="inlineStr">
        <is>
          <t>Maracaju - MS</t>
        </is>
      </c>
      <c r="C5766" t="n">
        <v>-21.6105</v>
      </c>
      <c r="D5766" t="n">
        <v>-55.1678</v>
      </c>
      <c r="E5766" t="inlineStr">
        <is>
          <t>2025-11</t>
        </is>
      </c>
      <c r="F5766" t="n">
        <v>0</v>
      </c>
    </row>
    <row r="5767">
      <c r="A5767" t="inlineStr">
        <is>
          <t>Milho</t>
        </is>
      </c>
      <c r="B5767" t="inlineStr">
        <is>
          <t>Maracaju - MS</t>
        </is>
      </c>
      <c r="C5767" t="n">
        <v>-21.6105</v>
      </c>
      <c r="D5767" t="n">
        <v>-55.1678</v>
      </c>
      <c r="E5767" t="inlineStr">
        <is>
          <t>2025-12</t>
        </is>
      </c>
      <c r="F5767" t="n">
        <v>0</v>
      </c>
    </row>
    <row r="5768">
      <c r="A5768" t="inlineStr">
        <is>
          <t>Milho</t>
        </is>
      </c>
      <c r="B5768" t="inlineStr">
        <is>
          <t>Sorriso - MT</t>
        </is>
      </c>
      <c r="C5768" t="n">
        <v>-12.5425</v>
      </c>
      <c r="D5768" t="n">
        <v>-55.7211</v>
      </c>
      <c r="E5768" t="inlineStr">
        <is>
          <t>2025-07</t>
        </is>
      </c>
      <c r="F5768" t="n">
        <v>0</v>
      </c>
    </row>
    <row r="5769">
      <c r="A5769" t="inlineStr">
        <is>
          <t>Milho</t>
        </is>
      </c>
      <c r="B5769" t="inlineStr">
        <is>
          <t>Sorriso - MT</t>
        </is>
      </c>
      <c r="C5769" t="n">
        <v>-12.5425</v>
      </c>
      <c r="D5769" t="n">
        <v>-55.7211</v>
      </c>
      <c r="E5769" t="inlineStr">
        <is>
          <t>2025-08</t>
        </is>
      </c>
      <c r="F5769" t="n">
        <v>0</v>
      </c>
    </row>
    <row r="5770">
      <c r="A5770" t="inlineStr">
        <is>
          <t>Milho</t>
        </is>
      </c>
      <c r="B5770" t="inlineStr">
        <is>
          <t>Sorriso - MT</t>
        </is>
      </c>
      <c r="C5770" t="n">
        <v>-12.5425</v>
      </c>
      <c r="D5770" t="n">
        <v>-55.7211</v>
      </c>
      <c r="E5770" t="inlineStr">
        <is>
          <t>2025-09</t>
        </is>
      </c>
      <c r="F5770" t="n">
        <v>0</v>
      </c>
    </row>
    <row r="5771">
      <c r="A5771" t="inlineStr">
        <is>
          <t>Milho</t>
        </is>
      </c>
      <c r="B5771" t="inlineStr">
        <is>
          <t>Sorriso - MT</t>
        </is>
      </c>
      <c r="C5771" t="n">
        <v>-12.5425</v>
      </c>
      <c r="D5771" t="n">
        <v>-55.7211</v>
      </c>
      <c r="E5771" t="inlineStr">
        <is>
          <t>2025-10</t>
        </is>
      </c>
      <c r="F5771" t="n">
        <v>0</v>
      </c>
    </row>
    <row r="5772">
      <c r="A5772" t="inlineStr">
        <is>
          <t>Milho</t>
        </is>
      </c>
      <c r="B5772" t="inlineStr">
        <is>
          <t>Sorriso - MT</t>
        </is>
      </c>
      <c r="C5772" t="n">
        <v>-12.5425</v>
      </c>
      <c r="D5772" t="n">
        <v>-55.7211</v>
      </c>
      <c r="E5772" t="inlineStr">
        <is>
          <t>2025-11</t>
        </is>
      </c>
      <c r="F5772" t="n">
        <v>0</v>
      </c>
    </row>
    <row r="5773">
      <c r="A5773" t="inlineStr">
        <is>
          <t>Milho</t>
        </is>
      </c>
      <c r="B5773" t="inlineStr">
        <is>
          <t>Sorriso - MT</t>
        </is>
      </c>
      <c r="C5773" t="n">
        <v>-12.5425</v>
      </c>
      <c r="D5773" t="n">
        <v>-55.7211</v>
      </c>
      <c r="E5773" t="inlineStr">
        <is>
          <t>2025-12</t>
        </is>
      </c>
      <c r="F5773" t="n">
        <v>0</v>
      </c>
    </row>
    <row r="5774">
      <c r="A5774" t="inlineStr">
        <is>
          <t>Milho</t>
        </is>
      </c>
      <c r="B5774" t="inlineStr">
        <is>
          <t>Santana do Araguaia - PA</t>
        </is>
      </c>
      <c r="C5774" t="n">
        <v>-9.328099999999999</v>
      </c>
      <c r="D5774" t="n">
        <v>-50.35</v>
      </c>
      <c r="E5774" t="inlineStr">
        <is>
          <t>2025-07</t>
        </is>
      </c>
      <c r="F5774" t="n">
        <v>0</v>
      </c>
    </row>
    <row r="5775">
      <c r="A5775" t="inlineStr">
        <is>
          <t>Milho</t>
        </is>
      </c>
      <c r="B5775" t="inlineStr">
        <is>
          <t>Santana do Araguaia - PA</t>
        </is>
      </c>
      <c r="C5775" t="n">
        <v>-9.328099999999999</v>
      </c>
      <c r="D5775" t="n">
        <v>-50.35</v>
      </c>
      <c r="E5775" t="inlineStr">
        <is>
          <t>2025-08</t>
        </is>
      </c>
      <c r="F5775" t="n">
        <v>0</v>
      </c>
    </row>
    <row r="5776">
      <c r="A5776" t="inlineStr">
        <is>
          <t>Milho</t>
        </is>
      </c>
      <c r="B5776" t="inlineStr">
        <is>
          <t>Santana do Araguaia - PA</t>
        </is>
      </c>
      <c r="C5776" t="n">
        <v>-9.328099999999999</v>
      </c>
      <c r="D5776" t="n">
        <v>-50.35</v>
      </c>
      <c r="E5776" t="inlineStr">
        <is>
          <t>2025-09</t>
        </is>
      </c>
      <c r="F5776" t="n">
        <v>0</v>
      </c>
    </row>
    <row r="5777">
      <c r="A5777" t="inlineStr">
        <is>
          <t>Milho</t>
        </is>
      </c>
      <c r="B5777" t="inlineStr">
        <is>
          <t>Santana do Araguaia - PA</t>
        </is>
      </c>
      <c r="C5777" t="n">
        <v>-9.328099999999999</v>
      </c>
      <c r="D5777" t="n">
        <v>-50.35</v>
      </c>
      <c r="E5777" t="inlineStr">
        <is>
          <t>2025-10</t>
        </is>
      </c>
      <c r="F5777" t="n">
        <v>0</v>
      </c>
    </row>
    <row r="5778">
      <c r="A5778" t="inlineStr">
        <is>
          <t>Milho</t>
        </is>
      </c>
      <c r="B5778" t="inlineStr">
        <is>
          <t>Santana do Araguaia - PA</t>
        </is>
      </c>
      <c r="C5778" t="n">
        <v>-9.328099999999999</v>
      </c>
      <c r="D5778" t="n">
        <v>-50.35</v>
      </c>
      <c r="E5778" t="inlineStr">
        <is>
          <t>2025-11</t>
        </is>
      </c>
      <c r="F5778" t="n">
        <v>0</v>
      </c>
    </row>
    <row r="5779">
      <c r="A5779" t="inlineStr">
        <is>
          <t>Milho</t>
        </is>
      </c>
      <c r="B5779" t="inlineStr">
        <is>
          <t>Santana do Araguaia - PA</t>
        </is>
      </c>
      <c r="C5779" t="n">
        <v>-9.328099999999999</v>
      </c>
      <c r="D5779" t="n">
        <v>-50.35</v>
      </c>
      <c r="E5779" t="inlineStr">
        <is>
          <t>2025-12</t>
        </is>
      </c>
      <c r="F5779" t="n">
        <v>0</v>
      </c>
    </row>
    <row r="5780">
      <c r="A5780" t="inlineStr">
        <is>
          <t>Milho</t>
        </is>
      </c>
      <c r="B5780" t="inlineStr">
        <is>
          <t>Exu - PE</t>
        </is>
      </c>
      <c r="C5780" t="n">
        <v>-7.50364</v>
      </c>
      <c r="D5780" t="n">
        <v>-39.7238</v>
      </c>
      <c r="E5780" t="inlineStr">
        <is>
          <t>2025-07</t>
        </is>
      </c>
      <c r="F5780" t="n">
        <v>0</v>
      </c>
    </row>
    <row r="5781">
      <c r="A5781" t="inlineStr">
        <is>
          <t>Milho</t>
        </is>
      </c>
      <c r="B5781" t="inlineStr">
        <is>
          <t>Exu - PE</t>
        </is>
      </c>
      <c r="C5781" t="n">
        <v>-7.50364</v>
      </c>
      <c r="D5781" t="n">
        <v>-39.7238</v>
      </c>
      <c r="E5781" t="inlineStr">
        <is>
          <t>2025-08</t>
        </is>
      </c>
      <c r="F5781" t="n">
        <v>0</v>
      </c>
    </row>
    <row r="5782">
      <c r="A5782" t="inlineStr">
        <is>
          <t>Milho</t>
        </is>
      </c>
      <c r="B5782" t="inlineStr">
        <is>
          <t>Exu - PE</t>
        </is>
      </c>
      <c r="C5782" t="n">
        <v>-7.50364</v>
      </c>
      <c r="D5782" t="n">
        <v>-39.7238</v>
      </c>
      <c r="E5782" t="inlineStr">
        <is>
          <t>2025-09</t>
        </is>
      </c>
      <c r="F5782" t="n">
        <v>0</v>
      </c>
    </row>
    <row r="5783">
      <c r="A5783" t="inlineStr">
        <is>
          <t>Milho</t>
        </is>
      </c>
      <c r="B5783" t="inlineStr">
        <is>
          <t>Exu - PE</t>
        </is>
      </c>
      <c r="C5783" t="n">
        <v>-7.50364</v>
      </c>
      <c r="D5783" t="n">
        <v>-39.7238</v>
      </c>
      <c r="E5783" t="inlineStr">
        <is>
          <t>2025-10</t>
        </is>
      </c>
      <c r="F5783" t="n">
        <v>0</v>
      </c>
    </row>
    <row r="5784">
      <c r="A5784" t="inlineStr">
        <is>
          <t>Milho</t>
        </is>
      </c>
      <c r="B5784" t="inlineStr">
        <is>
          <t>Exu - PE</t>
        </is>
      </c>
      <c r="C5784" t="n">
        <v>-7.50364</v>
      </c>
      <c r="D5784" t="n">
        <v>-39.7238</v>
      </c>
      <c r="E5784" t="inlineStr">
        <is>
          <t>2025-11</t>
        </is>
      </c>
      <c r="F5784" t="n">
        <v>0</v>
      </c>
    </row>
    <row r="5785">
      <c r="A5785" t="inlineStr">
        <is>
          <t>Milho</t>
        </is>
      </c>
      <c r="B5785" t="inlineStr">
        <is>
          <t>Exu - PE</t>
        </is>
      </c>
      <c r="C5785" t="n">
        <v>-7.50364</v>
      </c>
      <c r="D5785" t="n">
        <v>-39.7238</v>
      </c>
      <c r="E5785" t="inlineStr">
        <is>
          <t>2025-12</t>
        </is>
      </c>
      <c r="F5785" t="n">
        <v>0</v>
      </c>
    </row>
    <row r="5786">
      <c r="A5786" t="inlineStr">
        <is>
          <t>Milho</t>
        </is>
      </c>
      <c r="B5786" t="inlineStr">
        <is>
          <t>Baixa Grande do Ribeiro - PI</t>
        </is>
      </c>
      <c r="C5786" t="n">
        <v>-7.84903</v>
      </c>
      <c r="D5786" t="n">
        <v>-45.219</v>
      </c>
      <c r="E5786" t="inlineStr">
        <is>
          <t>2025-07</t>
        </is>
      </c>
      <c r="F5786" t="n">
        <v>0</v>
      </c>
    </row>
    <row r="5787">
      <c r="A5787" t="inlineStr">
        <is>
          <t>Milho</t>
        </is>
      </c>
      <c r="B5787" t="inlineStr">
        <is>
          <t>Baixa Grande do Ribeiro - PI</t>
        </is>
      </c>
      <c r="C5787" t="n">
        <v>-7.84903</v>
      </c>
      <c r="D5787" t="n">
        <v>-45.219</v>
      </c>
      <c r="E5787" t="inlineStr">
        <is>
          <t>2025-08</t>
        </is>
      </c>
      <c r="F5787" t="n">
        <v>0</v>
      </c>
    </row>
    <row r="5788">
      <c r="A5788" t="inlineStr">
        <is>
          <t>Milho</t>
        </is>
      </c>
      <c r="B5788" t="inlineStr">
        <is>
          <t>Baixa Grande do Ribeiro - PI</t>
        </is>
      </c>
      <c r="C5788" t="n">
        <v>-7.84903</v>
      </c>
      <c r="D5788" t="n">
        <v>-45.219</v>
      </c>
      <c r="E5788" t="inlineStr">
        <is>
          <t>2025-09</t>
        </is>
      </c>
      <c r="F5788" t="n">
        <v>0</v>
      </c>
    </row>
    <row r="5789">
      <c r="A5789" t="inlineStr">
        <is>
          <t>Milho</t>
        </is>
      </c>
      <c r="B5789" t="inlineStr">
        <is>
          <t>Baixa Grande do Ribeiro - PI</t>
        </is>
      </c>
      <c r="C5789" t="n">
        <v>-7.84903</v>
      </c>
      <c r="D5789" t="n">
        <v>-45.219</v>
      </c>
      <c r="E5789" t="inlineStr">
        <is>
          <t>2025-10</t>
        </is>
      </c>
      <c r="F5789" t="n">
        <v>0</v>
      </c>
    </row>
    <row r="5790">
      <c r="A5790" t="inlineStr">
        <is>
          <t>Milho</t>
        </is>
      </c>
      <c r="B5790" t="inlineStr">
        <is>
          <t>Baixa Grande do Ribeiro - PI</t>
        </is>
      </c>
      <c r="C5790" t="n">
        <v>-7.84903</v>
      </c>
      <c r="D5790" t="n">
        <v>-45.219</v>
      </c>
      <c r="E5790" t="inlineStr">
        <is>
          <t>2025-11</t>
        </is>
      </c>
      <c r="F5790" t="n">
        <v>0</v>
      </c>
    </row>
    <row r="5791">
      <c r="A5791" t="inlineStr">
        <is>
          <t>Milho</t>
        </is>
      </c>
      <c r="B5791" t="inlineStr">
        <is>
          <t>Baixa Grande do Ribeiro - PI</t>
        </is>
      </c>
      <c r="C5791" t="n">
        <v>-7.84903</v>
      </c>
      <c r="D5791" t="n">
        <v>-45.219</v>
      </c>
      <c r="E5791" t="inlineStr">
        <is>
          <t>2025-12</t>
        </is>
      </c>
      <c r="F5791" t="n">
        <v>0</v>
      </c>
    </row>
    <row r="5792">
      <c r="A5792" t="inlineStr">
        <is>
          <t>Milho</t>
        </is>
      </c>
      <c r="B5792" t="inlineStr">
        <is>
          <t>Toledo - PR</t>
        </is>
      </c>
      <c r="C5792" t="n">
        <v>-24.7246</v>
      </c>
      <c r="D5792" t="n">
        <v>-53.7412</v>
      </c>
      <c r="E5792" t="inlineStr">
        <is>
          <t>2025-07</t>
        </is>
      </c>
      <c r="F5792" t="n">
        <v>0</v>
      </c>
    </row>
    <row r="5793">
      <c r="A5793" t="inlineStr">
        <is>
          <t>Milho</t>
        </is>
      </c>
      <c r="B5793" t="inlineStr">
        <is>
          <t>Toledo - PR</t>
        </is>
      </c>
      <c r="C5793" t="n">
        <v>-24.7246</v>
      </c>
      <c r="D5793" t="n">
        <v>-53.7412</v>
      </c>
      <c r="E5793" t="inlineStr">
        <is>
          <t>2025-08</t>
        </is>
      </c>
      <c r="F5793" t="n">
        <v>0</v>
      </c>
    </row>
    <row r="5794">
      <c r="A5794" t="inlineStr">
        <is>
          <t>Milho</t>
        </is>
      </c>
      <c r="B5794" t="inlineStr">
        <is>
          <t>Toledo - PR</t>
        </is>
      </c>
      <c r="C5794" t="n">
        <v>-24.7246</v>
      </c>
      <c r="D5794" t="n">
        <v>-53.7412</v>
      </c>
      <c r="E5794" t="inlineStr">
        <is>
          <t>2025-09</t>
        </is>
      </c>
      <c r="F5794" t="n">
        <v>0</v>
      </c>
    </row>
    <row r="5795">
      <c r="A5795" t="inlineStr">
        <is>
          <t>Milho</t>
        </is>
      </c>
      <c r="B5795" t="inlineStr">
        <is>
          <t>Toledo - PR</t>
        </is>
      </c>
      <c r="C5795" t="n">
        <v>-24.7246</v>
      </c>
      <c r="D5795" t="n">
        <v>-53.7412</v>
      </c>
      <c r="E5795" t="inlineStr">
        <is>
          <t>2025-10</t>
        </is>
      </c>
      <c r="F5795" t="n">
        <v>0</v>
      </c>
    </row>
    <row r="5796">
      <c r="A5796" t="inlineStr">
        <is>
          <t>Milho</t>
        </is>
      </c>
      <c r="B5796" t="inlineStr">
        <is>
          <t>Toledo - PR</t>
        </is>
      </c>
      <c r="C5796" t="n">
        <v>-24.7246</v>
      </c>
      <c r="D5796" t="n">
        <v>-53.7412</v>
      </c>
      <c r="E5796" t="inlineStr">
        <is>
          <t>2025-11</t>
        </is>
      </c>
      <c r="F5796" t="n">
        <v>0</v>
      </c>
    </row>
    <row r="5797">
      <c r="A5797" t="inlineStr">
        <is>
          <t>Milho</t>
        </is>
      </c>
      <c r="B5797" t="inlineStr">
        <is>
          <t>Toledo - PR</t>
        </is>
      </c>
      <c r="C5797" t="n">
        <v>-24.7246</v>
      </c>
      <c r="D5797" t="n">
        <v>-53.7412</v>
      </c>
      <c r="E5797" t="inlineStr">
        <is>
          <t>2025-12</t>
        </is>
      </c>
      <c r="F5797" t="n">
        <v>2336193.655821468</v>
      </c>
    </row>
    <row r="5798">
      <c r="A5798" t="inlineStr">
        <is>
          <t>Milho</t>
        </is>
      </c>
      <c r="B5798" t="inlineStr">
        <is>
          <t>Macaé - RJ</t>
        </is>
      </c>
      <c r="C5798" t="n">
        <v>-22.3768</v>
      </c>
      <c r="D5798" t="n">
        <v>-41.7848</v>
      </c>
      <c r="E5798" t="inlineStr">
        <is>
          <t>2025-07</t>
        </is>
      </c>
      <c r="F5798" t="n">
        <v>0</v>
      </c>
    </row>
    <row r="5799">
      <c r="A5799" t="inlineStr">
        <is>
          <t>Milho</t>
        </is>
      </c>
      <c r="B5799" t="inlineStr">
        <is>
          <t>Macaé - RJ</t>
        </is>
      </c>
      <c r="C5799" t="n">
        <v>-22.3768</v>
      </c>
      <c r="D5799" t="n">
        <v>-41.7848</v>
      </c>
      <c r="E5799" t="inlineStr">
        <is>
          <t>2025-08</t>
        </is>
      </c>
      <c r="F5799" t="n">
        <v>0</v>
      </c>
    </row>
    <row r="5800">
      <c r="A5800" t="inlineStr">
        <is>
          <t>Milho</t>
        </is>
      </c>
      <c r="B5800" t="inlineStr">
        <is>
          <t>Macaé - RJ</t>
        </is>
      </c>
      <c r="C5800" t="n">
        <v>-22.3768</v>
      </c>
      <c r="D5800" t="n">
        <v>-41.7848</v>
      </c>
      <c r="E5800" t="inlineStr">
        <is>
          <t>2025-09</t>
        </is>
      </c>
      <c r="F5800" t="n">
        <v>0</v>
      </c>
    </row>
    <row r="5801">
      <c r="A5801" t="inlineStr">
        <is>
          <t>Milho</t>
        </is>
      </c>
      <c r="B5801" t="inlineStr">
        <is>
          <t>Macaé - RJ</t>
        </is>
      </c>
      <c r="C5801" t="n">
        <v>-22.3768</v>
      </c>
      <c r="D5801" t="n">
        <v>-41.7848</v>
      </c>
      <c r="E5801" t="inlineStr">
        <is>
          <t>2025-10</t>
        </is>
      </c>
      <c r="F5801" t="n">
        <v>0</v>
      </c>
    </row>
    <row r="5802">
      <c r="A5802" t="inlineStr">
        <is>
          <t>Milho</t>
        </is>
      </c>
      <c r="B5802" t="inlineStr">
        <is>
          <t>Macaé - RJ</t>
        </is>
      </c>
      <c r="C5802" t="n">
        <v>-22.3768</v>
      </c>
      <c r="D5802" t="n">
        <v>-41.7848</v>
      </c>
      <c r="E5802" t="inlineStr">
        <is>
          <t>2025-11</t>
        </is>
      </c>
      <c r="F5802" t="n">
        <v>0</v>
      </c>
    </row>
    <row r="5803">
      <c r="A5803" t="inlineStr">
        <is>
          <t>Milho</t>
        </is>
      </c>
      <c r="B5803" t="inlineStr">
        <is>
          <t>Macaé - RJ</t>
        </is>
      </c>
      <c r="C5803" t="n">
        <v>-22.3768</v>
      </c>
      <c r="D5803" t="n">
        <v>-41.7848</v>
      </c>
      <c r="E5803" t="inlineStr">
        <is>
          <t>2025-12</t>
        </is>
      </c>
      <c r="F5803" t="n">
        <v>0</v>
      </c>
    </row>
    <row r="5804">
      <c r="A5804" t="inlineStr">
        <is>
          <t>Milho</t>
        </is>
      </c>
      <c r="B5804" t="inlineStr">
        <is>
          <t>Pimenteiras do Oeste - RO</t>
        </is>
      </c>
      <c r="C5804" t="n">
        <v>-13.4823</v>
      </c>
      <c r="D5804" t="n">
        <v>-61.0471</v>
      </c>
      <c r="E5804" t="inlineStr">
        <is>
          <t>2025-07</t>
        </is>
      </c>
      <c r="F5804" t="n">
        <v>0</v>
      </c>
    </row>
    <row r="5805">
      <c r="A5805" t="inlineStr">
        <is>
          <t>Milho</t>
        </is>
      </c>
      <c r="B5805" t="inlineStr">
        <is>
          <t>Pimenteiras do Oeste - RO</t>
        </is>
      </c>
      <c r="C5805" t="n">
        <v>-13.4823</v>
      </c>
      <c r="D5805" t="n">
        <v>-61.0471</v>
      </c>
      <c r="E5805" t="inlineStr">
        <is>
          <t>2025-08</t>
        </is>
      </c>
      <c r="F5805" t="n">
        <v>0</v>
      </c>
    </row>
    <row r="5806">
      <c r="A5806" t="inlineStr">
        <is>
          <t>Milho</t>
        </is>
      </c>
      <c r="B5806" t="inlineStr">
        <is>
          <t>Pimenteiras do Oeste - RO</t>
        </is>
      </c>
      <c r="C5806" t="n">
        <v>-13.4823</v>
      </c>
      <c r="D5806" t="n">
        <v>-61.0471</v>
      </c>
      <c r="E5806" t="inlineStr">
        <is>
          <t>2025-09</t>
        </is>
      </c>
      <c r="F5806" t="n">
        <v>0</v>
      </c>
    </row>
    <row r="5807">
      <c r="A5807" t="inlineStr">
        <is>
          <t>Milho</t>
        </is>
      </c>
      <c r="B5807" t="inlineStr">
        <is>
          <t>Pimenteiras do Oeste - RO</t>
        </is>
      </c>
      <c r="C5807" t="n">
        <v>-13.4823</v>
      </c>
      <c r="D5807" t="n">
        <v>-61.0471</v>
      </c>
      <c r="E5807" t="inlineStr">
        <is>
          <t>2025-10</t>
        </is>
      </c>
      <c r="F5807" t="n">
        <v>0</v>
      </c>
    </row>
    <row r="5808">
      <c r="A5808" t="inlineStr">
        <is>
          <t>Milho</t>
        </is>
      </c>
      <c r="B5808" t="inlineStr">
        <is>
          <t>Pimenteiras do Oeste - RO</t>
        </is>
      </c>
      <c r="C5808" t="n">
        <v>-13.4823</v>
      </c>
      <c r="D5808" t="n">
        <v>-61.0471</v>
      </c>
      <c r="E5808" t="inlineStr">
        <is>
          <t>2025-11</t>
        </is>
      </c>
      <c r="F5808" t="n">
        <v>0</v>
      </c>
    </row>
    <row r="5809">
      <c r="A5809" t="inlineStr">
        <is>
          <t>Milho</t>
        </is>
      </c>
      <c r="B5809" t="inlineStr">
        <is>
          <t>Pimenteiras do Oeste - RO</t>
        </is>
      </c>
      <c r="C5809" t="n">
        <v>-13.4823</v>
      </c>
      <c r="D5809" t="n">
        <v>-61.0471</v>
      </c>
      <c r="E5809" t="inlineStr">
        <is>
          <t>2025-12</t>
        </is>
      </c>
      <c r="F5809" t="n">
        <v>40628.41884104072</v>
      </c>
    </row>
    <row r="5810">
      <c r="A5810" t="inlineStr">
        <is>
          <t>Milho</t>
        </is>
      </c>
      <c r="B5810" t="inlineStr">
        <is>
          <t>Palmeira das Missões - RS</t>
        </is>
      </c>
      <c r="C5810" t="n">
        <v>-27.9007</v>
      </c>
      <c r="D5810" t="n">
        <v>-53.3134</v>
      </c>
      <c r="E5810" t="inlineStr">
        <is>
          <t>2025-07</t>
        </is>
      </c>
      <c r="F5810" t="n">
        <v>0</v>
      </c>
    </row>
    <row r="5811">
      <c r="A5811" t="inlineStr">
        <is>
          <t>Milho</t>
        </is>
      </c>
      <c r="B5811" t="inlineStr">
        <is>
          <t>Palmeira das Missões - RS</t>
        </is>
      </c>
      <c r="C5811" t="n">
        <v>-27.9007</v>
      </c>
      <c r="D5811" t="n">
        <v>-53.3134</v>
      </c>
      <c r="E5811" t="inlineStr">
        <is>
          <t>2025-08</t>
        </is>
      </c>
      <c r="F5811" t="n">
        <v>0</v>
      </c>
    </row>
    <row r="5812">
      <c r="A5812" t="inlineStr">
        <is>
          <t>Milho</t>
        </is>
      </c>
      <c r="B5812" t="inlineStr">
        <is>
          <t>Palmeira das Missões - RS</t>
        </is>
      </c>
      <c r="C5812" t="n">
        <v>-27.9007</v>
      </c>
      <c r="D5812" t="n">
        <v>-53.3134</v>
      </c>
      <c r="E5812" t="inlineStr">
        <is>
          <t>2025-09</t>
        </is>
      </c>
      <c r="F5812" t="n">
        <v>0</v>
      </c>
    </row>
    <row r="5813">
      <c r="A5813" t="inlineStr">
        <is>
          <t>Milho</t>
        </is>
      </c>
      <c r="B5813" t="inlineStr">
        <is>
          <t>Palmeira das Missões - RS</t>
        </is>
      </c>
      <c r="C5813" t="n">
        <v>-27.9007</v>
      </c>
      <c r="D5813" t="n">
        <v>-53.3134</v>
      </c>
      <c r="E5813" t="inlineStr">
        <is>
          <t>2025-10</t>
        </is>
      </c>
      <c r="F5813" t="n">
        <v>0</v>
      </c>
    </row>
    <row r="5814">
      <c r="A5814" t="inlineStr">
        <is>
          <t>Milho</t>
        </is>
      </c>
      <c r="B5814" t="inlineStr">
        <is>
          <t>Palmeira das Missões - RS</t>
        </is>
      </c>
      <c r="C5814" t="n">
        <v>-27.9007</v>
      </c>
      <c r="D5814" t="n">
        <v>-53.3134</v>
      </c>
      <c r="E5814" t="inlineStr">
        <is>
          <t>2025-11</t>
        </is>
      </c>
      <c r="F5814" t="n">
        <v>0</v>
      </c>
    </row>
    <row r="5815">
      <c r="A5815" t="inlineStr">
        <is>
          <t>Milho</t>
        </is>
      </c>
      <c r="B5815" t="inlineStr">
        <is>
          <t>Palmeira das Missões - RS</t>
        </is>
      </c>
      <c r="C5815" t="n">
        <v>-27.9007</v>
      </c>
      <c r="D5815" t="n">
        <v>-53.3134</v>
      </c>
      <c r="E5815" t="inlineStr">
        <is>
          <t>2025-12</t>
        </is>
      </c>
      <c r="F5815" t="n">
        <v>2722390.010165598</v>
      </c>
    </row>
    <row r="5816">
      <c r="A5816" t="inlineStr">
        <is>
          <t>Milho</t>
        </is>
      </c>
      <c r="B5816" t="inlineStr">
        <is>
          <t>Campos Novos - SC</t>
        </is>
      </c>
      <c r="C5816" t="n">
        <v>-27.4002</v>
      </c>
      <c r="D5816" t="n">
        <v>-51.2276</v>
      </c>
      <c r="E5816" t="inlineStr">
        <is>
          <t>2025-07</t>
        </is>
      </c>
      <c r="F5816" t="n">
        <v>0</v>
      </c>
    </row>
    <row r="5817">
      <c r="A5817" t="inlineStr">
        <is>
          <t>Milho</t>
        </is>
      </c>
      <c r="B5817" t="inlineStr">
        <is>
          <t>Campos Novos - SC</t>
        </is>
      </c>
      <c r="C5817" t="n">
        <v>-27.4002</v>
      </c>
      <c r="D5817" t="n">
        <v>-51.2276</v>
      </c>
      <c r="E5817" t="inlineStr">
        <is>
          <t>2025-08</t>
        </is>
      </c>
      <c r="F5817" t="n">
        <v>0</v>
      </c>
    </row>
    <row r="5818">
      <c r="A5818" t="inlineStr">
        <is>
          <t>Milho</t>
        </is>
      </c>
      <c r="B5818" t="inlineStr">
        <is>
          <t>Campos Novos - SC</t>
        </is>
      </c>
      <c r="C5818" t="n">
        <v>-27.4002</v>
      </c>
      <c r="D5818" t="n">
        <v>-51.2276</v>
      </c>
      <c r="E5818" t="inlineStr">
        <is>
          <t>2025-09</t>
        </is>
      </c>
      <c r="F5818" t="n">
        <v>0</v>
      </c>
    </row>
    <row r="5819">
      <c r="A5819" t="inlineStr">
        <is>
          <t>Milho</t>
        </is>
      </c>
      <c r="B5819" t="inlineStr">
        <is>
          <t>Campos Novos - SC</t>
        </is>
      </c>
      <c r="C5819" t="n">
        <v>-27.4002</v>
      </c>
      <c r="D5819" t="n">
        <v>-51.2276</v>
      </c>
      <c r="E5819" t="inlineStr">
        <is>
          <t>2025-10</t>
        </is>
      </c>
      <c r="F5819" t="n">
        <v>0</v>
      </c>
    </row>
    <row r="5820">
      <c r="A5820" t="inlineStr">
        <is>
          <t>Milho</t>
        </is>
      </c>
      <c r="B5820" t="inlineStr">
        <is>
          <t>Campos Novos - SC</t>
        </is>
      </c>
      <c r="C5820" t="n">
        <v>-27.4002</v>
      </c>
      <c r="D5820" t="n">
        <v>-51.2276</v>
      </c>
      <c r="E5820" t="inlineStr">
        <is>
          <t>2025-11</t>
        </is>
      </c>
      <c r="F5820" t="n">
        <v>0</v>
      </c>
    </row>
    <row r="5821">
      <c r="A5821" t="inlineStr">
        <is>
          <t>Milho</t>
        </is>
      </c>
      <c r="B5821" t="inlineStr">
        <is>
          <t>Campos Novos - SC</t>
        </is>
      </c>
      <c r="C5821" t="n">
        <v>-27.4002</v>
      </c>
      <c r="D5821" t="n">
        <v>-51.2276</v>
      </c>
      <c r="E5821" t="inlineStr">
        <is>
          <t>2025-12</t>
        </is>
      </c>
      <c r="F5821" t="n">
        <v>1438615.376235022</v>
      </c>
    </row>
    <row r="5822">
      <c r="A5822" t="inlineStr">
        <is>
          <t>Milho</t>
        </is>
      </c>
      <c r="B5822" t="inlineStr">
        <is>
          <t>Itapeva - SP</t>
        </is>
      </c>
      <c r="C5822" t="n">
        <v>-23.9788</v>
      </c>
      <c r="D5822" t="n">
        <v>-48.8764</v>
      </c>
      <c r="E5822" t="inlineStr">
        <is>
          <t>2025-07</t>
        </is>
      </c>
      <c r="F5822" t="n">
        <v>0</v>
      </c>
    </row>
    <row r="5823">
      <c r="A5823" t="inlineStr">
        <is>
          <t>Milho</t>
        </is>
      </c>
      <c r="B5823" t="inlineStr">
        <is>
          <t>Itapeva - SP</t>
        </is>
      </c>
      <c r="C5823" t="n">
        <v>-23.9788</v>
      </c>
      <c r="D5823" t="n">
        <v>-48.8764</v>
      </c>
      <c r="E5823" t="inlineStr">
        <is>
          <t>2025-08</t>
        </is>
      </c>
      <c r="F5823" t="n">
        <v>0</v>
      </c>
    </row>
    <row r="5824">
      <c r="A5824" t="inlineStr">
        <is>
          <t>Milho</t>
        </is>
      </c>
      <c r="B5824" t="inlineStr">
        <is>
          <t>Itapeva - SP</t>
        </is>
      </c>
      <c r="C5824" t="n">
        <v>-23.9788</v>
      </c>
      <c r="D5824" t="n">
        <v>-48.8764</v>
      </c>
      <c r="E5824" t="inlineStr">
        <is>
          <t>2025-09</t>
        </is>
      </c>
      <c r="F5824" t="n">
        <v>0</v>
      </c>
    </row>
    <row r="5825">
      <c r="A5825" t="inlineStr">
        <is>
          <t>Milho</t>
        </is>
      </c>
      <c r="B5825" t="inlineStr">
        <is>
          <t>Itapeva - SP</t>
        </is>
      </c>
      <c r="C5825" t="n">
        <v>-23.9788</v>
      </c>
      <c r="D5825" t="n">
        <v>-48.8764</v>
      </c>
      <c r="E5825" t="inlineStr">
        <is>
          <t>2025-10</t>
        </is>
      </c>
      <c r="F5825" t="n">
        <v>0</v>
      </c>
    </row>
    <row r="5826">
      <c r="A5826" t="inlineStr">
        <is>
          <t>Milho</t>
        </is>
      </c>
      <c r="B5826" t="inlineStr">
        <is>
          <t>Itapeva - SP</t>
        </is>
      </c>
      <c r="C5826" t="n">
        <v>-23.9788</v>
      </c>
      <c r="D5826" t="n">
        <v>-48.8764</v>
      </c>
      <c r="E5826" t="inlineStr">
        <is>
          <t>2025-11</t>
        </is>
      </c>
      <c r="F5826" t="n">
        <v>0</v>
      </c>
    </row>
    <row r="5827">
      <c r="A5827" t="inlineStr">
        <is>
          <t>Milho</t>
        </is>
      </c>
      <c r="B5827" t="inlineStr">
        <is>
          <t>Itapeva - SP</t>
        </is>
      </c>
      <c r="C5827" t="n">
        <v>-23.9788</v>
      </c>
      <c r="D5827" t="n">
        <v>-48.8764</v>
      </c>
      <c r="E5827" t="inlineStr">
        <is>
          <t>2025-12</t>
        </is>
      </c>
      <c r="F5827" t="n">
        <v>0</v>
      </c>
    </row>
    <row r="5828">
      <c r="A5828" t="inlineStr">
        <is>
          <t>Milho</t>
        </is>
      </c>
      <c r="B5828" t="inlineStr">
        <is>
          <t>Campos Lindos - TO</t>
        </is>
      </c>
      <c r="C5828" t="n">
        <v>-7.98956</v>
      </c>
      <c r="D5828" t="n">
        <v>-46.8645</v>
      </c>
      <c r="E5828" t="inlineStr">
        <is>
          <t>2025-07</t>
        </is>
      </c>
      <c r="F5828" t="n">
        <v>0</v>
      </c>
    </row>
    <row r="5829">
      <c r="A5829" t="inlineStr">
        <is>
          <t>Milho</t>
        </is>
      </c>
      <c r="B5829" t="inlineStr">
        <is>
          <t>Campos Lindos - TO</t>
        </is>
      </c>
      <c r="C5829" t="n">
        <v>-7.98956</v>
      </c>
      <c r="D5829" t="n">
        <v>-46.8645</v>
      </c>
      <c r="E5829" t="inlineStr">
        <is>
          <t>2025-08</t>
        </is>
      </c>
      <c r="F5829" t="n">
        <v>0</v>
      </c>
    </row>
    <row r="5830">
      <c r="A5830" t="inlineStr">
        <is>
          <t>Milho</t>
        </is>
      </c>
      <c r="B5830" t="inlineStr">
        <is>
          <t>Campos Lindos - TO</t>
        </is>
      </c>
      <c r="C5830" t="n">
        <v>-7.98956</v>
      </c>
      <c r="D5830" t="n">
        <v>-46.8645</v>
      </c>
      <c r="E5830" t="inlineStr">
        <is>
          <t>2025-09</t>
        </is>
      </c>
      <c r="F5830" t="n">
        <v>0</v>
      </c>
    </row>
    <row r="5831">
      <c r="A5831" t="inlineStr">
        <is>
          <t>Milho</t>
        </is>
      </c>
      <c r="B5831" t="inlineStr">
        <is>
          <t>Campos Lindos - TO</t>
        </is>
      </c>
      <c r="C5831" t="n">
        <v>-7.98956</v>
      </c>
      <c r="D5831" t="n">
        <v>-46.8645</v>
      </c>
      <c r="E5831" t="inlineStr">
        <is>
          <t>2025-10</t>
        </is>
      </c>
      <c r="F5831" t="n">
        <v>0</v>
      </c>
    </row>
    <row r="5832">
      <c r="A5832" t="inlineStr">
        <is>
          <t>Milho</t>
        </is>
      </c>
      <c r="B5832" t="inlineStr">
        <is>
          <t>Campos Lindos - TO</t>
        </is>
      </c>
      <c r="C5832" t="n">
        <v>-7.98956</v>
      </c>
      <c r="D5832" t="n">
        <v>-46.8645</v>
      </c>
      <c r="E5832" t="inlineStr">
        <is>
          <t>2025-11</t>
        </is>
      </c>
      <c r="F5832" t="n">
        <v>0</v>
      </c>
    </row>
    <row r="5833">
      <c r="A5833" t="inlineStr">
        <is>
          <t>Milho</t>
        </is>
      </c>
      <c r="B5833" t="inlineStr">
        <is>
          <t>Campos Lindos - TO</t>
        </is>
      </c>
      <c r="C5833" t="n">
        <v>-7.98956</v>
      </c>
      <c r="D5833" t="n">
        <v>-46.8645</v>
      </c>
      <c r="E5833" t="inlineStr">
        <is>
          <t>2025-12</t>
        </is>
      </c>
      <c r="F5833" t="n">
        <v>0</v>
      </c>
    </row>
    <row r="5834">
      <c r="A5834" t="inlineStr">
        <is>
          <t>Milho</t>
        </is>
      </c>
      <c r="B5834" t="inlineStr">
        <is>
          <t>Senador Guiomard - AC</t>
        </is>
      </c>
      <c r="C5834" t="n">
        <v>-10.1497</v>
      </c>
      <c r="D5834" t="n">
        <v>-67.7362</v>
      </c>
      <c r="E5834" t="inlineStr">
        <is>
          <t>2025-07</t>
        </is>
      </c>
      <c r="F5834" t="n">
        <v>0</v>
      </c>
    </row>
    <row r="5835">
      <c r="A5835" t="inlineStr">
        <is>
          <t>Milho</t>
        </is>
      </c>
      <c r="B5835" t="inlineStr">
        <is>
          <t>Senador Guiomard - AC</t>
        </is>
      </c>
      <c r="C5835" t="n">
        <v>-10.1497</v>
      </c>
      <c r="D5835" t="n">
        <v>-67.7362</v>
      </c>
      <c r="E5835" t="inlineStr">
        <is>
          <t>2025-08</t>
        </is>
      </c>
      <c r="F5835" t="n">
        <v>0</v>
      </c>
    </row>
    <row r="5836">
      <c r="A5836" t="inlineStr">
        <is>
          <t>Milho</t>
        </is>
      </c>
      <c r="B5836" t="inlineStr">
        <is>
          <t>Senador Guiomard - AC</t>
        </is>
      </c>
      <c r="C5836" t="n">
        <v>-10.1497</v>
      </c>
      <c r="D5836" t="n">
        <v>-67.7362</v>
      </c>
      <c r="E5836" t="inlineStr">
        <is>
          <t>2025-09</t>
        </is>
      </c>
      <c r="F5836" t="n">
        <v>0</v>
      </c>
    </row>
    <row r="5837">
      <c r="A5837" t="inlineStr">
        <is>
          <t>Milho</t>
        </is>
      </c>
      <c r="B5837" t="inlineStr">
        <is>
          <t>Senador Guiomard - AC</t>
        </is>
      </c>
      <c r="C5837" t="n">
        <v>-10.1497</v>
      </c>
      <c r="D5837" t="n">
        <v>-67.7362</v>
      </c>
      <c r="E5837" t="inlineStr">
        <is>
          <t>2025-10</t>
        </is>
      </c>
      <c r="F5837" t="n">
        <v>0</v>
      </c>
    </row>
    <row r="5838">
      <c r="A5838" t="inlineStr">
        <is>
          <t>Milho</t>
        </is>
      </c>
      <c r="B5838" t="inlineStr">
        <is>
          <t>Senador Guiomard - AC</t>
        </is>
      </c>
      <c r="C5838" t="n">
        <v>-10.1497</v>
      </c>
      <c r="D5838" t="n">
        <v>-67.7362</v>
      </c>
      <c r="E5838" t="inlineStr">
        <is>
          <t>2025-11</t>
        </is>
      </c>
      <c r="F5838" t="n">
        <v>0</v>
      </c>
    </row>
    <row r="5839">
      <c r="A5839" t="inlineStr">
        <is>
          <t>Milho</t>
        </is>
      </c>
      <c r="B5839" t="inlineStr">
        <is>
          <t>Senador Guiomard - AC</t>
        </is>
      </c>
      <c r="C5839" t="n">
        <v>-10.1497</v>
      </c>
      <c r="D5839" t="n">
        <v>-67.7362</v>
      </c>
      <c r="E5839" t="inlineStr">
        <is>
          <t>2025-12</t>
        </is>
      </c>
      <c r="F5839" t="n">
        <v>0</v>
      </c>
    </row>
    <row r="5840">
      <c r="A5840" t="inlineStr">
        <is>
          <t>Milho</t>
        </is>
      </c>
      <c r="B5840" t="inlineStr">
        <is>
          <t>Humaitá - AM</t>
        </is>
      </c>
      <c r="C5840" t="n">
        <v>-7.51171</v>
      </c>
      <c r="D5840" t="n">
        <v>-63.0327</v>
      </c>
      <c r="E5840" t="inlineStr">
        <is>
          <t>2025-07</t>
        </is>
      </c>
      <c r="F5840" t="n">
        <v>0</v>
      </c>
    </row>
    <row r="5841">
      <c r="A5841" t="inlineStr">
        <is>
          <t>Milho</t>
        </is>
      </c>
      <c r="B5841" t="inlineStr">
        <is>
          <t>Humaitá - AM</t>
        </is>
      </c>
      <c r="C5841" t="n">
        <v>-7.51171</v>
      </c>
      <c r="D5841" t="n">
        <v>-63.0327</v>
      </c>
      <c r="E5841" t="inlineStr">
        <is>
          <t>2025-08</t>
        </is>
      </c>
      <c r="F5841" t="n">
        <v>0</v>
      </c>
    </row>
    <row r="5842">
      <c r="A5842" t="inlineStr">
        <is>
          <t>Milho</t>
        </is>
      </c>
      <c r="B5842" t="inlineStr">
        <is>
          <t>Humaitá - AM</t>
        </is>
      </c>
      <c r="C5842" t="n">
        <v>-7.51171</v>
      </c>
      <c r="D5842" t="n">
        <v>-63.0327</v>
      </c>
      <c r="E5842" t="inlineStr">
        <is>
          <t>2025-09</t>
        </is>
      </c>
      <c r="F5842" t="n">
        <v>0</v>
      </c>
    </row>
    <row r="5843">
      <c r="A5843" t="inlineStr">
        <is>
          <t>Milho</t>
        </is>
      </c>
      <c r="B5843" t="inlineStr">
        <is>
          <t>Humaitá - AM</t>
        </is>
      </c>
      <c r="C5843" t="n">
        <v>-7.51171</v>
      </c>
      <c r="D5843" t="n">
        <v>-63.0327</v>
      </c>
      <c r="E5843" t="inlineStr">
        <is>
          <t>2025-10</t>
        </is>
      </c>
      <c r="F5843" t="n">
        <v>0</v>
      </c>
    </row>
    <row r="5844">
      <c r="A5844" t="inlineStr">
        <is>
          <t>Milho</t>
        </is>
      </c>
      <c r="B5844" t="inlineStr">
        <is>
          <t>Humaitá - AM</t>
        </is>
      </c>
      <c r="C5844" t="n">
        <v>-7.51171</v>
      </c>
      <c r="D5844" t="n">
        <v>-63.0327</v>
      </c>
      <c r="E5844" t="inlineStr">
        <is>
          <t>2025-11</t>
        </is>
      </c>
      <c r="F5844" t="n">
        <v>0</v>
      </c>
    </row>
    <row r="5845">
      <c r="A5845" t="inlineStr">
        <is>
          <t>Milho</t>
        </is>
      </c>
      <c r="B5845" t="inlineStr">
        <is>
          <t>Humaitá - AM</t>
        </is>
      </c>
      <c r="C5845" t="n">
        <v>-7.51171</v>
      </c>
      <c r="D5845" t="n">
        <v>-63.0327</v>
      </c>
      <c r="E5845" t="inlineStr">
        <is>
          <t>2025-12</t>
        </is>
      </c>
      <c r="F5845" t="n">
        <v>0</v>
      </c>
    </row>
    <row r="5846">
      <c r="A5846" t="inlineStr">
        <is>
          <t>Milho</t>
        </is>
      </c>
      <c r="B5846" t="inlineStr">
        <is>
          <t>Palmeira das Missões - RS</t>
        </is>
      </c>
      <c r="C5846" t="n">
        <v>-27.9007</v>
      </c>
      <c r="D5846" t="n">
        <v>-53.3134</v>
      </c>
      <c r="E5846" t="inlineStr">
        <is>
          <t>2025-07</t>
        </is>
      </c>
      <c r="F5846" t="n">
        <v>0</v>
      </c>
    </row>
    <row r="5847">
      <c r="A5847" t="inlineStr">
        <is>
          <t>Milho</t>
        </is>
      </c>
      <c r="B5847" t="inlineStr">
        <is>
          <t>Palmeira das Missões - RS</t>
        </is>
      </c>
      <c r="C5847" t="n">
        <v>-27.9007</v>
      </c>
      <c r="D5847" t="n">
        <v>-53.3134</v>
      </c>
      <c r="E5847" t="inlineStr">
        <is>
          <t>2025-08</t>
        </is>
      </c>
      <c r="F5847" t="n">
        <v>0</v>
      </c>
    </row>
    <row r="5848">
      <c r="A5848" t="inlineStr">
        <is>
          <t>Milho</t>
        </is>
      </c>
      <c r="B5848" t="inlineStr">
        <is>
          <t>Palmeira das Missões - RS</t>
        </is>
      </c>
      <c r="C5848" t="n">
        <v>-27.9007</v>
      </c>
      <c r="D5848" t="n">
        <v>-53.3134</v>
      </c>
      <c r="E5848" t="inlineStr">
        <is>
          <t>2025-09</t>
        </is>
      </c>
      <c r="F5848" t="n">
        <v>0</v>
      </c>
    </row>
    <row r="5849">
      <c r="A5849" t="inlineStr">
        <is>
          <t>Milho</t>
        </is>
      </c>
      <c r="B5849" t="inlineStr">
        <is>
          <t>Palmeira das Missões - RS</t>
        </is>
      </c>
      <c r="C5849" t="n">
        <v>-27.9007</v>
      </c>
      <c r="D5849" t="n">
        <v>-53.3134</v>
      </c>
      <c r="E5849" t="inlineStr">
        <is>
          <t>2025-10</t>
        </is>
      </c>
      <c r="F5849" t="n">
        <v>0</v>
      </c>
    </row>
    <row r="5850">
      <c r="A5850" t="inlineStr">
        <is>
          <t>Milho</t>
        </is>
      </c>
      <c r="B5850" t="inlineStr">
        <is>
          <t>Palmeira das Missões - RS</t>
        </is>
      </c>
      <c r="C5850" t="n">
        <v>-27.9007</v>
      </c>
      <c r="D5850" t="n">
        <v>-53.3134</v>
      </c>
      <c r="E5850" t="inlineStr">
        <is>
          <t>2025-11</t>
        </is>
      </c>
      <c r="F5850" t="n">
        <v>0</v>
      </c>
    </row>
    <row r="5851">
      <c r="A5851" t="inlineStr">
        <is>
          <t>Milho</t>
        </is>
      </c>
      <c r="B5851" t="inlineStr">
        <is>
          <t>Palmeira das Missões - RS</t>
        </is>
      </c>
      <c r="C5851" t="n">
        <v>-27.9007</v>
      </c>
      <c r="D5851" t="n">
        <v>-53.3134</v>
      </c>
      <c r="E5851" t="inlineStr">
        <is>
          <t>2025-12</t>
        </is>
      </c>
      <c r="F5851" t="n">
        <v>0</v>
      </c>
    </row>
    <row r="5852">
      <c r="A5852" t="inlineStr">
        <is>
          <t>Milho</t>
        </is>
      </c>
      <c r="B5852" t="inlineStr">
        <is>
          <t>Limoeiro de Anadia - AL</t>
        </is>
      </c>
      <c r="C5852" t="n">
        <v>-9.74098</v>
      </c>
      <c r="D5852" t="n">
        <v>-36.5121</v>
      </c>
      <c r="E5852" t="inlineStr">
        <is>
          <t>2025-07</t>
        </is>
      </c>
      <c r="F5852" t="n">
        <v>0</v>
      </c>
    </row>
    <row r="5853">
      <c r="A5853" t="inlineStr">
        <is>
          <t>Milho</t>
        </is>
      </c>
      <c r="B5853" t="inlineStr">
        <is>
          <t>Limoeiro de Anadia - AL</t>
        </is>
      </c>
      <c r="C5853" t="n">
        <v>-9.74098</v>
      </c>
      <c r="D5853" t="n">
        <v>-36.5121</v>
      </c>
      <c r="E5853" t="inlineStr">
        <is>
          <t>2025-08</t>
        </is>
      </c>
      <c r="F5853" t="n">
        <v>0</v>
      </c>
    </row>
    <row r="5854">
      <c r="A5854" t="inlineStr">
        <is>
          <t>Milho</t>
        </is>
      </c>
      <c r="B5854" t="inlineStr">
        <is>
          <t>Limoeiro de Anadia - AL</t>
        </is>
      </c>
      <c r="C5854" t="n">
        <v>-9.74098</v>
      </c>
      <c r="D5854" t="n">
        <v>-36.5121</v>
      </c>
      <c r="E5854" t="inlineStr">
        <is>
          <t>2025-09</t>
        </is>
      </c>
      <c r="F5854" t="n">
        <v>0</v>
      </c>
    </row>
    <row r="5855">
      <c r="A5855" t="inlineStr">
        <is>
          <t>Milho</t>
        </is>
      </c>
      <c r="B5855" t="inlineStr">
        <is>
          <t>Limoeiro de Anadia - AL</t>
        </is>
      </c>
      <c r="C5855" t="n">
        <v>-9.74098</v>
      </c>
      <c r="D5855" t="n">
        <v>-36.5121</v>
      </c>
      <c r="E5855" t="inlineStr">
        <is>
          <t>2025-10</t>
        </is>
      </c>
      <c r="F5855" t="n">
        <v>0</v>
      </c>
    </row>
    <row r="5856">
      <c r="A5856" t="inlineStr">
        <is>
          <t>Milho</t>
        </is>
      </c>
      <c r="B5856" t="inlineStr">
        <is>
          <t>Limoeiro de Anadia - AL</t>
        </is>
      </c>
      <c r="C5856" t="n">
        <v>-9.74098</v>
      </c>
      <c r="D5856" t="n">
        <v>-36.5121</v>
      </c>
      <c r="E5856" t="inlineStr">
        <is>
          <t>2025-11</t>
        </is>
      </c>
      <c r="F5856" t="n">
        <v>0</v>
      </c>
    </row>
    <row r="5857">
      <c r="A5857" t="inlineStr">
        <is>
          <t>Milho</t>
        </is>
      </c>
      <c r="B5857" t="inlineStr">
        <is>
          <t>Limoeiro de Anadia - AL</t>
        </is>
      </c>
      <c r="C5857" t="n">
        <v>-9.74098</v>
      </c>
      <c r="D5857" t="n">
        <v>-36.5121</v>
      </c>
      <c r="E5857" t="inlineStr">
        <is>
          <t>2025-12</t>
        </is>
      </c>
      <c r="F5857" t="n">
        <v>0</v>
      </c>
    </row>
    <row r="5858">
      <c r="A5858" t="inlineStr">
        <is>
          <t>Milho</t>
        </is>
      </c>
      <c r="B5858" t="inlineStr">
        <is>
          <t>Macapá - AP</t>
        </is>
      </c>
      <c r="C5858" t="n">
        <v>0.034934</v>
      </c>
      <c r="D5858" t="n">
        <v>-51.0694</v>
      </c>
      <c r="E5858" t="inlineStr">
        <is>
          <t>2025-07</t>
        </is>
      </c>
      <c r="F5858" t="n">
        <v>0</v>
      </c>
    </row>
    <row r="5859">
      <c r="A5859" t="inlineStr">
        <is>
          <t>Milho</t>
        </is>
      </c>
      <c r="B5859" t="inlineStr">
        <is>
          <t>Macapá - AP</t>
        </is>
      </c>
      <c r="C5859" t="n">
        <v>0.034934</v>
      </c>
      <c r="D5859" t="n">
        <v>-51.0694</v>
      </c>
      <c r="E5859" t="inlineStr">
        <is>
          <t>2025-08</t>
        </is>
      </c>
      <c r="F5859" t="n">
        <v>0</v>
      </c>
    </row>
    <row r="5860">
      <c r="A5860" t="inlineStr">
        <is>
          <t>Milho</t>
        </is>
      </c>
      <c r="B5860" t="inlineStr">
        <is>
          <t>Macapá - AP</t>
        </is>
      </c>
      <c r="C5860" t="n">
        <v>0.034934</v>
      </c>
      <c r="D5860" t="n">
        <v>-51.0694</v>
      </c>
      <c r="E5860" t="inlineStr">
        <is>
          <t>2025-09</t>
        </is>
      </c>
      <c r="F5860" t="n">
        <v>0</v>
      </c>
    </row>
    <row r="5861">
      <c r="A5861" t="inlineStr">
        <is>
          <t>Milho</t>
        </is>
      </c>
      <c r="B5861" t="inlineStr">
        <is>
          <t>Macapá - AP</t>
        </is>
      </c>
      <c r="C5861" t="n">
        <v>0.034934</v>
      </c>
      <c r="D5861" t="n">
        <v>-51.0694</v>
      </c>
      <c r="E5861" t="inlineStr">
        <is>
          <t>2025-10</t>
        </is>
      </c>
      <c r="F5861" t="n">
        <v>0</v>
      </c>
    </row>
    <row r="5862">
      <c r="A5862" t="inlineStr">
        <is>
          <t>Milho</t>
        </is>
      </c>
      <c r="B5862" t="inlineStr">
        <is>
          <t>Macapá - AP</t>
        </is>
      </c>
      <c r="C5862" t="n">
        <v>0.034934</v>
      </c>
      <c r="D5862" t="n">
        <v>-51.0694</v>
      </c>
      <c r="E5862" t="inlineStr">
        <is>
          <t>2025-11</t>
        </is>
      </c>
      <c r="F5862" t="n">
        <v>0</v>
      </c>
    </row>
    <row r="5863">
      <c r="A5863" t="inlineStr">
        <is>
          <t>Milho</t>
        </is>
      </c>
      <c r="B5863" t="inlineStr">
        <is>
          <t>Macapá - AP</t>
        </is>
      </c>
      <c r="C5863" t="n">
        <v>0.034934</v>
      </c>
      <c r="D5863" t="n">
        <v>-51.0694</v>
      </c>
      <c r="E5863" t="inlineStr">
        <is>
          <t>2025-12</t>
        </is>
      </c>
      <c r="F5863" t="n">
        <v>0</v>
      </c>
    </row>
    <row r="5864">
      <c r="A5864" t="inlineStr">
        <is>
          <t>Milho</t>
        </is>
      </c>
      <c r="B5864" t="inlineStr">
        <is>
          <t>Correntina - BA</t>
        </is>
      </c>
      <c r="C5864" t="n">
        <v>-13.3477</v>
      </c>
      <c r="D5864" t="n">
        <v>-44.6333</v>
      </c>
      <c r="E5864" t="inlineStr">
        <is>
          <t>2025-07</t>
        </is>
      </c>
      <c r="F5864" t="n">
        <v>0</v>
      </c>
    </row>
    <row r="5865">
      <c r="A5865" t="inlineStr">
        <is>
          <t>Milho</t>
        </is>
      </c>
      <c r="B5865" t="inlineStr">
        <is>
          <t>Correntina - BA</t>
        </is>
      </c>
      <c r="C5865" t="n">
        <v>-13.3477</v>
      </c>
      <c r="D5865" t="n">
        <v>-44.6333</v>
      </c>
      <c r="E5865" t="inlineStr">
        <is>
          <t>2025-08</t>
        </is>
      </c>
      <c r="F5865" t="n">
        <v>15720.73922056815</v>
      </c>
    </row>
    <row r="5866">
      <c r="A5866" t="inlineStr">
        <is>
          <t>Milho</t>
        </is>
      </c>
      <c r="B5866" t="inlineStr">
        <is>
          <t>Correntina - BA</t>
        </is>
      </c>
      <c r="C5866" t="n">
        <v>-13.3477</v>
      </c>
      <c r="D5866" t="n">
        <v>-44.6333</v>
      </c>
      <c r="E5866" t="inlineStr">
        <is>
          <t>2025-09</t>
        </is>
      </c>
      <c r="F5866" t="n">
        <v>33720.98271923429</v>
      </c>
    </row>
    <row r="5867">
      <c r="A5867" t="inlineStr">
        <is>
          <t>Milho</t>
        </is>
      </c>
      <c r="B5867" t="inlineStr">
        <is>
          <t>Correntina - BA</t>
        </is>
      </c>
      <c r="C5867" t="n">
        <v>-13.3477</v>
      </c>
      <c r="D5867" t="n">
        <v>-44.6333</v>
      </c>
      <c r="E5867" t="inlineStr">
        <is>
          <t>2025-10</t>
        </is>
      </c>
      <c r="F5867" t="n">
        <v>222011.8134686296</v>
      </c>
    </row>
    <row r="5868">
      <c r="A5868" t="inlineStr">
        <is>
          <t>Milho</t>
        </is>
      </c>
      <c r="B5868" t="inlineStr">
        <is>
          <t>Correntina - BA</t>
        </is>
      </c>
      <c r="C5868" t="n">
        <v>-13.3477</v>
      </c>
      <c r="D5868" t="n">
        <v>-44.6333</v>
      </c>
      <c r="E5868" t="inlineStr">
        <is>
          <t>2025-11</t>
        </is>
      </c>
      <c r="F5868" t="n">
        <v>304207.7964824107</v>
      </c>
    </row>
    <row r="5869">
      <c r="A5869" t="inlineStr">
        <is>
          <t>Milho</t>
        </is>
      </c>
      <c r="B5869" t="inlineStr">
        <is>
          <t>Correntina - BA</t>
        </is>
      </c>
      <c r="C5869" t="n">
        <v>-13.3477</v>
      </c>
      <c r="D5869" t="n">
        <v>-44.6333</v>
      </c>
      <c r="E5869" t="inlineStr">
        <is>
          <t>2025-12</t>
        </is>
      </c>
      <c r="F5869" t="n">
        <v>0</v>
      </c>
    </row>
    <row r="5870">
      <c r="A5870" t="inlineStr">
        <is>
          <t>Milho</t>
        </is>
      </c>
      <c r="B5870" t="inlineStr">
        <is>
          <t>Crateús - CE</t>
        </is>
      </c>
      <c r="C5870" t="n">
        <v>-5.16768</v>
      </c>
      <c r="D5870" t="n">
        <v>-40.6536</v>
      </c>
      <c r="E5870" t="inlineStr">
        <is>
          <t>2025-07</t>
        </is>
      </c>
      <c r="F5870" t="n">
        <v>187250.1912877405</v>
      </c>
    </row>
    <row r="5871">
      <c r="A5871" t="inlineStr">
        <is>
          <t>Milho</t>
        </is>
      </c>
      <c r="B5871" t="inlineStr">
        <is>
          <t>Crateús - CE</t>
        </is>
      </c>
      <c r="C5871" t="n">
        <v>-5.16768</v>
      </c>
      <c r="D5871" t="n">
        <v>-40.6536</v>
      </c>
      <c r="E5871" t="inlineStr">
        <is>
          <t>2025-08</t>
        </is>
      </c>
      <c r="F5871" t="n">
        <v>96043.23614485751</v>
      </c>
    </row>
    <row r="5872">
      <c r="A5872" t="inlineStr">
        <is>
          <t>Milho</t>
        </is>
      </c>
      <c r="B5872" t="inlineStr">
        <is>
          <t>Crateús - CE</t>
        </is>
      </c>
      <c r="C5872" t="n">
        <v>-5.16768</v>
      </c>
      <c r="D5872" t="n">
        <v>-40.6536</v>
      </c>
      <c r="E5872" t="inlineStr">
        <is>
          <t>2025-09</t>
        </is>
      </c>
      <c r="F5872" t="n">
        <v>51503.18093984383</v>
      </c>
    </row>
    <row r="5873">
      <c r="A5873" t="inlineStr">
        <is>
          <t>Milho</t>
        </is>
      </c>
      <c r="B5873" t="inlineStr">
        <is>
          <t>Crateús - CE</t>
        </is>
      </c>
      <c r="C5873" t="n">
        <v>-5.16768</v>
      </c>
      <c r="D5873" t="n">
        <v>-40.6536</v>
      </c>
      <c r="E5873" t="inlineStr">
        <is>
          <t>2025-10</t>
        </is>
      </c>
      <c r="F5873" t="n">
        <v>0</v>
      </c>
    </row>
    <row r="5874">
      <c r="A5874" t="inlineStr">
        <is>
          <t>Milho</t>
        </is>
      </c>
      <c r="B5874" t="inlineStr">
        <is>
          <t>Crateús - CE</t>
        </is>
      </c>
      <c r="C5874" t="n">
        <v>-5.16768</v>
      </c>
      <c r="D5874" t="n">
        <v>-40.6536</v>
      </c>
      <c r="E5874" t="inlineStr">
        <is>
          <t>2025-11</t>
        </is>
      </c>
      <c r="F5874" t="n">
        <v>0</v>
      </c>
    </row>
    <row r="5875">
      <c r="A5875" t="inlineStr">
        <is>
          <t>Milho</t>
        </is>
      </c>
      <c r="B5875" t="inlineStr">
        <is>
          <t>Crateús - CE</t>
        </is>
      </c>
      <c r="C5875" t="n">
        <v>-5.16768</v>
      </c>
      <c r="D5875" t="n">
        <v>-40.6536</v>
      </c>
      <c r="E5875" t="inlineStr">
        <is>
          <t>2025-12</t>
        </is>
      </c>
      <c r="F5875" t="n">
        <v>0</v>
      </c>
    </row>
    <row r="5876">
      <c r="A5876" t="inlineStr">
        <is>
          <t>Milho</t>
        </is>
      </c>
      <c r="B5876" t="inlineStr">
        <is>
          <t>Brasília - DF</t>
        </is>
      </c>
      <c r="C5876" t="n">
        <v>-15.7795</v>
      </c>
      <c r="D5876" t="n">
        <v>-47.9297</v>
      </c>
      <c r="E5876" t="inlineStr">
        <is>
          <t>2025-07</t>
        </is>
      </c>
      <c r="F5876" t="n">
        <v>54698.20582894072</v>
      </c>
    </row>
    <row r="5877">
      <c r="A5877" t="inlineStr">
        <is>
          <t>Milho</t>
        </is>
      </c>
      <c r="B5877" t="inlineStr">
        <is>
          <t>Brasília - DF</t>
        </is>
      </c>
      <c r="C5877" t="n">
        <v>-15.7795</v>
      </c>
      <c r="D5877" t="n">
        <v>-47.9297</v>
      </c>
      <c r="E5877" t="inlineStr">
        <is>
          <t>2025-08</t>
        </is>
      </c>
      <c r="F5877" t="n">
        <v>39277.66229877326</v>
      </c>
    </row>
    <row r="5878">
      <c r="A5878" t="inlineStr">
        <is>
          <t>Milho</t>
        </is>
      </c>
      <c r="B5878" t="inlineStr">
        <is>
          <t>Brasília - DF</t>
        </is>
      </c>
      <c r="C5878" t="n">
        <v>-15.7795</v>
      </c>
      <c r="D5878" t="n">
        <v>-47.9297</v>
      </c>
      <c r="E5878" t="inlineStr">
        <is>
          <t>2025-09</t>
        </is>
      </c>
      <c r="F5878" t="n">
        <v>0</v>
      </c>
    </row>
    <row r="5879">
      <c r="A5879" t="inlineStr">
        <is>
          <t>Milho</t>
        </is>
      </c>
      <c r="B5879" t="inlineStr">
        <is>
          <t>Brasília - DF</t>
        </is>
      </c>
      <c r="C5879" t="n">
        <v>-15.7795</v>
      </c>
      <c r="D5879" t="n">
        <v>-47.9297</v>
      </c>
      <c r="E5879" t="inlineStr">
        <is>
          <t>2025-10</t>
        </is>
      </c>
      <c r="F5879" t="n">
        <v>0</v>
      </c>
    </row>
    <row r="5880">
      <c r="A5880" t="inlineStr">
        <is>
          <t>Milho</t>
        </is>
      </c>
      <c r="B5880" t="inlineStr">
        <is>
          <t>Brasília - DF</t>
        </is>
      </c>
      <c r="C5880" t="n">
        <v>-15.7795</v>
      </c>
      <c r="D5880" t="n">
        <v>-47.9297</v>
      </c>
      <c r="E5880" t="inlineStr">
        <is>
          <t>2025-11</t>
        </is>
      </c>
      <c r="F5880" t="n">
        <v>0</v>
      </c>
    </row>
    <row r="5881">
      <c r="A5881" t="inlineStr">
        <is>
          <t>Milho</t>
        </is>
      </c>
      <c r="B5881" t="inlineStr">
        <is>
          <t>Brasília - DF</t>
        </is>
      </c>
      <c r="C5881" t="n">
        <v>-15.7795</v>
      </c>
      <c r="D5881" t="n">
        <v>-47.9297</v>
      </c>
      <c r="E5881" t="inlineStr">
        <is>
          <t>2025-12</t>
        </is>
      </c>
      <c r="F5881" t="n">
        <v>0</v>
      </c>
    </row>
    <row r="5882">
      <c r="A5882" t="inlineStr">
        <is>
          <t>Milho</t>
        </is>
      </c>
      <c r="B5882" t="inlineStr">
        <is>
          <t>Pinheiros - ES</t>
        </is>
      </c>
      <c r="C5882" t="n">
        <v>-18.4141</v>
      </c>
      <c r="D5882" t="n">
        <v>-40.2171</v>
      </c>
      <c r="E5882" t="inlineStr">
        <is>
          <t>2025-07</t>
        </is>
      </c>
      <c r="F5882" t="n">
        <v>4275.262064790779</v>
      </c>
    </row>
    <row r="5883">
      <c r="A5883" t="inlineStr">
        <is>
          <t>Milho</t>
        </is>
      </c>
      <c r="B5883" t="inlineStr">
        <is>
          <t>Pinheiros - ES</t>
        </is>
      </c>
      <c r="C5883" t="n">
        <v>-18.4141</v>
      </c>
      <c r="D5883" t="n">
        <v>-40.2171</v>
      </c>
      <c r="E5883" t="inlineStr">
        <is>
          <t>2025-08</t>
        </is>
      </c>
      <c r="F5883" t="n">
        <v>2192.841573330521</v>
      </c>
    </row>
    <row r="5884">
      <c r="A5884" t="inlineStr">
        <is>
          <t>Milho</t>
        </is>
      </c>
      <c r="B5884" t="inlineStr">
        <is>
          <t>Pinheiros - ES</t>
        </is>
      </c>
      <c r="C5884" t="n">
        <v>-18.4141</v>
      </c>
      <c r="D5884" t="n">
        <v>-40.2171</v>
      </c>
      <c r="E5884" t="inlineStr">
        <is>
          <t>2025-09</t>
        </is>
      </c>
      <c r="F5884" t="n">
        <v>1175.911192260517</v>
      </c>
    </row>
    <row r="5885">
      <c r="A5885" t="inlineStr">
        <is>
          <t>Milho</t>
        </is>
      </c>
      <c r="B5885" t="inlineStr">
        <is>
          <t>Pinheiros - ES</t>
        </is>
      </c>
      <c r="C5885" t="n">
        <v>-18.4141</v>
      </c>
      <c r="D5885" t="n">
        <v>-40.2171</v>
      </c>
      <c r="E5885" t="inlineStr">
        <is>
          <t>2025-10</t>
        </is>
      </c>
      <c r="F5885" t="n">
        <v>0</v>
      </c>
    </row>
    <row r="5886">
      <c r="A5886" t="inlineStr">
        <is>
          <t>Milho</t>
        </is>
      </c>
      <c r="B5886" t="inlineStr">
        <is>
          <t>Pinheiros - ES</t>
        </is>
      </c>
      <c r="C5886" t="n">
        <v>-18.4141</v>
      </c>
      <c r="D5886" t="n">
        <v>-40.2171</v>
      </c>
      <c r="E5886" t="inlineStr">
        <is>
          <t>2025-11</t>
        </is>
      </c>
      <c r="F5886" t="n">
        <v>0</v>
      </c>
    </row>
    <row r="5887">
      <c r="A5887" t="inlineStr">
        <is>
          <t>Milho</t>
        </is>
      </c>
      <c r="B5887" t="inlineStr">
        <is>
          <t>Pinheiros - ES</t>
        </is>
      </c>
      <c r="C5887" t="n">
        <v>-18.4141</v>
      </c>
      <c r="D5887" t="n">
        <v>-40.2171</v>
      </c>
      <c r="E5887" t="inlineStr">
        <is>
          <t>2025-12</t>
        </is>
      </c>
      <c r="F5887" t="n">
        <v>0</v>
      </c>
    </row>
    <row r="5888">
      <c r="A5888" t="inlineStr">
        <is>
          <t>Milho</t>
        </is>
      </c>
      <c r="B5888" t="inlineStr">
        <is>
          <t>Rio Verde - GO</t>
        </is>
      </c>
      <c r="C5888" t="n">
        <v>-17.7923</v>
      </c>
      <c r="D5888" t="n">
        <v>-50.9192</v>
      </c>
      <c r="E5888" t="inlineStr">
        <is>
          <t>2025-07</t>
        </is>
      </c>
      <c r="F5888" t="n">
        <v>1765579.943864166</v>
      </c>
    </row>
    <row r="5889">
      <c r="A5889" t="inlineStr">
        <is>
          <t>Milho</t>
        </is>
      </c>
      <c r="B5889" t="inlineStr">
        <is>
          <t>Rio Verde - GO</t>
        </is>
      </c>
      <c r="C5889" t="n">
        <v>-17.7923</v>
      </c>
      <c r="D5889" t="n">
        <v>-50.9192</v>
      </c>
      <c r="E5889" t="inlineStr">
        <is>
          <t>2025-08</t>
        </is>
      </c>
      <c r="F5889" t="n">
        <v>1267826.82805826</v>
      </c>
    </row>
    <row r="5890">
      <c r="A5890" t="inlineStr">
        <is>
          <t>Milho</t>
        </is>
      </c>
      <c r="B5890" t="inlineStr">
        <is>
          <t>Rio Verde - GO</t>
        </is>
      </c>
      <c r="C5890" t="n">
        <v>-17.7923</v>
      </c>
      <c r="D5890" t="n">
        <v>-50.9192</v>
      </c>
      <c r="E5890" t="inlineStr">
        <is>
          <t>2025-09</t>
        </is>
      </c>
      <c r="F5890" t="n">
        <v>679872.0778982118</v>
      </c>
    </row>
    <row r="5891">
      <c r="A5891" t="inlineStr">
        <is>
          <t>Milho</t>
        </is>
      </c>
      <c r="B5891" t="inlineStr">
        <is>
          <t>Rio Verde - GO</t>
        </is>
      </c>
      <c r="C5891" t="n">
        <v>-17.7923</v>
      </c>
      <c r="D5891" t="n">
        <v>-50.9192</v>
      </c>
      <c r="E5891" t="inlineStr">
        <is>
          <t>2025-10</t>
        </is>
      </c>
      <c r="F5891" t="n">
        <v>0</v>
      </c>
    </row>
    <row r="5892">
      <c r="A5892" t="inlineStr">
        <is>
          <t>Milho</t>
        </is>
      </c>
      <c r="B5892" t="inlineStr">
        <is>
          <t>Rio Verde - GO</t>
        </is>
      </c>
      <c r="C5892" t="n">
        <v>-17.7923</v>
      </c>
      <c r="D5892" t="n">
        <v>-50.9192</v>
      </c>
      <c r="E5892" t="inlineStr">
        <is>
          <t>2025-11</t>
        </is>
      </c>
      <c r="F5892" t="n">
        <v>0</v>
      </c>
    </row>
    <row r="5893">
      <c r="A5893" t="inlineStr">
        <is>
          <t>Milho</t>
        </is>
      </c>
      <c r="B5893" t="inlineStr">
        <is>
          <t>Rio Verde - GO</t>
        </is>
      </c>
      <c r="C5893" t="n">
        <v>-17.7923</v>
      </c>
      <c r="D5893" t="n">
        <v>-50.9192</v>
      </c>
      <c r="E5893" t="inlineStr">
        <is>
          <t>2025-12</t>
        </is>
      </c>
      <c r="F5893" t="n">
        <v>0</v>
      </c>
    </row>
    <row r="5894">
      <c r="A5894" t="inlineStr">
        <is>
          <t>Milho</t>
        </is>
      </c>
      <c r="B5894" t="inlineStr">
        <is>
          <t>Balsas - MA</t>
        </is>
      </c>
      <c r="C5894" t="n">
        <v>-7.53214</v>
      </c>
      <c r="D5894" t="n">
        <v>-46.0372</v>
      </c>
      <c r="E5894" t="inlineStr">
        <is>
          <t>2025-07</t>
        </is>
      </c>
      <c r="F5894" t="n">
        <v>249092.5362916903</v>
      </c>
    </row>
    <row r="5895">
      <c r="A5895" t="inlineStr">
        <is>
          <t>Milho</t>
        </is>
      </c>
      <c r="B5895" t="inlineStr">
        <is>
          <t>Balsas - MA</t>
        </is>
      </c>
      <c r="C5895" t="n">
        <v>-7.53214</v>
      </c>
      <c r="D5895" t="n">
        <v>-46.0372</v>
      </c>
      <c r="E5895" t="inlineStr">
        <is>
          <t>2025-08</t>
        </is>
      </c>
      <c r="F5895" t="n">
        <v>178868.2530503287</v>
      </c>
    </row>
    <row r="5896">
      <c r="A5896" t="inlineStr">
        <is>
          <t>Milho</t>
        </is>
      </c>
      <c r="B5896" t="inlineStr">
        <is>
          <t>Balsas - MA</t>
        </is>
      </c>
      <c r="C5896" t="n">
        <v>-7.53214</v>
      </c>
      <c r="D5896" t="n">
        <v>-46.0372</v>
      </c>
      <c r="E5896" t="inlineStr">
        <is>
          <t>2025-09</t>
        </is>
      </c>
      <c r="F5896" t="n">
        <v>0</v>
      </c>
    </row>
    <row r="5897">
      <c r="A5897" t="inlineStr">
        <is>
          <t>Milho</t>
        </is>
      </c>
      <c r="B5897" t="inlineStr">
        <is>
          <t>Balsas - MA</t>
        </is>
      </c>
      <c r="C5897" t="n">
        <v>-7.53214</v>
      </c>
      <c r="D5897" t="n">
        <v>-46.0372</v>
      </c>
      <c r="E5897" t="inlineStr">
        <is>
          <t>2025-10</t>
        </is>
      </c>
      <c r="F5897" t="n">
        <v>0</v>
      </c>
    </row>
    <row r="5898">
      <c r="A5898" t="inlineStr">
        <is>
          <t>Milho</t>
        </is>
      </c>
      <c r="B5898" t="inlineStr">
        <is>
          <t>Balsas - MA</t>
        </is>
      </c>
      <c r="C5898" t="n">
        <v>-7.53214</v>
      </c>
      <c r="D5898" t="n">
        <v>-46.0372</v>
      </c>
      <c r="E5898" t="inlineStr">
        <is>
          <t>2025-11</t>
        </is>
      </c>
      <c r="F5898" t="n">
        <v>0</v>
      </c>
    </row>
    <row r="5899">
      <c r="A5899" t="inlineStr">
        <is>
          <t>Milho</t>
        </is>
      </c>
      <c r="B5899" t="inlineStr">
        <is>
          <t>Balsas - MA</t>
        </is>
      </c>
      <c r="C5899" t="n">
        <v>-7.53214</v>
      </c>
      <c r="D5899" t="n">
        <v>-46.0372</v>
      </c>
      <c r="E5899" t="inlineStr">
        <is>
          <t>2025-12</t>
        </is>
      </c>
      <c r="F5899" t="n">
        <v>0</v>
      </c>
    </row>
    <row r="5900">
      <c r="A5900" t="inlineStr">
        <is>
          <t>Milho</t>
        </is>
      </c>
      <c r="B5900" t="inlineStr">
        <is>
          <t>Unaí - MG</t>
        </is>
      </c>
      <c r="C5900" t="n">
        <v>-16.3592</v>
      </c>
      <c r="D5900" t="n">
        <v>-46.9022</v>
      </c>
      <c r="E5900" t="inlineStr">
        <is>
          <t>2025-07</t>
        </is>
      </c>
      <c r="F5900" t="n">
        <v>708683.6292712137</v>
      </c>
    </row>
    <row r="5901">
      <c r="A5901" t="inlineStr">
        <is>
          <t>Milho</t>
        </is>
      </c>
      <c r="B5901" t="inlineStr">
        <is>
          <t>Unaí - MG</t>
        </is>
      </c>
      <c r="C5901" t="n">
        <v>-16.3592</v>
      </c>
      <c r="D5901" t="n">
        <v>-46.9022</v>
      </c>
      <c r="E5901" t="inlineStr">
        <is>
          <t>2025-08</t>
        </is>
      </c>
      <c r="F5901" t="n">
        <v>363493.7229703437</v>
      </c>
    </row>
    <row r="5902">
      <c r="A5902" t="inlineStr">
        <is>
          <t>Milho</t>
        </is>
      </c>
      <c r="B5902" t="inlineStr">
        <is>
          <t>Unaí - MG</t>
        </is>
      </c>
      <c r="C5902" t="n">
        <v>-16.3592</v>
      </c>
      <c r="D5902" t="n">
        <v>-46.9022</v>
      </c>
      <c r="E5902" t="inlineStr">
        <is>
          <t>2025-09</t>
        </is>
      </c>
      <c r="F5902" t="n">
        <v>194923.492128097</v>
      </c>
    </row>
    <row r="5903">
      <c r="A5903" t="inlineStr">
        <is>
          <t>Milho</t>
        </is>
      </c>
      <c r="B5903" t="inlineStr">
        <is>
          <t>Unaí - MG</t>
        </is>
      </c>
      <c r="C5903" t="n">
        <v>-16.3592</v>
      </c>
      <c r="D5903" t="n">
        <v>-46.9022</v>
      </c>
      <c r="E5903" t="inlineStr">
        <is>
          <t>2025-10</t>
        </is>
      </c>
      <c r="F5903" t="n">
        <v>0</v>
      </c>
    </row>
    <row r="5904">
      <c r="A5904" t="inlineStr">
        <is>
          <t>Milho</t>
        </is>
      </c>
      <c r="B5904" t="inlineStr">
        <is>
          <t>Unaí - MG</t>
        </is>
      </c>
      <c r="C5904" t="n">
        <v>-16.3592</v>
      </c>
      <c r="D5904" t="n">
        <v>-46.9022</v>
      </c>
      <c r="E5904" t="inlineStr">
        <is>
          <t>2025-11</t>
        </is>
      </c>
      <c r="F5904" t="n">
        <v>0</v>
      </c>
    </row>
    <row r="5905">
      <c r="A5905" t="inlineStr">
        <is>
          <t>Milho</t>
        </is>
      </c>
      <c r="B5905" t="inlineStr">
        <is>
          <t>Unaí - MG</t>
        </is>
      </c>
      <c r="C5905" t="n">
        <v>-16.3592</v>
      </c>
      <c r="D5905" t="n">
        <v>-46.9022</v>
      </c>
      <c r="E5905" t="inlineStr">
        <is>
          <t>2025-12</t>
        </is>
      </c>
      <c r="F5905" t="n">
        <v>0</v>
      </c>
    </row>
    <row r="5906">
      <c r="A5906" t="inlineStr">
        <is>
          <t>Milho</t>
        </is>
      </c>
      <c r="B5906" t="inlineStr">
        <is>
          <t>Maracaju - MS</t>
        </is>
      </c>
      <c r="C5906" t="n">
        <v>-21.6105</v>
      </c>
      <c r="D5906" t="n">
        <v>-55.1678</v>
      </c>
      <c r="E5906" t="inlineStr">
        <is>
          <t>2025-07</t>
        </is>
      </c>
      <c r="F5906" t="n">
        <v>3248083.649181223</v>
      </c>
    </row>
    <row r="5907">
      <c r="A5907" t="inlineStr">
        <is>
          <t>Milho</t>
        </is>
      </c>
      <c r="B5907" t="inlineStr">
        <is>
          <t>Maracaju - MS</t>
        </is>
      </c>
      <c r="C5907" t="n">
        <v>-21.6105</v>
      </c>
      <c r="D5907" t="n">
        <v>-55.1678</v>
      </c>
      <c r="E5907" t="inlineStr">
        <is>
          <t>2025-08</t>
        </is>
      </c>
      <c r="F5907" t="n">
        <v>1665987.429925723</v>
      </c>
    </row>
    <row r="5908">
      <c r="A5908" t="inlineStr">
        <is>
          <t>Milho</t>
        </is>
      </c>
      <c r="B5908" t="inlineStr">
        <is>
          <t>Maracaju - MS</t>
        </is>
      </c>
      <c r="C5908" t="n">
        <v>-21.6105</v>
      </c>
      <c r="D5908" t="n">
        <v>-55.1678</v>
      </c>
      <c r="E5908" t="inlineStr">
        <is>
          <t>2025-09</t>
        </is>
      </c>
      <c r="F5908" t="n">
        <v>1786771.364462487</v>
      </c>
    </row>
    <row r="5909">
      <c r="A5909" t="inlineStr">
        <is>
          <t>Milho</t>
        </is>
      </c>
      <c r="B5909" t="inlineStr">
        <is>
          <t>Maracaju - MS</t>
        </is>
      </c>
      <c r="C5909" t="n">
        <v>-21.6105</v>
      </c>
      <c r="D5909" t="n">
        <v>-55.1678</v>
      </c>
      <c r="E5909" t="inlineStr">
        <is>
          <t>2025-10</t>
        </is>
      </c>
      <c r="F5909" t="n">
        <v>0</v>
      </c>
    </row>
    <row r="5910">
      <c r="A5910" t="inlineStr">
        <is>
          <t>Milho</t>
        </is>
      </c>
      <c r="B5910" t="inlineStr">
        <is>
          <t>Maracaju - MS</t>
        </is>
      </c>
      <c r="C5910" t="n">
        <v>-21.6105</v>
      </c>
      <c r="D5910" t="n">
        <v>-55.1678</v>
      </c>
      <c r="E5910" t="inlineStr">
        <is>
          <t>2025-11</t>
        </is>
      </c>
      <c r="F5910" t="n">
        <v>0</v>
      </c>
    </row>
    <row r="5911">
      <c r="A5911" t="inlineStr">
        <is>
          <t>Milho</t>
        </is>
      </c>
      <c r="B5911" t="inlineStr">
        <is>
          <t>Maracaju - MS</t>
        </is>
      </c>
      <c r="C5911" t="n">
        <v>-21.6105</v>
      </c>
      <c r="D5911" t="n">
        <v>-55.1678</v>
      </c>
      <c r="E5911" t="inlineStr">
        <is>
          <t>2025-12</t>
        </is>
      </c>
      <c r="F5911" t="n">
        <v>0</v>
      </c>
    </row>
    <row r="5912">
      <c r="A5912" t="inlineStr">
        <is>
          <t>Milho</t>
        </is>
      </c>
      <c r="B5912" t="inlineStr">
        <is>
          <t>Sorriso - MT</t>
        </is>
      </c>
      <c r="C5912" t="n">
        <v>-12.5425</v>
      </c>
      <c r="D5912" t="n">
        <v>-55.7211</v>
      </c>
      <c r="E5912" t="inlineStr">
        <is>
          <t>2025-07</t>
        </is>
      </c>
      <c r="F5912" t="n">
        <v>10044451.07338498</v>
      </c>
    </row>
    <row r="5913">
      <c r="A5913" t="inlineStr">
        <is>
          <t>Milho</t>
        </is>
      </c>
      <c r="B5913" t="inlineStr">
        <is>
          <t>Sorriso - MT</t>
        </is>
      </c>
      <c r="C5913" t="n">
        <v>-12.5425</v>
      </c>
      <c r="D5913" t="n">
        <v>-55.7211</v>
      </c>
      <c r="E5913" t="inlineStr">
        <is>
          <t>2025-08</t>
        </is>
      </c>
      <c r="F5913" t="n">
        <v>7212714.772962894</v>
      </c>
    </row>
    <row r="5914">
      <c r="A5914" t="inlineStr">
        <is>
          <t>Milho</t>
        </is>
      </c>
      <c r="B5914" t="inlineStr">
        <is>
          <t>Sorriso - MT</t>
        </is>
      </c>
      <c r="C5914" t="n">
        <v>-12.5425</v>
      </c>
      <c r="D5914" t="n">
        <v>-55.7211</v>
      </c>
      <c r="E5914" t="inlineStr">
        <is>
          <t>2025-09</t>
        </is>
      </c>
      <c r="F5914" t="n">
        <v>3867817.963350489</v>
      </c>
    </row>
    <row r="5915">
      <c r="A5915" t="inlineStr">
        <is>
          <t>Milho</t>
        </is>
      </c>
      <c r="B5915" t="inlineStr">
        <is>
          <t>Sorriso - MT</t>
        </is>
      </c>
      <c r="C5915" t="n">
        <v>-12.5425</v>
      </c>
      <c r="D5915" t="n">
        <v>-55.7211</v>
      </c>
      <c r="E5915" t="inlineStr">
        <is>
          <t>2025-10</t>
        </is>
      </c>
      <c r="F5915" t="n">
        <v>0</v>
      </c>
    </row>
    <row r="5916">
      <c r="A5916" t="inlineStr">
        <is>
          <t>Milho</t>
        </is>
      </c>
      <c r="B5916" t="inlineStr">
        <is>
          <t>Sorriso - MT</t>
        </is>
      </c>
      <c r="C5916" t="n">
        <v>-12.5425</v>
      </c>
      <c r="D5916" t="n">
        <v>-55.7211</v>
      </c>
      <c r="E5916" t="inlineStr">
        <is>
          <t>2025-11</t>
        </is>
      </c>
      <c r="F5916" t="n">
        <v>0</v>
      </c>
    </row>
    <row r="5917">
      <c r="A5917" t="inlineStr">
        <is>
          <t>Milho</t>
        </is>
      </c>
      <c r="B5917" t="inlineStr">
        <is>
          <t>Sorriso - MT</t>
        </is>
      </c>
      <c r="C5917" t="n">
        <v>-12.5425</v>
      </c>
      <c r="D5917" t="n">
        <v>-55.7211</v>
      </c>
      <c r="E5917" t="inlineStr">
        <is>
          <t>2025-12</t>
        </is>
      </c>
      <c r="F5917" t="n">
        <v>0</v>
      </c>
    </row>
    <row r="5918">
      <c r="A5918" t="inlineStr">
        <is>
          <t>Milho</t>
        </is>
      </c>
      <c r="B5918" t="inlineStr">
        <is>
          <t>Santana do Araguaia - PA</t>
        </is>
      </c>
      <c r="C5918" t="n">
        <v>-9.328099999999999</v>
      </c>
      <c r="D5918" t="n">
        <v>-50.35</v>
      </c>
      <c r="E5918" t="inlineStr">
        <is>
          <t>2025-07</t>
        </is>
      </c>
      <c r="F5918" t="n">
        <v>130822.480284018</v>
      </c>
    </row>
    <row r="5919">
      <c r="A5919" t="inlineStr">
        <is>
          <t>Milho</t>
        </is>
      </c>
      <c r="B5919" t="inlineStr">
        <is>
          <t>Santana do Araguaia - PA</t>
        </is>
      </c>
      <c r="C5919" t="n">
        <v>-9.328099999999999</v>
      </c>
      <c r="D5919" t="n">
        <v>-50.35</v>
      </c>
      <c r="E5919" t="inlineStr">
        <is>
          <t>2025-08</t>
        </is>
      </c>
      <c r="F5919" t="n">
        <v>156568.2433823958</v>
      </c>
    </row>
    <row r="5920">
      <c r="A5920" t="inlineStr">
        <is>
          <t>Milho</t>
        </is>
      </c>
      <c r="B5920" t="inlineStr">
        <is>
          <t>Santana do Araguaia - PA</t>
        </is>
      </c>
      <c r="C5920" t="n">
        <v>-9.328099999999999</v>
      </c>
      <c r="D5920" t="n">
        <v>-50.35</v>
      </c>
      <c r="E5920" t="inlineStr">
        <is>
          <t>2025-09</t>
        </is>
      </c>
      <c r="F5920" t="n">
        <v>167919.4265423303</v>
      </c>
    </row>
    <row r="5921">
      <c r="A5921" t="inlineStr">
        <is>
          <t>Milho</t>
        </is>
      </c>
      <c r="B5921" t="inlineStr">
        <is>
          <t>Santana do Araguaia - PA</t>
        </is>
      </c>
      <c r="C5921" t="n">
        <v>-9.328099999999999</v>
      </c>
      <c r="D5921" t="n">
        <v>-50.35</v>
      </c>
      <c r="E5921" t="inlineStr">
        <is>
          <t>2025-10</t>
        </is>
      </c>
      <c r="F5921" t="n">
        <v>473805.4138534599</v>
      </c>
    </row>
    <row r="5922">
      <c r="A5922" t="inlineStr">
        <is>
          <t>Milho</t>
        </is>
      </c>
      <c r="B5922" t="inlineStr">
        <is>
          <t>Santana do Araguaia - PA</t>
        </is>
      </c>
      <c r="C5922" t="n">
        <v>-9.328099999999999</v>
      </c>
      <c r="D5922" t="n">
        <v>-50.35</v>
      </c>
      <c r="E5922" t="inlineStr">
        <is>
          <t>2025-11</t>
        </is>
      </c>
      <c r="F5922" t="n">
        <v>1514854.983923561</v>
      </c>
    </row>
    <row r="5923">
      <c r="A5923" t="inlineStr">
        <is>
          <t>Milho</t>
        </is>
      </c>
      <c r="B5923" t="inlineStr">
        <is>
          <t>Santana do Araguaia - PA</t>
        </is>
      </c>
      <c r="C5923" t="n">
        <v>-9.328099999999999</v>
      </c>
      <c r="D5923" t="n">
        <v>-50.35</v>
      </c>
      <c r="E5923" t="inlineStr">
        <is>
          <t>2025-12</t>
        </is>
      </c>
      <c r="F5923" t="n">
        <v>0</v>
      </c>
    </row>
    <row r="5924">
      <c r="A5924" t="inlineStr">
        <is>
          <t>Milho</t>
        </is>
      </c>
      <c r="B5924" t="inlineStr">
        <is>
          <t>Sousa - PB</t>
        </is>
      </c>
      <c r="C5924" t="n">
        <v>-6.75148</v>
      </c>
      <c r="D5924" t="n">
        <v>-38.2311</v>
      </c>
      <c r="E5924" t="inlineStr">
        <is>
          <t>2025-07</t>
        </is>
      </c>
      <c r="F5924" t="n">
        <v>9670.554120719531</v>
      </c>
    </row>
    <row r="5925">
      <c r="A5925" t="inlineStr">
        <is>
          <t>Milho</t>
        </is>
      </c>
      <c r="B5925" t="inlineStr">
        <is>
          <t>Sousa - PB</t>
        </is>
      </c>
      <c r="C5925" t="n">
        <v>-6.75148</v>
      </c>
      <c r="D5925" t="n">
        <v>-38.2311</v>
      </c>
      <c r="E5925" t="inlineStr">
        <is>
          <t>2025-08</t>
        </is>
      </c>
      <c r="F5925" t="n">
        <v>11573.71170404585</v>
      </c>
    </row>
    <row r="5926">
      <c r="A5926" t="inlineStr">
        <is>
          <t>Milho</t>
        </is>
      </c>
      <c r="B5926" t="inlineStr">
        <is>
          <t>Sousa - PB</t>
        </is>
      </c>
      <c r="C5926" t="n">
        <v>-6.75148</v>
      </c>
      <c r="D5926" t="n">
        <v>-38.2311</v>
      </c>
      <c r="E5926" t="inlineStr">
        <is>
          <t>2025-09</t>
        </is>
      </c>
      <c r="F5926" t="n">
        <v>7447.682839091535</v>
      </c>
    </row>
    <row r="5927">
      <c r="A5927" t="inlineStr">
        <is>
          <t>Milho</t>
        </is>
      </c>
      <c r="B5927" t="inlineStr">
        <is>
          <t>Sousa - PB</t>
        </is>
      </c>
      <c r="C5927" t="n">
        <v>-6.75148</v>
      </c>
      <c r="D5927" t="n">
        <v>-38.2311</v>
      </c>
      <c r="E5927" t="inlineStr">
        <is>
          <t>2025-10</t>
        </is>
      </c>
      <c r="F5927" t="n">
        <v>21014.55753206448</v>
      </c>
    </row>
    <row r="5928">
      <c r="A5928" t="inlineStr">
        <is>
          <t>Milho</t>
        </is>
      </c>
      <c r="B5928" t="inlineStr">
        <is>
          <t>Sousa - PB</t>
        </is>
      </c>
      <c r="C5928" t="n">
        <v>-6.75148</v>
      </c>
      <c r="D5928" t="n">
        <v>-38.2311</v>
      </c>
      <c r="E5928" t="inlineStr">
        <is>
          <t>2025-11</t>
        </is>
      </c>
      <c r="F5928" t="n">
        <v>33593.96735622994</v>
      </c>
    </row>
    <row r="5929">
      <c r="A5929" t="inlineStr">
        <is>
          <t>Milho</t>
        </is>
      </c>
      <c r="B5929" t="inlineStr">
        <is>
          <t>Sousa - PB</t>
        </is>
      </c>
      <c r="C5929" t="n">
        <v>-6.75148</v>
      </c>
      <c r="D5929" t="n">
        <v>-38.2311</v>
      </c>
      <c r="E5929" t="inlineStr">
        <is>
          <t>2025-12</t>
        </is>
      </c>
      <c r="F5929" t="n">
        <v>0</v>
      </c>
    </row>
    <row r="5930">
      <c r="A5930" t="inlineStr">
        <is>
          <t>Milho</t>
        </is>
      </c>
      <c r="B5930" t="inlineStr">
        <is>
          <t>Exu - PE</t>
        </is>
      </c>
      <c r="C5930" t="n">
        <v>-7.50364</v>
      </c>
      <c r="D5930" t="n">
        <v>-39.7238</v>
      </c>
      <c r="E5930" t="inlineStr">
        <is>
          <t>2025-07</t>
        </is>
      </c>
      <c r="F5930" t="n">
        <v>8087.520433279128</v>
      </c>
    </row>
    <row r="5931">
      <c r="A5931" t="inlineStr">
        <is>
          <t>Milho</t>
        </is>
      </c>
      <c r="B5931" t="inlineStr">
        <is>
          <t>Exu - PE</t>
        </is>
      </c>
      <c r="C5931" t="n">
        <v>-7.50364</v>
      </c>
      <c r="D5931" t="n">
        <v>-39.7238</v>
      </c>
      <c r="E5931" t="inlineStr">
        <is>
          <t>2025-08</t>
        </is>
      </c>
      <c r="F5931" t="n">
        <v>22584.6558217946</v>
      </c>
    </row>
    <row r="5932">
      <c r="A5932" t="inlineStr">
        <is>
          <t>Milho</t>
        </is>
      </c>
      <c r="B5932" t="inlineStr">
        <is>
          <t>Exu - PE</t>
        </is>
      </c>
      <c r="C5932" t="n">
        <v>-7.50364</v>
      </c>
      <c r="D5932" t="n">
        <v>-39.7238</v>
      </c>
      <c r="E5932" t="inlineStr">
        <is>
          <t>2025-09</t>
        </is>
      </c>
      <c r="F5932" t="n">
        <v>10380.87483402895</v>
      </c>
    </row>
    <row r="5933">
      <c r="A5933" t="inlineStr">
        <is>
          <t>Milho</t>
        </is>
      </c>
      <c r="B5933" t="inlineStr">
        <is>
          <t>Exu - PE</t>
        </is>
      </c>
      <c r="C5933" t="n">
        <v>-7.50364</v>
      </c>
      <c r="D5933" t="n">
        <v>-39.7238</v>
      </c>
      <c r="E5933" t="inlineStr">
        <is>
          <t>2025-10</t>
        </is>
      </c>
      <c r="F5933" t="n">
        <v>29290.92123631185</v>
      </c>
    </row>
    <row r="5934">
      <c r="A5934" t="inlineStr">
        <is>
          <t>Milho</t>
        </is>
      </c>
      <c r="B5934" t="inlineStr">
        <is>
          <t>Exu - PE</t>
        </is>
      </c>
      <c r="C5934" t="n">
        <v>-7.50364</v>
      </c>
      <c r="D5934" t="n">
        <v>-39.7238</v>
      </c>
      <c r="E5934" t="inlineStr">
        <is>
          <t>2025-11</t>
        </is>
      </c>
      <c r="F5934" t="n">
        <v>93649.20011712413</v>
      </c>
    </row>
    <row r="5935">
      <c r="A5935" t="inlineStr">
        <is>
          <t>Milho</t>
        </is>
      </c>
      <c r="B5935" t="inlineStr">
        <is>
          <t>Exu - PE</t>
        </is>
      </c>
      <c r="C5935" t="n">
        <v>-7.50364</v>
      </c>
      <c r="D5935" t="n">
        <v>-39.7238</v>
      </c>
      <c r="E5935" t="inlineStr">
        <is>
          <t>2025-12</t>
        </is>
      </c>
      <c r="F5935" t="n">
        <v>0</v>
      </c>
    </row>
    <row r="5936">
      <c r="A5936" t="inlineStr">
        <is>
          <t>Milho</t>
        </is>
      </c>
      <c r="B5936" t="inlineStr">
        <is>
          <t>Baixa Grande do Ribeiro - PI</t>
        </is>
      </c>
      <c r="C5936" t="n">
        <v>-7.84903</v>
      </c>
      <c r="D5936" t="n">
        <v>-45.219</v>
      </c>
      <c r="E5936" t="inlineStr">
        <is>
          <t>2025-07</t>
        </is>
      </c>
      <c r="F5936" t="n">
        <v>104777.1807340833</v>
      </c>
    </row>
    <row r="5937">
      <c r="A5937" t="inlineStr">
        <is>
          <t>Milho</t>
        </is>
      </c>
      <c r="B5937" t="inlineStr">
        <is>
          <t>Baixa Grande do Ribeiro - PI</t>
        </is>
      </c>
      <c r="C5937" t="n">
        <v>-7.84903</v>
      </c>
      <c r="D5937" t="n">
        <v>-45.219</v>
      </c>
      <c r="E5937" t="inlineStr">
        <is>
          <t>2025-08</t>
        </is>
      </c>
      <c r="F5937" t="n">
        <v>75238.34939597607</v>
      </c>
    </row>
    <row r="5938">
      <c r="A5938" t="inlineStr">
        <is>
          <t>Milho</t>
        </is>
      </c>
      <c r="B5938" t="inlineStr">
        <is>
          <t>Baixa Grande do Ribeiro - PI</t>
        </is>
      </c>
      <c r="C5938" t="n">
        <v>-7.84903</v>
      </c>
      <c r="D5938" t="n">
        <v>-45.219</v>
      </c>
      <c r="E5938" t="inlineStr">
        <is>
          <t>2025-09</t>
        </is>
      </c>
      <c r="F5938" t="n">
        <v>0</v>
      </c>
    </row>
    <row r="5939">
      <c r="A5939" t="inlineStr">
        <is>
          <t>Milho</t>
        </is>
      </c>
      <c r="B5939" t="inlineStr">
        <is>
          <t>Baixa Grande do Ribeiro - PI</t>
        </is>
      </c>
      <c r="C5939" t="n">
        <v>-7.84903</v>
      </c>
      <c r="D5939" t="n">
        <v>-45.219</v>
      </c>
      <c r="E5939" t="inlineStr">
        <is>
          <t>2025-10</t>
        </is>
      </c>
      <c r="F5939" t="n">
        <v>0</v>
      </c>
    </row>
    <row r="5940">
      <c r="A5940" t="inlineStr">
        <is>
          <t>Milho</t>
        </is>
      </c>
      <c r="B5940" t="inlineStr">
        <is>
          <t>Baixa Grande do Ribeiro - PI</t>
        </is>
      </c>
      <c r="C5940" t="n">
        <v>-7.84903</v>
      </c>
      <c r="D5940" t="n">
        <v>-45.219</v>
      </c>
      <c r="E5940" t="inlineStr">
        <is>
          <t>2025-11</t>
        </is>
      </c>
      <c r="F5940" t="n">
        <v>0</v>
      </c>
    </row>
    <row r="5941">
      <c r="A5941" t="inlineStr">
        <is>
          <t>Milho</t>
        </is>
      </c>
      <c r="B5941" t="inlineStr">
        <is>
          <t>Baixa Grande do Ribeiro - PI</t>
        </is>
      </c>
      <c r="C5941" t="n">
        <v>-7.84903</v>
      </c>
      <c r="D5941" t="n">
        <v>-45.219</v>
      </c>
      <c r="E5941" t="inlineStr">
        <is>
          <t>2025-12</t>
        </is>
      </c>
      <c r="F5941" t="n">
        <v>0</v>
      </c>
    </row>
    <row r="5942">
      <c r="A5942" t="inlineStr">
        <is>
          <t>Milho</t>
        </is>
      </c>
      <c r="B5942" t="inlineStr">
        <is>
          <t>Toledo - PR</t>
        </is>
      </c>
      <c r="C5942" t="n">
        <v>-24.7246</v>
      </c>
      <c r="D5942" t="n">
        <v>-53.7412</v>
      </c>
      <c r="E5942" t="inlineStr">
        <is>
          <t>2025-07</t>
        </is>
      </c>
      <c r="F5942" t="n">
        <v>1780663.076937673</v>
      </c>
    </row>
    <row r="5943">
      <c r="A5943" t="inlineStr">
        <is>
          <t>Milho</t>
        </is>
      </c>
      <c r="B5943" t="inlineStr">
        <is>
          <t>Toledo - PR</t>
        </is>
      </c>
      <c r="C5943" t="n">
        <v>-24.7246</v>
      </c>
      <c r="D5943" t="n">
        <v>-53.7412</v>
      </c>
      <c r="E5943" t="inlineStr">
        <is>
          <t>2025-08</t>
        </is>
      </c>
      <c r="F5943" t="n">
        <v>2131096.195445566</v>
      </c>
    </row>
    <row r="5944">
      <c r="A5944" t="inlineStr">
        <is>
          <t>Milho</t>
        </is>
      </c>
      <c r="B5944" t="inlineStr">
        <is>
          <t>Toledo - PR</t>
        </is>
      </c>
      <c r="C5944" t="n">
        <v>-24.7246</v>
      </c>
      <c r="D5944" t="n">
        <v>-53.7412</v>
      </c>
      <c r="E5944" t="inlineStr">
        <is>
          <t>2025-09</t>
        </is>
      </c>
      <c r="F5944" t="n">
        <v>5333067.769054336</v>
      </c>
    </row>
    <row r="5945">
      <c r="A5945" t="inlineStr">
        <is>
          <t>Milho</t>
        </is>
      </c>
      <c r="B5945" t="inlineStr">
        <is>
          <t>Toledo - PR</t>
        </is>
      </c>
      <c r="C5945" t="n">
        <v>-24.7246</v>
      </c>
      <c r="D5945" t="n">
        <v>-53.7412</v>
      </c>
      <c r="E5945" t="inlineStr">
        <is>
          <t>2025-10</t>
        </is>
      </c>
      <c r="F5945" t="n">
        <v>3224552.096361296</v>
      </c>
    </row>
    <row r="5946">
      <c r="A5946" t="inlineStr">
        <is>
          <t>Milho</t>
        </is>
      </c>
      <c r="B5946" t="inlineStr">
        <is>
          <t>Toledo - PR</t>
        </is>
      </c>
      <c r="C5946" t="n">
        <v>-24.7246</v>
      </c>
      <c r="D5946" t="n">
        <v>-53.7412</v>
      </c>
      <c r="E5946" t="inlineStr">
        <is>
          <t>2025-11</t>
        </is>
      </c>
      <c r="F5946" t="n">
        <v>0</v>
      </c>
    </row>
    <row r="5947">
      <c r="A5947" t="inlineStr">
        <is>
          <t>Milho</t>
        </is>
      </c>
      <c r="B5947" t="inlineStr">
        <is>
          <t>Toledo - PR</t>
        </is>
      </c>
      <c r="C5947" t="n">
        <v>-24.7246</v>
      </c>
      <c r="D5947" t="n">
        <v>-53.7412</v>
      </c>
      <c r="E5947" t="inlineStr">
        <is>
          <t>2025-12</t>
        </is>
      </c>
      <c r="F5947" t="n">
        <v>0</v>
      </c>
    </row>
    <row r="5948">
      <c r="A5948" t="inlineStr">
        <is>
          <t>Milho</t>
        </is>
      </c>
      <c r="B5948" t="inlineStr">
        <is>
          <t>Macaé - RJ</t>
        </is>
      </c>
      <c r="C5948" t="n">
        <v>-22.3768</v>
      </c>
      <c r="D5948" t="n">
        <v>-41.7848</v>
      </c>
      <c r="E5948" t="inlineStr">
        <is>
          <t>2025-07</t>
        </is>
      </c>
      <c r="F5948" t="n">
        <v>0</v>
      </c>
    </row>
    <row r="5949">
      <c r="A5949" t="inlineStr">
        <is>
          <t>Milho</t>
        </is>
      </c>
      <c r="B5949" t="inlineStr">
        <is>
          <t>Macaé - RJ</t>
        </is>
      </c>
      <c r="C5949" t="n">
        <v>-22.3768</v>
      </c>
      <c r="D5949" t="n">
        <v>-41.7848</v>
      </c>
      <c r="E5949" t="inlineStr">
        <is>
          <t>2025-08</t>
        </is>
      </c>
      <c r="F5949" t="n">
        <v>0</v>
      </c>
    </row>
    <row r="5950">
      <c r="A5950" t="inlineStr">
        <is>
          <t>Milho</t>
        </is>
      </c>
      <c r="B5950" t="inlineStr">
        <is>
          <t>Macaé - RJ</t>
        </is>
      </c>
      <c r="C5950" t="n">
        <v>-22.3768</v>
      </c>
      <c r="D5950" t="n">
        <v>-41.7848</v>
      </c>
      <c r="E5950" t="inlineStr">
        <is>
          <t>2025-09</t>
        </is>
      </c>
      <c r="F5950" t="n">
        <v>0</v>
      </c>
    </row>
    <row r="5951">
      <c r="A5951" t="inlineStr">
        <is>
          <t>Milho</t>
        </is>
      </c>
      <c r="B5951" t="inlineStr">
        <is>
          <t>Macaé - RJ</t>
        </is>
      </c>
      <c r="C5951" t="n">
        <v>-22.3768</v>
      </c>
      <c r="D5951" t="n">
        <v>-41.7848</v>
      </c>
      <c r="E5951" t="inlineStr">
        <is>
          <t>2025-10</t>
        </is>
      </c>
      <c r="F5951" t="n">
        <v>0</v>
      </c>
    </row>
    <row r="5952">
      <c r="A5952" t="inlineStr">
        <is>
          <t>Milho</t>
        </is>
      </c>
      <c r="B5952" t="inlineStr">
        <is>
          <t>Macaé - RJ</t>
        </is>
      </c>
      <c r="C5952" t="n">
        <v>-22.3768</v>
      </c>
      <c r="D5952" t="n">
        <v>-41.7848</v>
      </c>
      <c r="E5952" t="inlineStr">
        <is>
          <t>2025-11</t>
        </is>
      </c>
      <c r="F5952" t="n">
        <v>0</v>
      </c>
    </row>
    <row r="5953">
      <c r="A5953" t="inlineStr">
        <is>
          <t>Milho</t>
        </is>
      </c>
      <c r="B5953" t="inlineStr">
        <is>
          <t>Macaé - RJ</t>
        </is>
      </c>
      <c r="C5953" t="n">
        <v>-22.3768</v>
      </c>
      <c r="D5953" t="n">
        <v>-41.7848</v>
      </c>
      <c r="E5953" t="inlineStr">
        <is>
          <t>2025-12</t>
        </is>
      </c>
      <c r="F5953" t="n">
        <v>0</v>
      </c>
    </row>
    <row r="5954">
      <c r="A5954" t="inlineStr">
        <is>
          <t>Milho</t>
        </is>
      </c>
      <c r="B5954" t="inlineStr">
        <is>
          <t>Apodi - RN</t>
        </is>
      </c>
      <c r="C5954" t="n">
        <v>-5.65349</v>
      </c>
      <c r="D5954" t="n">
        <v>-37.7946</v>
      </c>
      <c r="E5954" t="inlineStr">
        <is>
          <t>2025-07</t>
        </is>
      </c>
      <c r="F5954" t="n">
        <v>5466.393377015056</v>
      </c>
    </row>
    <row r="5955">
      <c r="A5955" t="inlineStr">
        <is>
          <t>Milho</t>
        </is>
      </c>
      <c r="B5955" t="inlineStr">
        <is>
          <t>Apodi - RN</t>
        </is>
      </c>
      <c r="C5955" t="n">
        <v>-5.65349</v>
      </c>
      <c r="D5955" t="n">
        <v>-37.7946</v>
      </c>
      <c r="E5955" t="inlineStr">
        <is>
          <t>2025-08</t>
        </is>
      </c>
      <c r="F5955" t="n">
        <v>6542.175372446037</v>
      </c>
    </row>
    <row r="5956">
      <c r="A5956" t="inlineStr">
        <is>
          <t>Milho</t>
        </is>
      </c>
      <c r="B5956" t="inlineStr">
        <is>
          <t>Apodi - RN</t>
        </is>
      </c>
      <c r="C5956" t="n">
        <v>-5.65349</v>
      </c>
      <c r="D5956" t="n">
        <v>-37.7946</v>
      </c>
      <c r="E5956" t="inlineStr">
        <is>
          <t>2025-09</t>
        </is>
      </c>
      <c r="F5956" t="n">
        <v>4209.889489009967</v>
      </c>
    </row>
    <row r="5957">
      <c r="A5957" t="inlineStr">
        <is>
          <t>Milho</t>
        </is>
      </c>
      <c r="B5957" t="inlineStr">
        <is>
          <t>Apodi - RN</t>
        </is>
      </c>
      <c r="C5957" t="n">
        <v>-5.65349</v>
      </c>
      <c r="D5957" t="n">
        <v>-37.7946</v>
      </c>
      <c r="E5957" t="inlineStr">
        <is>
          <t>2025-10</t>
        </is>
      </c>
      <c r="F5957" t="n">
        <v>0</v>
      </c>
    </row>
    <row r="5958">
      <c r="A5958" t="inlineStr">
        <is>
          <t>Milho</t>
        </is>
      </c>
      <c r="B5958" t="inlineStr">
        <is>
          <t>Apodi - RN</t>
        </is>
      </c>
      <c r="C5958" t="n">
        <v>-5.65349</v>
      </c>
      <c r="D5958" t="n">
        <v>-37.7946</v>
      </c>
      <c r="E5958" t="inlineStr">
        <is>
          <t>2025-11</t>
        </is>
      </c>
      <c r="F5958" t="n">
        <v>0</v>
      </c>
    </row>
    <row r="5959">
      <c r="A5959" t="inlineStr">
        <is>
          <t>Milho</t>
        </is>
      </c>
      <c r="B5959" t="inlineStr">
        <is>
          <t>Apodi - RN</t>
        </is>
      </c>
      <c r="C5959" t="n">
        <v>-5.65349</v>
      </c>
      <c r="D5959" t="n">
        <v>-37.7946</v>
      </c>
      <c r="E5959" t="inlineStr">
        <is>
          <t>2025-12</t>
        </is>
      </c>
      <c r="F5959" t="n">
        <v>0</v>
      </c>
    </row>
    <row r="5960">
      <c r="A5960" t="inlineStr">
        <is>
          <t>Milho</t>
        </is>
      </c>
      <c r="B5960" t="inlineStr">
        <is>
          <t>Pimenteiras do Oeste - RO</t>
        </is>
      </c>
      <c r="C5960" t="n">
        <v>-13.4823</v>
      </c>
      <c r="D5960" t="n">
        <v>-61.0471</v>
      </c>
      <c r="E5960" t="inlineStr">
        <is>
          <t>2025-07</t>
        </is>
      </c>
      <c r="F5960" t="n">
        <v>392397.9371168276</v>
      </c>
    </row>
    <row r="5961">
      <c r="A5961" t="inlineStr">
        <is>
          <t>Milho</t>
        </is>
      </c>
      <c r="B5961" t="inlineStr">
        <is>
          <t>Pimenteiras do Oeste - RO</t>
        </is>
      </c>
      <c r="C5961" t="n">
        <v>-13.4823</v>
      </c>
      <c r="D5961" t="n">
        <v>-61.0471</v>
      </c>
      <c r="E5961" t="inlineStr">
        <is>
          <t>2025-08</t>
        </is>
      </c>
      <c r="F5961" t="n">
        <v>469621.5481305395</v>
      </c>
    </row>
    <row r="5962">
      <c r="A5962" t="inlineStr">
        <is>
          <t>Milho</t>
        </is>
      </c>
      <c r="B5962" t="inlineStr">
        <is>
          <t>Pimenteiras do Oeste - RO</t>
        </is>
      </c>
      <c r="C5962" t="n">
        <v>-13.4823</v>
      </c>
      <c r="D5962" t="n">
        <v>-61.0471</v>
      </c>
      <c r="E5962" t="inlineStr">
        <is>
          <t>2025-09</t>
        </is>
      </c>
      <c r="F5962" t="n">
        <v>302201.4401530992</v>
      </c>
    </row>
    <row r="5963">
      <c r="A5963" t="inlineStr">
        <is>
          <t>Milho</t>
        </is>
      </c>
      <c r="B5963" t="inlineStr">
        <is>
          <t>Pimenteiras do Oeste - RO</t>
        </is>
      </c>
      <c r="C5963" t="n">
        <v>-13.4823</v>
      </c>
      <c r="D5963" t="n">
        <v>-61.0471</v>
      </c>
      <c r="E5963" t="inlineStr">
        <is>
          <t>2025-10</t>
        </is>
      </c>
      <c r="F5963" t="n">
        <v>426349.3550662994</v>
      </c>
    </row>
    <row r="5964">
      <c r="A5964" t="inlineStr">
        <is>
          <t>Milho</t>
        </is>
      </c>
      <c r="B5964" t="inlineStr">
        <is>
          <t>Pimenteiras do Oeste - RO</t>
        </is>
      </c>
      <c r="C5964" t="n">
        <v>-13.4823</v>
      </c>
      <c r="D5964" t="n">
        <v>-61.0471</v>
      </c>
      <c r="E5964" t="inlineStr">
        <is>
          <t>2025-11</t>
        </is>
      </c>
      <c r="F5964" t="n">
        <v>0</v>
      </c>
    </row>
    <row r="5965">
      <c r="A5965" t="inlineStr">
        <is>
          <t>Milho</t>
        </is>
      </c>
      <c r="B5965" t="inlineStr">
        <is>
          <t>Pimenteiras do Oeste - RO</t>
        </is>
      </c>
      <c r="C5965" t="n">
        <v>-13.4823</v>
      </c>
      <c r="D5965" t="n">
        <v>-61.0471</v>
      </c>
      <c r="E5965" t="inlineStr">
        <is>
          <t>2025-12</t>
        </is>
      </c>
      <c r="F5965" t="n">
        <v>0</v>
      </c>
    </row>
    <row r="5966">
      <c r="A5966" t="inlineStr">
        <is>
          <t>Milho</t>
        </is>
      </c>
      <c r="B5966" t="inlineStr">
        <is>
          <t>Bonfim - RR</t>
        </is>
      </c>
      <c r="C5966" t="n">
        <v>3.36161</v>
      </c>
      <c r="D5966" t="n">
        <v>-59.8333</v>
      </c>
      <c r="E5966" t="inlineStr">
        <is>
          <t>2025-07</t>
        </is>
      </c>
      <c r="F5966" t="n">
        <v>0</v>
      </c>
    </row>
    <row r="5967">
      <c r="A5967" t="inlineStr">
        <is>
          <t>Milho</t>
        </is>
      </c>
      <c r="B5967" t="inlineStr">
        <is>
          <t>Bonfim - RR</t>
        </is>
      </c>
      <c r="C5967" t="n">
        <v>3.36161</v>
      </c>
      <c r="D5967" t="n">
        <v>-59.8333</v>
      </c>
      <c r="E5967" t="inlineStr">
        <is>
          <t>2025-08</t>
        </is>
      </c>
      <c r="F5967" t="n">
        <v>0</v>
      </c>
    </row>
    <row r="5968">
      <c r="A5968" t="inlineStr">
        <is>
          <t>Milho</t>
        </is>
      </c>
      <c r="B5968" t="inlineStr">
        <is>
          <t>Bonfim - RR</t>
        </is>
      </c>
      <c r="C5968" t="n">
        <v>3.36161</v>
      </c>
      <c r="D5968" t="n">
        <v>-59.8333</v>
      </c>
      <c r="E5968" t="inlineStr">
        <is>
          <t>2025-09</t>
        </is>
      </c>
      <c r="F5968" t="n">
        <v>0</v>
      </c>
    </row>
    <row r="5969">
      <c r="A5969" t="inlineStr">
        <is>
          <t>Milho</t>
        </is>
      </c>
      <c r="B5969" t="inlineStr">
        <is>
          <t>Bonfim - RR</t>
        </is>
      </c>
      <c r="C5969" t="n">
        <v>3.36161</v>
      </c>
      <c r="D5969" t="n">
        <v>-59.8333</v>
      </c>
      <c r="E5969" t="inlineStr">
        <is>
          <t>2025-10</t>
        </is>
      </c>
      <c r="F5969" t="n">
        <v>0</v>
      </c>
    </row>
    <row r="5970">
      <c r="A5970" t="inlineStr">
        <is>
          <t>Milho</t>
        </is>
      </c>
      <c r="B5970" t="inlineStr">
        <is>
          <t>Bonfim - RR</t>
        </is>
      </c>
      <c r="C5970" t="n">
        <v>3.36161</v>
      </c>
      <c r="D5970" t="n">
        <v>-59.8333</v>
      </c>
      <c r="E5970" t="inlineStr">
        <is>
          <t>2025-11</t>
        </is>
      </c>
      <c r="F5970" t="n">
        <v>0</v>
      </c>
    </row>
    <row r="5971">
      <c r="A5971" t="inlineStr">
        <is>
          <t>Milho</t>
        </is>
      </c>
      <c r="B5971" t="inlineStr">
        <is>
          <t>Bonfim - RR</t>
        </is>
      </c>
      <c r="C5971" t="n">
        <v>3.36161</v>
      </c>
      <c r="D5971" t="n">
        <v>-59.8333</v>
      </c>
      <c r="E5971" t="inlineStr">
        <is>
          <t>2025-12</t>
        </is>
      </c>
      <c r="F5971" t="n">
        <v>0</v>
      </c>
    </row>
    <row r="5972">
      <c r="A5972" t="inlineStr">
        <is>
          <t>Milho</t>
        </is>
      </c>
      <c r="B5972" t="inlineStr">
        <is>
          <t>Campos Novos - SC</t>
        </is>
      </c>
      <c r="C5972" t="n">
        <v>-27.4002</v>
      </c>
      <c r="D5972" t="n">
        <v>-51.2276</v>
      </c>
      <c r="E5972" t="inlineStr">
        <is>
          <t>2025-07</t>
        </is>
      </c>
      <c r="F5972" t="n">
        <v>0</v>
      </c>
    </row>
    <row r="5973">
      <c r="A5973" t="inlineStr">
        <is>
          <t>Milho</t>
        </is>
      </c>
      <c r="B5973" t="inlineStr">
        <is>
          <t>Campos Novos - SC</t>
        </is>
      </c>
      <c r="C5973" t="n">
        <v>-27.4002</v>
      </c>
      <c r="D5973" t="n">
        <v>-51.2276</v>
      </c>
      <c r="E5973" t="inlineStr">
        <is>
          <t>2025-08</t>
        </is>
      </c>
      <c r="F5973" t="n">
        <v>0</v>
      </c>
    </row>
    <row r="5974">
      <c r="A5974" t="inlineStr">
        <is>
          <t>Milho</t>
        </is>
      </c>
      <c r="B5974" t="inlineStr">
        <is>
          <t>Campos Novos - SC</t>
        </is>
      </c>
      <c r="C5974" t="n">
        <v>-27.4002</v>
      </c>
      <c r="D5974" t="n">
        <v>-51.2276</v>
      </c>
      <c r="E5974" t="inlineStr">
        <is>
          <t>2025-09</t>
        </is>
      </c>
      <c r="F5974" t="n">
        <v>0</v>
      </c>
    </row>
    <row r="5975">
      <c r="A5975" t="inlineStr">
        <is>
          <t>Milho</t>
        </is>
      </c>
      <c r="B5975" t="inlineStr">
        <is>
          <t>Campos Novos - SC</t>
        </is>
      </c>
      <c r="C5975" t="n">
        <v>-27.4002</v>
      </c>
      <c r="D5975" t="n">
        <v>-51.2276</v>
      </c>
      <c r="E5975" t="inlineStr">
        <is>
          <t>2025-10</t>
        </is>
      </c>
      <c r="F5975" t="n">
        <v>0</v>
      </c>
    </row>
    <row r="5976">
      <c r="A5976" t="inlineStr">
        <is>
          <t>Milho</t>
        </is>
      </c>
      <c r="B5976" t="inlineStr">
        <is>
          <t>Campos Novos - SC</t>
        </is>
      </c>
      <c r="C5976" t="n">
        <v>-27.4002</v>
      </c>
      <c r="D5976" t="n">
        <v>-51.2276</v>
      </c>
      <c r="E5976" t="inlineStr">
        <is>
          <t>2025-11</t>
        </is>
      </c>
      <c r="F5976" t="n">
        <v>0</v>
      </c>
    </row>
    <row r="5977">
      <c r="A5977" t="inlineStr">
        <is>
          <t>Milho</t>
        </is>
      </c>
      <c r="B5977" t="inlineStr">
        <is>
          <t>Campos Novos - SC</t>
        </is>
      </c>
      <c r="C5977" t="n">
        <v>-27.4002</v>
      </c>
      <c r="D5977" t="n">
        <v>-51.2276</v>
      </c>
      <c r="E5977" t="inlineStr">
        <is>
          <t>2025-12</t>
        </is>
      </c>
      <c r="F5977" t="n">
        <v>0</v>
      </c>
    </row>
    <row r="5978">
      <c r="A5978" t="inlineStr">
        <is>
          <t>Milho</t>
        </is>
      </c>
      <c r="B5978" t="inlineStr">
        <is>
          <t>Carira - SE</t>
        </is>
      </c>
      <c r="C5978" t="n">
        <v>-10.3524</v>
      </c>
      <c r="D5978" t="n">
        <v>-37.7002</v>
      </c>
      <c r="E5978" t="inlineStr">
        <is>
          <t>2025-07</t>
        </is>
      </c>
      <c r="F5978" t="n">
        <v>0</v>
      </c>
    </row>
    <row r="5979">
      <c r="A5979" t="inlineStr">
        <is>
          <t>Milho</t>
        </is>
      </c>
      <c r="B5979" t="inlineStr">
        <is>
          <t>Carira - SE</t>
        </is>
      </c>
      <c r="C5979" t="n">
        <v>-10.3524</v>
      </c>
      <c r="D5979" t="n">
        <v>-37.7002</v>
      </c>
      <c r="E5979" t="inlineStr">
        <is>
          <t>2025-08</t>
        </is>
      </c>
      <c r="F5979" t="n">
        <v>0</v>
      </c>
    </row>
    <row r="5980">
      <c r="A5980" t="inlineStr">
        <is>
          <t>Milho</t>
        </is>
      </c>
      <c r="B5980" t="inlineStr">
        <is>
          <t>Carira - SE</t>
        </is>
      </c>
      <c r="C5980" t="n">
        <v>-10.3524</v>
      </c>
      <c r="D5980" t="n">
        <v>-37.7002</v>
      </c>
      <c r="E5980" t="inlineStr">
        <is>
          <t>2025-09</t>
        </is>
      </c>
      <c r="F5980" t="n">
        <v>0</v>
      </c>
    </row>
    <row r="5981">
      <c r="A5981" t="inlineStr">
        <is>
          <t>Milho</t>
        </is>
      </c>
      <c r="B5981" t="inlineStr">
        <is>
          <t>Carira - SE</t>
        </is>
      </c>
      <c r="C5981" t="n">
        <v>-10.3524</v>
      </c>
      <c r="D5981" t="n">
        <v>-37.7002</v>
      </c>
      <c r="E5981" t="inlineStr">
        <is>
          <t>2025-10</t>
        </is>
      </c>
      <c r="F5981" t="n">
        <v>0</v>
      </c>
    </row>
    <row r="5982">
      <c r="A5982" t="inlineStr">
        <is>
          <t>Milho</t>
        </is>
      </c>
      <c r="B5982" t="inlineStr">
        <is>
          <t>Carira - SE</t>
        </is>
      </c>
      <c r="C5982" t="n">
        <v>-10.3524</v>
      </c>
      <c r="D5982" t="n">
        <v>-37.7002</v>
      </c>
      <c r="E5982" t="inlineStr">
        <is>
          <t>2025-11</t>
        </is>
      </c>
      <c r="F5982" t="n">
        <v>0</v>
      </c>
    </row>
    <row r="5983">
      <c r="A5983" t="inlineStr">
        <is>
          <t>Milho</t>
        </is>
      </c>
      <c r="B5983" t="inlineStr">
        <is>
          <t>Carira - SE</t>
        </is>
      </c>
      <c r="C5983" t="n">
        <v>-10.3524</v>
      </c>
      <c r="D5983" t="n">
        <v>-37.7002</v>
      </c>
      <c r="E5983" t="inlineStr">
        <is>
          <t>2025-12</t>
        </is>
      </c>
      <c r="F5983" t="n">
        <v>0</v>
      </c>
    </row>
    <row r="5984">
      <c r="A5984" t="inlineStr">
        <is>
          <t>Milho</t>
        </is>
      </c>
      <c r="B5984" t="inlineStr">
        <is>
          <t>Itapeva - SP</t>
        </is>
      </c>
      <c r="C5984" t="n">
        <v>-23.9788</v>
      </c>
      <c r="D5984" t="n">
        <v>-48.8764</v>
      </c>
      <c r="E5984" t="inlineStr">
        <is>
          <t>2025-07</t>
        </is>
      </c>
      <c r="F5984" t="n">
        <v>600464.7484332604</v>
      </c>
    </row>
    <row r="5985">
      <c r="A5985" t="inlineStr">
        <is>
          <t>Milho</t>
        </is>
      </c>
      <c r="B5985" t="inlineStr">
        <is>
          <t>Itapeva - SP</t>
        </is>
      </c>
      <c r="C5985" t="n">
        <v>-23.9788</v>
      </c>
      <c r="D5985" t="n">
        <v>-48.8764</v>
      </c>
      <c r="E5985" t="inlineStr">
        <is>
          <t>2025-08</t>
        </is>
      </c>
      <c r="F5985" t="n">
        <v>513311.2480315872</v>
      </c>
    </row>
    <row r="5986">
      <c r="A5986" t="inlineStr">
        <is>
          <t>Milho</t>
        </is>
      </c>
      <c r="B5986" t="inlineStr">
        <is>
          <t>Itapeva - SP</t>
        </is>
      </c>
      <c r="C5986" t="n">
        <v>-23.9788</v>
      </c>
      <c r="D5986" t="n">
        <v>-48.8764</v>
      </c>
      <c r="E5986" t="inlineStr">
        <is>
          <t>2025-09</t>
        </is>
      </c>
      <c r="F5986" t="n">
        <v>330315.7596141885</v>
      </c>
    </row>
    <row r="5987">
      <c r="A5987" t="inlineStr">
        <is>
          <t>Milho</t>
        </is>
      </c>
      <c r="B5987" t="inlineStr">
        <is>
          <t>Itapeva - SP</t>
        </is>
      </c>
      <c r="C5987" t="n">
        <v>-23.9788</v>
      </c>
      <c r="D5987" t="n">
        <v>-48.8764</v>
      </c>
      <c r="E5987" t="inlineStr">
        <is>
          <t>2025-10</t>
        </is>
      </c>
      <c r="F5987" t="n">
        <v>0</v>
      </c>
    </row>
    <row r="5988">
      <c r="A5988" t="inlineStr">
        <is>
          <t>Milho</t>
        </is>
      </c>
      <c r="B5988" t="inlineStr">
        <is>
          <t>Itapeva - SP</t>
        </is>
      </c>
      <c r="C5988" t="n">
        <v>-23.9788</v>
      </c>
      <c r="D5988" t="n">
        <v>-48.8764</v>
      </c>
      <c r="E5988" t="inlineStr">
        <is>
          <t>2025-11</t>
        </is>
      </c>
      <c r="F5988" t="n">
        <v>0</v>
      </c>
    </row>
    <row r="5989">
      <c r="A5989" t="inlineStr">
        <is>
          <t>Milho</t>
        </is>
      </c>
      <c r="B5989" t="inlineStr">
        <is>
          <t>Itapeva - SP</t>
        </is>
      </c>
      <c r="C5989" t="n">
        <v>-23.9788</v>
      </c>
      <c r="D5989" t="n">
        <v>-48.8764</v>
      </c>
      <c r="E5989" t="inlineStr">
        <is>
          <t>2025-12</t>
        </is>
      </c>
      <c r="F5989" t="n">
        <v>0</v>
      </c>
    </row>
    <row r="5990">
      <c r="A5990" t="inlineStr">
        <is>
          <t>Milho</t>
        </is>
      </c>
      <c r="B5990" t="inlineStr">
        <is>
          <t>Campos Lindos - TO</t>
        </is>
      </c>
      <c r="C5990" t="n">
        <v>-7.98956</v>
      </c>
      <c r="D5990" t="n">
        <v>-46.8645</v>
      </c>
      <c r="E5990" t="inlineStr">
        <is>
          <t>2025-07</t>
        </is>
      </c>
      <c r="F5990" t="n">
        <v>525270.7090459022</v>
      </c>
    </row>
    <row r="5991">
      <c r="A5991" t="inlineStr">
        <is>
          <t>Milho</t>
        </is>
      </c>
      <c r="B5991" t="inlineStr">
        <is>
          <t>Campos Lindos - TO</t>
        </is>
      </c>
      <c r="C5991" t="n">
        <v>-7.98956</v>
      </c>
      <c r="D5991" t="n">
        <v>-46.8645</v>
      </c>
      <c r="E5991" t="inlineStr">
        <is>
          <t>2025-08</t>
        </is>
      </c>
      <c r="F5991" t="n">
        <v>269418.6767016418</v>
      </c>
    </row>
    <row r="5992">
      <c r="A5992" t="inlineStr">
        <is>
          <t>Milho</t>
        </is>
      </c>
      <c r="B5992" t="inlineStr">
        <is>
          <t>Campos Lindos - TO</t>
        </is>
      </c>
      <c r="C5992" t="n">
        <v>-7.98956</v>
      </c>
      <c r="D5992" t="n">
        <v>-46.8645</v>
      </c>
      <c r="E5992" t="inlineStr">
        <is>
          <t>2025-09</t>
        </is>
      </c>
      <c r="F5992" t="n">
        <v>288951.5058365914</v>
      </c>
    </row>
    <row r="5993">
      <c r="A5993" t="inlineStr">
        <is>
          <t>Milho</t>
        </is>
      </c>
      <c r="B5993" t="inlineStr">
        <is>
          <t>Campos Lindos - TO</t>
        </is>
      </c>
      <c r="C5993" t="n">
        <v>-7.98956</v>
      </c>
      <c r="D5993" t="n">
        <v>-46.8645</v>
      </c>
      <c r="E5993" t="inlineStr">
        <is>
          <t>2025-10</t>
        </is>
      </c>
      <c r="F5993" t="n">
        <v>0</v>
      </c>
    </row>
    <row r="5994">
      <c r="A5994" t="inlineStr">
        <is>
          <t>Milho</t>
        </is>
      </c>
      <c r="B5994" t="inlineStr">
        <is>
          <t>Campos Lindos - TO</t>
        </is>
      </c>
      <c r="C5994" t="n">
        <v>-7.98956</v>
      </c>
      <c r="D5994" t="n">
        <v>-46.8645</v>
      </c>
      <c r="E5994" t="inlineStr">
        <is>
          <t>2025-11</t>
        </is>
      </c>
      <c r="F5994" t="n">
        <v>0</v>
      </c>
    </row>
    <row r="5995">
      <c r="A5995" t="inlineStr">
        <is>
          <t>Milho</t>
        </is>
      </c>
      <c r="B5995" t="inlineStr">
        <is>
          <t>Campos Lindos - TO</t>
        </is>
      </c>
      <c r="C5995" t="n">
        <v>-7.98956</v>
      </c>
      <c r="D5995" t="n">
        <v>-46.8645</v>
      </c>
      <c r="E5995" t="inlineStr">
        <is>
          <t>2025-12</t>
        </is>
      </c>
      <c r="F5995" t="n">
        <v>0</v>
      </c>
    </row>
    <row r="5996">
      <c r="A5996" t="inlineStr">
        <is>
          <t>Milho</t>
        </is>
      </c>
      <c r="B5996" t="inlineStr">
        <is>
          <t>Senador Guiomard - AC</t>
        </is>
      </c>
      <c r="C5996" t="n">
        <v>-10.1497</v>
      </c>
      <c r="D5996" t="n">
        <v>-67.7362</v>
      </c>
      <c r="E5996" t="inlineStr">
        <is>
          <t>2025-07</t>
        </is>
      </c>
      <c r="F5996" t="n">
        <v>0</v>
      </c>
    </row>
    <row r="5997">
      <c r="A5997" t="inlineStr">
        <is>
          <t>Milho</t>
        </is>
      </c>
      <c r="B5997" t="inlineStr">
        <is>
          <t>Senador Guiomard - AC</t>
        </is>
      </c>
      <c r="C5997" t="n">
        <v>-10.1497</v>
      </c>
      <c r="D5997" t="n">
        <v>-67.7362</v>
      </c>
      <c r="E5997" t="inlineStr">
        <is>
          <t>2025-08</t>
        </is>
      </c>
      <c r="F5997" t="n">
        <v>0</v>
      </c>
    </row>
    <row r="5998">
      <c r="A5998" t="inlineStr">
        <is>
          <t>Milho</t>
        </is>
      </c>
      <c r="B5998" t="inlineStr">
        <is>
          <t>Senador Guiomard - AC</t>
        </is>
      </c>
      <c r="C5998" t="n">
        <v>-10.1497</v>
      </c>
      <c r="D5998" t="n">
        <v>-67.7362</v>
      </c>
      <c r="E5998" t="inlineStr">
        <is>
          <t>2025-09</t>
        </is>
      </c>
      <c r="F5998" t="n">
        <v>0</v>
      </c>
    </row>
    <row r="5999">
      <c r="A5999" t="inlineStr">
        <is>
          <t>Milho</t>
        </is>
      </c>
      <c r="B5999" t="inlineStr">
        <is>
          <t>Senador Guiomard - AC</t>
        </is>
      </c>
      <c r="C5999" t="n">
        <v>-10.1497</v>
      </c>
      <c r="D5999" t="n">
        <v>-67.7362</v>
      </c>
      <c r="E5999" t="inlineStr">
        <is>
          <t>2025-10</t>
        </is>
      </c>
      <c r="F5999" t="n">
        <v>0</v>
      </c>
    </row>
    <row r="6000">
      <c r="A6000" t="inlineStr">
        <is>
          <t>Milho</t>
        </is>
      </c>
      <c r="B6000" t="inlineStr">
        <is>
          <t>Senador Guiomard - AC</t>
        </is>
      </c>
      <c r="C6000" t="n">
        <v>-10.1497</v>
      </c>
      <c r="D6000" t="n">
        <v>-67.7362</v>
      </c>
      <c r="E6000" t="inlineStr">
        <is>
          <t>2025-11</t>
        </is>
      </c>
      <c r="F6000" t="n">
        <v>0</v>
      </c>
    </row>
    <row r="6001">
      <c r="A6001" t="inlineStr">
        <is>
          <t>Milho</t>
        </is>
      </c>
      <c r="B6001" t="inlineStr">
        <is>
          <t>Senador Guiomard - AC</t>
        </is>
      </c>
      <c r="C6001" t="n">
        <v>-10.1497</v>
      </c>
      <c r="D6001" t="n">
        <v>-67.7362</v>
      </c>
      <c r="E6001" t="inlineStr">
        <is>
          <t>2025-12</t>
        </is>
      </c>
      <c r="F6001" t="n">
        <v>0</v>
      </c>
    </row>
    <row r="6002">
      <c r="A6002" t="inlineStr">
        <is>
          <t>Milho</t>
        </is>
      </c>
      <c r="B6002" t="inlineStr">
        <is>
          <t>Humaitá - AM</t>
        </is>
      </c>
      <c r="C6002" t="n">
        <v>-7.51171</v>
      </c>
      <c r="D6002" t="n">
        <v>-63.0327</v>
      </c>
      <c r="E6002" t="inlineStr">
        <is>
          <t>2025-07</t>
        </is>
      </c>
      <c r="F6002" t="n">
        <v>0</v>
      </c>
    </row>
    <row r="6003">
      <c r="A6003" t="inlineStr">
        <is>
          <t>Milho</t>
        </is>
      </c>
      <c r="B6003" t="inlineStr">
        <is>
          <t>Humaitá - AM</t>
        </is>
      </c>
      <c r="C6003" t="n">
        <v>-7.51171</v>
      </c>
      <c r="D6003" t="n">
        <v>-63.0327</v>
      </c>
      <c r="E6003" t="inlineStr">
        <is>
          <t>2025-08</t>
        </is>
      </c>
      <c r="F6003" t="n">
        <v>0</v>
      </c>
    </row>
    <row r="6004">
      <c r="A6004" t="inlineStr">
        <is>
          <t>Milho</t>
        </is>
      </c>
      <c r="B6004" t="inlineStr">
        <is>
          <t>Humaitá - AM</t>
        </is>
      </c>
      <c r="C6004" t="n">
        <v>-7.51171</v>
      </c>
      <c r="D6004" t="n">
        <v>-63.0327</v>
      </c>
      <c r="E6004" t="inlineStr">
        <is>
          <t>2025-09</t>
        </is>
      </c>
      <c r="F6004" t="n">
        <v>0</v>
      </c>
    </row>
    <row r="6005">
      <c r="A6005" t="inlineStr">
        <is>
          <t>Milho</t>
        </is>
      </c>
      <c r="B6005" t="inlineStr">
        <is>
          <t>Humaitá - AM</t>
        </is>
      </c>
      <c r="C6005" t="n">
        <v>-7.51171</v>
      </c>
      <c r="D6005" t="n">
        <v>-63.0327</v>
      </c>
      <c r="E6005" t="inlineStr">
        <is>
          <t>2025-10</t>
        </is>
      </c>
      <c r="F6005" t="n">
        <v>0</v>
      </c>
    </row>
    <row r="6006">
      <c r="A6006" t="inlineStr">
        <is>
          <t>Milho</t>
        </is>
      </c>
      <c r="B6006" t="inlineStr">
        <is>
          <t>Humaitá - AM</t>
        </is>
      </c>
      <c r="C6006" t="n">
        <v>-7.51171</v>
      </c>
      <c r="D6006" t="n">
        <v>-63.0327</v>
      </c>
      <c r="E6006" t="inlineStr">
        <is>
          <t>2025-11</t>
        </is>
      </c>
      <c r="F6006" t="n">
        <v>0</v>
      </c>
    </row>
    <row r="6007">
      <c r="A6007" t="inlineStr">
        <is>
          <t>Milho</t>
        </is>
      </c>
      <c r="B6007" t="inlineStr">
        <is>
          <t>Humaitá - AM</t>
        </is>
      </c>
      <c r="C6007" t="n">
        <v>-7.51171</v>
      </c>
      <c r="D6007" t="n">
        <v>-63.0327</v>
      </c>
      <c r="E6007" t="inlineStr">
        <is>
          <t>2025-12</t>
        </is>
      </c>
      <c r="F6007" t="n">
        <v>0</v>
      </c>
    </row>
    <row r="6008">
      <c r="A6008" t="inlineStr">
        <is>
          <t>Milho</t>
        </is>
      </c>
      <c r="B6008" t="inlineStr">
        <is>
          <t>Palmeira das Missões - RS</t>
        </is>
      </c>
      <c r="C6008" t="n">
        <v>-27.9007</v>
      </c>
      <c r="D6008" t="n">
        <v>-53.3134</v>
      </c>
      <c r="E6008" t="inlineStr">
        <is>
          <t>2025-07</t>
        </is>
      </c>
      <c r="F6008" t="n">
        <v>0</v>
      </c>
    </row>
    <row r="6009">
      <c r="A6009" t="inlineStr">
        <is>
          <t>Milho</t>
        </is>
      </c>
      <c r="B6009" t="inlineStr">
        <is>
          <t>Palmeira das Missões - RS</t>
        </is>
      </c>
      <c r="C6009" t="n">
        <v>-27.9007</v>
      </c>
      <c r="D6009" t="n">
        <v>-53.3134</v>
      </c>
      <c r="E6009" t="inlineStr">
        <is>
          <t>2025-08</t>
        </is>
      </c>
      <c r="F6009" t="n">
        <v>0</v>
      </c>
    </row>
    <row r="6010">
      <c r="A6010" t="inlineStr">
        <is>
          <t>Milho</t>
        </is>
      </c>
      <c r="B6010" t="inlineStr">
        <is>
          <t>Palmeira das Missões - RS</t>
        </is>
      </c>
      <c r="C6010" t="n">
        <v>-27.9007</v>
      </c>
      <c r="D6010" t="n">
        <v>-53.3134</v>
      </c>
      <c r="E6010" t="inlineStr">
        <is>
          <t>2025-09</t>
        </is>
      </c>
      <c r="F6010" t="n">
        <v>0</v>
      </c>
    </row>
    <row r="6011">
      <c r="A6011" t="inlineStr">
        <is>
          <t>Milho</t>
        </is>
      </c>
      <c r="B6011" t="inlineStr">
        <is>
          <t>Palmeira das Missões - RS</t>
        </is>
      </c>
      <c r="C6011" t="n">
        <v>-27.9007</v>
      </c>
      <c r="D6011" t="n">
        <v>-53.3134</v>
      </c>
      <c r="E6011" t="inlineStr">
        <is>
          <t>2025-10</t>
        </is>
      </c>
      <c r="F6011" t="n">
        <v>0</v>
      </c>
    </row>
    <row r="6012">
      <c r="A6012" t="inlineStr">
        <is>
          <t>Milho</t>
        </is>
      </c>
      <c r="B6012" t="inlineStr">
        <is>
          <t>Palmeira das Missões - RS</t>
        </is>
      </c>
      <c r="C6012" t="n">
        <v>-27.9007</v>
      </c>
      <c r="D6012" t="n">
        <v>-53.3134</v>
      </c>
      <c r="E6012" t="inlineStr">
        <is>
          <t>2025-11</t>
        </is>
      </c>
      <c r="F6012" t="n">
        <v>0</v>
      </c>
    </row>
    <row r="6013">
      <c r="A6013" t="inlineStr">
        <is>
          <t>Milho</t>
        </is>
      </c>
      <c r="B6013" t="inlineStr">
        <is>
          <t>Palmeira das Missões - RS</t>
        </is>
      </c>
      <c r="C6013" t="n">
        <v>-27.9007</v>
      </c>
      <c r="D6013" t="n">
        <v>-53.3134</v>
      </c>
      <c r="E6013" t="inlineStr">
        <is>
          <t>2025-12</t>
        </is>
      </c>
      <c r="F6013" t="n">
        <v>0</v>
      </c>
    </row>
    <row r="6014">
      <c r="A6014" t="inlineStr">
        <is>
          <t>Milho</t>
        </is>
      </c>
      <c r="B6014" t="inlineStr">
        <is>
          <t>Limoeiro de Anadia - AL</t>
        </is>
      </c>
      <c r="C6014" t="n">
        <v>-9.74098</v>
      </c>
      <c r="D6014" t="n">
        <v>-36.5121</v>
      </c>
      <c r="E6014" t="inlineStr">
        <is>
          <t>2025-07</t>
        </is>
      </c>
      <c r="F6014" t="n">
        <v>0</v>
      </c>
    </row>
    <row r="6015">
      <c r="A6015" t="inlineStr">
        <is>
          <t>Milho</t>
        </is>
      </c>
      <c r="B6015" t="inlineStr">
        <is>
          <t>Limoeiro de Anadia - AL</t>
        </is>
      </c>
      <c r="C6015" t="n">
        <v>-9.74098</v>
      </c>
      <c r="D6015" t="n">
        <v>-36.5121</v>
      </c>
      <c r="E6015" t="inlineStr">
        <is>
          <t>2025-08</t>
        </is>
      </c>
      <c r="F6015" t="n">
        <v>22901.37028572472</v>
      </c>
    </row>
    <row r="6016">
      <c r="A6016" t="inlineStr">
        <is>
          <t>Milho</t>
        </is>
      </c>
      <c r="B6016" t="inlineStr">
        <is>
          <t>Limoeiro de Anadia - AL</t>
        </is>
      </c>
      <c r="C6016" t="n">
        <v>-9.74098</v>
      </c>
      <c r="D6016" t="n">
        <v>-36.5121</v>
      </c>
      <c r="E6016" t="inlineStr">
        <is>
          <t>2025-09</t>
        </is>
      </c>
      <c r="F6016" t="n">
        <v>24561.71751266418</v>
      </c>
    </row>
    <row r="6017">
      <c r="A6017" t="inlineStr">
        <is>
          <t>Milho</t>
        </is>
      </c>
      <c r="B6017" t="inlineStr">
        <is>
          <t>Limoeiro de Anadia - AL</t>
        </is>
      </c>
      <c r="C6017" t="n">
        <v>-9.74098</v>
      </c>
      <c r="D6017" t="n">
        <v>-36.5121</v>
      </c>
      <c r="E6017" t="inlineStr">
        <is>
          <t>2025-10</t>
        </is>
      </c>
      <c r="F6017" t="n">
        <v>161709.1498279618</v>
      </c>
    </row>
    <row r="6018">
      <c r="A6018" t="inlineStr">
        <is>
          <t>Milho</t>
        </is>
      </c>
      <c r="B6018" t="inlineStr">
        <is>
          <t>Limoeiro de Anadia - AL</t>
        </is>
      </c>
      <c r="C6018" t="n">
        <v>-9.74098</v>
      </c>
      <c r="D6018" t="n">
        <v>-36.5121</v>
      </c>
      <c r="E6018" t="inlineStr">
        <is>
          <t>2025-11</t>
        </is>
      </c>
      <c r="F6018" t="n">
        <v>221579.1284780408</v>
      </c>
    </row>
    <row r="6019">
      <c r="A6019" t="inlineStr">
        <is>
          <t>Milho</t>
        </is>
      </c>
      <c r="B6019" t="inlineStr">
        <is>
          <t>Limoeiro de Anadia - AL</t>
        </is>
      </c>
      <c r="C6019" t="n">
        <v>-9.74098</v>
      </c>
      <c r="D6019" t="n">
        <v>-36.5121</v>
      </c>
      <c r="E6019" t="inlineStr">
        <is>
          <t>2025-12</t>
        </is>
      </c>
      <c r="F6019" t="n">
        <v>122016.3159387375</v>
      </c>
    </row>
    <row r="6020">
      <c r="A6020" t="inlineStr">
        <is>
          <t>Milho</t>
        </is>
      </c>
      <c r="B6020" t="inlineStr">
        <is>
          <t>Macapá - AP</t>
        </is>
      </c>
      <c r="C6020" t="n">
        <v>0.034934</v>
      </c>
      <c r="D6020" t="n">
        <v>-51.0694</v>
      </c>
      <c r="E6020" t="inlineStr">
        <is>
          <t>2025-07</t>
        </is>
      </c>
      <c r="F6020" t="n">
        <v>244.0754539979489</v>
      </c>
    </row>
    <row r="6021">
      <c r="A6021" t="inlineStr">
        <is>
          <t>Milho</t>
        </is>
      </c>
      <c r="B6021" t="inlineStr">
        <is>
          <t>Macapá - AP</t>
        </is>
      </c>
      <c r="C6021" t="n">
        <v>0.034934</v>
      </c>
      <c r="D6021" t="n">
        <v>-51.0694</v>
      </c>
      <c r="E6021" t="inlineStr">
        <is>
          <t>2025-08</t>
        </is>
      </c>
      <c r="F6021" t="n">
        <v>146.0546574344689</v>
      </c>
    </row>
    <row r="6022">
      <c r="A6022" t="inlineStr">
        <is>
          <t>Milho</t>
        </is>
      </c>
      <c r="B6022" t="inlineStr">
        <is>
          <t>Macapá - AP</t>
        </is>
      </c>
      <c r="C6022" t="n">
        <v>0.034934</v>
      </c>
      <c r="D6022" t="n">
        <v>-51.0694</v>
      </c>
      <c r="E6022" t="inlineStr">
        <is>
          <t>2025-09</t>
        </is>
      </c>
      <c r="F6022" t="n">
        <v>0</v>
      </c>
    </row>
    <row r="6023">
      <c r="A6023" t="inlineStr">
        <is>
          <t>Milho</t>
        </is>
      </c>
      <c r="B6023" t="inlineStr">
        <is>
          <t>Macapá - AP</t>
        </is>
      </c>
      <c r="C6023" t="n">
        <v>0.034934</v>
      </c>
      <c r="D6023" t="n">
        <v>-51.0694</v>
      </c>
      <c r="E6023" t="inlineStr">
        <is>
          <t>2025-10</t>
        </is>
      </c>
      <c r="F6023" t="n">
        <v>0</v>
      </c>
    </row>
    <row r="6024">
      <c r="A6024" t="inlineStr">
        <is>
          <t>Milho</t>
        </is>
      </c>
      <c r="B6024" t="inlineStr">
        <is>
          <t>Macapá - AP</t>
        </is>
      </c>
      <c r="C6024" t="n">
        <v>0.034934</v>
      </c>
      <c r="D6024" t="n">
        <v>-51.0694</v>
      </c>
      <c r="E6024" t="inlineStr">
        <is>
          <t>2025-11</t>
        </is>
      </c>
      <c r="F6024" t="n">
        <v>0</v>
      </c>
    </row>
    <row r="6025">
      <c r="A6025" t="inlineStr">
        <is>
          <t>Milho</t>
        </is>
      </c>
      <c r="B6025" t="inlineStr">
        <is>
          <t>Macapá - AP</t>
        </is>
      </c>
      <c r="C6025" t="n">
        <v>0.034934</v>
      </c>
      <c r="D6025" t="n">
        <v>-51.0694</v>
      </c>
      <c r="E6025" t="inlineStr">
        <is>
          <t>2025-12</t>
        </is>
      </c>
      <c r="F6025" t="n">
        <v>0</v>
      </c>
    </row>
    <row r="6026">
      <c r="A6026" t="inlineStr">
        <is>
          <t>Milho</t>
        </is>
      </c>
      <c r="B6026" t="inlineStr">
        <is>
          <t>Correntina - BA</t>
        </is>
      </c>
      <c r="C6026" t="n">
        <v>-13.3477</v>
      </c>
      <c r="D6026" t="n">
        <v>-44.6333</v>
      </c>
      <c r="E6026" t="inlineStr">
        <is>
          <t>2025-07</t>
        </is>
      </c>
      <c r="F6026" t="n">
        <v>0</v>
      </c>
    </row>
    <row r="6027">
      <c r="A6027" t="inlineStr">
        <is>
          <t>Milho</t>
        </is>
      </c>
      <c r="B6027" t="inlineStr">
        <is>
          <t>Correntina - BA</t>
        </is>
      </c>
      <c r="C6027" t="n">
        <v>-13.3477</v>
      </c>
      <c r="D6027" t="n">
        <v>-44.6333</v>
      </c>
      <c r="E6027" t="inlineStr">
        <is>
          <t>2025-08</t>
        </is>
      </c>
      <c r="F6027" t="n">
        <v>139825.6781132637</v>
      </c>
    </row>
    <row r="6028">
      <c r="A6028" t="inlineStr">
        <is>
          <t>Milho</t>
        </is>
      </c>
      <c r="B6028" t="inlineStr">
        <is>
          <t>Correntina - BA</t>
        </is>
      </c>
      <c r="C6028" t="n">
        <v>-13.3477</v>
      </c>
      <c r="D6028" t="n">
        <v>-44.6333</v>
      </c>
      <c r="E6028" t="inlineStr">
        <is>
          <t>2025-09</t>
        </is>
      </c>
      <c r="F6028" t="n">
        <v>299926.0536803299</v>
      </c>
    </row>
    <row r="6029">
      <c r="A6029" t="inlineStr">
        <is>
          <t>Milho</t>
        </is>
      </c>
      <c r="B6029" t="inlineStr">
        <is>
          <t>Correntina - BA</t>
        </is>
      </c>
      <c r="C6029" t="n">
        <v>-13.3477</v>
      </c>
      <c r="D6029" t="n">
        <v>-44.6333</v>
      </c>
      <c r="E6029" t="inlineStr">
        <is>
          <t>2025-10</t>
        </is>
      </c>
      <c r="F6029" t="n">
        <v>1974649.660671917</v>
      </c>
    </row>
    <row r="6030">
      <c r="A6030" t="inlineStr">
        <is>
          <t>Milho</t>
        </is>
      </c>
      <c r="B6030" t="inlineStr">
        <is>
          <t>Correntina - BA</t>
        </is>
      </c>
      <c r="C6030" t="n">
        <v>-13.3477</v>
      </c>
      <c r="D6030" t="n">
        <v>-44.6333</v>
      </c>
      <c r="E6030" t="inlineStr">
        <is>
          <t>2025-11</t>
        </is>
      </c>
      <c r="F6030" t="n">
        <v>2705729.090324394</v>
      </c>
    </row>
    <row r="6031">
      <c r="A6031" t="inlineStr">
        <is>
          <t>Milho</t>
        </is>
      </c>
      <c r="B6031" t="inlineStr">
        <is>
          <t>Correntina - BA</t>
        </is>
      </c>
      <c r="C6031" t="n">
        <v>-13.3477</v>
      </c>
      <c r="D6031" t="n">
        <v>-44.6333</v>
      </c>
      <c r="E6031" t="inlineStr">
        <is>
          <t>2025-12</t>
        </is>
      </c>
      <c r="F6031" t="n">
        <v>0</v>
      </c>
    </row>
    <row r="6032">
      <c r="A6032" t="inlineStr">
        <is>
          <t>Milho</t>
        </is>
      </c>
      <c r="B6032" t="inlineStr">
        <is>
          <t>Crateús - CE</t>
        </is>
      </c>
      <c r="C6032" t="n">
        <v>-5.16768</v>
      </c>
      <c r="D6032" t="n">
        <v>-40.6536</v>
      </c>
      <c r="E6032" t="inlineStr">
        <is>
          <t>2025-07</t>
        </is>
      </c>
      <c r="F6032" t="n">
        <v>0</v>
      </c>
    </row>
    <row r="6033">
      <c r="A6033" t="inlineStr">
        <is>
          <t>Milho</t>
        </is>
      </c>
      <c r="B6033" t="inlineStr">
        <is>
          <t>Crateús - CE</t>
        </is>
      </c>
      <c r="C6033" t="n">
        <v>-5.16768</v>
      </c>
      <c r="D6033" t="n">
        <v>-40.6536</v>
      </c>
      <c r="E6033" t="inlineStr">
        <is>
          <t>2025-08</t>
        </is>
      </c>
      <c r="F6033" t="n">
        <v>0</v>
      </c>
    </row>
    <row r="6034">
      <c r="A6034" t="inlineStr">
        <is>
          <t>Milho</t>
        </is>
      </c>
      <c r="B6034" t="inlineStr">
        <is>
          <t>Crateús - CE</t>
        </is>
      </c>
      <c r="C6034" t="n">
        <v>-5.16768</v>
      </c>
      <c r="D6034" t="n">
        <v>-40.6536</v>
      </c>
      <c r="E6034" t="inlineStr">
        <is>
          <t>2025-09</t>
        </is>
      </c>
      <c r="F6034" t="n">
        <v>0</v>
      </c>
    </row>
    <row r="6035">
      <c r="A6035" t="inlineStr">
        <is>
          <t>Milho</t>
        </is>
      </c>
      <c r="B6035" t="inlineStr">
        <is>
          <t>Crateús - CE</t>
        </is>
      </c>
      <c r="C6035" t="n">
        <v>-5.16768</v>
      </c>
      <c r="D6035" t="n">
        <v>-40.6536</v>
      </c>
      <c r="E6035" t="inlineStr">
        <is>
          <t>2025-10</t>
        </is>
      </c>
      <c r="F6035" t="n">
        <v>0</v>
      </c>
    </row>
    <row r="6036">
      <c r="A6036" t="inlineStr">
        <is>
          <t>Milho</t>
        </is>
      </c>
      <c r="B6036" t="inlineStr">
        <is>
          <t>Crateús - CE</t>
        </is>
      </c>
      <c r="C6036" t="n">
        <v>-5.16768</v>
      </c>
      <c r="D6036" t="n">
        <v>-40.6536</v>
      </c>
      <c r="E6036" t="inlineStr">
        <is>
          <t>2025-11</t>
        </is>
      </c>
      <c r="F6036" t="n">
        <v>0</v>
      </c>
    </row>
    <row r="6037">
      <c r="A6037" t="inlineStr">
        <is>
          <t>Milho</t>
        </is>
      </c>
      <c r="B6037" t="inlineStr">
        <is>
          <t>Crateús - CE</t>
        </is>
      </c>
      <c r="C6037" t="n">
        <v>-5.16768</v>
      </c>
      <c r="D6037" t="n">
        <v>-40.6536</v>
      </c>
      <c r="E6037" t="inlineStr">
        <is>
          <t>2025-12</t>
        </is>
      </c>
      <c r="F6037" t="n">
        <v>0</v>
      </c>
    </row>
    <row r="6038">
      <c r="A6038" t="inlineStr">
        <is>
          <t>Milho</t>
        </is>
      </c>
      <c r="B6038" t="inlineStr">
        <is>
          <t>Brasília - DF</t>
        </is>
      </c>
      <c r="C6038" t="n">
        <v>-15.7795</v>
      </c>
      <c r="D6038" t="n">
        <v>-47.9297</v>
      </c>
      <c r="E6038" t="inlineStr">
        <is>
          <t>2025-07</t>
        </is>
      </c>
      <c r="F6038" t="n">
        <v>0</v>
      </c>
    </row>
    <row r="6039">
      <c r="A6039" t="inlineStr">
        <is>
          <t>Milho</t>
        </is>
      </c>
      <c r="B6039" t="inlineStr">
        <is>
          <t>Brasília - DF</t>
        </is>
      </c>
      <c r="C6039" t="n">
        <v>-15.7795</v>
      </c>
      <c r="D6039" t="n">
        <v>-47.9297</v>
      </c>
      <c r="E6039" t="inlineStr">
        <is>
          <t>2025-08</t>
        </is>
      </c>
      <c r="F6039" t="n">
        <v>0</v>
      </c>
    </row>
    <row r="6040">
      <c r="A6040" t="inlineStr">
        <is>
          <t>Milho</t>
        </is>
      </c>
      <c r="B6040" t="inlineStr">
        <is>
          <t>Brasília - DF</t>
        </is>
      </c>
      <c r="C6040" t="n">
        <v>-15.7795</v>
      </c>
      <c r="D6040" t="n">
        <v>-47.9297</v>
      </c>
      <c r="E6040" t="inlineStr">
        <is>
          <t>2025-09</t>
        </is>
      </c>
      <c r="F6040" t="n">
        <v>0</v>
      </c>
    </row>
    <row r="6041">
      <c r="A6041" t="inlineStr">
        <is>
          <t>Milho</t>
        </is>
      </c>
      <c r="B6041" t="inlineStr">
        <is>
          <t>Brasília - DF</t>
        </is>
      </c>
      <c r="C6041" t="n">
        <v>-15.7795</v>
      </c>
      <c r="D6041" t="n">
        <v>-47.9297</v>
      </c>
      <c r="E6041" t="inlineStr">
        <is>
          <t>2025-10</t>
        </is>
      </c>
      <c r="F6041" t="n">
        <v>0</v>
      </c>
    </row>
    <row r="6042">
      <c r="A6042" t="inlineStr">
        <is>
          <t>Milho</t>
        </is>
      </c>
      <c r="B6042" t="inlineStr">
        <is>
          <t>Brasília - DF</t>
        </is>
      </c>
      <c r="C6042" t="n">
        <v>-15.7795</v>
      </c>
      <c r="D6042" t="n">
        <v>-47.9297</v>
      </c>
      <c r="E6042" t="inlineStr">
        <is>
          <t>2025-11</t>
        </is>
      </c>
      <c r="F6042" t="n">
        <v>0</v>
      </c>
    </row>
    <row r="6043">
      <c r="A6043" t="inlineStr">
        <is>
          <t>Milho</t>
        </is>
      </c>
      <c r="B6043" t="inlineStr">
        <is>
          <t>Brasília - DF</t>
        </is>
      </c>
      <c r="C6043" t="n">
        <v>-15.7795</v>
      </c>
      <c r="D6043" t="n">
        <v>-47.9297</v>
      </c>
      <c r="E6043" t="inlineStr">
        <is>
          <t>2025-12</t>
        </is>
      </c>
      <c r="F6043" t="n">
        <v>0</v>
      </c>
    </row>
    <row r="6044">
      <c r="A6044" t="inlineStr">
        <is>
          <t>Milho</t>
        </is>
      </c>
      <c r="B6044" t="inlineStr">
        <is>
          <t>Pinheiros - ES</t>
        </is>
      </c>
      <c r="C6044" t="n">
        <v>-18.4141</v>
      </c>
      <c r="D6044" t="n">
        <v>-40.2171</v>
      </c>
      <c r="E6044" t="inlineStr">
        <is>
          <t>2025-07</t>
        </is>
      </c>
      <c r="F6044" t="n">
        <v>0</v>
      </c>
    </row>
    <row r="6045">
      <c r="A6045" t="inlineStr">
        <is>
          <t>Milho</t>
        </is>
      </c>
      <c r="B6045" t="inlineStr">
        <is>
          <t>Pinheiros - ES</t>
        </is>
      </c>
      <c r="C6045" t="n">
        <v>-18.4141</v>
      </c>
      <c r="D6045" t="n">
        <v>-40.2171</v>
      </c>
      <c r="E6045" t="inlineStr">
        <is>
          <t>2025-08</t>
        </is>
      </c>
      <c r="F6045" t="n">
        <v>0</v>
      </c>
    </row>
    <row r="6046">
      <c r="A6046" t="inlineStr">
        <is>
          <t>Milho</t>
        </is>
      </c>
      <c r="B6046" t="inlineStr">
        <is>
          <t>Pinheiros - ES</t>
        </is>
      </c>
      <c r="C6046" t="n">
        <v>-18.4141</v>
      </c>
      <c r="D6046" t="n">
        <v>-40.2171</v>
      </c>
      <c r="E6046" t="inlineStr">
        <is>
          <t>2025-09</t>
        </is>
      </c>
      <c r="F6046" t="n">
        <v>0</v>
      </c>
    </row>
    <row r="6047">
      <c r="A6047" t="inlineStr">
        <is>
          <t>Milho</t>
        </is>
      </c>
      <c r="B6047" t="inlineStr">
        <is>
          <t>Pinheiros - ES</t>
        </is>
      </c>
      <c r="C6047" t="n">
        <v>-18.4141</v>
      </c>
      <c r="D6047" t="n">
        <v>-40.2171</v>
      </c>
      <c r="E6047" t="inlineStr">
        <is>
          <t>2025-10</t>
        </is>
      </c>
      <c r="F6047" t="n">
        <v>0</v>
      </c>
    </row>
    <row r="6048">
      <c r="A6048" t="inlineStr">
        <is>
          <t>Milho</t>
        </is>
      </c>
      <c r="B6048" t="inlineStr">
        <is>
          <t>Pinheiros - ES</t>
        </is>
      </c>
      <c r="C6048" t="n">
        <v>-18.4141</v>
      </c>
      <c r="D6048" t="n">
        <v>-40.2171</v>
      </c>
      <c r="E6048" t="inlineStr">
        <is>
          <t>2025-11</t>
        </is>
      </c>
      <c r="F6048" t="n">
        <v>0</v>
      </c>
    </row>
    <row r="6049">
      <c r="A6049" t="inlineStr">
        <is>
          <t>Milho</t>
        </is>
      </c>
      <c r="B6049" t="inlineStr">
        <is>
          <t>Pinheiros - ES</t>
        </is>
      </c>
      <c r="C6049" t="n">
        <v>-18.4141</v>
      </c>
      <c r="D6049" t="n">
        <v>-40.2171</v>
      </c>
      <c r="E6049" t="inlineStr">
        <is>
          <t>2025-12</t>
        </is>
      </c>
      <c r="F6049" t="n">
        <v>0</v>
      </c>
    </row>
    <row r="6050">
      <c r="A6050" t="inlineStr">
        <is>
          <t>Milho</t>
        </is>
      </c>
      <c r="B6050" t="inlineStr">
        <is>
          <t>Rio Verde - GO</t>
        </is>
      </c>
      <c r="C6050" t="n">
        <v>-17.7923</v>
      </c>
      <c r="D6050" t="n">
        <v>-50.9192</v>
      </c>
      <c r="E6050" t="inlineStr">
        <is>
          <t>2025-07</t>
        </is>
      </c>
      <c r="F6050" t="n">
        <v>0</v>
      </c>
    </row>
    <row r="6051">
      <c r="A6051" t="inlineStr">
        <is>
          <t>Milho</t>
        </is>
      </c>
      <c r="B6051" t="inlineStr">
        <is>
          <t>Rio Verde - GO</t>
        </is>
      </c>
      <c r="C6051" t="n">
        <v>-17.7923</v>
      </c>
      <c r="D6051" t="n">
        <v>-50.9192</v>
      </c>
      <c r="E6051" t="inlineStr">
        <is>
          <t>2025-08</t>
        </is>
      </c>
      <c r="F6051" t="n">
        <v>0</v>
      </c>
    </row>
    <row r="6052">
      <c r="A6052" t="inlineStr">
        <is>
          <t>Milho</t>
        </is>
      </c>
      <c r="B6052" t="inlineStr">
        <is>
          <t>Rio Verde - GO</t>
        </is>
      </c>
      <c r="C6052" t="n">
        <v>-17.7923</v>
      </c>
      <c r="D6052" t="n">
        <v>-50.9192</v>
      </c>
      <c r="E6052" t="inlineStr">
        <is>
          <t>2025-09</t>
        </is>
      </c>
      <c r="F6052" t="n">
        <v>0</v>
      </c>
    </row>
    <row r="6053">
      <c r="A6053" t="inlineStr">
        <is>
          <t>Milho</t>
        </is>
      </c>
      <c r="B6053" t="inlineStr">
        <is>
          <t>Rio Verde - GO</t>
        </is>
      </c>
      <c r="C6053" t="n">
        <v>-17.7923</v>
      </c>
      <c r="D6053" t="n">
        <v>-50.9192</v>
      </c>
      <c r="E6053" t="inlineStr">
        <is>
          <t>2025-10</t>
        </is>
      </c>
      <c r="F6053" t="n">
        <v>0</v>
      </c>
    </row>
    <row r="6054">
      <c r="A6054" t="inlineStr">
        <is>
          <t>Milho</t>
        </is>
      </c>
      <c r="B6054" t="inlineStr">
        <is>
          <t>Rio Verde - GO</t>
        </is>
      </c>
      <c r="C6054" t="n">
        <v>-17.7923</v>
      </c>
      <c r="D6054" t="n">
        <v>-50.9192</v>
      </c>
      <c r="E6054" t="inlineStr">
        <is>
          <t>2025-11</t>
        </is>
      </c>
      <c r="F6054" t="n">
        <v>0</v>
      </c>
    </row>
    <row r="6055">
      <c r="A6055" t="inlineStr">
        <is>
          <t>Milho</t>
        </is>
      </c>
      <c r="B6055" t="inlineStr">
        <is>
          <t>Rio Verde - GO</t>
        </is>
      </c>
      <c r="C6055" t="n">
        <v>-17.7923</v>
      </c>
      <c r="D6055" t="n">
        <v>-50.9192</v>
      </c>
      <c r="E6055" t="inlineStr">
        <is>
          <t>2025-12</t>
        </is>
      </c>
      <c r="F6055" t="n">
        <v>0</v>
      </c>
    </row>
    <row r="6056">
      <c r="A6056" t="inlineStr">
        <is>
          <t>Milho</t>
        </is>
      </c>
      <c r="B6056" t="inlineStr">
        <is>
          <t>Balsas - MA</t>
        </is>
      </c>
      <c r="C6056" t="n">
        <v>-7.53214</v>
      </c>
      <c r="D6056" t="n">
        <v>-46.0372</v>
      </c>
      <c r="E6056" t="inlineStr">
        <is>
          <t>2025-07</t>
        </is>
      </c>
      <c r="F6056" t="n">
        <v>0</v>
      </c>
    </row>
    <row r="6057">
      <c r="A6057" t="inlineStr">
        <is>
          <t>Milho</t>
        </is>
      </c>
      <c r="B6057" t="inlineStr">
        <is>
          <t>Balsas - MA</t>
        </is>
      </c>
      <c r="C6057" t="n">
        <v>-7.53214</v>
      </c>
      <c r="D6057" t="n">
        <v>-46.0372</v>
      </c>
      <c r="E6057" t="inlineStr">
        <is>
          <t>2025-08</t>
        </is>
      </c>
      <c r="F6057" t="n">
        <v>0</v>
      </c>
    </row>
    <row r="6058">
      <c r="A6058" t="inlineStr">
        <is>
          <t>Milho</t>
        </is>
      </c>
      <c r="B6058" t="inlineStr">
        <is>
          <t>Balsas - MA</t>
        </is>
      </c>
      <c r="C6058" t="n">
        <v>-7.53214</v>
      </c>
      <c r="D6058" t="n">
        <v>-46.0372</v>
      </c>
      <c r="E6058" t="inlineStr">
        <is>
          <t>2025-09</t>
        </is>
      </c>
      <c r="F6058" t="n">
        <v>0</v>
      </c>
    </row>
    <row r="6059">
      <c r="A6059" t="inlineStr">
        <is>
          <t>Milho</t>
        </is>
      </c>
      <c r="B6059" t="inlineStr">
        <is>
          <t>Balsas - MA</t>
        </is>
      </c>
      <c r="C6059" t="n">
        <v>-7.53214</v>
      </c>
      <c r="D6059" t="n">
        <v>-46.0372</v>
      </c>
      <c r="E6059" t="inlineStr">
        <is>
          <t>2025-10</t>
        </is>
      </c>
      <c r="F6059" t="n">
        <v>0</v>
      </c>
    </row>
    <row r="6060">
      <c r="A6060" t="inlineStr">
        <is>
          <t>Milho</t>
        </is>
      </c>
      <c r="B6060" t="inlineStr">
        <is>
          <t>Balsas - MA</t>
        </is>
      </c>
      <c r="C6060" t="n">
        <v>-7.53214</v>
      </c>
      <c r="D6060" t="n">
        <v>-46.0372</v>
      </c>
      <c r="E6060" t="inlineStr">
        <is>
          <t>2025-11</t>
        </is>
      </c>
      <c r="F6060" t="n">
        <v>0</v>
      </c>
    </row>
    <row r="6061">
      <c r="A6061" t="inlineStr">
        <is>
          <t>Milho</t>
        </is>
      </c>
      <c r="B6061" t="inlineStr">
        <is>
          <t>Balsas - MA</t>
        </is>
      </c>
      <c r="C6061" t="n">
        <v>-7.53214</v>
      </c>
      <c r="D6061" t="n">
        <v>-46.0372</v>
      </c>
      <c r="E6061" t="inlineStr">
        <is>
          <t>2025-12</t>
        </is>
      </c>
      <c r="F6061" t="n">
        <v>0</v>
      </c>
    </row>
    <row r="6062">
      <c r="A6062" t="inlineStr">
        <is>
          <t>Milho</t>
        </is>
      </c>
      <c r="B6062" t="inlineStr">
        <is>
          <t>Unaí - MG</t>
        </is>
      </c>
      <c r="C6062" t="n">
        <v>-16.3592</v>
      </c>
      <c r="D6062" t="n">
        <v>-46.9022</v>
      </c>
      <c r="E6062" t="inlineStr">
        <is>
          <t>2025-07</t>
        </is>
      </c>
      <c r="F6062" t="n">
        <v>0</v>
      </c>
    </row>
    <row r="6063">
      <c r="A6063" t="inlineStr">
        <is>
          <t>Milho</t>
        </is>
      </c>
      <c r="B6063" t="inlineStr">
        <is>
          <t>Unaí - MG</t>
        </is>
      </c>
      <c r="C6063" t="n">
        <v>-16.3592</v>
      </c>
      <c r="D6063" t="n">
        <v>-46.9022</v>
      </c>
      <c r="E6063" t="inlineStr">
        <is>
          <t>2025-08</t>
        </is>
      </c>
      <c r="F6063" t="n">
        <v>0</v>
      </c>
    </row>
    <row r="6064">
      <c r="A6064" t="inlineStr">
        <is>
          <t>Milho</t>
        </is>
      </c>
      <c r="B6064" t="inlineStr">
        <is>
          <t>Unaí - MG</t>
        </is>
      </c>
      <c r="C6064" t="n">
        <v>-16.3592</v>
      </c>
      <c r="D6064" t="n">
        <v>-46.9022</v>
      </c>
      <c r="E6064" t="inlineStr">
        <is>
          <t>2025-09</t>
        </is>
      </c>
      <c r="F6064" t="n">
        <v>0</v>
      </c>
    </row>
    <row r="6065">
      <c r="A6065" t="inlineStr">
        <is>
          <t>Milho</t>
        </is>
      </c>
      <c r="B6065" t="inlineStr">
        <is>
          <t>Unaí - MG</t>
        </is>
      </c>
      <c r="C6065" t="n">
        <v>-16.3592</v>
      </c>
      <c r="D6065" t="n">
        <v>-46.9022</v>
      </c>
      <c r="E6065" t="inlineStr">
        <is>
          <t>2025-10</t>
        </is>
      </c>
      <c r="F6065" t="n">
        <v>0</v>
      </c>
    </row>
    <row r="6066">
      <c r="A6066" t="inlineStr">
        <is>
          <t>Milho</t>
        </is>
      </c>
      <c r="B6066" t="inlineStr">
        <is>
          <t>Unaí - MG</t>
        </is>
      </c>
      <c r="C6066" t="n">
        <v>-16.3592</v>
      </c>
      <c r="D6066" t="n">
        <v>-46.9022</v>
      </c>
      <c r="E6066" t="inlineStr">
        <is>
          <t>2025-11</t>
        </is>
      </c>
      <c r="F6066" t="n">
        <v>0</v>
      </c>
    </row>
    <row r="6067">
      <c r="A6067" t="inlineStr">
        <is>
          <t>Milho</t>
        </is>
      </c>
      <c r="B6067" t="inlineStr">
        <is>
          <t>Unaí - MG</t>
        </is>
      </c>
      <c r="C6067" t="n">
        <v>-16.3592</v>
      </c>
      <c r="D6067" t="n">
        <v>-46.9022</v>
      </c>
      <c r="E6067" t="inlineStr">
        <is>
          <t>2025-12</t>
        </is>
      </c>
      <c r="F6067" t="n">
        <v>0</v>
      </c>
    </row>
    <row r="6068">
      <c r="A6068" t="inlineStr">
        <is>
          <t>Milho</t>
        </is>
      </c>
      <c r="B6068" t="inlineStr">
        <is>
          <t>Maracaju - MS</t>
        </is>
      </c>
      <c r="C6068" t="n">
        <v>-21.6105</v>
      </c>
      <c r="D6068" t="n">
        <v>-55.1678</v>
      </c>
      <c r="E6068" t="inlineStr">
        <is>
          <t>2025-07</t>
        </is>
      </c>
      <c r="F6068" t="n">
        <v>0</v>
      </c>
    </row>
    <row r="6069">
      <c r="A6069" t="inlineStr">
        <is>
          <t>Milho</t>
        </is>
      </c>
      <c r="B6069" t="inlineStr">
        <is>
          <t>Maracaju - MS</t>
        </is>
      </c>
      <c r="C6069" t="n">
        <v>-21.6105</v>
      </c>
      <c r="D6069" t="n">
        <v>-55.1678</v>
      </c>
      <c r="E6069" t="inlineStr">
        <is>
          <t>2025-08</t>
        </is>
      </c>
      <c r="F6069" t="n">
        <v>0</v>
      </c>
    </row>
    <row r="6070">
      <c r="A6070" t="inlineStr">
        <is>
          <t>Milho</t>
        </is>
      </c>
      <c r="B6070" t="inlineStr">
        <is>
          <t>Maracaju - MS</t>
        </is>
      </c>
      <c r="C6070" t="n">
        <v>-21.6105</v>
      </c>
      <c r="D6070" t="n">
        <v>-55.1678</v>
      </c>
      <c r="E6070" t="inlineStr">
        <is>
          <t>2025-09</t>
        </is>
      </c>
      <c r="F6070" t="n">
        <v>0</v>
      </c>
    </row>
    <row r="6071">
      <c r="A6071" t="inlineStr">
        <is>
          <t>Milho</t>
        </is>
      </c>
      <c r="B6071" t="inlineStr">
        <is>
          <t>Maracaju - MS</t>
        </is>
      </c>
      <c r="C6071" t="n">
        <v>-21.6105</v>
      </c>
      <c r="D6071" t="n">
        <v>-55.1678</v>
      </c>
      <c r="E6071" t="inlineStr">
        <is>
          <t>2025-10</t>
        </is>
      </c>
      <c r="F6071" t="n">
        <v>0</v>
      </c>
    </row>
    <row r="6072">
      <c r="A6072" t="inlineStr">
        <is>
          <t>Milho</t>
        </is>
      </c>
      <c r="B6072" t="inlineStr">
        <is>
          <t>Maracaju - MS</t>
        </is>
      </c>
      <c r="C6072" t="n">
        <v>-21.6105</v>
      </c>
      <c r="D6072" t="n">
        <v>-55.1678</v>
      </c>
      <c r="E6072" t="inlineStr">
        <is>
          <t>2025-11</t>
        </is>
      </c>
      <c r="F6072" t="n">
        <v>0</v>
      </c>
    </row>
    <row r="6073">
      <c r="A6073" t="inlineStr">
        <is>
          <t>Milho</t>
        </is>
      </c>
      <c r="B6073" t="inlineStr">
        <is>
          <t>Maracaju - MS</t>
        </is>
      </c>
      <c r="C6073" t="n">
        <v>-21.6105</v>
      </c>
      <c r="D6073" t="n">
        <v>-55.1678</v>
      </c>
      <c r="E6073" t="inlineStr">
        <is>
          <t>2025-12</t>
        </is>
      </c>
      <c r="F6073" t="n">
        <v>0</v>
      </c>
    </row>
    <row r="6074">
      <c r="A6074" t="inlineStr">
        <is>
          <t>Milho</t>
        </is>
      </c>
      <c r="B6074" t="inlineStr">
        <is>
          <t>Sorriso - MT</t>
        </is>
      </c>
      <c r="C6074" t="n">
        <v>-12.5425</v>
      </c>
      <c r="D6074" t="n">
        <v>-55.7211</v>
      </c>
      <c r="E6074" t="inlineStr">
        <is>
          <t>2025-07</t>
        </is>
      </c>
      <c r="F6074" t="n">
        <v>0</v>
      </c>
    </row>
    <row r="6075">
      <c r="A6075" t="inlineStr">
        <is>
          <t>Milho</t>
        </is>
      </c>
      <c r="B6075" t="inlineStr">
        <is>
          <t>Sorriso - MT</t>
        </is>
      </c>
      <c r="C6075" t="n">
        <v>-12.5425</v>
      </c>
      <c r="D6075" t="n">
        <v>-55.7211</v>
      </c>
      <c r="E6075" t="inlineStr">
        <is>
          <t>2025-08</t>
        </is>
      </c>
      <c r="F6075" t="n">
        <v>0</v>
      </c>
    </row>
    <row r="6076">
      <c r="A6076" t="inlineStr">
        <is>
          <t>Milho</t>
        </is>
      </c>
      <c r="B6076" t="inlineStr">
        <is>
          <t>Sorriso - MT</t>
        </is>
      </c>
      <c r="C6076" t="n">
        <v>-12.5425</v>
      </c>
      <c r="D6076" t="n">
        <v>-55.7211</v>
      </c>
      <c r="E6076" t="inlineStr">
        <is>
          <t>2025-09</t>
        </is>
      </c>
      <c r="F6076" t="n">
        <v>0</v>
      </c>
    </row>
    <row r="6077">
      <c r="A6077" t="inlineStr">
        <is>
          <t>Milho</t>
        </is>
      </c>
      <c r="B6077" t="inlineStr">
        <is>
          <t>Sorriso - MT</t>
        </is>
      </c>
      <c r="C6077" t="n">
        <v>-12.5425</v>
      </c>
      <c r="D6077" t="n">
        <v>-55.7211</v>
      </c>
      <c r="E6077" t="inlineStr">
        <is>
          <t>2025-10</t>
        </is>
      </c>
      <c r="F6077" t="n">
        <v>0</v>
      </c>
    </row>
    <row r="6078">
      <c r="A6078" t="inlineStr">
        <is>
          <t>Milho</t>
        </is>
      </c>
      <c r="B6078" t="inlineStr">
        <is>
          <t>Sorriso - MT</t>
        </is>
      </c>
      <c r="C6078" t="n">
        <v>-12.5425</v>
      </c>
      <c r="D6078" t="n">
        <v>-55.7211</v>
      </c>
      <c r="E6078" t="inlineStr">
        <is>
          <t>2025-11</t>
        </is>
      </c>
      <c r="F6078" t="n">
        <v>0</v>
      </c>
    </row>
    <row r="6079">
      <c r="A6079" t="inlineStr">
        <is>
          <t>Milho</t>
        </is>
      </c>
      <c r="B6079" t="inlineStr">
        <is>
          <t>Sorriso - MT</t>
        </is>
      </c>
      <c r="C6079" t="n">
        <v>-12.5425</v>
      </c>
      <c r="D6079" t="n">
        <v>-55.7211</v>
      </c>
      <c r="E6079" t="inlineStr">
        <is>
          <t>2025-12</t>
        </is>
      </c>
      <c r="F6079" t="n">
        <v>0</v>
      </c>
    </row>
    <row r="6080">
      <c r="A6080" t="inlineStr">
        <is>
          <t>Milho</t>
        </is>
      </c>
      <c r="B6080" t="inlineStr">
        <is>
          <t>Santana do Araguaia - PA</t>
        </is>
      </c>
      <c r="C6080" t="n">
        <v>-9.328099999999999</v>
      </c>
      <c r="D6080" t="n">
        <v>-50.35</v>
      </c>
      <c r="E6080" t="inlineStr">
        <is>
          <t>2025-07</t>
        </is>
      </c>
      <c r="F6080" t="n">
        <v>0</v>
      </c>
    </row>
    <row r="6081">
      <c r="A6081" t="inlineStr">
        <is>
          <t>Milho</t>
        </is>
      </c>
      <c r="B6081" t="inlineStr">
        <is>
          <t>Santana do Araguaia - PA</t>
        </is>
      </c>
      <c r="C6081" t="n">
        <v>-9.328099999999999</v>
      </c>
      <c r="D6081" t="n">
        <v>-50.35</v>
      </c>
      <c r="E6081" t="inlineStr">
        <is>
          <t>2025-08</t>
        </is>
      </c>
      <c r="F6081" t="n">
        <v>0</v>
      </c>
    </row>
    <row r="6082">
      <c r="A6082" t="inlineStr">
        <is>
          <t>Milho</t>
        </is>
      </c>
      <c r="B6082" t="inlineStr">
        <is>
          <t>Santana do Araguaia - PA</t>
        </is>
      </c>
      <c r="C6082" t="n">
        <v>-9.328099999999999</v>
      </c>
      <c r="D6082" t="n">
        <v>-50.35</v>
      </c>
      <c r="E6082" t="inlineStr">
        <is>
          <t>2025-09</t>
        </is>
      </c>
      <c r="F6082" t="n">
        <v>0</v>
      </c>
    </row>
    <row r="6083">
      <c r="A6083" t="inlineStr">
        <is>
          <t>Milho</t>
        </is>
      </c>
      <c r="B6083" t="inlineStr">
        <is>
          <t>Santana do Araguaia - PA</t>
        </is>
      </c>
      <c r="C6083" t="n">
        <v>-9.328099999999999</v>
      </c>
      <c r="D6083" t="n">
        <v>-50.35</v>
      </c>
      <c r="E6083" t="inlineStr">
        <is>
          <t>2025-10</t>
        </is>
      </c>
      <c r="F6083" t="n">
        <v>0</v>
      </c>
    </row>
    <row r="6084">
      <c r="A6084" t="inlineStr">
        <is>
          <t>Milho</t>
        </is>
      </c>
      <c r="B6084" t="inlineStr">
        <is>
          <t>Santana do Araguaia - PA</t>
        </is>
      </c>
      <c r="C6084" t="n">
        <v>-9.328099999999999</v>
      </c>
      <c r="D6084" t="n">
        <v>-50.35</v>
      </c>
      <c r="E6084" t="inlineStr">
        <is>
          <t>2025-11</t>
        </is>
      </c>
      <c r="F6084" t="n">
        <v>0</v>
      </c>
    </row>
    <row r="6085">
      <c r="A6085" t="inlineStr">
        <is>
          <t>Milho</t>
        </is>
      </c>
      <c r="B6085" t="inlineStr">
        <is>
          <t>Santana do Araguaia - PA</t>
        </is>
      </c>
      <c r="C6085" t="n">
        <v>-9.328099999999999</v>
      </c>
      <c r="D6085" t="n">
        <v>-50.35</v>
      </c>
      <c r="E6085" t="inlineStr">
        <is>
          <t>2025-12</t>
        </is>
      </c>
      <c r="F6085" t="n">
        <v>0</v>
      </c>
    </row>
    <row r="6086">
      <c r="A6086" t="inlineStr">
        <is>
          <t>Milho</t>
        </is>
      </c>
      <c r="B6086" t="inlineStr">
        <is>
          <t>Sousa - PB</t>
        </is>
      </c>
      <c r="C6086" t="n">
        <v>-6.75148</v>
      </c>
      <c r="D6086" t="n">
        <v>-38.2311</v>
      </c>
      <c r="E6086" t="inlineStr">
        <is>
          <t>2025-07</t>
        </is>
      </c>
      <c r="F6086" t="n">
        <v>0</v>
      </c>
    </row>
    <row r="6087">
      <c r="A6087" t="inlineStr">
        <is>
          <t>Milho</t>
        </is>
      </c>
      <c r="B6087" t="inlineStr">
        <is>
          <t>Sousa - PB</t>
        </is>
      </c>
      <c r="C6087" t="n">
        <v>-6.75148</v>
      </c>
      <c r="D6087" t="n">
        <v>-38.2311</v>
      </c>
      <c r="E6087" t="inlineStr">
        <is>
          <t>2025-08</t>
        </is>
      </c>
      <c r="F6087" t="n">
        <v>0</v>
      </c>
    </row>
    <row r="6088">
      <c r="A6088" t="inlineStr">
        <is>
          <t>Milho</t>
        </is>
      </c>
      <c r="B6088" t="inlineStr">
        <is>
          <t>Sousa - PB</t>
        </is>
      </c>
      <c r="C6088" t="n">
        <v>-6.75148</v>
      </c>
      <c r="D6088" t="n">
        <v>-38.2311</v>
      </c>
      <c r="E6088" t="inlineStr">
        <is>
          <t>2025-09</t>
        </is>
      </c>
      <c r="F6088" t="n">
        <v>0</v>
      </c>
    </row>
    <row r="6089">
      <c r="A6089" t="inlineStr">
        <is>
          <t>Milho</t>
        </is>
      </c>
      <c r="B6089" t="inlineStr">
        <is>
          <t>Sousa - PB</t>
        </is>
      </c>
      <c r="C6089" t="n">
        <v>-6.75148</v>
      </c>
      <c r="D6089" t="n">
        <v>-38.2311</v>
      </c>
      <c r="E6089" t="inlineStr">
        <is>
          <t>2025-10</t>
        </is>
      </c>
      <c r="F6089" t="n">
        <v>0</v>
      </c>
    </row>
    <row r="6090">
      <c r="A6090" t="inlineStr">
        <is>
          <t>Milho</t>
        </is>
      </c>
      <c r="B6090" t="inlineStr">
        <is>
          <t>Sousa - PB</t>
        </is>
      </c>
      <c r="C6090" t="n">
        <v>-6.75148</v>
      </c>
      <c r="D6090" t="n">
        <v>-38.2311</v>
      </c>
      <c r="E6090" t="inlineStr">
        <is>
          <t>2025-11</t>
        </is>
      </c>
      <c r="F6090" t="n">
        <v>0</v>
      </c>
    </row>
    <row r="6091">
      <c r="A6091" t="inlineStr">
        <is>
          <t>Milho</t>
        </is>
      </c>
      <c r="B6091" t="inlineStr">
        <is>
          <t>Sousa - PB</t>
        </is>
      </c>
      <c r="C6091" t="n">
        <v>-6.75148</v>
      </c>
      <c r="D6091" t="n">
        <v>-38.2311</v>
      </c>
      <c r="E6091" t="inlineStr">
        <is>
          <t>2025-12</t>
        </is>
      </c>
      <c r="F6091" t="n">
        <v>0</v>
      </c>
    </row>
    <row r="6092">
      <c r="A6092" t="inlineStr">
        <is>
          <t>Milho</t>
        </is>
      </c>
      <c r="B6092" t="inlineStr">
        <is>
          <t>Exu - PE</t>
        </is>
      </c>
      <c r="C6092" t="n">
        <v>-7.50364</v>
      </c>
      <c r="D6092" t="n">
        <v>-39.7238</v>
      </c>
      <c r="E6092" t="inlineStr">
        <is>
          <t>2025-07</t>
        </is>
      </c>
      <c r="F6092" t="n">
        <v>9544.326553135792</v>
      </c>
    </row>
    <row r="6093">
      <c r="A6093" t="inlineStr">
        <is>
          <t>Milho</t>
        </is>
      </c>
      <c r="B6093" t="inlineStr">
        <is>
          <t>Exu - PE</t>
        </is>
      </c>
      <c r="C6093" t="n">
        <v>-7.50364</v>
      </c>
      <c r="D6093" t="n">
        <v>-39.7238</v>
      </c>
      <c r="E6093" t="inlineStr">
        <is>
          <t>2025-08</t>
        </is>
      </c>
      <c r="F6093" t="n">
        <v>26652.83284681486</v>
      </c>
    </row>
    <row r="6094">
      <c r="A6094" t="inlineStr">
        <is>
          <t>Milho</t>
        </is>
      </c>
      <c r="B6094" t="inlineStr">
        <is>
          <t>Exu - PE</t>
        </is>
      </c>
      <c r="C6094" t="n">
        <v>-7.50364</v>
      </c>
      <c r="D6094" t="n">
        <v>-39.7238</v>
      </c>
      <c r="E6094" t="inlineStr">
        <is>
          <t>2025-09</t>
        </is>
      </c>
      <c r="F6094" t="n">
        <v>12250.7831838676</v>
      </c>
    </row>
    <row r="6095">
      <c r="A6095" t="inlineStr">
        <is>
          <t>Milho</t>
        </is>
      </c>
      <c r="B6095" t="inlineStr">
        <is>
          <t>Exu - PE</t>
        </is>
      </c>
      <c r="C6095" t="n">
        <v>-7.50364</v>
      </c>
      <c r="D6095" t="n">
        <v>-39.7238</v>
      </c>
      <c r="E6095" t="inlineStr">
        <is>
          <t>2025-10</t>
        </is>
      </c>
      <c r="F6095" t="n">
        <v>34567.09873290426</v>
      </c>
    </row>
    <row r="6096">
      <c r="A6096" t="inlineStr">
        <is>
          <t>Milho</t>
        </is>
      </c>
      <c r="B6096" t="inlineStr">
        <is>
          <t>Exu - PE</t>
        </is>
      </c>
      <c r="C6096" t="n">
        <v>-7.50364</v>
      </c>
      <c r="D6096" t="n">
        <v>-39.7238</v>
      </c>
      <c r="E6096" t="inlineStr">
        <is>
          <t>2025-11</t>
        </is>
      </c>
      <c r="F6096" t="n">
        <v>110518.2428572106</v>
      </c>
    </row>
    <row r="6097">
      <c r="A6097" t="inlineStr">
        <is>
          <t>Milho</t>
        </is>
      </c>
      <c r="B6097" t="inlineStr">
        <is>
          <t>Exu - PE</t>
        </is>
      </c>
      <c r="C6097" t="n">
        <v>-7.50364</v>
      </c>
      <c r="D6097" t="n">
        <v>-39.7238</v>
      </c>
      <c r="E6097" t="inlineStr">
        <is>
          <t>2025-12</t>
        </is>
      </c>
      <c r="F6097" t="n">
        <v>0</v>
      </c>
    </row>
    <row r="6098">
      <c r="A6098" t="inlineStr">
        <is>
          <t>Milho</t>
        </is>
      </c>
      <c r="B6098" t="inlineStr">
        <is>
          <t>Baixa Grande do Ribeiro - PI</t>
        </is>
      </c>
      <c r="C6098" t="n">
        <v>-7.84903</v>
      </c>
      <c r="D6098" t="n">
        <v>-45.219</v>
      </c>
      <c r="E6098" t="inlineStr">
        <is>
          <t>2025-07</t>
        </is>
      </c>
      <c r="F6098" t="n">
        <v>0</v>
      </c>
    </row>
    <row r="6099">
      <c r="A6099" t="inlineStr">
        <is>
          <t>Milho</t>
        </is>
      </c>
      <c r="B6099" t="inlineStr">
        <is>
          <t>Baixa Grande do Ribeiro - PI</t>
        </is>
      </c>
      <c r="C6099" t="n">
        <v>-7.84903</v>
      </c>
      <c r="D6099" t="n">
        <v>-45.219</v>
      </c>
      <c r="E6099" t="inlineStr">
        <is>
          <t>2025-08</t>
        </is>
      </c>
      <c r="F6099" t="n">
        <v>0</v>
      </c>
    </row>
    <row r="6100">
      <c r="A6100" t="inlineStr">
        <is>
          <t>Milho</t>
        </is>
      </c>
      <c r="B6100" t="inlineStr">
        <is>
          <t>Baixa Grande do Ribeiro - PI</t>
        </is>
      </c>
      <c r="C6100" t="n">
        <v>-7.84903</v>
      </c>
      <c r="D6100" t="n">
        <v>-45.219</v>
      </c>
      <c r="E6100" t="inlineStr">
        <is>
          <t>2025-09</t>
        </is>
      </c>
      <c r="F6100" t="n">
        <v>0</v>
      </c>
    </row>
    <row r="6101">
      <c r="A6101" t="inlineStr">
        <is>
          <t>Milho</t>
        </is>
      </c>
      <c r="B6101" t="inlineStr">
        <is>
          <t>Baixa Grande do Ribeiro - PI</t>
        </is>
      </c>
      <c r="C6101" t="n">
        <v>-7.84903</v>
      </c>
      <c r="D6101" t="n">
        <v>-45.219</v>
      </c>
      <c r="E6101" t="inlineStr">
        <is>
          <t>2025-10</t>
        </is>
      </c>
      <c r="F6101" t="n">
        <v>0</v>
      </c>
    </row>
    <row r="6102">
      <c r="A6102" t="inlineStr">
        <is>
          <t>Milho</t>
        </is>
      </c>
      <c r="B6102" t="inlineStr">
        <is>
          <t>Baixa Grande do Ribeiro - PI</t>
        </is>
      </c>
      <c r="C6102" t="n">
        <v>-7.84903</v>
      </c>
      <c r="D6102" t="n">
        <v>-45.219</v>
      </c>
      <c r="E6102" t="inlineStr">
        <is>
          <t>2025-11</t>
        </is>
      </c>
      <c r="F6102" t="n">
        <v>0</v>
      </c>
    </row>
    <row r="6103">
      <c r="A6103" t="inlineStr">
        <is>
          <t>Milho</t>
        </is>
      </c>
      <c r="B6103" t="inlineStr">
        <is>
          <t>Baixa Grande do Ribeiro - PI</t>
        </is>
      </c>
      <c r="C6103" t="n">
        <v>-7.84903</v>
      </c>
      <c r="D6103" t="n">
        <v>-45.219</v>
      </c>
      <c r="E6103" t="inlineStr">
        <is>
          <t>2025-12</t>
        </is>
      </c>
      <c r="F6103" t="n">
        <v>0</v>
      </c>
    </row>
    <row r="6104">
      <c r="A6104" t="inlineStr">
        <is>
          <t>Milho</t>
        </is>
      </c>
      <c r="B6104" t="inlineStr">
        <is>
          <t>Toledo - PR</t>
        </is>
      </c>
      <c r="C6104" t="n">
        <v>-24.7246</v>
      </c>
      <c r="D6104" t="n">
        <v>-53.7412</v>
      </c>
      <c r="E6104" t="inlineStr">
        <is>
          <t>2025-07</t>
        </is>
      </c>
      <c r="F6104" t="n">
        <v>0</v>
      </c>
    </row>
    <row r="6105">
      <c r="A6105" t="inlineStr">
        <is>
          <t>Milho</t>
        </is>
      </c>
      <c r="B6105" t="inlineStr">
        <is>
          <t>Toledo - PR</t>
        </is>
      </c>
      <c r="C6105" t="n">
        <v>-24.7246</v>
      </c>
      <c r="D6105" t="n">
        <v>-53.7412</v>
      </c>
      <c r="E6105" t="inlineStr">
        <is>
          <t>2025-08</t>
        </is>
      </c>
      <c r="F6105" t="n">
        <v>0</v>
      </c>
    </row>
    <row r="6106">
      <c r="A6106" t="inlineStr">
        <is>
          <t>Milho</t>
        </is>
      </c>
      <c r="B6106" t="inlineStr">
        <is>
          <t>Toledo - PR</t>
        </is>
      </c>
      <c r="C6106" t="n">
        <v>-24.7246</v>
      </c>
      <c r="D6106" t="n">
        <v>-53.7412</v>
      </c>
      <c r="E6106" t="inlineStr">
        <is>
          <t>2025-09</t>
        </is>
      </c>
      <c r="F6106" t="n">
        <v>0</v>
      </c>
    </row>
    <row r="6107">
      <c r="A6107" t="inlineStr">
        <is>
          <t>Milho</t>
        </is>
      </c>
      <c r="B6107" t="inlineStr">
        <is>
          <t>Toledo - PR</t>
        </is>
      </c>
      <c r="C6107" t="n">
        <v>-24.7246</v>
      </c>
      <c r="D6107" t="n">
        <v>-53.7412</v>
      </c>
      <c r="E6107" t="inlineStr">
        <is>
          <t>2025-10</t>
        </is>
      </c>
      <c r="F6107" t="n">
        <v>0</v>
      </c>
    </row>
    <row r="6108">
      <c r="A6108" t="inlineStr">
        <is>
          <t>Milho</t>
        </is>
      </c>
      <c r="B6108" t="inlineStr">
        <is>
          <t>Toledo - PR</t>
        </is>
      </c>
      <c r="C6108" t="n">
        <v>-24.7246</v>
      </c>
      <c r="D6108" t="n">
        <v>-53.7412</v>
      </c>
      <c r="E6108" t="inlineStr">
        <is>
          <t>2025-11</t>
        </is>
      </c>
      <c r="F6108" t="n">
        <v>0</v>
      </c>
    </row>
    <row r="6109">
      <c r="A6109" t="inlineStr">
        <is>
          <t>Milho</t>
        </is>
      </c>
      <c r="B6109" t="inlineStr">
        <is>
          <t>Toledo - PR</t>
        </is>
      </c>
      <c r="C6109" t="n">
        <v>-24.7246</v>
      </c>
      <c r="D6109" t="n">
        <v>-53.7412</v>
      </c>
      <c r="E6109" t="inlineStr">
        <is>
          <t>2025-12</t>
        </is>
      </c>
      <c r="F6109" t="n">
        <v>0</v>
      </c>
    </row>
    <row r="6110">
      <c r="A6110" t="inlineStr">
        <is>
          <t>Milho</t>
        </is>
      </c>
      <c r="B6110" t="inlineStr">
        <is>
          <t>Macaé - RJ</t>
        </is>
      </c>
      <c r="C6110" t="n">
        <v>-22.3768</v>
      </c>
      <c r="D6110" t="n">
        <v>-41.7848</v>
      </c>
      <c r="E6110" t="inlineStr">
        <is>
          <t>2025-07</t>
        </is>
      </c>
      <c r="F6110" t="n">
        <v>0</v>
      </c>
    </row>
    <row r="6111">
      <c r="A6111" t="inlineStr">
        <is>
          <t>Milho</t>
        </is>
      </c>
      <c r="B6111" t="inlineStr">
        <is>
          <t>Macaé - RJ</t>
        </is>
      </c>
      <c r="C6111" t="n">
        <v>-22.3768</v>
      </c>
      <c r="D6111" t="n">
        <v>-41.7848</v>
      </c>
      <c r="E6111" t="inlineStr">
        <is>
          <t>2025-08</t>
        </is>
      </c>
      <c r="F6111" t="n">
        <v>0</v>
      </c>
    </row>
    <row r="6112">
      <c r="A6112" t="inlineStr">
        <is>
          <t>Milho</t>
        </is>
      </c>
      <c r="B6112" t="inlineStr">
        <is>
          <t>Macaé - RJ</t>
        </is>
      </c>
      <c r="C6112" t="n">
        <v>-22.3768</v>
      </c>
      <c r="D6112" t="n">
        <v>-41.7848</v>
      </c>
      <c r="E6112" t="inlineStr">
        <is>
          <t>2025-09</t>
        </is>
      </c>
      <c r="F6112" t="n">
        <v>0</v>
      </c>
    </row>
    <row r="6113">
      <c r="A6113" t="inlineStr">
        <is>
          <t>Milho</t>
        </is>
      </c>
      <c r="B6113" t="inlineStr">
        <is>
          <t>Macaé - RJ</t>
        </is>
      </c>
      <c r="C6113" t="n">
        <v>-22.3768</v>
      </c>
      <c r="D6113" t="n">
        <v>-41.7848</v>
      </c>
      <c r="E6113" t="inlineStr">
        <is>
          <t>2025-10</t>
        </is>
      </c>
      <c r="F6113" t="n">
        <v>0</v>
      </c>
    </row>
    <row r="6114">
      <c r="A6114" t="inlineStr">
        <is>
          <t>Milho</t>
        </is>
      </c>
      <c r="B6114" t="inlineStr">
        <is>
          <t>Macaé - RJ</t>
        </is>
      </c>
      <c r="C6114" t="n">
        <v>-22.3768</v>
      </c>
      <c r="D6114" t="n">
        <v>-41.7848</v>
      </c>
      <c r="E6114" t="inlineStr">
        <is>
          <t>2025-11</t>
        </is>
      </c>
      <c r="F6114" t="n">
        <v>0</v>
      </c>
    </row>
    <row r="6115">
      <c r="A6115" t="inlineStr">
        <is>
          <t>Milho</t>
        </is>
      </c>
      <c r="B6115" t="inlineStr">
        <is>
          <t>Macaé - RJ</t>
        </is>
      </c>
      <c r="C6115" t="n">
        <v>-22.3768</v>
      </c>
      <c r="D6115" t="n">
        <v>-41.7848</v>
      </c>
      <c r="E6115" t="inlineStr">
        <is>
          <t>2025-12</t>
        </is>
      </c>
      <c r="F6115" t="n">
        <v>0</v>
      </c>
    </row>
    <row r="6116">
      <c r="A6116" t="inlineStr">
        <is>
          <t>Milho</t>
        </is>
      </c>
      <c r="B6116" t="inlineStr">
        <is>
          <t>Apodi - RN</t>
        </is>
      </c>
      <c r="C6116" t="n">
        <v>-5.65349</v>
      </c>
      <c r="D6116" t="n">
        <v>-37.7946</v>
      </c>
      <c r="E6116" t="inlineStr">
        <is>
          <t>2025-07</t>
        </is>
      </c>
      <c r="F6116" t="n">
        <v>0</v>
      </c>
    </row>
    <row r="6117">
      <c r="A6117" t="inlineStr">
        <is>
          <t>Milho</t>
        </is>
      </c>
      <c r="B6117" t="inlineStr">
        <is>
          <t>Apodi - RN</t>
        </is>
      </c>
      <c r="C6117" t="n">
        <v>-5.65349</v>
      </c>
      <c r="D6117" t="n">
        <v>-37.7946</v>
      </c>
      <c r="E6117" t="inlineStr">
        <is>
          <t>2025-08</t>
        </is>
      </c>
      <c r="F6117" t="n">
        <v>0</v>
      </c>
    </row>
    <row r="6118">
      <c r="A6118" t="inlineStr">
        <is>
          <t>Milho</t>
        </is>
      </c>
      <c r="B6118" t="inlineStr">
        <is>
          <t>Apodi - RN</t>
        </is>
      </c>
      <c r="C6118" t="n">
        <v>-5.65349</v>
      </c>
      <c r="D6118" t="n">
        <v>-37.7946</v>
      </c>
      <c r="E6118" t="inlineStr">
        <is>
          <t>2025-09</t>
        </is>
      </c>
      <c r="F6118" t="n">
        <v>0</v>
      </c>
    </row>
    <row r="6119">
      <c r="A6119" t="inlineStr">
        <is>
          <t>Milho</t>
        </is>
      </c>
      <c r="B6119" t="inlineStr">
        <is>
          <t>Apodi - RN</t>
        </is>
      </c>
      <c r="C6119" t="n">
        <v>-5.65349</v>
      </c>
      <c r="D6119" t="n">
        <v>-37.7946</v>
      </c>
      <c r="E6119" t="inlineStr">
        <is>
          <t>2025-10</t>
        </is>
      </c>
      <c r="F6119" t="n">
        <v>0</v>
      </c>
    </row>
    <row r="6120">
      <c r="A6120" t="inlineStr">
        <is>
          <t>Milho</t>
        </is>
      </c>
      <c r="B6120" t="inlineStr">
        <is>
          <t>Apodi - RN</t>
        </is>
      </c>
      <c r="C6120" t="n">
        <v>-5.65349</v>
      </c>
      <c r="D6120" t="n">
        <v>-37.7946</v>
      </c>
      <c r="E6120" t="inlineStr">
        <is>
          <t>2025-11</t>
        </is>
      </c>
      <c r="F6120" t="n">
        <v>0</v>
      </c>
    </row>
    <row r="6121">
      <c r="A6121" t="inlineStr">
        <is>
          <t>Milho</t>
        </is>
      </c>
      <c r="B6121" t="inlineStr">
        <is>
          <t>Apodi - RN</t>
        </is>
      </c>
      <c r="C6121" t="n">
        <v>-5.65349</v>
      </c>
      <c r="D6121" t="n">
        <v>-37.7946</v>
      </c>
      <c r="E6121" t="inlineStr">
        <is>
          <t>2025-12</t>
        </is>
      </c>
      <c r="F6121" t="n">
        <v>0</v>
      </c>
    </row>
    <row r="6122">
      <c r="A6122" t="inlineStr">
        <is>
          <t>Milho</t>
        </is>
      </c>
      <c r="B6122" t="inlineStr">
        <is>
          <t>Pimenteiras do Oeste - RO</t>
        </is>
      </c>
      <c r="C6122" t="n">
        <v>-13.4823</v>
      </c>
      <c r="D6122" t="n">
        <v>-61.0471</v>
      </c>
      <c r="E6122" t="inlineStr">
        <is>
          <t>2025-07</t>
        </is>
      </c>
      <c r="F6122" t="n">
        <v>0</v>
      </c>
    </row>
    <row r="6123">
      <c r="A6123" t="inlineStr">
        <is>
          <t>Milho</t>
        </is>
      </c>
      <c r="B6123" t="inlineStr">
        <is>
          <t>Pimenteiras do Oeste - RO</t>
        </is>
      </c>
      <c r="C6123" t="n">
        <v>-13.4823</v>
      </c>
      <c r="D6123" t="n">
        <v>-61.0471</v>
      </c>
      <c r="E6123" t="inlineStr">
        <is>
          <t>2025-08</t>
        </is>
      </c>
      <c r="F6123" t="n">
        <v>0</v>
      </c>
    </row>
    <row r="6124">
      <c r="A6124" t="inlineStr">
        <is>
          <t>Milho</t>
        </is>
      </c>
      <c r="B6124" t="inlineStr">
        <is>
          <t>Pimenteiras do Oeste - RO</t>
        </is>
      </c>
      <c r="C6124" t="n">
        <v>-13.4823</v>
      </c>
      <c r="D6124" t="n">
        <v>-61.0471</v>
      </c>
      <c r="E6124" t="inlineStr">
        <is>
          <t>2025-09</t>
        </is>
      </c>
      <c r="F6124" t="n">
        <v>0</v>
      </c>
    </row>
    <row r="6125">
      <c r="A6125" t="inlineStr">
        <is>
          <t>Milho</t>
        </is>
      </c>
      <c r="B6125" t="inlineStr">
        <is>
          <t>Pimenteiras do Oeste - RO</t>
        </is>
      </c>
      <c r="C6125" t="n">
        <v>-13.4823</v>
      </c>
      <c r="D6125" t="n">
        <v>-61.0471</v>
      </c>
      <c r="E6125" t="inlineStr">
        <is>
          <t>2025-10</t>
        </is>
      </c>
      <c r="F6125" t="n">
        <v>0</v>
      </c>
    </row>
    <row r="6126">
      <c r="A6126" t="inlineStr">
        <is>
          <t>Milho</t>
        </is>
      </c>
      <c r="B6126" t="inlineStr">
        <is>
          <t>Pimenteiras do Oeste - RO</t>
        </is>
      </c>
      <c r="C6126" t="n">
        <v>-13.4823</v>
      </c>
      <c r="D6126" t="n">
        <v>-61.0471</v>
      </c>
      <c r="E6126" t="inlineStr">
        <is>
          <t>2025-11</t>
        </is>
      </c>
      <c r="F6126" t="n">
        <v>0</v>
      </c>
    </row>
    <row r="6127">
      <c r="A6127" t="inlineStr">
        <is>
          <t>Milho</t>
        </is>
      </c>
      <c r="B6127" t="inlineStr">
        <is>
          <t>Pimenteiras do Oeste - RO</t>
        </is>
      </c>
      <c r="C6127" t="n">
        <v>-13.4823</v>
      </c>
      <c r="D6127" t="n">
        <v>-61.0471</v>
      </c>
      <c r="E6127" t="inlineStr">
        <is>
          <t>2025-12</t>
        </is>
      </c>
      <c r="F6127" t="n">
        <v>0</v>
      </c>
    </row>
    <row r="6128">
      <c r="A6128" t="inlineStr">
        <is>
          <t>Milho</t>
        </is>
      </c>
      <c r="B6128" t="inlineStr">
        <is>
          <t>Bonfim - RR</t>
        </is>
      </c>
      <c r="C6128" t="n">
        <v>3.36161</v>
      </c>
      <c r="D6128" t="n">
        <v>-59.8333</v>
      </c>
      <c r="E6128" t="inlineStr">
        <is>
          <t>2025-07</t>
        </is>
      </c>
      <c r="F6128" t="n">
        <v>0</v>
      </c>
    </row>
    <row r="6129">
      <c r="A6129" t="inlineStr">
        <is>
          <t>Milho</t>
        </is>
      </c>
      <c r="B6129" t="inlineStr">
        <is>
          <t>Bonfim - RR</t>
        </is>
      </c>
      <c r="C6129" t="n">
        <v>3.36161</v>
      </c>
      <c r="D6129" t="n">
        <v>-59.8333</v>
      </c>
      <c r="E6129" t="inlineStr">
        <is>
          <t>2025-08</t>
        </is>
      </c>
      <c r="F6129" t="n">
        <v>14759.20748811472</v>
      </c>
    </row>
    <row r="6130">
      <c r="A6130" t="inlineStr">
        <is>
          <t>Milho</t>
        </is>
      </c>
      <c r="B6130" t="inlineStr">
        <is>
          <t>Bonfim - RR</t>
        </is>
      </c>
      <c r="C6130" t="n">
        <v>3.36161</v>
      </c>
      <c r="D6130" t="n">
        <v>-59.8333</v>
      </c>
      <c r="E6130" t="inlineStr">
        <is>
          <t>2025-09</t>
        </is>
      </c>
      <c r="F6130" t="n">
        <v>15829.24866551932</v>
      </c>
    </row>
    <row r="6131">
      <c r="A6131" t="inlineStr">
        <is>
          <t>Milho</t>
        </is>
      </c>
      <c r="B6131" t="inlineStr">
        <is>
          <t>Bonfim - RR</t>
        </is>
      </c>
      <c r="C6131" t="n">
        <v>3.36161</v>
      </c>
      <c r="D6131" t="n">
        <v>-59.8333</v>
      </c>
      <c r="E6131" t="inlineStr">
        <is>
          <t>2025-10</t>
        </is>
      </c>
      <c r="F6131" t="n">
        <v>104216.4230899862</v>
      </c>
    </row>
    <row r="6132">
      <c r="A6132" t="inlineStr">
        <is>
          <t>Milho</t>
        </is>
      </c>
      <c r="B6132" t="inlineStr">
        <is>
          <t>Bonfim - RR</t>
        </is>
      </c>
      <c r="C6132" t="n">
        <v>3.36161</v>
      </c>
      <c r="D6132" t="n">
        <v>-59.8333</v>
      </c>
      <c r="E6132" t="inlineStr">
        <is>
          <t>2025-11</t>
        </is>
      </c>
      <c r="F6132" t="n">
        <v>142800.7272683397</v>
      </c>
    </row>
    <row r="6133">
      <c r="A6133" t="inlineStr">
        <is>
          <t>Milho</t>
        </is>
      </c>
      <c r="B6133" t="inlineStr">
        <is>
          <t>Bonfim - RR</t>
        </is>
      </c>
      <c r="C6133" t="n">
        <v>3.36161</v>
      </c>
      <c r="D6133" t="n">
        <v>-59.8333</v>
      </c>
      <c r="E6133" t="inlineStr">
        <is>
          <t>2025-12</t>
        </is>
      </c>
      <c r="F6133" t="n">
        <v>157271.2987395111</v>
      </c>
    </row>
    <row r="6134">
      <c r="A6134" t="inlineStr">
        <is>
          <t>Milho</t>
        </is>
      </c>
      <c r="B6134" t="inlineStr">
        <is>
          <t>Campos Novos - SC</t>
        </is>
      </c>
      <c r="C6134" t="n">
        <v>-27.4002</v>
      </c>
      <c r="D6134" t="n">
        <v>-51.2276</v>
      </c>
      <c r="E6134" t="inlineStr">
        <is>
          <t>2025-07</t>
        </is>
      </c>
      <c r="F6134" t="n">
        <v>0</v>
      </c>
    </row>
    <row r="6135">
      <c r="A6135" t="inlineStr">
        <is>
          <t>Milho</t>
        </is>
      </c>
      <c r="B6135" t="inlineStr">
        <is>
          <t>Campos Novos - SC</t>
        </is>
      </c>
      <c r="C6135" t="n">
        <v>-27.4002</v>
      </c>
      <c r="D6135" t="n">
        <v>-51.2276</v>
      </c>
      <c r="E6135" t="inlineStr">
        <is>
          <t>2025-08</t>
        </is>
      </c>
      <c r="F6135" t="n">
        <v>0</v>
      </c>
    </row>
    <row r="6136">
      <c r="A6136" t="inlineStr">
        <is>
          <t>Milho</t>
        </is>
      </c>
      <c r="B6136" t="inlineStr">
        <is>
          <t>Campos Novos - SC</t>
        </is>
      </c>
      <c r="C6136" t="n">
        <v>-27.4002</v>
      </c>
      <c r="D6136" t="n">
        <v>-51.2276</v>
      </c>
      <c r="E6136" t="inlineStr">
        <is>
          <t>2025-09</t>
        </is>
      </c>
      <c r="F6136" t="n">
        <v>0</v>
      </c>
    </row>
    <row r="6137">
      <c r="A6137" t="inlineStr">
        <is>
          <t>Milho</t>
        </is>
      </c>
      <c r="B6137" t="inlineStr">
        <is>
          <t>Campos Novos - SC</t>
        </is>
      </c>
      <c r="C6137" t="n">
        <v>-27.4002</v>
      </c>
      <c r="D6137" t="n">
        <v>-51.2276</v>
      </c>
      <c r="E6137" t="inlineStr">
        <is>
          <t>2025-10</t>
        </is>
      </c>
      <c r="F6137" t="n">
        <v>0</v>
      </c>
    </row>
    <row r="6138">
      <c r="A6138" t="inlineStr">
        <is>
          <t>Milho</t>
        </is>
      </c>
      <c r="B6138" t="inlineStr">
        <is>
          <t>Campos Novos - SC</t>
        </is>
      </c>
      <c r="C6138" t="n">
        <v>-27.4002</v>
      </c>
      <c r="D6138" t="n">
        <v>-51.2276</v>
      </c>
      <c r="E6138" t="inlineStr">
        <is>
          <t>2025-11</t>
        </is>
      </c>
      <c r="F6138" t="n">
        <v>0</v>
      </c>
    </row>
    <row r="6139">
      <c r="A6139" t="inlineStr">
        <is>
          <t>Milho</t>
        </is>
      </c>
      <c r="B6139" t="inlineStr">
        <is>
          <t>Campos Novos - SC</t>
        </is>
      </c>
      <c r="C6139" t="n">
        <v>-27.4002</v>
      </c>
      <c r="D6139" t="n">
        <v>-51.2276</v>
      </c>
      <c r="E6139" t="inlineStr">
        <is>
          <t>2025-12</t>
        </is>
      </c>
      <c r="F6139" t="n">
        <v>0</v>
      </c>
    </row>
    <row r="6140">
      <c r="A6140" t="inlineStr">
        <is>
          <t>Milho</t>
        </is>
      </c>
      <c r="B6140" t="inlineStr">
        <is>
          <t>Carira - SE</t>
        </is>
      </c>
      <c r="C6140" t="n">
        <v>-10.3524</v>
      </c>
      <c r="D6140" t="n">
        <v>-37.7002</v>
      </c>
      <c r="E6140" t="inlineStr">
        <is>
          <t>2025-07</t>
        </is>
      </c>
      <c r="F6140" t="n">
        <v>0</v>
      </c>
    </row>
    <row r="6141">
      <c r="A6141" t="inlineStr">
        <is>
          <t>Milho</t>
        </is>
      </c>
      <c r="B6141" t="inlineStr">
        <is>
          <t>Carira - SE</t>
        </is>
      </c>
      <c r="C6141" t="n">
        <v>-10.3524</v>
      </c>
      <c r="D6141" t="n">
        <v>-37.7002</v>
      </c>
      <c r="E6141" t="inlineStr">
        <is>
          <t>2025-08</t>
        </is>
      </c>
      <c r="F6141" t="n">
        <v>89349.18850391122</v>
      </c>
    </row>
    <row r="6142">
      <c r="A6142" t="inlineStr">
        <is>
          <t>Milho</t>
        </is>
      </c>
      <c r="B6142" t="inlineStr">
        <is>
          <t>Carira - SE</t>
        </is>
      </c>
      <c r="C6142" t="n">
        <v>-10.3524</v>
      </c>
      <c r="D6142" t="n">
        <v>-37.7002</v>
      </c>
      <c r="E6142" t="inlineStr">
        <is>
          <t>2025-09</t>
        </is>
      </c>
      <c r="F6142" t="n">
        <v>191653.9928081776</v>
      </c>
    </row>
    <row r="6143">
      <c r="A6143" t="inlineStr">
        <is>
          <t>Milho</t>
        </is>
      </c>
      <c r="B6143" t="inlineStr">
        <is>
          <t>Carira - SE</t>
        </is>
      </c>
      <c r="C6143" t="n">
        <v>-10.3524</v>
      </c>
      <c r="D6143" t="n">
        <v>-37.7002</v>
      </c>
      <c r="E6143" t="inlineStr">
        <is>
          <t>2025-10</t>
        </is>
      </c>
      <c r="F6143" t="n">
        <v>1261809.326736412</v>
      </c>
    </row>
    <row r="6144">
      <c r="A6144" t="inlineStr">
        <is>
          <t>Milho</t>
        </is>
      </c>
      <c r="B6144" t="inlineStr">
        <is>
          <t>Carira - SE</t>
        </is>
      </c>
      <c r="C6144" t="n">
        <v>-10.3524</v>
      </c>
      <c r="D6144" t="n">
        <v>-37.7002</v>
      </c>
      <c r="E6144" t="inlineStr">
        <is>
          <t>2025-11</t>
        </is>
      </c>
      <c r="F6144" t="n">
        <v>1728972.115808949</v>
      </c>
    </row>
    <row r="6145">
      <c r="A6145" t="inlineStr">
        <is>
          <t>Milho</t>
        </is>
      </c>
      <c r="B6145" t="inlineStr">
        <is>
          <t>Carira - SE</t>
        </is>
      </c>
      <c r="C6145" t="n">
        <v>-10.3524</v>
      </c>
      <c r="D6145" t="n">
        <v>-37.7002</v>
      </c>
      <c r="E6145" t="inlineStr">
        <is>
          <t>2025-12</t>
        </is>
      </c>
      <c r="F6145" t="n">
        <v>0</v>
      </c>
    </row>
    <row r="6146">
      <c r="A6146" t="inlineStr">
        <is>
          <t>Milho</t>
        </is>
      </c>
      <c r="B6146" t="inlineStr">
        <is>
          <t>Itapeva - SP</t>
        </is>
      </c>
      <c r="C6146" t="n">
        <v>-23.9788</v>
      </c>
      <c r="D6146" t="n">
        <v>-48.8764</v>
      </c>
      <c r="E6146" t="inlineStr">
        <is>
          <t>2025-07</t>
        </is>
      </c>
      <c r="F6146" t="n">
        <v>0</v>
      </c>
    </row>
    <row r="6147">
      <c r="A6147" t="inlineStr">
        <is>
          <t>Milho</t>
        </is>
      </c>
      <c r="B6147" t="inlineStr">
        <is>
          <t>Itapeva - SP</t>
        </is>
      </c>
      <c r="C6147" t="n">
        <v>-23.9788</v>
      </c>
      <c r="D6147" t="n">
        <v>-48.8764</v>
      </c>
      <c r="E6147" t="inlineStr">
        <is>
          <t>2025-08</t>
        </is>
      </c>
      <c r="F6147" t="n">
        <v>0</v>
      </c>
    </row>
    <row r="6148">
      <c r="A6148" t="inlineStr">
        <is>
          <t>Milho</t>
        </is>
      </c>
      <c r="B6148" t="inlineStr">
        <is>
          <t>Itapeva - SP</t>
        </is>
      </c>
      <c r="C6148" t="n">
        <v>-23.9788</v>
      </c>
      <c r="D6148" t="n">
        <v>-48.8764</v>
      </c>
      <c r="E6148" t="inlineStr">
        <is>
          <t>2025-09</t>
        </is>
      </c>
      <c r="F6148" t="n">
        <v>0</v>
      </c>
    </row>
    <row r="6149">
      <c r="A6149" t="inlineStr">
        <is>
          <t>Milho</t>
        </is>
      </c>
      <c r="B6149" t="inlineStr">
        <is>
          <t>Itapeva - SP</t>
        </is>
      </c>
      <c r="C6149" t="n">
        <v>-23.9788</v>
      </c>
      <c r="D6149" t="n">
        <v>-48.8764</v>
      </c>
      <c r="E6149" t="inlineStr">
        <is>
          <t>2025-10</t>
        </is>
      </c>
      <c r="F6149" t="n">
        <v>0</v>
      </c>
    </row>
    <row r="6150">
      <c r="A6150" t="inlineStr">
        <is>
          <t>Milho</t>
        </is>
      </c>
      <c r="B6150" t="inlineStr">
        <is>
          <t>Itapeva - SP</t>
        </is>
      </c>
      <c r="C6150" t="n">
        <v>-23.9788</v>
      </c>
      <c r="D6150" t="n">
        <v>-48.8764</v>
      </c>
      <c r="E6150" t="inlineStr">
        <is>
          <t>2025-11</t>
        </is>
      </c>
      <c r="F6150" t="n">
        <v>0</v>
      </c>
    </row>
    <row r="6151">
      <c r="A6151" t="inlineStr">
        <is>
          <t>Milho</t>
        </is>
      </c>
      <c r="B6151" t="inlineStr">
        <is>
          <t>Itapeva - SP</t>
        </is>
      </c>
      <c r="C6151" t="n">
        <v>-23.9788</v>
      </c>
      <c r="D6151" t="n">
        <v>-48.8764</v>
      </c>
      <c r="E6151" t="inlineStr">
        <is>
          <t>2025-12</t>
        </is>
      </c>
      <c r="F6151" t="n">
        <v>0</v>
      </c>
    </row>
    <row r="6152">
      <c r="A6152" t="inlineStr">
        <is>
          <t>Milho</t>
        </is>
      </c>
      <c r="B6152" t="inlineStr">
        <is>
          <t>Campos Lindos - TO</t>
        </is>
      </c>
      <c r="C6152" t="n">
        <v>-7.98956</v>
      </c>
      <c r="D6152" t="n">
        <v>-46.8645</v>
      </c>
      <c r="E6152" t="inlineStr">
        <is>
          <t>2025-07</t>
        </is>
      </c>
      <c r="F6152" t="n">
        <v>0</v>
      </c>
    </row>
    <row r="6153">
      <c r="A6153" t="inlineStr">
        <is>
          <t>Milho</t>
        </is>
      </c>
      <c r="B6153" t="inlineStr">
        <is>
          <t>Campos Lindos - TO</t>
        </is>
      </c>
      <c r="C6153" t="n">
        <v>-7.98956</v>
      </c>
      <c r="D6153" t="n">
        <v>-46.8645</v>
      </c>
      <c r="E6153" t="inlineStr">
        <is>
          <t>2025-08</t>
        </is>
      </c>
      <c r="F6153" t="n">
        <v>0</v>
      </c>
    </row>
    <row r="6154">
      <c r="A6154" t="inlineStr">
        <is>
          <t>Milho</t>
        </is>
      </c>
      <c r="B6154" t="inlineStr">
        <is>
          <t>Campos Lindos - TO</t>
        </is>
      </c>
      <c r="C6154" t="n">
        <v>-7.98956</v>
      </c>
      <c r="D6154" t="n">
        <v>-46.8645</v>
      </c>
      <c r="E6154" t="inlineStr">
        <is>
          <t>2025-09</t>
        </is>
      </c>
      <c r="F6154" t="n">
        <v>0</v>
      </c>
    </row>
    <row r="6155">
      <c r="A6155" t="inlineStr">
        <is>
          <t>Milho</t>
        </is>
      </c>
      <c r="B6155" t="inlineStr">
        <is>
          <t>Campos Lindos - TO</t>
        </is>
      </c>
      <c r="C6155" t="n">
        <v>-7.98956</v>
      </c>
      <c r="D6155" t="n">
        <v>-46.8645</v>
      </c>
      <c r="E6155" t="inlineStr">
        <is>
          <t>2025-10</t>
        </is>
      </c>
      <c r="F6155" t="n">
        <v>0</v>
      </c>
    </row>
    <row r="6156">
      <c r="A6156" t="inlineStr">
        <is>
          <t>Milho</t>
        </is>
      </c>
      <c r="B6156" t="inlineStr">
        <is>
          <t>Campos Lindos - TO</t>
        </is>
      </c>
      <c r="C6156" t="n">
        <v>-7.98956</v>
      </c>
      <c r="D6156" t="n">
        <v>-46.8645</v>
      </c>
      <c r="E6156" t="inlineStr">
        <is>
          <t>2025-11</t>
        </is>
      </c>
      <c r="F6156" t="n">
        <v>0</v>
      </c>
    </row>
    <row r="6157">
      <c r="A6157" t="inlineStr">
        <is>
          <t>Milho</t>
        </is>
      </c>
      <c r="B6157" t="inlineStr">
        <is>
          <t>Campos Lindos - TO</t>
        </is>
      </c>
      <c r="C6157" t="n">
        <v>-7.98956</v>
      </c>
      <c r="D6157" t="n">
        <v>-46.8645</v>
      </c>
      <c r="E6157" t="inlineStr">
        <is>
          <t>2025-12</t>
        </is>
      </c>
      <c r="F6157" t="n">
        <v>0</v>
      </c>
    </row>
    <row r="6158">
      <c r="A6158" t="inlineStr">
        <is>
          <t>Soja</t>
        </is>
      </c>
      <c r="B6158" t="inlineStr">
        <is>
          <t>Plácido de Castro - AC</t>
        </is>
      </c>
      <c r="C6158" t="n">
        <v>-10.2806</v>
      </c>
      <c r="D6158" t="n">
        <v>-67.1371</v>
      </c>
      <c r="E6158" t="inlineStr">
        <is>
          <t>2025-07</t>
        </is>
      </c>
      <c r="F6158" t="n">
        <v>0</v>
      </c>
    </row>
    <row r="6159">
      <c r="A6159" t="inlineStr">
        <is>
          <t>Soja</t>
        </is>
      </c>
      <c r="B6159" t="inlineStr">
        <is>
          <t>Plácido de Castro - AC</t>
        </is>
      </c>
      <c r="C6159" t="n">
        <v>-10.2806</v>
      </c>
      <c r="D6159" t="n">
        <v>-67.1371</v>
      </c>
      <c r="E6159" t="inlineStr">
        <is>
          <t>2025-08</t>
        </is>
      </c>
      <c r="F6159" t="n">
        <v>0</v>
      </c>
    </row>
    <row r="6160">
      <c r="A6160" t="inlineStr">
        <is>
          <t>Soja</t>
        </is>
      </c>
      <c r="B6160" t="inlineStr">
        <is>
          <t>Plácido de Castro - AC</t>
        </is>
      </c>
      <c r="C6160" t="n">
        <v>-10.2806</v>
      </c>
      <c r="D6160" t="n">
        <v>-67.1371</v>
      </c>
      <c r="E6160" t="inlineStr">
        <is>
          <t>2025-09</t>
        </is>
      </c>
      <c r="F6160" t="n">
        <v>0</v>
      </c>
    </row>
    <row r="6161">
      <c r="A6161" t="inlineStr">
        <is>
          <t>Soja</t>
        </is>
      </c>
      <c r="B6161" t="inlineStr">
        <is>
          <t>Plácido de Castro - AC</t>
        </is>
      </c>
      <c r="C6161" t="n">
        <v>-10.2806</v>
      </c>
      <c r="D6161" t="n">
        <v>-67.1371</v>
      </c>
      <c r="E6161" t="inlineStr">
        <is>
          <t>2025-10</t>
        </is>
      </c>
      <c r="F6161" t="n">
        <v>0</v>
      </c>
    </row>
    <row r="6162">
      <c r="A6162" t="inlineStr">
        <is>
          <t>Soja</t>
        </is>
      </c>
      <c r="B6162" t="inlineStr">
        <is>
          <t>Plácido de Castro - AC</t>
        </is>
      </c>
      <c r="C6162" t="n">
        <v>-10.2806</v>
      </c>
      <c r="D6162" t="n">
        <v>-67.1371</v>
      </c>
      <c r="E6162" t="inlineStr">
        <is>
          <t>2025-11</t>
        </is>
      </c>
      <c r="F6162" t="n">
        <v>0</v>
      </c>
    </row>
    <row r="6163">
      <c r="A6163" t="inlineStr">
        <is>
          <t>Soja</t>
        </is>
      </c>
      <c r="B6163" t="inlineStr">
        <is>
          <t>Plácido de Castro - AC</t>
        </is>
      </c>
      <c r="C6163" t="n">
        <v>-10.2806</v>
      </c>
      <c r="D6163" t="n">
        <v>-67.1371</v>
      </c>
      <c r="E6163" t="inlineStr">
        <is>
          <t>2025-12</t>
        </is>
      </c>
      <c r="F6163" t="n">
        <v>0</v>
      </c>
    </row>
    <row r="6164">
      <c r="A6164" t="inlineStr">
        <is>
          <t>Soja</t>
        </is>
      </c>
      <c r="B6164" t="inlineStr">
        <is>
          <t>Anadia - AL</t>
        </is>
      </c>
      <c r="C6164" t="n">
        <v>-9.684889999999999</v>
      </c>
      <c r="D6164" t="n">
        <v>-36.3078</v>
      </c>
      <c r="E6164" t="inlineStr">
        <is>
          <t>2025-07</t>
        </is>
      </c>
      <c r="F6164" t="n">
        <v>0</v>
      </c>
    </row>
    <row r="6165">
      <c r="A6165" t="inlineStr">
        <is>
          <t>Soja</t>
        </is>
      </c>
      <c r="B6165" t="inlineStr">
        <is>
          <t>Anadia - AL</t>
        </is>
      </c>
      <c r="C6165" t="n">
        <v>-9.684889999999999</v>
      </c>
      <c r="D6165" t="n">
        <v>-36.3078</v>
      </c>
      <c r="E6165" t="inlineStr">
        <is>
          <t>2025-08</t>
        </is>
      </c>
      <c r="F6165" t="n">
        <v>0</v>
      </c>
    </row>
    <row r="6166">
      <c r="A6166" t="inlineStr">
        <is>
          <t>Soja</t>
        </is>
      </c>
      <c r="B6166" t="inlineStr">
        <is>
          <t>Anadia - AL</t>
        </is>
      </c>
      <c r="C6166" t="n">
        <v>-9.684889999999999</v>
      </c>
      <c r="D6166" t="n">
        <v>-36.3078</v>
      </c>
      <c r="E6166" t="inlineStr">
        <is>
          <t>2025-09</t>
        </is>
      </c>
      <c r="F6166" t="n">
        <v>0</v>
      </c>
    </row>
    <row r="6167">
      <c r="A6167" t="inlineStr">
        <is>
          <t>Soja</t>
        </is>
      </c>
      <c r="B6167" t="inlineStr">
        <is>
          <t>Anadia - AL</t>
        </is>
      </c>
      <c r="C6167" t="n">
        <v>-9.684889999999999</v>
      </c>
      <c r="D6167" t="n">
        <v>-36.3078</v>
      </c>
      <c r="E6167" t="inlineStr">
        <is>
          <t>2025-10</t>
        </is>
      </c>
      <c r="F6167" t="n">
        <v>0</v>
      </c>
    </row>
    <row r="6168">
      <c r="A6168" t="inlineStr">
        <is>
          <t>Soja</t>
        </is>
      </c>
      <c r="B6168" t="inlineStr">
        <is>
          <t>Anadia - AL</t>
        </is>
      </c>
      <c r="C6168" t="n">
        <v>-9.684889999999999</v>
      </c>
      <c r="D6168" t="n">
        <v>-36.3078</v>
      </c>
      <c r="E6168" t="inlineStr">
        <is>
          <t>2025-11</t>
        </is>
      </c>
      <c r="F6168" t="n">
        <v>0</v>
      </c>
    </row>
    <row r="6169">
      <c r="A6169" t="inlineStr">
        <is>
          <t>Soja</t>
        </is>
      </c>
      <c r="B6169" t="inlineStr">
        <is>
          <t>Anadia - AL</t>
        </is>
      </c>
      <c r="C6169" t="n">
        <v>-9.684889999999999</v>
      </c>
      <c r="D6169" t="n">
        <v>-36.3078</v>
      </c>
      <c r="E6169" t="inlineStr">
        <is>
          <t>2025-12</t>
        </is>
      </c>
      <c r="F6169" t="n">
        <v>0</v>
      </c>
    </row>
    <row r="6170">
      <c r="A6170" t="inlineStr">
        <is>
          <t>Soja</t>
        </is>
      </c>
      <c r="B6170" t="inlineStr">
        <is>
          <t>Macapá - AP</t>
        </is>
      </c>
      <c r="C6170" t="n">
        <v>0.034934</v>
      </c>
      <c r="D6170" t="n">
        <v>-51.0694</v>
      </c>
      <c r="E6170" t="inlineStr">
        <is>
          <t>2025-07</t>
        </is>
      </c>
      <c r="F6170" t="n">
        <v>0</v>
      </c>
    </row>
    <row r="6171">
      <c r="A6171" t="inlineStr">
        <is>
          <t>Soja</t>
        </is>
      </c>
      <c r="B6171" t="inlineStr">
        <is>
          <t>Macapá - AP</t>
        </is>
      </c>
      <c r="C6171" t="n">
        <v>0.034934</v>
      </c>
      <c r="D6171" t="n">
        <v>-51.0694</v>
      </c>
      <c r="E6171" t="inlineStr">
        <is>
          <t>2025-08</t>
        </is>
      </c>
      <c r="F6171" t="n">
        <v>0</v>
      </c>
    </row>
    <row r="6172">
      <c r="A6172" t="inlineStr">
        <is>
          <t>Soja</t>
        </is>
      </c>
      <c r="B6172" t="inlineStr">
        <is>
          <t>Macapá - AP</t>
        </is>
      </c>
      <c r="C6172" t="n">
        <v>0.034934</v>
      </c>
      <c r="D6172" t="n">
        <v>-51.0694</v>
      </c>
      <c r="E6172" t="inlineStr">
        <is>
          <t>2025-09</t>
        </is>
      </c>
      <c r="F6172" t="n">
        <v>0</v>
      </c>
    </row>
    <row r="6173">
      <c r="A6173" t="inlineStr">
        <is>
          <t>Soja</t>
        </is>
      </c>
      <c r="B6173" t="inlineStr">
        <is>
          <t>Macapá - AP</t>
        </is>
      </c>
      <c r="C6173" t="n">
        <v>0.034934</v>
      </c>
      <c r="D6173" t="n">
        <v>-51.0694</v>
      </c>
      <c r="E6173" t="inlineStr">
        <is>
          <t>2025-10</t>
        </is>
      </c>
      <c r="F6173" t="n">
        <v>0</v>
      </c>
    </row>
    <row r="6174">
      <c r="A6174" t="inlineStr">
        <is>
          <t>Soja</t>
        </is>
      </c>
      <c r="B6174" t="inlineStr">
        <is>
          <t>Macapá - AP</t>
        </is>
      </c>
      <c r="C6174" t="n">
        <v>0.034934</v>
      </c>
      <c r="D6174" t="n">
        <v>-51.0694</v>
      </c>
      <c r="E6174" t="inlineStr">
        <is>
          <t>2025-11</t>
        </is>
      </c>
      <c r="F6174" t="n">
        <v>0</v>
      </c>
    </row>
    <row r="6175">
      <c r="A6175" t="inlineStr">
        <is>
          <t>Soja</t>
        </is>
      </c>
      <c r="B6175" t="inlineStr">
        <is>
          <t>Macapá - AP</t>
        </is>
      </c>
      <c r="C6175" t="n">
        <v>0.034934</v>
      </c>
      <c r="D6175" t="n">
        <v>-51.0694</v>
      </c>
      <c r="E6175" t="inlineStr">
        <is>
          <t>2025-12</t>
        </is>
      </c>
      <c r="F6175" t="n">
        <v>0</v>
      </c>
    </row>
    <row r="6176">
      <c r="A6176" t="inlineStr">
        <is>
          <t>Soja</t>
        </is>
      </c>
      <c r="B6176" t="inlineStr">
        <is>
          <t>Limoeiro do Norte - CE</t>
        </is>
      </c>
      <c r="C6176" t="n">
        <v>-5.14392</v>
      </c>
      <c r="D6176" t="n">
        <v>-38.0847</v>
      </c>
      <c r="E6176" t="inlineStr">
        <is>
          <t>2025-07</t>
        </is>
      </c>
      <c r="F6176" t="n">
        <v>0</v>
      </c>
    </row>
    <row r="6177">
      <c r="A6177" t="inlineStr">
        <is>
          <t>Soja</t>
        </is>
      </c>
      <c r="B6177" t="inlineStr">
        <is>
          <t>Limoeiro do Norte - CE</t>
        </is>
      </c>
      <c r="C6177" t="n">
        <v>-5.14392</v>
      </c>
      <c r="D6177" t="n">
        <v>-38.0847</v>
      </c>
      <c r="E6177" t="inlineStr">
        <is>
          <t>2025-08</t>
        </is>
      </c>
      <c r="F6177" t="n">
        <v>0</v>
      </c>
    </row>
    <row r="6178">
      <c r="A6178" t="inlineStr">
        <is>
          <t>Soja</t>
        </is>
      </c>
      <c r="B6178" t="inlineStr">
        <is>
          <t>Limoeiro do Norte - CE</t>
        </is>
      </c>
      <c r="C6178" t="n">
        <v>-5.14392</v>
      </c>
      <c r="D6178" t="n">
        <v>-38.0847</v>
      </c>
      <c r="E6178" t="inlineStr">
        <is>
          <t>2025-09</t>
        </is>
      </c>
      <c r="F6178" t="n">
        <v>0</v>
      </c>
    </row>
    <row r="6179">
      <c r="A6179" t="inlineStr">
        <is>
          <t>Soja</t>
        </is>
      </c>
      <c r="B6179" t="inlineStr">
        <is>
          <t>Limoeiro do Norte - CE</t>
        </is>
      </c>
      <c r="C6179" t="n">
        <v>-5.14392</v>
      </c>
      <c r="D6179" t="n">
        <v>-38.0847</v>
      </c>
      <c r="E6179" t="inlineStr">
        <is>
          <t>2025-10</t>
        </is>
      </c>
      <c r="F6179" t="n">
        <v>0</v>
      </c>
    </row>
    <row r="6180">
      <c r="A6180" t="inlineStr">
        <is>
          <t>Soja</t>
        </is>
      </c>
      <c r="B6180" t="inlineStr">
        <is>
          <t>Limoeiro do Norte - CE</t>
        </is>
      </c>
      <c r="C6180" t="n">
        <v>-5.14392</v>
      </c>
      <c r="D6180" t="n">
        <v>-38.0847</v>
      </c>
      <c r="E6180" t="inlineStr">
        <is>
          <t>2025-11</t>
        </is>
      </c>
      <c r="F6180" t="n">
        <v>0</v>
      </c>
    </row>
    <row r="6181">
      <c r="A6181" t="inlineStr">
        <is>
          <t>Soja</t>
        </is>
      </c>
      <c r="B6181" t="inlineStr">
        <is>
          <t>Limoeiro do Norte - CE</t>
        </is>
      </c>
      <c r="C6181" t="n">
        <v>-5.14392</v>
      </c>
      <c r="D6181" t="n">
        <v>-38.0847</v>
      </c>
      <c r="E6181" t="inlineStr">
        <is>
          <t>2025-12</t>
        </is>
      </c>
      <c r="F6181" t="n">
        <v>0</v>
      </c>
    </row>
    <row r="6182">
      <c r="A6182" t="inlineStr">
        <is>
          <t>Soja</t>
        </is>
      </c>
      <c r="B6182" t="inlineStr">
        <is>
          <t>Pinheiros - ES</t>
        </is>
      </c>
      <c r="C6182" t="n">
        <v>-18.4141</v>
      </c>
      <c r="D6182" t="n">
        <v>-40.2171</v>
      </c>
      <c r="E6182" t="inlineStr">
        <is>
          <t>2025-07</t>
        </is>
      </c>
      <c r="F6182" t="n">
        <v>0</v>
      </c>
    </row>
    <row r="6183">
      <c r="A6183" t="inlineStr">
        <is>
          <t>Soja</t>
        </is>
      </c>
      <c r="B6183" t="inlineStr">
        <is>
          <t>Pinheiros - ES</t>
        </is>
      </c>
      <c r="C6183" t="n">
        <v>-18.4141</v>
      </c>
      <c r="D6183" t="n">
        <v>-40.2171</v>
      </c>
      <c r="E6183" t="inlineStr">
        <is>
          <t>2025-08</t>
        </is>
      </c>
      <c r="F6183" t="n">
        <v>0</v>
      </c>
    </row>
    <row r="6184">
      <c r="A6184" t="inlineStr">
        <is>
          <t>Soja</t>
        </is>
      </c>
      <c r="B6184" t="inlineStr">
        <is>
          <t>Pinheiros - ES</t>
        </is>
      </c>
      <c r="C6184" t="n">
        <v>-18.4141</v>
      </c>
      <c r="D6184" t="n">
        <v>-40.2171</v>
      </c>
      <c r="E6184" t="inlineStr">
        <is>
          <t>2025-09</t>
        </is>
      </c>
      <c r="F6184" t="n">
        <v>0</v>
      </c>
    </row>
    <row r="6185">
      <c r="A6185" t="inlineStr">
        <is>
          <t>Soja</t>
        </is>
      </c>
      <c r="B6185" t="inlineStr">
        <is>
          <t>Pinheiros - ES</t>
        </is>
      </c>
      <c r="C6185" t="n">
        <v>-18.4141</v>
      </c>
      <c r="D6185" t="n">
        <v>-40.2171</v>
      </c>
      <c r="E6185" t="inlineStr">
        <is>
          <t>2025-10</t>
        </is>
      </c>
      <c r="F6185" t="n">
        <v>0</v>
      </c>
    </row>
    <row r="6186">
      <c r="A6186" t="inlineStr">
        <is>
          <t>Soja</t>
        </is>
      </c>
      <c r="B6186" t="inlineStr">
        <is>
          <t>Pinheiros - ES</t>
        </is>
      </c>
      <c r="C6186" t="n">
        <v>-18.4141</v>
      </c>
      <c r="D6186" t="n">
        <v>-40.2171</v>
      </c>
      <c r="E6186" t="inlineStr">
        <is>
          <t>2025-11</t>
        </is>
      </c>
      <c r="F6186" t="n">
        <v>0</v>
      </c>
    </row>
    <row r="6187">
      <c r="A6187" t="inlineStr">
        <is>
          <t>Soja</t>
        </is>
      </c>
      <c r="B6187" t="inlineStr">
        <is>
          <t>Pinheiros - ES</t>
        </is>
      </c>
      <c r="C6187" t="n">
        <v>-18.4141</v>
      </c>
      <c r="D6187" t="n">
        <v>-40.2171</v>
      </c>
      <c r="E6187" t="inlineStr">
        <is>
          <t>2025-12</t>
        </is>
      </c>
      <c r="F6187" t="n">
        <v>0</v>
      </c>
    </row>
    <row r="6188">
      <c r="A6188" t="inlineStr">
        <is>
          <t>Soja</t>
        </is>
      </c>
      <c r="B6188" t="inlineStr">
        <is>
          <t>Campos dos Goytacazes - RJ</t>
        </is>
      </c>
      <c r="C6188" t="n">
        <v>-21.7622</v>
      </c>
      <c r="D6188" t="n">
        <v>-41.3181</v>
      </c>
      <c r="E6188" t="inlineStr">
        <is>
          <t>2025-07</t>
        </is>
      </c>
      <c r="F6188" t="n">
        <v>0</v>
      </c>
    </row>
    <row r="6189">
      <c r="A6189" t="inlineStr">
        <is>
          <t>Soja</t>
        </is>
      </c>
      <c r="B6189" t="inlineStr">
        <is>
          <t>Campos dos Goytacazes - RJ</t>
        </is>
      </c>
      <c r="C6189" t="n">
        <v>-21.7622</v>
      </c>
      <c r="D6189" t="n">
        <v>-41.3181</v>
      </c>
      <c r="E6189" t="inlineStr">
        <is>
          <t>2025-08</t>
        </is>
      </c>
      <c r="F6189" t="n">
        <v>0</v>
      </c>
    </row>
    <row r="6190">
      <c r="A6190" t="inlineStr">
        <is>
          <t>Soja</t>
        </is>
      </c>
      <c r="B6190" t="inlineStr">
        <is>
          <t>Campos dos Goytacazes - RJ</t>
        </is>
      </c>
      <c r="C6190" t="n">
        <v>-21.7622</v>
      </c>
      <c r="D6190" t="n">
        <v>-41.3181</v>
      </c>
      <c r="E6190" t="inlineStr">
        <is>
          <t>2025-09</t>
        </is>
      </c>
      <c r="F6190" t="n">
        <v>0</v>
      </c>
    </row>
    <row r="6191">
      <c r="A6191" t="inlineStr">
        <is>
          <t>Soja</t>
        </is>
      </c>
      <c r="B6191" t="inlineStr">
        <is>
          <t>Campos dos Goytacazes - RJ</t>
        </is>
      </c>
      <c r="C6191" t="n">
        <v>-21.7622</v>
      </c>
      <c r="D6191" t="n">
        <v>-41.3181</v>
      </c>
      <c r="E6191" t="inlineStr">
        <is>
          <t>2025-10</t>
        </is>
      </c>
      <c r="F6191" t="n">
        <v>0</v>
      </c>
    </row>
    <row r="6192">
      <c r="A6192" t="inlineStr">
        <is>
          <t>Soja</t>
        </is>
      </c>
      <c r="B6192" t="inlineStr">
        <is>
          <t>Campos dos Goytacazes - RJ</t>
        </is>
      </c>
      <c r="C6192" t="n">
        <v>-21.7622</v>
      </c>
      <c r="D6192" t="n">
        <v>-41.3181</v>
      </c>
      <c r="E6192" t="inlineStr">
        <is>
          <t>2025-11</t>
        </is>
      </c>
      <c r="F6192" t="n">
        <v>0</v>
      </c>
    </row>
    <row r="6193">
      <c r="A6193" t="inlineStr">
        <is>
          <t>Soja</t>
        </is>
      </c>
      <c r="B6193" t="inlineStr">
        <is>
          <t>Campos dos Goytacazes - RJ</t>
        </is>
      </c>
      <c r="C6193" t="n">
        <v>-21.7622</v>
      </c>
      <c r="D6193" t="n">
        <v>-41.3181</v>
      </c>
      <c r="E6193" t="inlineStr">
        <is>
          <t>2025-12</t>
        </is>
      </c>
      <c r="F6193" t="n">
        <v>0</v>
      </c>
    </row>
    <row r="6194">
      <c r="A6194" t="inlineStr">
        <is>
          <t>Soja</t>
        </is>
      </c>
      <c r="B6194" t="inlineStr">
        <is>
          <t>Alto do Rodrigues - RN</t>
        </is>
      </c>
      <c r="C6194" t="n">
        <v>-5.28186</v>
      </c>
      <c r="D6194" t="n">
        <v>-36.75</v>
      </c>
      <c r="E6194" t="inlineStr">
        <is>
          <t>2025-07</t>
        </is>
      </c>
      <c r="F6194" t="n">
        <v>0</v>
      </c>
    </row>
    <row r="6195">
      <c r="A6195" t="inlineStr">
        <is>
          <t>Soja</t>
        </is>
      </c>
      <c r="B6195" t="inlineStr">
        <is>
          <t>Alto do Rodrigues - RN</t>
        </is>
      </c>
      <c r="C6195" t="n">
        <v>-5.28186</v>
      </c>
      <c r="D6195" t="n">
        <v>-36.75</v>
      </c>
      <c r="E6195" t="inlineStr">
        <is>
          <t>2025-08</t>
        </is>
      </c>
      <c r="F6195" t="n">
        <v>0</v>
      </c>
    </row>
    <row r="6196">
      <c r="A6196" t="inlineStr">
        <is>
          <t>Soja</t>
        </is>
      </c>
      <c r="B6196" t="inlineStr">
        <is>
          <t>Alto do Rodrigues - RN</t>
        </is>
      </c>
      <c r="C6196" t="n">
        <v>-5.28186</v>
      </c>
      <c r="D6196" t="n">
        <v>-36.75</v>
      </c>
      <c r="E6196" t="inlineStr">
        <is>
          <t>2025-09</t>
        </is>
      </c>
      <c r="F6196" t="n">
        <v>0</v>
      </c>
    </row>
    <row r="6197">
      <c r="A6197" t="inlineStr">
        <is>
          <t>Soja</t>
        </is>
      </c>
      <c r="B6197" t="inlineStr">
        <is>
          <t>Alto do Rodrigues - RN</t>
        </is>
      </c>
      <c r="C6197" t="n">
        <v>-5.28186</v>
      </c>
      <c r="D6197" t="n">
        <v>-36.75</v>
      </c>
      <c r="E6197" t="inlineStr">
        <is>
          <t>2025-10</t>
        </is>
      </c>
      <c r="F6197" t="n">
        <v>0</v>
      </c>
    </row>
    <row r="6198">
      <c r="A6198" t="inlineStr">
        <is>
          <t>Soja</t>
        </is>
      </c>
      <c r="B6198" t="inlineStr">
        <is>
          <t>Alto do Rodrigues - RN</t>
        </is>
      </c>
      <c r="C6198" t="n">
        <v>-5.28186</v>
      </c>
      <c r="D6198" t="n">
        <v>-36.75</v>
      </c>
      <c r="E6198" t="inlineStr">
        <is>
          <t>2025-11</t>
        </is>
      </c>
      <c r="F6198" t="n">
        <v>0</v>
      </c>
    </row>
    <row r="6199">
      <c r="A6199" t="inlineStr">
        <is>
          <t>Soja</t>
        </is>
      </c>
      <c r="B6199" t="inlineStr">
        <is>
          <t>Alto do Rodrigues - RN</t>
        </is>
      </c>
      <c r="C6199" t="n">
        <v>-5.28186</v>
      </c>
      <c r="D6199" t="n">
        <v>-36.75</v>
      </c>
      <c r="E6199" t="inlineStr">
        <is>
          <t>2025-12</t>
        </is>
      </c>
      <c r="F6199" t="n">
        <v>0</v>
      </c>
    </row>
    <row r="6200">
      <c r="A6200" t="inlineStr">
        <is>
          <t>Soja</t>
        </is>
      </c>
      <c r="B6200" t="inlineStr">
        <is>
          <t>Humaitá - AM</t>
        </is>
      </c>
      <c r="C6200" t="n">
        <v>-7.51171</v>
      </c>
      <c r="D6200" t="n">
        <v>-63.0327</v>
      </c>
      <c r="E6200" t="inlineStr">
        <is>
          <t>2025-07</t>
        </is>
      </c>
      <c r="F6200" t="n">
        <v>0</v>
      </c>
    </row>
    <row r="6201">
      <c r="A6201" t="inlineStr">
        <is>
          <t>Soja</t>
        </is>
      </c>
      <c r="B6201" t="inlineStr">
        <is>
          <t>Humaitá - AM</t>
        </is>
      </c>
      <c r="C6201" t="n">
        <v>-7.51171</v>
      </c>
      <c r="D6201" t="n">
        <v>-63.0327</v>
      </c>
      <c r="E6201" t="inlineStr">
        <is>
          <t>2025-08</t>
        </is>
      </c>
      <c r="F6201" t="n">
        <v>0</v>
      </c>
    </row>
    <row r="6202">
      <c r="A6202" t="inlineStr">
        <is>
          <t>Soja</t>
        </is>
      </c>
      <c r="B6202" t="inlineStr">
        <is>
          <t>Humaitá - AM</t>
        </is>
      </c>
      <c r="C6202" t="n">
        <v>-7.51171</v>
      </c>
      <c r="D6202" t="n">
        <v>-63.0327</v>
      </c>
      <c r="E6202" t="inlineStr">
        <is>
          <t>2025-09</t>
        </is>
      </c>
      <c r="F6202" t="n">
        <v>0</v>
      </c>
    </row>
    <row r="6203">
      <c r="A6203" t="inlineStr">
        <is>
          <t>Soja</t>
        </is>
      </c>
      <c r="B6203" t="inlineStr">
        <is>
          <t>Humaitá - AM</t>
        </is>
      </c>
      <c r="C6203" t="n">
        <v>-7.51171</v>
      </c>
      <c r="D6203" t="n">
        <v>-63.0327</v>
      </c>
      <c r="E6203" t="inlineStr">
        <is>
          <t>2025-10</t>
        </is>
      </c>
      <c r="F6203" t="n">
        <v>0</v>
      </c>
    </row>
    <row r="6204">
      <c r="A6204" t="inlineStr">
        <is>
          <t>Soja</t>
        </is>
      </c>
      <c r="B6204" t="inlineStr">
        <is>
          <t>Humaitá - AM</t>
        </is>
      </c>
      <c r="C6204" t="n">
        <v>-7.51171</v>
      </c>
      <c r="D6204" t="n">
        <v>-63.0327</v>
      </c>
      <c r="E6204" t="inlineStr">
        <is>
          <t>2025-11</t>
        </is>
      </c>
      <c r="F6204" t="n">
        <v>0</v>
      </c>
    </row>
    <row r="6205">
      <c r="A6205" t="inlineStr">
        <is>
          <t>Soja</t>
        </is>
      </c>
      <c r="B6205" t="inlineStr">
        <is>
          <t>Humaitá - AM</t>
        </is>
      </c>
      <c r="C6205" t="n">
        <v>-7.51171</v>
      </c>
      <c r="D6205" t="n">
        <v>-63.0327</v>
      </c>
      <c r="E6205" t="inlineStr">
        <is>
          <t>2025-12</t>
        </is>
      </c>
      <c r="F6205" t="n">
        <v>4659.3340867554</v>
      </c>
    </row>
    <row r="6206">
      <c r="A6206" t="inlineStr">
        <is>
          <t>Soja</t>
        </is>
      </c>
      <c r="B6206" t="inlineStr">
        <is>
          <t>São Desidério - BA</t>
        </is>
      </c>
      <c r="C6206" t="n">
        <v>-12.3572</v>
      </c>
      <c r="D6206" t="n">
        <v>-44.9769</v>
      </c>
      <c r="E6206" t="inlineStr">
        <is>
          <t>2025-07</t>
        </is>
      </c>
      <c r="F6206" t="n">
        <v>0</v>
      </c>
    </row>
    <row r="6207">
      <c r="A6207" t="inlineStr">
        <is>
          <t>Soja</t>
        </is>
      </c>
      <c r="B6207" t="inlineStr">
        <is>
          <t>São Desidério - BA</t>
        </is>
      </c>
      <c r="C6207" t="n">
        <v>-12.3572</v>
      </c>
      <c r="D6207" t="n">
        <v>-44.9769</v>
      </c>
      <c r="E6207" t="inlineStr">
        <is>
          <t>2025-08</t>
        </is>
      </c>
      <c r="F6207" t="n">
        <v>0</v>
      </c>
    </row>
    <row r="6208">
      <c r="A6208" t="inlineStr">
        <is>
          <t>Soja</t>
        </is>
      </c>
      <c r="B6208" t="inlineStr">
        <is>
          <t>São Desidério - BA</t>
        </is>
      </c>
      <c r="C6208" t="n">
        <v>-12.3572</v>
      </c>
      <c r="D6208" t="n">
        <v>-44.9769</v>
      </c>
      <c r="E6208" t="inlineStr">
        <is>
          <t>2025-09</t>
        </is>
      </c>
      <c r="F6208" t="n">
        <v>0</v>
      </c>
    </row>
    <row r="6209">
      <c r="A6209" t="inlineStr">
        <is>
          <t>Soja</t>
        </is>
      </c>
      <c r="B6209" t="inlineStr">
        <is>
          <t>São Desidério - BA</t>
        </is>
      </c>
      <c r="C6209" t="n">
        <v>-12.3572</v>
      </c>
      <c r="D6209" t="n">
        <v>-44.9769</v>
      </c>
      <c r="E6209" t="inlineStr">
        <is>
          <t>2025-10</t>
        </is>
      </c>
      <c r="F6209" t="n">
        <v>0</v>
      </c>
    </row>
    <row r="6210">
      <c r="A6210" t="inlineStr">
        <is>
          <t>Soja</t>
        </is>
      </c>
      <c r="B6210" t="inlineStr">
        <is>
          <t>São Desidério - BA</t>
        </is>
      </c>
      <c r="C6210" t="n">
        <v>-12.3572</v>
      </c>
      <c r="D6210" t="n">
        <v>-44.9769</v>
      </c>
      <c r="E6210" t="inlineStr">
        <is>
          <t>2025-11</t>
        </is>
      </c>
      <c r="F6210" t="n">
        <v>0</v>
      </c>
    </row>
    <row r="6211">
      <c r="A6211" t="inlineStr">
        <is>
          <t>Soja</t>
        </is>
      </c>
      <c r="B6211" t="inlineStr">
        <is>
          <t>São Desidério - BA</t>
        </is>
      </c>
      <c r="C6211" t="n">
        <v>-12.3572</v>
      </c>
      <c r="D6211" t="n">
        <v>-44.9769</v>
      </c>
      <c r="E6211" t="inlineStr">
        <is>
          <t>2025-12</t>
        </is>
      </c>
      <c r="F6211" t="n">
        <v>0</v>
      </c>
    </row>
    <row r="6212">
      <c r="A6212" t="inlineStr">
        <is>
          <t>Soja</t>
        </is>
      </c>
      <c r="B6212" t="inlineStr">
        <is>
          <t>Brasília - DF</t>
        </is>
      </c>
      <c r="C6212" t="n">
        <v>-15.7795</v>
      </c>
      <c r="D6212" t="n">
        <v>-47.9297</v>
      </c>
      <c r="E6212" t="inlineStr">
        <is>
          <t>2025-07</t>
        </is>
      </c>
      <c r="F6212" t="n">
        <v>0</v>
      </c>
    </row>
    <row r="6213">
      <c r="A6213" t="inlineStr">
        <is>
          <t>Soja</t>
        </is>
      </c>
      <c r="B6213" t="inlineStr">
        <is>
          <t>Brasília - DF</t>
        </is>
      </c>
      <c r="C6213" t="n">
        <v>-15.7795</v>
      </c>
      <c r="D6213" t="n">
        <v>-47.9297</v>
      </c>
      <c r="E6213" t="inlineStr">
        <is>
          <t>2025-08</t>
        </is>
      </c>
      <c r="F6213" t="n">
        <v>0</v>
      </c>
    </row>
    <row r="6214">
      <c r="A6214" t="inlineStr">
        <is>
          <t>Soja</t>
        </is>
      </c>
      <c r="B6214" t="inlineStr">
        <is>
          <t>Brasília - DF</t>
        </is>
      </c>
      <c r="C6214" t="n">
        <v>-15.7795</v>
      </c>
      <c r="D6214" t="n">
        <v>-47.9297</v>
      </c>
      <c r="E6214" t="inlineStr">
        <is>
          <t>2025-09</t>
        </is>
      </c>
      <c r="F6214" t="n">
        <v>0</v>
      </c>
    </row>
    <row r="6215">
      <c r="A6215" t="inlineStr">
        <is>
          <t>Soja</t>
        </is>
      </c>
      <c r="B6215" t="inlineStr">
        <is>
          <t>Brasília - DF</t>
        </is>
      </c>
      <c r="C6215" t="n">
        <v>-15.7795</v>
      </c>
      <c r="D6215" t="n">
        <v>-47.9297</v>
      </c>
      <c r="E6215" t="inlineStr">
        <is>
          <t>2025-10</t>
        </is>
      </c>
      <c r="F6215" t="n">
        <v>0</v>
      </c>
    </row>
    <row r="6216">
      <c r="A6216" t="inlineStr">
        <is>
          <t>Soja</t>
        </is>
      </c>
      <c r="B6216" t="inlineStr">
        <is>
          <t>Brasília - DF</t>
        </is>
      </c>
      <c r="C6216" t="n">
        <v>-15.7795</v>
      </c>
      <c r="D6216" t="n">
        <v>-47.9297</v>
      </c>
      <c r="E6216" t="inlineStr">
        <is>
          <t>2025-11</t>
        </is>
      </c>
      <c r="F6216" t="n">
        <v>0</v>
      </c>
    </row>
    <row r="6217">
      <c r="A6217" t="inlineStr">
        <is>
          <t>Soja</t>
        </is>
      </c>
      <c r="B6217" t="inlineStr">
        <is>
          <t>Brasília - DF</t>
        </is>
      </c>
      <c r="C6217" t="n">
        <v>-15.7795</v>
      </c>
      <c r="D6217" t="n">
        <v>-47.9297</v>
      </c>
      <c r="E6217" t="inlineStr">
        <is>
          <t>2025-12</t>
        </is>
      </c>
      <c r="F6217" t="n">
        <v>0</v>
      </c>
    </row>
    <row r="6218">
      <c r="A6218" t="inlineStr">
        <is>
          <t>Soja</t>
        </is>
      </c>
      <c r="B6218" t="inlineStr">
        <is>
          <t>Rio Verde - GO</t>
        </is>
      </c>
      <c r="C6218" t="n">
        <v>-17.7923</v>
      </c>
      <c r="D6218" t="n">
        <v>-50.9192</v>
      </c>
      <c r="E6218" t="inlineStr">
        <is>
          <t>2025-07</t>
        </is>
      </c>
      <c r="F6218" t="n">
        <v>0</v>
      </c>
    </row>
    <row r="6219">
      <c r="A6219" t="inlineStr">
        <is>
          <t>Soja</t>
        </is>
      </c>
      <c r="B6219" t="inlineStr">
        <is>
          <t>Rio Verde - GO</t>
        </is>
      </c>
      <c r="C6219" t="n">
        <v>-17.7923</v>
      </c>
      <c r="D6219" t="n">
        <v>-50.9192</v>
      </c>
      <c r="E6219" t="inlineStr">
        <is>
          <t>2025-08</t>
        </is>
      </c>
      <c r="F6219" t="n">
        <v>0</v>
      </c>
    </row>
    <row r="6220">
      <c r="A6220" t="inlineStr">
        <is>
          <t>Soja</t>
        </is>
      </c>
      <c r="B6220" t="inlineStr">
        <is>
          <t>Rio Verde - GO</t>
        </is>
      </c>
      <c r="C6220" t="n">
        <v>-17.7923</v>
      </c>
      <c r="D6220" t="n">
        <v>-50.9192</v>
      </c>
      <c r="E6220" t="inlineStr">
        <is>
          <t>2025-09</t>
        </is>
      </c>
      <c r="F6220" t="n">
        <v>0</v>
      </c>
    </row>
    <row r="6221">
      <c r="A6221" t="inlineStr">
        <is>
          <t>Soja</t>
        </is>
      </c>
      <c r="B6221" t="inlineStr">
        <is>
          <t>Rio Verde - GO</t>
        </is>
      </c>
      <c r="C6221" t="n">
        <v>-17.7923</v>
      </c>
      <c r="D6221" t="n">
        <v>-50.9192</v>
      </c>
      <c r="E6221" t="inlineStr">
        <is>
          <t>2025-10</t>
        </is>
      </c>
      <c r="F6221" t="n">
        <v>0</v>
      </c>
    </row>
    <row r="6222">
      <c r="A6222" t="inlineStr">
        <is>
          <t>Soja</t>
        </is>
      </c>
      <c r="B6222" t="inlineStr">
        <is>
          <t>Rio Verde - GO</t>
        </is>
      </c>
      <c r="C6222" t="n">
        <v>-17.7923</v>
      </c>
      <c r="D6222" t="n">
        <v>-50.9192</v>
      </c>
      <c r="E6222" t="inlineStr">
        <is>
          <t>2025-11</t>
        </is>
      </c>
      <c r="F6222" t="n">
        <v>0</v>
      </c>
    </row>
    <row r="6223">
      <c r="A6223" t="inlineStr">
        <is>
          <t>Soja</t>
        </is>
      </c>
      <c r="B6223" t="inlineStr">
        <is>
          <t>Rio Verde - GO</t>
        </is>
      </c>
      <c r="C6223" t="n">
        <v>-17.7923</v>
      </c>
      <c r="D6223" t="n">
        <v>-50.9192</v>
      </c>
      <c r="E6223" t="inlineStr">
        <is>
          <t>2025-12</t>
        </is>
      </c>
      <c r="F6223" t="n">
        <v>0</v>
      </c>
    </row>
    <row r="6224">
      <c r="A6224" t="inlineStr">
        <is>
          <t>Soja</t>
        </is>
      </c>
      <c r="B6224" t="inlineStr">
        <is>
          <t>Balsas - MA</t>
        </is>
      </c>
      <c r="C6224" t="n">
        <v>-7.53214</v>
      </c>
      <c r="D6224" t="n">
        <v>-46.0372</v>
      </c>
      <c r="E6224" t="inlineStr">
        <is>
          <t>2025-07</t>
        </is>
      </c>
      <c r="F6224" t="n">
        <v>0</v>
      </c>
    </row>
    <row r="6225">
      <c r="A6225" t="inlineStr">
        <is>
          <t>Soja</t>
        </is>
      </c>
      <c r="B6225" t="inlineStr">
        <is>
          <t>Balsas - MA</t>
        </is>
      </c>
      <c r="C6225" t="n">
        <v>-7.53214</v>
      </c>
      <c r="D6225" t="n">
        <v>-46.0372</v>
      </c>
      <c r="E6225" t="inlineStr">
        <is>
          <t>2025-08</t>
        </is>
      </c>
      <c r="F6225" t="n">
        <v>0</v>
      </c>
    </row>
    <row r="6226">
      <c r="A6226" t="inlineStr">
        <is>
          <t>Soja</t>
        </is>
      </c>
      <c r="B6226" t="inlineStr">
        <is>
          <t>Balsas - MA</t>
        </is>
      </c>
      <c r="C6226" t="n">
        <v>-7.53214</v>
      </c>
      <c r="D6226" t="n">
        <v>-46.0372</v>
      </c>
      <c r="E6226" t="inlineStr">
        <is>
          <t>2025-09</t>
        </is>
      </c>
      <c r="F6226" t="n">
        <v>0</v>
      </c>
    </row>
    <row r="6227">
      <c r="A6227" t="inlineStr">
        <is>
          <t>Soja</t>
        </is>
      </c>
      <c r="B6227" t="inlineStr">
        <is>
          <t>Balsas - MA</t>
        </is>
      </c>
      <c r="C6227" t="n">
        <v>-7.53214</v>
      </c>
      <c r="D6227" t="n">
        <v>-46.0372</v>
      </c>
      <c r="E6227" t="inlineStr">
        <is>
          <t>2025-10</t>
        </is>
      </c>
      <c r="F6227" t="n">
        <v>0</v>
      </c>
    </row>
    <row r="6228">
      <c r="A6228" t="inlineStr">
        <is>
          <t>Soja</t>
        </is>
      </c>
      <c r="B6228" t="inlineStr">
        <is>
          <t>Balsas - MA</t>
        </is>
      </c>
      <c r="C6228" t="n">
        <v>-7.53214</v>
      </c>
      <c r="D6228" t="n">
        <v>-46.0372</v>
      </c>
      <c r="E6228" t="inlineStr">
        <is>
          <t>2025-11</t>
        </is>
      </c>
      <c r="F6228" t="n">
        <v>0</v>
      </c>
    </row>
    <row r="6229">
      <c r="A6229" t="inlineStr">
        <is>
          <t>Soja</t>
        </is>
      </c>
      <c r="B6229" t="inlineStr">
        <is>
          <t>Balsas - MA</t>
        </is>
      </c>
      <c r="C6229" t="n">
        <v>-7.53214</v>
      </c>
      <c r="D6229" t="n">
        <v>-46.0372</v>
      </c>
      <c r="E6229" t="inlineStr">
        <is>
          <t>2025-12</t>
        </is>
      </c>
      <c r="F6229" t="n">
        <v>0</v>
      </c>
    </row>
    <row r="6230">
      <c r="A6230" t="inlineStr">
        <is>
          <t>Soja</t>
        </is>
      </c>
      <c r="B6230" t="inlineStr">
        <is>
          <t>Unaí - MG</t>
        </is>
      </c>
      <c r="C6230" t="n">
        <v>-16.3592</v>
      </c>
      <c r="D6230" t="n">
        <v>-46.9022</v>
      </c>
      <c r="E6230" t="inlineStr">
        <is>
          <t>2025-07</t>
        </is>
      </c>
      <c r="F6230" t="n">
        <v>0</v>
      </c>
    </row>
    <row r="6231">
      <c r="A6231" t="inlineStr">
        <is>
          <t>Soja</t>
        </is>
      </c>
      <c r="B6231" t="inlineStr">
        <is>
          <t>Unaí - MG</t>
        </is>
      </c>
      <c r="C6231" t="n">
        <v>-16.3592</v>
      </c>
      <c r="D6231" t="n">
        <v>-46.9022</v>
      </c>
      <c r="E6231" t="inlineStr">
        <is>
          <t>2025-08</t>
        </is>
      </c>
      <c r="F6231" t="n">
        <v>0</v>
      </c>
    </row>
    <row r="6232">
      <c r="A6232" t="inlineStr">
        <is>
          <t>Soja</t>
        </is>
      </c>
      <c r="B6232" t="inlineStr">
        <is>
          <t>Unaí - MG</t>
        </is>
      </c>
      <c r="C6232" t="n">
        <v>-16.3592</v>
      </c>
      <c r="D6232" t="n">
        <v>-46.9022</v>
      </c>
      <c r="E6232" t="inlineStr">
        <is>
          <t>2025-09</t>
        </is>
      </c>
      <c r="F6232" t="n">
        <v>0</v>
      </c>
    </row>
    <row r="6233">
      <c r="A6233" t="inlineStr">
        <is>
          <t>Soja</t>
        </is>
      </c>
      <c r="B6233" t="inlineStr">
        <is>
          <t>Unaí - MG</t>
        </is>
      </c>
      <c r="C6233" t="n">
        <v>-16.3592</v>
      </c>
      <c r="D6233" t="n">
        <v>-46.9022</v>
      </c>
      <c r="E6233" t="inlineStr">
        <is>
          <t>2025-10</t>
        </is>
      </c>
      <c r="F6233" t="n">
        <v>0</v>
      </c>
    </row>
    <row r="6234">
      <c r="A6234" t="inlineStr">
        <is>
          <t>Soja</t>
        </is>
      </c>
      <c r="B6234" t="inlineStr">
        <is>
          <t>Unaí - MG</t>
        </is>
      </c>
      <c r="C6234" t="n">
        <v>-16.3592</v>
      </c>
      <c r="D6234" t="n">
        <v>-46.9022</v>
      </c>
      <c r="E6234" t="inlineStr">
        <is>
          <t>2025-11</t>
        </is>
      </c>
      <c r="F6234" t="n">
        <v>0</v>
      </c>
    </row>
    <row r="6235">
      <c r="A6235" t="inlineStr">
        <is>
          <t>Soja</t>
        </is>
      </c>
      <c r="B6235" t="inlineStr">
        <is>
          <t>Unaí - MG</t>
        </is>
      </c>
      <c r="C6235" t="n">
        <v>-16.3592</v>
      </c>
      <c r="D6235" t="n">
        <v>-46.9022</v>
      </c>
      <c r="E6235" t="inlineStr">
        <is>
          <t>2025-12</t>
        </is>
      </c>
      <c r="F6235" t="n">
        <v>0</v>
      </c>
    </row>
    <row r="6236">
      <c r="A6236" t="inlineStr">
        <is>
          <t>Soja</t>
        </is>
      </c>
      <c r="B6236" t="inlineStr">
        <is>
          <t>Ponta Porã - MS</t>
        </is>
      </c>
      <c r="C6236" t="n">
        <v>-22.5296</v>
      </c>
      <c r="D6236" t="n">
        <v>-55.7203</v>
      </c>
      <c r="E6236" t="inlineStr">
        <is>
          <t>2025-07</t>
        </is>
      </c>
      <c r="F6236" t="n">
        <v>0</v>
      </c>
    </row>
    <row r="6237">
      <c r="A6237" t="inlineStr">
        <is>
          <t>Soja</t>
        </is>
      </c>
      <c r="B6237" t="inlineStr">
        <is>
          <t>Ponta Porã - MS</t>
        </is>
      </c>
      <c r="C6237" t="n">
        <v>-22.5296</v>
      </c>
      <c r="D6237" t="n">
        <v>-55.7203</v>
      </c>
      <c r="E6237" t="inlineStr">
        <is>
          <t>2025-08</t>
        </is>
      </c>
      <c r="F6237" t="n">
        <v>0</v>
      </c>
    </row>
    <row r="6238">
      <c r="A6238" t="inlineStr">
        <is>
          <t>Soja</t>
        </is>
      </c>
      <c r="B6238" t="inlineStr">
        <is>
          <t>Ponta Porã - MS</t>
        </is>
      </c>
      <c r="C6238" t="n">
        <v>-22.5296</v>
      </c>
      <c r="D6238" t="n">
        <v>-55.7203</v>
      </c>
      <c r="E6238" t="inlineStr">
        <is>
          <t>2025-09</t>
        </is>
      </c>
      <c r="F6238" t="n">
        <v>0</v>
      </c>
    </row>
    <row r="6239">
      <c r="A6239" t="inlineStr">
        <is>
          <t>Soja</t>
        </is>
      </c>
      <c r="B6239" t="inlineStr">
        <is>
          <t>Ponta Porã - MS</t>
        </is>
      </c>
      <c r="C6239" t="n">
        <v>-22.5296</v>
      </c>
      <c r="D6239" t="n">
        <v>-55.7203</v>
      </c>
      <c r="E6239" t="inlineStr">
        <is>
          <t>2025-10</t>
        </is>
      </c>
      <c r="F6239" t="n">
        <v>0</v>
      </c>
    </row>
    <row r="6240">
      <c r="A6240" t="inlineStr">
        <is>
          <t>Soja</t>
        </is>
      </c>
      <c r="B6240" t="inlineStr">
        <is>
          <t>Ponta Porã - MS</t>
        </is>
      </c>
      <c r="C6240" t="n">
        <v>-22.5296</v>
      </c>
      <c r="D6240" t="n">
        <v>-55.7203</v>
      </c>
      <c r="E6240" t="inlineStr">
        <is>
          <t>2025-11</t>
        </is>
      </c>
      <c r="F6240" t="n">
        <v>0</v>
      </c>
    </row>
    <row r="6241">
      <c r="A6241" t="inlineStr">
        <is>
          <t>Soja</t>
        </is>
      </c>
      <c r="B6241" t="inlineStr">
        <is>
          <t>Ponta Porã - MS</t>
        </is>
      </c>
      <c r="C6241" t="n">
        <v>-22.5296</v>
      </c>
      <c r="D6241" t="n">
        <v>-55.7203</v>
      </c>
      <c r="E6241" t="inlineStr">
        <is>
          <t>2025-12</t>
        </is>
      </c>
      <c r="F6241" t="n">
        <v>0</v>
      </c>
    </row>
    <row r="6242">
      <c r="A6242" t="inlineStr">
        <is>
          <t>Soja</t>
        </is>
      </c>
      <c r="B6242" t="inlineStr">
        <is>
          <t>Sorriso - MT</t>
        </is>
      </c>
      <c r="C6242" t="n">
        <v>-12.5425</v>
      </c>
      <c r="D6242" t="n">
        <v>-55.7211</v>
      </c>
      <c r="E6242" t="inlineStr">
        <is>
          <t>2025-07</t>
        </is>
      </c>
      <c r="F6242" t="n">
        <v>0</v>
      </c>
    </row>
    <row r="6243">
      <c r="A6243" t="inlineStr">
        <is>
          <t>Soja</t>
        </is>
      </c>
      <c r="B6243" t="inlineStr">
        <is>
          <t>Sorriso - MT</t>
        </is>
      </c>
      <c r="C6243" t="n">
        <v>-12.5425</v>
      </c>
      <c r="D6243" t="n">
        <v>-55.7211</v>
      </c>
      <c r="E6243" t="inlineStr">
        <is>
          <t>2025-08</t>
        </is>
      </c>
      <c r="F6243" t="n">
        <v>0</v>
      </c>
    </row>
    <row r="6244">
      <c r="A6244" t="inlineStr">
        <is>
          <t>Soja</t>
        </is>
      </c>
      <c r="B6244" t="inlineStr">
        <is>
          <t>Sorriso - MT</t>
        </is>
      </c>
      <c r="C6244" t="n">
        <v>-12.5425</v>
      </c>
      <c r="D6244" t="n">
        <v>-55.7211</v>
      </c>
      <c r="E6244" t="inlineStr">
        <is>
          <t>2025-09</t>
        </is>
      </c>
      <c r="F6244" t="n">
        <v>0</v>
      </c>
    </row>
    <row r="6245">
      <c r="A6245" t="inlineStr">
        <is>
          <t>Soja</t>
        </is>
      </c>
      <c r="B6245" t="inlineStr">
        <is>
          <t>Sorriso - MT</t>
        </is>
      </c>
      <c r="C6245" t="n">
        <v>-12.5425</v>
      </c>
      <c r="D6245" t="n">
        <v>-55.7211</v>
      </c>
      <c r="E6245" t="inlineStr">
        <is>
          <t>2025-10</t>
        </is>
      </c>
      <c r="F6245" t="n">
        <v>0</v>
      </c>
    </row>
    <row r="6246">
      <c r="A6246" t="inlineStr">
        <is>
          <t>Soja</t>
        </is>
      </c>
      <c r="B6246" t="inlineStr">
        <is>
          <t>Sorriso - MT</t>
        </is>
      </c>
      <c r="C6246" t="n">
        <v>-12.5425</v>
      </c>
      <c r="D6246" t="n">
        <v>-55.7211</v>
      </c>
      <c r="E6246" t="inlineStr">
        <is>
          <t>2025-11</t>
        </is>
      </c>
      <c r="F6246" t="n">
        <v>0</v>
      </c>
    </row>
    <row r="6247">
      <c r="A6247" t="inlineStr">
        <is>
          <t>Soja</t>
        </is>
      </c>
      <c r="B6247" t="inlineStr">
        <is>
          <t>Sorriso - MT</t>
        </is>
      </c>
      <c r="C6247" t="n">
        <v>-12.5425</v>
      </c>
      <c r="D6247" t="n">
        <v>-55.7211</v>
      </c>
      <c r="E6247" t="inlineStr">
        <is>
          <t>2025-12</t>
        </is>
      </c>
      <c r="F6247" t="n">
        <v>0</v>
      </c>
    </row>
    <row r="6248">
      <c r="A6248" t="inlineStr">
        <is>
          <t>Soja</t>
        </is>
      </c>
      <c r="B6248" t="inlineStr">
        <is>
          <t>Paragominas - PA</t>
        </is>
      </c>
      <c r="C6248" t="n">
        <v>-3.00212</v>
      </c>
      <c r="D6248" t="n">
        <v>-47.3527</v>
      </c>
      <c r="E6248" t="inlineStr">
        <is>
          <t>2025-07</t>
        </is>
      </c>
      <c r="F6248" t="n">
        <v>2907650.932356214</v>
      </c>
    </row>
    <row r="6249">
      <c r="A6249" t="inlineStr">
        <is>
          <t>Soja</t>
        </is>
      </c>
      <c r="B6249" t="inlineStr">
        <is>
          <t>Paragominas - PA</t>
        </is>
      </c>
      <c r="C6249" t="n">
        <v>-3.00212</v>
      </c>
      <c r="D6249" t="n">
        <v>-47.3527</v>
      </c>
      <c r="E6249" t="inlineStr">
        <is>
          <t>2025-08</t>
        </is>
      </c>
      <c r="F6249" t="n">
        <v>1246136.113866949</v>
      </c>
    </row>
    <row r="6250">
      <c r="A6250" t="inlineStr">
        <is>
          <t>Soja</t>
        </is>
      </c>
      <c r="B6250" t="inlineStr">
        <is>
          <t>Paragominas - PA</t>
        </is>
      </c>
      <c r="C6250" t="n">
        <v>-3.00212</v>
      </c>
      <c r="D6250" t="n">
        <v>-47.3527</v>
      </c>
      <c r="E6250" t="inlineStr">
        <is>
          <t>2025-09</t>
        </is>
      </c>
      <c r="F6250" t="n">
        <v>0</v>
      </c>
    </row>
    <row r="6251">
      <c r="A6251" t="inlineStr">
        <is>
          <t>Soja</t>
        </is>
      </c>
      <c r="B6251" t="inlineStr">
        <is>
          <t>Paragominas - PA</t>
        </is>
      </c>
      <c r="C6251" t="n">
        <v>-3.00212</v>
      </c>
      <c r="D6251" t="n">
        <v>-47.3527</v>
      </c>
      <c r="E6251" t="inlineStr">
        <is>
          <t>2025-10</t>
        </is>
      </c>
      <c r="F6251" t="n">
        <v>0</v>
      </c>
    </row>
    <row r="6252">
      <c r="A6252" t="inlineStr">
        <is>
          <t>Soja</t>
        </is>
      </c>
      <c r="B6252" t="inlineStr">
        <is>
          <t>Paragominas - PA</t>
        </is>
      </c>
      <c r="C6252" t="n">
        <v>-3.00212</v>
      </c>
      <c r="D6252" t="n">
        <v>-47.3527</v>
      </c>
      <c r="E6252" t="inlineStr">
        <is>
          <t>2025-11</t>
        </is>
      </c>
      <c r="F6252" t="n">
        <v>0</v>
      </c>
    </row>
    <row r="6253">
      <c r="A6253" t="inlineStr">
        <is>
          <t>Soja</t>
        </is>
      </c>
      <c r="B6253" t="inlineStr">
        <is>
          <t>Paragominas - PA</t>
        </is>
      </c>
      <c r="C6253" t="n">
        <v>-3.00212</v>
      </c>
      <c r="D6253" t="n">
        <v>-47.3527</v>
      </c>
      <c r="E6253" t="inlineStr">
        <is>
          <t>2025-12</t>
        </is>
      </c>
      <c r="F6253" t="n">
        <v>0</v>
      </c>
    </row>
    <row r="6254">
      <c r="A6254" t="inlineStr">
        <is>
          <t>Soja</t>
        </is>
      </c>
      <c r="B6254" t="inlineStr">
        <is>
          <t>Baixa Grande do Ribeiro - PI</t>
        </is>
      </c>
      <c r="C6254" t="n">
        <v>-7.84903</v>
      </c>
      <c r="D6254" t="n">
        <v>-45.219</v>
      </c>
      <c r="E6254" t="inlineStr">
        <is>
          <t>2025-07</t>
        </is>
      </c>
      <c r="F6254" t="n">
        <v>0</v>
      </c>
    </row>
    <row r="6255">
      <c r="A6255" t="inlineStr">
        <is>
          <t>Soja</t>
        </is>
      </c>
      <c r="B6255" t="inlineStr">
        <is>
          <t>Baixa Grande do Ribeiro - PI</t>
        </is>
      </c>
      <c r="C6255" t="n">
        <v>-7.84903</v>
      </c>
      <c r="D6255" t="n">
        <v>-45.219</v>
      </c>
      <c r="E6255" t="inlineStr">
        <is>
          <t>2025-08</t>
        </is>
      </c>
      <c r="F6255" t="n">
        <v>0</v>
      </c>
    </row>
    <row r="6256">
      <c r="A6256" t="inlineStr">
        <is>
          <t>Soja</t>
        </is>
      </c>
      <c r="B6256" t="inlineStr">
        <is>
          <t>Baixa Grande do Ribeiro - PI</t>
        </is>
      </c>
      <c r="C6256" t="n">
        <v>-7.84903</v>
      </c>
      <c r="D6256" t="n">
        <v>-45.219</v>
      </c>
      <c r="E6256" t="inlineStr">
        <is>
          <t>2025-09</t>
        </is>
      </c>
      <c r="F6256" t="n">
        <v>0</v>
      </c>
    </row>
    <row r="6257">
      <c r="A6257" t="inlineStr">
        <is>
          <t>Soja</t>
        </is>
      </c>
      <c r="B6257" t="inlineStr">
        <is>
          <t>Baixa Grande do Ribeiro - PI</t>
        </is>
      </c>
      <c r="C6257" t="n">
        <v>-7.84903</v>
      </c>
      <c r="D6257" t="n">
        <v>-45.219</v>
      </c>
      <c r="E6257" t="inlineStr">
        <is>
          <t>2025-10</t>
        </is>
      </c>
      <c r="F6257" t="n">
        <v>0</v>
      </c>
    </row>
    <row r="6258">
      <c r="A6258" t="inlineStr">
        <is>
          <t>Soja</t>
        </is>
      </c>
      <c r="B6258" t="inlineStr">
        <is>
          <t>Baixa Grande do Ribeiro - PI</t>
        </is>
      </c>
      <c r="C6258" t="n">
        <v>-7.84903</v>
      </c>
      <c r="D6258" t="n">
        <v>-45.219</v>
      </c>
      <c r="E6258" t="inlineStr">
        <is>
          <t>2025-11</t>
        </is>
      </c>
      <c r="F6258" t="n">
        <v>0</v>
      </c>
    </row>
    <row r="6259">
      <c r="A6259" t="inlineStr">
        <is>
          <t>Soja</t>
        </is>
      </c>
      <c r="B6259" t="inlineStr">
        <is>
          <t>Baixa Grande do Ribeiro - PI</t>
        </is>
      </c>
      <c r="C6259" t="n">
        <v>-7.84903</v>
      </c>
      <c r="D6259" t="n">
        <v>-45.219</v>
      </c>
      <c r="E6259" t="inlineStr">
        <is>
          <t>2025-12</t>
        </is>
      </c>
      <c r="F6259" t="n">
        <v>0</v>
      </c>
    </row>
    <row r="6260">
      <c r="A6260" t="inlineStr">
        <is>
          <t>Soja</t>
        </is>
      </c>
      <c r="B6260" t="inlineStr">
        <is>
          <t>Tibagi - PR</t>
        </is>
      </c>
      <c r="C6260" t="n">
        <v>-24.5153</v>
      </c>
      <c r="D6260" t="n">
        <v>-50.4176</v>
      </c>
      <c r="E6260" t="inlineStr">
        <is>
          <t>2025-07</t>
        </is>
      </c>
      <c r="F6260" t="n">
        <v>0</v>
      </c>
    </row>
    <row r="6261">
      <c r="A6261" t="inlineStr">
        <is>
          <t>Soja</t>
        </is>
      </c>
      <c r="B6261" t="inlineStr">
        <is>
          <t>Tibagi - PR</t>
        </is>
      </c>
      <c r="C6261" t="n">
        <v>-24.5153</v>
      </c>
      <c r="D6261" t="n">
        <v>-50.4176</v>
      </c>
      <c r="E6261" t="inlineStr">
        <is>
          <t>2025-08</t>
        </is>
      </c>
      <c r="F6261" t="n">
        <v>0</v>
      </c>
    </row>
    <row r="6262">
      <c r="A6262" t="inlineStr">
        <is>
          <t>Soja</t>
        </is>
      </c>
      <c r="B6262" t="inlineStr">
        <is>
          <t>Tibagi - PR</t>
        </is>
      </c>
      <c r="C6262" t="n">
        <v>-24.5153</v>
      </c>
      <c r="D6262" t="n">
        <v>-50.4176</v>
      </c>
      <c r="E6262" t="inlineStr">
        <is>
          <t>2025-09</t>
        </is>
      </c>
      <c r="F6262" t="n">
        <v>0</v>
      </c>
    </row>
    <row r="6263">
      <c r="A6263" t="inlineStr">
        <is>
          <t>Soja</t>
        </is>
      </c>
      <c r="B6263" t="inlineStr">
        <is>
          <t>Tibagi - PR</t>
        </is>
      </c>
      <c r="C6263" t="n">
        <v>-24.5153</v>
      </c>
      <c r="D6263" t="n">
        <v>-50.4176</v>
      </c>
      <c r="E6263" t="inlineStr">
        <is>
          <t>2025-10</t>
        </is>
      </c>
      <c r="F6263" t="n">
        <v>0</v>
      </c>
    </row>
    <row r="6264">
      <c r="A6264" t="inlineStr">
        <is>
          <t>Soja</t>
        </is>
      </c>
      <c r="B6264" t="inlineStr">
        <is>
          <t>Tibagi - PR</t>
        </is>
      </c>
      <c r="C6264" t="n">
        <v>-24.5153</v>
      </c>
      <c r="D6264" t="n">
        <v>-50.4176</v>
      </c>
      <c r="E6264" t="inlineStr">
        <is>
          <t>2025-11</t>
        </is>
      </c>
      <c r="F6264" t="n">
        <v>0</v>
      </c>
    </row>
    <row r="6265">
      <c r="A6265" t="inlineStr">
        <is>
          <t>Soja</t>
        </is>
      </c>
      <c r="B6265" t="inlineStr">
        <is>
          <t>Tibagi - PR</t>
        </is>
      </c>
      <c r="C6265" t="n">
        <v>-24.5153</v>
      </c>
      <c r="D6265" t="n">
        <v>-50.4176</v>
      </c>
      <c r="E6265" t="inlineStr">
        <is>
          <t>2025-12</t>
        </is>
      </c>
      <c r="F6265" t="n">
        <v>0</v>
      </c>
    </row>
    <row r="6266">
      <c r="A6266" t="inlineStr">
        <is>
          <t>Soja</t>
        </is>
      </c>
      <c r="B6266" t="inlineStr">
        <is>
          <t>Pimenteiras do Oeste - RO</t>
        </is>
      </c>
      <c r="C6266" t="n">
        <v>-13.4823</v>
      </c>
      <c r="D6266" t="n">
        <v>-61.0471</v>
      </c>
      <c r="E6266" t="inlineStr">
        <is>
          <t>2025-07</t>
        </is>
      </c>
      <c r="F6266" t="n">
        <v>0</v>
      </c>
    </row>
    <row r="6267">
      <c r="A6267" t="inlineStr">
        <is>
          <t>Soja</t>
        </is>
      </c>
      <c r="B6267" t="inlineStr">
        <is>
          <t>Pimenteiras do Oeste - RO</t>
        </is>
      </c>
      <c r="C6267" t="n">
        <v>-13.4823</v>
      </c>
      <c r="D6267" t="n">
        <v>-61.0471</v>
      </c>
      <c r="E6267" t="inlineStr">
        <is>
          <t>2025-08</t>
        </is>
      </c>
      <c r="F6267" t="n">
        <v>0</v>
      </c>
    </row>
    <row r="6268">
      <c r="A6268" t="inlineStr">
        <is>
          <t>Soja</t>
        </is>
      </c>
      <c r="B6268" t="inlineStr">
        <is>
          <t>Pimenteiras do Oeste - RO</t>
        </is>
      </c>
      <c r="C6268" t="n">
        <v>-13.4823</v>
      </c>
      <c r="D6268" t="n">
        <v>-61.0471</v>
      </c>
      <c r="E6268" t="inlineStr">
        <is>
          <t>2025-09</t>
        </is>
      </c>
      <c r="F6268" t="n">
        <v>0</v>
      </c>
    </row>
    <row r="6269">
      <c r="A6269" t="inlineStr">
        <is>
          <t>Soja</t>
        </is>
      </c>
      <c r="B6269" t="inlineStr">
        <is>
          <t>Pimenteiras do Oeste - RO</t>
        </is>
      </c>
      <c r="C6269" t="n">
        <v>-13.4823</v>
      </c>
      <c r="D6269" t="n">
        <v>-61.0471</v>
      </c>
      <c r="E6269" t="inlineStr">
        <is>
          <t>2025-10</t>
        </is>
      </c>
      <c r="F6269" t="n">
        <v>0</v>
      </c>
    </row>
    <row r="6270">
      <c r="A6270" t="inlineStr">
        <is>
          <t>Soja</t>
        </is>
      </c>
      <c r="B6270" t="inlineStr">
        <is>
          <t>Pimenteiras do Oeste - RO</t>
        </is>
      </c>
      <c r="C6270" t="n">
        <v>-13.4823</v>
      </c>
      <c r="D6270" t="n">
        <v>-61.0471</v>
      </c>
      <c r="E6270" t="inlineStr">
        <is>
          <t>2025-11</t>
        </is>
      </c>
      <c r="F6270" t="n">
        <v>0</v>
      </c>
    </row>
    <row r="6271">
      <c r="A6271" t="inlineStr">
        <is>
          <t>Soja</t>
        </is>
      </c>
      <c r="B6271" t="inlineStr">
        <is>
          <t>Pimenteiras do Oeste - RO</t>
        </is>
      </c>
      <c r="C6271" t="n">
        <v>-13.4823</v>
      </c>
      <c r="D6271" t="n">
        <v>-61.0471</v>
      </c>
      <c r="E6271" t="inlineStr">
        <is>
          <t>2025-12</t>
        </is>
      </c>
      <c r="F6271" t="n">
        <v>0</v>
      </c>
    </row>
    <row r="6272">
      <c r="A6272" t="inlineStr">
        <is>
          <t>Soja</t>
        </is>
      </c>
      <c r="B6272" t="inlineStr">
        <is>
          <t>Bonfim - RR</t>
        </is>
      </c>
      <c r="C6272" t="n">
        <v>3.36161</v>
      </c>
      <c r="D6272" t="n">
        <v>-59.8333</v>
      </c>
      <c r="E6272" t="inlineStr">
        <is>
          <t>2025-07</t>
        </is>
      </c>
      <c r="F6272" t="n">
        <v>48136.7452837915</v>
      </c>
    </row>
    <row r="6273">
      <c r="A6273" t="inlineStr">
        <is>
          <t>Soja</t>
        </is>
      </c>
      <c r="B6273" t="inlineStr">
        <is>
          <t>Bonfim - RR</t>
        </is>
      </c>
      <c r="C6273" t="n">
        <v>3.36161</v>
      </c>
      <c r="D6273" t="n">
        <v>-59.8333</v>
      </c>
      <c r="E6273" t="inlineStr">
        <is>
          <t>2025-08</t>
        </is>
      </c>
      <c r="F6273" t="n">
        <v>96273.4905675831</v>
      </c>
    </row>
    <row r="6274">
      <c r="A6274" t="inlineStr">
        <is>
          <t>Soja</t>
        </is>
      </c>
      <c r="B6274" t="inlineStr">
        <is>
          <t>Bonfim - RR</t>
        </is>
      </c>
      <c r="C6274" t="n">
        <v>3.36161</v>
      </c>
      <c r="D6274" t="n">
        <v>-59.8333</v>
      </c>
      <c r="E6274" t="inlineStr">
        <is>
          <t>2025-09</t>
        </is>
      </c>
      <c r="F6274" t="n">
        <v>224638.1446576938</v>
      </c>
    </row>
    <row r="6275">
      <c r="A6275" t="inlineStr">
        <is>
          <t>Soja</t>
        </is>
      </c>
      <c r="B6275" t="inlineStr">
        <is>
          <t>Bonfim - RR</t>
        </is>
      </c>
      <c r="C6275" t="n">
        <v>3.36161</v>
      </c>
      <c r="D6275" t="n">
        <v>-59.8333</v>
      </c>
      <c r="E6275" t="inlineStr">
        <is>
          <t>2025-10</t>
        </is>
      </c>
      <c r="F6275" t="n">
        <v>96273.4905675831</v>
      </c>
    </row>
    <row r="6276">
      <c r="A6276" t="inlineStr">
        <is>
          <t>Soja</t>
        </is>
      </c>
      <c r="B6276" t="inlineStr">
        <is>
          <t>Bonfim - RR</t>
        </is>
      </c>
      <c r="C6276" t="n">
        <v>3.36161</v>
      </c>
      <c r="D6276" t="n">
        <v>-59.8333</v>
      </c>
      <c r="E6276" t="inlineStr">
        <is>
          <t>2025-11</t>
        </is>
      </c>
      <c r="F6276" t="n">
        <v>48136.7452837915</v>
      </c>
    </row>
    <row r="6277">
      <c r="A6277" t="inlineStr">
        <is>
          <t>Soja</t>
        </is>
      </c>
      <c r="B6277" t="inlineStr">
        <is>
          <t>Bonfim - RR</t>
        </is>
      </c>
      <c r="C6277" t="n">
        <v>3.36161</v>
      </c>
      <c r="D6277" t="n">
        <v>-59.8333</v>
      </c>
      <c r="E6277" t="inlineStr">
        <is>
          <t>2025-12</t>
        </is>
      </c>
      <c r="F6277" t="n">
        <v>0</v>
      </c>
    </row>
    <row r="6278">
      <c r="A6278" t="inlineStr">
        <is>
          <t>Soja</t>
        </is>
      </c>
      <c r="B6278" t="inlineStr">
        <is>
          <t>Tupanciretã - RS</t>
        </is>
      </c>
      <c r="C6278" t="n">
        <v>-29.0858</v>
      </c>
      <c r="D6278" t="n">
        <v>-53.8445</v>
      </c>
      <c r="E6278" t="inlineStr">
        <is>
          <t>2025-07</t>
        </is>
      </c>
      <c r="F6278" t="n">
        <v>0</v>
      </c>
    </row>
    <row r="6279">
      <c r="A6279" t="inlineStr">
        <is>
          <t>Soja</t>
        </is>
      </c>
      <c r="B6279" t="inlineStr">
        <is>
          <t>Tupanciretã - RS</t>
        </is>
      </c>
      <c r="C6279" t="n">
        <v>-29.0858</v>
      </c>
      <c r="D6279" t="n">
        <v>-53.8445</v>
      </c>
      <c r="E6279" t="inlineStr">
        <is>
          <t>2025-08</t>
        </is>
      </c>
      <c r="F6279" t="n">
        <v>0</v>
      </c>
    </row>
    <row r="6280">
      <c r="A6280" t="inlineStr">
        <is>
          <t>Soja</t>
        </is>
      </c>
      <c r="B6280" t="inlineStr">
        <is>
          <t>Tupanciretã - RS</t>
        </is>
      </c>
      <c r="C6280" t="n">
        <v>-29.0858</v>
      </c>
      <c r="D6280" t="n">
        <v>-53.8445</v>
      </c>
      <c r="E6280" t="inlineStr">
        <is>
          <t>2025-09</t>
        </is>
      </c>
      <c r="F6280" t="n">
        <v>0</v>
      </c>
    </row>
    <row r="6281">
      <c r="A6281" t="inlineStr">
        <is>
          <t>Soja</t>
        </is>
      </c>
      <c r="B6281" t="inlineStr">
        <is>
          <t>Tupanciretã - RS</t>
        </is>
      </c>
      <c r="C6281" t="n">
        <v>-29.0858</v>
      </c>
      <c r="D6281" t="n">
        <v>-53.8445</v>
      </c>
      <c r="E6281" t="inlineStr">
        <is>
          <t>2025-10</t>
        </is>
      </c>
      <c r="F6281" t="n">
        <v>0</v>
      </c>
    </row>
    <row r="6282">
      <c r="A6282" t="inlineStr">
        <is>
          <t>Soja</t>
        </is>
      </c>
      <c r="B6282" t="inlineStr">
        <is>
          <t>Tupanciretã - RS</t>
        </is>
      </c>
      <c r="C6282" t="n">
        <v>-29.0858</v>
      </c>
      <c r="D6282" t="n">
        <v>-53.8445</v>
      </c>
      <c r="E6282" t="inlineStr">
        <is>
          <t>2025-11</t>
        </is>
      </c>
      <c r="F6282" t="n">
        <v>0</v>
      </c>
    </row>
    <row r="6283">
      <c r="A6283" t="inlineStr">
        <is>
          <t>Soja</t>
        </is>
      </c>
      <c r="B6283" t="inlineStr">
        <is>
          <t>Tupanciretã - RS</t>
        </is>
      </c>
      <c r="C6283" t="n">
        <v>-29.0858</v>
      </c>
      <c r="D6283" t="n">
        <v>-53.8445</v>
      </c>
      <c r="E6283" t="inlineStr">
        <is>
          <t>2025-12</t>
        </is>
      </c>
      <c r="F6283" t="n">
        <v>0</v>
      </c>
    </row>
    <row r="6284">
      <c r="A6284" t="inlineStr">
        <is>
          <t>Soja</t>
        </is>
      </c>
      <c r="B6284" t="inlineStr">
        <is>
          <t>Campos Novos - SC</t>
        </is>
      </c>
      <c r="C6284" t="n">
        <v>-27.4002</v>
      </c>
      <c r="D6284" t="n">
        <v>-51.2276</v>
      </c>
      <c r="E6284" t="inlineStr">
        <is>
          <t>2025-07</t>
        </is>
      </c>
      <c r="F6284" t="n">
        <v>0</v>
      </c>
    </row>
    <row r="6285">
      <c r="A6285" t="inlineStr">
        <is>
          <t>Soja</t>
        </is>
      </c>
      <c r="B6285" t="inlineStr">
        <is>
          <t>Campos Novos - SC</t>
        </is>
      </c>
      <c r="C6285" t="n">
        <v>-27.4002</v>
      </c>
      <c r="D6285" t="n">
        <v>-51.2276</v>
      </c>
      <c r="E6285" t="inlineStr">
        <is>
          <t>2025-08</t>
        </is>
      </c>
      <c r="F6285" t="n">
        <v>0</v>
      </c>
    </row>
    <row r="6286">
      <c r="A6286" t="inlineStr">
        <is>
          <t>Soja</t>
        </is>
      </c>
      <c r="B6286" t="inlineStr">
        <is>
          <t>Campos Novos - SC</t>
        </is>
      </c>
      <c r="C6286" t="n">
        <v>-27.4002</v>
      </c>
      <c r="D6286" t="n">
        <v>-51.2276</v>
      </c>
      <c r="E6286" t="inlineStr">
        <is>
          <t>2025-09</t>
        </is>
      </c>
      <c r="F6286" t="n">
        <v>0</v>
      </c>
    </row>
    <row r="6287">
      <c r="A6287" t="inlineStr">
        <is>
          <t>Soja</t>
        </is>
      </c>
      <c r="B6287" t="inlineStr">
        <is>
          <t>Campos Novos - SC</t>
        </is>
      </c>
      <c r="C6287" t="n">
        <v>-27.4002</v>
      </c>
      <c r="D6287" t="n">
        <v>-51.2276</v>
      </c>
      <c r="E6287" t="inlineStr">
        <is>
          <t>2025-10</t>
        </is>
      </c>
      <c r="F6287" t="n">
        <v>0</v>
      </c>
    </row>
    <row r="6288">
      <c r="A6288" t="inlineStr">
        <is>
          <t>Soja</t>
        </is>
      </c>
      <c r="B6288" t="inlineStr">
        <is>
          <t>Campos Novos - SC</t>
        </is>
      </c>
      <c r="C6288" t="n">
        <v>-27.4002</v>
      </c>
      <c r="D6288" t="n">
        <v>-51.2276</v>
      </c>
      <c r="E6288" t="inlineStr">
        <is>
          <t>2025-11</t>
        </is>
      </c>
      <c r="F6288" t="n">
        <v>0</v>
      </c>
    </row>
    <row r="6289">
      <c r="A6289" t="inlineStr">
        <is>
          <t>Soja</t>
        </is>
      </c>
      <c r="B6289" t="inlineStr">
        <is>
          <t>Campos Novos - SC</t>
        </is>
      </c>
      <c r="C6289" t="n">
        <v>-27.4002</v>
      </c>
      <c r="D6289" t="n">
        <v>-51.2276</v>
      </c>
      <c r="E6289" t="inlineStr">
        <is>
          <t>2025-12</t>
        </is>
      </c>
      <c r="F6289" t="n">
        <v>0</v>
      </c>
    </row>
    <row r="6290">
      <c r="A6290" t="inlineStr">
        <is>
          <t>Soja</t>
        </is>
      </c>
      <c r="B6290" t="inlineStr">
        <is>
          <t>Itapeva - SP</t>
        </is>
      </c>
      <c r="C6290" t="n">
        <v>-23.9788</v>
      </c>
      <c r="D6290" t="n">
        <v>-48.8764</v>
      </c>
      <c r="E6290" t="inlineStr">
        <is>
          <t>2025-07</t>
        </is>
      </c>
      <c r="F6290" t="n">
        <v>0</v>
      </c>
    </row>
    <row r="6291">
      <c r="A6291" t="inlineStr">
        <is>
          <t>Soja</t>
        </is>
      </c>
      <c r="B6291" t="inlineStr">
        <is>
          <t>Itapeva - SP</t>
        </is>
      </c>
      <c r="C6291" t="n">
        <v>-23.9788</v>
      </c>
      <c r="D6291" t="n">
        <v>-48.8764</v>
      </c>
      <c r="E6291" t="inlineStr">
        <is>
          <t>2025-08</t>
        </is>
      </c>
      <c r="F6291" t="n">
        <v>0</v>
      </c>
    </row>
    <row r="6292">
      <c r="A6292" t="inlineStr">
        <is>
          <t>Soja</t>
        </is>
      </c>
      <c r="B6292" t="inlineStr">
        <is>
          <t>Itapeva - SP</t>
        </is>
      </c>
      <c r="C6292" t="n">
        <v>-23.9788</v>
      </c>
      <c r="D6292" t="n">
        <v>-48.8764</v>
      </c>
      <c r="E6292" t="inlineStr">
        <is>
          <t>2025-09</t>
        </is>
      </c>
      <c r="F6292" t="n">
        <v>0</v>
      </c>
    </row>
    <row r="6293">
      <c r="A6293" t="inlineStr">
        <is>
          <t>Soja</t>
        </is>
      </c>
      <c r="B6293" t="inlineStr">
        <is>
          <t>Itapeva - SP</t>
        </is>
      </c>
      <c r="C6293" t="n">
        <v>-23.9788</v>
      </c>
      <c r="D6293" t="n">
        <v>-48.8764</v>
      </c>
      <c r="E6293" t="inlineStr">
        <is>
          <t>2025-10</t>
        </is>
      </c>
      <c r="F6293" t="n">
        <v>0</v>
      </c>
    </row>
    <row r="6294">
      <c r="A6294" t="inlineStr">
        <is>
          <t>Soja</t>
        </is>
      </c>
      <c r="B6294" t="inlineStr">
        <is>
          <t>Itapeva - SP</t>
        </is>
      </c>
      <c r="C6294" t="n">
        <v>-23.9788</v>
      </c>
      <c r="D6294" t="n">
        <v>-48.8764</v>
      </c>
      <c r="E6294" t="inlineStr">
        <is>
          <t>2025-11</t>
        </is>
      </c>
      <c r="F6294" t="n">
        <v>0</v>
      </c>
    </row>
    <row r="6295">
      <c r="A6295" t="inlineStr">
        <is>
          <t>Soja</t>
        </is>
      </c>
      <c r="B6295" t="inlineStr">
        <is>
          <t>Itapeva - SP</t>
        </is>
      </c>
      <c r="C6295" t="n">
        <v>-23.9788</v>
      </c>
      <c r="D6295" t="n">
        <v>-48.8764</v>
      </c>
      <c r="E6295" t="inlineStr">
        <is>
          <t>2025-12</t>
        </is>
      </c>
      <c r="F6295" t="n">
        <v>0</v>
      </c>
    </row>
    <row r="6296">
      <c r="A6296" t="inlineStr">
        <is>
          <t>Soja</t>
        </is>
      </c>
      <c r="B6296" t="inlineStr">
        <is>
          <t>Campos Lindos - TO</t>
        </is>
      </c>
      <c r="C6296" t="n">
        <v>-7.98956</v>
      </c>
      <c r="D6296" t="n">
        <v>-46.8645</v>
      </c>
      <c r="E6296" t="inlineStr">
        <is>
          <t>2025-07</t>
        </is>
      </c>
      <c r="F6296" t="n">
        <v>0</v>
      </c>
    </row>
    <row r="6297">
      <c r="A6297" t="inlineStr">
        <is>
          <t>Soja</t>
        </is>
      </c>
      <c r="B6297" t="inlineStr">
        <is>
          <t>Campos Lindos - TO</t>
        </is>
      </c>
      <c r="C6297" t="n">
        <v>-7.98956</v>
      </c>
      <c r="D6297" t="n">
        <v>-46.8645</v>
      </c>
      <c r="E6297" t="inlineStr">
        <is>
          <t>2025-08</t>
        </is>
      </c>
      <c r="F6297" t="n">
        <v>0</v>
      </c>
    </row>
    <row r="6298">
      <c r="A6298" t="inlineStr">
        <is>
          <t>Soja</t>
        </is>
      </c>
      <c r="B6298" t="inlineStr">
        <is>
          <t>Campos Lindos - TO</t>
        </is>
      </c>
      <c r="C6298" t="n">
        <v>-7.98956</v>
      </c>
      <c r="D6298" t="n">
        <v>-46.8645</v>
      </c>
      <c r="E6298" t="inlineStr">
        <is>
          <t>2025-09</t>
        </is>
      </c>
      <c r="F6298" t="n">
        <v>0</v>
      </c>
    </row>
    <row r="6299">
      <c r="A6299" t="inlineStr">
        <is>
          <t>Soja</t>
        </is>
      </c>
      <c r="B6299" t="inlineStr">
        <is>
          <t>Campos Lindos - TO</t>
        </is>
      </c>
      <c r="C6299" t="n">
        <v>-7.98956</v>
      </c>
      <c r="D6299" t="n">
        <v>-46.8645</v>
      </c>
      <c r="E6299" t="inlineStr">
        <is>
          <t>2025-10</t>
        </is>
      </c>
      <c r="F6299" t="n">
        <v>0</v>
      </c>
    </row>
    <row r="6300">
      <c r="A6300" t="inlineStr">
        <is>
          <t>Soja</t>
        </is>
      </c>
      <c r="B6300" t="inlineStr">
        <is>
          <t>Campos Lindos - TO</t>
        </is>
      </c>
      <c r="C6300" t="n">
        <v>-7.98956</v>
      </c>
      <c r="D6300" t="n">
        <v>-46.8645</v>
      </c>
      <c r="E6300" t="inlineStr">
        <is>
          <t>2025-11</t>
        </is>
      </c>
      <c r="F6300" t="n">
        <v>0</v>
      </c>
    </row>
    <row r="6301">
      <c r="A6301" t="inlineStr">
        <is>
          <t>Soja</t>
        </is>
      </c>
      <c r="B6301" t="inlineStr">
        <is>
          <t>Campos Lindos - TO</t>
        </is>
      </c>
      <c r="C6301" t="n">
        <v>-7.98956</v>
      </c>
      <c r="D6301" t="n">
        <v>-46.8645</v>
      </c>
      <c r="E6301" t="inlineStr">
        <is>
          <t>2025-12</t>
        </is>
      </c>
      <c r="F6301" t="n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4441"/>
  <sheetViews>
    <sheetView showGridLines="1" workbookViewId="0">
      <pane ySplit="1" topLeftCell="A2" activePane="bottomLeft" state="frozen"/>
      <selection pane="bottomLeft" activeCell="A1" sqref="A1:XFD1048576"/>
    </sheetView>
  </sheetViews>
  <sheetFormatPr baseColWidth="8" defaultRowHeight="15"/>
  <cols>
    <col width="16" customWidth="1" min="1" max="1"/>
    <col width="28" customWidth="1" min="2" max="2"/>
    <col width="12" customWidth="1" min="3" max="3"/>
    <col width="12" customWidth="1" min="4" max="4"/>
    <col width="12" customWidth="1" min="5" max="5"/>
    <col width="14" customWidth="1" min="6" max="6"/>
    <col width="18" customWidth="1" min="7" max="7"/>
    <col width="38" customWidth="1" min="8" max="8"/>
    <col width="18" customWidth="1" min="9" max="9"/>
    <col width="22" customWidth="1" min="10" max="10"/>
    <col width="70" customWidth="1" min="11" max="11"/>
  </cols>
  <sheetData>
    <row r="1" ht="28" customHeight="1">
      <c r="A1" s="5" t="inlineStr">
        <is>
          <t>Produto</t>
        </is>
      </c>
      <c r="B1" s="5" t="inlineStr">
        <is>
          <t>Cidade</t>
        </is>
      </c>
      <c r="C1" s="5" t="inlineStr">
        <is>
          <t>Latitude</t>
        </is>
      </c>
      <c r="D1" s="5" t="inlineStr">
        <is>
          <t>Longitude</t>
        </is>
      </c>
      <c r="E1" s="5" t="inlineStr">
        <is>
          <t>Data</t>
        </is>
      </c>
      <c r="F1" s="5" t="inlineStr">
        <is>
          <t>Peso (ton)</t>
        </is>
      </c>
      <c r="G1" s="5" t="inlineStr">
        <is>
          <t>Tipo_Demanda</t>
        </is>
      </c>
      <c r="H1" s="5" t="inlineStr">
        <is>
          <t>Regra_Limite</t>
        </is>
      </c>
      <c r="I1" s="5" t="inlineStr">
        <is>
          <t>Peso_Modelo (ton)</t>
        </is>
      </c>
      <c r="J1" s="5" t="inlineStr">
        <is>
          <t>Fonte_Parametro</t>
        </is>
      </c>
      <c r="K1" s="5" t="inlineStr">
        <is>
          <t>Observacao</t>
        </is>
      </c>
    </row>
    <row r="2">
      <c r="A2" s="4" t="inlineStr">
        <is>
          <t>Milho</t>
        </is>
      </c>
      <c r="B2" s="4" t="inlineStr">
        <is>
          <t>Rio Branco - AC</t>
        </is>
      </c>
      <c r="C2" s="4" t="n">
        <v>-9.97499</v>
      </c>
      <c r="D2" s="4" t="n">
        <v>-67.82429999999999</v>
      </c>
      <c r="E2" s="4" t="inlineStr">
        <is>
          <t>2021-01</t>
        </is>
      </c>
      <c r="F2" s="4" t="n">
        <v>6817.3778334457</v>
      </c>
      <c r="G2" s="4" t="inlineStr">
        <is>
          <t>DOMESTICA</t>
        </is>
      </c>
      <c r="H2" s="4" t="inlineStr">
        <is>
          <t>FIXO</t>
        </is>
      </c>
      <c r="I2" s="10">
        <f>IF($H2="AUTO_OFERTA_TOTAL_PRODUTO_PERIODO",SUMIFS(Oferta!$F:$F,Oferta!$A:$A,$A2,Oferta!$E:$E,$E2),$F2)</f>
        <v/>
      </c>
      <c r="J2" s="4" t="inlineStr">
        <is>
          <t>Informado</t>
        </is>
      </c>
      <c r="K2" s="4" t="inlineStr">
        <is>
          <t>Demanda doméstica fixa informada pelo usuário.</t>
        </is>
      </c>
    </row>
    <row r="3">
      <c r="A3" s="6" t="inlineStr">
        <is>
          <t>Milho</t>
        </is>
      </c>
      <c r="B3" s="6" t="inlineStr">
        <is>
          <t>Rio Branco - AC</t>
        </is>
      </c>
      <c r="C3" s="6" t="n">
        <v>-9.97499</v>
      </c>
      <c r="D3" s="6" t="n">
        <v>-67.82429999999999</v>
      </c>
      <c r="E3" s="6" t="inlineStr">
        <is>
          <t>2021-02</t>
        </is>
      </c>
      <c r="F3" s="6" t="n">
        <v>7846.4159969847</v>
      </c>
      <c r="G3" s="6" t="inlineStr">
        <is>
          <t>DOMESTICA</t>
        </is>
      </c>
      <c r="H3" s="6" t="inlineStr">
        <is>
          <t>FIXO</t>
        </is>
      </c>
      <c r="I3" s="11">
        <f>IF($H3="AUTO_OFERTA_TOTAL_PRODUTO_PERIODO",SUMIFS(Oferta!$F:$F,Oferta!$A:$A,$A3,Oferta!$E:$E,$E3),$F3)</f>
        <v/>
      </c>
      <c r="J3" s="6" t="inlineStr">
        <is>
          <t>Informado</t>
        </is>
      </c>
      <c r="K3" s="6" t="inlineStr">
        <is>
          <t>Demanda doméstica fixa informada pelo usuário.</t>
        </is>
      </c>
    </row>
    <row r="4">
      <c r="A4" s="6" t="inlineStr">
        <is>
          <t>Milho</t>
        </is>
      </c>
      <c r="B4" s="6" t="inlineStr">
        <is>
          <t>Rio Branco - AC</t>
        </is>
      </c>
      <c r="C4" s="6" t="n">
        <v>-9.97499</v>
      </c>
      <c r="D4" s="6" t="n">
        <v>-67.82429999999999</v>
      </c>
      <c r="E4" s="6" t="inlineStr">
        <is>
          <t>2021-03</t>
        </is>
      </c>
      <c r="F4" s="6" t="n">
        <v>9904.492324062699</v>
      </c>
      <c r="G4" s="6" t="inlineStr">
        <is>
          <t>DOMESTICA</t>
        </is>
      </c>
      <c r="H4" s="6" t="inlineStr">
        <is>
          <t>FIXO</t>
        </is>
      </c>
      <c r="I4" s="11">
        <f>IF($H4="AUTO_OFERTA_TOTAL_PRODUTO_PERIODO",SUMIFS(Oferta!$F:$F,Oferta!$A:$A,$A4,Oferta!$E:$E,$E4),$F4)</f>
        <v/>
      </c>
      <c r="J4" s="6" t="inlineStr">
        <is>
          <t>Informado</t>
        </is>
      </c>
      <c r="K4" s="6" t="inlineStr">
        <is>
          <t>Demanda doméstica fixa informada pelo usuário.</t>
        </is>
      </c>
    </row>
    <row r="5">
      <c r="A5" s="6" t="inlineStr">
        <is>
          <t>Milho</t>
        </is>
      </c>
      <c r="B5" s="6" t="inlineStr">
        <is>
          <t>Rio Branco - AC</t>
        </is>
      </c>
      <c r="C5" s="6" t="n">
        <v>-9.97499</v>
      </c>
      <c r="D5" s="6" t="n">
        <v>-67.82429999999999</v>
      </c>
      <c r="E5" s="6" t="inlineStr">
        <is>
          <t>2021-04</t>
        </is>
      </c>
      <c r="F5" s="6" t="n">
        <v>16078.7213052965</v>
      </c>
      <c r="G5" s="6" t="inlineStr">
        <is>
          <t>DOMESTICA</t>
        </is>
      </c>
      <c r="H5" s="6" t="inlineStr">
        <is>
          <t>FIXO</t>
        </is>
      </c>
      <c r="I5" s="11">
        <f>IF($H5="AUTO_OFERTA_TOTAL_PRODUTO_PERIODO",SUMIFS(Oferta!$F:$F,Oferta!$A:$A,$A5,Oferta!$E:$E,$E5),$F5)</f>
        <v/>
      </c>
      <c r="J5" s="6" t="inlineStr">
        <is>
          <t>Informado</t>
        </is>
      </c>
      <c r="K5" s="6" t="inlineStr">
        <is>
          <t>Demanda doméstica fixa informada pelo usuário.</t>
        </is>
      </c>
    </row>
    <row r="6">
      <c r="A6" s="6" t="inlineStr">
        <is>
          <t>Milho</t>
        </is>
      </c>
      <c r="B6" s="6" t="inlineStr">
        <is>
          <t>Rio Branco - AC</t>
        </is>
      </c>
      <c r="C6" s="6" t="n">
        <v>-9.97499</v>
      </c>
      <c r="D6" s="6" t="n">
        <v>-67.82429999999999</v>
      </c>
      <c r="E6" s="6" t="inlineStr">
        <is>
          <t>2021-05</t>
        </is>
      </c>
      <c r="F6" s="6" t="n">
        <v>17107.7594688355</v>
      </c>
      <c r="G6" s="6" t="inlineStr">
        <is>
          <t>DOMESTICA</t>
        </is>
      </c>
      <c r="H6" s="6" t="inlineStr">
        <is>
          <t>FIXO</t>
        </is>
      </c>
      <c r="I6" s="11">
        <f>IF($H6="AUTO_OFERTA_TOTAL_PRODUTO_PERIODO",SUMIFS(Oferta!$F:$F,Oferta!$A:$A,$A6,Oferta!$E:$E,$E6),$F6)</f>
        <v/>
      </c>
      <c r="J6" s="6" t="inlineStr">
        <is>
          <t>Informado</t>
        </is>
      </c>
      <c r="K6" s="6" t="inlineStr">
        <is>
          <t>Demanda doméstica fixa informada pelo usuário.</t>
        </is>
      </c>
    </row>
    <row r="7">
      <c r="A7" s="6" t="inlineStr">
        <is>
          <t>Milho</t>
        </is>
      </c>
      <c r="B7" s="6" t="inlineStr">
        <is>
          <t>Rio Branco - AC</t>
        </is>
      </c>
      <c r="C7" s="6" t="n">
        <v>-9.97499</v>
      </c>
      <c r="D7" s="6" t="n">
        <v>-67.82429999999999</v>
      </c>
      <c r="E7" s="6" t="inlineStr">
        <is>
          <t>2021-06</t>
        </is>
      </c>
      <c r="F7" s="6" t="n">
        <v>16078.7213052965</v>
      </c>
      <c r="G7" s="6" t="inlineStr">
        <is>
          <t>DOMESTICA</t>
        </is>
      </c>
      <c r="H7" s="6" t="inlineStr">
        <is>
          <t>FIXO</t>
        </is>
      </c>
      <c r="I7" s="11">
        <f>IF($H7="AUTO_OFERTA_TOTAL_PRODUTO_PERIODO",SUMIFS(Oferta!$F:$F,Oferta!$A:$A,$A7,Oferta!$E:$E,$E7),$F7)</f>
        <v/>
      </c>
      <c r="J7" s="6" t="inlineStr">
        <is>
          <t>Informado</t>
        </is>
      </c>
      <c r="K7" s="6" t="inlineStr">
        <is>
          <t>Demanda doméstica fixa informada pelo usuário.</t>
        </is>
      </c>
    </row>
    <row r="8">
      <c r="A8" s="6" t="inlineStr">
        <is>
          <t>Milho</t>
        </is>
      </c>
      <c r="B8" s="6" t="inlineStr">
        <is>
          <t>Rio Branco - AC</t>
        </is>
      </c>
      <c r="C8" s="6" t="n">
        <v>-9.97499</v>
      </c>
      <c r="D8" s="6" t="n">
        <v>-67.82429999999999</v>
      </c>
      <c r="E8" s="6" t="inlineStr">
        <is>
          <t>2021-07</t>
        </is>
      </c>
      <c r="F8" s="6" t="n">
        <v>9904.492324062599</v>
      </c>
      <c r="G8" s="6" t="inlineStr">
        <is>
          <t>DOMESTICA</t>
        </is>
      </c>
      <c r="H8" s="6" t="inlineStr">
        <is>
          <t>FIXO</t>
        </is>
      </c>
      <c r="I8" s="11">
        <f>IF($H8="AUTO_OFERTA_TOTAL_PRODUTO_PERIODO",SUMIFS(Oferta!$F:$F,Oferta!$A:$A,$A8,Oferta!$E:$E,$E8),$F8)</f>
        <v/>
      </c>
      <c r="J8" s="6" t="inlineStr">
        <is>
          <t>Informado</t>
        </is>
      </c>
      <c r="K8" s="6" t="inlineStr">
        <is>
          <t>Demanda doméstica fixa informada pelo usuário.</t>
        </is>
      </c>
    </row>
    <row r="9">
      <c r="A9" s="6" t="inlineStr">
        <is>
          <t>Milho</t>
        </is>
      </c>
      <c r="B9" s="6" t="inlineStr">
        <is>
          <t>Rio Branco - AC</t>
        </is>
      </c>
      <c r="C9" s="6" t="n">
        <v>-9.97499</v>
      </c>
      <c r="D9" s="6" t="n">
        <v>-67.82429999999999</v>
      </c>
      <c r="E9" s="6" t="inlineStr">
        <is>
          <t>2021-08</t>
        </is>
      </c>
      <c r="F9" s="6" t="n">
        <v>7846.4159969847</v>
      </c>
      <c r="G9" s="6" t="inlineStr">
        <is>
          <t>DOMESTICA</t>
        </is>
      </c>
      <c r="H9" s="6" t="inlineStr">
        <is>
          <t>FIXO</t>
        </is>
      </c>
      <c r="I9" s="11">
        <f>IF($H9="AUTO_OFERTA_TOTAL_PRODUTO_PERIODO",SUMIFS(Oferta!$F:$F,Oferta!$A:$A,$A9,Oferta!$E:$E,$E9),$F9)</f>
        <v/>
      </c>
      <c r="J9" s="6" t="inlineStr">
        <is>
          <t>Informado</t>
        </is>
      </c>
      <c r="K9" s="6" t="inlineStr">
        <is>
          <t>Demanda doméstica fixa informada pelo usuário.</t>
        </is>
      </c>
    </row>
    <row r="10">
      <c r="A10" s="6" t="inlineStr">
        <is>
          <t>Milho</t>
        </is>
      </c>
      <c r="B10" s="6" t="inlineStr">
        <is>
          <t>Rio Branco - AC</t>
        </is>
      </c>
      <c r="C10" s="6" t="n">
        <v>-9.97499</v>
      </c>
      <c r="D10" s="6" t="n">
        <v>-67.82429999999999</v>
      </c>
      <c r="E10" s="6" t="inlineStr">
        <is>
          <t>2021-09</t>
        </is>
      </c>
      <c r="F10" s="6" t="n">
        <v>6817.3778334457</v>
      </c>
      <c r="G10" s="6" t="inlineStr">
        <is>
          <t>DOMESTICA</t>
        </is>
      </c>
      <c r="H10" s="6" t="inlineStr">
        <is>
          <t>FIXO</t>
        </is>
      </c>
      <c r="I10" s="11">
        <f>IF($H10="AUTO_OFERTA_TOTAL_PRODUTO_PERIODO",SUMIFS(Oferta!$F:$F,Oferta!$A:$A,$A10,Oferta!$E:$E,$E10),$F10)</f>
        <v/>
      </c>
      <c r="J10" s="6" t="inlineStr">
        <is>
          <t>Informado</t>
        </is>
      </c>
      <c r="K10" s="6" t="inlineStr">
        <is>
          <t>Demanda doméstica fixa informada pelo usuário.</t>
        </is>
      </c>
    </row>
    <row r="11">
      <c r="A11" s="6" t="inlineStr">
        <is>
          <t>Milho</t>
        </is>
      </c>
      <c r="B11" s="6" t="inlineStr">
        <is>
          <t>Rio Branco - AC</t>
        </is>
      </c>
      <c r="C11" s="6" t="n">
        <v>-9.97499</v>
      </c>
      <c r="D11" s="6" t="n">
        <v>-67.82429999999999</v>
      </c>
      <c r="E11" s="6" t="inlineStr">
        <is>
          <t>2021-10</t>
        </is>
      </c>
      <c r="F11" s="6" t="n">
        <v>6817.3778334457</v>
      </c>
      <c r="G11" s="6" t="inlineStr">
        <is>
          <t>DOMESTICA</t>
        </is>
      </c>
      <c r="H11" s="6" t="inlineStr">
        <is>
          <t>FIXO</t>
        </is>
      </c>
      <c r="I11" s="11">
        <f>IF($H11="AUTO_OFERTA_TOTAL_PRODUTO_PERIODO",SUMIFS(Oferta!$F:$F,Oferta!$A:$A,$A11,Oferta!$E:$E,$E11),$F11)</f>
        <v/>
      </c>
      <c r="J11" s="6" t="inlineStr">
        <is>
          <t>Informado</t>
        </is>
      </c>
      <c r="K11" s="6" t="inlineStr">
        <is>
          <t>Demanda doméstica fixa informada pelo usuário.</t>
        </is>
      </c>
    </row>
    <row r="12">
      <c r="A12" s="6" t="inlineStr">
        <is>
          <t>Milho</t>
        </is>
      </c>
      <c r="B12" s="6" t="inlineStr">
        <is>
          <t>Rio Branco - AC</t>
        </is>
      </c>
      <c r="C12" s="6" t="n">
        <v>-9.97499</v>
      </c>
      <c r="D12" s="6" t="n">
        <v>-67.82429999999999</v>
      </c>
      <c r="E12" s="6" t="inlineStr">
        <is>
          <t>2021-11</t>
        </is>
      </c>
      <c r="F12" s="6" t="n">
        <v>6817.3778334457</v>
      </c>
      <c r="G12" s="6" t="inlineStr">
        <is>
          <t>DOMESTICA</t>
        </is>
      </c>
      <c r="H12" s="6" t="inlineStr">
        <is>
          <t>FIXO</t>
        </is>
      </c>
      <c r="I12" s="11">
        <f>IF($H12="AUTO_OFERTA_TOTAL_PRODUTO_PERIODO",SUMIFS(Oferta!$F:$F,Oferta!$A:$A,$A12,Oferta!$E:$E,$E12),$F12)</f>
        <v/>
      </c>
      <c r="J12" s="6" t="inlineStr">
        <is>
          <t>Informado</t>
        </is>
      </c>
      <c r="K12" s="6" t="inlineStr">
        <is>
          <t>Demanda doméstica fixa informada pelo usuário.</t>
        </is>
      </c>
    </row>
    <row r="13">
      <c r="A13" s="6" t="inlineStr">
        <is>
          <t>Milho</t>
        </is>
      </c>
      <c r="B13" s="6" t="inlineStr">
        <is>
          <t>Rio Branco - AC</t>
        </is>
      </c>
      <c r="C13" s="6" t="n">
        <v>-9.97499</v>
      </c>
      <c r="D13" s="6" t="n">
        <v>-67.82429999999999</v>
      </c>
      <c r="E13" s="6" t="inlineStr">
        <is>
          <t>2021-12</t>
        </is>
      </c>
      <c r="F13" s="6" t="n">
        <v>6817.3778334457</v>
      </c>
      <c r="G13" s="6" t="inlineStr">
        <is>
          <t>DOMESTICA</t>
        </is>
      </c>
      <c r="H13" s="6" t="inlineStr">
        <is>
          <t>FIXO</t>
        </is>
      </c>
      <c r="I13" s="11">
        <f>IF($H13="AUTO_OFERTA_TOTAL_PRODUTO_PERIODO",SUMIFS(Oferta!$F:$F,Oferta!$A:$A,$A13,Oferta!$E:$E,$E13),$F13)</f>
        <v/>
      </c>
      <c r="J13" s="6" t="inlineStr">
        <is>
          <t>Informado</t>
        </is>
      </c>
      <c r="K13" s="6" t="inlineStr">
        <is>
          <t>Demanda doméstica fixa informada pelo usuário.</t>
        </is>
      </c>
    </row>
    <row r="14">
      <c r="A14" s="6" t="inlineStr">
        <is>
          <t>Milho</t>
        </is>
      </c>
      <c r="B14" s="6" t="inlineStr">
        <is>
          <t>Macapá - AP</t>
        </is>
      </c>
      <c r="C14" s="6" t="n">
        <v>0.034934</v>
      </c>
      <c r="D14" s="6" t="n">
        <v>-51.0694</v>
      </c>
      <c r="E14" s="6" t="inlineStr">
        <is>
          <t>2021-01</t>
        </is>
      </c>
      <c r="F14" s="6" t="n">
        <v>4630.6559894752</v>
      </c>
      <c r="G14" s="6" t="inlineStr">
        <is>
          <t>DOMESTICA</t>
        </is>
      </c>
      <c r="H14" s="6" t="inlineStr">
        <is>
          <t>FIXO</t>
        </is>
      </c>
      <c r="I14" s="11">
        <f>IF($H14="AUTO_OFERTA_TOTAL_PRODUTO_PERIODO",SUMIFS(Oferta!$F:$F,Oferta!$A:$A,$A14,Oferta!$E:$E,$E14),$F14)</f>
        <v/>
      </c>
      <c r="J14" s="6" t="inlineStr">
        <is>
          <t>Informado</t>
        </is>
      </c>
      <c r="K14" s="6" t="inlineStr">
        <is>
          <t>Demanda doméstica fixa informada pelo usuário.</t>
        </is>
      </c>
    </row>
    <row r="15">
      <c r="A15" s="6" t="inlineStr">
        <is>
          <t>Milho</t>
        </is>
      </c>
      <c r="B15" s="6" t="inlineStr">
        <is>
          <t>Macapá - AP</t>
        </is>
      </c>
      <c r="C15" s="6" t="n">
        <v>0.034934</v>
      </c>
      <c r="D15" s="6" t="n">
        <v>-51.0694</v>
      </c>
      <c r="E15" s="6" t="inlineStr">
        <is>
          <t>2021-02</t>
        </is>
      </c>
      <c r="F15" s="6" t="n">
        <v>4630.6559894752</v>
      </c>
      <c r="G15" s="6" t="inlineStr">
        <is>
          <t>DOMESTICA</t>
        </is>
      </c>
      <c r="H15" s="6" t="inlineStr">
        <is>
          <t>FIXO</t>
        </is>
      </c>
      <c r="I15" s="11">
        <f>IF($H15="AUTO_OFERTA_TOTAL_PRODUTO_PERIODO",SUMIFS(Oferta!$F:$F,Oferta!$A:$A,$A15,Oferta!$E:$E,$E15),$F15)</f>
        <v/>
      </c>
      <c r="J15" s="6" t="inlineStr">
        <is>
          <t>Informado</t>
        </is>
      </c>
      <c r="K15" s="6" t="inlineStr">
        <is>
          <t>Demanda doméstica fixa informada pelo usuário.</t>
        </is>
      </c>
    </row>
    <row r="16">
      <c r="A16" s="6" t="inlineStr">
        <is>
          <t>Milho</t>
        </is>
      </c>
      <c r="B16" s="6" t="inlineStr">
        <is>
          <t>Macapá - AP</t>
        </is>
      </c>
      <c r="C16" s="6" t="n">
        <v>0.034934</v>
      </c>
      <c r="D16" s="6" t="n">
        <v>-51.0694</v>
      </c>
      <c r="E16" s="6" t="inlineStr">
        <is>
          <t>2021-03</t>
        </is>
      </c>
      <c r="F16" s="6" t="n">
        <v>4630.6559894752</v>
      </c>
      <c r="G16" s="6" t="inlineStr">
        <is>
          <t>DOMESTICA</t>
        </is>
      </c>
      <c r="H16" s="6" t="inlineStr">
        <is>
          <t>FIXO</t>
        </is>
      </c>
      <c r="I16" s="11">
        <f>IF($H16="AUTO_OFERTA_TOTAL_PRODUTO_PERIODO",SUMIFS(Oferta!$F:$F,Oferta!$A:$A,$A16,Oferta!$E:$E,$E16),$F16)</f>
        <v/>
      </c>
      <c r="J16" s="6" t="inlineStr">
        <is>
          <t>Informado</t>
        </is>
      </c>
      <c r="K16" s="6" t="inlineStr">
        <is>
          <t>Demanda doméstica fixa informada pelo usuário.</t>
        </is>
      </c>
    </row>
    <row r="17">
      <c r="A17" s="6" t="inlineStr">
        <is>
          <t>Milho</t>
        </is>
      </c>
      <c r="B17" s="6" t="inlineStr">
        <is>
          <t>Macapá - AP</t>
        </is>
      </c>
      <c r="C17" s="6" t="n">
        <v>0.034934</v>
      </c>
      <c r="D17" s="6" t="n">
        <v>-51.0694</v>
      </c>
      <c r="E17" s="6" t="inlineStr">
        <is>
          <t>2021-04</t>
        </is>
      </c>
      <c r="F17" s="6" t="n">
        <v>4630.6559894752</v>
      </c>
      <c r="G17" s="6" t="inlineStr">
        <is>
          <t>DOMESTICA</t>
        </is>
      </c>
      <c r="H17" s="6" t="inlineStr">
        <is>
          <t>FIXO</t>
        </is>
      </c>
      <c r="I17" s="11">
        <f>IF($H17="AUTO_OFERTA_TOTAL_PRODUTO_PERIODO",SUMIFS(Oferta!$F:$F,Oferta!$A:$A,$A17,Oferta!$E:$E,$E17),$F17)</f>
        <v/>
      </c>
      <c r="J17" s="6" t="inlineStr">
        <is>
          <t>Informado</t>
        </is>
      </c>
      <c r="K17" s="6" t="inlineStr">
        <is>
          <t>Demanda doméstica fixa informada pelo usuário.</t>
        </is>
      </c>
    </row>
    <row r="18">
      <c r="A18" s="6" t="inlineStr">
        <is>
          <t>Milho</t>
        </is>
      </c>
      <c r="B18" s="6" t="inlineStr">
        <is>
          <t>Macapá - AP</t>
        </is>
      </c>
      <c r="C18" s="6" t="n">
        <v>0.034934</v>
      </c>
      <c r="D18" s="6" t="n">
        <v>-51.0694</v>
      </c>
      <c r="E18" s="6" t="inlineStr">
        <is>
          <t>2021-05</t>
        </is>
      </c>
      <c r="F18" s="6" t="n">
        <v>5329.6229312827</v>
      </c>
      <c r="G18" s="6" t="inlineStr">
        <is>
          <t>DOMESTICA</t>
        </is>
      </c>
      <c r="H18" s="6" t="inlineStr">
        <is>
          <t>FIXO</t>
        </is>
      </c>
      <c r="I18" s="11">
        <f>IF($H18="AUTO_OFERTA_TOTAL_PRODUTO_PERIODO",SUMIFS(Oferta!$F:$F,Oferta!$A:$A,$A18,Oferta!$E:$E,$E18),$F18)</f>
        <v/>
      </c>
      <c r="J18" s="6" t="inlineStr">
        <is>
          <t>Informado</t>
        </is>
      </c>
      <c r="K18" s="6" t="inlineStr">
        <is>
          <t>Demanda doméstica fixa informada pelo usuário.</t>
        </is>
      </c>
    </row>
    <row r="19">
      <c r="A19" s="6" t="inlineStr">
        <is>
          <t>Milho</t>
        </is>
      </c>
      <c r="B19" s="6" t="inlineStr">
        <is>
          <t>Macapá - AP</t>
        </is>
      </c>
      <c r="C19" s="6" t="n">
        <v>0.034934</v>
      </c>
      <c r="D19" s="6" t="n">
        <v>-51.0694</v>
      </c>
      <c r="E19" s="6" t="inlineStr">
        <is>
          <t>2021-06</t>
        </is>
      </c>
      <c r="F19" s="6" t="n">
        <v>8125.490698513</v>
      </c>
      <c r="G19" s="6" t="inlineStr">
        <is>
          <t>DOMESTICA</t>
        </is>
      </c>
      <c r="H19" s="6" t="inlineStr">
        <is>
          <t>FIXO</t>
        </is>
      </c>
      <c r="I19" s="11">
        <f>IF($H19="AUTO_OFERTA_TOTAL_PRODUTO_PERIODO",SUMIFS(Oferta!$F:$F,Oferta!$A:$A,$A19,Oferta!$E:$E,$E19),$F19)</f>
        <v/>
      </c>
      <c r="J19" s="6" t="inlineStr">
        <is>
          <t>Informado</t>
        </is>
      </c>
      <c r="K19" s="6" t="inlineStr">
        <is>
          <t>Demanda doméstica fixa informada pelo usuário.</t>
        </is>
      </c>
    </row>
    <row r="20">
      <c r="A20" s="6" t="inlineStr">
        <is>
          <t>Milho</t>
        </is>
      </c>
      <c r="B20" s="6" t="inlineStr">
        <is>
          <t>Macapá - AP</t>
        </is>
      </c>
      <c r="C20" s="6" t="n">
        <v>0.034934</v>
      </c>
      <c r="D20" s="6" t="n">
        <v>-51.0694</v>
      </c>
      <c r="E20" s="6" t="inlineStr">
        <is>
          <t>2021-07</t>
        </is>
      </c>
      <c r="F20" s="6" t="n">
        <v>10921.3584657433</v>
      </c>
      <c r="G20" s="6" t="inlineStr">
        <is>
          <t>DOMESTICA</t>
        </is>
      </c>
      <c r="H20" s="6" t="inlineStr">
        <is>
          <t>FIXO</t>
        </is>
      </c>
      <c r="I20" s="11">
        <f>IF($H20="AUTO_OFERTA_TOTAL_PRODUTO_PERIODO",SUMIFS(Oferta!$F:$F,Oferta!$A:$A,$A20,Oferta!$E:$E,$E20),$F20)</f>
        <v/>
      </c>
      <c r="J20" s="6" t="inlineStr">
        <is>
          <t>Informado</t>
        </is>
      </c>
      <c r="K20" s="6" t="inlineStr">
        <is>
          <t>Demanda doméstica fixa informada pelo usuário.</t>
        </is>
      </c>
    </row>
    <row r="21">
      <c r="A21" s="6" t="inlineStr">
        <is>
          <t>Milho</t>
        </is>
      </c>
      <c r="B21" s="6" t="inlineStr">
        <is>
          <t>Macapá - AP</t>
        </is>
      </c>
      <c r="C21" s="6" t="n">
        <v>0.034934</v>
      </c>
      <c r="D21" s="6" t="n">
        <v>-51.0694</v>
      </c>
      <c r="E21" s="6" t="inlineStr">
        <is>
          <t>2021-08</t>
        </is>
      </c>
      <c r="F21" s="6" t="n">
        <v>11620.3254075509</v>
      </c>
      <c r="G21" s="6" t="inlineStr">
        <is>
          <t>DOMESTICA</t>
        </is>
      </c>
      <c r="H21" s="6" t="inlineStr">
        <is>
          <t>FIXO</t>
        </is>
      </c>
      <c r="I21" s="11">
        <f>IF($H21="AUTO_OFERTA_TOTAL_PRODUTO_PERIODO",SUMIFS(Oferta!$F:$F,Oferta!$A:$A,$A21,Oferta!$E:$E,$E21),$F21)</f>
        <v/>
      </c>
      <c r="J21" s="6" t="inlineStr">
        <is>
          <t>Informado</t>
        </is>
      </c>
      <c r="K21" s="6" t="inlineStr">
        <is>
          <t>Demanda doméstica fixa informada pelo usuário.</t>
        </is>
      </c>
    </row>
    <row r="22">
      <c r="A22" s="6" t="inlineStr">
        <is>
          <t>Milho</t>
        </is>
      </c>
      <c r="B22" s="6" t="inlineStr">
        <is>
          <t>Macapá - AP</t>
        </is>
      </c>
      <c r="C22" s="6" t="n">
        <v>0.034934</v>
      </c>
      <c r="D22" s="6" t="n">
        <v>-51.0694</v>
      </c>
      <c r="E22" s="6" t="inlineStr">
        <is>
          <t>2021-09</t>
        </is>
      </c>
      <c r="F22" s="6" t="n">
        <v>9523.4245821282</v>
      </c>
      <c r="G22" s="6" t="inlineStr">
        <is>
          <t>DOMESTICA</t>
        </is>
      </c>
      <c r="H22" s="6" t="inlineStr">
        <is>
          <t>FIXO</t>
        </is>
      </c>
      <c r="I22" s="11">
        <f>IF($H22="AUTO_OFERTA_TOTAL_PRODUTO_PERIODO",SUMIFS(Oferta!$F:$F,Oferta!$A:$A,$A22,Oferta!$E:$E,$E22),$F22)</f>
        <v/>
      </c>
      <c r="J22" s="6" t="inlineStr">
        <is>
          <t>Informado</t>
        </is>
      </c>
      <c r="K22" s="6" t="inlineStr">
        <is>
          <t>Demanda doméstica fixa informada pelo usuário.</t>
        </is>
      </c>
    </row>
    <row r="23">
      <c r="A23" s="6" t="inlineStr">
        <is>
          <t>Milho</t>
        </is>
      </c>
      <c r="B23" s="6" t="inlineStr">
        <is>
          <t>Macapá - AP</t>
        </is>
      </c>
      <c r="C23" s="6" t="n">
        <v>0.034934</v>
      </c>
      <c r="D23" s="6" t="n">
        <v>-51.0694</v>
      </c>
      <c r="E23" s="6" t="inlineStr">
        <is>
          <t>2021-10</t>
        </is>
      </c>
      <c r="F23" s="6" t="n">
        <v>6727.5568148979</v>
      </c>
      <c r="G23" s="6" t="inlineStr">
        <is>
          <t>DOMESTICA</t>
        </is>
      </c>
      <c r="H23" s="6" t="inlineStr">
        <is>
          <t>FIXO</t>
        </is>
      </c>
      <c r="I23" s="11">
        <f>IF($H23="AUTO_OFERTA_TOTAL_PRODUTO_PERIODO",SUMIFS(Oferta!$F:$F,Oferta!$A:$A,$A23,Oferta!$E:$E,$E23),$F23)</f>
        <v/>
      </c>
      <c r="J23" s="6" t="inlineStr">
        <is>
          <t>Informado</t>
        </is>
      </c>
      <c r="K23" s="6" t="inlineStr">
        <is>
          <t>Demanda doméstica fixa informada pelo usuário.</t>
        </is>
      </c>
    </row>
    <row r="24">
      <c r="A24" s="6" t="inlineStr">
        <is>
          <t>Milho</t>
        </is>
      </c>
      <c r="B24" s="6" t="inlineStr">
        <is>
          <t>Macapá - AP</t>
        </is>
      </c>
      <c r="C24" s="6" t="n">
        <v>0.034934</v>
      </c>
      <c r="D24" s="6" t="n">
        <v>-51.0694</v>
      </c>
      <c r="E24" s="6" t="inlineStr">
        <is>
          <t>2021-11</t>
        </is>
      </c>
      <c r="F24" s="6" t="n">
        <v>5329.6229312827</v>
      </c>
      <c r="G24" s="6" t="inlineStr">
        <is>
          <t>DOMESTICA</t>
        </is>
      </c>
      <c r="H24" s="6" t="inlineStr">
        <is>
          <t>FIXO</t>
        </is>
      </c>
      <c r="I24" s="11">
        <f>IF($H24="AUTO_OFERTA_TOTAL_PRODUTO_PERIODO",SUMIFS(Oferta!$F:$F,Oferta!$A:$A,$A24,Oferta!$E:$E,$E24),$F24)</f>
        <v/>
      </c>
      <c r="J24" s="6" t="inlineStr">
        <is>
          <t>Informado</t>
        </is>
      </c>
      <c r="K24" s="6" t="inlineStr">
        <is>
          <t>Demanda doméstica fixa informada pelo usuário.</t>
        </is>
      </c>
    </row>
    <row r="25">
      <c r="A25" s="6" t="inlineStr">
        <is>
          <t>Milho</t>
        </is>
      </c>
      <c r="B25" s="6" t="inlineStr">
        <is>
          <t>Macapá - AP</t>
        </is>
      </c>
      <c r="C25" s="6" t="n">
        <v>0.034934</v>
      </c>
      <c r="D25" s="6" t="n">
        <v>-51.0694</v>
      </c>
      <c r="E25" s="6" t="inlineStr">
        <is>
          <t>2021-12</t>
        </is>
      </c>
      <c r="F25" s="6" t="n">
        <v>4630.6559894752</v>
      </c>
      <c r="G25" s="6" t="inlineStr">
        <is>
          <t>DOMESTICA</t>
        </is>
      </c>
      <c r="H25" s="6" t="inlineStr">
        <is>
          <t>FIXO</t>
        </is>
      </c>
      <c r="I25" s="11">
        <f>IF($H25="AUTO_OFERTA_TOTAL_PRODUTO_PERIODO",SUMIFS(Oferta!$F:$F,Oferta!$A:$A,$A25,Oferta!$E:$E,$E25),$F25)</f>
        <v/>
      </c>
      <c r="J25" s="6" t="inlineStr">
        <is>
          <t>Informado</t>
        </is>
      </c>
      <c r="K25" s="6" t="inlineStr">
        <is>
          <t>Demanda doméstica fixa informada pelo usuário.</t>
        </is>
      </c>
    </row>
    <row r="26">
      <c r="A26" s="6" t="inlineStr">
        <is>
          <t>Milho</t>
        </is>
      </c>
      <c r="B26" s="6" t="inlineStr">
        <is>
          <t>Manaus - AM</t>
        </is>
      </c>
      <c r="C26" s="6" t="n">
        <v>-3.11866</v>
      </c>
      <c r="D26" s="6" t="n">
        <v>-60.0212</v>
      </c>
      <c r="E26" s="6" t="inlineStr">
        <is>
          <t>2021-01</t>
        </is>
      </c>
      <c r="F26" s="6" t="n">
        <v>40911.3980322672</v>
      </c>
      <c r="G26" s="6" t="inlineStr">
        <is>
          <t>DOMESTICA</t>
        </is>
      </c>
      <c r="H26" s="6" t="inlineStr">
        <is>
          <t>FIXO</t>
        </is>
      </c>
      <c r="I26" s="11">
        <f>IF($H26="AUTO_OFERTA_TOTAL_PRODUTO_PERIODO",SUMIFS(Oferta!$F:$F,Oferta!$A:$A,$A26,Oferta!$E:$E,$E26),$F26)</f>
        <v/>
      </c>
      <c r="J26" s="6" t="inlineStr">
        <is>
          <t>Informado</t>
        </is>
      </c>
      <c r="K26" s="6" t="inlineStr">
        <is>
          <t>Demanda doméstica fixa informada pelo usuário.</t>
        </is>
      </c>
    </row>
    <row r="27">
      <c r="A27" s="6" t="inlineStr">
        <is>
          <t>Milho</t>
        </is>
      </c>
      <c r="B27" s="6" t="inlineStr">
        <is>
          <t>Manaus - AM</t>
        </is>
      </c>
      <c r="C27" s="6" t="n">
        <v>-3.11866</v>
      </c>
      <c r="D27" s="6" t="n">
        <v>-60.0212</v>
      </c>
      <c r="E27" s="6" t="inlineStr">
        <is>
          <t>2021-02</t>
        </is>
      </c>
      <c r="F27" s="6" t="n">
        <v>40911.3980322672</v>
      </c>
      <c r="G27" s="6" t="inlineStr">
        <is>
          <t>DOMESTICA</t>
        </is>
      </c>
      <c r="H27" s="6" t="inlineStr">
        <is>
          <t>FIXO</t>
        </is>
      </c>
      <c r="I27" s="11">
        <f>IF($H27="AUTO_OFERTA_TOTAL_PRODUTO_PERIODO",SUMIFS(Oferta!$F:$F,Oferta!$A:$A,$A27,Oferta!$E:$E,$E27),$F27)</f>
        <v/>
      </c>
      <c r="J27" s="6" t="inlineStr">
        <is>
          <t>Informado</t>
        </is>
      </c>
      <c r="K27" s="6" t="inlineStr">
        <is>
          <t>Demanda doméstica fixa informada pelo usuário.</t>
        </is>
      </c>
    </row>
    <row r="28">
      <c r="A28" s="6" t="inlineStr">
        <is>
          <t>Milho</t>
        </is>
      </c>
      <c r="B28" s="6" t="inlineStr">
        <is>
          <t>Manaus - AM</t>
        </is>
      </c>
      <c r="C28" s="6" t="n">
        <v>-3.11866</v>
      </c>
      <c r="D28" s="6" t="n">
        <v>-60.0212</v>
      </c>
      <c r="E28" s="6" t="inlineStr">
        <is>
          <t>2021-03</t>
        </is>
      </c>
      <c r="F28" s="6" t="n">
        <v>53262.0087589894</v>
      </c>
      <c r="G28" s="6" t="inlineStr">
        <is>
          <t>DOMESTICA</t>
        </is>
      </c>
      <c r="H28" s="6" t="inlineStr">
        <is>
          <t>FIXO</t>
        </is>
      </c>
      <c r="I28" s="11">
        <f>IF($H28="AUTO_OFERTA_TOTAL_PRODUTO_PERIODO",SUMIFS(Oferta!$F:$F,Oferta!$A:$A,$A28,Oferta!$E:$E,$E28),$F28)</f>
        <v/>
      </c>
      <c r="J28" s="6" t="inlineStr">
        <is>
          <t>Informado</t>
        </is>
      </c>
      <c r="K28" s="6" t="inlineStr">
        <is>
          <t>Demanda doméstica fixa informada pelo usuário.</t>
        </is>
      </c>
    </row>
    <row r="29">
      <c r="A29" s="6" t="inlineStr">
        <is>
          <t>Milho</t>
        </is>
      </c>
      <c r="B29" s="6" t="inlineStr">
        <is>
          <t>Manaus - AM</t>
        </is>
      </c>
      <c r="C29" s="6" t="n">
        <v>-3.11866</v>
      </c>
      <c r="D29" s="6" t="n">
        <v>-60.0212</v>
      </c>
      <c r="E29" s="6" t="inlineStr">
        <is>
          <t>2021-04</t>
        </is>
      </c>
      <c r="F29" s="6" t="n">
        <v>65612.61948571161</v>
      </c>
      <c r="G29" s="6" t="inlineStr">
        <is>
          <t>DOMESTICA</t>
        </is>
      </c>
      <c r="H29" s="6" t="inlineStr">
        <is>
          <t>FIXO</t>
        </is>
      </c>
      <c r="I29" s="11">
        <f>IF($H29="AUTO_OFERTA_TOTAL_PRODUTO_PERIODO",SUMIFS(Oferta!$F:$F,Oferta!$A:$A,$A29,Oferta!$E:$E,$E29),$F29)</f>
        <v/>
      </c>
      <c r="J29" s="6" t="inlineStr">
        <is>
          <t>Informado</t>
        </is>
      </c>
      <c r="K29" s="6" t="inlineStr">
        <is>
          <t>Demanda doméstica fixa informada pelo usuário.</t>
        </is>
      </c>
    </row>
    <row r="30">
      <c r="A30" s="6" t="inlineStr">
        <is>
          <t>Milho</t>
        </is>
      </c>
      <c r="B30" s="6" t="inlineStr">
        <is>
          <t>Manaus - AM</t>
        </is>
      </c>
      <c r="C30" s="6" t="n">
        <v>-3.11866</v>
      </c>
      <c r="D30" s="6" t="n">
        <v>-60.0212</v>
      </c>
      <c r="E30" s="6" t="inlineStr">
        <is>
          <t>2021-05</t>
        </is>
      </c>
      <c r="F30" s="6" t="n">
        <v>102664.4516658782</v>
      </c>
      <c r="G30" s="6" t="inlineStr">
        <is>
          <t>DOMESTICA</t>
        </is>
      </c>
      <c r="H30" s="6" t="inlineStr">
        <is>
          <t>FIXO</t>
        </is>
      </c>
      <c r="I30" s="11">
        <f>IF($H30="AUTO_OFERTA_TOTAL_PRODUTO_PERIODO",SUMIFS(Oferta!$F:$F,Oferta!$A:$A,$A30,Oferta!$E:$E,$E30),$F30)</f>
        <v/>
      </c>
      <c r="J30" s="6" t="inlineStr">
        <is>
          <t>Informado</t>
        </is>
      </c>
      <c r="K30" s="6" t="inlineStr">
        <is>
          <t>Demanda doméstica fixa informada pelo usuário.</t>
        </is>
      </c>
    </row>
    <row r="31">
      <c r="A31" s="6" t="inlineStr">
        <is>
          <t>Milho</t>
        </is>
      </c>
      <c r="B31" s="6" t="inlineStr">
        <is>
          <t>Manaus - AM</t>
        </is>
      </c>
      <c r="C31" s="6" t="n">
        <v>-3.11866</v>
      </c>
      <c r="D31" s="6" t="n">
        <v>-60.0212</v>
      </c>
      <c r="E31" s="6" t="inlineStr">
        <is>
          <t>2021-06</t>
        </is>
      </c>
      <c r="F31" s="6" t="n">
        <v>102664.4516658782</v>
      </c>
      <c r="G31" s="6" t="inlineStr">
        <is>
          <t>DOMESTICA</t>
        </is>
      </c>
      <c r="H31" s="6" t="inlineStr">
        <is>
          <t>FIXO</t>
        </is>
      </c>
      <c r="I31" s="11">
        <f>IF($H31="AUTO_OFERTA_TOTAL_PRODUTO_PERIODO",SUMIFS(Oferta!$F:$F,Oferta!$A:$A,$A31,Oferta!$E:$E,$E31),$F31)</f>
        <v/>
      </c>
      <c r="J31" s="6" t="inlineStr">
        <is>
          <t>Informado</t>
        </is>
      </c>
      <c r="K31" s="6" t="inlineStr">
        <is>
          <t>Demanda doméstica fixa informada pelo usuário.</t>
        </is>
      </c>
    </row>
    <row r="32">
      <c r="A32" s="6" t="inlineStr">
        <is>
          <t>Milho</t>
        </is>
      </c>
      <c r="B32" s="6" t="inlineStr">
        <is>
          <t>Manaus - AM</t>
        </is>
      </c>
      <c r="C32" s="6" t="n">
        <v>-3.11866</v>
      </c>
      <c r="D32" s="6" t="n">
        <v>-60.0212</v>
      </c>
      <c r="E32" s="6" t="inlineStr">
        <is>
          <t>2021-07</t>
        </is>
      </c>
      <c r="F32" s="6" t="n">
        <v>102664.4516658782</v>
      </c>
      <c r="G32" s="6" t="inlineStr">
        <is>
          <t>DOMESTICA</t>
        </is>
      </c>
      <c r="H32" s="6" t="inlineStr">
        <is>
          <t>FIXO</t>
        </is>
      </c>
      <c r="I32" s="11">
        <f>IF($H32="AUTO_OFERTA_TOTAL_PRODUTO_PERIODO",SUMIFS(Oferta!$F:$F,Oferta!$A:$A,$A32,Oferta!$E:$E,$E32),$F32)</f>
        <v/>
      </c>
      <c r="J32" s="6" t="inlineStr">
        <is>
          <t>Informado</t>
        </is>
      </c>
      <c r="K32" s="6" t="inlineStr">
        <is>
          <t>Demanda doméstica fixa informada pelo usuário.</t>
        </is>
      </c>
    </row>
    <row r="33">
      <c r="A33" s="6" t="inlineStr">
        <is>
          <t>Milho</t>
        </is>
      </c>
      <c r="B33" s="6" t="inlineStr">
        <is>
          <t>Manaus - AM</t>
        </is>
      </c>
      <c r="C33" s="6" t="n">
        <v>-3.11866</v>
      </c>
      <c r="D33" s="6" t="n">
        <v>-60.0212</v>
      </c>
      <c r="E33" s="6" t="inlineStr">
        <is>
          <t>2021-08</t>
        </is>
      </c>
      <c r="F33" s="6" t="n">
        <v>65612.61948571161</v>
      </c>
      <c r="G33" s="6" t="inlineStr">
        <is>
          <t>DOMESTICA</t>
        </is>
      </c>
      <c r="H33" s="6" t="inlineStr">
        <is>
          <t>FIXO</t>
        </is>
      </c>
      <c r="I33" s="11">
        <f>IF($H33="AUTO_OFERTA_TOTAL_PRODUTO_PERIODO",SUMIFS(Oferta!$F:$F,Oferta!$A:$A,$A33,Oferta!$E:$E,$E33),$F33)</f>
        <v/>
      </c>
      <c r="J33" s="6" t="inlineStr">
        <is>
          <t>Informado</t>
        </is>
      </c>
      <c r="K33" s="6" t="inlineStr">
        <is>
          <t>Demanda doméstica fixa informada pelo usuário.</t>
        </is>
      </c>
    </row>
    <row r="34">
      <c r="A34" s="6" t="inlineStr">
        <is>
          <t>Milho</t>
        </is>
      </c>
      <c r="B34" s="6" t="inlineStr">
        <is>
          <t>Manaus - AM</t>
        </is>
      </c>
      <c r="C34" s="6" t="n">
        <v>-3.11866</v>
      </c>
      <c r="D34" s="6" t="n">
        <v>-60.0212</v>
      </c>
      <c r="E34" s="6" t="inlineStr">
        <is>
          <t>2021-09</t>
        </is>
      </c>
      <c r="F34" s="6" t="n">
        <v>53262.0087589894</v>
      </c>
      <c r="G34" s="6" t="inlineStr">
        <is>
          <t>DOMESTICA</t>
        </is>
      </c>
      <c r="H34" s="6" t="inlineStr">
        <is>
          <t>FIXO</t>
        </is>
      </c>
      <c r="I34" s="11">
        <f>IF($H34="AUTO_OFERTA_TOTAL_PRODUTO_PERIODO",SUMIFS(Oferta!$F:$F,Oferta!$A:$A,$A34,Oferta!$E:$E,$E34),$F34)</f>
        <v/>
      </c>
      <c r="J34" s="6" t="inlineStr">
        <is>
          <t>Informado</t>
        </is>
      </c>
      <c r="K34" s="6" t="inlineStr">
        <is>
          <t>Demanda doméstica fixa informada pelo usuário.</t>
        </is>
      </c>
    </row>
    <row r="35">
      <c r="A35" s="6" t="inlineStr">
        <is>
          <t>Milho</t>
        </is>
      </c>
      <c r="B35" s="6" t="inlineStr">
        <is>
          <t>Manaus - AM</t>
        </is>
      </c>
      <c r="C35" s="6" t="n">
        <v>-3.11866</v>
      </c>
      <c r="D35" s="6" t="n">
        <v>-60.0212</v>
      </c>
      <c r="E35" s="6" t="inlineStr">
        <is>
          <t>2021-10</t>
        </is>
      </c>
      <c r="F35" s="6" t="n">
        <v>40911.3980322672</v>
      </c>
      <c r="G35" s="6" t="inlineStr">
        <is>
          <t>DOMESTICA</t>
        </is>
      </c>
      <c r="H35" s="6" t="inlineStr">
        <is>
          <t>FIXO</t>
        </is>
      </c>
      <c r="I35" s="11">
        <f>IF($H35="AUTO_OFERTA_TOTAL_PRODUTO_PERIODO",SUMIFS(Oferta!$F:$F,Oferta!$A:$A,$A35,Oferta!$E:$E,$E35),$F35)</f>
        <v/>
      </c>
      <c r="J35" s="6" t="inlineStr">
        <is>
          <t>Informado</t>
        </is>
      </c>
      <c r="K35" s="6" t="inlineStr">
        <is>
          <t>Demanda doméstica fixa informada pelo usuário.</t>
        </is>
      </c>
    </row>
    <row r="36">
      <c r="A36" s="6" t="inlineStr">
        <is>
          <t>Milho</t>
        </is>
      </c>
      <c r="B36" s="6" t="inlineStr">
        <is>
          <t>Manaus - AM</t>
        </is>
      </c>
      <c r="C36" s="6" t="n">
        <v>-3.11866</v>
      </c>
      <c r="D36" s="6" t="n">
        <v>-60.0212</v>
      </c>
      <c r="E36" s="6" t="inlineStr">
        <is>
          <t>2021-11</t>
        </is>
      </c>
      <c r="F36" s="6" t="n">
        <v>40911.3980322672</v>
      </c>
      <c r="G36" s="6" t="inlineStr">
        <is>
          <t>DOMESTICA</t>
        </is>
      </c>
      <c r="H36" s="6" t="inlineStr">
        <is>
          <t>FIXO</t>
        </is>
      </c>
      <c r="I36" s="11">
        <f>IF($H36="AUTO_OFERTA_TOTAL_PRODUTO_PERIODO",SUMIFS(Oferta!$F:$F,Oferta!$A:$A,$A36,Oferta!$E:$E,$E36),$F36)</f>
        <v/>
      </c>
      <c r="J36" s="6" t="inlineStr">
        <is>
          <t>Informado</t>
        </is>
      </c>
      <c r="K36" s="6" t="inlineStr">
        <is>
          <t>Demanda doméstica fixa informada pelo usuário.</t>
        </is>
      </c>
    </row>
    <row r="37">
      <c r="A37" s="6" t="inlineStr">
        <is>
          <t>Milho</t>
        </is>
      </c>
      <c r="B37" s="6" t="inlineStr">
        <is>
          <t>Manaus - AM</t>
        </is>
      </c>
      <c r="C37" s="6" t="n">
        <v>-3.11866</v>
      </c>
      <c r="D37" s="6" t="n">
        <v>-60.0212</v>
      </c>
      <c r="E37" s="6" t="inlineStr">
        <is>
          <t>2021-12</t>
        </is>
      </c>
      <c r="F37" s="6" t="n">
        <v>40911.3980322672</v>
      </c>
      <c r="G37" s="6" t="inlineStr">
        <is>
          <t>DOMESTICA</t>
        </is>
      </c>
      <c r="H37" s="6" t="inlineStr">
        <is>
          <t>FIXO</t>
        </is>
      </c>
      <c r="I37" s="11">
        <f>IF($H37="AUTO_OFERTA_TOTAL_PRODUTO_PERIODO",SUMIFS(Oferta!$F:$F,Oferta!$A:$A,$A37,Oferta!$E:$E,$E37),$F37)</f>
        <v/>
      </c>
      <c r="J37" s="6" t="inlineStr">
        <is>
          <t>Informado</t>
        </is>
      </c>
      <c r="K37" s="6" t="inlineStr">
        <is>
          <t>Demanda doméstica fixa informada pelo usuário.</t>
        </is>
      </c>
    </row>
    <row r="38">
      <c r="A38" s="6" t="inlineStr">
        <is>
          <t>Milho</t>
        </is>
      </c>
      <c r="B38" s="6" t="inlineStr">
        <is>
          <t>Belém - PA</t>
        </is>
      </c>
      <c r="C38" s="6" t="n">
        <v>-1.4554</v>
      </c>
      <c r="D38" s="6" t="n">
        <v>-48.4898</v>
      </c>
      <c r="E38" s="6" t="inlineStr">
        <is>
          <t>2021-01</t>
        </is>
      </c>
      <c r="F38" s="6" t="n">
        <v>89277.7967466519</v>
      </c>
      <c r="G38" s="6" t="inlineStr">
        <is>
          <t>DOMESTICA</t>
        </is>
      </c>
      <c r="H38" s="6" t="inlineStr">
        <is>
          <t>FIXO</t>
        </is>
      </c>
      <c r="I38" s="11">
        <f>IF($H38="AUTO_OFERTA_TOTAL_PRODUTO_PERIODO",SUMIFS(Oferta!$F:$F,Oferta!$A:$A,$A38,Oferta!$E:$E,$E38),$F38)</f>
        <v/>
      </c>
      <c r="J38" s="6" t="inlineStr">
        <is>
          <t>Informado</t>
        </is>
      </c>
      <c r="K38" s="6" t="inlineStr">
        <is>
          <t>Demanda doméstica fixa informada pelo usuário.</t>
        </is>
      </c>
    </row>
    <row r="39">
      <c r="A39" s="6" t="inlineStr">
        <is>
          <t>Milho</t>
        </is>
      </c>
      <c r="B39" s="6" t="inlineStr">
        <is>
          <t>Belém - PA</t>
        </is>
      </c>
      <c r="C39" s="6" t="n">
        <v>-1.4554</v>
      </c>
      <c r="D39" s="6" t="n">
        <v>-48.4898</v>
      </c>
      <c r="E39" s="6" t="inlineStr">
        <is>
          <t>2021-02</t>
        </is>
      </c>
      <c r="F39" s="6" t="n">
        <v>72472.5644178704</v>
      </c>
      <c r="G39" s="6" t="inlineStr">
        <is>
          <t>DOMESTICA</t>
        </is>
      </c>
      <c r="H39" s="6" t="inlineStr">
        <is>
          <t>FIXO</t>
        </is>
      </c>
      <c r="I39" s="11">
        <f>IF($H39="AUTO_OFERTA_TOTAL_PRODUTO_PERIODO",SUMIFS(Oferta!$F:$F,Oferta!$A:$A,$A39,Oferta!$E:$E,$E39),$F39)</f>
        <v/>
      </c>
      <c r="J39" s="6" t="inlineStr">
        <is>
          <t>Informado</t>
        </is>
      </c>
      <c r="K39" s="6" t="inlineStr">
        <is>
          <t>Demanda doméstica fixa informada pelo usuário.</t>
        </is>
      </c>
    </row>
    <row r="40">
      <c r="A40" s="6" t="inlineStr">
        <is>
          <t>Milho</t>
        </is>
      </c>
      <c r="B40" s="6" t="inlineStr">
        <is>
          <t>Belém - PA</t>
        </is>
      </c>
      <c r="C40" s="6" t="n">
        <v>-1.4554</v>
      </c>
      <c r="D40" s="6" t="n">
        <v>-48.4898</v>
      </c>
      <c r="E40" s="6" t="inlineStr">
        <is>
          <t>2021-03</t>
        </is>
      </c>
      <c r="F40" s="6" t="n">
        <v>72472.5644178704</v>
      </c>
      <c r="G40" s="6" t="inlineStr">
        <is>
          <t>DOMESTICA</t>
        </is>
      </c>
      <c r="H40" s="6" t="inlineStr">
        <is>
          <t>FIXO</t>
        </is>
      </c>
      <c r="I40" s="11">
        <f>IF($H40="AUTO_OFERTA_TOTAL_PRODUTO_PERIODO",SUMIFS(Oferta!$F:$F,Oferta!$A:$A,$A40,Oferta!$E:$E,$E40),$F40)</f>
        <v/>
      </c>
      <c r="J40" s="6" t="inlineStr">
        <is>
          <t>Informado</t>
        </is>
      </c>
      <c r="K40" s="6" t="inlineStr">
        <is>
          <t>Demanda doméstica fixa informada pelo usuário.</t>
        </is>
      </c>
    </row>
    <row r="41">
      <c r="A41" s="6" t="inlineStr">
        <is>
          <t>Milho</t>
        </is>
      </c>
      <c r="B41" s="6" t="inlineStr">
        <is>
          <t>Belém - PA</t>
        </is>
      </c>
      <c r="C41" s="6" t="n">
        <v>-1.4554</v>
      </c>
      <c r="D41" s="6" t="n">
        <v>-48.4898</v>
      </c>
      <c r="E41" s="6" t="inlineStr">
        <is>
          <t>2021-04</t>
        </is>
      </c>
      <c r="F41" s="6" t="n">
        <v>89277.7967466519</v>
      </c>
      <c r="G41" s="6" t="inlineStr">
        <is>
          <t>DOMESTICA</t>
        </is>
      </c>
      <c r="H41" s="6" t="inlineStr">
        <is>
          <t>FIXO</t>
        </is>
      </c>
      <c r="I41" s="11">
        <f>IF($H41="AUTO_OFERTA_TOTAL_PRODUTO_PERIODO",SUMIFS(Oferta!$F:$F,Oferta!$A:$A,$A41,Oferta!$E:$E,$E41),$F41)</f>
        <v/>
      </c>
      <c r="J41" s="6" t="inlineStr">
        <is>
          <t>Informado</t>
        </is>
      </c>
      <c r="K41" s="6" t="inlineStr">
        <is>
          <t>Demanda doméstica fixa informada pelo usuário.</t>
        </is>
      </c>
    </row>
    <row r="42">
      <c r="A42" s="6" t="inlineStr">
        <is>
          <t>Milho</t>
        </is>
      </c>
      <c r="B42" s="6" t="inlineStr">
        <is>
          <t>Belém - PA</t>
        </is>
      </c>
      <c r="C42" s="6" t="n">
        <v>-1.4554</v>
      </c>
      <c r="D42" s="6" t="n">
        <v>-48.4898</v>
      </c>
      <c r="E42" s="6" t="inlineStr">
        <is>
          <t>2021-05</t>
        </is>
      </c>
      <c r="F42" s="6" t="n">
        <v>122888.261404215</v>
      </c>
      <c r="G42" s="6" t="inlineStr">
        <is>
          <t>DOMESTICA</t>
        </is>
      </c>
      <c r="H42" s="6" t="inlineStr">
        <is>
          <t>FIXO</t>
        </is>
      </c>
      <c r="I42" s="11">
        <f>IF($H42="AUTO_OFERTA_TOTAL_PRODUTO_PERIODO",SUMIFS(Oferta!$F:$F,Oferta!$A:$A,$A42,Oferta!$E:$E,$E42),$F42)</f>
        <v/>
      </c>
      <c r="J42" s="6" t="inlineStr">
        <is>
          <t>Informado</t>
        </is>
      </c>
      <c r="K42" s="6" t="inlineStr">
        <is>
          <t>Demanda doméstica fixa informada pelo usuário.</t>
        </is>
      </c>
    </row>
    <row r="43">
      <c r="A43" s="6" t="inlineStr">
        <is>
          <t>Milho</t>
        </is>
      </c>
      <c r="B43" s="6" t="inlineStr">
        <is>
          <t>Belém - PA</t>
        </is>
      </c>
      <c r="C43" s="6" t="n">
        <v>-1.4554</v>
      </c>
      <c r="D43" s="6" t="n">
        <v>-48.4898</v>
      </c>
      <c r="E43" s="6" t="inlineStr">
        <is>
          <t>2021-06</t>
        </is>
      </c>
      <c r="F43" s="6" t="n">
        <v>190109.1907193411</v>
      </c>
      <c r="G43" s="6" t="inlineStr">
        <is>
          <t>DOMESTICA</t>
        </is>
      </c>
      <c r="H43" s="6" t="inlineStr">
        <is>
          <t>FIXO</t>
        </is>
      </c>
      <c r="I43" s="11">
        <f>IF($H43="AUTO_OFERTA_TOTAL_PRODUTO_PERIODO",SUMIFS(Oferta!$F:$F,Oferta!$A:$A,$A43,Oferta!$E:$E,$E43),$F43)</f>
        <v/>
      </c>
      <c r="J43" s="6" t="inlineStr">
        <is>
          <t>Informado</t>
        </is>
      </c>
      <c r="K43" s="6" t="inlineStr">
        <is>
          <t>Demanda doméstica fixa informada pelo usuário.</t>
        </is>
      </c>
    </row>
    <row r="44">
      <c r="A44" s="6" t="inlineStr">
        <is>
          <t>Milho</t>
        </is>
      </c>
      <c r="B44" s="6" t="inlineStr">
        <is>
          <t>Belém - PA</t>
        </is>
      </c>
      <c r="C44" s="6" t="n">
        <v>-1.4554</v>
      </c>
      <c r="D44" s="6" t="n">
        <v>-48.4898</v>
      </c>
      <c r="E44" s="6" t="inlineStr">
        <is>
          <t>2021-07</t>
        </is>
      </c>
      <c r="F44" s="6" t="n">
        <v>206914.4230481227</v>
      </c>
      <c r="G44" s="6" t="inlineStr">
        <is>
          <t>DOMESTICA</t>
        </is>
      </c>
      <c r="H44" s="6" t="inlineStr">
        <is>
          <t>FIXO</t>
        </is>
      </c>
      <c r="I44" s="11">
        <f>IF($H44="AUTO_OFERTA_TOTAL_PRODUTO_PERIODO",SUMIFS(Oferta!$F:$F,Oferta!$A:$A,$A44,Oferta!$E:$E,$E44),$F44)</f>
        <v/>
      </c>
      <c r="J44" s="6" t="inlineStr">
        <is>
          <t>Informado</t>
        </is>
      </c>
      <c r="K44" s="6" t="inlineStr">
        <is>
          <t>Demanda doméstica fixa informada pelo usuário.</t>
        </is>
      </c>
    </row>
    <row r="45">
      <c r="A45" s="6" t="inlineStr">
        <is>
          <t>Milho</t>
        </is>
      </c>
      <c r="B45" s="6" t="inlineStr">
        <is>
          <t>Belém - PA</t>
        </is>
      </c>
      <c r="C45" s="6" t="n">
        <v>-1.4554</v>
      </c>
      <c r="D45" s="6" t="n">
        <v>-48.4898</v>
      </c>
      <c r="E45" s="6" t="inlineStr">
        <is>
          <t>2021-08</t>
        </is>
      </c>
      <c r="F45" s="6" t="n">
        <v>190109.1907193412</v>
      </c>
      <c r="G45" s="6" t="inlineStr">
        <is>
          <t>DOMESTICA</t>
        </is>
      </c>
      <c r="H45" s="6" t="inlineStr">
        <is>
          <t>FIXO</t>
        </is>
      </c>
      <c r="I45" s="11">
        <f>IF($H45="AUTO_OFERTA_TOTAL_PRODUTO_PERIODO",SUMIFS(Oferta!$F:$F,Oferta!$A:$A,$A45,Oferta!$E:$E,$E45),$F45)</f>
        <v/>
      </c>
      <c r="J45" s="6" t="inlineStr">
        <is>
          <t>Informado</t>
        </is>
      </c>
      <c r="K45" s="6" t="inlineStr">
        <is>
          <t>Demanda doméstica fixa informada pelo usuário.</t>
        </is>
      </c>
    </row>
    <row r="46">
      <c r="A46" s="6" t="inlineStr">
        <is>
          <t>Milho</t>
        </is>
      </c>
      <c r="B46" s="6" t="inlineStr">
        <is>
          <t>Belém - PA</t>
        </is>
      </c>
      <c r="C46" s="6" t="n">
        <v>-1.4554</v>
      </c>
      <c r="D46" s="6" t="n">
        <v>-48.4898</v>
      </c>
      <c r="E46" s="6" t="inlineStr">
        <is>
          <t>2021-09</t>
        </is>
      </c>
      <c r="F46" s="6" t="n">
        <v>122888.261404215</v>
      </c>
      <c r="G46" s="6" t="inlineStr">
        <is>
          <t>DOMESTICA</t>
        </is>
      </c>
      <c r="H46" s="6" t="inlineStr">
        <is>
          <t>FIXO</t>
        </is>
      </c>
      <c r="I46" s="11">
        <f>IF($H46="AUTO_OFERTA_TOTAL_PRODUTO_PERIODO",SUMIFS(Oferta!$F:$F,Oferta!$A:$A,$A46,Oferta!$E:$E,$E46),$F46)</f>
        <v/>
      </c>
      <c r="J46" s="6" t="inlineStr">
        <is>
          <t>Informado</t>
        </is>
      </c>
      <c r="K46" s="6" t="inlineStr">
        <is>
          <t>Demanda doméstica fixa informada pelo usuário.</t>
        </is>
      </c>
    </row>
    <row r="47">
      <c r="A47" s="6" t="inlineStr">
        <is>
          <t>Milho</t>
        </is>
      </c>
      <c r="B47" s="6" t="inlineStr">
        <is>
          <t>Belém - PA</t>
        </is>
      </c>
      <c r="C47" s="6" t="n">
        <v>-1.4554</v>
      </c>
      <c r="D47" s="6" t="n">
        <v>-48.4898</v>
      </c>
      <c r="E47" s="6" t="inlineStr">
        <is>
          <t>2021-10</t>
        </is>
      </c>
      <c r="F47" s="6" t="n">
        <v>106083.0290754335</v>
      </c>
      <c r="G47" s="6" t="inlineStr">
        <is>
          <t>DOMESTICA</t>
        </is>
      </c>
      <c r="H47" s="6" t="inlineStr">
        <is>
          <t>FIXO</t>
        </is>
      </c>
      <c r="I47" s="11">
        <f>IF($H47="AUTO_OFERTA_TOTAL_PRODUTO_PERIODO",SUMIFS(Oferta!$F:$F,Oferta!$A:$A,$A47,Oferta!$E:$E,$E47),$F47)</f>
        <v/>
      </c>
      <c r="J47" s="6" t="inlineStr">
        <is>
          <t>Informado</t>
        </is>
      </c>
      <c r="K47" s="6" t="inlineStr">
        <is>
          <t>Demanda doméstica fixa informada pelo usuário.</t>
        </is>
      </c>
    </row>
    <row r="48">
      <c r="A48" s="6" t="inlineStr">
        <is>
          <t>Milho</t>
        </is>
      </c>
      <c r="B48" s="6" t="inlineStr">
        <is>
          <t>Belém - PA</t>
        </is>
      </c>
      <c r="C48" s="6" t="n">
        <v>-1.4554</v>
      </c>
      <c r="D48" s="6" t="n">
        <v>-48.4898</v>
      </c>
      <c r="E48" s="6" t="inlineStr">
        <is>
          <t>2021-11</t>
        </is>
      </c>
      <c r="F48" s="6" t="n">
        <v>106083.0290754335</v>
      </c>
      <c r="G48" s="6" t="inlineStr">
        <is>
          <t>DOMESTICA</t>
        </is>
      </c>
      <c r="H48" s="6" t="inlineStr">
        <is>
          <t>FIXO</t>
        </is>
      </c>
      <c r="I48" s="11">
        <f>IF($H48="AUTO_OFERTA_TOTAL_PRODUTO_PERIODO",SUMIFS(Oferta!$F:$F,Oferta!$A:$A,$A48,Oferta!$E:$E,$E48),$F48)</f>
        <v/>
      </c>
      <c r="J48" s="6" t="inlineStr">
        <is>
          <t>Informado</t>
        </is>
      </c>
      <c r="K48" s="6" t="inlineStr">
        <is>
          <t>Demanda doméstica fixa informada pelo usuário.</t>
        </is>
      </c>
    </row>
    <row r="49">
      <c r="A49" s="6" t="inlineStr">
        <is>
          <t>Milho</t>
        </is>
      </c>
      <c r="B49" s="6" t="inlineStr">
        <is>
          <t>Belém - PA</t>
        </is>
      </c>
      <c r="C49" s="6" t="n">
        <v>-1.4554</v>
      </c>
      <c r="D49" s="6" t="n">
        <v>-48.4898</v>
      </c>
      <c r="E49" s="6" t="inlineStr">
        <is>
          <t>2021-12</t>
        </is>
      </c>
      <c r="F49" s="6" t="n">
        <v>106083.0290754335</v>
      </c>
      <c r="G49" s="6" t="inlineStr">
        <is>
          <t>DOMESTICA</t>
        </is>
      </c>
      <c r="H49" s="6" t="inlineStr">
        <is>
          <t>FIXO</t>
        </is>
      </c>
      <c r="I49" s="11">
        <f>IF($H49="AUTO_OFERTA_TOTAL_PRODUTO_PERIODO",SUMIFS(Oferta!$F:$F,Oferta!$A:$A,$A49,Oferta!$E:$E,$E49),$F49)</f>
        <v/>
      </c>
      <c r="J49" s="6" t="inlineStr">
        <is>
          <t>Informado</t>
        </is>
      </c>
      <c r="K49" s="6" t="inlineStr">
        <is>
          <t>Demanda doméstica fixa informada pelo usuário.</t>
        </is>
      </c>
    </row>
    <row r="50">
      <c r="A50" s="6" t="inlineStr">
        <is>
          <t>Milho</t>
        </is>
      </c>
      <c r="B50" s="6" t="inlineStr">
        <is>
          <t>Porto Velho - RO</t>
        </is>
      </c>
      <c r="C50" s="6" t="n">
        <v>-8.760770000000001</v>
      </c>
      <c r="D50" s="6" t="n">
        <v>-63.8999</v>
      </c>
      <c r="E50" s="6" t="inlineStr">
        <is>
          <t>2021-01</t>
        </is>
      </c>
      <c r="F50" s="6" t="n">
        <v>31221.4736605464</v>
      </c>
      <c r="G50" s="6" t="inlineStr">
        <is>
          <t>DOMESTICA</t>
        </is>
      </c>
      <c r="H50" s="6" t="inlineStr">
        <is>
          <t>FIXO</t>
        </is>
      </c>
      <c r="I50" s="11">
        <f>IF($H50="AUTO_OFERTA_TOTAL_PRODUTO_PERIODO",SUMIFS(Oferta!$F:$F,Oferta!$A:$A,$A50,Oferta!$E:$E,$E50),$F50)</f>
        <v/>
      </c>
      <c r="J50" s="6" t="inlineStr">
        <is>
          <t>Informado</t>
        </is>
      </c>
      <c r="K50" s="6" t="inlineStr">
        <is>
          <t>Demanda doméstica fixa informada pelo usuário.</t>
        </is>
      </c>
    </row>
    <row r="51">
      <c r="A51" s="6" t="inlineStr">
        <is>
          <t>Milho</t>
        </is>
      </c>
      <c r="B51" s="6" t="inlineStr">
        <is>
          <t>Porto Velho - RO</t>
        </is>
      </c>
      <c r="C51" s="6" t="n">
        <v>-8.760770000000001</v>
      </c>
      <c r="D51" s="6" t="n">
        <v>-63.8999</v>
      </c>
      <c r="E51" s="6" t="inlineStr">
        <is>
          <t>2021-02</t>
        </is>
      </c>
      <c r="F51" s="6" t="n">
        <v>34465.263131772</v>
      </c>
      <c r="G51" s="6" t="inlineStr">
        <is>
          <t>DOMESTICA</t>
        </is>
      </c>
      <c r="H51" s="6" t="inlineStr">
        <is>
          <t>FIXO</t>
        </is>
      </c>
      <c r="I51" s="11">
        <f>IF($H51="AUTO_OFERTA_TOTAL_PRODUTO_PERIODO",SUMIFS(Oferta!$F:$F,Oferta!$A:$A,$A51,Oferta!$E:$E,$E51),$F51)</f>
        <v/>
      </c>
      <c r="J51" s="6" t="inlineStr">
        <is>
          <t>Informado</t>
        </is>
      </c>
      <c r="K51" s="6" t="inlineStr">
        <is>
          <t>Demanda doméstica fixa informada pelo usuário.</t>
        </is>
      </c>
    </row>
    <row r="52">
      <c r="A52" s="6" t="inlineStr">
        <is>
          <t>Milho</t>
        </is>
      </c>
      <c r="B52" s="6" t="inlineStr">
        <is>
          <t>Porto Velho - RO</t>
        </is>
      </c>
      <c r="C52" s="6" t="n">
        <v>-8.760770000000001</v>
      </c>
      <c r="D52" s="6" t="n">
        <v>-63.8999</v>
      </c>
      <c r="E52" s="6" t="inlineStr">
        <is>
          <t>2021-03</t>
        </is>
      </c>
      <c r="F52" s="6" t="n">
        <v>53927.9999591257</v>
      </c>
      <c r="G52" s="6" t="inlineStr">
        <is>
          <t>DOMESTICA</t>
        </is>
      </c>
      <c r="H52" s="6" t="inlineStr">
        <is>
          <t>FIXO</t>
        </is>
      </c>
      <c r="I52" s="11">
        <f>IF($H52="AUTO_OFERTA_TOTAL_PRODUTO_PERIODO",SUMIFS(Oferta!$F:$F,Oferta!$A:$A,$A52,Oferta!$E:$E,$E52),$F52)</f>
        <v/>
      </c>
      <c r="J52" s="6" t="inlineStr">
        <is>
          <t>Informado</t>
        </is>
      </c>
      <c r="K52" s="6" t="inlineStr">
        <is>
          <t>Demanda doméstica fixa informada pelo usuário.</t>
        </is>
      </c>
    </row>
    <row r="53">
      <c r="A53" s="6" t="inlineStr">
        <is>
          <t>Milho</t>
        </is>
      </c>
      <c r="B53" s="6" t="inlineStr">
        <is>
          <t>Porto Velho - RO</t>
        </is>
      </c>
      <c r="C53" s="6" t="n">
        <v>-8.760770000000001</v>
      </c>
      <c r="D53" s="6" t="n">
        <v>-63.8999</v>
      </c>
      <c r="E53" s="6" t="inlineStr">
        <is>
          <t>2021-04</t>
        </is>
      </c>
      <c r="F53" s="6" t="n">
        <v>53927.9999591257</v>
      </c>
      <c r="G53" s="6" t="inlineStr">
        <is>
          <t>DOMESTICA</t>
        </is>
      </c>
      <c r="H53" s="6" t="inlineStr">
        <is>
          <t>FIXO</t>
        </is>
      </c>
      <c r="I53" s="11">
        <f>IF($H53="AUTO_OFERTA_TOTAL_PRODUTO_PERIODO",SUMIFS(Oferta!$F:$F,Oferta!$A:$A,$A53,Oferta!$E:$E,$E53),$F53)</f>
        <v/>
      </c>
      <c r="J53" s="6" t="inlineStr">
        <is>
          <t>Informado</t>
        </is>
      </c>
      <c r="K53" s="6" t="inlineStr">
        <is>
          <t>Demanda doméstica fixa informada pelo usuário.</t>
        </is>
      </c>
    </row>
    <row r="54">
      <c r="A54" s="6" t="inlineStr">
        <is>
          <t>Milho</t>
        </is>
      </c>
      <c r="B54" s="6" t="inlineStr">
        <is>
          <t>Porto Velho - RO</t>
        </is>
      </c>
      <c r="C54" s="6" t="n">
        <v>-8.760770000000001</v>
      </c>
      <c r="D54" s="6" t="n">
        <v>-63.8999</v>
      </c>
      <c r="E54" s="6" t="inlineStr">
        <is>
          <t>2021-05</t>
        </is>
      </c>
      <c r="F54" s="6" t="n">
        <v>53927.9999591257</v>
      </c>
      <c r="G54" s="6" t="inlineStr">
        <is>
          <t>DOMESTICA</t>
        </is>
      </c>
      <c r="H54" s="6" t="inlineStr">
        <is>
          <t>FIXO</t>
        </is>
      </c>
      <c r="I54" s="11">
        <f>IF($H54="AUTO_OFERTA_TOTAL_PRODUTO_PERIODO",SUMIFS(Oferta!$F:$F,Oferta!$A:$A,$A54,Oferta!$E:$E,$E54),$F54)</f>
        <v/>
      </c>
      <c r="J54" s="6" t="inlineStr">
        <is>
          <t>Informado</t>
        </is>
      </c>
      <c r="K54" s="6" t="inlineStr">
        <is>
          <t>Demanda doméstica fixa informada pelo usuário.</t>
        </is>
      </c>
    </row>
    <row r="55">
      <c r="A55" s="6" t="inlineStr">
        <is>
          <t>Milho</t>
        </is>
      </c>
      <c r="B55" s="6" t="inlineStr">
        <is>
          <t>Porto Velho - RO</t>
        </is>
      </c>
      <c r="C55" s="6" t="n">
        <v>-8.760770000000001</v>
      </c>
      <c r="D55" s="6" t="n">
        <v>-63.8999</v>
      </c>
      <c r="E55" s="6" t="inlineStr">
        <is>
          <t>2021-06</t>
        </is>
      </c>
      <c r="F55" s="6" t="n">
        <v>37709.0526029977</v>
      </c>
      <c r="G55" s="6" t="inlineStr">
        <is>
          <t>DOMESTICA</t>
        </is>
      </c>
      <c r="H55" s="6" t="inlineStr">
        <is>
          <t>FIXO</t>
        </is>
      </c>
      <c r="I55" s="11">
        <f>IF($H55="AUTO_OFERTA_TOTAL_PRODUTO_PERIODO",SUMIFS(Oferta!$F:$F,Oferta!$A:$A,$A55,Oferta!$E:$E,$E55),$F55)</f>
        <v/>
      </c>
      <c r="J55" s="6" t="inlineStr">
        <is>
          <t>Informado</t>
        </is>
      </c>
      <c r="K55" s="6" t="inlineStr">
        <is>
          <t>Demanda doméstica fixa informada pelo usuário.</t>
        </is>
      </c>
    </row>
    <row r="56">
      <c r="A56" s="6" t="inlineStr">
        <is>
          <t>Milho</t>
        </is>
      </c>
      <c r="B56" s="6" t="inlineStr">
        <is>
          <t>Porto Velho - RO</t>
        </is>
      </c>
      <c r="C56" s="6" t="n">
        <v>-8.760770000000001</v>
      </c>
      <c r="D56" s="6" t="n">
        <v>-63.8999</v>
      </c>
      <c r="E56" s="6" t="inlineStr">
        <is>
          <t>2021-07</t>
        </is>
      </c>
      <c r="F56" s="6" t="n">
        <v>37709.0526029977</v>
      </c>
      <c r="G56" s="6" t="inlineStr">
        <is>
          <t>DOMESTICA</t>
        </is>
      </c>
      <c r="H56" s="6" t="inlineStr">
        <is>
          <t>FIXO</t>
        </is>
      </c>
      <c r="I56" s="11">
        <f>IF($H56="AUTO_OFERTA_TOTAL_PRODUTO_PERIODO",SUMIFS(Oferta!$F:$F,Oferta!$A:$A,$A56,Oferta!$E:$E,$E56),$F56)</f>
        <v/>
      </c>
      <c r="J56" s="6" t="inlineStr">
        <is>
          <t>Informado</t>
        </is>
      </c>
      <c r="K56" s="6" t="inlineStr">
        <is>
          <t>Demanda doméstica fixa informada pelo usuário.</t>
        </is>
      </c>
    </row>
    <row r="57">
      <c r="A57" s="6" t="inlineStr">
        <is>
          <t>Milho</t>
        </is>
      </c>
      <c r="B57" s="6" t="inlineStr">
        <is>
          <t>Porto Velho - RO</t>
        </is>
      </c>
      <c r="C57" s="6" t="n">
        <v>-8.760770000000001</v>
      </c>
      <c r="D57" s="6" t="n">
        <v>-63.8999</v>
      </c>
      <c r="E57" s="6" t="inlineStr">
        <is>
          <t>2021-08</t>
        </is>
      </c>
      <c r="F57" s="6" t="n">
        <v>44196.6315454489</v>
      </c>
      <c r="G57" s="6" t="inlineStr">
        <is>
          <t>DOMESTICA</t>
        </is>
      </c>
      <c r="H57" s="6" t="inlineStr">
        <is>
          <t>FIXO</t>
        </is>
      </c>
      <c r="I57" s="11">
        <f>IF($H57="AUTO_OFERTA_TOTAL_PRODUTO_PERIODO",SUMIFS(Oferta!$F:$F,Oferta!$A:$A,$A57,Oferta!$E:$E,$E57),$F57)</f>
        <v/>
      </c>
      <c r="J57" s="6" t="inlineStr">
        <is>
          <t>Informado</t>
        </is>
      </c>
      <c r="K57" s="6" t="inlineStr">
        <is>
          <t>Demanda doméstica fixa informada pelo usuário.</t>
        </is>
      </c>
    </row>
    <row r="58">
      <c r="A58" s="6" t="inlineStr">
        <is>
          <t>Milho</t>
        </is>
      </c>
      <c r="B58" s="6" t="inlineStr">
        <is>
          <t>Porto Velho - RO</t>
        </is>
      </c>
      <c r="C58" s="6" t="n">
        <v>-8.760770000000001</v>
      </c>
      <c r="D58" s="6" t="n">
        <v>-63.8999</v>
      </c>
      <c r="E58" s="6" t="inlineStr">
        <is>
          <t>2021-09</t>
        </is>
      </c>
      <c r="F58" s="6" t="n">
        <v>53927.9999591257</v>
      </c>
      <c r="G58" s="6" t="inlineStr">
        <is>
          <t>DOMESTICA</t>
        </is>
      </c>
      <c r="H58" s="6" t="inlineStr">
        <is>
          <t>FIXO</t>
        </is>
      </c>
      <c r="I58" s="11">
        <f>IF($H58="AUTO_OFERTA_TOTAL_PRODUTO_PERIODO",SUMIFS(Oferta!$F:$F,Oferta!$A:$A,$A58,Oferta!$E:$E,$E58),$F58)</f>
        <v/>
      </c>
      <c r="J58" s="6" t="inlineStr">
        <is>
          <t>Informado</t>
        </is>
      </c>
      <c r="K58" s="6" t="inlineStr">
        <is>
          <t>Demanda doméstica fixa informada pelo usuário.</t>
        </is>
      </c>
    </row>
    <row r="59">
      <c r="A59" s="6" t="inlineStr">
        <is>
          <t>Milho</t>
        </is>
      </c>
      <c r="B59" s="6" t="inlineStr">
        <is>
          <t>Porto Velho - RO</t>
        </is>
      </c>
      <c r="C59" s="6" t="n">
        <v>-8.760770000000001</v>
      </c>
      <c r="D59" s="6" t="n">
        <v>-63.8999</v>
      </c>
      <c r="E59" s="6" t="inlineStr">
        <is>
          <t>2021-10</t>
        </is>
      </c>
      <c r="F59" s="6" t="n">
        <v>53927.9999591257</v>
      </c>
      <c r="G59" s="6" t="inlineStr">
        <is>
          <t>DOMESTICA</t>
        </is>
      </c>
      <c r="H59" s="6" t="inlineStr">
        <is>
          <t>FIXO</t>
        </is>
      </c>
      <c r="I59" s="11">
        <f>IF($H59="AUTO_OFERTA_TOTAL_PRODUTO_PERIODO",SUMIFS(Oferta!$F:$F,Oferta!$A:$A,$A59,Oferta!$E:$E,$E59),$F59)</f>
        <v/>
      </c>
      <c r="J59" s="6" t="inlineStr">
        <is>
          <t>Informado</t>
        </is>
      </c>
      <c r="K59" s="6" t="inlineStr">
        <is>
          <t>Demanda doméstica fixa informada pelo usuário.</t>
        </is>
      </c>
    </row>
    <row r="60">
      <c r="A60" s="6" t="inlineStr">
        <is>
          <t>Milho</t>
        </is>
      </c>
      <c r="B60" s="6" t="inlineStr">
        <is>
          <t>Porto Velho - RO</t>
        </is>
      </c>
      <c r="C60" s="6" t="n">
        <v>-8.760770000000001</v>
      </c>
      <c r="D60" s="6" t="n">
        <v>-63.8999</v>
      </c>
      <c r="E60" s="6" t="inlineStr">
        <is>
          <t>2021-11</t>
        </is>
      </c>
      <c r="F60" s="6" t="n">
        <v>44196.6315454489</v>
      </c>
      <c r="G60" s="6" t="inlineStr">
        <is>
          <t>DOMESTICA</t>
        </is>
      </c>
      <c r="H60" s="6" t="inlineStr">
        <is>
          <t>FIXO</t>
        </is>
      </c>
      <c r="I60" s="11">
        <f>IF($H60="AUTO_OFERTA_TOTAL_PRODUTO_PERIODO",SUMIFS(Oferta!$F:$F,Oferta!$A:$A,$A60,Oferta!$E:$E,$E60),$F60)</f>
        <v/>
      </c>
      <c r="J60" s="6" t="inlineStr">
        <is>
          <t>Informado</t>
        </is>
      </c>
      <c r="K60" s="6" t="inlineStr">
        <is>
          <t>Demanda doméstica fixa informada pelo usuário.</t>
        </is>
      </c>
    </row>
    <row r="61">
      <c r="A61" s="6" t="inlineStr">
        <is>
          <t>Milho</t>
        </is>
      </c>
      <c r="B61" s="6" t="inlineStr">
        <is>
          <t>Porto Velho - RO</t>
        </is>
      </c>
      <c r="C61" s="6" t="n">
        <v>-8.760770000000001</v>
      </c>
      <c r="D61" s="6" t="n">
        <v>-63.8999</v>
      </c>
      <c r="E61" s="6" t="inlineStr">
        <is>
          <t>2021-12</t>
        </is>
      </c>
      <c r="F61" s="6" t="n">
        <v>31221.4736605464</v>
      </c>
      <c r="G61" s="6" t="inlineStr">
        <is>
          <t>DOMESTICA</t>
        </is>
      </c>
      <c r="H61" s="6" t="inlineStr">
        <is>
          <t>FIXO</t>
        </is>
      </c>
      <c r="I61" s="11">
        <f>IF($H61="AUTO_OFERTA_TOTAL_PRODUTO_PERIODO",SUMIFS(Oferta!$F:$F,Oferta!$A:$A,$A61,Oferta!$E:$E,$E61),$F61)</f>
        <v/>
      </c>
      <c r="J61" s="6" t="inlineStr">
        <is>
          <t>Informado</t>
        </is>
      </c>
      <c r="K61" s="6" t="inlineStr">
        <is>
          <t>Demanda doméstica fixa informada pelo usuário.</t>
        </is>
      </c>
    </row>
    <row r="62">
      <c r="A62" s="6" t="inlineStr">
        <is>
          <t>Milho</t>
        </is>
      </c>
      <c r="B62" s="6" t="inlineStr">
        <is>
          <t>Boa Vista - RR</t>
        </is>
      </c>
      <c r="C62" s="6" t="n">
        <v>2.82384</v>
      </c>
      <c r="D62" s="6" t="n">
        <v>-60.6753</v>
      </c>
      <c r="E62" s="6" t="inlineStr">
        <is>
          <t>2021-01</t>
        </is>
      </c>
      <c r="F62" s="6" t="n">
        <v>7232.846262604</v>
      </c>
      <c r="G62" s="6" t="inlineStr">
        <is>
          <t>DOMESTICA</t>
        </is>
      </c>
      <c r="H62" s="6" t="inlineStr">
        <is>
          <t>FIXO</t>
        </is>
      </c>
      <c r="I62" s="11">
        <f>IF($H62="AUTO_OFERTA_TOTAL_PRODUTO_PERIODO",SUMIFS(Oferta!$F:$F,Oferta!$A:$A,$A62,Oferta!$E:$E,$E62),$F62)</f>
        <v/>
      </c>
      <c r="J62" s="6" t="inlineStr">
        <is>
          <t>Informado</t>
        </is>
      </c>
      <c r="K62" s="6" t="inlineStr">
        <is>
          <t>Demanda doméstica fixa informada pelo usuário.</t>
        </is>
      </c>
    </row>
    <row r="63">
      <c r="A63" s="6" t="inlineStr">
        <is>
          <t>Milho</t>
        </is>
      </c>
      <c r="B63" s="6" t="inlineStr">
        <is>
          <t>Boa Vista - RR</t>
        </is>
      </c>
      <c r="C63" s="6" t="n">
        <v>2.82384</v>
      </c>
      <c r="D63" s="6" t="n">
        <v>-60.6753</v>
      </c>
      <c r="E63" s="6" t="inlineStr">
        <is>
          <t>2021-02</t>
        </is>
      </c>
      <c r="F63" s="6" t="n">
        <v>4622.4957317394</v>
      </c>
      <c r="G63" s="6" t="inlineStr">
        <is>
          <t>DOMESTICA</t>
        </is>
      </c>
      <c r="H63" s="6" t="inlineStr">
        <is>
          <t>FIXO</t>
        </is>
      </c>
      <c r="I63" s="11">
        <f>IF($H63="AUTO_OFERTA_TOTAL_PRODUTO_PERIODO",SUMIFS(Oferta!$F:$F,Oferta!$A:$A,$A63,Oferta!$E:$E,$E63),$F63)</f>
        <v/>
      </c>
      <c r="J63" s="6" t="inlineStr">
        <is>
          <t>Informado</t>
        </is>
      </c>
      <c r="K63" s="6" t="inlineStr">
        <is>
          <t>Demanda doméstica fixa informada pelo usuário.</t>
        </is>
      </c>
    </row>
    <row r="64">
      <c r="A64" s="6" t="inlineStr">
        <is>
          <t>Milho</t>
        </is>
      </c>
      <c r="B64" s="6" t="inlineStr">
        <is>
          <t>Boa Vista - RR</t>
        </is>
      </c>
      <c r="C64" s="6" t="n">
        <v>2.82384</v>
      </c>
      <c r="D64" s="6" t="n">
        <v>-60.6753</v>
      </c>
      <c r="E64" s="6" t="inlineStr">
        <is>
          <t>2021-03</t>
        </is>
      </c>
      <c r="F64" s="6" t="n">
        <v>3752.3788881179</v>
      </c>
      <c r="G64" s="6" t="inlineStr">
        <is>
          <t>DOMESTICA</t>
        </is>
      </c>
      <c r="H64" s="6" t="inlineStr">
        <is>
          <t>FIXO</t>
        </is>
      </c>
      <c r="I64" s="11">
        <f>IF($H64="AUTO_OFERTA_TOTAL_PRODUTO_PERIODO",SUMIFS(Oferta!$F:$F,Oferta!$A:$A,$A64,Oferta!$E:$E,$E64),$F64)</f>
        <v/>
      </c>
      <c r="J64" s="6" t="inlineStr">
        <is>
          <t>Informado</t>
        </is>
      </c>
      <c r="K64" s="6" t="inlineStr">
        <is>
          <t>Demanda doméstica fixa informada pelo usuário.</t>
        </is>
      </c>
    </row>
    <row r="65">
      <c r="A65" s="6" t="inlineStr">
        <is>
          <t>Milho</t>
        </is>
      </c>
      <c r="B65" s="6" t="inlineStr">
        <is>
          <t>Boa Vista - RR</t>
        </is>
      </c>
      <c r="C65" s="6" t="n">
        <v>2.82384</v>
      </c>
      <c r="D65" s="6" t="n">
        <v>-60.6753</v>
      </c>
      <c r="E65" s="6" t="inlineStr">
        <is>
          <t>2021-04</t>
        </is>
      </c>
      <c r="F65" s="6" t="n">
        <v>2882.2620444963</v>
      </c>
      <c r="G65" s="6" t="inlineStr">
        <is>
          <t>DOMESTICA</t>
        </is>
      </c>
      <c r="H65" s="6" t="inlineStr">
        <is>
          <t>FIXO</t>
        </is>
      </c>
      <c r="I65" s="11">
        <f>IF($H65="AUTO_OFERTA_TOTAL_PRODUTO_PERIODO",SUMIFS(Oferta!$F:$F,Oferta!$A:$A,$A65,Oferta!$E:$E,$E65),$F65)</f>
        <v/>
      </c>
      <c r="J65" s="6" t="inlineStr">
        <is>
          <t>Informado</t>
        </is>
      </c>
      <c r="K65" s="6" t="inlineStr">
        <is>
          <t>Demanda doméstica fixa informada pelo usuário.</t>
        </is>
      </c>
    </row>
    <row r="66">
      <c r="A66" s="6" t="inlineStr">
        <is>
          <t>Milho</t>
        </is>
      </c>
      <c r="B66" s="6" t="inlineStr">
        <is>
          <t>Boa Vista - RR</t>
        </is>
      </c>
      <c r="C66" s="6" t="n">
        <v>2.82384</v>
      </c>
      <c r="D66" s="6" t="n">
        <v>-60.6753</v>
      </c>
      <c r="E66" s="6" t="inlineStr">
        <is>
          <t>2021-05</t>
        </is>
      </c>
      <c r="F66" s="6" t="n">
        <v>2882.2620444963</v>
      </c>
      <c r="G66" s="6" t="inlineStr">
        <is>
          <t>DOMESTICA</t>
        </is>
      </c>
      <c r="H66" s="6" t="inlineStr">
        <is>
          <t>FIXO</t>
        </is>
      </c>
      <c r="I66" s="11">
        <f>IF($H66="AUTO_OFERTA_TOTAL_PRODUTO_PERIODO",SUMIFS(Oferta!$F:$F,Oferta!$A:$A,$A66,Oferta!$E:$E,$E66),$F66)</f>
        <v/>
      </c>
      <c r="J66" s="6" t="inlineStr">
        <is>
          <t>Informado</t>
        </is>
      </c>
      <c r="K66" s="6" t="inlineStr">
        <is>
          <t>Demanda doméstica fixa informada pelo usuário.</t>
        </is>
      </c>
    </row>
    <row r="67">
      <c r="A67" s="6" t="inlineStr">
        <is>
          <t>Milho</t>
        </is>
      </c>
      <c r="B67" s="6" t="inlineStr">
        <is>
          <t>Boa Vista - RR</t>
        </is>
      </c>
      <c r="C67" s="6" t="n">
        <v>2.82384</v>
      </c>
      <c r="D67" s="6" t="n">
        <v>-60.6753</v>
      </c>
      <c r="E67" s="6" t="inlineStr">
        <is>
          <t>2021-06</t>
        </is>
      </c>
      <c r="F67" s="6" t="n">
        <v>2882.2620444963</v>
      </c>
      <c r="G67" s="6" t="inlineStr">
        <is>
          <t>DOMESTICA</t>
        </is>
      </c>
      <c r="H67" s="6" t="inlineStr">
        <is>
          <t>FIXO</t>
        </is>
      </c>
      <c r="I67" s="11">
        <f>IF($H67="AUTO_OFERTA_TOTAL_PRODUTO_PERIODO",SUMIFS(Oferta!$F:$F,Oferta!$A:$A,$A67,Oferta!$E:$E,$E67),$F67)</f>
        <v/>
      </c>
      <c r="J67" s="6" t="inlineStr">
        <is>
          <t>Informado</t>
        </is>
      </c>
      <c r="K67" s="6" t="inlineStr">
        <is>
          <t>Demanda doméstica fixa informada pelo usuário.</t>
        </is>
      </c>
    </row>
    <row r="68">
      <c r="A68" s="6" t="inlineStr">
        <is>
          <t>Milho</t>
        </is>
      </c>
      <c r="B68" s="6" t="inlineStr">
        <is>
          <t>Boa Vista - RR</t>
        </is>
      </c>
      <c r="C68" s="6" t="n">
        <v>2.82384</v>
      </c>
      <c r="D68" s="6" t="n">
        <v>-60.6753</v>
      </c>
      <c r="E68" s="6" t="inlineStr">
        <is>
          <t>2021-07</t>
        </is>
      </c>
      <c r="F68" s="6" t="n">
        <v>2882.2620444963</v>
      </c>
      <c r="G68" s="6" t="inlineStr">
        <is>
          <t>DOMESTICA</t>
        </is>
      </c>
      <c r="H68" s="6" t="inlineStr">
        <is>
          <t>FIXO</t>
        </is>
      </c>
      <c r="I68" s="11">
        <f>IF($H68="AUTO_OFERTA_TOTAL_PRODUTO_PERIODO",SUMIFS(Oferta!$F:$F,Oferta!$A:$A,$A68,Oferta!$E:$E,$E68),$F68)</f>
        <v/>
      </c>
      <c r="J68" s="6" t="inlineStr">
        <is>
          <t>Informado</t>
        </is>
      </c>
      <c r="K68" s="6" t="inlineStr">
        <is>
          <t>Demanda doméstica fixa informada pelo usuário.</t>
        </is>
      </c>
    </row>
    <row r="69">
      <c r="A69" s="6" t="inlineStr">
        <is>
          <t>Milho</t>
        </is>
      </c>
      <c r="B69" s="6" t="inlineStr">
        <is>
          <t>Boa Vista - RR</t>
        </is>
      </c>
      <c r="C69" s="6" t="n">
        <v>2.82384</v>
      </c>
      <c r="D69" s="6" t="n">
        <v>-60.6753</v>
      </c>
      <c r="E69" s="6" t="inlineStr">
        <is>
          <t>2021-08</t>
        </is>
      </c>
      <c r="F69" s="6" t="n">
        <v>2882.2620444963</v>
      </c>
      <c r="G69" s="6" t="inlineStr">
        <is>
          <t>DOMESTICA</t>
        </is>
      </c>
      <c r="H69" s="6" t="inlineStr">
        <is>
          <t>FIXO</t>
        </is>
      </c>
      <c r="I69" s="11">
        <f>IF($H69="AUTO_OFERTA_TOTAL_PRODUTO_PERIODO",SUMIFS(Oferta!$F:$F,Oferta!$A:$A,$A69,Oferta!$E:$E,$E69),$F69)</f>
        <v/>
      </c>
      <c r="J69" s="6" t="inlineStr">
        <is>
          <t>Informado</t>
        </is>
      </c>
      <c r="K69" s="6" t="inlineStr">
        <is>
          <t>Demanda doméstica fixa informada pelo usuário.</t>
        </is>
      </c>
    </row>
    <row r="70">
      <c r="A70" s="6" t="inlineStr">
        <is>
          <t>Milho</t>
        </is>
      </c>
      <c r="B70" s="6" t="inlineStr">
        <is>
          <t>Boa Vista - RR</t>
        </is>
      </c>
      <c r="C70" s="6" t="n">
        <v>2.82384</v>
      </c>
      <c r="D70" s="6" t="n">
        <v>-60.6753</v>
      </c>
      <c r="E70" s="6" t="inlineStr">
        <is>
          <t>2021-09</t>
        </is>
      </c>
      <c r="F70" s="6" t="n">
        <v>3752.3788881179</v>
      </c>
      <c r="G70" s="6" t="inlineStr">
        <is>
          <t>DOMESTICA</t>
        </is>
      </c>
      <c r="H70" s="6" t="inlineStr">
        <is>
          <t>FIXO</t>
        </is>
      </c>
      <c r="I70" s="11">
        <f>IF($H70="AUTO_OFERTA_TOTAL_PRODUTO_PERIODO",SUMIFS(Oferta!$F:$F,Oferta!$A:$A,$A70,Oferta!$E:$E,$E70),$F70)</f>
        <v/>
      </c>
      <c r="J70" s="6" t="inlineStr">
        <is>
          <t>Informado</t>
        </is>
      </c>
      <c r="K70" s="6" t="inlineStr">
        <is>
          <t>Demanda doméstica fixa informada pelo usuário.</t>
        </is>
      </c>
    </row>
    <row r="71">
      <c r="A71" s="6" t="inlineStr">
        <is>
          <t>Milho</t>
        </is>
      </c>
      <c r="B71" s="6" t="inlineStr">
        <is>
          <t>Boa Vista - RR</t>
        </is>
      </c>
      <c r="C71" s="6" t="n">
        <v>2.82384</v>
      </c>
      <c r="D71" s="6" t="n">
        <v>-60.6753</v>
      </c>
      <c r="E71" s="6" t="inlineStr">
        <is>
          <t>2021-10</t>
        </is>
      </c>
      <c r="F71" s="6" t="n">
        <v>4622.4957317394</v>
      </c>
      <c r="G71" s="6" t="inlineStr">
        <is>
          <t>DOMESTICA</t>
        </is>
      </c>
      <c r="H71" s="6" t="inlineStr">
        <is>
          <t>FIXO</t>
        </is>
      </c>
      <c r="I71" s="11">
        <f>IF($H71="AUTO_OFERTA_TOTAL_PRODUTO_PERIODO",SUMIFS(Oferta!$F:$F,Oferta!$A:$A,$A71,Oferta!$E:$E,$E71),$F71)</f>
        <v/>
      </c>
      <c r="J71" s="6" t="inlineStr">
        <is>
          <t>Informado</t>
        </is>
      </c>
      <c r="K71" s="6" t="inlineStr">
        <is>
          <t>Demanda doméstica fixa informada pelo usuário.</t>
        </is>
      </c>
    </row>
    <row r="72">
      <c r="A72" s="6" t="inlineStr">
        <is>
          <t>Milho</t>
        </is>
      </c>
      <c r="B72" s="6" t="inlineStr">
        <is>
          <t>Boa Vista - RR</t>
        </is>
      </c>
      <c r="C72" s="6" t="n">
        <v>2.82384</v>
      </c>
      <c r="D72" s="6" t="n">
        <v>-60.6753</v>
      </c>
      <c r="E72" s="6" t="inlineStr">
        <is>
          <t>2021-11</t>
        </is>
      </c>
      <c r="F72" s="6" t="n">
        <v>7232.846262604</v>
      </c>
      <c r="G72" s="6" t="inlineStr">
        <is>
          <t>DOMESTICA</t>
        </is>
      </c>
      <c r="H72" s="6" t="inlineStr">
        <is>
          <t>FIXO</t>
        </is>
      </c>
      <c r="I72" s="11">
        <f>IF($H72="AUTO_OFERTA_TOTAL_PRODUTO_PERIODO",SUMIFS(Oferta!$F:$F,Oferta!$A:$A,$A72,Oferta!$E:$E,$E72),$F72)</f>
        <v/>
      </c>
      <c r="J72" s="6" t="inlineStr">
        <is>
          <t>Informado</t>
        </is>
      </c>
      <c r="K72" s="6" t="inlineStr">
        <is>
          <t>Demanda doméstica fixa informada pelo usuário.</t>
        </is>
      </c>
    </row>
    <row r="73">
      <c r="A73" s="6" t="inlineStr">
        <is>
          <t>Milho</t>
        </is>
      </c>
      <c r="B73" s="6" t="inlineStr">
        <is>
          <t>Boa Vista - RR</t>
        </is>
      </c>
      <c r="C73" s="6" t="n">
        <v>2.82384</v>
      </c>
      <c r="D73" s="6" t="n">
        <v>-60.6753</v>
      </c>
      <c r="E73" s="6" t="inlineStr">
        <is>
          <t>2021-12</t>
        </is>
      </c>
      <c r="F73" s="6" t="n">
        <v>7232.846262604</v>
      </c>
      <c r="G73" s="6" t="inlineStr">
        <is>
          <t>DOMESTICA</t>
        </is>
      </c>
      <c r="H73" s="6" t="inlineStr">
        <is>
          <t>FIXO</t>
        </is>
      </c>
      <c r="I73" s="11">
        <f>IF($H73="AUTO_OFERTA_TOTAL_PRODUTO_PERIODO",SUMIFS(Oferta!$F:$F,Oferta!$A:$A,$A73,Oferta!$E:$E,$E73),$F73)</f>
        <v/>
      </c>
      <c r="J73" s="6" t="inlineStr">
        <is>
          <t>Informado</t>
        </is>
      </c>
      <c r="K73" s="6" t="inlineStr">
        <is>
          <t>Demanda doméstica fixa informada pelo usuário.</t>
        </is>
      </c>
    </row>
    <row r="74">
      <c r="A74" s="6" t="inlineStr">
        <is>
          <t>Milho</t>
        </is>
      </c>
      <c r="B74" s="6" t="inlineStr">
        <is>
          <t>Palmas - TO</t>
        </is>
      </c>
      <c r="C74" s="6" t="n">
        <v>-10.24</v>
      </c>
      <c r="D74" s="6" t="n">
        <v>-48.3558</v>
      </c>
      <c r="E74" s="6" t="inlineStr">
        <is>
          <t>2021-01</t>
        </is>
      </c>
      <c r="F74" s="6" t="n">
        <v>19276.9734976757</v>
      </c>
      <c r="G74" s="6" t="inlineStr">
        <is>
          <t>DOMESTICA</t>
        </is>
      </c>
      <c r="H74" s="6" t="inlineStr">
        <is>
          <t>FIXO</t>
        </is>
      </c>
      <c r="I74" s="11">
        <f>IF($H74="AUTO_OFERTA_TOTAL_PRODUTO_PERIODO",SUMIFS(Oferta!$F:$F,Oferta!$A:$A,$A74,Oferta!$E:$E,$E74),$F74)</f>
        <v/>
      </c>
      <c r="J74" s="6" t="inlineStr">
        <is>
          <t>Informado</t>
        </is>
      </c>
      <c r="K74" s="6" t="inlineStr">
        <is>
          <t>Demanda doméstica fixa informada pelo usuário.</t>
        </is>
      </c>
    </row>
    <row r="75">
      <c r="A75" s="6" t="inlineStr">
        <is>
          <t>Milho</t>
        </is>
      </c>
      <c r="B75" s="6" t="inlineStr">
        <is>
          <t>Palmas - TO</t>
        </is>
      </c>
      <c r="C75" s="6" t="n">
        <v>-10.24</v>
      </c>
      <c r="D75" s="6" t="n">
        <v>-48.3558</v>
      </c>
      <c r="E75" s="6" t="inlineStr">
        <is>
          <t>2021-02</t>
        </is>
      </c>
      <c r="F75" s="6" t="n">
        <v>19276.9734976757</v>
      </c>
      <c r="G75" s="6" t="inlineStr">
        <is>
          <t>DOMESTICA</t>
        </is>
      </c>
      <c r="H75" s="6" t="inlineStr">
        <is>
          <t>FIXO</t>
        </is>
      </c>
      <c r="I75" s="11">
        <f>IF($H75="AUTO_OFERTA_TOTAL_PRODUTO_PERIODO",SUMIFS(Oferta!$F:$F,Oferta!$A:$A,$A75,Oferta!$E:$E,$E75),$F75)</f>
        <v/>
      </c>
      <c r="J75" s="6" t="inlineStr">
        <is>
          <t>Informado</t>
        </is>
      </c>
      <c r="K75" s="6" t="inlineStr">
        <is>
          <t>Demanda doméstica fixa informada pelo usuário.</t>
        </is>
      </c>
    </row>
    <row r="76">
      <c r="A76" s="6" t="inlineStr">
        <is>
          <t>Milho</t>
        </is>
      </c>
      <c r="B76" s="6" t="inlineStr">
        <is>
          <t>Palmas - TO</t>
        </is>
      </c>
      <c r="C76" s="6" t="n">
        <v>-10.24</v>
      </c>
      <c r="D76" s="6" t="n">
        <v>-48.3558</v>
      </c>
      <c r="E76" s="6" t="inlineStr">
        <is>
          <t>2021-03</t>
        </is>
      </c>
      <c r="F76" s="6" t="n">
        <v>22186.7053463815</v>
      </c>
      <c r="G76" s="6" t="inlineStr">
        <is>
          <t>DOMESTICA</t>
        </is>
      </c>
      <c r="H76" s="6" t="inlineStr">
        <is>
          <t>FIXO</t>
        </is>
      </c>
      <c r="I76" s="11">
        <f>IF($H76="AUTO_OFERTA_TOTAL_PRODUTO_PERIODO",SUMIFS(Oferta!$F:$F,Oferta!$A:$A,$A76,Oferta!$E:$E,$E76),$F76)</f>
        <v/>
      </c>
      <c r="J76" s="6" t="inlineStr">
        <is>
          <t>Informado</t>
        </is>
      </c>
      <c r="K76" s="6" t="inlineStr">
        <is>
          <t>Demanda doméstica fixa informada pelo usuário.</t>
        </is>
      </c>
    </row>
    <row r="77">
      <c r="A77" s="6" t="inlineStr">
        <is>
          <t>Milho</t>
        </is>
      </c>
      <c r="B77" s="6" t="inlineStr">
        <is>
          <t>Palmas - TO</t>
        </is>
      </c>
      <c r="C77" s="6" t="n">
        <v>-10.24</v>
      </c>
      <c r="D77" s="6" t="n">
        <v>-48.3558</v>
      </c>
      <c r="E77" s="6" t="inlineStr">
        <is>
          <t>2021-04</t>
        </is>
      </c>
      <c r="F77" s="6" t="n">
        <v>28006.1690437931</v>
      </c>
      <c r="G77" s="6" t="inlineStr">
        <is>
          <t>DOMESTICA</t>
        </is>
      </c>
      <c r="H77" s="6" t="inlineStr">
        <is>
          <t>FIXO</t>
        </is>
      </c>
      <c r="I77" s="11">
        <f>IF($H77="AUTO_OFERTA_TOTAL_PRODUTO_PERIODO",SUMIFS(Oferta!$F:$F,Oferta!$A:$A,$A77,Oferta!$E:$E,$E77),$F77)</f>
        <v/>
      </c>
      <c r="J77" s="6" t="inlineStr">
        <is>
          <t>Informado</t>
        </is>
      </c>
      <c r="K77" s="6" t="inlineStr">
        <is>
          <t>Demanda doméstica fixa informada pelo usuário.</t>
        </is>
      </c>
    </row>
    <row r="78">
      <c r="A78" s="6" t="inlineStr">
        <is>
          <t>Milho</t>
        </is>
      </c>
      <c r="B78" s="6" t="inlineStr">
        <is>
          <t>Palmas - TO</t>
        </is>
      </c>
      <c r="C78" s="6" t="n">
        <v>-10.24</v>
      </c>
      <c r="D78" s="6" t="n">
        <v>-48.3558</v>
      </c>
      <c r="E78" s="6" t="inlineStr">
        <is>
          <t>2021-05</t>
        </is>
      </c>
      <c r="F78" s="6" t="n">
        <v>39645.0964386162</v>
      </c>
      <c r="G78" s="6" t="inlineStr">
        <is>
          <t>DOMESTICA</t>
        </is>
      </c>
      <c r="H78" s="6" t="inlineStr">
        <is>
          <t>FIXO</t>
        </is>
      </c>
      <c r="I78" s="11">
        <f>IF($H78="AUTO_OFERTA_TOTAL_PRODUTO_PERIODO",SUMIFS(Oferta!$F:$F,Oferta!$A:$A,$A78,Oferta!$E:$E,$E78),$F78)</f>
        <v/>
      </c>
      <c r="J78" s="6" t="inlineStr">
        <is>
          <t>Informado</t>
        </is>
      </c>
      <c r="K78" s="6" t="inlineStr">
        <is>
          <t>Demanda doméstica fixa informada pelo usuário.</t>
        </is>
      </c>
    </row>
    <row r="79">
      <c r="A79" s="6" t="inlineStr">
        <is>
          <t>Milho</t>
        </is>
      </c>
      <c r="B79" s="6" t="inlineStr">
        <is>
          <t>Palmas - TO</t>
        </is>
      </c>
      <c r="C79" s="6" t="n">
        <v>-10.24</v>
      </c>
      <c r="D79" s="6" t="n">
        <v>-48.3558</v>
      </c>
      <c r="E79" s="6" t="inlineStr">
        <is>
          <t>2021-06</t>
        </is>
      </c>
      <c r="F79" s="6" t="n">
        <v>54193.755682145</v>
      </c>
      <c r="G79" s="6" t="inlineStr">
        <is>
          <t>DOMESTICA</t>
        </is>
      </c>
      <c r="H79" s="6" t="inlineStr">
        <is>
          <t>FIXO</t>
        </is>
      </c>
      <c r="I79" s="11">
        <f>IF($H79="AUTO_OFERTA_TOTAL_PRODUTO_PERIODO",SUMIFS(Oferta!$F:$F,Oferta!$A:$A,$A79,Oferta!$E:$E,$E79),$F79)</f>
        <v/>
      </c>
      <c r="J79" s="6" t="inlineStr">
        <is>
          <t>Informado</t>
        </is>
      </c>
      <c r="K79" s="6" t="inlineStr">
        <is>
          <t>Demanda doméstica fixa informada pelo usuário.</t>
        </is>
      </c>
    </row>
    <row r="80">
      <c r="A80" s="6" t="inlineStr">
        <is>
          <t>Milho</t>
        </is>
      </c>
      <c r="B80" s="6" t="inlineStr">
        <is>
          <t>Palmas - TO</t>
        </is>
      </c>
      <c r="C80" s="6" t="n">
        <v>-10.24</v>
      </c>
      <c r="D80" s="6" t="n">
        <v>-48.3558</v>
      </c>
      <c r="E80" s="6" t="inlineStr">
        <is>
          <t>2021-07</t>
        </is>
      </c>
      <c r="F80" s="6" t="n">
        <v>60013.2193795566</v>
      </c>
      <c r="G80" s="6" t="inlineStr">
        <is>
          <t>DOMESTICA</t>
        </is>
      </c>
      <c r="H80" s="6" t="inlineStr">
        <is>
          <t>FIXO</t>
        </is>
      </c>
      <c r="I80" s="11">
        <f>IF($H80="AUTO_OFERTA_TOTAL_PRODUTO_PERIODO",SUMIFS(Oferta!$F:$F,Oferta!$A:$A,$A80,Oferta!$E:$E,$E80),$F80)</f>
        <v/>
      </c>
      <c r="J80" s="6" t="inlineStr">
        <is>
          <t>Informado</t>
        </is>
      </c>
      <c r="K80" s="6" t="inlineStr">
        <is>
          <t>Demanda doméstica fixa informada pelo usuário.</t>
        </is>
      </c>
    </row>
    <row r="81">
      <c r="A81" s="6" t="inlineStr">
        <is>
          <t>Milho</t>
        </is>
      </c>
      <c r="B81" s="6" t="inlineStr">
        <is>
          <t>Palmas - TO</t>
        </is>
      </c>
      <c r="C81" s="6" t="n">
        <v>-10.24</v>
      </c>
      <c r="D81" s="6" t="n">
        <v>-48.3558</v>
      </c>
      <c r="E81" s="6" t="inlineStr">
        <is>
          <t>2021-08</t>
        </is>
      </c>
      <c r="F81" s="6" t="n">
        <v>65832.6830769681</v>
      </c>
      <c r="G81" s="6" t="inlineStr">
        <is>
          <t>DOMESTICA</t>
        </is>
      </c>
      <c r="H81" s="6" t="inlineStr">
        <is>
          <t>FIXO</t>
        </is>
      </c>
      <c r="I81" s="11">
        <f>IF($H81="AUTO_OFERTA_TOTAL_PRODUTO_PERIODO",SUMIFS(Oferta!$F:$F,Oferta!$A:$A,$A81,Oferta!$E:$E,$E81),$F81)</f>
        <v/>
      </c>
      <c r="J81" s="6" t="inlineStr">
        <is>
          <t>Informado</t>
        </is>
      </c>
      <c r="K81" s="6" t="inlineStr">
        <is>
          <t>Demanda doméstica fixa informada pelo usuário.</t>
        </is>
      </c>
    </row>
    <row r="82">
      <c r="A82" s="6" t="inlineStr">
        <is>
          <t>Milho</t>
        </is>
      </c>
      <c r="B82" s="6" t="inlineStr">
        <is>
          <t>Palmas - TO</t>
        </is>
      </c>
      <c r="C82" s="6" t="n">
        <v>-10.24</v>
      </c>
      <c r="D82" s="6" t="n">
        <v>-48.3558</v>
      </c>
      <c r="E82" s="6" t="inlineStr">
        <is>
          <t>2021-09</t>
        </is>
      </c>
      <c r="F82" s="6" t="n">
        <v>54193.755682145</v>
      </c>
      <c r="G82" s="6" t="inlineStr">
        <is>
          <t>DOMESTICA</t>
        </is>
      </c>
      <c r="H82" s="6" t="inlineStr">
        <is>
          <t>FIXO</t>
        </is>
      </c>
      <c r="I82" s="11">
        <f>IF($H82="AUTO_OFERTA_TOTAL_PRODUTO_PERIODO",SUMIFS(Oferta!$F:$F,Oferta!$A:$A,$A82,Oferta!$E:$E,$E82),$F82)</f>
        <v/>
      </c>
      <c r="J82" s="6" t="inlineStr">
        <is>
          <t>Informado</t>
        </is>
      </c>
      <c r="K82" s="6" t="inlineStr">
        <is>
          <t>Demanda doméstica fixa informada pelo usuário.</t>
        </is>
      </c>
    </row>
    <row r="83">
      <c r="A83" s="6" t="inlineStr">
        <is>
          <t>Milho</t>
        </is>
      </c>
      <c r="B83" s="6" t="inlineStr">
        <is>
          <t>Palmas - TO</t>
        </is>
      </c>
      <c r="C83" s="6" t="n">
        <v>-10.24</v>
      </c>
      <c r="D83" s="6" t="n">
        <v>-48.3558</v>
      </c>
      <c r="E83" s="6" t="inlineStr">
        <is>
          <t>2021-10</t>
        </is>
      </c>
      <c r="F83" s="6" t="n">
        <v>48374.2919847335</v>
      </c>
      <c r="G83" s="6" t="inlineStr">
        <is>
          <t>DOMESTICA</t>
        </is>
      </c>
      <c r="H83" s="6" t="inlineStr">
        <is>
          <t>FIXO</t>
        </is>
      </c>
      <c r="I83" s="11">
        <f>IF($H83="AUTO_OFERTA_TOTAL_PRODUTO_PERIODO",SUMIFS(Oferta!$F:$F,Oferta!$A:$A,$A83,Oferta!$E:$E,$E83),$F83)</f>
        <v/>
      </c>
      <c r="J83" s="6" t="inlineStr">
        <is>
          <t>Informado</t>
        </is>
      </c>
      <c r="K83" s="6" t="inlineStr">
        <is>
          <t>Demanda doméstica fixa informada pelo usuário.</t>
        </is>
      </c>
    </row>
    <row r="84">
      <c r="A84" s="6" t="inlineStr">
        <is>
          <t>Milho</t>
        </is>
      </c>
      <c r="B84" s="6" t="inlineStr">
        <is>
          <t>Palmas - TO</t>
        </is>
      </c>
      <c r="C84" s="6" t="n">
        <v>-10.24</v>
      </c>
      <c r="D84" s="6" t="n">
        <v>-48.3558</v>
      </c>
      <c r="E84" s="6" t="inlineStr">
        <is>
          <t>2021-11</t>
        </is>
      </c>
      <c r="F84" s="6" t="n">
        <v>30915.9008924988</v>
      </c>
      <c r="G84" s="6" t="inlineStr">
        <is>
          <t>DOMESTICA</t>
        </is>
      </c>
      <c r="H84" s="6" t="inlineStr">
        <is>
          <t>FIXO</t>
        </is>
      </c>
      <c r="I84" s="11">
        <f>IF($H84="AUTO_OFERTA_TOTAL_PRODUTO_PERIODO",SUMIFS(Oferta!$F:$F,Oferta!$A:$A,$A84,Oferta!$E:$E,$E84),$F84)</f>
        <v/>
      </c>
      <c r="J84" s="6" t="inlineStr">
        <is>
          <t>Informado</t>
        </is>
      </c>
      <c r="K84" s="6" t="inlineStr">
        <is>
          <t>Demanda doméstica fixa informada pelo usuário.</t>
        </is>
      </c>
    </row>
    <row r="85">
      <c r="A85" s="6" t="inlineStr">
        <is>
          <t>Milho</t>
        </is>
      </c>
      <c r="B85" s="6" t="inlineStr">
        <is>
          <t>Palmas - TO</t>
        </is>
      </c>
      <c r="C85" s="6" t="n">
        <v>-10.24</v>
      </c>
      <c r="D85" s="6" t="n">
        <v>-48.3558</v>
      </c>
      <c r="E85" s="6" t="inlineStr">
        <is>
          <t>2021-12</t>
        </is>
      </c>
      <c r="F85" s="6" t="n">
        <v>25096.4371950873</v>
      </c>
      <c r="G85" s="6" t="inlineStr">
        <is>
          <t>DOMESTICA</t>
        </is>
      </c>
      <c r="H85" s="6" t="inlineStr">
        <is>
          <t>FIXO</t>
        </is>
      </c>
      <c r="I85" s="11">
        <f>IF($H85="AUTO_OFERTA_TOTAL_PRODUTO_PERIODO",SUMIFS(Oferta!$F:$F,Oferta!$A:$A,$A85,Oferta!$E:$E,$E85),$F85)</f>
        <v/>
      </c>
      <c r="J85" s="6" t="inlineStr">
        <is>
          <t>Informado</t>
        </is>
      </c>
      <c r="K85" s="6" t="inlineStr">
        <is>
          <t>Demanda doméstica fixa informada pelo usuário.</t>
        </is>
      </c>
    </row>
    <row r="86">
      <c r="A86" s="6" t="inlineStr">
        <is>
          <t>Milho</t>
        </is>
      </c>
      <c r="B86" s="6" t="inlineStr">
        <is>
          <t>Maceió - AL</t>
        </is>
      </c>
      <c r="C86" s="6" t="n">
        <v>-9.665990000000001</v>
      </c>
      <c r="D86" s="6" t="n">
        <v>-35.735</v>
      </c>
      <c r="E86" s="6" t="inlineStr">
        <is>
          <t>2021-01</t>
        </is>
      </c>
      <c r="F86" s="6" t="n">
        <v>70694.4691394596</v>
      </c>
      <c r="G86" s="6" t="inlineStr">
        <is>
          <t>DOMESTICA</t>
        </is>
      </c>
      <c r="H86" s="6" t="inlineStr">
        <is>
          <t>FIXO</t>
        </is>
      </c>
      <c r="I86" s="11">
        <f>IF($H86="AUTO_OFERTA_TOTAL_PRODUTO_PERIODO",SUMIFS(Oferta!$F:$F,Oferta!$A:$A,$A86,Oferta!$E:$E,$E86),$F86)</f>
        <v/>
      </c>
      <c r="J86" s="6" t="inlineStr">
        <is>
          <t>Informado</t>
        </is>
      </c>
      <c r="K86" s="6" t="inlineStr">
        <is>
          <t>Demanda doméstica fixa informada pelo usuário.</t>
        </is>
      </c>
    </row>
    <row r="87">
      <c r="A87" s="6" t="inlineStr">
        <is>
          <t>Milho</t>
        </is>
      </c>
      <c r="B87" s="6" t="inlineStr">
        <is>
          <t>Maceió - AL</t>
        </is>
      </c>
      <c r="C87" s="6" t="n">
        <v>-9.665990000000001</v>
      </c>
      <c r="D87" s="6" t="n">
        <v>-35.735</v>
      </c>
      <c r="E87" s="6" t="inlineStr">
        <is>
          <t>2021-02</t>
        </is>
      </c>
      <c r="F87" s="6" t="n">
        <v>43547.7929899071</v>
      </c>
      <c r="G87" s="6" t="inlineStr">
        <is>
          <t>DOMESTICA</t>
        </is>
      </c>
      <c r="H87" s="6" t="inlineStr">
        <is>
          <t>FIXO</t>
        </is>
      </c>
      <c r="I87" s="11">
        <f>IF($H87="AUTO_OFERTA_TOTAL_PRODUTO_PERIODO",SUMIFS(Oferta!$F:$F,Oferta!$A:$A,$A87,Oferta!$E:$E,$E87),$F87)</f>
        <v/>
      </c>
      <c r="J87" s="6" t="inlineStr">
        <is>
          <t>Informado</t>
        </is>
      </c>
      <c r="K87" s="6" t="inlineStr">
        <is>
          <t>Demanda doméstica fixa informada pelo usuário.</t>
        </is>
      </c>
    </row>
    <row r="88">
      <c r="A88" s="6" t="inlineStr">
        <is>
          <t>Milho</t>
        </is>
      </c>
      <c r="B88" s="6" t="inlineStr">
        <is>
          <t>Maceió - AL</t>
        </is>
      </c>
      <c r="C88" s="6" t="n">
        <v>-9.665990000000001</v>
      </c>
      <c r="D88" s="6" t="n">
        <v>-35.735</v>
      </c>
      <c r="E88" s="6" t="inlineStr">
        <is>
          <t>2021-03</t>
        </is>
      </c>
      <c r="F88" s="6" t="n">
        <v>34498.9009400563</v>
      </c>
      <c r="G88" s="6" t="inlineStr">
        <is>
          <t>DOMESTICA</t>
        </is>
      </c>
      <c r="H88" s="6" t="inlineStr">
        <is>
          <t>FIXO</t>
        </is>
      </c>
      <c r="I88" s="11">
        <f>IF($H88="AUTO_OFERTA_TOTAL_PRODUTO_PERIODO",SUMIFS(Oferta!$F:$F,Oferta!$A:$A,$A88,Oferta!$E:$E,$E88),$F88)</f>
        <v/>
      </c>
      <c r="J88" s="6" t="inlineStr">
        <is>
          <t>Informado</t>
        </is>
      </c>
      <c r="K88" s="6" t="inlineStr">
        <is>
          <t>Demanda doméstica fixa informada pelo usuário.</t>
        </is>
      </c>
    </row>
    <row r="89">
      <c r="A89" s="6" t="inlineStr">
        <is>
          <t>Milho</t>
        </is>
      </c>
      <c r="B89" s="6" t="inlineStr">
        <is>
          <t>Maceió - AL</t>
        </is>
      </c>
      <c r="C89" s="6" t="n">
        <v>-9.665990000000001</v>
      </c>
      <c r="D89" s="6" t="n">
        <v>-35.735</v>
      </c>
      <c r="E89" s="6" t="inlineStr">
        <is>
          <t>2021-04</t>
        </is>
      </c>
      <c r="F89" s="6" t="n">
        <v>29974.4549151309</v>
      </c>
      <c r="G89" s="6" t="inlineStr">
        <is>
          <t>DOMESTICA</t>
        </is>
      </c>
      <c r="H89" s="6" t="inlineStr">
        <is>
          <t>FIXO</t>
        </is>
      </c>
      <c r="I89" s="11">
        <f>IF($H89="AUTO_OFERTA_TOTAL_PRODUTO_PERIODO",SUMIFS(Oferta!$F:$F,Oferta!$A:$A,$A89,Oferta!$E:$E,$E89),$F89)</f>
        <v/>
      </c>
      <c r="J89" s="6" t="inlineStr">
        <is>
          <t>Informado</t>
        </is>
      </c>
      <c r="K89" s="6" t="inlineStr">
        <is>
          <t>Demanda doméstica fixa informada pelo usuário.</t>
        </is>
      </c>
    </row>
    <row r="90">
      <c r="A90" s="6" t="inlineStr">
        <is>
          <t>Milho</t>
        </is>
      </c>
      <c r="B90" s="6" t="inlineStr">
        <is>
          <t>Maceió - AL</t>
        </is>
      </c>
      <c r="C90" s="6" t="n">
        <v>-9.665990000000001</v>
      </c>
      <c r="D90" s="6" t="n">
        <v>-35.735</v>
      </c>
      <c r="E90" s="6" t="inlineStr">
        <is>
          <t>2021-05</t>
        </is>
      </c>
      <c r="F90" s="6" t="n">
        <v>29974.4549151309</v>
      </c>
      <c r="G90" s="6" t="inlineStr">
        <is>
          <t>DOMESTICA</t>
        </is>
      </c>
      <c r="H90" s="6" t="inlineStr">
        <is>
          <t>FIXO</t>
        </is>
      </c>
      <c r="I90" s="11">
        <f>IF($H90="AUTO_OFERTA_TOTAL_PRODUTO_PERIODO",SUMIFS(Oferta!$F:$F,Oferta!$A:$A,$A90,Oferta!$E:$E,$E90),$F90)</f>
        <v/>
      </c>
      <c r="J90" s="6" t="inlineStr">
        <is>
          <t>Informado</t>
        </is>
      </c>
      <c r="K90" s="6" t="inlineStr">
        <is>
          <t>Demanda doméstica fixa informada pelo usuário.</t>
        </is>
      </c>
    </row>
    <row r="91">
      <c r="A91" s="6" t="inlineStr">
        <is>
          <t>Milho</t>
        </is>
      </c>
      <c r="B91" s="6" t="inlineStr">
        <is>
          <t>Maceió - AL</t>
        </is>
      </c>
      <c r="C91" s="6" t="n">
        <v>-9.665990000000001</v>
      </c>
      <c r="D91" s="6" t="n">
        <v>-35.735</v>
      </c>
      <c r="E91" s="6" t="inlineStr">
        <is>
          <t>2021-06</t>
        </is>
      </c>
      <c r="F91" s="6" t="n">
        <v>29974.4549151309</v>
      </c>
      <c r="G91" s="6" t="inlineStr">
        <is>
          <t>DOMESTICA</t>
        </is>
      </c>
      <c r="H91" s="6" t="inlineStr">
        <is>
          <t>FIXO</t>
        </is>
      </c>
      <c r="I91" s="11">
        <f>IF($H91="AUTO_OFERTA_TOTAL_PRODUTO_PERIODO",SUMIFS(Oferta!$F:$F,Oferta!$A:$A,$A91,Oferta!$E:$E,$E91),$F91)</f>
        <v/>
      </c>
      <c r="J91" s="6" t="inlineStr">
        <is>
          <t>Informado</t>
        </is>
      </c>
      <c r="K91" s="6" t="inlineStr">
        <is>
          <t>Demanda doméstica fixa informada pelo usuário.</t>
        </is>
      </c>
    </row>
    <row r="92">
      <c r="A92" s="6" t="inlineStr">
        <is>
          <t>Milho</t>
        </is>
      </c>
      <c r="B92" s="6" t="inlineStr">
        <is>
          <t>Maceió - AL</t>
        </is>
      </c>
      <c r="C92" s="6" t="n">
        <v>-9.665990000000001</v>
      </c>
      <c r="D92" s="6" t="n">
        <v>-35.735</v>
      </c>
      <c r="E92" s="6" t="inlineStr">
        <is>
          <t>2021-07</t>
        </is>
      </c>
      <c r="F92" s="6" t="n">
        <v>29974.4549151309</v>
      </c>
      <c r="G92" s="6" t="inlineStr">
        <is>
          <t>DOMESTICA</t>
        </is>
      </c>
      <c r="H92" s="6" t="inlineStr">
        <is>
          <t>FIXO</t>
        </is>
      </c>
      <c r="I92" s="11">
        <f>IF($H92="AUTO_OFERTA_TOTAL_PRODUTO_PERIODO",SUMIFS(Oferta!$F:$F,Oferta!$A:$A,$A92,Oferta!$E:$E,$E92),$F92)</f>
        <v/>
      </c>
      <c r="J92" s="6" t="inlineStr">
        <is>
          <t>Informado</t>
        </is>
      </c>
      <c r="K92" s="6" t="inlineStr">
        <is>
          <t>Demanda doméstica fixa informada pelo usuário.</t>
        </is>
      </c>
    </row>
    <row r="93">
      <c r="A93" s="6" t="inlineStr">
        <is>
          <t>Milho</t>
        </is>
      </c>
      <c r="B93" s="6" t="inlineStr">
        <is>
          <t>Maceió - AL</t>
        </is>
      </c>
      <c r="C93" s="6" t="n">
        <v>-9.665990000000001</v>
      </c>
      <c r="D93" s="6" t="n">
        <v>-35.735</v>
      </c>
      <c r="E93" s="6" t="inlineStr">
        <is>
          <t>2021-08</t>
        </is>
      </c>
      <c r="F93" s="6" t="n">
        <v>29974.4549151309</v>
      </c>
      <c r="G93" s="6" t="inlineStr">
        <is>
          <t>DOMESTICA</t>
        </is>
      </c>
      <c r="H93" s="6" t="inlineStr">
        <is>
          <t>FIXO</t>
        </is>
      </c>
      <c r="I93" s="11">
        <f>IF($H93="AUTO_OFERTA_TOTAL_PRODUTO_PERIODO",SUMIFS(Oferta!$F:$F,Oferta!$A:$A,$A93,Oferta!$E:$E,$E93),$F93)</f>
        <v/>
      </c>
      <c r="J93" s="6" t="inlineStr">
        <is>
          <t>Informado</t>
        </is>
      </c>
      <c r="K93" s="6" t="inlineStr">
        <is>
          <t>Demanda doméstica fixa informada pelo usuário.</t>
        </is>
      </c>
    </row>
    <row r="94">
      <c r="A94" s="6" t="inlineStr">
        <is>
          <t>Milho</t>
        </is>
      </c>
      <c r="B94" s="6" t="inlineStr">
        <is>
          <t>Maceió - AL</t>
        </is>
      </c>
      <c r="C94" s="6" t="n">
        <v>-9.665990000000001</v>
      </c>
      <c r="D94" s="6" t="n">
        <v>-35.735</v>
      </c>
      <c r="E94" s="6" t="inlineStr">
        <is>
          <t>2021-09</t>
        </is>
      </c>
      <c r="F94" s="6" t="n">
        <v>39023.3469649817</v>
      </c>
      <c r="G94" s="6" t="inlineStr">
        <is>
          <t>DOMESTICA</t>
        </is>
      </c>
      <c r="H94" s="6" t="inlineStr">
        <is>
          <t>FIXO</t>
        </is>
      </c>
      <c r="I94" s="11">
        <f>IF($H94="AUTO_OFERTA_TOTAL_PRODUTO_PERIODO",SUMIFS(Oferta!$F:$F,Oferta!$A:$A,$A94,Oferta!$E:$E,$E94),$F94)</f>
        <v/>
      </c>
      <c r="J94" s="6" t="inlineStr">
        <is>
          <t>Informado</t>
        </is>
      </c>
      <c r="K94" s="6" t="inlineStr">
        <is>
          <t>Demanda doméstica fixa informada pelo usuário.</t>
        </is>
      </c>
    </row>
    <row r="95">
      <c r="A95" s="6" t="inlineStr">
        <is>
          <t>Milho</t>
        </is>
      </c>
      <c r="B95" s="6" t="inlineStr">
        <is>
          <t>Maceió - AL</t>
        </is>
      </c>
      <c r="C95" s="6" t="n">
        <v>-9.665990000000001</v>
      </c>
      <c r="D95" s="6" t="n">
        <v>-35.735</v>
      </c>
      <c r="E95" s="6" t="inlineStr">
        <is>
          <t>2021-10</t>
        </is>
      </c>
      <c r="F95" s="6" t="n">
        <v>48072.2390148326</v>
      </c>
      <c r="G95" s="6" t="inlineStr">
        <is>
          <t>DOMESTICA</t>
        </is>
      </c>
      <c r="H95" s="6" t="inlineStr">
        <is>
          <t>FIXO</t>
        </is>
      </c>
      <c r="I95" s="11">
        <f>IF($H95="AUTO_OFERTA_TOTAL_PRODUTO_PERIODO",SUMIFS(Oferta!$F:$F,Oferta!$A:$A,$A95,Oferta!$E:$E,$E95),$F95)</f>
        <v/>
      </c>
      <c r="J95" s="6" t="inlineStr">
        <is>
          <t>Informado</t>
        </is>
      </c>
      <c r="K95" s="6" t="inlineStr">
        <is>
          <t>Demanda doméstica fixa informada pelo usuário.</t>
        </is>
      </c>
    </row>
    <row r="96">
      <c r="A96" s="6" t="inlineStr">
        <is>
          <t>Milho</t>
        </is>
      </c>
      <c r="B96" s="6" t="inlineStr">
        <is>
          <t>Maceió - AL</t>
        </is>
      </c>
      <c r="C96" s="6" t="n">
        <v>-9.665990000000001</v>
      </c>
      <c r="D96" s="6" t="n">
        <v>-35.735</v>
      </c>
      <c r="E96" s="6" t="inlineStr">
        <is>
          <t>2021-11</t>
        </is>
      </c>
      <c r="F96" s="6" t="n">
        <v>75218.91516438509</v>
      </c>
      <c r="G96" s="6" t="inlineStr">
        <is>
          <t>DOMESTICA</t>
        </is>
      </c>
      <c r="H96" s="6" t="inlineStr">
        <is>
          <t>FIXO</t>
        </is>
      </c>
      <c r="I96" s="11">
        <f>IF($H96="AUTO_OFERTA_TOTAL_PRODUTO_PERIODO",SUMIFS(Oferta!$F:$F,Oferta!$A:$A,$A96,Oferta!$E:$E,$E96),$F96)</f>
        <v/>
      </c>
      <c r="J96" s="6" t="inlineStr">
        <is>
          <t>Informado</t>
        </is>
      </c>
      <c r="K96" s="6" t="inlineStr">
        <is>
          <t>Demanda doméstica fixa informada pelo usuário.</t>
        </is>
      </c>
    </row>
    <row r="97">
      <c r="A97" s="6" t="inlineStr">
        <is>
          <t>Milho</t>
        </is>
      </c>
      <c r="B97" s="6" t="inlineStr">
        <is>
          <t>Maceió - AL</t>
        </is>
      </c>
      <c r="C97" s="6" t="n">
        <v>-9.665990000000001</v>
      </c>
      <c r="D97" s="6" t="n">
        <v>-35.735</v>
      </c>
      <c r="E97" s="6" t="inlineStr">
        <is>
          <t>2021-12</t>
        </is>
      </c>
      <c r="F97" s="6" t="n">
        <v>75218.91516438509</v>
      </c>
      <c r="G97" s="6" t="inlineStr">
        <is>
          <t>DOMESTICA</t>
        </is>
      </c>
      <c r="H97" s="6" t="inlineStr">
        <is>
          <t>FIXO</t>
        </is>
      </c>
      <c r="I97" s="11">
        <f>IF($H97="AUTO_OFERTA_TOTAL_PRODUTO_PERIODO",SUMIFS(Oferta!$F:$F,Oferta!$A:$A,$A97,Oferta!$E:$E,$E97),$F97)</f>
        <v/>
      </c>
      <c r="J97" s="6" t="inlineStr">
        <is>
          <t>Informado</t>
        </is>
      </c>
      <c r="K97" s="6" t="inlineStr">
        <is>
          <t>Demanda doméstica fixa informada pelo usuário.</t>
        </is>
      </c>
    </row>
    <row r="98">
      <c r="A98" s="6" t="inlineStr">
        <is>
          <t>Milho</t>
        </is>
      </c>
      <c r="B98" s="6" t="inlineStr">
        <is>
          <t>Salvador - BA</t>
        </is>
      </c>
      <c r="C98" s="6" t="n">
        <v>-12.9718</v>
      </c>
      <c r="D98" s="6" t="n">
        <v>-38.5011</v>
      </c>
      <c r="E98" s="6" t="inlineStr">
        <is>
          <t>2021-01</t>
        </is>
      </c>
      <c r="F98" s="6" t="n">
        <v>302345.4221105856</v>
      </c>
      <c r="G98" s="6" t="inlineStr">
        <is>
          <t>DOMESTICA</t>
        </is>
      </c>
      <c r="H98" s="6" t="inlineStr">
        <is>
          <t>FIXO</t>
        </is>
      </c>
      <c r="I98" s="11">
        <f>IF($H98="AUTO_OFERTA_TOTAL_PRODUTO_PERIODO",SUMIFS(Oferta!$F:$F,Oferta!$A:$A,$A98,Oferta!$E:$E,$E98),$F98)</f>
        <v/>
      </c>
      <c r="J98" s="6" t="inlineStr">
        <is>
          <t>Informado</t>
        </is>
      </c>
      <c r="K98" s="6" t="inlineStr">
        <is>
          <t>Demanda doméstica fixa informada pelo usuário.</t>
        </is>
      </c>
    </row>
    <row r="99">
      <c r="A99" s="6" t="inlineStr">
        <is>
          <t>Milho</t>
        </is>
      </c>
      <c r="B99" s="6" t="inlineStr">
        <is>
          <t>Salvador - BA</t>
        </is>
      </c>
      <c r="C99" s="6" t="n">
        <v>-12.9718</v>
      </c>
      <c r="D99" s="6" t="n">
        <v>-38.5011</v>
      </c>
      <c r="E99" s="6" t="inlineStr">
        <is>
          <t>2021-02</t>
        </is>
      </c>
      <c r="F99" s="6" t="n">
        <v>178306.2745780377</v>
      </c>
      <c r="G99" s="6" t="inlineStr">
        <is>
          <t>DOMESTICA</t>
        </is>
      </c>
      <c r="H99" s="6" t="inlineStr">
        <is>
          <t>FIXO</t>
        </is>
      </c>
      <c r="I99" s="11">
        <f>IF($H99="AUTO_OFERTA_TOTAL_PRODUTO_PERIODO",SUMIFS(Oferta!$F:$F,Oferta!$A:$A,$A99,Oferta!$E:$E,$E99),$F99)</f>
        <v/>
      </c>
      <c r="J99" s="6" t="inlineStr">
        <is>
          <t>Informado</t>
        </is>
      </c>
      <c r="K99" s="6" t="inlineStr">
        <is>
          <t>Demanda doméstica fixa informada pelo usuário.</t>
        </is>
      </c>
    </row>
    <row r="100">
      <c r="A100" s="6" t="inlineStr">
        <is>
          <t>Milho</t>
        </is>
      </c>
      <c r="B100" s="6" t="inlineStr">
        <is>
          <t>Salvador - BA</t>
        </is>
      </c>
      <c r="C100" s="6" t="n">
        <v>-12.9718</v>
      </c>
      <c r="D100" s="6" t="n">
        <v>-38.5011</v>
      </c>
      <c r="E100" s="6" t="inlineStr">
        <is>
          <t>2021-03</t>
        </is>
      </c>
      <c r="F100" s="6" t="n">
        <v>157633.083322613</v>
      </c>
      <c r="G100" s="6" t="inlineStr">
        <is>
          <t>DOMESTICA</t>
        </is>
      </c>
      <c r="H100" s="6" t="inlineStr">
        <is>
          <t>FIXO</t>
        </is>
      </c>
      <c r="I100" s="11">
        <f>IF($H100="AUTO_OFERTA_TOTAL_PRODUTO_PERIODO",SUMIFS(Oferta!$F:$F,Oferta!$A:$A,$A100,Oferta!$E:$E,$E100),$F100)</f>
        <v/>
      </c>
      <c r="J100" s="6" t="inlineStr">
        <is>
          <t>Informado</t>
        </is>
      </c>
      <c r="K100" s="6" t="inlineStr">
        <is>
          <t>Demanda doméstica fixa informada pelo usuário.</t>
        </is>
      </c>
    </row>
    <row r="101">
      <c r="A101" s="6" t="inlineStr">
        <is>
          <t>Milho</t>
        </is>
      </c>
      <c r="B101" s="6" t="inlineStr">
        <is>
          <t>Salvador - BA</t>
        </is>
      </c>
      <c r="C101" s="6" t="n">
        <v>-12.9718</v>
      </c>
      <c r="D101" s="6" t="n">
        <v>-38.5011</v>
      </c>
      <c r="E101" s="6" t="inlineStr">
        <is>
          <t>2021-04</t>
        </is>
      </c>
      <c r="F101" s="6" t="n">
        <v>198979.4658334624</v>
      </c>
      <c r="G101" s="6" t="inlineStr">
        <is>
          <t>DOMESTICA</t>
        </is>
      </c>
      <c r="H101" s="6" t="inlineStr">
        <is>
          <t>FIXO</t>
        </is>
      </c>
      <c r="I101" s="11">
        <f>IF($H101="AUTO_OFERTA_TOTAL_PRODUTO_PERIODO",SUMIFS(Oferta!$F:$F,Oferta!$A:$A,$A101,Oferta!$E:$E,$E101),$F101)</f>
        <v/>
      </c>
      <c r="J101" s="6" t="inlineStr">
        <is>
          <t>Informado</t>
        </is>
      </c>
      <c r="K101" s="6" t="inlineStr">
        <is>
          <t>Demanda doméstica fixa informada pelo usuário.</t>
        </is>
      </c>
    </row>
    <row r="102">
      <c r="A102" s="6" t="inlineStr">
        <is>
          <t>Milho</t>
        </is>
      </c>
      <c r="B102" s="6" t="inlineStr">
        <is>
          <t>Salvador - BA</t>
        </is>
      </c>
      <c r="C102" s="6" t="n">
        <v>-12.9718</v>
      </c>
      <c r="D102" s="6" t="n">
        <v>-38.5011</v>
      </c>
      <c r="E102" s="6" t="inlineStr">
        <is>
          <t>2021-05</t>
        </is>
      </c>
      <c r="F102" s="6" t="n">
        <v>281672.230855161</v>
      </c>
      <c r="G102" s="6" t="inlineStr">
        <is>
          <t>DOMESTICA</t>
        </is>
      </c>
      <c r="H102" s="6" t="inlineStr">
        <is>
          <t>FIXO</t>
        </is>
      </c>
      <c r="I102" s="11">
        <f>IF($H102="AUTO_OFERTA_TOTAL_PRODUTO_PERIODO",SUMIFS(Oferta!$F:$F,Oferta!$A:$A,$A102,Oferta!$E:$E,$E102),$F102)</f>
        <v/>
      </c>
      <c r="J102" s="6" t="inlineStr">
        <is>
          <t>Informado</t>
        </is>
      </c>
      <c r="K102" s="6" t="inlineStr">
        <is>
          <t>Demanda doméstica fixa informada pelo usuário.</t>
        </is>
      </c>
    </row>
    <row r="103">
      <c r="A103" s="6" t="inlineStr">
        <is>
          <t>Milho</t>
        </is>
      </c>
      <c r="B103" s="6" t="inlineStr">
        <is>
          <t>Salvador - BA</t>
        </is>
      </c>
      <c r="C103" s="6" t="n">
        <v>-12.9718</v>
      </c>
      <c r="D103" s="6" t="n">
        <v>-38.5011</v>
      </c>
      <c r="E103" s="6" t="inlineStr">
        <is>
          <t>2021-06</t>
        </is>
      </c>
      <c r="F103" s="6" t="n">
        <v>385038.1871322843</v>
      </c>
      <c r="G103" s="6" t="inlineStr">
        <is>
          <t>DOMESTICA</t>
        </is>
      </c>
      <c r="H103" s="6" t="inlineStr">
        <is>
          <t>FIXO</t>
        </is>
      </c>
      <c r="I103" s="11">
        <f>IF($H103="AUTO_OFERTA_TOTAL_PRODUTO_PERIODO",SUMIFS(Oferta!$F:$F,Oferta!$A:$A,$A103,Oferta!$E:$E,$E103),$F103)</f>
        <v/>
      </c>
      <c r="J103" s="6" t="inlineStr">
        <is>
          <t>Informado</t>
        </is>
      </c>
      <c r="K103" s="6" t="inlineStr">
        <is>
          <t>Demanda doméstica fixa informada pelo usuário.</t>
        </is>
      </c>
    </row>
    <row r="104">
      <c r="A104" s="6" t="inlineStr">
        <is>
          <t>Milho</t>
        </is>
      </c>
      <c r="B104" s="6" t="inlineStr">
        <is>
          <t>Salvador - BA</t>
        </is>
      </c>
      <c r="C104" s="6" t="n">
        <v>-12.9718</v>
      </c>
      <c r="D104" s="6" t="n">
        <v>-38.5011</v>
      </c>
      <c r="E104" s="6" t="inlineStr">
        <is>
          <t>2021-07</t>
        </is>
      </c>
      <c r="F104" s="6" t="n">
        <v>385038.1871322843</v>
      </c>
      <c r="G104" s="6" t="inlineStr">
        <is>
          <t>DOMESTICA</t>
        </is>
      </c>
      <c r="H104" s="6" t="inlineStr">
        <is>
          <t>FIXO</t>
        </is>
      </c>
      <c r="I104" s="11">
        <f>IF($H104="AUTO_OFERTA_TOTAL_PRODUTO_PERIODO",SUMIFS(Oferta!$F:$F,Oferta!$A:$A,$A104,Oferta!$E:$E,$E104),$F104)</f>
        <v/>
      </c>
      <c r="J104" s="6" t="inlineStr">
        <is>
          <t>Informado</t>
        </is>
      </c>
      <c r="K104" s="6" t="inlineStr">
        <is>
          <t>Demanda doméstica fixa informada pelo usuário.</t>
        </is>
      </c>
    </row>
    <row r="105">
      <c r="A105" s="6" t="inlineStr">
        <is>
          <t>Milho</t>
        </is>
      </c>
      <c r="B105" s="6" t="inlineStr">
        <is>
          <t>Salvador - BA</t>
        </is>
      </c>
      <c r="C105" s="6" t="n">
        <v>-12.9718</v>
      </c>
      <c r="D105" s="6" t="n">
        <v>-38.5011</v>
      </c>
      <c r="E105" s="6" t="inlineStr">
        <is>
          <t>2021-08</t>
        </is>
      </c>
      <c r="F105" s="6" t="n">
        <v>302345.4221105856</v>
      </c>
      <c r="G105" s="6" t="inlineStr">
        <is>
          <t>DOMESTICA</t>
        </is>
      </c>
      <c r="H105" s="6" t="inlineStr">
        <is>
          <t>FIXO</t>
        </is>
      </c>
      <c r="I105" s="11">
        <f>IF($H105="AUTO_OFERTA_TOTAL_PRODUTO_PERIODO",SUMIFS(Oferta!$F:$F,Oferta!$A:$A,$A105,Oferta!$E:$E,$E105),$F105)</f>
        <v/>
      </c>
      <c r="J105" s="6" t="inlineStr">
        <is>
          <t>Informado</t>
        </is>
      </c>
      <c r="K105" s="6" t="inlineStr">
        <is>
          <t>Demanda doméstica fixa informada pelo usuário.</t>
        </is>
      </c>
    </row>
    <row r="106">
      <c r="A106" s="6" t="inlineStr">
        <is>
          <t>Milho</t>
        </is>
      </c>
      <c r="B106" s="6" t="inlineStr">
        <is>
          <t>Salvador - BA</t>
        </is>
      </c>
      <c r="C106" s="6" t="n">
        <v>-12.9718</v>
      </c>
      <c r="D106" s="6" t="n">
        <v>-38.5011</v>
      </c>
      <c r="E106" s="6" t="inlineStr">
        <is>
          <t>2021-09</t>
        </is>
      </c>
      <c r="F106" s="6" t="n">
        <v>198979.4658334623</v>
      </c>
      <c r="G106" s="6" t="inlineStr">
        <is>
          <t>DOMESTICA</t>
        </is>
      </c>
      <c r="H106" s="6" t="inlineStr">
        <is>
          <t>FIXO</t>
        </is>
      </c>
      <c r="I106" s="11">
        <f>IF($H106="AUTO_OFERTA_TOTAL_PRODUTO_PERIODO",SUMIFS(Oferta!$F:$F,Oferta!$A:$A,$A106,Oferta!$E:$E,$E106),$F106)</f>
        <v/>
      </c>
      <c r="J106" s="6" t="inlineStr">
        <is>
          <t>Informado</t>
        </is>
      </c>
      <c r="K106" s="6" t="inlineStr">
        <is>
          <t>Demanda doméstica fixa informada pelo usuário.</t>
        </is>
      </c>
    </row>
    <row r="107">
      <c r="A107" s="6" t="inlineStr">
        <is>
          <t>Milho</t>
        </is>
      </c>
      <c r="B107" s="6" t="inlineStr">
        <is>
          <t>Salvador - BA</t>
        </is>
      </c>
      <c r="C107" s="6" t="n">
        <v>-12.9718</v>
      </c>
      <c r="D107" s="6" t="n">
        <v>-38.5011</v>
      </c>
      <c r="E107" s="6" t="inlineStr">
        <is>
          <t>2021-10</t>
        </is>
      </c>
      <c r="F107" s="6" t="n">
        <v>198979.4658334624</v>
      </c>
      <c r="G107" s="6" t="inlineStr">
        <is>
          <t>DOMESTICA</t>
        </is>
      </c>
      <c r="H107" s="6" t="inlineStr">
        <is>
          <t>FIXO</t>
        </is>
      </c>
      <c r="I107" s="11">
        <f>IF($H107="AUTO_OFERTA_TOTAL_PRODUTO_PERIODO",SUMIFS(Oferta!$F:$F,Oferta!$A:$A,$A107,Oferta!$E:$E,$E107),$F107)</f>
        <v/>
      </c>
      <c r="J107" s="6" t="inlineStr">
        <is>
          <t>Informado</t>
        </is>
      </c>
      <c r="K107" s="6" t="inlineStr">
        <is>
          <t>Demanda doméstica fixa informada pelo usuário.</t>
        </is>
      </c>
    </row>
    <row r="108">
      <c r="A108" s="6" t="inlineStr">
        <is>
          <t>Milho</t>
        </is>
      </c>
      <c r="B108" s="6" t="inlineStr">
        <is>
          <t>Salvador - BA</t>
        </is>
      </c>
      <c r="C108" s="6" t="n">
        <v>-12.9718</v>
      </c>
      <c r="D108" s="6" t="n">
        <v>-38.5011</v>
      </c>
      <c r="E108" s="6" t="inlineStr">
        <is>
          <t>2021-11</t>
        </is>
      </c>
      <c r="F108" s="6" t="n">
        <v>323018.6133660103</v>
      </c>
      <c r="G108" s="6" t="inlineStr">
        <is>
          <t>DOMESTICA</t>
        </is>
      </c>
      <c r="H108" s="6" t="inlineStr">
        <is>
          <t>FIXO</t>
        </is>
      </c>
      <c r="I108" s="11">
        <f>IF($H108="AUTO_OFERTA_TOTAL_PRODUTO_PERIODO",SUMIFS(Oferta!$F:$F,Oferta!$A:$A,$A108,Oferta!$E:$E,$E108),$F108)</f>
        <v/>
      </c>
      <c r="J108" s="6" t="inlineStr">
        <is>
          <t>Informado</t>
        </is>
      </c>
      <c r="K108" s="6" t="inlineStr">
        <is>
          <t>Demanda doméstica fixa informada pelo usuário.</t>
        </is>
      </c>
    </row>
    <row r="109">
      <c r="A109" s="6" t="inlineStr">
        <is>
          <t>Milho</t>
        </is>
      </c>
      <c r="B109" s="6" t="inlineStr">
        <is>
          <t>Salvador - BA</t>
        </is>
      </c>
      <c r="C109" s="6" t="n">
        <v>-12.9718</v>
      </c>
      <c r="D109" s="6" t="n">
        <v>-38.5011</v>
      </c>
      <c r="E109" s="6" t="inlineStr">
        <is>
          <t>2021-12</t>
        </is>
      </c>
      <c r="F109" s="6" t="n">
        <v>343691.8046214349</v>
      </c>
      <c r="G109" s="6" t="inlineStr">
        <is>
          <t>DOMESTICA</t>
        </is>
      </c>
      <c r="H109" s="6" t="inlineStr">
        <is>
          <t>FIXO</t>
        </is>
      </c>
      <c r="I109" s="11">
        <f>IF($H109="AUTO_OFERTA_TOTAL_PRODUTO_PERIODO",SUMIFS(Oferta!$F:$F,Oferta!$A:$A,$A109,Oferta!$E:$E,$E109),$F109)</f>
        <v/>
      </c>
      <c r="J109" s="6" t="inlineStr">
        <is>
          <t>Informado</t>
        </is>
      </c>
      <c r="K109" s="6" t="inlineStr">
        <is>
          <t>Demanda doméstica fixa informada pelo usuário.</t>
        </is>
      </c>
    </row>
    <row r="110">
      <c r="A110" s="6" t="inlineStr">
        <is>
          <t>Milho</t>
        </is>
      </c>
      <c r="B110" s="6" t="inlineStr">
        <is>
          <t>Fortaleza - CE</t>
        </is>
      </c>
      <c r="C110" s="6" t="n">
        <v>-3.71664</v>
      </c>
      <c r="D110" s="6" t="n">
        <v>-38.5423</v>
      </c>
      <c r="E110" s="6" t="inlineStr">
        <is>
          <t>2021-01</t>
        </is>
      </c>
      <c r="F110" s="6" t="n">
        <v>67653.2590482635</v>
      </c>
      <c r="G110" s="6" t="inlineStr">
        <is>
          <t>DOMESTICA</t>
        </is>
      </c>
      <c r="H110" s="6" t="inlineStr">
        <is>
          <t>FIXO</t>
        </is>
      </c>
      <c r="I110" s="11">
        <f>IF($H110="AUTO_OFERTA_TOTAL_PRODUTO_PERIODO",SUMIFS(Oferta!$F:$F,Oferta!$A:$A,$A110,Oferta!$E:$E,$E110),$F110)</f>
        <v/>
      </c>
      <c r="J110" s="6" t="inlineStr">
        <is>
          <t>Informado</t>
        </is>
      </c>
      <c r="K110" s="6" t="inlineStr">
        <is>
          <t>Demanda doméstica fixa informada pelo usuário.</t>
        </is>
      </c>
    </row>
    <row r="111">
      <c r="A111" s="6" t="inlineStr">
        <is>
          <t>Milho</t>
        </is>
      </c>
      <c r="B111" s="6" t="inlineStr">
        <is>
          <t>Fortaleza - CE</t>
        </is>
      </c>
      <c r="C111" s="6" t="n">
        <v>-3.71664</v>
      </c>
      <c r="D111" s="6" t="n">
        <v>-38.5423</v>
      </c>
      <c r="E111" s="6" t="inlineStr">
        <is>
          <t>2021-02</t>
        </is>
      </c>
      <c r="F111" s="6" t="n">
        <v>67653.2590482635</v>
      </c>
      <c r="G111" s="6" t="inlineStr">
        <is>
          <t>DOMESTICA</t>
        </is>
      </c>
      <c r="H111" s="6" t="inlineStr">
        <is>
          <t>FIXO</t>
        </is>
      </c>
      <c r="I111" s="11">
        <f>IF($H111="AUTO_OFERTA_TOTAL_PRODUTO_PERIODO",SUMIFS(Oferta!$F:$F,Oferta!$A:$A,$A111,Oferta!$E:$E,$E111),$F111)</f>
        <v/>
      </c>
      <c r="J111" s="6" t="inlineStr">
        <is>
          <t>Informado</t>
        </is>
      </c>
      <c r="K111" s="6" t="inlineStr">
        <is>
          <t>Demanda doméstica fixa informada pelo usuário.</t>
        </is>
      </c>
    </row>
    <row r="112">
      <c r="A112" s="6" t="inlineStr">
        <is>
          <t>Milho</t>
        </is>
      </c>
      <c r="B112" s="6" t="inlineStr">
        <is>
          <t>Fortaleza - CE</t>
        </is>
      </c>
      <c r="C112" s="6" t="n">
        <v>-3.71664</v>
      </c>
      <c r="D112" s="6" t="n">
        <v>-38.5423</v>
      </c>
      <c r="E112" s="6" t="inlineStr">
        <is>
          <t>2021-03</t>
        </is>
      </c>
      <c r="F112" s="6" t="n">
        <v>67653.2590482635</v>
      </c>
      <c r="G112" s="6" t="inlineStr">
        <is>
          <t>DOMESTICA</t>
        </is>
      </c>
      <c r="H112" s="6" t="inlineStr">
        <is>
          <t>FIXO</t>
        </is>
      </c>
      <c r="I112" s="11">
        <f>IF($H112="AUTO_OFERTA_TOTAL_PRODUTO_PERIODO",SUMIFS(Oferta!$F:$F,Oferta!$A:$A,$A112,Oferta!$E:$E,$E112),$F112)</f>
        <v/>
      </c>
      <c r="J112" s="6" t="inlineStr">
        <is>
          <t>Informado</t>
        </is>
      </c>
      <c r="K112" s="6" t="inlineStr">
        <is>
          <t>Demanda doméstica fixa informada pelo usuário.</t>
        </is>
      </c>
    </row>
    <row r="113">
      <c r="A113" s="6" t="inlineStr">
        <is>
          <t>Milho</t>
        </is>
      </c>
      <c r="B113" s="6" t="inlineStr">
        <is>
          <t>Fortaleza - CE</t>
        </is>
      </c>
      <c r="C113" s="6" t="n">
        <v>-3.71664</v>
      </c>
      <c r="D113" s="6" t="n">
        <v>-38.5423</v>
      </c>
      <c r="E113" s="6" t="inlineStr">
        <is>
          <t>2021-04</t>
        </is>
      </c>
      <c r="F113" s="6" t="n">
        <v>67653.2590482635</v>
      </c>
      <c r="G113" s="6" t="inlineStr">
        <is>
          <t>DOMESTICA</t>
        </is>
      </c>
      <c r="H113" s="6" t="inlineStr">
        <is>
          <t>FIXO</t>
        </is>
      </c>
      <c r="I113" s="11">
        <f>IF($H113="AUTO_OFERTA_TOTAL_PRODUTO_PERIODO",SUMIFS(Oferta!$F:$F,Oferta!$A:$A,$A113,Oferta!$E:$E,$E113),$F113)</f>
        <v/>
      </c>
      <c r="J113" s="6" t="inlineStr">
        <is>
          <t>Informado</t>
        </is>
      </c>
      <c r="K113" s="6" t="inlineStr">
        <is>
          <t>Demanda doméstica fixa informada pelo usuário.</t>
        </is>
      </c>
    </row>
    <row r="114">
      <c r="A114" s="6" t="inlineStr">
        <is>
          <t>Milho</t>
        </is>
      </c>
      <c r="B114" s="6" t="inlineStr">
        <is>
          <t>Fortaleza - CE</t>
        </is>
      </c>
      <c r="C114" s="6" t="n">
        <v>-3.71664</v>
      </c>
      <c r="D114" s="6" t="n">
        <v>-38.5423</v>
      </c>
      <c r="E114" s="6" t="inlineStr">
        <is>
          <t>2021-05</t>
        </is>
      </c>
      <c r="F114" s="6" t="n">
        <v>67653.2590482635</v>
      </c>
      <c r="G114" s="6" t="inlineStr">
        <is>
          <t>DOMESTICA</t>
        </is>
      </c>
      <c r="H114" s="6" t="inlineStr">
        <is>
          <t>FIXO</t>
        </is>
      </c>
      <c r="I114" s="11">
        <f>IF($H114="AUTO_OFERTA_TOTAL_PRODUTO_PERIODO",SUMIFS(Oferta!$F:$F,Oferta!$A:$A,$A114,Oferta!$E:$E,$E114),$F114)</f>
        <v/>
      </c>
      <c r="J114" s="6" t="inlineStr">
        <is>
          <t>Informado</t>
        </is>
      </c>
      <c r="K114" s="6" t="inlineStr">
        <is>
          <t>Demanda doméstica fixa informada pelo usuário.</t>
        </is>
      </c>
    </row>
    <row r="115">
      <c r="A115" s="6" t="inlineStr">
        <is>
          <t>Milho</t>
        </is>
      </c>
      <c r="B115" s="6" t="inlineStr">
        <is>
          <t>Fortaleza - CE</t>
        </is>
      </c>
      <c r="C115" s="6" t="n">
        <v>-3.71664</v>
      </c>
      <c r="D115" s="6" t="n">
        <v>-38.5423</v>
      </c>
      <c r="E115" s="6" t="inlineStr">
        <is>
          <t>2021-06</t>
        </is>
      </c>
      <c r="F115" s="6" t="n">
        <v>88076.8844213241</v>
      </c>
      <c r="G115" s="6" t="inlineStr">
        <is>
          <t>DOMESTICA</t>
        </is>
      </c>
      <c r="H115" s="6" t="inlineStr">
        <is>
          <t>FIXO</t>
        </is>
      </c>
      <c r="I115" s="11">
        <f>IF($H115="AUTO_OFERTA_TOTAL_PRODUTO_PERIODO",SUMIFS(Oferta!$F:$F,Oferta!$A:$A,$A115,Oferta!$E:$E,$E115),$F115)</f>
        <v/>
      </c>
      <c r="J115" s="6" t="inlineStr">
        <is>
          <t>Informado</t>
        </is>
      </c>
      <c r="K115" s="6" t="inlineStr">
        <is>
          <t>Demanda doméstica fixa informada pelo usuário.</t>
        </is>
      </c>
    </row>
    <row r="116">
      <c r="A116" s="6" t="inlineStr">
        <is>
          <t>Milho</t>
        </is>
      </c>
      <c r="B116" s="6" t="inlineStr">
        <is>
          <t>Fortaleza - CE</t>
        </is>
      </c>
      <c r="C116" s="6" t="n">
        <v>-3.71664</v>
      </c>
      <c r="D116" s="6" t="n">
        <v>-38.5423</v>
      </c>
      <c r="E116" s="6" t="inlineStr">
        <is>
          <t>2021-07</t>
        </is>
      </c>
      <c r="F116" s="6" t="n">
        <v>108500.5097943848</v>
      </c>
      <c r="G116" s="6" t="inlineStr">
        <is>
          <t>DOMESTICA</t>
        </is>
      </c>
      <c r="H116" s="6" t="inlineStr">
        <is>
          <t>FIXO</t>
        </is>
      </c>
      <c r="I116" s="11">
        <f>IF($H116="AUTO_OFERTA_TOTAL_PRODUTO_PERIODO",SUMIFS(Oferta!$F:$F,Oferta!$A:$A,$A116,Oferta!$E:$E,$E116),$F116)</f>
        <v/>
      </c>
      <c r="J116" s="6" t="inlineStr">
        <is>
          <t>Informado</t>
        </is>
      </c>
      <c r="K116" s="6" t="inlineStr">
        <is>
          <t>Demanda doméstica fixa informada pelo usuário.</t>
        </is>
      </c>
    </row>
    <row r="117">
      <c r="A117" s="6" t="inlineStr">
        <is>
          <t>Milho</t>
        </is>
      </c>
      <c r="B117" s="6" t="inlineStr">
        <is>
          <t>Fortaleza - CE</t>
        </is>
      </c>
      <c r="C117" s="6" t="n">
        <v>-3.71664</v>
      </c>
      <c r="D117" s="6" t="n">
        <v>-38.5423</v>
      </c>
      <c r="E117" s="6" t="inlineStr">
        <is>
          <t>2021-08</t>
        </is>
      </c>
      <c r="F117" s="6" t="n">
        <v>169771.3859135668</v>
      </c>
      <c r="G117" s="6" t="inlineStr">
        <is>
          <t>DOMESTICA</t>
        </is>
      </c>
      <c r="H117" s="6" t="inlineStr">
        <is>
          <t>FIXO</t>
        </is>
      </c>
      <c r="I117" s="11">
        <f>IF($H117="AUTO_OFERTA_TOTAL_PRODUTO_PERIODO",SUMIFS(Oferta!$F:$F,Oferta!$A:$A,$A117,Oferta!$E:$E,$E117),$F117)</f>
        <v/>
      </c>
      <c r="J117" s="6" t="inlineStr">
        <is>
          <t>Informado</t>
        </is>
      </c>
      <c r="K117" s="6" t="inlineStr">
        <is>
          <t>Demanda doméstica fixa informada pelo usuário.</t>
        </is>
      </c>
    </row>
    <row r="118">
      <c r="A118" s="6" t="inlineStr">
        <is>
          <t>Milho</t>
        </is>
      </c>
      <c r="B118" s="6" t="inlineStr">
        <is>
          <t>Fortaleza - CE</t>
        </is>
      </c>
      <c r="C118" s="6" t="n">
        <v>-3.71664</v>
      </c>
      <c r="D118" s="6" t="n">
        <v>-38.5423</v>
      </c>
      <c r="E118" s="6" t="inlineStr">
        <is>
          <t>2021-09</t>
        </is>
      </c>
      <c r="F118" s="6" t="n">
        <v>169771.3859135668</v>
      </c>
      <c r="G118" s="6" t="inlineStr">
        <is>
          <t>DOMESTICA</t>
        </is>
      </c>
      <c r="H118" s="6" t="inlineStr">
        <is>
          <t>FIXO</t>
        </is>
      </c>
      <c r="I118" s="11">
        <f>IF($H118="AUTO_OFERTA_TOTAL_PRODUTO_PERIODO",SUMIFS(Oferta!$F:$F,Oferta!$A:$A,$A118,Oferta!$E:$E,$E118),$F118)</f>
        <v/>
      </c>
      <c r="J118" s="6" t="inlineStr">
        <is>
          <t>Informado</t>
        </is>
      </c>
      <c r="K118" s="6" t="inlineStr">
        <is>
          <t>Demanda doméstica fixa informada pelo usuário.</t>
        </is>
      </c>
    </row>
    <row r="119">
      <c r="A119" s="6" t="inlineStr">
        <is>
          <t>Milho</t>
        </is>
      </c>
      <c r="B119" s="6" t="inlineStr">
        <is>
          <t>Fortaleza - CE</t>
        </is>
      </c>
      <c r="C119" s="6" t="n">
        <v>-3.71664</v>
      </c>
      <c r="D119" s="6" t="n">
        <v>-38.5423</v>
      </c>
      <c r="E119" s="6" t="inlineStr">
        <is>
          <t>2021-10</t>
        </is>
      </c>
      <c r="F119" s="6" t="n">
        <v>159559.5732270365</v>
      </c>
      <c r="G119" s="6" t="inlineStr">
        <is>
          <t>DOMESTICA</t>
        </is>
      </c>
      <c r="H119" s="6" t="inlineStr">
        <is>
          <t>FIXO</t>
        </is>
      </c>
      <c r="I119" s="11">
        <f>IF($H119="AUTO_OFERTA_TOTAL_PRODUTO_PERIODO",SUMIFS(Oferta!$F:$F,Oferta!$A:$A,$A119,Oferta!$E:$E,$E119),$F119)</f>
        <v/>
      </c>
      <c r="J119" s="6" t="inlineStr">
        <is>
          <t>Informado</t>
        </is>
      </c>
      <c r="K119" s="6" t="inlineStr">
        <is>
          <t>Demanda doméstica fixa informada pelo usuário.</t>
        </is>
      </c>
    </row>
    <row r="120">
      <c r="A120" s="6" t="inlineStr">
        <is>
          <t>Milho</t>
        </is>
      </c>
      <c r="B120" s="6" t="inlineStr">
        <is>
          <t>Fortaleza - CE</t>
        </is>
      </c>
      <c r="C120" s="6" t="n">
        <v>-3.71664</v>
      </c>
      <c r="D120" s="6" t="n">
        <v>-38.5423</v>
      </c>
      <c r="E120" s="6" t="inlineStr">
        <is>
          <t>2021-11</t>
        </is>
      </c>
      <c r="F120" s="6" t="n">
        <v>98288.6971078544</v>
      </c>
      <c r="G120" s="6" t="inlineStr">
        <is>
          <t>DOMESTICA</t>
        </is>
      </c>
      <c r="H120" s="6" t="inlineStr">
        <is>
          <t>FIXO</t>
        </is>
      </c>
      <c r="I120" s="11">
        <f>IF($H120="AUTO_OFERTA_TOTAL_PRODUTO_PERIODO",SUMIFS(Oferta!$F:$F,Oferta!$A:$A,$A120,Oferta!$E:$E,$E120),$F120)</f>
        <v/>
      </c>
      <c r="J120" s="6" t="inlineStr">
        <is>
          <t>Informado</t>
        </is>
      </c>
      <c r="K120" s="6" t="inlineStr">
        <is>
          <t>Demanda doméstica fixa informada pelo usuário.</t>
        </is>
      </c>
    </row>
    <row r="121">
      <c r="A121" s="6" t="inlineStr">
        <is>
          <t>Milho</t>
        </is>
      </c>
      <c r="B121" s="6" t="inlineStr">
        <is>
          <t>Fortaleza - CE</t>
        </is>
      </c>
      <c r="C121" s="6" t="n">
        <v>-3.71664</v>
      </c>
      <c r="D121" s="6" t="n">
        <v>-38.5423</v>
      </c>
      <c r="E121" s="6" t="inlineStr">
        <is>
          <t>2021-12</t>
        </is>
      </c>
      <c r="F121" s="6" t="n">
        <v>77865.0717347938</v>
      </c>
      <c r="G121" s="6" t="inlineStr">
        <is>
          <t>DOMESTICA</t>
        </is>
      </c>
      <c r="H121" s="6" t="inlineStr">
        <is>
          <t>FIXO</t>
        </is>
      </c>
      <c r="I121" s="11">
        <f>IF($H121="AUTO_OFERTA_TOTAL_PRODUTO_PERIODO",SUMIFS(Oferta!$F:$F,Oferta!$A:$A,$A121,Oferta!$E:$E,$E121),$F121)</f>
        <v/>
      </c>
      <c r="J121" s="6" t="inlineStr">
        <is>
          <t>Informado</t>
        </is>
      </c>
      <c r="K121" s="6" t="inlineStr">
        <is>
          <t>Demanda doméstica fixa informada pelo usuário.</t>
        </is>
      </c>
    </row>
    <row r="122">
      <c r="A122" s="6" t="inlineStr">
        <is>
          <t>Milho</t>
        </is>
      </c>
      <c r="B122" s="6" t="inlineStr">
        <is>
          <t>São Luís - MA</t>
        </is>
      </c>
      <c r="C122" s="6" t="n">
        <v>-2.53874</v>
      </c>
      <c r="D122" s="6" t="n">
        <v>-44.2825</v>
      </c>
      <c r="E122" s="6" t="inlineStr">
        <is>
          <t>2021-01</t>
        </is>
      </c>
      <c r="F122" s="6" t="n">
        <v>45409.8951208176</v>
      </c>
      <c r="G122" s="6" t="inlineStr">
        <is>
          <t>DOMESTICA</t>
        </is>
      </c>
      <c r="H122" s="6" t="inlineStr">
        <is>
          <t>FIXO</t>
        </is>
      </c>
      <c r="I122" s="11">
        <f>IF($H122="AUTO_OFERTA_TOTAL_PRODUTO_PERIODO",SUMIFS(Oferta!$F:$F,Oferta!$A:$A,$A122,Oferta!$E:$E,$E122),$F122)</f>
        <v/>
      </c>
      <c r="J122" s="6" t="inlineStr">
        <is>
          <t>Informado</t>
        </is>
      </c>
      <c r="K122" s="6" t="inlineStr">
        <is>
          <t>Demanda doméstica fixa informada pelo usuário.</t>
        </is>
      </c>
    </row>
    <row r="123">
      <c r="A123" s="6" t="inlineStr">
        <is>
          <t>Milho</t>
        </is>
      </c>
      <c r="B123" s="6" t="inlineStr">
        <is>
          <t>São Luís - MA</t>
        </is>
      </c>
      <c r="C123" s="6" t="n">
        <v>-2.53874</v>
      </c>
      <c r="D123" s="6" t="n">
        <v>-44.2825</v>
      </c>
      <c r="E123" s="6" t="inlineStr">
        <is>
          <t>2021-02</t>
        </is>
      </c>
      <c r="F123" s="6" t="n">
        <v>45409.8951208176</v>
      </c>
      <c r="G123" s="6" t="inlineStr">
        <is>
          <t>DOMESTICA</t>
        </is>
      </c>
      <c r="H123" s="6" t="inlineStr">
        <is>
          <t>FIXO</t>
        </is>
      </c>
      <c r="I123" s="11">
        <f>IF($H123="AUTO_OFERTA_TOTAL_PRODUTO_PERIODO",SUMIFS(Oferta!$F:$F,Oferta!$A:$A,$A123,Oferta!$E:$E,$E123),$F123)</f>
        <v/>
      </c>
      <c r="J123" s="6" t="inlineStr">
        <is>
          <t>Informado</t>
        </is>
      </c>
      <c r="K123" s="6" t="inlineStr">
        <is>
          <t>Demanda doméstica fixa informada pelo usuário.</t>
        </is>
      </c>
    </row>
    <row r="124">
      <c r="A124" s="6" t="inlineStr">
        <is>
          <t>Milho</t>
        </is>
      </c>
      <c r="B124" s="6" t="inlineStr">
        <is>
          <t>São Luís - MA</t>
        </is>
      </c>
      <c r="C124" s="6" t="n">
        <v>-2.53874</v>
      </c>
      <c r="D124" s="6" t="n">
        <v>-44.2825</v>
      </c>
      <c r="E124" s="6" t="inlineStr">
        <is>
          <t>2021-03</t>
        </is>
      </c>
      <c r="F124" s="6" t="n">
        <v>52264.2189126391</v>
      </c>
      <c r="G124" s="6" t="inlineStr">
        <is>
          <t>DOMESTICA</t>
        </is>
      </c>
      <c r="H124" s="6" t="inlineStr">
        <is>
          <t>FIXO</t>
        </is>
      </c>
      <c r="I124" s="11">
        <f>IF($H124="AUTO_OFERTA_TOTAL_PRODUTO_PERIODO",SUMIFS(Oferta!$F:$F,Oferta!$A:$A,$A124,Oferta!$E:$E,$E124),$F124)</f>
        <v/>
      </c>
      <c r="J124" s="6" t="inlineStr">
        <is>
          <t>Informado</t>
        </is>
      </c>
      <c r="K124" s="6" t="inlineStr">
        <is>
          <t>Demanda doméstica fixa informada pelo usuário.</t>
        </is>
      </c>
    </row>
    <row r="125">
      <c r="A125" s="6" t="inlineStr">
        <is>
          <t>Milho</t>
        </is>
      </c>
      <c r="B125" s="6" t="inlineStr">
        <is>
          <t>São Luís - MA</t>
        </is>
      </c>
      <c r="C125" s="6" t="n">
        <v>-2.53874</v>
      </c>
      <c r="D125" s="6" t="n">
        <v>-44.2825</v>
      </c>
      <c r="E125" s="6" t="inlineStr">
        <is>
          <t>2021-04</t>
        </is>
      </c>
      <c r="F125" s="6" t="n">
        <v>65972.86649628211</v>
      </c>
      <c r="G125" s="6" t="inlineStr">
        <is>
          <t>DOMESTICA</t>
        </is>
      </c>
      <c r="H125" s="6" t="inlineStr">
        <is>
          <t>FIXO</t>
        </is>
      </c>
      <c r="I125" s="11">
        <f>IF($H125="AUTO_OFERTA_TOTAL_PRODUTO_PERIODO",SUMIFS(Oferta!$F:$F,Oferta!$A:$A,$A125,Oferta!$E:$E,$E125),$F125)</f>
        <v/>
      </c>
      <c r="J125" s="6" t="inlineStr">
        <is>
          <t>Informado</t>
        </is>
      </c>
      <c r="K125" s="6" t="inlineStr">
        <is>
          <t>Demanda doméstica fixa informada pelo usuário.</t>
        </is>
      </c>
    </row>
    <row r="126">
      <c r="A126" s="6" t="inlineStr">
        <is>
          <t>Milho</t>
        </is>
      </c>
      <c r="B126" s="6" t="inlineStr">
        <is>
          <t>São Luís - MA</t>
        </is>
      </c>
      <c r="C126" s="6" t="n">
        <v>-2.53874</v>
      </c>
      <c r="D126" s="6" t="n">
        <v>-44.2825</v>
      </c>
      <c r="E126" s="6" t="inlineStr">
        <is>
          <t>2021-05</t>
        </is>
      </c>
      <c r="F126" s="6" t="n">
        <v>107098.8092472113</v>
      </c>
      <c r="G126" s="6" t="inlineStr">
        <is>
          <t>DOMESTICA</t>
        </is>
      </c>
      <c r="H126" s="6" t="inlineStr">
        <is>
          <t>FIXO</t>
        </is>
      </c>
      <c r="I126" s="11">
        <f>IF($H126="AUTO_OFERTA_TOTAL_PRODUTO_PERIODO",SUMIFS(Oferta!$F:$F,Oferta!$A:$A,$A126,Oferta!$E:$E,$E126),$F126)</f>
        <v/>
      </c>
      <c r="J126" s="6" t="inlineStr">
        <is>
          <t>Informado</t>
        </is>
      </c>
      <c r="K126" s="6" t="inlineStr">
        <is>
          <t>Demanda doméstica fixa informada pelo usuário.</t>
        </is>
      </c>
    </row>
    <row r="127">
      <c r="A127" s="6" t="inlineStr">
        <is>
          <t>Milho</t>
        </is>
      </c>
      <c r="B127" s="6" t="inlineStr">
        <is>
          <t>São Luís - MA</t>
        </is>
      </c>
      <c r="C127" s="6" t="n">
        <v>-2.53874</v>
      </c>
      <c r="D127" s="6" t="n">
        <v>-44.2825</v>
      </c>
      <c r="E127" s="6" t="inlineStr">
        <is>
          <t>2021-06</t>
        </is>
      </c>
      <c r="F127" s="6" t="n">
        <v>127661.7806226758</v>
      </c>
      <c r="G127" s="6" t="inlineStr">
        <is>
          <t>DOMESTICA</t>
        </is>
      </c>
      <c r="H127" s="6" t="inlineStr">
        <is>
          <t>FIXO</t>
        </is>
      </c>
      <c r="I127" s="11">
        <f>IF($H127="AUTO_OFERTA_TOTAL_PRODUTO_PERIODO",SUMIFS(Oferta!$F:$F,Oferta!$A:$A,$A127,Oferta!$E:$E,$E127),$F127)</f>
        <v/>
      </c>
      <c r="J127" s="6" t="inlineStr">
        <is>
          <t>Informado</t>
        </is>
      </c>
      <c r="K127" s="6" t="inlineStr">
        <is>
          <t>Demanda doméstica fixa informada pelo usuário.</t>
        </is>
      </c>
    </row>
    <row r="128">
      <c r="A128" s="6" t="inlineStr">
        <is>
          <t>Milho</t>
        </is>
      </c>
      <c r="B128" s="6" t="inlineStr">
        <is>
          <t>São Luís - MA</t>
        </is>
      </c>
      <c r="C128" s="6" t="n">
        <v>-2.53874</v>
      </c>
      <c r="D128" s="6" t="n">
        <v>-44.2825</v>
      </c>
      <c r="E128" s="6" t="inlineStr">
        <is>
          <t>2021-07</t>
        </is>
      </c>
      <c r="F128" s="6" t="n">
        <v>155079.0757899619</v>
      </c>
      <c r="G128" s="6" t="inlineStr">
        <is>
          <t>DOMESTICA</t>
        </is>
      </c>
      <c r="H128" s="6" t="inlineStr">
        <is>
          <t>FIXO</t>
        </is>
      </c>
      <c r="I128" s="11">
        <f>IF($H128="AUTO_OFERTA_TOTAL_PRODUTO_PERIODO",SUMIFS(Oferta!$F:$F,Oferta!$A:$A,$A128,Oferta!$E:$E,$E128),$F128)</f>
        <v/>
      </c>
      <c r="J128" s="6" t="inlineStr">
        <is>
          <t>Informado</t>
        </is>
      </c>
      <c r="K128" s="6" t="inlineStr">
        <is>
          <t>Demanda doméstica fixa informada pelo usuário.</t>
        </is>
      </c>
    </row>
    <row r="129">
      <c r="A129" s="6" t="inlineStr">
        <is>
          <t>Milho</t>
        </is>
      </c>
      <c r="B129" s="6" t="inlineStr">
        <is>
          <t>São Luís - MA</t>
        </is>
      </c>
      <c r="C129" s="6" t="n">
        <v>-2.53874</v>
      </c>
      <c r="D129" s="6" t="n">
        <v>-44.2825</v>
      </c>
      <c r="E129" s="6" t="inlineStr">
        <is>
          <t>2021-08</t>
        </is>
      </c>
      <c r="F129" s="6" t="n">
        <v>141370.4282063188</v>
      </c>
      <c r="G129" s="6" t="inlineStr">
        <is>
          <t>DOMESTICA</t>
        </is>
      </c>
      <c r="H129" s="6" t="inlineStr">
        <is>
          <t>FIXO</t>
        </is>
      </c>
      <c r="I129" s="11">
        <f>IF($H129="AUTO_OFERTA_TOTAL_PRODUTO_PERIODO",SUMIFS(Oferta!$F:$F,Oferta!$A:$A,$A129,Oferta!$E:$E,$E129),$F129)</f>
        <v/>
      </c>
      <c r="J129" s="6" t="inlineStr">
        <is>
          <t>Informado</t>
        </is>
      </c>
      <c r="K129" s="6" t="inlineStr">
        <is>
          <t>Demanda doméstica fixa informada pelo usuário.</t>
        </is>
      </c>
    </row>
    <row r="130">
      <c r="A130" s="6" t="inlineStr">
        <is>
          <t>Milho</t>
        </is>
      </c>
      <c r="B130" s="6" t="inlineStr">
        <is>
          <t>São Luís - MA</t>
        </is>
      </c>
      <c r="C130" s="6" t="n">
        <v>-2.53874</v>
      </c>
      <c r="D130" s="6" t="n">
        <v>-44.2825</v>
      </c>
      <c r="E130" s="6" t="inlineStr">
        <is>
          <t>2021-09</t>
        </is>
      </c>
      <c r="F130" s="6" t="n">
        <v>127661.7806226758</v>
      </c>
      <c r="G130" s="6" t="inlineStr">
        <is>
          <t>DOMESTICA</t>
        </is>
      </c>
      <c r="H130" s="6" t="inlineStr">
        <is>
          <t>FIXO</t>
        </is>
      </c>
      <c r="I130" s="11">
        <f>IF($H130="AUTO_OFERTA_TOTAL_PRODUTO_PERIODO",SUMIFS(Oferta!$F:$F,Oferta!$A:$A,$A130,Oferta!$E:$E,$E130),$F130)</f>
        <v/>
      </c>
      <c r="J130" s="6" t="inlineStr">
        <is>
          <t>Informado</t>
        </is>
      </c>
      <c r="K130" s="6" t="inlineStr">
        <is>
          <t>Demanda doméstica fixa informada pelo usuário.</t>
        </is>
      </c>
    </row>
    <row r="131">
      <c r="A131" s="6" t="inlineStr">
        <is>
          <t>Milho</t>
        </is>
      </c>
      <c r="B131" s="6" t="inlineStr">
        <is>
          <t>São Luís - MA</t>
        </is>
      </c>
      <c r="C131" s="6" t="n">
        <v>-2.53874</v>
      </c>
      <c r="D131" s="6" t="n">
        <v>-44.2825</v>
      </c>
      <c r="E131" s="6" t="inlineStr">
        <is>
          <t>2021-10</t>
        </is>
      </c>
      <c r="F131" s="6" t="n">
        <v>86535.8378717467</v>
      </c>
      <c r="G131" s="6" t="inlineStr">
        <is>
          <t>DOMESTICA</t>
        </is>
      </c>
      <c r="H131" s="6" t="inlineStr">
        <is>
          <t>FIXO</t>
        </is>
      </c>
      <c r="I131" s="11">
        <f>IF($H131="AUTO_OFERTA_TOTAL_PRODUTO_PERIODO",SUMIFS(Oferta!$F:$F,Oferta!$A:$A,$A131,Oferta!$E:$E,$E131),$F131)</f>
        <v/>
      </c>
      <c r="J131" s="6" t="inlineStr">
        <is>
          <t>Informado</t>
        </is>
      </c>
      <c r="K131" s="6" t="inlineStr">
        <is>
          <t>Demanda doméstica fixa informada pelo usuário.</t>
        </is>
      </c>
    </row>
    <row r="132">
      <c r="A132" s="6" t="inlineStr">
        <is>
          <t>Milho</t>
        </is>
      </c>
      <c r="B132" s="6" t="inlineStr">
        <is>
          <t>São Luís - MA</t>
        </is>
      </c>
      <c r="C132" s="6" t="n">
        <v>-2.53874</v>
      </c>
      <c r="D132" s="6" t="n">
        <v>-44.2825</v>
      </c>
      <c r="E132" s="6" t="inlineStr">
        <is>
          <t>2021-11</t>
        </is>
      </c>
      <c r="F132" s="6" t="n">
        <v>59118.5427044606</v>
      </c>
      <c r="G132" s="6" t="inlineStr">
        <is>
          <t>DOMESTICA</t>
        </is>
      </c>
      <c r="H132" s="6" t="inlineStr">
        <is>
          <t>FIXO</t>
        </is>
      </c>
      <c r="I132" s="11">
        <f>IF($H132="AUTO_OFERTA_TOTAL_PRODUTO_PERIODO",SUMIFS(Oferta!$F:$F,Oferta!$A:$A,$A132,Oferta!$E:$E,$E132),$F132)</f>
        <v/>
      </c>
      <c r="J132" s="6" t="inlineStr">
        <is>
          <t>Informado</t>
        </is>
      </c>
      <c r="K132" s="6" t="inlineStr">
        <is>
          <t>Demanda doméstica fixa informada pelo usuário.</t>
        </is>
      </c>
    </row>
    <row r="133">
      <c r="A133" s="6" t="inlineStr">
        <is>
          <t>Milho</t>
        </is>
      </c>
      <c r="B133" s="6" t="inlineStr">
        <is>
          <t>São Luís - MA</t>
        </is>
      </c>
      <c r="C133" s="6" t="n">
        <v>-2.53874</v>
      </c>
      <c r="D133" s="6" t="n">
        <v>-44.2825</v>
      </c>
      <c r="E133" s="6" t="inlineStr">
        <is>
          <t>2021-12</t>
        </is>
      </c>
      <c r="F133" s="6" t="n">
        <v>45409.8951208176</v>
      </c>
      <c r="G133" s="6" t="inlineStr">
        <is>
          <t>DOMESTICA</t>
        </is>
      </c>
      <c r="H133" s="6" t="inlineStr">
        <is>
          <t>FIXO</t>
        </is>
      </c>
      <c r="I133" s="11">
        <f>IF($H133="AUTO_OFERTA_TOTAL_PRODUTO_PERIODO",SUMIFS(Oferta!$F:$F,Oferta!$A:$A,$A133,Oferta!$E:$E,$E133),$F133)</f>
        <v/>
      </c>
      <c r="J133" s="6" t="inlineStr">
        <is>
          <t>Informado</t>
        </is>
      </c>
      <c r="K133" s="6" t="inlineStr">
        <is>
          <t>Demanda doméstica fixa informada pelo usuário.</t>
        </is>
      </c>
    </row>
    <row r="134">
      <c r="A134" s="6" t="inlineStr">
        <is>
          <t>Milho</t>
        </is>
      </c>
      <c r="B134" s="6" t="inlineStr">
        <is>
          <t>João Pessoa - PB</t>
        </is>
      </c>
      <c r="C134" s="6" t="n">
        <v>-7.11509</v>
      </c>
      <c r="D134" s="6" t="n">
        <v>-34.8641</v>
      </c>
      <c r="E134" s="6" t="inlineStr">
        <is>
          <t>2021-01</t>
        </is>
      </c>
      <c r="F134" s="6" t="n">
        <v>38059.8776486741</v>
      </c>
      <c r="G134" s="6" t="inlineStr">
        <is>
          <t>DOMESTICA</t>
        </is>
      </c>
      <c r="H134" s="6" t="inlineStr">
        <is>
          <t>FIXO</t>
        </is>
      </c>
      <c r="I134" s="11">
        <f>IF($H134="AUTO_OFERTA_TOTAL_PRODUTO_PERIODO",SUMIFS(Oferta!$F:$F,Oferta!$A:$A,$A134,Oferta!$E:$E,$E134),$F134)</f>
        <v/>
      </c>
      <c r="J134" s="6" t="inlineStr">
        <is>
          <t>Informado</t>
        </is>
      </c>
      <c r="K134" s="6" t="inlineStr">
        <is>
          <t>Demanda doméstica fixa informada pelo usuário.</t>
        </is>
      </c>
    </row>
    <row r="135">
      <c r="A135" s="6" t="inlineStr">
        <is>
          <t>Milho</t>
        </is>
      </c>
      <c r="B135" s="6" t="inlineStr">
        <is>
          <t>João Pessoa - PB</t>
        </is>
      </c>
      <c r="C135" s="6" t="n">
        <v>-7.11509</v>
      </c>
      <c r="D135" s="6" t="n">
        <v>-34.8641</v>
      </c>
      <c r="E135" s="6" t="inlineStr">
        <is>
          <t>2021-02</t>
        </is>
      </c>
      <c r="F135" s="6" t="n">
        <v>30151.3316437548</v>
      </c>
      <c r="G135" s="6" t="inlineStr">
        <is>
          <t>DOMESTICA</t>
        </is>
      </c>
      <c r="H135" s="6" t="inlineStr">
        <is>
          <t>FIXO</t>
        </is>
      </c>
      <c r="I135" s="11">
        <f>IF($H135="AUTO_OFERTA_TOTAL_PRODUTO_PERIODO",SUMIFS(Oferta!$F:$F,Oferta!$A:$A,$A135,Oferta!$E:$E,$E135),$F135)</f>
        <v/>
      </c>
      <c r="J135" s="6" t="inlineStr">
        <is>
          <t>Informado</t>
        </is>
      </c>
      <c r="K135" s="6" t="inlineStr">
        <is>
          <t>Demanda doméstica fixa informada pelo usuário.</t>
        </is>
      </c>
    </row>
    <row r="136">
      <c r="A136" s="6" t="inlineStr">
        <is>
          <t>Milho</t>
        </is>
      </c>
      <c r="B136" s="6" t="inlineStr">
        <is>
          <t>João Pessoa - PB</t>
        </is>
      </c>
      <c r="C136" s="6" t="n">
        <v>-7.11509</v>
      </c>
      <c r="D136" s="6" t="n">
        <v>-34.8641</v>
      </c>
      <c r="E136" s="6" t="inlineStr">
        <is>
          <t>2021-03</t>
        </is>
      </c>
      <c r="F136" s="6" t="n">
        <v>26197.0586412952</v>
      </c>
      <c r="G136" s="6" t="inlineStr">
        <is>
          <t>DOMESTICA</t>
        </is>
      </c>
      <c r="H136" s="6" t="inlineStr">
        <is>
          <t>FIXO</t>
        </is>
      </c>
      <c r="I136" s="11">
        <f>IF($H136="AUTO_OFERTA_TOTAL_PRODUTO_PERIODO",SUMIFS(Oferta!$F:$F,Oferta!$A:$A,$A136,Oferta!$E:$E,$E136),$F136)</f>
        <v/>
      </c>
      <c r="J136" s="6" t="inlineStr">
        <is>
          <t>Informado</t>
        </is>
      </c>
      <c r="K136" s="6" t="inlineStr">
        <is>
          <t>Demanda doméstica fixa informada pelo usuário.</t>
        </is>
      </c>
    </row>
    <row r="137">
      <c r="A137" s="6" t="inlineStr">
        <is>
          <t>Milho</t>
        </is>
      </c>
      <c r="B137" s="6" t="inlineStr">
        <is>
          <t>João Pessoa - PB</t>
        </is>
      </c>
      <c r="C137" s="6" t="n">
        <v>-7.11509</v>
      </c>
      <c r="D137" s="6" t="n">
        <v>-34.8641</v>
      </c>
      <c r="E137" s="6" t="inlineStr">
        <is>
          <t>2021-04</t>
        </is>
      </c>
      <c r="F137" s="6" t="n">
        <v>26197.0586412952</v>
      </c>
      <c r="G137" s="6" t="inlineStr">
        <is>
          <t>DOMESTICA</t>
        </is>
      </c>
      <c r="H137" s="6" t="inlineStr">
        <is>
          <t>FIXO</t>
        </is>
      </c>
      <c r="I137" s="11">
        <f>IF($H137="AUTO_OFERTA_TOTAL_PRODUTO_PERIODO",SUMIFS(Oferta!$F:$F,Oferta!$A:$A,$A137,Oferta!$E:$E,$E137),$F137)</f>
        <v/>
      </c>
      <c r="J137" s="6" t="inlineStr">
        <is>
          <t>Informado</t>
        </is>
      </c>
      <c r="K137" s="6" t="inlineStr">
        <is>
          <t>Demanda doméstica fixa informada pelo usuário.</t>
        </is>
      </c>
    </row>
    <row r="138">
      <c r="A138" s="6" t="inlineStr">
        <is>
          <t>Milho</t>
        </is>
      </c>
      <c r="B138" s="6" t="inlineStr">
        <is>
          <t>João Pessoa - PB</t>
        </is>
      </c>
      <c r="C138" s="6" t="n">
        <v>-7.11509</v>
      </c>
      <c r="D138" s="6" t="n">
        <v>-34.8641</v>
      </c>
      <c r="E138" s="6" t="inlineStr">
        <is>
          <t>2021-05</t>
        </is>
      </c>
      <c r="F138" s="6" t="n">
        <v>26197.0586412952</v>
      </c>
      <c r="G138" s="6" t="inlineStr">
        <is>
          <t>DOMESTICA</t>
        </is>
      </c>
      <c r="H138" s="6" t="inlineStr">
        <is>
          <t>FIXO</t>
        </is>
      </c>
      <c r="I138" s="11">
        <f>IF($H138="AUTO_OFERTA_TOTAL_PRODUTO_PERIODO",SUMIFS(Oferta!$F:$F,Oferta!$A:$A,$A138,Oferta!$E:$E,$E138),$F138)</f>
        <v/>
      </c>
      <c r="J138" s="6" t="inlineStr">
        <is>
          <t>Informado</t>
        </is>
      </c>
      <c r="K138" s="6" t="inlineStr">
        <is>
          <t>Demanda doméstica fixa informada pelo usuário.</t>
        </is>
      </c>
    </row>
    <row r="139">
      <c r="A139" s="6" t="inlineStr">
        <is>
          <t>Milho</t>
        </is>
      </c>
      <c r="B139" s="6" t="inlineStr">
        <is>
          <t>João Pessoa - PB</t>
        </is>
      </c>
      <c r="C139" s="6" t="n">
        <v>-7.11509</v>
      </c>
      <c r="D139" s="6" t="n">
        <v>-34.8641</v>
      </c>
      <c r="E139" s="6" t="inlineStr">
        <is>
          <t>2021-06</t>
        </is>
      </c>
      <c r="F139" s="6" t="n">
        <v>34105.6046462145</v>
      </c>
      <c r="G139" s="6" t="inlineStr">
        <is>
          <t>DOMESTICA</t>
        </is>
      </c>
      <c r="H139" s="6" t="inlineStr">
        <is>
          <t>FIXO</t>
        </is>
      </c>
      <c r="I139" s="11">
        <f>IF($H139="AUTO_OFERTA_TOTAL_PRODUTO_PERIODO",SUMIFS(Oferta!$F:$F,Oferta!$A:$A,$A139,Oferta!$E:$E,$E139),$F139)</f>
        <v/>
      </c>
      <c r="J139" s="6" t="inlineStr">
        <is>
          <t>Informado</t>
        </is>
      </c>
      <c r="K139" s="6" t="inlineStr">
        <is>
          <t>Demanda doméstica fixa informada pelo usuário.</t>
        </is>
      </c>
    </row>
    <row r="140">
      <c r="A140" s="6" t="inlineStr">
        <is>
          <t>Milho</t>
        </is>
      </c>
      <c r="B140" s="6" t="inlineStr">
        <is>
          <t>João Pessoa - PB</t>
        </is>
      </c>
      <c r="C140" s="6" t="n">
        <v>-7.11509</v>
      </c>
      <c r="D140" s="6" t="n">
        <v>-34.8641</v>
      </c>
      <c r="E140" s="6" t="inlineStr">
        <is>
          <t>2021-07</t>
        </is>
      </c>
      <c r="F140" s="6" t="n">
        <v>42014.1506511338</v>
      </c>
      <c r="G140" s="6" t="inlineStr">
        <is>
          <t>DOMESTICA</t>
        </is>
      </c>
      <c r="H140" s="6" t="inlineStr">
        <is>
          <t>FIXO</t>
        </is>
      </c>
      <c r="I140" s="11">
        <f>IF($H140="AUTO_OFERTA_TOTAL_PRODUTO_PERIODO",SUMIFS(Oferta!$F:$F,Oferta!$A:$A,$A140,Oferta!$E:$E,$E140),$F140)</f>
        <v/>
      </c>
      <c r="J140" s="6" t="inlineStr">
        <is>
          <t>Informado</t>
        </is>
      </c>
      <c r="K140" s="6" t="inlineStr">
        <is>
          <t>Demanda doméstica fixa informada pelo usuário.</t>
        </is>
      </c>
    </row>
    <row r="141">
      <c r="A141" s="6" t="inlineStr">
        <is>
          <t>Milho</t>
        </is>
      </c>
      <c r="B141" s="6" t="inlineStr">
        <is>
          <t>João Pessoa - PB</t>
        </is>
      </c>
      <c r="C141" s="6" t="n">
        <v>-7.11509</v>
      </c>
      <c r="D141" s="6" t="n">
        <v>-34.8641</v>
      </c>
      <c r="E141" s="6" t="inlineStr">
        <is>
          <t>2021-08</t>
        </is>
      </c>
      <c r="F141" s="6" t="n">
        <v>57831.2426609724</v>
      </c>
      <c r="G141" s="6" t="inlineStr">
        <is>
          <t>DOMESTICA</t>
        </is>
      </c>
      <c r="H141" s="6" t="inlineStr">
        <is>
          <t>FIXO</t>
        </is>
      </c>
      <c r="I141" s="11">
        <f>IF($H141="AUTO_OFERTA_TOTAL_PRODUTO_PERIODO",SUMIFS(Oferta!$F:$F,Oferta!$A:$A,$A141,Oferta!$E:$E,$E141),$F141)</f>
        <v/>
      </c>
      <c r="J141" s="6" t="inlineStr">
        <is>
          <t>Informado</t>
        </is>
      </c>
      <c r="K141" s="6" t="inlineStr">
        <is>
          <t>Demanda doméstica fixa informada pelo usuário.</t>
        </is>
      </c>
    </row>
    <row r="142">
      <c r="A142" s="6" t="inlineStr">
        <is>
          <t>Milho</t>
        </is>
      </c>
      <c r="B142" s="6" t="inlineStr">
        <is>
          <t>João Pessoa - PB</t>
        </is>
      </c>
      <c r="C142" s="6" t="n">
        <v>-7.11509</v>
      </c>
      <c r="D142" s="6" t="n">
        <v>-34.8641</v>
      </c>
      <c r="E142" s="6" t="inlineStr">
        <is>
          <t>2021-09</t>
        </is>
      </c>
      <c r="F142" s="6" t="n">
        <v>65739.7886658917</v>
      </c>
      <c r="G142" s="6" t="inlineStr">
        <is>
          <t>DOMESTICA</t>
        </is>
      </c>
      <c r="H142" s="6" t="inlineStr">
        <is>
          <t>FIXO</t>
        </is>
      </c>
      <c r="I142" s="11">
        <f>IF($H142="AUTO_OFERTA_TOTAL_PRODUTO_PERIODO",SUMIFS(Oferta!$F:$F,Oferta!$A:$A,$A142,Oferta!$E:$E,$E142),$F142)</f>
        <v/>
      </c>
      <c r="J142" s="6" t="inlineStr">
        <is>
          <t>Informado</t>
        </is>
      </c>
      <c r="K142" s="6" t="inlineStr">
        <is>
          <t>Demanda doméstica fixa informada pelo usuário.</t>
        </is>
      </c>
    </row>
    <row r="143">
      <c r="A143" s="6" t="inlineStr">
        <is>
          <t>Milho</t>
        </is>
      </c>
      <c r="B143" s="6" t="inlineStr">
        <is>
          <t>João Pessoa - PB</t>
        </is>
      </c>
      <c r="C143" s="6" t="n">
        <v>-7.11509</v>
      </c>
      <c r="D143" s="6" t="n">
        <v>-34.8641</v>
      </c>
      <c r="E143" s="6" t="inlineStr">
        <is>
          <t>2021-10</t>
        </is>
      </c>
      <c r="F143" s="6" t="n">
        <v>65739.7886658917</v>
      </c>
      <c r="G143" s="6" t="inlineStr">
        <is>
          <t>DOMESTICA</t>
        </is>
      </c>
      <c r="H143" s="6" t="inlineStr">
        <is>
          <t>FIXO</t>
        </is>
      </c>
      <c r="I143" s="11">
        <f>IF($H143="AUTO_OFERTA_TOTAL_PRODUTO_PERIODO",SUMIFS(Oferta!$F:$F,Oferta!$A:$A,$A143,Oferta!$E:$E,$E143),$F143)</f>
        <v/>
      </c>
      <c r="J143" s="6" t="inlineStr">
        <is>
          <t>Informado</t>
        </is>
      </c>
      <c r="K143" s="6" t="inlineStr">
        <is>
          <t>Demanda doméstica fixa informada pelo usuário.</t>
        </is>
      </c>
    </row>
    <row r="144">
      <c r="A144" s="6" t="inlineStr">
        <is>
          <t>Milho</t>
        </is>
      </c>
      <c r="B144" s="6" t="inlineStr">
        <is>
          <t>João Pessoa - PB</t>
        </is>
      </c>
      <c r="C144" s="6" t="n">
        <v>-7.11509</v>
      </c>
      <c r="D144" s="6" t="n">
        <v>-34.8641</v>
      </c>
      <c r="E144" s="6" t="inlineStr">
        <is>
          <t>2021-11</t>
        </is>
      </c>
      <c r="F144" s="6" t="n">
        <v>57831.2426609724</v>
      </c>
      <c r="G144" s="6" t="inlineStr">
        <is>
          <t>DOMESTICA</t>
        </is>
      </c>
      <c r="H144" s="6" t="inlineStr">
        <is>
          <t>FIXO</t>
        </is>
      </c>
      <c r="I144" s="11">
        <f>IF($H144="AUTO_OFERTA_TOTAL_PRODUTO_PERIODO",SUMIFS(Oferta!$F:$F,Oferta!$A:$A,$A144,Oferta!$E:$E,$E144),$F144)</f>
        <v/>
      </c>
      <c r="J144" s="6" t="inlineStr">
        <is>
          <t>Informado</t>
        </is>
      </c>
      <c r="K144" s="6" t="inlineStr">
        <is>
          <t>Demanda doméstica fixa informada pelo usuário.</t>
        </is>
      </c>
    </row>
    <row r="145">
      <c r="A145" s="6" t="inlineStr">
        <is>
          <t>Milho</t>
        </is>
      </c>
      <c r="B145" s="6" t="inlineStr">
        <is>
          <t>João Pessoa - PB</t>
        </is>
      </c>
      <c r="C145" s="6" t="n">
        <v>-7.11509</v>
      </c>
      <c r="D145" s="6" t="n">
        <v>-34.8641</v>
      </c>
      <c r="E145" s="6" t="inlineStr">
        <is>
          <t>2021-12</t>
        </is>
      </c>
      <c r="F145" s="6" t="n">
        <v>45968.4236535934</v>
      </c>
      <c r="G145" s="6" t="inlineStr">
        <is>
          <t>DOMESTICA</t>
        </is>
      </c>
      <c r="H145" s="6" t="inlineStr">
        <is>
          <t>FIXO</t>
        </is>
      </c>
      <c r="I145" s="11">
        <f>IF($H145="AUTO_OFERTA_TOTAL_PRODUTO_PERIODO",SUMIFS(Oferta!$F:$F,Oferta!$A:$A,$A145,Oferta!$E:$E,$E145),$F145)</f>
        <v/>
      </c>
      <c r="J145" s="6" t="inlineStr">
        <is>
          <t>Informado</t>
        </is>
      </c>
      <c r="K145" s="6" t="inlineStr">
        <is>
          <t>Demanda doméstica fixa informada pelo usuário.</t>
        </is>
      </c>
    </row>
    <row r="146">
      <c r="A146" s="6" t="inlineStr">
        <is>
          <t>Milho</t>
        </is>
      </c>
      <c r="B146" s="6" t="inlineStr">
        <is>
          <t>Recife - PE</t>
        </is>
      </c>
      <c r="C146" s="6" t="n">
        <v>-8.046659999999999</v>
      </c>
      <c r="D146" s="6" t="n">
        <v>-34.8771</v>
      </c>
      <c r="E146" s="6" t="inlineStr">
        <is>
          <t>2021-01</t>
        </is>
      </c>
      <c r="F146" s="6" t="n">
        <v>104023.2746800025</v>
      </c>
      <c r="G146" s="6" t="inlineStr">
        <is>
          <t>DOMESTICA</t>
        </is>
      </c>
      <c r="H146" s="6" t="inlineStr">
        <is>
          <t>FIXO</t>
        </is>
      </c>
      <c r="I146" s="11">
        <f>IF($H146="AUTO_OFERTA_TOTAL_PRODUTO_PERIODO",SUMIFS(Oferta!$F:$F,Oferta!$A:$A,$A146,Oferta!$E:$E,$E146),$F146)</f>
        <v/>
      </c>
      <c r="J146" s="6" t="inlineStr">
        <is>
          <t>Informado</t>
        </is>
      </c>
      <c r="K146" s="6" t="inlineStr">
        <is>
          <t>Demanda doméstica fixa informada pelo usuário.</t>
        </is>
      </c>
    </row>
    <row r="147">
      <c r="A147" s="6" t="inlineStr">
        <is>
          <t>Milho</t>
        </is>
      </c>
      <c r="B147" s="6" t="inlineStr">
        <is>
          <t>Recife - PE</t>
        </is>
      </c>
      <c r="C147" s="6" t="n">
        <v>-8.046659999999999</v>
      </c>
      <c r="D147" s="6" t="n">
        <v>-34.8771</v>
      </c>
      <c r="E147" s="6" t="inlineStr">
        <is>
          <t>2021-02</t>
        </is>
      </c>
      <c r="F147" s="6" t="n">
        <v>84442.4229755315</v>
      </c>
      <c r="G147" s="6" t="inlineStr">
        <is>
          <t>DOMESTICA</t>
        </is>
      </c>
      <c r="H147" s="6" t="inlineStr">
        <is>
          <t>FIXO</t>
        </is>
      </c>
      <c r="I147" s="11">
        <f>IF($H147="AUTO_OFERTA_TOTAL_PRODUTO_PERIODO",SUMIFS(Oferta!$F:$F,Oferta!$A:$A,$A147,Oferta!$E:$E,$E147),$F147)</f>
        <v/>
      </c>
      <c r="J147" s="6" t="inlineStr">
        <is>
          <t>Informado</t>
        </is>
      </c>
      <c r="K147" s="6" t="inlineStr">
        <is>
          <t>Demanda doméstica fixa informada pelo usuário.</t>
        </is>
      </c>
    </row>
    <row r="148">
      <c r="A148" s="6" t="inlineStr">
        <is>
          <t>Milho</t>
        </is>
      </c>
      <c r="B148" s="6" t="inlineStr">
        <is>
          <t>Recife - PE</t>
        </is>
      </c>
      <c r="C148" s="6" t="n">
        <v>-8.046659999999999</v>
      </c>
      <c r="D148" s="6" t="n">
        <v>-34.8771</v>
      </c>
      <c r="E148" s="6" t="inlineStr">
        <is>
          <t>2021-03</t>
        </is>
      </c>
      <c r="F148" s="6" t="n">
        <v>64861.5712710604</v>
      </c>
      <c r="G148" s="6" t="inlineStr">
        <is>
          <t>DOMESTICA</t>
        </is>
      </c>
      <c r="H148" s="6" t="inlineStr">
        <is>
          <t>FIXO</t>
        </is>
      </c>
      <c r="I148" s="11">
        <f>IF($H148="AUTO_OFERTA_TOTAL_PRODUTO_PERIODO",SUMIFS(Oferta!$F:$F,Oferta!$A:$A,$A148,Oferta!$E:$E,$E148),$F148)</f>
        <v/>
      </c>
      <c r="J148" s="6" t="inlineStr">
        <is>
          <t>Informado</t>
        </is>
      </c>
      <c r="K148" s="6" t="inlineStr">
        <is>
          <t>Demanda doméstica fixa informada pelo usuário.</t>
        </is>
      </c>
    </row>
    <row r="149">
      <c r="A149" s="6" t="inlineStr">
        <is>
          <t>Milho</t>
        </is>
      </c>
      <c r="B149" s="6" t="inlineStr">
        <is>
          <t>Recife - PE</t>
        </is>
      </c>
      <c r="C149" s="6" t="n">
        <v>-8.046659999999999</v>
      </c>
      <c r="D149" s="6" t="n">
        <v>-34.8771</v>
      </c>
      <c r="E149" s="6" t="inlineStr">
        <is>
          <t>2021-04</t>
        </is>
      </c>
      <c r="F149" s="6" t="n">
        <v>64861.5712710604</v>
      </c>
      <c r="G149" s="6" t="inlineStr">
        <is>
          <t>DOMESTICA</t>
        </is>
      </c>
      <c r="H149" s="6" t="inlineStr">
        <is>
          <t>FIXO</t>
        </is>
      </c>
      <c r="I149" s="11">
        <f>IF($H149="AUTO_OFERTA_TOTAL_PRODUTO_PERIODO",SUMIFS(Oferta!$F:$F,Oferta!$A:$A,$A149,Oferta!$E:$E,$E149),$F149)</f>
        <v/>
      </c>
      <c r="J149" s="6" t="inlineStr">
        <is>
          <t>Informado</t>
        </is>
      </c>
      <c r="K149" s="6" t="inlineStr">
        <is>
          <t>Demanda doméstica fixa informada pelo usuário.</t>
        </is>
      </c>
    </row>
    <row r="150">
      <c r="A150" s="6" t="inlineStr">
        <is>
          <t>Milho</t>
        </is>
      </c>
      <c r="B150" s="6" t="inlineStr">
        <is>
          <t>Recife - PE</t>
        </is>
      </c>
      <c r="C150" s="6" t="n">
        <v>-8.046659999999999</v>
      </c>
      <c r="D150" s="6" t="n">
        <v>-34.8771</v>
      </c>
      <c r="E150" s="6" t="inlineStr">
        <is>
          <t>2021-05</t>
        </is>
      </c>
      <c r="F150" s="6" t="n">
        <v>84442.4229755315</v>
      </c>
      <c r="G150" s="6" t="inlineStr">
        <is>
          <t>DOMESTICA</t>
        </is>
      </c>
      <c r="H150" s="6" t="inlineStr">
        <is>
          <t>FIXO</t>
        </is>
      </c>
      <c r="I150" s="11">
        <f>IF($H150="AUTO_OFERTA_TOTAL_PRODUTO_PERIODO",SUMIFS(Oferta!$F:$F,Oferta!$A:$A,$A150,Oferta!$E:$E,$E150),$F150)</f>
        <v/>
      </c>
      <c r="J150" s="6" t="inlineStr">
        <is>
          <t>Informado</t>
        </is>
      </c>
      <c r="K150" s="6" t="inlineStr">
        <is>
          <t>Demanda doméstica fixa informada pelo usuário.</t>
        </is>
      </c>
    </row>
    <row r="151">
      <c r="A151" s="6" t="inlineStr">
        <is>
          <t>Milho</t>
        </is>
      </c>
      <c r="B151" s="6" t="inlineStr">
        <is>
          <t>Recife - PE</t>
        </is>
      </c>
      <c r="C151" s="6" t="n">
        <v>-8.046659999999999</v>
      </c>
      <c r="D151" s="6" t="n">
        <v>-34.8771</v>
      </c>
      <c r="E151" s="6" t="inlineStr">
        <is>
          <t>2021-06</t>
        </is>
      </c>
      <c r="F151" s="6" t="n">
        <v>162765.8297934157</v>
      </c>
      <c r="G151" s="6" t="inlineStr">
        <is>
          <t>DOMESTICA</t>
        </is>
      </c>
      <c r="H151" s="6" t="inlineStr">
        <is>
          <t>FIXO</t>
        </is>
      </c>
      <c r="I151" s="11">
        <f>IF($H151="AUTO_OFERTA_TOTAL_PRODUTO_PERIODO",SUMIFS(Oferta!$F:$F,Oferta!$A:$A,$A151,Oferta!$E:$E,$E151),$F151)</f>
        <v/>
      </c>
      <c r="J151" s="6" t="inlineStr">
        <is>
          <t>Informado</t>
        </is>
      </c>
      <c r="K151" s="6" t="inlineStr">
        <is>
          <t>Demanda doméstica fixa informada pelo usuário.</t>
        </is>
      </c>
    </row>
    <row r="152">
      <c r="A152" s="6" t="inlineStr">
        <is>
          <t>Milho</t>
        </is>
      </c>
      <c r="B152" s="6" t="inlineStr">
        <is>
          <t>Recife - PE</t>
        </is>
      </c>
      <c r="C152" s="6" t="n">
        <v>-8.046659999999999</v>
      </c>
      <c r="D152" s="6" t="n">
        <v>-34.8771</v>
      </c>
      <c r="E152" s="6" t="inlineStr">
        <is>
          <t>2021-07</t>
        </is>
      </c>
      <c r="F152" s="6" t="n">
        <v>201927.5332023579</v>
      </c>
      <c r="G152" s="6" t="inlineStr">
        <is>
          <t>DOMESTICA</t>
        </is>
      </c>
      <c r="H152" s="6" t="inlineStr">
        <is>
          <t>FIXO</t>
        </is>
      </c>
      <c r="I152" s="11">
        <f>IF($H152="AUTO_OFERTA_TOTAL_PRODUTO_PERIODO",SUMIFS(Oferta!$F:$F,Oferta!$A:$A,$A152,Oferta!$E:$E,$E152),$F152)</f>
        <v/>
      </c>
      <c r="J152" s="6" t="inlineStr">
        <is>
          <t>Informado</t>
        </is>
      </c>
      <c r="K152" s="6" t="inlineStr">
        <is>
          <t>Demanda doméstica fixa informada pelo usuário.</t>
        </is>
      </c>
    </row>
    <row r="153">
      <c r="A153" s="6" t="inlineStr">
        <is>
          <t>Milho</t>
        </is>
      </c>
      <c r="B153" s="6" t="inlineStr">
        <is>
          <t>Recife - PE</t>
        </is>
      </c>
      <c r="C153" s="6" t="n">
        <v>-8.046659999999999</v>
      </c>
      <c r="D153" s="6" t="n">
        <v>-34.8771</v>
      </c>
      <c r="E153" s="6" t="inlineStr">
        <is>
          <t>2021-08</t>
        </is>
      </c>
      <c r="F153" s="6" t="n">
        <v>201927.5332023579</v>
      </c>
      <c r="G153" s="6" t="inlineStr">
        <is>
          <t>DOMESTICA</t>
        </is>
      </c>
      <c r="H153" s="6" t="inlineStr">
        <is>
          <t>FIXO</t>
        </is>
      </c>
      <c r="I153" s="11">
        <f>IF($H153="AUTO_OFERTA_TOTAL_PRODUTO_PERIODO",SUMIFS(Oferta!$F:$F,Oferta!$A:$A,$A153,Oferta!$E:$E,$E153),$F153)</f>
        <v/>
      </c>
      <c r="J153" s="6" t="inlineStr">
        <is>
          <t>Informado</t>
        </is>
      </c>
      <c r="K153" s="6" t="inlineStr">
        <is>
          <t>Demanda doméstica fixa informada pelo usuário.</t>
        </is>
      </c>
    </row>
    <row r="154">
      <c r="A154" s="6" t="inlineStr">
        <is>
          <t>Milho</t>
        </is>
      </c>
      <c r="B154" s="6" t="inlineStr">
        <is>
          <t>Recife - PE</t>
        </is>
      </c>
      <c r="C154" s="6" t="n">
        <v>-8.046659999999999</v>
      </c>
      <c r="D154" s="6" t="n">
        <v>-34.8771</v>
      </c>
      <c r="E154" s="6" t="inlineStr">
        <is>
          <t>2021-09</t>
        </is>
      </c>
      <c r="F154" s="6" t="n">
        <v>182346.6814978868</v>
      </c>
      <c r="G154" s="6" t="inlineStr">
        <is>
          <t>DOMESTICA</t>
        </is>
      </c>
      <c r="H154" s="6" t="inlineStr">
        <is>
          <t>FIXO</t>
        </is>
      </c>
      <c r="I154" s="11">
        <f>IF($H154="AUTO_OFERTA_TOTAL_PRODUTO_PERIODO",SUMIFS(Oferta!$F:$F,Oferta!$A:$A,$A154,Oferta!$E:$E,$E154),$F154)</f>
        <v/>
      </c>
      <c r="J154" s="6" t="inlineStr">
        <is>
          <t>Informado</t>
        </is>
      </c>
      <c r="K154" s="6" t="inlineStr">
        <is>
          <t>Demanda doméstica fixa informada pelo usuário.</t>
        </is>
      </c>
    </row>
    <row r="155">
      <c r="A155" s="6" t="inlineStr">
        <is>
          <t>Milho</t>
        </is>
      </c>
      <c r="B155" s="6" t="inlineStr">
        <is>
          <t>Recife - PE</t>
        </is>
      </c>
      <c r="C155" s="6" t="n">
        <v>-8.046659999999999</v>
      </c>
      <c r="D155" s="6" t="n">
        <v>-34.8771</v>
      </c>
      <c r="E155" s="6" t="inlineStr">
        <is>
          <t>2021-10</t>
        </is>
      </c>
      <c r="F155" s="6" t="n">
        <v>162765.8297934157</v>
      </c>
      <c r="G155" s="6" t="inlineStr">
        <is>
          <t>DOMESTICA</t>
        </is>
      </c>
      <c r="H155" s="6" t="inlineStr">
        <is>
          <t>FIXO</t>
        </is>
      </c>
      <c r="I155" s="11">
        <f>IF($H155="AUTO_OFERTA_TOTAL_PRODUTO_PERIODO",SUMIFS(Oferta!$F:$F,Oferta!$A:$A,$A155,Oferta!$E:$E,$E155),$F155)</f>
        <v/>
      </c>
      <c r="J155" s="6" t="inlineStr">
        <is>
          <t>Informado</t>
        </is>
      </c>
      <c r="K155" s="6" t="inlineStr">
        <is>
          <t>Demanda doméstica fixa informada pelo usuário.</t>
        </is>
      </c>
    </row>
    <row r="156">
      <c r="A156" s="6" t="inlineStr">
        <is>
          <t>Milho</t>
        </is>
      </c>
      <c r="B156" s="6" t="inlineStr">
        <is>
          <t>Recife - PE</t>
        </is>
      </c>
      <c r="C156" s="6" t="n">
        <v>-8.046659999999999</v>
      </c>
      <c r="D156" s="6" t="n">
        <v>-34.8771</v>
      </c>
      <c r="E156" s="6" t="inlineStr">
        <is>
          <t>2021-11</t>
        </is>
      </c>
      <c r="F156" s="6" t="n">
        <v>162765.8297934157</v>
      </c>
      <c r="G156" s="6" t="inlineStr">
        <is>
          <t>DOMESTICA</t>
        </is>
      </c>
      <c r="H156" s="6" t="inlineStr">
        <is>
          <t>FIXO</t>
        </is>
      </c>
      <c r="I156" s="11">
        <f>IF($H156="AUTO_OFERTA_TOTAL_PRODUTO_PERIODO",SUMIFS(Oferta!$F:$F,Oferta!$A:$A,$A156,Oferta!$E:$E,$E156),$F156)</f>
        <v/>
      </c>
      <c r="J156" s="6" t="inlineStr">
        <is>
          <t>Informado</t>
        </is>
      </c>
      <c r="K156" s="6" t="inlineStr">
        <is>
          <t>Demanda doméstica fixa informada pelo usuário.</t>
        </is>
      </c>
    </row>
    <row r="157">
      <c r="A157" s="6" t="inlineStr">
        <is>
          <t>Milho</t>
        </is>
      </c>
      <c r="B157" s="6" t="inlineStr">
        <is>
          <t>Recife - PE</t>
        </is>
      </c>
      <c r="C157" s="6" t="n">
        <v>-8.046659999999999</v>
      </c>
      <c r="D157" s="6" t="n">
        <v>-34.8771</v>
      </c>
      <c r="E157" s="6" t="inlineStr">
        <is>
          <t>2021-12</t>
        </is>
      </c>
      <c r="F157" s="6" t="n">
        <v>123604.1263844736</v>
      </c>
      <c r="G157" s="6" t="inlineStr">
        <is>
          <t>DOMESTICA</t>
        </is>
      </c>
      <c r="H157" s="6" t="inlineStr">
        <is>
          <t>FIXO</t>
        </is>
      </c>
      <c r="I157" s="11">
        <f>IF($H157="AUTO_OFERTA_TOTAL_PRODUTO_PERIODO",SUMIFS(Oferta!$F:$F,Oferta!$A:$A,$A157,Oferta!$E:$E,$E157),$F157)</f>
        <v/>
      </c>
      <c r="J157" s="6" t="inlineStr">
        <is>
          <t>Informado</t>
        </is>
      </c>
      <c r="K157" s="6" t="inlineStr">
        <is>
          <t>Demanda doméstica fixa informada pelo usuário.</t>
        </is>
      </c>
    </row>
    <row r="158">
      <c r="A158" s="6" t="inlineStr">
        <is>
          <t>Milho</t>
        </is>
      </c>
      <c r="B158" s="6" t="inlineStr">
        <is>
          <t>Teresina - PI</t>
        </is>
      </c>
      <c r="C158" s="6" t="n">
        <v>-5.09194</v>
      </c>
      <c r="D158" s="6" t="n">
        <v>-42.8034</v>
      </c>
      <c r="E158" s="6" t="inlineStr">
        <is>
          <t>2021-01</t>
        </is>
      </c>
      <c r="F158" s="6" t="n">
        <v>26071.2592479908</v>
      </c>
      <c r="G158" s="6" t="inlineStr">
        <is>
          <t>DOMESTICA</t>
        </is>
      </c>
      <c r="H158" s="6" t="inlineStr">
        <is>
          <t>FIXO</t>
        </is>
      </c>
      <c r="I158" s="11">
        <f>IF($H158="AUTO_OFERTA_TOTAL_PRODUTO_PERIODO",SUMIFS(Oferta!$F:$F,Oferta!$A:$A,$A158,Oferta!$E:$E,$E158),$F158)</f>
        <v/>
      </c>
      <c r="J158" s="6" t="inlineStr">
        <is>
          <t>Informado</t>
        </is>
      </c>
      <c r="K158" s="6" t="inlineStr">
        <is>
          <t>Demanda doméstica fixa informada pelo usuário.</t>
        </is>
      </c>
    </row>
    <row r="159">
      <c r="A159" s="6" t="inlineStr">
        <is>
          <t>Milho</t>
        </is>
      </c>
      <c r="B159" s="6" t="inlineStr">
        <is>
          <t>Teresina - PI</t>
        </is>
      </c>
      <c r="C159" s="6" t="n">
        <v>-5.09194</v>
      </c>
      <c r="D159" s="6" t="n">
        <v>-42.8034</v>
      </c>
      <c r="E159" s="6" t="inlineStr">
        <is>
          <t>2021-02</t>
        </is>
      </c>
      <c r="F159" s="6" t="n">
        <v>26071.2592479908</v>
      </c>
      <c r="G159" s="6" t="inlineStr">
        <is>
          <t>DOMESTICA</t>
        </is>
      </c>
      <c r="H159" s="6" t="inlineStr">
        <is>
          <t>FIXO</t>
        </is>
      </c>
      <c r="I159" s="11">
        <f>IF($H159="AUTO_OFERTA_TOTAL_PRODUTO_PERIODO",SUMIFS(Oferta!$F:$F,Oferta!$A:$A,$A159,Oferta!$E:$E,$E159),$F159)</f>
        <v/>
      </c>
      <c r="J159" s="6" t="inlineStr">
        <is>
          <t>Informado</t>
        </is>
      </c>
      <c r="K159" s="6" t="inlineStr">
        <is>
          <t>Demanda doméstica fixa informada pelo usuário.</t>
        </is>
      </c>
    </row>
    <row r="160">
      <c r="A160" s="6" t="inlineStr">
        <is>
          <t>Milho</t>
        </is>
      </c>
      <c r="B160" s="6" t="inlineStr">
        <is>
          <t>Teresina - PI</t>
        </is>
      </c>
      <c r="C160" s="6" t="n">
        <v>-5.09194</v>
      </c>
      <c r="D160" s="6" t="n">
        <v>-42.8034</v>
      </c>
      <c r="E160" s="6" t="inlineStr">
        <is>
          <t>2021-03</t>
        </is>
      </c>
      <c r="F160" s="6" t="n">
        <v>30006.5436627819</v>
      </c>
      <c r="G160" s="6" t="inlineStr">
        <is>
          <t>DOMESTICA</t>
        </is>
      </c>
      <c r="H160" s="6" t="inlineStr">
        <is>
          <t>FIXO</t>
        </is>
      </c>
      <c r="I160" s="11">
        <f>IF($H160="AUTO_OFERTA_TOTAL_PRODUTO_PERIODO",SUMIFS(Oferta!$F:$F,Oferta!$A:$A,$A160,Oferta!$E:$E,$E160),$F160)</f>
        <v/>
      </c>
      <c r="J160" s="6" t="inlineStr">
        <is>
          <t>Informado</t>
        </is>
      </c>
      <c r="K160" s="6" t="inlineStr">
        <is>
          <t>Demanda doméstica fixa informada pelo usuário.</t>
        </is>
      </c>
    </row>
    <row r="161">
      <c r="A161" s="6" t="inlineStr">
        <is>
          <t>Milho</t>
        </is>
      </c>
      <c r="B161" s="6" t="inlineStr">
        <is>
          <t>Teresina - PI</t>
        </is>
      </c>
      <c r="C161" s="6" t="n">
        <v>-5.09194</v>
      </c>
      <c r="D161" s="6" t="n">
        <v>-42.8034</v>
      </c>
      <c r="E161" s="6" t="inlineStr">
        <is>
          <t>2021-04</t>
        </is>
      </c>
      <c r="F161" s="6" t="n">
        <v>37877.1124923641</v>
      </c>
      <c r="G161" s="6" t="inlineStr">
        <is>
          <t>DOMESTICA</t>
        </is>
      </c>
      <c r="H161" s="6" t="inlineStr">
        <is>
          <t>FIXO</t>
        </is>
      </c>
      <c r="I161" s="11">
        <f>IF($H161="AUTO_OFERTA_TOTAL_PRODUTO_PERIODO",SUMIFS(Oferta!$F:$F,Oferta!$A:$A,$A161,Oferta!$E:$E,$E161),$F161)</f>
        <v/>
      </c>
      <c r="J161" s="6" t="inlineStr">
        <is>
          <t>Informado</t>
        </is>
      </c>
      <c r="K161" s="6" t="inlineStr">
        <is>
          <t>Demanda doméstica fixa informada pelo usuário.</t>
        </is>
      </c>
    </row>
    <row r="162">
      <c r="A162" s="6" t="inlineStr">
        <is>
          <t>Milho</t>
        </is>
      </c>
      <c r="B162" s="6" t="inlineStr">
        <is>
          <t>Teresina - PI</t>
        </is>
      </c>
      <c r="C162" s="6" t="n">
        <v>-5.09194</v>
      </c>
      <c r="D162" s="6" t="n">
        <v>-42.8034</v>
      </c>
      <c r="E162" s="6" t="inlineStr">
        <is>
          <t>2021-05</t>
        </is>
      </c>
      <c r="F162" s="6" t="n">
        <v>53618.2501515283</v>
      </c>
      <c r="G162" s="6" t="inlineStr">
        <is>
          <t>DOMESTICA</t>
        </is>
      </c>
      <c r="H162" s="6" t="inlineStr">
        <is>
          <t>FIXO</t>
        </is>
      </c>
      <c r="I162" s="11">
        <f>IF($H162="AUTO_OFERTA_TOTAL_PRODUTO_PERIODO",SUMIFS(Oferta!$F:$F,Oferta!$A:$A,$A162,Oferta!$E:$E,$E162),$F162)</f>
        <v/>
      </c>
      <c r="J162" s="6" t="inlineStr">
        <is>
          <t>Informado</t>
        </is>
      </c>
      <c r="K162" s="6" t="inlineStr">
        <is>
          <t>Demanda doméstica fixa informada pelo usuário.</t>
        </is>
      </c>
    </row>
    <row r="163">
      <c r="A163" s="6" t="inlineStr">
        <is>
          <t>Milho</t>
        </is>
      </c>
      <c r="B163" s="6" t="inlineStr">
        <is>
          <t>Teresina - PI</t>
        </is>
      </c>
      <c r="C163" s="6" t="n">
        <v>-5.09194</v>
      </c>
      <c r="D163" s="6" t="n">
        <v>-42.8034</v>
      </c>
      <c r="E163" s="6" t="inlineStr">
        <is>
          <t>2021-06</t>
        </is>
      </c>
      <c r="F163" s="6" t="n">
        <v>73294.67222548361</v>
      </c>
      <c r="G163" s="6" t="inlineStr">
        <is>
          <t>DOMESTICA</t>
        </is>
      </c>
      <c r="H163" s="6" t="inlineStr">
        <is>
          <t>FIXO</t>
        </is>
      </c>
      <c r="I163" s="11">
        <f>IF($H163="AUTO_OFERTA_TOTAL_PRODUTO_PERIODO",SUMIFS(Oferta!$F:$F,Oferta!$A:$A,$A163,Oferta!$E:$E,$E163),$F163)</f>
        <v/>
      </c>
      <c r="J163" s="6" t="inlineStr">
        <is>
          <t>Informado</t>
        </is>
      </c>
      <c r="K163" s="6" t="inlineStr">
        <is>
          <t>Demanda doméstica fixa informada pelo usuário.</t>
        </is>
      </c>
    </row>
    <row r="164">
      <c r="A164" s="6" t="inlineStr">
        <is>
          <t>Milho</t>
        </is>
      </c>
      <c r="B164" s="6" t="inlineStr">
        <is>
          <t>Teresina - PI</t>
        </is>
      </c>
      <c r="C164" s="6" t="n">
        <v>-5.09194</v>
      </c>
      <c r="D164" s="6" t="n">
        <v>-42.8034</v>
      </c>
      <c r="E164" s="6" t="inlineStr">
        <is>
          <t>2021-07</t>
        </is>
      </c>
      <c r="F164" s="6" t="n">
        <v>89035.809884648</v>
      </c>
      <c r="G164" s="6" t="inlineStr">
        <is>
          <t>DOMESTICA</t>
        </is>
      </c>
      <c r="H164" s="6" t="inlineStr">
        <is>
          <t>FIXO</t>
        </is>
      </c>
      <c r="I164" s="11">
        <f>IF($H164="AUTO_OFERTA_TOTAL_PRODUTO_PERIODO",SUMIFS(Oferta!$F:$F,Oferta!$A:$A,$A164,Oferta!$E:$E,$E164),$F164)</f>
        <v/>
      </c>
      <c r="J164" s="6" t="inlineStr">
        <is>
          <t>Informado</t>
        </is>
      </c>
      <c r="K164" s="6" t="inlineStr">
        <is>
          <t>Demanda doméstica fixa informada pelo usuário.</t>
        </is>
      </c>
    </row>
    <row r="165">
      <c r="A165" s="6" t="inlineStr">
        <is>
          <t>Milho</t>
        </is>
      </c>
      <c r="B165" s="6" t="inlineStr">
        <is>
          <t>Teresina - PI</t>
        </is>
      </c>
      <c r="C165" s="6" t="n">
        <v>-5.09194</v>
      </c>
      <c r="D165" s="6" t="n">
        <v>-42.8034</v>
      </c>
      <c r="E165" s="6" t="inlineStr">
        <is>
          <t>2021-08</t>
        </is>
      </c>
      <c r="F165" s="6" t="n">
        <v>89035.809884648</v>
      </c>
      <c r="G165" s="6" t="inlineStr">
        <is>
          <t>DOMESTICA</t>
        </is>
      </c>
      <c r="H165" s="6" t="inlineStr">
        <is>
          <t>FIXO</t>
        </is>
      </c>
      <c r="I165" s="11">
        <f>IF($H165="AUTO_OFERTA_TOTAL_PRODUTO_PERIODO",SUMIFS(Oferta!$F:$F,Oferta!$A:$A,$A165,Oferta!$E:$E,$E165),$F165)</f>
        <v/>
      </c>
      <c r="J165" s="6" t="inlineStr">
        <is>
          <t>Informado</t>
        </is>
      </c>
      <c r="K165" s="6" t="inlineStr">
        <is>
          <t>Demanda doméstica fixa informada pelo usuário.</t>
        </is>
      </c>
    </row>
    <row r="166">
      <c r="A166" s="6" t="inlineStr">
        <is>
          <t>Milho</t>
        </is>
      </c>
      <c r="B166" s="6" t="inlineStr">
        <is>
          <t>Teresina - PI</t>
        </is>
      </c>
      <c r="C166" s="6" t="n">
        <v>-5.09194</v>
      </c>
      <c r="D166" s="6" t="n">
        <v>-42.8034</v>
      </c>
      <c r="E166" s="6" t="inlineStr">
        <is>
          <t>2021-09</t>
        </is>
      </c>
      <c r="F166" s="6" t="n">
        <v>73294.67222548361</v>
      </c>
      <c r="G166" s="6" t="inlineStr">
        <is>
          <t>DOMESTICA</t>
        </is>
      </c>
      <c r="H166" s="6" t="inlineStr">
        <is>
          <t>FIXO</t>
        </is>
      </c>
      <c r="I166" s="11">
        <f>IF($H166="AUTO_OFERTA_TOTAL_PRODUTO_PERIODO",SUMIFS(Oferta!$F:$F,Oferta!$A:$A,$A166,Oferta!$E:$E,$E166),$F166)</f>
        <v/>
      </c>
      <c r="J166" s="6" t="inlineStr">
        <is>
          <t>Informado</t>
        </is>
      </c>
      <c r="K166" s="6" t="inlineStr">
        <is>
          <t>Demanda doméstica fixa informada pelo usuário.</t>
        </is>
      </c>
    </row>
    <row r="167">
      <c r="A167" s="6" t="inlineStr">
        <is>
          <t>Milho</t>
        </is>
      </c>
      <c r="B167" s="6" t="inlineStr">
        <is>
          <t>Teresina - PI</t>
        </is>
      </c>
      <c r="C167" s="6" t="n">
        <v>-5.09194</v>
      </c>
      <c r="D167" s="6" t="n">
        <v>-42.8034</v>
      </c>
      <c r="E167" s="6" t="inlineStr">
        <is>
          <t>2021-10</t>
        </is>
      </c>
      <c r="F167" s="6" t="n">
        <v>49682.9657367372</v>
      </c>
      <c r="G167" s="6" t="inlineStr">
        <is>
          <t>DOMESTICA</t>
        </is>
      </c>
      <c r="H167" s="6" t="inlineStr">
        <is>
          <t>FIXO</t>
        </is>
      </c>
      <c r="I167" s="11">
        <f>IF($H167="AUTO_OFERTA_TOTAL_PRODUTO_PERIODO",SUMIFS(Oferta!$F:$F,Oferta!$A:$A,$A167,Oferta!$E:$E,$E167),$F167)</f>
        <v/>
      </c>
      <c r="J167" s="6" t="inlineStr">
        <is>
          <t>Informado</t>
        </is>
      </c>
      <c r="K167" s="6" t="inlineStr">
        <is>
          <t>Demanda doméstica fixa informada pelo usuário.</t>
        </is>
      </c>
    </row>
    <row r="168">
      <c r="A168" s="6" t="inlineStr">
        <is>
          <t>Milho</t>
        </is>
      </c>
      <c r="B168" s="6" t="inlineStr">
        <is>
          <t>Teresina - PI</t>
        </is>
      </c>
      <c r="C168" s="6" t="n">
        <v>-5.09194</v>
      </c>
      <c r="D168" s="6" t="n">
        <v>-42.8034</v>
      </c>
      <c r="E168" s="6" t="inlineStr">
        <is>
          <t>2021-11</t>
        </is>
      </c>
      <c r="F168" s="6" t="n">
        <v>33941.828077573</v>
      </c>
      <c r="G168" s="6" t="inlineStr">
        <is>
          <t>DOMESTICA</t>
        </is>
      </c>
      <c r="H168" s="6" t="inlineStr">
        <is>
          <t>FIXO</t>
        </is>
      </c>
      <c r="I168" s="11">
        <f>IF($H168="AUTO_OFERTA_TOTAL_PRODUTO_PERIODO",SUMIFS(Oferta!$F:$F,Oferta!$A:$A,$A168,Oferta!$E:$E,$E168),$F168)</f>
        <v/>
      </c>
      <c r="J168" s="6" t="inlineStr">
        <is>
          <t>Informado</t>
        </is>
      </c>
      <c r="K168" s="6" t="inlineStr">
        <is>
          <t>Demanda doméstica fixa informada pelo usuário.</t>
        </is>
      </c>
    </row>
    <row r="169">
      <c r="A169" s="6" t="inlineStr">
        <is>
          <t>Milho</t>
        </is>
      </c>
      <c r="B169" s="6" t="inlineStr">
        <is>
          <t>Teresina - PI</t>
        </is>
      </c>
      <c r="C169" s="6" t="n">
        <v>-5.09194</v>
      </c>
      <c r="D169" s="6" t="n">
        <v>-42.8034</v>
      </c>
      <c r="E169" s="6" t="inlineStr">
        <is>
          <t>2021-12</t>
        </is>
      </c>
      <c r="F169" s="6" t="n">
        <v>26071.2592479908</v>
      </c>
      <c r="G169" s="6" t="inlineStr">
        <is>
          <t>DOMESTICA</t>
        </is>
      </c>
      <c r="H169" s="6" t="inlineStr">
        <is>
          <t>FIXO</t>
        </is>
      </c>
      <c r="I169" s="11">
        <f>IF($H169="AUTO_OFERTA_TOTAL_PRODUTO_PERIODO",SUMIFS(Oferta!$F:$F,Oferta!$A:$A,$A169,Oferta!$E:$E,$E169),$F169)</f>
        <v/>
      </c>
      <c r="J169" s="6" t="inlineStr">
        <is>
          <t>Informado</t>
        </is>
      </c>
      <c r="K169" s="6" t="inlineStr">
        <is>
          <t>Demanda doméstica fixa informada pelo usuário.</t>
        </is>
      </c>
    </row>
    <row r="170">
      <c r="A170" s="6" t="inlineStr">
        <is>
          <t>Milho</t>
        </is>
      </c>
      <c r="B170" s="6" t="inlineStr">
        <is>
          <t>Aracaju - SE</t>
        </is>
      </c>
      <c r="C170" s="6" t="n">
        <v>-10.9091</v>
      </c>
      <c r="D170" s="6" t="n">
        <v>-37.0677</v>
      </c>
      <c r="E170" s="6" t="inlineStr">
        <is>
          <t>2021-01</t>
        </is>
      </c>
      <c r="F170" s="6" t="n">
        <v>45801.9515623497</v>
      </c>
      <c r="G170" s="6" t="inlineStr">
        <is>
          <t>DOMESTICA</t>
        </is>
      </c>
      <c r="H170" s="6" t="inlineStr">
        <is>
          <t>FIXO</t>
        </is>
      </c>
      <c r="I170" s="11">
        <f>IF($H170="AUTO_OFERTA_TOTAL_PRODUTO_PERIODO",SUMIFS(Oferta!$F:$F,Oferta!$A:$A,$A170,Oferta!$E:$E,$E170),$F170)</f>
        <v/>
      </c>
      <c r="J170" s="6" t="inlineStr">
        <is>
          <t>Informado</t>
        </is>
      </c>
      <c r="K170" s="6" t="inlineStr">
        <is>
          <t>Demanda doméstica fixa informada pelo usuário.</t>
        </is>
      </c>
    </row>
    <row r="171">
      <c r="A171" s="6" t="inlineStr">
        <is>
          <t>Milho</t>
        </is>
      </c>
      <c r="B171" s="6" t="inlineStr">
        <is>
          <t>Aracaju - SE</t>
        </is>
      </c>
      <c r="C171" s="6" t="n">
        <v>-10.9091</v>
      </c>
      <c r="D171" s="6" t="n">
        <v>-37.0677</v>
      </c>
      <c r="E171" s="6" t="inlineStr">
        <is>
          <t>2021-02</t>
        </is>
      </c>
      <c r="F171" s="6" t="n">
        <v>27011.4073316421</v>
      </c>
      <c r="G171" s="6" t="inlineStr">
        <is>
          <t>DOMESTICA</t>
        </is>
      </c>
      <c r="H171" s="6" t="inlineStr">
        <is>
          <t>FIXO</t>
        </is>
      </c>
      <c r="I171" s="11">
        <f>IF($H171="AUTO_OFERTA_TOTAL_PRODUTO_PERIODO",SUMIFS(Oferta!$F:$F,Oferta!$A:$A,$A171,Oferta!$E:$E,$E171),$F171)</f>
        <v/>
      </c>
      <c r="J171" s="6" t="inlineStr">
        <is>
          <t>Informado</t>
        </is>
      </c>
      <c r="K171" s="6" t="inlineStr">
        <is>
          <t>Demanda doméstica fixa informada pelo usuário.</t>
        </is>
      </c>
    </row>
    <row r="172">
      <c r="A172" s="6" t="inlineStr">
        <is>
          <t>Milho</t>
        </is>
      </c>
      <c r="B172" s="6" t="inlineStr">
        <is>
          <t>Aracaju - SE</t>
        </is>
      </c>
      <c r="C172" s="6" t="n">
        <v>-10.9091</v>
      </c>
      <c r="D172" s="6" t="n">
        <v>-37.0677</v>
      </c>
      <c r="E172" s="6" t="inlineStr">
        <is>
          <t>2021-03</t>
        </is>
      </c>
      <c r="F172" s="6" t="n">
        <v>20747.8925880729</v>
      </c>
      <c r="G172" s="6" t="inlineStr">
        <is>
          <t>DOMESTICA</t>
        </is>
      </c>
      <c r="H172" s="6" t="inlineStr">
        <is>
          <t>FIXO</t>
        </is>
      </c>
      <c r="I172" s="11">
        <f>IF($H172="AUTO_OFERTA_TOTAL_PRODUTO_PERIODO",SUMIFS(Oferta!$F:$F,Oferta!$A:$A,$A172,Oferta!$E:$E,$E172),$F172)</f>
        <v/>
      </c>
      <c r="J172" s="6" t="inlineStr">
        <is>
          <t>Informado</t>
        </is>
      </c>
      <c r="K172" s="6" t="inlineStr">
        <is>
          <t>Demanda doméstica fixa informada pelo usuário.</t>
        </is>
      </c>
    </row>
    <row r="173">
      <c r="A173" s="6" t="inlineStr">
        <is>
          <t>Milho</t>
        </is>
      </c>
      <c r="B173" s="6" t="inlineStr">
        <is>
          <t>Aracaju - SE</t>
        </is>
      </c>
      <c r="C173" s="6" t="n">
        <v>-10.9091</v>
      </c>
      <c r="D173" s="6" t="n">
        <v>-37.0677</v>
      </c>
      <c r="E173" s="6" t="inlineStr">
        <is>
          <t>2021-04</t>
        </is>
      </c>
      <c r="F173" s="6" t="n">
        <v>20747.8925880729</v>
      </c>
      <c r="G173" s="6" t="inlineStr">
        <is>
          <t>DOMESTICA</t>
        </is>
      </c>
      <c r="H173" s="6" t="inlineStr">
        <is>
          <t>FIXO</t>
        </is>
      </c>
      <c r="I173" s="11">
        <f>IF($H173="AUTO_OFERTA_TOTAL_PRODUTO_PERIODO",SUMIFS(Oferta!$F:$F,Oferta!$A:$A,$A173,Oferta!$E:$E,$E173),$F173)</f>
        <v/>
      </c>
      <c r="J173" s="6" t="inlineStr">
        <is>
          <t>Informado</t>
        </is>
      </c>
      <c r="K173" s="6" t="inlineStr">
        <is>
          <t>Demanda doméstica fixa informada pelo usuário.</t>
        </is>
      </c>
    </row>
    <row r="174">
      <c r="A174" s="6" t="inlineStr">
        <is>
          <t>Milho</t>
        </is>
      </c>
      <c r="B174" s="6" t="inlineStr">
        <is>
          <t>Aracaju - SE</t>
        </is>
      </c>
      <c r="C174" s="6" t="n">
        <v>-10.9091</v>
      </c>
      <c r="D174" s="6" t="n">
        <v>-37.0677</v>
      </c>
      <c r="E174" s="6" t="inlineStr">
        <is>
          <t>2021-05</t>
        </is>
      </c>
      <c r="F174" s="6" t="n">
        <v>20747.8925880729</v>
      </c>
      <c r="G174" s="6" t="inlineStr">
        <is>
          <t>DOMESTICA</t>
        </is>
      </c>
      <c r="H174" s="6" t="inlineStr">
        <is>
          <t>FIXO</t>
        </is>
      </c>
      <c r="I174" s="11">
        <f>IF($H174="AUTO_OFERTA_TOTAL_PRODUTO_PERIODO",SUMIFS(Oferta!$F:$F,Oferta!$A:$A,$A174,Oferta!$E:$E,$E174),$F174)</f>
        <v/>
      </c>
      <c r="J174" s="6" t="inlineStr">
        <is>
          <t>Informado</t>
        </is>
      </c>
      <c r="K174" s="6" t="inlineStr">
        <is>
          <t>Demanda doméstica fixa informada pelo usuário.</t>
        </is>
      </c>
    </row>
    <row r="175">
      <c r="A175" s="6" t="inlineStr">
        <is>
          <t>Milho</t>
        </is>
      </c>
      <c r="B175" s="6" t="inlineStr">
        <is>
          <t>Aracaju - SE</t>
        </is>
      </c>
      <c r="C175" s="6" t="n">
        <v>-10.9091</v>
      </c>
      <c r="D175" s="6" t="n">
        <v>-37.0677</v>
      </c>
      <c r="E175" s="6" t="inlineStr">
        <is>
          <t>2021-06</t>
        </is>
      </c>
      <c r="F175" s="6" t="n">
        <v>20747.8925880729</v>
      </c>
      <c r="G175" s="6" t="inlineStr">
        <is>
          <t>DOMESTICA</t>
        </is>
      </c>
      <c r="H175" s="6" t="inlineStr">
        <is>
          <t>FIXO</t>
        </is>
      </c>
      <c r="I175" s="11">
        <f>IF($H175="AUTO_OFERTA_TOTAL_PRODUTO_PERIODO",SUMIFS(Oferta!$F:$F,Oferta!$A:$A,$A175,Oferta!$E:$E,$E175),$F175)</f>
        <v/>
      </c>
      <c r="J175" s="6" t="inlineStr">
        <is>
          <t>Informado</t>
        </is>
      </c>
      <c r="K175" s="6" t="inlineStr">
        <is>
          <t>Demanda doméstica fixa informada pelo usuário.</t>
        </is>
      </c>
    </row>
    <row r="176">
      <c r="A176" s="6" t="inlineStr">
        <is>
          <t>Milho</t>
        </is>
      </c>
      <c r="B176" s="6" t="inlineStr">
        <is>
          <t>Aracaju - SE</t>
        </is>
      </c>
      <c r="C176" s="6" t="n">
        <v>-10.9091</v>
      </c>
      <c r="D176" s="6" t="n">
        <v>-37.0677</v>
      </c>
      <c r="E176" s="6" t="inlineStr">
        <is>
          <t>2021-07</t>
        </is>
      </c>
      <c r="F176" s="6" t="n">
        <v>20747.8925880729</v>
      </c>
      <c r="G176" s="6" t="inlineStr">
        <is>
          <t>DOMESTICA</t>
        </is>
      </c>
      <c r="H176" s="6" t="inlineStr">
        <is>
          <t>FIXO</t>
        </is>
      </c>
      <c r="I176" s="11">
        <f>IF($H176="AUTO_OFERTA_TOTAL_PRODUTO_PERIODO",SUMIFS(Oferta!$F:$F,Oferta!$A:$A,$A176,Oferta!$E:$E,$E176),$F176)</f>
        <v/>
      </c>
      <c r="J176" s="6" t="inlineStr">
        <is>
          <t>Informado</t>
        </is>
      </c>
      <c r="K176" s="6" t="inlineStr">
        <is>
          <t>Demanda doméstica fixa informada pelo usuário.</t>
        </is>
      </c>
    </row>
    <row r="177">
      <c r="A177" s="6" t="inlineStr">
        <is>
          <t>Milho</t>
        </is>
      </c>
      <c r="B177" s="6" t="inlineStr">
        <is>
          <t>Aracaju - SE</t>
        </is>
      </c>
      <c r="C177" s="6" t="n">
        <v>-10.9091</v>
      </c>
      <c r="D177" s="6" t="n">
        <v>-37.0677</v>
      </c>
      <c r="E177" s="6" t="inlineStr">
        <is>
          <t>2021-08</t>
        </is>
      </c>
      <c r="F177" s="6" t="n">
        <v>20747.8925880729</v>
      </c>
      <c r="G177" s="6" t="inlineStr">
        <is>
          <t>DOMESTICA</t>
        </is>
      </c>
      <c r="H177" s="6" t="inlineStr">
        <is>
          <t>FIXO</t>
        </is>
      </c>
      <c r="I177" s="11">
        <f>IF($H177="AUTO_OFERTA_TOTAL_PRODUTO_PERIODO",SUMIFS(Oferta!$F:$F,Oferta!$A:$A,$A177,Oferta!$E:$E,$E177),$F177)</f>
        <v/>
      </c>
      <c r="J177" s="6" t="inlineStr">
        <is>
          <t>Informado</t>
        </is>
      </c>
      <c r="K177" s="6" t="inlineStr">
        <is>
          <t>Demanda doméstica fixa informada pelo usuário.</t>
        </is>
      </c>
    </row>
    <row r="178">
      <c r="A178" s="6" t="inlineStr">
        <is>
          <t>Milho</t>
        </is>
      </c>
      <c r="B178" s="6" t="inlineStr">
        <is>
          <t>Aracaju - SE</t>
        </is>
      </c>
      <c r="C178" s="6" t="n">
        <v>-10.9091</v>
      </c>
      <c r="D178" s="6" t="n">
        <v>-37.0677</v>
      </c>
      <c r="E178" s="6" t="inlineStr">
        <is>
          <t>2021-09</t>
        </is>
      </c>
      <c r="F178" s="6" t="n">
        <v>23879.6499598575</v>
      </c>
      <c r="G178" s="6" t="inlineStr">
        <is>
          <t>DOMESTICA</t>
        </is>
      </c>
      <c r="H178" s="6" t="inlineStr">
        <is>
          <t>FIXO</t>
        </is>
      </c>
      <c r="I178" s="11">
        <f>IF($H178="AUTO_OFERTA_TOTAL_PRODUTO_PERIODO",SUMIFS(Oferta!$F:$F,Oferta!$A:$A,$A178,Oferta!$E:$E,$E178),$F178)</f>
        <v/>
      </c>
      <c r="J178" s="6" t="inlineStr">
        <is>
          <t>Informado</t>
        </is>
      </c>
      <c r="K178" s="6" t="inlineStr">
        <is>
          <t>Demanda doméstica fixa informada pelo usuário.</t>
        </is>
      </c>
    </row>
    <row r="179">
      <c r="A179" s="6" t="inlineStr">
        <is>
          <t>Milho</t>
        </is>
      </c>
      <c r="B179" s="6" t="inlineStr">
        <is>
          <t>Aracaju - SE</t>
        </is>
      </c>
      <c r="C179" s="6" t="n">
        <v>-10.9091</v>
      </c>
      <c r="D179" s="6" t="n">
        <v>-37.0677</v>
      </c>
      <c r="E179" s="6" t="inlineStr">
        <is>
          <t>2021-10</t>
        </is>
      </c>
      <c r="F179" s="6" t="n">
        <v>30143.1647034267</v>
      </c>
      <c r="G179" s="6" t="inlineStr">
        <is>
          <t>DOMESTICA</t>
        </is>
      </c>
      <c r="H179" s="6" t="inlineStr">
        <is>
          <t>FIXO</t>
        </is>
      </c>
      <c r="I179" s="11">
        <f>IF($H179="AUTO_OFERTA_TOTAL_PRODUTO_PERIODO",SUMIFS(Oferta!$F:$F,Oferta!$A:$A,$A179,Oferta!$E:$E,$E179),$F179)</f>
        <v/>
      </c>
      <c r="J179" s="6" t="inlineStr">
        <is>
          <t>Informado</t>
        </is>
      </c>
      <c r="K179" s="6" t="inlineStr">
        <is>
          <t>Demanda doméstica fixa informada pelo usuário.</t>
        </is>
      </c>
    </row>
    <row r="180">
      <c r="A180" s="6" t="inlineStr">
        <is>
          <t>Milho</t>
        </is>
      </c>
      <c r="B180" s="6" t="inlineStr">
        <is>
          <t>Aracaju - SE</t>
        </is>
      </c>
      <c r="C180" s="6" t="n">
        <v>-10.9091</v>
      </c>
      <c r="D180" s="6" t="n">
        <v>-37.0677</v>
      </c>
      <c r="E180" s="6" t="inlineStr">
        <is>
          <t>2021-11</t>
        </is>
      </c>
      <c r="F180" s="6" t="n">
        <v>48933.7089341343</v>
      </c>
      <c r="G180" s="6" t="inlineStr">
        <is>
          <t>DOMESTICA</t>
        </is>
      </c>
      <c r="H180" s="6" t="inlineStr">
        <is>
          <t>FIXO</t>
        </is>
      </c>
      <c r="I180" s="11">
        <f>IF($H180="AUTO_OFERTA_TOTAL_PRODUTO_PERIODO",SUMIFS(Oferta!$F:$F,Oferta!$A:$A,$A180,Oferta!$E:$E,$E180),$F180)</f>
        <v/>
      </c>
      <c r="J180" s="6" t="inlineStr">
        <is>
          <t>Informado</t>
        </is>
      </c>
      <c r="K180" s="6" t="inlineStr">
        <is>
          <t>Demanda doméstica fixa informada pelo usuário.</t>
        </is>
      </c>
    </row>
    <row r="181">
      <c r="A181" s="6" t="inlineStr">
        <is>
          <t>Milho</t>
        </is>
      </c>
      <c r="B181" s="6" t="inlineStr">
        <is>
          <t>Aracaju - SE</t>
        </is>
      </c>
      <c r="C181" s="6" t="n">
        <v>-10.9091</v>
      </c>
      <c r="D181" s="6" t="n">
        <v>-37.0677</v>
      </c>
      <c r="E181" s="6" t="inlineStr">
        <is>
          <t>2021-12</t>
        </is>
      </c>
      <c r="F181" s="6" t="n">
        <v>52065.4663059189</v>
      </c>
      <c r="G181" s="6" t="inlineStr">
        <is>
          <t>DOMESTICA</t>
        </is>
      </c>
      <c r="H181" s="6" t="inlineStr">
        <is>
          <t>FIXO</t>
        </is>
      </c>
      <c r="I181" s="11">
        <f>IF($H181="AUTO_OFERTA_TOTAL_PRODUTO_PERIODO",SUMIFS(Oferta!$F:$F,Oferta!$A:$A,$A181,Oferta!$E:$E,$E181),$F181)</f>
        <v/>
      </c>
      <c r="J181" s="6" t="inlineStr">
        <is>
          <t>Informado</t>
        </is>
      </c>
      <c r="K181" s="6" t="inlineStr">
        <is>
          <t>Demanda doméstica fixa informada pelo usuário.</t>
        </is>
      </c>
    </row>
    <row r="182">
      <c r="A182" s="6" t="inlineStr">
        <is>
          <t>Milho</t>
        </is>
      </c>
      <c r="B182" s="6" t="inlineStr">
        <is>
          <t>Natal - RN</t>
        </is>
      </c>
      <c r="C182" s="6" t="n">
        <v>-5.79357</v>
      </c>
      <c r="D182" s="6" t="n">
        <v>-35.1986</v>
      </c>
      <c r="E182" s="6" t="inlineStr">
        <is>
          <t>2021-01</t>
        </is>
      </c>
      <c r="F182" s="6" t="n">
        <v>25350.0384168726</v>
      </c>
      <c r="G182" s="6" t="inlineStr">
        <is>
          <t>DOMESTICA</t>
        </is>
      </c>
      <c r="H182" s="6" t="inlineStr">
        <is>
          <t>FIXO</t>
        </is>
      </c>
      <c r="I182" s="11">
        <f>IF($H182="AUTO_OFERTA_TOTAL_PRODUTO_PERIODO",SUMIFS(Oferta!$F:$F,Oferta!$A:$A,$A182,Oferta!$E:$E,$E182),$F182)</f>
        <v/>
      </c>
      <c r="J182" s="6" t="inlineStr">
        <is>
          <t>Informado</t>
        </is>
      </c>
      <c r="K182" s="6" t="inlineStr">
        <is>
          <t>Demanda doméstica fixa informada pelo usuário.</t>
        </is>
      </c>
    </row>
    <row r="183">
      <c r="A183" s="6" t="inlineStr">
        <is>
          <t>Milho</t>
        </is>
      </c>
      <c r="B183" s="6" t="inlineStr">
        <is>
          <t>Natal - RN</t>
        </is>
      </c>
      <c r="C183" s="6" t="n">
        <v>-5.79357</v>
      </c>
      <c r="D183" s="6" t="n">
        <v>-35.1986</v>
      </c>
      <c r="E183" s="6" t="inlineStr">
        <is>
          <t>2021-02</t>
        </is>
      </c>
      <c r="F183" s="6" t="n">
        <v>25350.0384168726</v>
      </c>
      <c r="G183" s="6" t="inlineStr">
        <is>
          <t>DOMESTICA</t>
        </is>
      </c>
      <c r="H183" s="6" t="inlineStr">
        <is>
          <t>FIXO</t>
        </is>
      </c>
      <c r="I183" s="11">
        <f>IF($H183="AUTO_OFERTA_TOTAL_PRODUTO_PERIODO",SUMIFS(Oferta!$F:$F,Oferta!$A:$A,$A183,Oferta!$E:$E,$E183),$F183)</f>
        <v/>
      </c>
      <c r="J183" s="6" t="inlineStr">
        <is>
          <t>Informado</t>
        </is>
      </c>
      <c r="K183" s="6" t="inlineStr">
        <is>
          <t>Demanda doméstica fixa informada pelo usuário.</t>
        </is>
      </c>
    </row>
    <row r="184">
      <c r="A184" s="6" t="inlineStr">
        <is>
          <t>Milho</t>
        </is>
      </c>
      <c r="B184" s="6" t="inlineStr">
        <is>
          <t>Natal - RN</t>
        </is>
      </c>
      <c r="C184" s="6" t="n">
        <v>-5.79357</v>
      </c>
      <c r="D184" s="6" t="n">
        <v>-35.1986</v>
      </c>
      <c r="E184" s="6" t="inlineStr">
        <is>
          <t>2021-03</t>
        </is>
      </c>
      <c r="F184" s="6" t="n">
        <v>25350.0384168726</v>
      </c>
      <c r="G184" s="6" t="inlineStr">
        <is>
          <t>DOMESTICA</t>
        </is>
      </c>
      <c r="H184" s="6" t="inlineStr">
        <is>
          <t>FIXO</t>
        </is>
      </c>
      <c r="I184" s="11">
        <f>IF($H184="AUTO_OFERTA_TOTAL_PRODUTO_PERIODO",SUMIFS(Oferta!$F:$F,Oferta!$A:$A,$A184,Oferta!$E:$E,$E184),$F184)</f>
        <v/>
      </c>
      <c r="J184" s="6" t="inlineStr">
        <is>
          <t>Informado</t>
        </is>
      </c>
      <c r="K184" s="6" t="inlineStr">
        <is>
          <t>Demanda doméstica fixa informada pelo usuário.</t>
        </is>
      </c>
    </row>
    <row r="185">
      <c r="A185" s="6" t="inlineStr">
        <is>
          <t>Milho</t>
        </is>
      </c>
      <c r="B185" s="6" t="inlineStr">
        <is>
          <t>Natal - RN</t>
        </is>
      </c>
      <c r="C185" s="6" t="n">
        <v>-5.79357</v>
      </c>
      <c r="D185" s="6" t="n">
        <v>-35.1986</v>
      </c>
      <c r="E185" s="6" t="inlineStr">
        <is>
          <t>2021-04</t>
        </is>
      </c>
      <c r="F185" s="6" t="n">
        <v>25350.0384168726</v>
      </c>
      <c r="G185" s="6" t="inlineStr">
        <is>
          <t>DOMESTICA</t>
        </is>
      </c>
      <c r="H185" s="6" t="inlineStr">
        <is>
          <t>FIXO</t>
        </is>
      </c>
      <c r="I185" s="11">
        <f>IF($H185="AUTO_OFERTA_TOTAL_PRODUTO_PERIODO",SUMIFS(Oferta!$F:$F,Oferta!$A:$A,$A185,Oferta!$E:$E,$E185),$F185)</f>
        <v/>
      </c>
      <c r="J185" s="6" t="inlineStr">
        <is>
          <t>Informado</t>
        </is>
      </c>
      <c r="K185" s="6" t="inlineStr">
        <is>
          <t>Demanda doméstica fixa informada pelo usuário.</t>
        </is>
      </c>
    </row>
    <row r="186">
      <c r="A186" s="6" t="inlineStr">
        <is>
          <t>Milho</t>
        </is>
      </c>
      <c r="B186" s="6" t="inlineStr">
        <is>
          <t>Natal - RN</t>
        </is>
      </c>
      <c r="C186" s="6" t="n">
        <v>-5.79357</v>
      </c>
      <c r="D186" s="6" t="n">
        <v>-35.1986</v>
      </c>
      <c r="E186" s="6" t="inlineStr">
        <is>
          <t>2021-05</t>
        </is>
      </c>
      <c r="F186" s="6" t="n">
        <v>25350.0384168726</v>
      </c>
      <c r="G186" s="6" t="inlineStr">
        <is>
          <t>DOMESTICA</t>
        </is>
      </c>
      <c r="H186" s="6" t="inlineStr">
        <is>
          <t>FIXO</t>
        </is>
      </c>
      <c r="I186" s="11">
        <f>IF($H186="AUTO_OFERTA_TOTAL_PRODUTO_PERIODO",SUMIFS(Oferta!$F:$F,Oferta!$A:$A,$A186,Oferta!$E:$E,$E186),$F186)</f>
        <v/>
      </c>
      <c r="J186" s="6" t="inlineStr">
        <is>
          <t>Informado</t>
        </is>
      </c>
      <c r="K186" s="6" t="inlineStr">
        <is>
          <t>Demanda doméstica fixa informada pelo usuário.</t>
        </is>
      </c>
    </row>
    <row r="187">
      <c r="A187" s="6" t="inlineStr">
        <is>
          <t>Milho</t>
        </is>
      </c>
      <c r="B187" s="6" t="inlineStr">
        <is>
          <t>Natal - RN</t>
        </is>
      </c>
      <c r="C187" s="6" t="n">
        <v>-5.79357</v>
      </c>
      <c r="D187" s="6" t="n">
        <v>-35.1986</v>
      </c>
      <c r="E187" s="6" t="inlineStr">
        <is>
          <t>2021-06</t>
        </is>
      </c>
      <c r="F187" s="6" t="n">
        <v>33002.8802030984</v>
      </c>
      <c r="G187" s="6" t="inlineStr">
        <is>
          <t>DOMESTICA</t>
        </is>
      </c>
      <c r="H187" s="6" t="inlineStr">
        <is>
          <t>FIXO</t>
        </is>
      </c>
      <c r="I187" s="11">
        <f>IF($H187="AUTO_OFERTA_TOTAL_PRODUTO_PERIODO",SUMIFS(Oferta!$F:$F,Oferta!$A:$A,$A187,Oferta!$E:$E,$E187),$F187)</f>
        <v/>
      </c>
      <c r="J187" s="6" t="inlineStr">
        <is>
          <t>Informado</t>
        </is>
      </c>
      <c r="K187" s="6" t="inlineStr">
        <is>
          <t>Demanda doméstica fixa informada pelo usuário.</t>
        </is>
      </c>
    </row>
    <row r="188">
      <c r="A188" s="6" t="inlineStr">
        <is>
          <t>Milho</t>
        </is>
      </c>
      <c r="B188" s="6" t="inlineStr">
        <is>
          <t>Natal - RN</t>
        </is>
      </c>
      <c r="C188" s="6" t="n">
        <v>-5.79357</v>
      </c>
      <c r="D188" s="6" t="n">
        <v>-35.1986</v>
      </c>
      <c r="E188" s="6" t="inlineStr">
        <is>
          <t>2021-07</t>
        </is>
      </c>
      <c r="F188" s="6" t="n">
        <v>40655.721989324</v>
      </c>
      <c r="G188" s="6" t="inlineStr">
        <is>
          <t>DOMESTICA</t>
        </is>
      </c>
      <c r="H188" s="6" t="inlineStr">
        <is>
          <t>FIXO</t>
        </is>
      </c>
      <c r="I188" s="11">
        <f>IF($H188="AUTO_OFERTA_TOTAL_PRODUTO_PERIODO",SUMIFS(Oferta!$F:$F,Oferta!$A:$A,$A188,Oferta!$E:$E,$E188),$F188)</f>
        <v/>
      </c>
      <c r="J188" s="6" t="inlineStr">
        <is>
          <t>Informado</t>
        </is>
      </c>
      <c r="K188" s="6" t="inlineStr">
        <is>
          <t>Demanda doméstica fixa informada pelo usuário.</t>
        </is>
      </c>
    </row>
    <row r="189">
      <c r="A189" s="6" t="inlineStr">
        <is>
          <t>Milho</t>
        </is>
      </c>
      <c r="B189" s="6" t="inlineStr">
        <is>
          <t>Natal - RN</t>
        </is>
      </c>
      <c r="C189" s="6" t="n">
        <v>-5.79357</v>
      </c>
      <c r="D189" s="6" t="n">
        <v>-35.1986</v>
      </c>
      <c r="E189" s="6" t="inlineStr">
        <is>
          <t>2021-08</t>
        </is>
      </c>
      <c r="F189" s="6" t="n">
        <v>55961.4055617755</v>
      </c>
      <c r="G189" s="6" t="inlineStr">
        <is>
          <t>DOMESTICA</t>
        </is>
      </c>
      <c r="H189" s="6" t="inlineStr">
        <is>
          <t>FIXO</t>
        </is>
      </c>
      <c r="I189" s="11">
        <f>IF($H189="AUTO_OFERTA_TOTAL_PRODUTO_PERIODO",SUMIFS(Oferta!$F:$F,Oferta!$A:$A,$A189,Oferta!$E:$E,$E189),$F189)</f>
        <v/>
      </c>
      <c r="J189" s="6" t="inlineStr">
        <is>
          <t>Informado</t>
        </is>
      </c>
      <c r="K189" s="6" t="inlineStr">
        <is>
          <t>Demanda doméstica fixa informada pelo usuário.</t>
        </is>
      </c>
    </row>
    <row r="190">
      <c r="A190" s="6" t="inlineStr">
        <is>
          <t>Milho</t>
        </is>
      </c>
      <c r="B190" s="6" t="inlineStr">
        <is>
          <t>Natal - RN</t>
        </is>
      </c>
      <c r="C190" s="6" t="n">
        <v>-5.79357</v>
      </c>
      <c r="D190" s="6" t="n">
        <v>-35.1986</v>
      </c>
      <c r="E190" s="6" t="inlineStr">
        <is>
          <t>2021-09</t>
        </is>
      </c>
      <c r="F190" s="6" t="n">
        <v>63614.2473480012</v>
      </c>
      <c r="G190" s="6" t="inlineStr">
        <is>
          <t>DOMESTICA</t>
        </is>
      </c>
      <c r="H190" s="6" t="inlineStr">
        <is>
          <t>FIXO</t>
        </is>
      </c>
      <c r="I190" s="11">
        <f>IF($H190="AUTO_OFERTA_TOTAL_PRODUTO_PERIODO",SUMIFS(Oferta!$F:$F,Oferta!$A:$A,$A190,Oferta!$E:$E,$E190),$F190)</f>
        <v/>
      </c>
      <c r="J190" s="6" t="inlineStr">
        <is>
          <t>Informado</t>
        </is>
      </c>
      <c r="K190" s="6" t="inlineStr">
        <is>
          <t>Demanda doméstica fixa informada pelo usuário.</t>
        </is>
      </c>
    </row>
    <row r="191">
      <c r="A191" s="6" t="inlineStr">
        <is>
          <t>Milho</t>
        </is>
      </c>
      <c r="B191" s="6" t="inlineStr">
        <is>
          <t>Natal - RN</t>
        </is>
      </c>
      <c r="C191" s="6" t="n">
        <v>-5.79357</v>
      </c>
      <c r="D191" s="6" t="n">
        <v>-35.1986</v>
      </c>
      <c r="E191" s="6" t="inlineStr">
        <is>
          <t>2021-10</t>
        </is>
      </c>
      <c r="F191" s="6" t="n">
        <v>63614.2473480012</v>
      </c>
      <c r="G191" s="6" t="inlineStr">
        <is>
          <t>DOMESTICA</t>
        </is>
      </c>
      <c r="H191" s="6" t="inlineStr">
        <is>
          <t>FIXO</t>
        </is>
      </c>
      <c r="I191" s="11">
        <f>IF($H191="AUTO_OFERTA_TOTAL_PRODUTO_PERIODO",SUMIFS(Oferta!$F:$F,Oferta!$A:$A,$A191,Oferta!$E:$E,$E191),$F191)</f>
        <v/>
      </c>
      <c r="J191" s="6" t="inlineStr">
        <is>
          <t>Informado</t>
        </is>
      </c>
      <c r="K191" s="6" t="inlineStr">
        <is>
          <t>Demanda doméstica fixa informada pelo usuário.</t>
        </is>
      </c>
    </row>
    <row r="192">
      <c r="A192" s="6" t="inlineStr">
        <is>
          <t>Milho</t>
        </is>
      </c>
      <c r="B192" s="6" t="inlineStr">
        <is>
          <t>Natal - RN</t>
        </is>
      </c>
      <c r="C192" s="6" t="n">
        <v>-5.79357</v>
      </c>
      <c r="D192" s="6" t="n">
        <v>-35.1986</v>
      </c>
      <c r="E192" s="6" t="inlineStr">
        <is>
          <t>2021-11</t>
        </is>
      </c>
      <c r="F192" s="6" t="n">
        <v>48308.5637755498</v>
      </c>
      <c r="G192" s="6" t="inlineStr">
        <is>
          <t>DOMESTICA</t>
        </is>
      </c>
      <c r="H192" s="6" t="inlineStr">
        <is>
          <t>FIXO</t>
        </is>
      </c>
      <c r="I192" s="11">
        <f>IF($H192="AUTO_OFERTA_TOTAL_PRODUTO_PERIODO",SUMIFS(Oferta!$F:$F,Oferta!$A:$A,$A192,Oferta!$E:$E,$E192),$F192)</f>
        <v/>
      </c>
      <c r="J192" s="6" t="inlineStr">
        <is>
          <t>Informado</t>
        </is>
      </c>
      <c r="K192" s="6" t="inlineStr">
        <is>
          <t>Demanda doméstica fixa informada pelo usuário.</t>
        </is>
      </c>
    </row>
    <row r="193">
      <c r="A193" s="6" t="inlineStr">
        <is>
          <t>Milho</t>
        </is>
      </c>
      <c r="B193" s="6" t="inlineStr">
        <is>
          <t>Natal - RN</t>
        </is>
      </c>
      <c r="C193" s="6" t="n">
        <v>-5.79357</v>
      </c>
      <c r="D193" s="6" t="n">
        <v>-35.1986</v>
      </c>
      <c r="E193" s="6" t="inlineStr">
        <is>
          <t>2021-12</t>
        </is>
      </c>
      <c r="F193" s="6" t="n">
        <v>33002.8802030984</v>
      </c>
      <c r="G193" s="6" t="inlineStr">
        <is>
          <t>DOMESTICA</t>
        </is>
      </c>
      <c r="H193" s="6" t="inlineStr">
        <is>
          <t>FIXO</t>
        </is>
      </c>
      <c r="I193" s="11">
        <f>IF($H193="AUTO_OFERTA_TOTAL_PRODUTO_PERIODO",SUMIFS(Oferta!$F:$F,Oferta!$A:$A,$A193,Oferta!$E:$E,$E193),$F193)</f>
        <v/>
      </c>
      <c r="J193" s="6" t="inlineStr">
        <is>
          <t>Informado</t>
        </is>
      </c>
      <c r="K193" s="6" t="inlineStr">
        <is>
          <t>Demanda doméstica fixa informada pelo usuário.</t>
        </is>
      </c>
    </row>
    <row r="194">
      <c r="A194" s="6" t="inlineStr">
        <is>
          <t>Milho</t>
        </is>
      </c>
      <c r="B194" s="6" t="inlineStr">
        <is>
          <t>Brasília - DF</t>
        </is>
      </c>
      <c r="C194" s="6" t="n">
        <v>-15.7795</v>
      </c>
      <c r="D194" s="6" t="n">
        <v>-47.9297</v>
      </c>
      <c r="E194" s="6" t="inlineStr">
        <is>
          <t>2021-01</t>
        </is>
      </c>
      <c r="F194" s="6" t="n">
        <v>22050.7909562844</v>
      </c>
      <c r="G194" s="6" t="inlineStr">
        <is>
          <t>DOMESTICA</t>
        </is>
      </c>
      <c r="H194" s="6" t="inlineStr">
        <is>
          <t>FIXO</t>
        </is>
      </c>
      <c r="I194" s="11">
        <f>IF($H194="AUTO_OFERTA_TOTAL_PRODUTO_PERIODO",SUMIFS(Oferta!$F:$F,Oferta!$A:$A,$A194,Oferta!$E:$E,$E194),$F194)</f>
        <v/>
      </c>
      <c r="J194" s="6" t="inlineStr">
        <is>
          <t>Informado</t>
        </is>
      </c>
      <c r="K194" s="6" t="inlineStr">
        <is>
          <t>Demanda doméstica fixa informada pelo usuário.</t>
        </is>
      </c>
    </row>
    <row r="195">
      <c r="A195" s="6" t="inlineStr">
        <is>
          <t>Milho</t>
        </is>
      </c>
      <c r="B195" s="6" t="inlineStr">
        <is>
          <t>Brasília - DF</t>
        </is>
      </c>
      <c r="C195" s="6" t="n">
        <v>-15.7795</v>
      </c>
      <c r="D195" s="6" t="n">
        <v>-47.9297</v>
      </c>
      <c r="E195" s="6" t="inlineStr">
        <is>
          <t>2021-02</t>
        </is>
      </c>
      <c r="F195" s="6" t="n">
        <v>22050.7909562844</v>
      </c>
      <c r="G195" s="6" t="inlineStr">
        <is>
          <t>DOMESTICA</t>
        </is>
      </c>
      <c r="H195" s="6" t="inlineStr">
        <is>
          <t>FIXO</t>
        </is>
      </c>
      <c r="I195" s="11">
        <f>IF($H195="AUTO_OFERTA_TOTAL_PRODUTO_PERIODO",SUMIFS(Oferta!$F:$F,Oferta!$A:$A,$A195,Oferta!$E:$E,$E195),$F195)</f>
        <v/>
      </c>
      <c r="J195" s="6" t="inlineStr">
        <is>
          <t>Informado</t>
        </is>
      </c>
      <c r="K195" s="6" t="inlineStr">
        <is>
          <t>Demanda doméstica fixa informada pelo usuário.</t>
        </is>
      </c>
    </row>
    <row r="196">
      <c r="A196" s="6" t="inlineStr">
        <is>
          <t>Milho</t>
        </is>
      </c>
      <c r="B196" s="6" t="inlineStr">
        <is>
          <t>Brasília - DF</t>
        </is>
      </c>
      <c r="C196" s="6" t="n">
        <v>-15.7795</v>
      </c>
      <c r="D196" s="6" t="n">
        <v>-47.9297</v>
      </c>
      <c r="E196" s="6" t="inlineStr">
        <is>
          <t>2021-03</t>
        </is>
      </c>
      <c r="F196" s="6" t="n">
        <v>25379.2122327046</v>
      </c>
      <c r="G196" s="6" t="inlineStr">
        <is>
          <t>DOMESTICA</t>
        </is>
      </c>
      <c r="H196" s="6" t="inlineStr">
        <is>
          <t>FIXO</t>
        </is>
      </c>
      <c r="I196" s="11">
        <f>IF($H196="AUTO_OFERTA_TOTAL_PRODUTO_PERIODO",SUMIFS(Oferta!$F:$F,Oferta!$A:$A,$A196,Oferta!$E:$E,$E196),$F196)</f>
        <v/>
      </c>
      <c r="J196" s="6" t="inlineStr">
        <is>
          <t>Informado</t>
        </is>
      </c>
      <c r="K196" s="6" t="inlineStr">
        <is>
          <t>Demanda doméstica fixa informada pelo usuário.</t>
        </is>
      </c>
    </row>
    <row r="197">
      <c r="A197" s="6" t="inlineStr">
        <is>
          <t>Milho</t>
        </is>
      </c>
      <c r="B197" s="6" t="inlineStr">
        <is>
          <t>Brasília - DF</t>
        </is>
      </c>
      <c r="C197" s="6" t="n">
        <v>-15.7795</v>
      </c>
      <c r="D197" s="6" t="n">
        <v>-47.9297</v>
      </c>
      <c r="E197" s="6" t="inlineStr">
        <is>
          <t>2021-04</t>
        </is>
      </c>
      <c r="F197" s="6" t="n">
        <v>32036.0547855452</v>
      </c>
      <c r="G197" s="6" t="inlineStr">
        <is>
          <t>DOMESTICA</t>
        </is>
      </c>
      <c r="H197" s="6" t="inlineStr">
        <is>
          <t>FIXO</t>
        </is>
      </c>
      <c r="I197" s="11">
        <f>IF($H197="AUTO_OFERTA_TOTAL_PRODUTO_PERIODO",SUMIFS(Oferta!$F:$F,Oferta!$A:$A,$A197,Oferta!$E:$E,$E197),$F197)</f>
        <v/>
      </c>
      <c r="J197" s="6" t="inlineStr">
        <is>
          <t>Informado</t>
        </is>
      </c>
      <c r="K197" s="6" t="inlineStr">
        <is>
          <t>Demanda doméstica fixa informada pelo usuário.</t>
        </is>
      </c>
    </row>
    <row r="198">
      <c r="A198" s="6" t="inlineStr">
        <is>
          <t>Milho</t>
        </is>
      </c>
      <c r="B198" s="6" t="inlineStr">
        <is>
          <t>Brasília - DF</t>
        </is>
      </c>
      <c r="C198" s="6" t="n">
        <v>-15.7795</v>
      </c>
      <c r="D198" s="6" t="n">
        <v>-47.9297</v>
      </c>
      <c r="E198" s="6" t="inlineStr">
        <is>
          <t>2021-05</t>
        </is>
      </c>
      <c r="F198" s="6" t="n">
        <v>52006.5824440669</v>
      </c>
      <c r="G198" s="6" t="inlineStr">
        <is>
          <t>DOMESTICA</t>
        </is>
      </c>
      <c r="H198" s="6" t="inlineStr">
        <is>
          <t>FIXO</t>
        </is>
      </c>
      <c r="I198" s="11">
        <f>IF($H198="AUTO_OFERTA_TOTAL_PRODUTO_PERIODO",SUMIFS(Oferta!$F:$F,Oferta!$A:$A,$A198,Oferta!$E:$E,$E198),$F198)</f>
        <v/>
      </c>
      <c r="J198" s="6" t="inlineStr">
        <is>
          <t>Informado</t>
        </is>
      </c>
      <c r="K198" s="6" t="inlineStr">
        <is>
          <t>Demanda doméstica fixa informada pelo usuário.</t>
        </is>
      </c>
    </row>
    <row r="199">
      <c r="A199" s="6" t="inlineStr">
        <is>
          <t>Milho</t>
        </is>
      </c>
      <c r="B199" s="6" t="inlineStr">
        <is>
          <t>Brasília - DF</t>
        </is>
      </c>
      <c r="C199" s="6" t="n">
        <v>-15.7795</v>
      </c>
      <c r="D199" s="6" t="n">
        <v>-47.9297</v>
      </c>
      <c r="E199" s="6" t="inlineStr">
        <is>
          <t>2021-06</t>
        </is>
      </c>
      <c r="F199" s="6" t="n">
        <v>61991.8462733277</v>
      </c>
      <c r="G199" s="6" t="inlineStr">
        <is>
          <t>DOMESTICA</t>
        </is>
      </c>
      <c r="H199" s="6" t="inlineStr">
        <is>
          <t>FIXO</t>
        </is>
      </c>
      <c r="I199" s="11">
        <f>IF($H199="AUTO_OFERTA_TOTAL_PRODUTO_PERIODO",SUMIFS(Oferta!$F:$F,Oferta!$A:$A,$A199,Oferta!$E:$E,$E199),$F199)</f>
        <v/>
      </c>
      <c r="J199" s="6" t="inlineStr">
        <is>
          <t>Informado</t>
        </is>
      </c>
      <c r="K199" s="6" t="inlineStr">
        <is>
          <t>Demanda doméstica fixa informada pelo usuário.</t>
        </is>
      </c>
    </row>
    <row r="200">
      <c r="A200" s="6" t="inlineStr">
        <is>
          <t>Milho</t>
        </is>
      </c>
      <c r="B200" s="6" t="inlineStr">
        <is>
          <t>Brasília - DF</t>
        </is>
      </c>
      <c r="C200" s="6" t="n">
        <v>-15.7795</v>
      </c>
      <c r="D200" s="6" t="n">
        <v>-47.9297</v>
      </c>
      <c r="E200" s="6" t="inlineStr">
        <is>
          <t>2021-07</t>
        </is>
      </c>
      <c r="F200" s="6" t="n">
        <v>71977.1101025885</v>
      </c>
      <c r="G200" s="6" t="inlineStr">
        <is>
          <t>DOMESTICA</t>
        </is>
      </c>
      <c r="H200" s="6" t="inlineStr">
        <is>
          <t>FIXO</t>
        </is>
      </c>
      <c r="I200" s="11">
        <f>IF($H200="AUTO_OFERTA_TOTAL_PRODUTO_PERIODO",SUMIFS(Oferta!$F:$F,Oferta!$A:$A,$A200,Oferta!$E:$E,$E200),$F200)</f>
        <v/>
      </c>
      <c r="J200" s="6" t="inlineStr">
        <is>
          <t>Informado</t>
        </is>
      </c>
      <c r="K200" s="6" t="inlineStr">
        <is>
          <t>Demanda doméstica fixa informada pelo usuário.</t>
        </is>
      </c>
    </row>
    <row r="201">
      <c r="A201" s="6" t="inlineStr">
        <is>
          <t>Milho</t>
        </is>
      </c>
      <c r="B201" s="6" t="inlineStr">
        <is>
          <t>Brasília - DF</t>
        </is>
      </c>
      <c r="C201" s="6" t="n">
        <v>-15.7795</v>
      </c>
      <c r="D201" s="6" t="n">
        <v>-47.9297</v>
      </c>
      <c r="E201" s="6" t="inlineStr">
        <is>
          <t>2021-08</t>
        </is>
      </c>
      <c r="F201" s="6" t="n">
        <v>65320.267549748</v>
      </c>
      <c r="G201" s="6" t="inlineStr">
        <is>
          <t>DOMESTICA</t>
        </is>
      </c>
      <c r="H201" s="6" t="inlineStr">
        <is>
          <t>FIXO</t>
        </is>
      </c>
      <c r="I201" s="11">
        <f>IF($H201="AUTO_OFERTA_TOTAL_PRODUTO_PERIODO",SUMIFS(Oferta!$F:$F,Oferta!$A:$A,$A201,Oferta!$E:$E,$E201),$F201)</f>
        <v/>
      </c>
      <c r="J201" s="6" t="inlineStr">
        <is>
          <t>Informado</t>
        </is>
      </c>
      <c r="K201" s="6" t="inlineStr">
        <is>
          <t>Demanda doméstica fixa informada pelo usuário.</t>
        </is>
      </c>
    </row>
    <row r="202">
      <c r="A202" s="6" t="inlineStr">
        <is>
          <t>Milho</t>
        </is>
      </c>
      <c r="B202" s="6" t="inlineStr">
        <is>
          <t>Brasília - DF</t>
        </is>
      </c>
      <c r="C202" s="6" t="n">
        <v>-15.7795</v>
      </c>
      <c r="D202" s="6" t="n">
        <v>-47.9297</v>
      </c>
      <c r="E202" s="6" t="inlineStr">
        <is>
          <t>2021-09</t>
        </is>
      </c>
      <c r="F202" s="6" t="n">
        <v>58663.4249969074</v>
      </c>
      <c r="G202" s="6" t="inlineStr">
        <is>
          <t>DOMESTICA</t>
        </is>
      </c>
      <c r="H202" s="6" t="inlineStr">
        <is>
          <t>FIXO</t>
        </is>
      </c>
      <c r="I202" s="11">
        <f>IF($H202="AUTO_OFERTA_TOTAL_PRODUTO_PERIODO",SUMIFS(Oferta!$F:$F,Oferta!$A:$A,$A202,Oferta!$E:$E,$E202),$F202)</f>
        <v/>
      </c>
      <c r="J202" s="6" t="inlineStr">
        <is>
          <t>Informado</t>
        </is>
      </c>
      <c r="K202" s="6" t="inlineStr">
        <is>
          <t>Demanda doméstica fixa informada pelo usuário.</t>
        </is>
      </c>
    </row>
    <row r="203">
      <c r="A203" s="6" t="inlineStr">
        <is>
          <t>Milho</t>
        </is>
      </c>
      <c r="B203" s="6" t="inlineStr">
        <is>
          <t>Brasília - DF</t>
        </is>
      </c>
      <c r="C203" s="6" t="n">
        <v>-15.7795</v>
      </c>
      <c r="D203" s="6" t="n">
        <v>-47.9297</v>
      </c>
      <c r="E203" s="6" t="inlineStr">
        <is>
          <t>2021-10</t>
        </is>
      </c>
      <c r="F203" s="6" t="n">
        <v>42021.318614806</v>
      </c>
      <c r="G203" s="6" t="inlineStr">
        <is>
          <t>DOMESTICA</t>
        </is>
      </c>
      <c r="H203" s="6" t="inlineStr">
        <is>
          <t>FIXO</t>
        </is>
      </c>
      <c r="I203" s="11">
        <f>IF($H203="AUTO_OFERTA_TOTAL_PRODUTO_PERIODO",SUMIFS(Oferta!$F:$F,Oferta!$A:$A,$A203,Oferta!$E:$E,$E203),$F203)</f>
        <v/>
      </c>
      <c r="J203" s="6" t="inlineStr">
        <is>
          <t>Informado</t>
        </is>
      </c>
      <c r="K203" s="6" t="inlineStr">
        <is>
          <t>Demanda doméstica fixa informada pelo usuário.</t>
        </is>
      </c>
    </row>
    <row r="204">
      <c r="A204" s="6" t="inlineStr">
        <is>
          <t>Milho</t>
        </is>
      </c>
      <c r="B204" s="6" t="inlineStr">
        <is>
          <t>Brasília - DF</t>
        </is>
      </c>
      <c r="C204" s="6" t="n">
        <v>-15.7795</v>
      </c>
      <c r="D204" s="6" t="n">
        <v>-47.9297</v>
      </c>
      <c r="E204" s="6" t="inlineStr">
        <is>
          <t>2021-11</t>
        </is>
      </c>
      <c r="F204" s="6" t="n">
        <v>28707.6335091249</v>
      </c>
      <c r="G204" s="6" t="inlineStr">
        <is>
          <t>DOMESTICA</t>
        </is>
      </c>
      <c r="H204" s="6" t="inlineStr">
        <is>
          <t>FIXO</t>
        </is>
      </c>
      <c r="I204" s="11">
        <f>IF($H204="AUTO_OFERTA_TOTAL_PRODUTO_PERIODO",SUMIFS(Oferta!$F:$F,Oferta!$A:$A,$A204,Oferta!$E:$E,$E204),$F204)</f>
        <v/>
      </c>
      <c r="J204" s="6" t="inlineStr">
        <is>
          <t>Informado</t>
        </is>
      </c>
      <c r="K204" s="6" t="inlineStr">
        <is>
          <t>Demanda doméstica fixa informada pelo usuário.</t>
        </is>
      </c>
    </row>
    <row r="205">
      <c r="A205" s="6" t="inlineStr">
        <is>
          <t>Milho</t>
        </is>
      </c>
      <c r="B205" s="6" t="inlineStr">
        <is>
          <t>Brasília - DF</t>
        </is>
      </c>
      <c r="C205" s="6" t="n">
        <v>-15.7795</v>
      </c>
      <c r="D205" s="6" t="n">
        <v>-47.9297</v>
      </c>
      <c r="E205" s="6" t="inlineStr">
        <is>
          <t>2021-12</t>
        </is>
      </c>
      <c r="F205" s="6" t="n">
        <v>22050.7909562844</v>
      </c>
      <c r="G205" s="6" t="inlineStr">
        <is>
          <t>DOMESTICA</t>
        </is>
      </c>
      <c r="H205" s="6" t="inlineStr">
        <is>
          <t>FIXO</t>
        </is>
      </c>
      <c r="I205" s="11">
        <f>IF($H205="AUTO_OFERTA_TOTAL_PRODUTO_PERIODO",SUMIFS(Oferta!$F:$F,Oferta!$A:$A,$A205,Oferta!$E:$E,$E205),$F205)</f>
        <v/>
      </c>
      <c r="J205" s="6" t="inlineStr">
        <is>
          <t>Informado</t>
        </is>
      </c>
      <c r="K205" s="6" t="inlineStr">
        <is>
          <t>Demanda doméstica fixa informada pelo usuário.</t>
        </is>
      </c>
    </row>
    <row r="206">
      <c r="A206" s="6" t="inlineStr">
        <is>
          <t>Milho</t>
        </is>
      </c>
      <c r="B206" s="6" t="inlineStr">
        <is>
          <t>Goiânia - GO</t>
        </is>
      </c>
      <c r="C206" s="6" t="n">
        <v>-16.6864</v>
      </c>
      <c r="D206" s="6" t="n">
        <v>-49.2643</v>
      </c>
      <c r="E206" s="6" t="inlineStr">
        <is>
          <t>2021-01</t>
        </is>
      </c>
      <c r="F206" s="6" t="n">
        <v>173756.1658974568</v>
      </c>
      <c r="G206" s="6" t="inlineStr">
        <is>
          <t>DOMESTICA</t>
        </is>
      </c>
      <c r="H206" s="6" t="inlineStr">
        <is>
          <t>FIXO</t>
        </is>
      </c>
      <c r="I206" s="11">
        <f>IF($H206="AUTO_OFERTA_TOTAL_PRODUTO_PERIODO",SUMIFS(Oferta!$F:$F,Oferta!$A:$A,$A206,Oferta!$E:$E,$E206),$F206)</f>
        <v/>
      </c>
      <c r="J206" s="6" t="inlineStr">
        <is>
          <t>Informado</t>
        </is>
      </c>
      <c r="K206" s="6" t="inlineStr">
        <is>
          <t>Demanda doméstica fixa informada pelo usuário.</t>
        </is>
      </c>
    </row>
    <row r="207">
      <c r="A207" s="6" t="inlineStr">
        <is>
          <t>Milho</t>
        </is>
      </c>
      <c r="B207" s="6" t="inlineStr">
        <is>
          <t>Goiânia - GO</t>
        </is>
      </c>
      <c r="C207" s="6" t="n">
        <v>-16.6864</v>
      </c>
      <c r="D207" s="6" t="n">
        <v>-49.2643</v>
      </c>
      <c r="E207" s="6" t="inlineStr">
        <is>
          <t>2021-02</t>
        </is>
      </c>
      <c r="F207" s="6" t="n">
        <v>173756.1658974568</v>
      </c>
      <c r="G207" s="6" t="inlineStr">
        <is>
          <t>DOMESTICA</t>
        </is>
      </c>
      <c r="H207" s="6" t="inlineStr">
        <is>
          <t>FIXO</t>
        </is>
      </c>
      <c r="I207" s="11">
        <f>IF($H207="AUTO_OFERTA_TOTAL_PRODUTO_PERIODO",SUMIFS(Oferta!$F:$F,Oferta!$A:$A,$A207,Oferta!$E:$E,$E207),$F207)</f>
        <v/>
      </c>
      <c r="J207" s="6" t="inlineStr">
        <is>
          <t>Informado</t>
        </is>
      </c>
      <c r="K207" s="6" t="inlineStr">
        <is>
          <t>Demanda doméstica fixa informada pelo usuário.</t>
        </is>
      </c>
    </row>
    <row r="208">
      <c r="A208" s="6" t="inlineStr">
        <is>
          <t>Milho</t>
        </is>
      </c>
      <c r="B208" s="6" t="inlineStr">
        <is>
          <t>Goiânia - GO</t>
        </is>
      </c>
      <c r="C208" s="6" t="n">
        <v>-16.6864</v>
      </c>
      <c r="D208" s="6" t="n">
        <v>-49.2643</v>
      </c>
      <c r="E208" s="6" t="inlineStr">
        <is>
          <t>2021-03</t>
        </is>
      </c>
      <c r="F208" s="6" t="n">
        <v>199983.5116932993</v>
      </c>
      <c r="G208" s="6" t="inlineStr">
        <is>
          <t>DOMESTICA</t>
        </is>
      </c>
      <c r="H208" s="6" t="inlineStr">
        <is>
          <t>FIXO</t>
        </is>
      </c>
      <c r="I208" s="11">
        <f>IF($H208="AUTO_OFERTA_TOTAL_PRODUTO_PERIODO",SUMIFS(Oferta!$F:$F,Oferta!$A:$A,$A208,Oferta!$E:$E,$E208),$F208)</f>
        <v/>
      </c>
      <c r="J208" s="6" t="inlineStr">
        <is>
          <t>Informado</t>
        </is>
      </c>
      <c r="K208" s="6" t="inlineStr">
        <is>
          <t>Demanda doméstica fixa informada pelo usuário.</t>
        </is>
      </c>
    </row>
    <row r="209">
      <c r="A209" s="6" t="inlineStr">
        <is>
          <t>Milho</t>
        </is>
      </c>
      <c r="B209" s="6" t="inlineStr">
        <is>
          <t>Goiânia - GO</t>
        </is>
      </c>
      <c r="C209" s="6" t="n">
        <v>-16.6864</v>
      </c>
      <c r="D209" s="6" t="n">
        <v>-49.2643</v>
      </c>
      <c r="E209" s="6" t="inlineStr">
        <is>
          <t>2021-04</t>
        </is>
      </c>
      <c r="F209" s="6" t="n">
        <v>252438.2032849844</v>
      </c>
      <c r="G209" s="6" t="inlineStr">
        <is>
          <t>DOMESTICA</t>
        </is>
      </c>
      <c r="H209" s="6" t="inlineStr">
        <is>
          <t>FIXO</t>
        </is>
      </c>
      <c r="I209" s="11">
        <f>IF($H209="AUTO_OFERTA_TOTAL_PRODUTO_PERIODO",SUMIFS(Oferta!$F:$F,Oferta!$A:$A,$A209,Oferta!$E:$E,$E209),$F209)</f>
        <v/>
      </c>
      <c r="J209" s="6" t="inlineStr">
        <is>
          <t>Informado</t>
        </is>
      </c>
      <c r="K209" s="6" t="inlineStr">
        <is>
          <t>Demanda doméstica fixa informada pelo usuário.</t>
        </is>
      </c>
    </row>
    <row r="210">
      <c r="A210" s="6" t="inlineStr">
        <is>
          <t>Milho</t>
        </is>
      </c>
      <c r="B210" s="6" t="inlineStr">
        <is>
          <t>Goiânia - GO</t>
        </is>
      </c>
      <c r="C210" s="6" t="n">
        <v>-16.6864</v>
      </c>
      <c r="D210" s="6" t="n">
        <v>-49.2643</v>
      </c>
      <c r="E210" s="6" t="inlineStr">
        <is>
          <t>2021-05</t>
        </is>
      </c>
      <c r="F210" s="6" t="n">
        <v>409802.2780600395</v>
      </c>
      <c r="G210" s="6" t="inlineStr">
        <is>
          <t>DOMESTICA</t>
        </is>
      </c>
      <c r="H210" s="6" t="inlineStr">
        <is>
          <t>FIXO</t>
        </is>
      </c>
      <c r="I210" s="11">
        <f>IF($H210="AUTO_OFERTA_TOTAL_PRODUTO_PERIODO",SUMIFS(Oferta!$F:$F,Oferta!$A:$A,$A210,Oferta!$E:$E,$E210),$F210)</f>
        <v/>
      </c>
      <c r="J210" s="6" t="inlineStr">
        <is>
          <t>Informado</t>
        </is>
      </c>
      <c r="K210" s="6" t="inlineStr">
        <is>
          <t>Demanda doméstica fixa informada pelo usuário.</t>
        </is>
      </c>
    </row>
    <row r="211">
      <c r="A211" s="6" t="inlineStr">
        <is>
          <t>Milho</t>
        </is>
      </c>
      <c r="B211" s="6" t="inlineStr">
        <is>
          <t>Goiânia - GO</t>
        </is>
      </c>
      <c r="C211" s="6" t="n">
        <v>-16.6864</v>
      </c>
      <c r="D211" s="6" t="n">
        <v>-49.2643</v>
      </c>
      <c r="E211" s="6" t="inlineStr">
        <is>
          <t>2021-06</t>
        </is>
      </c>
      <c r="F211" s="6" t="n">
        <v>488484.315447567</v>
      </c>
      <c r="G211" s="6" t="inlineStr">
        <is>
          <t>DOMESTICA</t>
        </is>
      </c>
      <c r="H211" s="6" t="inlineStr">
        <is>
          <t>FIXO</t>
        </is>
      </c>
      <c r="I211" s="11">
        <f>IF($H211="AUTO_OFERTA_TOTAL_PRODUTO_PERIODO",SUMIFS(Oferta!$F:$F,Oferta!$A:$A,$A211,Oferta!$E:$E,$E211),$F211)</f>
        <v/>
      </c>
      <c r="J211" s="6" t="inlineStr">
        <is>
          <t>Informado</t>
        </is>
      </c>
      <c r="K211" s="6" t="inlineStr">
        <is>
          <t>Demanda doméstica fixa informada pelo usuário.</t>
        </is>
      </c>
    </row>
    <row r="212">
      <c r="A212" s="6" t="inlineStr">
        <is>
          <t>Milho</t>
        </is>
      </c>
      <c r="B212" s="6" t="inlineStr">
        <is>
          <t>Goiânia - GO</t>
        </is>
      </c>
      <c r="C212" s="6" t="n">
        <v>-16.6864</v>
      </c>
      <c r="D212" s="6" t="n">
        <v>-49.2643</v>
      </c>
      <c r="E212" s="6" t="inlineStr">
        <is>
          <t>2021-07</t>
        </is>
      </c>
      <c r="F212" s="6" t="n">
        <v>567166.3528350947</v>
      </c>
      <c r="G212" s="6" t="inlineStr">
        <is>
          <t>DOMESTICA</t>
        </is>
      </c>
      <c r="H212" s="6" t="inlineStr">
        <is>
          <t>FIXO</t>
        </is>
      </c>
      <c r="I212" s="11">
        <f>IF($H212="AUTO_OFERTA_TOTAL_PRODUTO_PERIODO",SUMIFS(Oferta!$F:$F,Oferta!$A:$A,$A212,Oferta!$E:$E,$E212),$F212)</f>
        <v/>
      </c>
      <c r="J212" s="6" t="inlineStr">
        <is>
          <t>Informado</t>
        </is>
      </c>
      <c r="K212" s="6" t="inlineStr">
        <is>
          <t>Demanda doméstica fixa informada pelo usuário.</t>
        </is>
      </c>
    </row>
    <row r="213">
      <c r="A213" s="6" t="inlineStr">
        <is>
          <t>Milho</t>
        </is>
      </c>
      <c r="B213" s="6" t="inlineStr">
        <is>
          <t>Goiânia - GO</t>
        </is>
      </c>
      <c r="C213" s="6" t="n">
        <v>-16.6864</v>
      </c>
      <c r="D213" s="6" t="n">
        <v>-49.2643</v>
      </c>
      <c r="E213" s="6" t="inlineStr">
        <is>
          <t>2021-08</t>
        </is>
      </c>
      <c r="F213" s="6" t="n">
        <v>514711.6612434097</v>
      </c>
      <c r="G213" s="6" t="inlineStr">
        <is>
          <t>DOMESTICA</t>
        </is>
      </c>
      <c r="H213" s="6" t="inlineStr">
        <is>
          <t>FIXO</t>
        </is>
      </c>
      <c r="I213" s="11">
        <f>IF($H213="AUTO_OFERTA_TOTAL_PRODUTO_PERIODO",SUMIFS(Oferta!$F:$F,Oferta!$A:$A,$A213,Oferta!$E:$E,$E213),$F213)</f>
        <v/>
      </c>
      <c r="J213" s="6" t="inlineStr">
        <is>
          <t>Informado</t>
        </is>
      </c>
      <c r="K213" s="6" t="inlineStr">
        <is>
          <t>Demanda doméstica fixa informada pelo usuário.</t>
        </is>
      </c>
    </row>
    <row r="214">
      <c r="A214" s="6" t="inlineStr">
        <is>
          <t>Milho</t>
        </is>
      </c>
      <c r="B214" s="6" t="inlineStr">
        <is>
          <t>Goiânia - GO</t>
        </is>
      </c>
      <c r="C214" s="6" t="n">
        <v>-16.6864</v>
      </c>
      <c r="D214" s="6" t="n">
        <v>-49.2643</v>
      </c>
      <c r="E214" s="6" t="inlineStr">
        <is>
          <t>2021-09</t>
        </is>
      </c>
      <c r="F214" s="6" t="n">
        <v>462256.9696517246</v>
      </c>
      <c r="G214" s="6" t="inlineStr">
        <is>
          <t>DOMESTICA</t>
        </is>
      </c>
      <c r="H214" s="6" t="inlineStr">
        <is>
          <t>FIXO</t>
        </is>
      </c>
      <c r="I214" s="11">
        <f>IF($H214="AUTO_OFERTA_TOTAL_PRODUTO_PERIODO",SUMIFS(Oferta!$F:$F,Oferta!$A:$A,$A214,Oferta!$E:$E,$E214),$F214)</f>
        <v/>
      </c>
      <c r="J214" s="6" t="inlineStr">
        <is>
          <t>Informado</t>
        </is>
      </c>
      <c r="K214" s="6" t="inlineStr">
        <is>
          <t>Demanda doméstica fixa informada pelo usuário.</t>
        </is>
      </c>
    </row>
    <row r="215">
      <c r="A215" s="6" t="inlineStr">
        <is>
          <t>Milho</t>
        </is>
      </c>
      <c r="B215" s="6" t="inlineStr">
        <is>
          <t>Goiânia - GO</t>
        </is>
      </c>
      <c r="C215" s="6" t="n">
        <v>-16.6864</v>
      </c>
      <c r="D215" s="6" t="n">
        <v>-49.2643</v>
      </c>
      <c r="E215" s="6" t="inlineStr">
        <is>
          <t>2021-10</t>
        </is>
      </c>
      <c r="F215" s="6" t="n">
        <v>357347.5864683544</v>
      </c>
      <c r="G215" s="6" t="inlineStr">
        <is>
          <t>DOMESTICA</t>
        </is>
      </c>
      <c r="H215" s="6" t="inlineStr">
        <is>
          <t>FIXO</t>
        </is>
      </c>
      <c r="I215" s="11">
        <f>IF($H215="AUTO_OFERTA_TOTAL_PRODUTO_PERIODO",SUMIFS(Oferta!$F:$F,Oferta!$A:$A,$A215,Oferta!$E:$E,$E215),$F215)</f>
        <v/>
      </c>
      <c r="J215" s="6" t="inlineStr">
        <is>
          <t>Informado</t>
        </is>
      </c>
      <c r="K215" s="6" t="inlineStr">
        <is>
          <t>Demanda doméstica fixa informada pelo usuário.</t>
        </is>
      </c>
    </row>
    <row r="216">
      <c r="A216" s="6" t="inlineStr">
        <is>
          <t>Milho</t>
        </is>
      </c>
      <c r="B216" s="6" t="inlineStr">
        <is>
          <t>Goiânia - GO</t>
        </is>
      </c>
      <c r="C216" s="6" t="n">
        <v>-16.6864</v>
      </c>
      <c r="D216" s="6" t="n">
        <v>-49.2643</v>
      </c>
      <c r="E216" s="6" t="inlineStr">
        <is>
          <t>2021-11</t>
        </is>
      </c>
      <c r="F216" s="6" t="n">
        <v>252438.2032849843</v>
      </c>
      <c r="G216" s="6" t="inlineStr">
        <is>
          <t>DOMESTICA</t>
        </is>
      </c>
      <c r="H216" s="6" t="inlineStr">
        <is>
          <t>FIXO</t>
        </is>
      </c>
      <c r="I216" s="11">
        <f>IF($H216="AUTO_OFERTA_TOTAL_PRODUTO_PERIODO",SUMIFS(Oferta!$F:$F,Oferta!$A:$A,$A216,Oferta!$E:$E,$E216),$F216)</f>
        <v/>
      </c>
      <c r="J216" s="6" t="inlineStr">
        <is>
          <t>Informado</t>
        </is>
      </c>
      <c r="K216" s="6" t="inlineStr">
        <is>
          <t>Demanda doméstica fixa informada pelo usuário.</t>
        </is>
      </c>
    </row>
    <row r="217">
      <c r="A217" s="6" t="inlineStr">
        <is>
          <t>Milho</t>
        </is>
      </c>
      <c r="B217" s="6" t="inlineStr">
        <is>
          <t>Goiânia - GO</t>
        </is>
      </c>
      <c r="C217" s="6" t="n">
        <v>-16.6864</v>
      </c>
      <c r="D217" s="6" t="n">
        <v>-49.2643</v>
      </c>
      <c r="E217" s="6" t="inlineStr">
        <is>
          <t>2021-12</t>
        </is>
      </c>
      <c r="F217" s="6" t="n">
        <v>199983.5116932993</v>
      </c>
      <c r="G217" s="6" t="inlineStr">
        <is>
          <t>DOMESTICA</t>
        </is>
      </c>
      <c r="H217" s="6" t="inlineStr">
        <is>
          <t>FIXO</t>
        </is>
      </c>
      <c r="I217" s="11">
        <f>IF($H217="AUTO_OFERTA_TOTAL_PRODUTO_PERIODO",SUMIFS(Oferta!$F:$F,Oferta!$A:$A,$A217,Oferta!$E:$E,$E217),$F217)</f>
        <v/>
      </c>
      <c r="J217" s="6" t="inlineStr">
        <is>
          <t>Informado</t>
        </is>
      </c>
      <c r="K217" s="6" t="inlineStr">
        <is>
          <t>Demanda doméstica fixa informada pelo usuário.</t>
        </is>
      </c>
    </row>
    <row r="218">
      <c r="A218" s="6" t="inlineStr">
        <is>
          <t>Milho</t>
        </is>
      </c>
      <c r="B218" s="6" t="inlineStr">
        <is>
          <t>Cuiabá - MT</t>
        </is>
      </c>
      <c r="C218" s="6" t="n">
        <v>-15.601</v>
      </c>
      <c r="D218" s="6" t="n">
        <v>-56.0974</v>
      </c>
      <c r="E218" s="6" t="inlineStr">
        <is>
          <t>2021-01</t>
        </is>
      </c>
      <c r="F218" s="6" t="n">
        <v>222673.5694769137</v>
      </c>
      <c r="G218" s="6" t="inlineStr">
        <is>
          <t>DOMESTICA</t>
        </is>
      </c>
      <c r="H218" s="6" t="inlineStr">
        <is>
          <t>FIXO</t>
        </is>
      </c>
      <c r="I218" s="11">
        <f>IF($H218="AUTO_OFERTA_TOTAL_PRODUTO_PERIODO",SUMIFS(Oferta!$F:$F,Oferta!$A:$A,$A218,Oferta!$E:$E,$E218),$F218)</f>
        <v/>
      </c>
      <c r="J218" s="6" t="inlineStr">
        <is>
          <t>Informado</t>
        </is>
      </c>
      <c r="K218" s="6" t="inlineStr">
        <is>
          <t>Demanda doméstica fixa informada pelo usuário.</t>
        </is>
      </c>
    </row>
    <row r="219">
      <c r="A219" s="6" t="inlineStr">
        <is>
          <t>Milho</t>
        </is>
      </c>
      <c r="B219" s="6" t="inlineStr">
        <is>
          <t>Cuiabá - MT</t>
        </is>
      </c>
      <c r="C219" s="6" t="n">
        <v>-15.601</v>
      </c>
      <c r="D219" s="6" t="n">
        <v>-56.0974</v>
      </c>
      <c r="E219" s="6" t="inlineStr">
        <is>
          <t>2021-02</t>
        </is>
      </c>
      <c r="F219" s="6" t="n">
        <v>222673.5694769137</v>
      </c>
      <c r="G219" s="6" t="inlineStr">
        <is>
          <t>DOMESTICA</t>
        </is>
      </c>
      <c r="H219" s="6" t="inlineStr">
        <is>
          <t>FIXO</t>
        </is>
      </c>
      <c r="I219" s="11">
        <f>IF($H219="AUTO_OFERTA_TOTAL_PRODUTO_PERIODO",SUMIFS(Oferta!$F:$F,Oferta!$A:$A,$A219,Oferta!$E:$E,$E219),$F219)</f>
        <v/>
      </c>
      <c r="J219" s="6" t="inlineStr">
        <is>
          <t>Informado</t>
        </is>
      </c>
      <c r="K219" s="6" t="inlineStr">
        <is>
          <t>Demanda doméstica fixa informada pelo usuário.</t>
        </is>
      </c>
    </row>
    <row r="220">
      <c r="A220" s="6" t="inlineStr">
        <is>
          <t>Milho</t>
        </is>
      </c>
      <c r="B220" s="6" t="inlineStr">
        <is>
          <t>Cuiabá - MT</t>
        </is>
      </c>
      <c r="C220" s="6" t="n">
        <v>-15.601</v>
      </c>
      <c r="D220" s="6" t="n">
        <v>-56.0974</v>
      </c>
      <c r="E220" s="6" t="inlineStr">
        <is>
          <t>2021-03</t>
        </is>
      </c>
      <c r="F220" s="6" t="n">
        <v>289895.7791303215</v>
      </c>
      <c r="G220" s="6" t="inlineStr">
        <is>
          <t>DOMESTICA</t>
        </is>
      </c>
      <c r="H220" s="6" t="inlineStr">
        <is>
          <t>FIXO</t>
        </is>
      </c>
      <c r="I220" s="11">
        <f>IF($H220="AUTO_OFERTA_TOTAL_PRODUTO_PERIODO",SUMIFS(Oferta!$F:$F,Oferta!$A:$A,$A220,Oferta!$E:$E,$E220),$F220)</f>
        <v/>
      </c>
      <c r="J220" s="6" t="inlineStr">
        <is>
          <t>Informado</t>
        </is>
      </c>
      <c r="K220" s="6" t="inlineStr">
        <is>
          <t>Demanda doméstica fixa informada pelo usuário.</t>
        </is>
      </c>
    </row>
    <row r="221">
      <c r="A221" s="6" t="inlineStr">
        <is>
          <t>Milho</t>
        </is>
      </c>
      <c r="B221" s="6" t="inlineStr">
        <is>
          <t>Cuiabá - MT</t>
        </is>
      </c>
      <c r="C221" s="6" t="n">
        <v>-15.601</v>
      </c>
      <c r="D221" s="6" t="n">
        <v>-56.0974</v>
      </c>
      <c r="E221" s="6" t="inlineStr">
        <is>
          <t>2021-04</t>
        </is>
      </c>
      <c r="F221" s="6" t="n">
        <v>424340.1984371373</v>
      </c>
      <c r="G221" s="6" t="inlineStr">
        <is>
          <t>DOMESTICA</t>
        </is>
      </c>
      <c r="H221" s="6" t="inlineStr">
        <is>
          <t>FIXO</t>
        </is>
      </c>
      <c r="I221" s="11">
        <f>IF($H221="AUTO_OFERTA_TOTAL_PRODUTO_PERIODO",SUMIFS(Oferta!$F:$F,Oferta!$A:$A,$A221,Oferta!$E:$E,$E221),$F221)</f>
        <v/>
      </c>
      <c r="J221" s="6" t="inlineStr">
        <is>
          <t>Informado</t>
        </is>
      </c>
      <c r="K221" s="6" t="inlineStr">
        <is>
          <t>Demanda doméstica fixa informada pelo usuário.</t>
        </is>
      </c>
    </row>
    <row r="222">
      <c r="A222" s="6" t="inlineStr">
        <is>
          <t>Milho</t>
        </is>
      </c>
      <c r="B222" s="6" t="inlineStr">
        <is>
          <t>Cuiabá - MT</t>
        </is>
      </c>
      <c r="C222" s="6" t="n">
        <v>-15.601</v>
      </c>
      <c r="D222" s="6" t="n">
        <v>-56.0974</v>
      </c>
      <c r="E222" s="6" t="inlineStr">
        <is>
          <t>2021-05</t>
        </is>
      </c>
      <c r="F222" s="6" t="n">
        <v>558784.6177439531</v>
      </c>
      <c r="G222" s="6" t="inlineStr">
        <is>
          <t>DOMESTICA</t>
        </is>
      </c>
      <c r="H222" s="6" t="inlineStr">
        <is>
          <t>FIXO</t>
        </is>
      </c>
      <c r="I222" s="11">
        <f>IF($H222="AUTO_OFERTA_TOTAL_PRODUTO_PERIODO",SUMIFS(Oferta!$F:$F,Oferta!$A:$A,$A222,Oferta!$E:$E,$E222),$F222)</f>
        <v/>
      </c>
      <c r="J222" s="6" t="inlineStr">
        <is>
          <t>Informado</t>
        </is>
      </c>
      <c r="K222" s="6" t="inlineStr">
        <is>
          <t>Demanda doméstica fixa informada pelo usuário.</t>
        </is>
      </c>
    </row>
    <row r="223">
      <c r="A223" s="6" t="inlineStr">
        <is>
          <t>Milho</t>
        </is>
      </c>
      <c r="B223" s="6" t="inlineStr">
        <is>
          <t>Cuiabá - MT</t>
        </is>
      </c>
      <c r="C223" s="6" t="n">
        <v>-15.601</v>
      </c>
      <c r="D223" s="6" t="n">
        <v>-56.0974</v>
      </c>
      <c r="E223" s="6" t="inlineStr">
        <is>
          <t>2021-06</t>
        </is>
      </c>
      <c r="F223" s="6" t="n">
        <v>626006.8273973609</v>
      </c>
      <c r="G223" s="6" t="inlineStr">
        <is>
          <t>DOMESTICA</t>
        </is>
      </c>
      <c r="H223" s="6" t="inlineStr">
        <is>
          <t>FIXO</t>
        </is>
      </c>
      <c r="I223" s="11">
        <f>IF($H223="AUTO_OFERTA_TOTAL_PRODUTO_PERIODO",SUMIFS(Oferta!$F:$F,Oferta!$A:$A,$A223,Oferta!$E:$E,$E223),$F223)</f>
        <v/>
      </c>
      <c r="J223" s="6" t="inlineStr">
        <is>
          <t>Informado</t>
        </is>
      </c>
      <c r="K223" s="6" t="inlineStr">
        <is>
          <t>Demanda doméstica fixa informada pelo usuário.</t>
        </is>
      </c>
    </row>
    <row r="224">
      <c r="A224" s="6" t="inlineStr">
        <is>
          <t>Milho</t>
        </is>
      </c>
      <c r="B224" s="6" t="inlineStr">
        <is>
          <t>Cuiabá - MT</t>
        </is>
      </c>
      <c r="C224" s="6" t="n">
        <v>-15.601</v>
      </c>
      <c r="D224" s="6" t="n">
        <v>-56.0974</v>
      </c>
      <c r="E224" s="6" t="inlineStr">
        <is>
          <t>2021-07</t>
        </is>
      </c>
      <c r="F224" s="6" t="n">
        <v>693229.037050769</v>
      </c>
      <c r="G224" s="6" t="inlineStr">
        <is>
          <t>DOMESTICA</t>
        </is>
      </c>
      <c r="H224" s="6" t="inlineStr">
        <is>
          <t>FIXO</t>
        </is>
      </c>
      <c r="I224" s="11">
        <f>IF($H224="AUTO_OFERTA_TOTAL_PRODUTO_PERIODO",SUMIFS(Oferta!$F:$F,Oferta!$A:$A,$A224,Oferta!$E:$E,$E224),$F224)</f>
        <v/>
      </c>
      <c r="J224" s="6" t="inlineStr">
        <is>
          <t>Informado</t>
        </is>
      </c>
      <c r="K224" s="6" t="inlineStr">
        <is>
          <t>Demanda doméstica fixa informada pelo usuário.</t>
        </is>
      </c>
    </row>
    <row r="225">
      <c r="A225" s="6" t="inlineStr">
        <is>
          <t>Milho</t>
        </is>
      </c>
      <c r="B225" s="6" t="inlineStr">
        <is>
          <t>Cuiabá - MT</t>
        </is>
      </c>
      <c r="C225" s="6" t="n">
        <v>-15.601</v>
      </c>
      <c r="D225" s="6" t="n">
        <v>-56.0974</v>
      </c>
      <c r="E225" s="6" t="inlineStr">
        <is>
          <t>2021-08</t>
        </is>
      </c>
      <c r="F225" s="6" t="n">
        <v>693229.037050769</v>
      </c>
      <c r="G225" s="6" t="inlineStr">
        <is>
          <t>DOMESTICA</t>
        </is>
      </c>
      <c r="H225" s="6" t="inlineStr">
        <is>
          <t>FIXO</t>
        </is>
      </c>
      <c r="I225" s="11">
        <f>IF($H225="AUTO_OFERTA_TOTAL_PRODUTO_PERIODO",SUMIFS(Oferta!$F:$F,Oferta!$A:$A,$A225,Oferta!$E:$E,$E225),$F225)</f>
        <v/>
      </c>
      <c r="J225" s="6" t="inlineStr">
        <is>
          <t>Informado</t>
        </is>
      </c>
      <c r="K225" s="6" t="inlineStr">
        <is>
          <t>Demanda doméstica fixa informada pelo usuário.</t>
        </is>
      </c>
    </row>
    <row r="226">
      <c r="A226" s="6" t="inlineStr">
        <is>
          <t>Milho</t>
        </is>
      </c>
      <c r="B226" s="6" t="inlineStr">
        <is>
          <t>Cuiabá - MT</t>
        </is>
      </c>
      <c r="C226" s="6" t="n">
        <v>-15.601</v>
      </c>
      <c r="D226" s="6" t="n">
        <v>-56.0974</v>
      </c>
      <c r="E226" s="6" t="inlineStr">
        <is>
          <t>2021-09</t>
        </is>
      </c>
      <c r="F226" s="6" t="n">
        <v>626006.8273973609</v>
      </c>
      <c r="G226" s="6" t="inlineStr">
        <is>
          <t>DOMESTICA</t>
        </is>
      </c>
      <c r="H226" s="6" t="inlineStr">
        <is>
          <t>FIXO</t>
        </is>
      </c>
      <c r="I226" s="11">
        <f>IF($H226="AUTO_OFERTA_TOTAL_PRODUTO_PERIODO",SUMIFS(Oferta!$F:$F,Oferta!$A:$A,$A226,Oferta!$E:$E,$E226),$F226)</f>
        <v/>
      </c>
      <c r="J226" s="6" t="inlineStr">
        <is>
          <t>Informado</t>
        </is>
      </c>
      <c r="K226" s="6" t="inlineStr">
        <is>
          <t>Demanda doméstica fixa informada pelo usuário.</t>
        </is>
      </c>
    </row>
    <row r="227">
      <c r="A227" s="6" t="inlineStr">
        <is>
          <t>Milho</t>
        </is>
      </c>
      <c r="B227" s="6" t="inlineStr">
        <is>
          <t>Cuiabá - MT</t>
        </is>
      </c>
      <c r="C227" s="6" t="n">
        <v>-15.601</v>
      </c>
      <c r="D227" s="6" t="n">
        <v>-56.0974</v>
      </c>
      <c r="E227" s="6" t="inlineStr">
        <is>
          <t>2021-10</t>
        </is>
      </c>
      <c r="F227" s="6" t="n">
        <v>457951.3032638413</v>
      </c>
      <c r="G227" s="6" t="inlineStr">
        <is>
          <t>DOMESTICA</t>
        </is>
      </c>
      <c r="H227" s="6" t="inlineStr">
        <is>
          <t>FIXO</t>
        </is>
      </c>
      <c r="I227" s="11">
        <f>IF($H227="AUTO_OFERTA_TOTAL_PRODUTO_PERIODO",SUMIFS(Oferta!$F:$F,Oferta!$A:$A,$A227,Oferta!$E:$E,$E227),$F227)</f>
        <v/>
      </c>
      <c r="J227" s="6" t="inlineStr">
        <is>
          <t>Informado</t>
        </is>
      </c>
      <c r="K227" s="6" t="inlineStr">
        <is>
          <t>Demanda doméstica fixa informada pelo usuário.</t>
        </is>
      </c>
    </row>
    <row r="228">
      <c r="A228" s="6" t="inlineStr">
        <is>
          <t>Milho</t>
        </is>
      </c>
      <c r="B228" s="6" t="inlineStr">
        <is>
          <t>Cuiabá - MT</t>
        </is>
      </c>
      <c r="C228" s="6" t="n">
        <v>-15.601</v>
      </c>
      <c r="D228" s="6" t="n">
        <v>-56.0974</v>
      </c>
      <c r="E228" s="6" t="inlineStr">
        <is>
          <t>2021-11</t>
        </is>
      </c>
      <c r="F228" s="6" t="n">
        <v>323506.8839570254</v>
      </c>
      <c r="G228" s="6" t="inlineStr">
        <is>
          <t>DOMESTICA</t>
        </is>
      </c>
      <c r="H228" s="6" t="inlineStr">
        <is>
          <t>FIXO</t>
        </is>
      </c>
      <c r="I228" s="11">
        <f>IF($H228="AUTO_OFERTA_TOTAL_PRODUTO_PERIODO",SUMIFS(Oferta!$F:$F,Oferta!$A:$A,$A228,Oferta!$E:$E,$E228),$F228)</f>
        <v/>
      </c>
      <c r="J228" s="6" t="inlineStr">
        <is>
          <t>Informado</t>
        </is>
      </c>
      <c r="K228" s="6" t="inlineStr">
        <is>
          <t>Demanda doméstica fixa informada pelo usuário.</t>
        </is>
      </c>
    </row>
    <row r="229">
      <c r="A229" s="6" t="inlineStr">
        <is>
          <t>Milho</t>
        </is>
      </c>
      <c r="B229" s="6" t="inlineStr">
        <is>
          <t>Cuiabá - MT</t>
        </is>
      </c>
      <c r="C229" s="6" t="n">
        <v>-15.601</v>
      </c>
      <c r="D229" s="6" t="n">
        <v>-56.0974</v>
      </c>
      <c r="E229" s="6" t="inlineStr">
        <is>
          <t>2021-12</t>
        </is>
      </c>
      <c r="F229" s="6" t="n">
        <v>256284.6743036176</v>
      </c>
      <c r="G229" s="6" t="inlineStr">
        <is>
          <t>DOMESTICA</t>
        </is>
      </c>
      <c r="H229" s="6" t="inlineStr">
        <is>
          <t>FIXO</t>
        </is>
      </c>
      <c r="I229" s="11">
        <f>IF($H229="AUTO_OFERTA_TOTAL_PRODUTO_PERIODO",SUMIFS(Oferta!$F:$F,Oferta!$A:$A,$A229,Oferta!$E:$E,$E229),$F229)</f>
        <v/>
      </c>
      <c r="J229" s="6" t="inlineStr">
        <is>
          <t>Informado</t>
        </is>
      </c>
      <c r="K229" s="6" t="inlineStr">
        <is>
          <t>Demanda doméstica fixa informada pelo usuário.</t>
        </is>
      </c>
    </row>
    <row r="230">
      <c r="A230" s="6" t="inlineStr">
        <is>
          <t>Milho</t>
        </is>
      </c>
      <c r="B230" s="6" t="inlineStr">
        <is>
          <t>Campo Grande - MS</t>
        </is>
      </c>
      <c r="C230" s="6" t="n">
        <v>-20.4486</v>
      </c>
      <c r="D230" s="6" t="n">
        <v>-54.6295</v>
      </c>
      <c r="E230" s="6" t="inlineStr">
        <is>
          <t>2021-01</t>
        </is>
      </c>
      <c r="F230" s="6" t="n">
        <v>66130.93147762171</v>
      </c>
      <c r="G230" s="6" t="inlineStr">
        <is>
          <t>DOMESTICA</t>
        </is>
      </c>
      <c r="H230" s="6" t="inlineStr">
        <is>
          <t>FIXO</t>
        </is>
      </c>
      <c r="I230" s="11">
        <f>IF($H230="AUTO_OFERTA_TOTAL_PRODUTO_PERIODO",SUMIFS(Oferta!$F:$F,Oferta!$A:$A,$A230,Oferta!$E:$E,$E230),$F230)</f>
        <v/>
      </c>
      <c r="J230" s="6" t="inlineStr">
        <is>
          <t>Informado</t>
        </is>
      </c>
      <c r="K230" s="6" t="inlineStr">
        <is>
          <t>Demanda doméstica fixa informada pelo usuário.</t>
        </is>
      </c>
    </row>
    <row r="231">
      <c r="A231" s="6" t="inlineStr">
        <is>
          <t>Milho</t>
        </is>
      </c>
      <c r="B231" s="6" t="inlineStr">
        <is>
          <t>Campo Grande - MS</t>
        </is>
      </c>
      <c r="C231" s="6" t="n">
        <v>-20.4486</v>
      </c>
      <c r="D231" s="6" t="n">
        <v>-54.6295</v>
      </c>
      <c r="E231" s="6" t="inlineStr">
        <is>
          <t>2021-02</t>
        </is>
      </c>
      <c r="F231" s="6" t="n">
        <v>76112.9588704702</v>
      </c>
      <c r="G231" s="6" t="inlineStr">
        <is>
          <t>DOMESTICA</t>
        </is>
      </c>
      <c r="H231" s="6" t="inlineStr">
        <is>
          <t>FIXO</t>
        </is>
      </c>
      <c r="I231" s="11">
        <f>IF($H231="AUTO_OFERTA_TOTAL_PRODUTO_PERIODO",SUMIFS(Oferta!$F:$F,Oferta!$A:$A,$A231,Oferta!$E:$E,$E231),$F231)</f>
        <v/>
      </c>
      <c r="J231" s="6" t="inlineStr">
        <is>
          <t>Informado</t>
        </is>
      </c>
      <c r="K231" s="6" t="inlineStr">
        <is>
          <t>Demanda doméstica fixa informada pelo usuário.</t>
        </is>
      </c>
    </row>
    <row r="232">
      <c r="A232" s="6" t="inlineStr">
        <is>
          <t>Milho</t>
        </is>
      </c>
      <c r="B232" s="6" t="inlineStr">
        <is>
          <t>Campo Grande - MS</t>
        </is>
      </c>
      <c r="C232" s="6" t="n">
        <v>-20.4486</v>
      </c>
      <c r="D232" s="6" t="n">
        <v>-54.6295</v>
      </c>
      <c r="E232" s="6" t="inlineStr">
        <is>
          <t>2021-03</t>
        </is>
      </c>
      <c r="F232" s="6" t="n">
        <v>96077.0136561673</v>
      </c>
      <c r="G232" s="6" t="inlineStr">
        <is>
          <t>DOMESTICA</t>
        </is>
      </c>
      <c r="H232" s="6" t="inlineStr">
        <is>
          <t>FIXO</t>
        </is>
      </c>
      <c r="I232" s="11">
        <f>IF($H232="AUTO_OFERTA_TOTAL_PRODUTO_PERIODO",SUMIFS(Oferta!$F:$F,Oferta!$A:$A,$A232,Oferta!$E:$E,$E232),$F232)</f>
        <v/>
      </c>
      <c r="J232" s="6" t="inlineStr">
        <is>
          <t>Informado</t>
        </is>
      </c>
      <c r="K232" s="6" t="inlineStr">
        <is>
          <t>Demanda doméstica fixa informada pelo usuário.</t>
        </is>
      </c>
    </row>
    <row r="233">
      <c r="A233" s="6" t="inlineStr">
        <is>
          <t>Milho</t>
        </is>
      </c>
      <c r="B233" s="6" t="inlineStr">
        <is>
          <t>Campo Grande - MS</t>
        </is>
      </c>
      <c r="C233" s="6" t="n">
        <v>-20.4486</v>
      </c>
      <c r="D233" s="6" t="n">
        <v>-54.6295</v>
      </c>
      <c r="E233" s="6" t="inlineStr">
        <is>
          <t>2021-04</t>
        </is>
      </c>
      <c r="F233" s="6" t="n">
        <v>155969.1780132587</v>
      </c>
      <c r="G233" s="6" t="inlineStr">
        <is>
          <t>DOMESTICA</t>
        </is>
      </c>
      <c r="H233" s="6" t="inlineStr">
        <is>
          <t>FIXO</t>
        </is>
      </c>
      <c r="I233" s="11">
        <f>IF($H233="AUTO_OFERTA_TOTAL_PRODUTO_PERIODO",SUMIFS(Oferta!$F:$F,Oferta!$A:$A,$A233,Oferta!$E:$E,$E233),$F233)</f>
        <v/>
      </c>
      <c r="J233" s="6" t="inlineStr">
        <is>
          <t>Informado</t>
        </is>
      </c>
      <c r="K233" s="6" t="inlineStr">
        <is>
          <t>Demanda doméstica fixa informada pelo usuário.</t>
        </is>
      </c>
    </row>
    <row r="234">
      <c r="A234" s="6" t="inlineStr">
        <is>
          <t>Milho</t>
        </is>
      </c>
      <c r="B234" s="6" t="inlineStr">
        <is>
          <t>Campo Grande - MS</t>
        </is>
      </c>
      <c r="C234" s="6" t="n">
        <v>-20.4486</v>
      </c>
      <c r="D234" s="6" t="n">
        <v>-54.6295</v>
      </c>
      <c r="E234" s="6" t="inlineStr">
        <is>
          <t>2021-05</t>
        </is>
      </c>
      <c r="F234" s="6" t="n">
        <v>185915.2601918043</v>
      </c>
      <c r="G234" s="6" t="inlineStr">
        <is>
          <t>DOMESTICA</t>
        </is>
      </c>
      <c r="H234" s="6" t="inlineStr">
        <is>
          <t>FIXO</t>
        </is>
      </c>
      <c r="I234" s="11">
        <f>IF($H234="AUTO_OFERTA_TOTAL_PRODUTO_PERIODO",SUMIFS(Oferta!$F:$F,Oferta!$A:$A,$A234,Oferta!$E:$E,$E234),$F234)</f>
        <v/>
      </c>
      <c r="J234" s="6" t="inlineStr">
        <is>
          <t>Informado</t>
        </is>
      </c>
      <c r="K234" s="6" t="inlineStr">
        <is>
          <t>Demanda doméstica fixa informada pelo usuário.</t>
        </is>
      </c>
    </row>
    <row r="235">
      <c r="A235" s="6" t="inlineStr">
        <is>
          <t>Milho</t>
        </is>
      </c>
      <c r="B235" s="6" t="inlineStr">
        <is>
          <t>Campo Grande - MS</t>
        </is>
      </c>
      <c r="C235" s="6" t="n">
        <v>-20.4486</v>
      </c>
      <c r="D235" s="6" t="n">
        <v>-54.6295</v>
      </c>
      <c r="E235" s="6" t="inlineStr">
        <is>
          <t>2021-06</t>
        </is>
      </c>
      <c r="F235" s="6" t="n">
        <v>195897.2875846529</v>
      </c>
      <c r="G235" s="6" t="inlineStr">
        <is>
          <t>DOMESTICA</t>
        </is>
      </c>
      <c r="H235" s="6" t="inlineStr">
        <is>
          <t>FIXO</t>
        </is>
      </c>
      <c r="I235" s="11">
        <f>IF($H235="AUTO_OFERTA_TOTAL_PRODUTO_PERIODO",SUMIFS(Oferta!$F:$F,Oferta!$A:$A,$A235,Oferta!$E:$E,$E235),$F235)</f>
        <v/>
      </c>
      <c r="J235" s="6" t="inlineStr">
        <is>
          <t>Informado</t>
        </is>
      </c>
      <c r="K235" s="6" t="inlineStr">
        <is>
          <t>Demanda doméstica fixa informada pelo usuário.</t>
        </is>
      </c>
    </row>
    <row r="236">
      <c r="A236" s="6" t="inlineStr">
        <is>
          <t>Milho</t>
        </is>
      </c>
      <c r="B236" s="6" t="inlineStr">
        <is>
          <t>Campo Grande - MS</t>
        </is>
      </c>
      <c r="C236" s="6" t="n">
        <v>-20.4486</v>
      </c>
      <c r="D236" s="6" t="n">
        <v>-54.6295</v>
      </c>
      <c r="E236" s="6" t="inlineStr">
        <is>
          <t>2021-07</t>
        </is>
      </c>
      <c r="F236" s="6" t="n">
        <v>155969.1780132587</v>
      </c>
      <c r="G236" s="6" t="inlineStr">
        <is>
          <t>DOMESTICA</t>
        </is>
      </c>
      <c r="H236" s="6" t="inlineStr">
        <is>
          <t>FIXO</t>
        </is>
      </c>
      <c r="I236" s="11">
        <f>IF($H236="AUTO_OFERTA_TOTAL_PRODUTO_PERIODO",SUMIFS(Oferta!$F:$F,Oferta!$A:$A,$A236,Oferta!$E:$E,$E236),$F236)</f>
        <v/>
      </c>
      <c r="J236" s="6" t="inlineStr">
        <is>
          <t>Informado</t>
        </is>
      </c>
      <c r="K236" s="6" t="inlineStr">
        <is>
          <t>Demanda doméstica fixa informada pelo usuário.</t>
        </is>
      </c>
    </row>
    <row r="237">
      <c r="A237" s="6" t="inlineStr">
        <is>
          <t>Milho</t>
        </is>
      </c>
      <c r="B237" s="6" t="inlineStr">
        <is>
          <t>Campo Grande - MS</t>
        </is>
      </c>
      <c r="C237" s="6" t="n">
        <v>-20.4486</v>
      </c>
      <c r="D237" s="6" t="n">
        <v>-54.6295</v>
      </c>
      <c r="E237" s="6" t="inlineStr">
        <is>
          <t>2021-08</t>
        </is>
      </c>
      <c r="F237" s="6" t="n">
        <v>175933.2327989558</v>
      </c>
      <c r="G237" s="6" t="inlineStr">
        <is>
          <t>DOMESTICA</t>
        </is>
      </c>
      <c r="H237" s="6" t="inlineStr">
        <is>
          <t>FIXO</t>
        </is>
      </c>
      <c r="I237" s="11">
        <f>IF($H237="AUTO_OFERTA_TOTAL_PRODUTO_PERIODO",SUMIFS(Oferta!$F:$F,Oferta!$A:$A,$A237,Oferta!$E:$E,$E237),$F237)</f>
        <v/>
      </c>
      <c r="J237" s="6" t="inlineStr">
        <is>
          <t>Informado</t>
        </is>
      </c>
      <c r="K237" s="6" t="inlineStr">
        <is>
          <t>Demanda doméstica fixa informada pelo usuário.</t>
        </is>
      </c>
    </row>
    <row r="238">
      <c r="A238" s="6" t="inlineStr">
        <is>
          <t>Milho</t>
        </is>
      </c>
      <c r="B238" s="6" t="inlineStr">
        <is>
          <t>Campo Grande - MS</t>
        </is>
      </c>
      <c r="C238" s="6" t="n">
        <v>-20.4486</v>
      </c>
      <c r="D238" s="6" t="n">
        <v>-54.6295</v>
      </c>
      <c r="E238" s="6" t="inlineStr">
        <is>
          <t>2021-09</t>
        </is>
      </c>
      <c r="F238" s="6" t="n">
        <v>165951.2054061072</v>
      </c>
      <c r="G238" s="6" t="inlineStr">
        <is>
          <t>DOMESTICA</t>
        </is>
      </c>
      <c r="H238" s="6" t="inlineStr">
        <is>
          <t>FIXO</t>
        </is>
      </c>
      <c r="I238" s="11">
        <f>IF($H238="AUTO_OFERTA_TOTAL_PRODUTO_PERIODO",SUMIFS(Oferta!$F:$F,Oferta!$A:$A,$A238,Oferta!$E:$E,$E238),$F238)</f>
        <v/>
      </c>
      <c r="J238" s="6" t="inlineStr">
        <is>
          <t>Informado</t>
        </is>
      </c>
      <c r="K238" s="6" t="inlineStr">
        <is>
          <t>Demanda doméstica fixa informada pelo usuário.</t>
        </is>
      </c>
    </row>
    <row r="239">
      <c r="A239" s="6" t="inlineStr">
        <is>
          <t>Milho</t>
        </is>
      </c>
      <c r="B239" s="6" t="inlineStr">
        <is>
          <t>Campo Grande - MS</t>
        </is>
      </c>
      <c r="C239" s="6" t="n">
        <v>-20.4486</v>
      </c>
      <c r="D239" s="6" t="n">
        <v>-54.6295</v>
      </c>
      <c r="E239" s="6" t="inlineStr">
        <is>
          <t>2021-10</t>
        </is>
      </c>
      <c r="F239" s="6" t="n">
        <v>165951.2054061072</v>
      </c>
      <c r="G239" s="6" t="inlineStr">
        <is>
          <t>DOMESTICA</t>
        </is>
      </c>
      <c r="H239" s="6" t="inlineStr">
        <is>
          <t>FIXO</t>
        </is>
      </c>
      <c r="I239" s="11">
        <f>IF($H239="AUTO_OFERTA_TOTAL_PRODUTO_PERIODO",SUMIFS(Oferta!$F:$F,Oferta!$A:$A,$A239,Oferta!$E:$E,$E239),$F239)</f>
        <v/>
      </c>
      <c r="J239" s="6" t="inlineStr">
        <is>
          <t>Informado</t>
        </is>
      </c>
      <c r="K239" s="6" t="inlineStr">
        <is>
          <t>Demanda doméstica fixa informada pelo usuário.</t>
        </is>
      </c>
    </row>
    <row r="240">
      <c r="A240" s="6" t="inlineStr">
        <is>
          <t>Milho</t>
        </is>
      </c>
      <c r="B240" s="6" t="inlineStr">
        <is>
          <t>Campo Grande - MS</t>
        </is>
      </c>
      <c r="C240" s="6" t="n">
        <v>-20.4486</v>
      </c>
      <c r="D240" s="6" t="n">
        <v>-54.6295</v>
      </c>
      <c r="E240" s="6" t="inlineStr">
        <is>
          <t>2021-11</t>
        </is>
      </c>
      <c r="F240" s="6" t="n">
        <v>106059.0410490159</v>
      </c>
      <c r="G240" s="6" t="inlineStr">
        <is>
          <t>DOMESTICA</t>
        </is>
      </c>
      <c r="H240" s="6" t="inlineStr">
        <is>
          <t>FIXO</t>
        </is>
      </c>
      <c r="I240" s="11">
        <f>IF($H240="AUTO_OFERTA_TOTAL_PRODUTO_PERIODO",SUMIFS(Oferta!$F:$F,Oferta!$A:$A,$A240,Oferta!$E:$E,$E240),$F240)</f>
        <v/>
      </c>
      <c r="J240" s="6" t="inlineStr">
        <is>
          <t>Informado</t>
        </is>
      </c>
      <c r="K240" s="6" t="inlineStr">
        <is>
          <t>Demanda doméstica fixa informada pelo usuário.</t>
        </is>
      </c>
    </row>
    <row r="241">
      <c r="A241" s="6" t="inlineStr">
        <is>
          <t>Milho</t>
        </is>
      </c>
      <c r="B241" s="6" t="inlineStr">
        <is>
          <t>Campo Grande - MS</t>
        </is>
      </c>
      <c r="C241" s="6" t="n">
        <v>-20.4486</v>
      </c>
      <c r="D241" s="6" t="n">
        <v>-54.6295</v>
      </c>
      <c r="E241" s="6" t="inlineStr">
        <is>
          <t>2021-12</t>
        </is>
      </c>
      <c r="F241" s="6" t="n">
        <v>86094.9862633188</v>
      </c>
      <c r="G241" s="6" t="inlineStr">
        <is>
          <t>DOMESTICA</t>
        </is>
      </c>
      <c r="H241" s="6" t="inlineStr">
        <is>
          <t>FIXO</t>
        </is>
      </c>
      <c r="I241" s="11">
        <f>IF($H241="AUTO_OFERTA_TOTAL_PRODUTO_PERIODO",SUMIFS(Oferta!$F:$F,Oferta!$A:$A,$A241,Oferta!$E:$E,$E241),$F241)</f>
        <v/>
      </c>
      <c r="J241" s="6" t="inlineStr">
        <is>
          <t>Informado</t>
        </is>
      </c>
      <c r="K241" s="6" t="inlineStr">
        <is>
          <t>Demanda doméstica fixa informada pelo usuário.</t>
        </is>
      </c>
    </row>
    <row r="242">
      <c r="A242" s="6" t="inlineStr">
        <is>
          <t>Milho</t>
        </is>
      </c>
      <c r="B242" s="6" t="inlineStr">
        <is>
          <t>Vitória - ES</t>
        </is>
      </c>
      <c r="C242" s="6" t="n">
        <v>-20.3155</v>
      </c>
      <c r="D242" s="6" t="n">
        <v>-40.3128</v>
      </c>
      <c r="E242" s="6" t="inlineStr">
        <is>
          <t>2021-01</t>
        </is>
      </c>
      <c r="F242" s="6" t="n">
        <v>56895.2567212274</v>
      </c>
      <c r="G242" s="6" t="inlineStr">
        <is>
          <t>DOMESTICA</t>
        </is>
      </c>
      <c r="H242" s="6" t="inlineStr">
        <is>
          <t>FIXO</t>
        </is>
      </c>
      <c r="I242" s="11">
        <f>IF($H242="AUTO_OFERTA_TOTAL_PRODUTO_PERIODO",SUMIFS(Oferta!$F:$F,Oferta!$A:$A,$A242,Oferta!$E:$E,$E242),$F242)</f>
        <v/>
      </c>
      <c r="J242" s="6" t="inlineStr">
        <is>
          <t>Informado</t>
        </is>
      </c>
      <c r="K242" s="6" t="inlineStr">
        <is>
          <t>Demanda doméstica fixa informada pelo usuário.</t>
        </is>
      </c>
    </row>
    <row r="243">
      <c r="A243" s="6" t="inlineStr">
        <is>
          <t>Milho</t>
        </is>
      </c>
      <c r="B243" s="6" t="inlineStr">
        <is>
          <t>Vitória - ES</t>
        </is>
      </c>
      <c r="C243" s="6" t="n">
        <v>-20.3155</v>
      </c>
      <c r="D243" s="6" t="n">
        <v>-40.3128</v>
      </c>
      <c r="E243" s="6" t="inlineStr">
        <is>
          <t>2021-02</t>
        </is>
      </c>
      <c r="F243" s="6" t="n">
        <v>65483.2199999032</v>
      </c>
      <c r="G243" s="6" t="inlineStr">
        <is>
          <t>DOMESTICA</t>
        </is>
      </c>
      <c r="H243" s="6" t="inlineStr">
        <is>
          <t>FIXO</t>
        </is>
      </c>
      <c r="I243" s="11">
        <f>IF($H243="AUTO_OFERTA_TOTAL_PRODUTO_PERIODO",SUMIFS(Oferta!$F:$F,Oferta!$A:$A,$A243,Oferta!$E:$E,$E243),$F243)</f>
        <v/>
      </c>
      <c r="J243" s="6" t="inlineStr">
        <is>
          <t>Informado</t>
        </is>
      </c>
      <c r="K243" s="6" t="inlineStr">
        <is>
          <t>Demanda doméstica fixa informada pelo usuário.</t>
        </is>
      </c>
    </row>
    <row r="244">
      <c r="A244" s="6" t="inlineStr">
        <is>
          <t>Milho</t>
        </is>
      </c>
      <c r="B244" s="6" t="inlineStr">
        <is>
          <t>Vitória - ES</t>
        </is>
      </c>
      <c r="C244" s="6" t="n">
        <v>-20.3155</v>
      </c>
      <c r="D244" s="6" t="n">
        <v>-40.3128</v>
      </c>
      <c r="E244" s="6" t="inlineStr">
        <is>
          <t>2021-03</t>
        </is>
      </c>
      <c r="F244" s="6" t="n">
        <v>82659.14655725491</v>
      </c>
      <c r="G244" s="6" t="inlineStr">
        <is>
          <t>DOMESTICA</t>
        </is>
      </c>
      <c r="H244" s="6" t="inlineStr">
        <is>
          <t>FIXO</t>
        </is>
      </c>
      <c r="I244" s="11">
        <f>IF($H244="AUTO_OFERTA_TOTAL_PRODUTO_PERIODO",SUMIFS(Oferta!$F:$F,Oferta!$A:$A,$A244,Oferta!$E:$E,$E244),$F244)</f>
        <v/>
      </c>
      <c r="J244" s="6" t="inlineStr">
        <is>
          <t>Informado</t>
        </is>
      </c>
      <c r="K244" s="6" t="inlineStr">
        <is>
          <t>Demanda doméstica fixa informada pelo usuário.</t>
        </is>
      </c>
    </row>
    <row r="245">
      <c r="A245" s="6" t="inlineStr">
        <is>
          <t>Milho</t>
        </is>
      </c>
      <c r="B245" s="6" t="inlineStr">
        <is>
          <t>Vitória - ES</t>
        </is>
      </c>
      <c r="C245" s="6" t="n">
        <v>-20.3155</v>
      </c>
      <c r="D245" s="6" t="n">
        <v>-40.3128</v>
      </c>
      <c r="E245" s="6" t="inlineStr">
        <is>
          <t>2021-04</t>
        </is>
      </c>
      <c r="F245" s="6" t="n">
        <v>134186.9262293099</v>
      </c>
      <c r="G245" s="6" t="inlineStr">
        <is>
          <t>DOMESTICA</t>
        </is>
      </c>
      <c r="H245" s="6" t="inlineStr">
        <is>
          <t>FIXO</t>
        </is>
      </c>
      <c r="I245" s="11">
        <f>IF($H245="AUTO_OFERTA_TOTAL_PRODUTO_PERIODO",SUMIFS(Oferta!$F:$F,Oferta!$A:$A,$A245,Oferta!$E:$E,$E245),$F245)</f>
        <v/>
      </c>
      <c r="J245" s="6" t="inlineStr">
        <is>
          <t>Informado</t>
        </is>
      </c>
      <c r="K245" s="6" t="inlineStr">
        <is>
          <t>Demanda doméstica fixa informada pelo usuário.</t>
        </is>
      </c>
    </row>
    <row r="246">
      <c r="A246" s="6" t="inlineStr">
        <is>
          <t>Milho</t>
        </is>
      </c>
      <c r="B246" s="6" t="inlineStr">
        <is>
          <t>Vitória - ES</t>
        </is>
      </c>
      <c r="C246" s="6" t="n">
        <v>-20.3155</v>
      </c>
      <c r="D246" s="6" t="n">
        <v>-40.3128</v>
      </c>
      <c r="E246" s="6" t="inlineStr">
        <is>
          <t>2021-05</t>
        </is>
      </c>
      <c r="F246" s="6" t="n">
        <v>142774.8895079857</v>
      </c>
      <c r="G246" s="6" t="inlineStr">
        <is>
          <t>DOMESTICA</t>
        </is>
      </c>
      <c r="H246" s="6" t="inlineStr">
        <is>
          <t>FIXO</t>
        </is>
      </c>
      <c r="I246" s="11">
        <f>IF($H246="AUTO_OFERTA_TOTAL_PRODUTO_PERIODO",SUMIFS(Oferta!$F:$F,Oferta!$A:$A,$A246,Oferta!$E:$E,$E246),$F246)</f>
        <v/>
      </c>
      <c r="J246" s="6" t="inlineStr">
        <is>
          <t>Informado</t>
        </is>
      </c>
      <c r="K246" s="6" t="inlineStr">
        <is>
          <t>Demanda doméstica fixa informada pelo usuário.</t>
        </is>
      </c>
    </row>
    <row r="247">
      <c r="A247" s="6" t="inlineStr">
        <is>
          <t>Milho</t>
        </is>
      </c>
      <c r="B247" s="6" t="inlineStr">
        <is>
          <t>Vitória - ES</t>
        </is>
      </c>
      <c r="C247" s="6" t="n">
        <v>-20.3155</v>
      </c>
      <c r="D247" s="6" t="n">
        <v>-40.3128</v>
      </c>
      <c r="E247" s="6" t="inlineStr">
        <is>
          <t>2021-06</t>
        </is>
      </c>
      <c r="F247" s="6" t="n">
        <v>134186.9262293099</v>
      </c>
      <c r="G247" s="6" t="inlineStr">
        <is>
          <t>DOMESTICA</t>
        </is>
      </c>
      <c r="H247" s="6" t="inlineStr">
        <is>
          <t>FIXO</t>
        </is>
      </c>
      <c r="I247" s="11">
        <f>IF($H247="AUTO_OFERTA_TOTAL_PRODUTO_PERIODO",SUMIFS(Oferta!$F:$F,Oferta!$A:$A,$A247,Oferta!$E:$E,$E247),$F247)</f>
        <v/>
      </c>
      <c r="J247" s="6" t="inlineStr">
        <is>
          <t>Informado</t>
        </is>
      </c>
      <c r="K247" s="6" t="inlineStr">
        <is>
          <t>Demanda doméstica fixa informada pelo usuário.</t>
        </is>
      </c>
    </row>
    <row r="248">
      <c r="A248" s="6" t="inlineStr">
        <is>
          <t>Milho</t>
        </is>
      </c>
      <c r="B248" s="6" t="inlineStr">
        <is>
          <t>Vitória - ES</t>
        </is>
      </c>
      <c r="C248" s="6" t="n">
        <v>-20.3155</v>
      </c>
      <c r="D248" s="6" t="n">
        <v>-40.3128</v>
      </c>
      <c r="E248" s="6" t="inlineStr">
        <is>
          <t>2021-07</t>
        </is>
      </c>
      <c r="F248" s="6" t="n">
        <v>99835.0731146066</v>
      </c>
      <c r="G248" s="6" t="inlineStr">
        <is>
          <t>DOMESTICA</t>
        </is>
      </c>
      <c r="H248" s="6" t="inlineStr">
        <is>
          <t>FIXO</t>
        </is>
      </c>
      <c r="I248" s="11">
        <f>IF($H248="AUTO_OFERTA_TOTAL_PRODUTO_PERIODO",SUMIFS(Oferta!$F:$F,Oferta!$A:$A,$A248,Oferta!$E:$E,$E248),$F248)</f>
        <v/>
      </c>
      <c r="J248" s="6" t="inlineStr">
        <is>
          <t>Informado</t>
        </is>
      </c>
      <c r="K248" s="6" t="inlineStr">
        <is>
          <t>Demanda doméstica fixa informada pelo usuário.</t>
        </is>
      </c>
    </row>
    <row r="249">
      <c r="A249" s="6" t="inlineStr">
        <is>
          <t>Milho</t>
        </is>
      </c>
      <c r="B249" s="6" t="inlineStr">
        <is>
          <t>Vitória - ES</t>
        </is>
      </c>
      <c r="C249" s="6" t="n">
        <v>-20.3155</v>
      </c>
      <c r="D249" s="6" t="n">
        <v>-40.3128</v>
      </c>
      <c r="E249" s="6" t="inlineStr">
        <is>
          <t>2021-08</t>
        </is>
      </c>
      <c r="F249" s="6" t="n">
        <v>134186.9262293099</v>
      </c>
      <c r="G249" s="6" t="inlineStr">
        <is>
          <t>DOMESTICA</t>
        </is>
      </c>
      <c r="H249" s="6" t="inlineStr">
        <is>
          <t>FIXO</t>
        </is>
      </c>
      <c r="I249" s="11">
        <f>IF($H249="AUTO_OFERTA_TOTAL_PRODUTO_PERIODO",SUMIFS(Oferta!$F:$F,Oferta!$A:$A,$A249,Oferta!$E:$E,$E249),$F249)</f>
        <v/>
      </c>
      <c r="J249" s="6" t="inlineStr">
        <is>
          <t>Informado</t>
        </is>
      </c>
      <c r="K249" s="6" t="inlineStr">
        <is>
          <t>Demanda doméstica fixa informada pelo usuário.</t>
        </is>
      </c>
    </row>
    <row r="250">
      <c r="A250" s="6" t="inlineStr">
        <is>
          <t>Milho</t>
        </is>
      </c>
      <c r="B250" s="6" t="inlineStr">
        <is>
          <t>Vitória - ES</t>
        </is>
      </c>
      <c r="C250" s="6" t="n">
        <v>-20.3155</v>
      </c>
      <c r="D250" s="6" t="n">
        <v>-40.3128</v>
      </c>
      <c r="E250" s="6" t="inlineStr">
        <is>
          <t>2021-09</t>
        </is>
      </c>
      <c r="F250" s="6" t="n">
        <v>142774.8895079857</v>
      </c>
      <c r="G250" s="6" t="inlineStr">
        <is>
          <t>DOMESTICA</t>
        </is>
      </c>
      <c r="H250" s="6" t="inlineStr">
        <is>
          <t>FIXO</t>
        </is>
      </c>
      <c r="I250" s="11">
        <f>IF($H250="AUTO_OFERTA_TOTAL_PRODUTO_PERIODO",SUMIFS(Oferta!$F:$F,Oferta!$A:$A,$A250,Oferta!$E:$E,$E250),$F250)</f>
        <v/>
      </c>
      <c r="J250" s="6" t="inlineStr">
        <is>
          <t>Informado</t>
        </is>
      </c>
      <c r="K250" s="6" t="inlineStr">
        <is>
          <t>Demanda doméstica fixa informada pelo usuário.</t>
        </is>
      </c>
    </row>
    <row r="251">
      <c r="A251" s="6" t="inlineStr">
        <is>
          <t>Milho</t>
        </is>
      </c>
      <c r="B251" s="6" t="inlineStr">
        <is>
          <t>Vitória - ES</t>
        </is>
      </c>
      <c r="C251" s="6" t="n">
        <v>-20.3155</v>
      </c>
      <c r="D251" s="6" t="n">
        <v>-40.3128</v>
      </c>
      <c r="E251" s="6" t="inlineStr">
        <is>
          <t>2021-10</t>
        </is>
      </c>
      <c r="F251" s="6" t="n">
        <v>134186.9262293099</v>
      </c>
      <c r="G251" s="6" t="inlineStr">
        <is>
          <t>DOMESTICA</t>
        </is>
      </c>
      <c r="H251" s="6" t="inlineStr">
        <is>
          <t>FIXO</t>
        </is>
      </c>
      <c r="I251" s="11">
        <f>IF($H251="AUTO_OFERTA_TOTAL_PRODUTO_PERIODO",SUMIFS(Oferta!$F:$F,Oferta!$A:$A,$A251,Oferta!$E:$E,$E251),$F251)</f>
        <v/>
      </c>
      <c r="J251" s="6" t="inlineStr">
        <is>
          <t>Informado</t>
        </is>
      </c>
      <c r="K251" s="6" t="inlineStr">
        <is>
          <t>Demanda doméstica fixa informada pelo usuário.</t>
        </is>
      </c>
    </row>
    <row r="252">
      <c r="A252" s="6" t="inlineStr">
        <is>
          <t>Milho</t>
        </is>
      </c>
      <c r="B252" s="6" t="inlineStr">
        <is>
          <t>Vitória - ES</t>
        </is>
      </c>
      <c r="C252" s="6" t="n">
        <v>-20.3155</v>
      </c>
      <c r="D252" s="6" t="n">
        <v>-40.3128</v>
      </c>
      <c r="E252" s="6" t="inlineStr">
        <is>
          <t>2021-11</t>
        </is>
      </c>
      <c r="F252" s="6" t="n">
        <v>82659.14655725491</v>
      </c>
      <c r="G252" s="6" t="inlineStr">
        <is>
          <t>DOMESTICA</t>
        </is>
      </c>
      <c r="H252" s="6" t="inlineStr">
        <is>
          <t>FIXO</t>
        </is>
      </c>
      <c r="I252" s="11">
        <f>IF($H252="AUTO_OFERTA_TOTAL_PRODUTO_PERIODO",SUMIFS(Oferta!$F:$F,Oferta!$A:$A,$A252,Oferta!$E:$E,$E252),$F252)</f>
        <v/>
      </c>
      <c r="J252" s="6" t="inlineStr">
        <is>
          <t>Informado</t>
        </is>
      </c>
      <c r="K252" s="6" t="inlineStr">
        <is>
          <t>Demanda doméstica fixa informada pelo usuário.</t>
        </is>
      </c>
    </row>
    <row r="253">
      <c r="A253" s="6" t="inlineStr">
        <is>
          <t>Milho</t>
        </is>
      </c>
      <c r="B253" s="6" t="inlineStr">
        <is>
          <t>Vitória - ES</t>
        </is>
      </c>
      <c r="C253" s="6" t="n">
        <v>-20.3155</v>
      </c>
      <c r="D253" s="6" t="n">
        <v>-40.3128</v>
      </c>
      <c r="E253" s="6" t="inlineStr">
        <is>
          <t>2021-12</t>
        </is>
      </c>
      <c r="F253" s="6" t="n">
        <v>65483.2199999032</v>
      </c>
      <c r="G253" s="6" t="inlineStr">
        <is>
          <t>DOMESTICA</t>
        </is>
      </c>
      <c r="H253" s="6" t="inlineStr">
        <is>
          <t>FIXO</t>
        </is>
      </c>
      <c r="I253" s="11">
        <f>IF($H253="AUTO_OFERTA_TOTAL_PRODUTO_PERIODO",SUMIFS(Oferta!$F:$F,Oferta!$A:$A,$A253,Oferta!$E:$E,$E253),$F253)</f>
        <v/>
      </c>
      <c r="J253" s="6" t="inlineStr">
        <is>
          <t>Informado</t>
        </is>
      </c>
      <c r="K253" s="6" t="inlineStr">
        <is>
          <t>Demanda doméstica fixa informada pelo usuário.</t>
        </is>
      </c>
    </row>
    <row r="254">
      <c r="A254" s="6" t="inlineStr">
        <is>
          <t>Milho</t>
        </is>
      </c>
      <c r="B254" s="6" t="inlineStr">
        <is>
          <t>Belo Horizonte - MG</t>
        </is>
      </c>
      <c r="C254" s="6" t="n">
        <v>-19.9102</v>
      </c>
      <c r="D254" s="6" t="n">
        <v>-43.9266</v>
      </c>
      <c r="E254" s="6" t="inlineStr">
        <is>
          <t>2021-01</t>
        </is>
      </c>
      <c r="F254" s="6" t="n">
        <v>349174.4320076631</v>
      </c>
      <c r="G254" s="6" t="inlineStr">
        <is>
          <t>DOMESTICA</t>
        </is>
      </c>
      <c r="H254" s="6" t="inlineStr">
        <is>
          <t>FIXO</t>
        </is>
      </c>
      <c r="I254" s="11">
        <f>IF($H254="AUTO_OFERTA_TOTAL_PRODUTO_PERIODO",SUMIFS(Oferta!$F:$F,Oferta!$A:$A,$A254,Oferta!$E:$E,$E254),$F254)</f>
        <v/>
      </c>
      <c r="J254" s="6" t="inlineStr">
        <is>
          <t>Informado</t>
        </is>
      </c>
      <c r="K254" s="6" t="inlineStr">
        <is>
          <t>Demanda doméstica fixa informada pelo usuário.</t>
        </is>
      </c>
    </row>
    <row r="255">
      <c r="A255" s="6" t="inlineStr">
        <is>
          <t>Milho</t>
        </is>
      </c>
      <c r="B255" s="6" t="inlineStr">
        <is>
          <t>Belo Horizonte - MG</t>
        </is>
      </c>
      <c r="C255" s="6" t="n">
        <v>-19.9102</v>
      </c>
      <c r="D255" s="6" t="n">
        <v>-43.9266</v>
      </c>
      <c r="E255" s="6" t="inlineStr">
        <is>
          <t>2021-02</t>
        </is>
      </c>
      <c r="F255" s="6" t="n">
        <v>349174.4320076631</v>
      </c>
      <c r="G255" s="6" t="inlineStr">
        <is>
          <t>DOMESTICA</t>
        </is>
      </c>
      <c r="H255" s="6" t="inlineStr">
        <is>
          <t>FIXO</t>
        </is>
      </c>
      <c r="I255" s="11">
        <f>IF($H255="AUTO_OFERTA_TOTAL_PRODUTO_PERIODO",SUMIFS(Oferta!$F:$F,Oferta!$A:$A,$A255,Oferta!$E:$E,$E255),$F255)</f>
        <v/>
      </c>
      <c r="J255" s="6" t="inlineStr">
        <is>
          <t>Informado</t>
        </is>
      </c>
      <c r="K255" s="6" t="inlineStr">
        <is>
          <t>Demanda doméstica fixa informada pelo usuário.</t>
        </is>
      </c>
    </row>
    <row r="256">
      <c r="A256" s="6" t="inlineStr">
        <is>
          <t>Milho</t>
        </is>
      </c>
      <c r="B256" s="6" t="inlineStr">
        <is>
          <t>Belo Horizonte - MG</t>
        </is>
      </c>
      <c r="C256" s="6" t="n">
        <v>-19.9102</v>
      </c>
      <c r="D256" s="6" t="n">
        <v>-43.9266</v>
      </c>
      <c r="E256" s="6" t="inlineStr">
        <is>
          <t>2021-03</t>
        </is>
      </c>
      <c r="F256" s="6" t="n">
        <v>401880.0066503291</v>
      </c>
      <c r="G256" s="6" t="inlineStr">
        <is>
          <t>DOMESTICA</t>
        </is>
      </c>
      <c r="H256" s="6" t="inlineStr">
        <is>
          <t>FIXO</t>
        </is>
      </c>
      <c r="I256" s="11">
        <f>IF($H256="AUTO_OFERTA_TOTAL_PRODUTO_PERIODO",SUMIFS(Oferta!$F:$F,Oferta!$A:$A,$A256,Oferta!$E:$E,$E256),$F256)</f>
        <v/>
      </c>
      <c r="J256" s="6" t="inlineStr">
        <is>
          <t>Informado</t>
        </is>
      </c>
      <c r="K256" s="6" t="inlineStr">
        <is>
          <t>Demanda doméstica fixa informada pelo usuário.</t>
        </is>
      </c>
    </row>
    <row r="257">
      <c r="A257" s="6" t="inlineStr">
        <is>
          <t>Milho</t>
        </is>
      </c>
      <c r="B257" s="6" t="inlineStr">
        <is>
          <t>Belo Horizonte - MG</t>
        </is>
      </c>
      <c r="C257" s="6" t="n">
        <v>-19.9102</v>
      </c>
      <c r="D257" s="6" t="n">
        <v>-43.9266</v>
      </c>
      <c r="E257" s="6" t="inlineStr">
        <is>
          <t>2021-04</t>
        </is>
      </c>
      <c r="F257" s="6" t="n">
        <v>507291.1559356615</v>
      </c>
      <c r="G257" s="6" t="inlineStr">
        <is>
          <t>DOMESTICA</t>
        </is>
      </c>
      <c r="H257" s="6" t="inlineStr">
        <is>
          <t>FIXO</t>
        </is>
      </c>
      <c r="I257" s="11">
        <f>IF($H257="AUTO_OFERTA_TOTAL_PRODUTO_PERIODO",SUMIFS(Oferta!$F:$F,Oferta!$A:$A,$A257,Oferta!$E:$E,$E257),$F257)</f>
        <v/>
      </c>
      <c r="J257" s="6" t="inlineStr">
        <is>
          <t>Informado</t>
        </is>
      </c>
      <c r="K257" s="6" t="inlineStr">
        <is>
          <t>Demanda doméstica fixa informada pelo usuário.</t>
        </is>
      </c>
    </row>
    <row r="258">
      <c r="A258" s="6" t="inlineStr">
        <is>
          <t>Milho</t>
        </is>
      </c>
      <c r="B258" s="6" t="inlineStr">
        <is>
          <t>Belo Horizonte - MG</t>
        </is>
      </c>
      <c r="C258" s="6" t="n">
        <v>-19.9102</v>
      </c>
      <c r="D258" s="6" t="n">
        <v>-43.9266</v>
      </c>
      <c r="E258" s="6" t="inlineStr">
        <is>
          <t>2021-05</t>
        </is>
      </c>
      <c r="F258" s="6" t="n">
        <v>718113.4545063258</v>
      </c>
      <c r="G258" s="6" t="inlineStr">
        <is>
          <t>DOMESTICA</t>
        </is>
      </c>
      <c r="H258" s="6" t="inlineStr">
        <is>
          <t>FIXO</t>
        </is>
      </c>
      <c r="I258" s="11">
        <f>IF($H258="AUTO_OFERTA_TOTAL_PRODUTO_PERIODO",SUMIFS(Oferta!$F:$F,Oferta!$A:$A,$A258,Oferta!$E:$E,$E258),$F258)</f>
        <v/>
      </c>
      <c r="J258" s="6" t="inlineStr">
        <is>
          <t>Informado</t>
        </is>
      </c>
      <c r="K258" s="6" t="inlineStr">
        <is>
          <t>Demanda doméstica fixa informada pelo usuário.</t>
        </is>
      </c>
    </row>
    <row r="259">
      <c r="A259" s="6" t="inlineStr">
        <is>
          <t>Milho</t>
        </is>
      </c>
      <c r="B259" s="6" t="inlineStr">
        <is>
          <t>Belo Horizonte - MG</t>
        </is>
      </c>
      <c r="C259" s="6" t="n">
        <v>-19.9102</v>
      </c>
      <c r="D259" s="6" t="n">
        <v>-43.9266</v>
      </c>
      <c r="E259" s="6" t="inlineStr">
        <is>
          <t>2021-06</t>
        </is>
      </c>
      <c r="F259" s="6" t="n">
        <v>928935.75307699</v>
      </c>
      <c r="G259" s="6" t="inlineStr">
        <is>
          <t>DOMESTICA</t>
        </is>
      </c>
      <c r="H259" s="6" t="inlineStr">
        <is>
          <t>FIXO</t>
        </is>
      </c>
      <c r="I259" s="11">
        <f>IF($H259="AUTO_OFERTA_TOTAL_PRODUTO_PERIODO",SUMIFS(Oferta!$F:$F,Oferta!$A:$A,$A259,Oferta!$E:$E,$E259),$F259)</f>
        <v/>
      </c>
      <c r="J259" s="6" t="inlineStr">
        <is>
          <t>Informado</t>
        </is>
      </c>
      <c r="K259" s="6" t="inlineStr">
        <is>
          <t>Demanda doméstica fixa informada pelo usuário.</t>
        </is>
      </c>
    </row>
    <row r="260">
      <c r="A260" s="6" t="inlineStr">
        <is>
          <t>Milho</t>
        </is>
      </c>
      <c r="B260" s="6" t="inlineStr">
        <is>
          <t>Belo Horizonte - MG</t>
        </is>
      </c>
      <c r="C260" s="6" t="n">
        <v>-19.9102</v>
      </c>
      <c r="D260" s="6" t="n">
        <v>-43.9266</v>
      </c>
      <c r="E260" s="6" t="inlineStr">
        <is>
          <t>2021-07</t>
        </is>
      </c>
      <c r="F260" s="6" t="n">
        <v>1034346.902362323</v>
      </c>
      <c r="G260" s="6" t="inlineStr">
        <is>
          <t>DOMESTICA</t>
        </is>
      </c>
      <c r="H260" s="6" t="inlineStr">
        <is>
          <t>FIXO</t>
        </is>
      </c>
      <c r="I260" s="11">
        <f>IF($H260="AUTO_OFERTA_TOTAL_PRODUTO_PERIODO",SUMIFS(Oferta!$F:$F,Oferta!$A:$A,$A260,Oferta!$E:$E,$E260),$F260)</f>
        <v/>
      </c>
      <c r="J260" s="6" t="inlineStr">
        <is>
          <t>Informado</t>
        </is>
      </c>
      <c r="K260" s="6" t="inlineStr">
        <is>
          <t>Demanda doméstica fixa informada pelo usuário.</t>
        </is>
      </c>
    </row>
    <row r="261">
      <c r="A261" s="6" t="inlineStr">
        <is>
          <t>Milho</t>
        </is>
      </c>
      <c r="B261" s="6" t="inlineStr">
        <is>
          <t>Belo Horizonte - MG</t>
        </is>
      </c>
      <c r="C261" s="6" t="n">
        <v>-19.9102</v>
      </c>
      <c r="D261" s="6" t="n">
        <v>-43.9266</v>
      </c>
      <c r="E261" s="6" t="inlineStr">
        <is>
          <t>2021-08</t>
        </is>
      </c>
      <c r="F261" s="6" t="n">
        <v>1139758.051647655</v>
      </c>
      <c r="G261" s="6" t="inlineStr">
        <is>
          <t>DOMESTICA</t>
        </is>
      </c>
      <c r="H261" s="6" t="inlineStr">
        <is>
          <t>FIXO</t>
        </is>
      </c>
      <c r="I261" s="11">
        <f>IF($H261="AUTO_OFERTA_TOTAL_PRODUTO_PERIODO",SUMIFS(Oferta!$F:$F,Oferta!$A:$A,$A261,Oferta!$E:$E,$E261),$F261)</f>
        <v/>
      </c>
      <c r="J261" s="6" t="inlineStr">
        <is>
          <t>Informado</t>
        </is>
      </c>
      <c r="K261" s="6" t="inlineStr">
        <is>
          <t>Demanda doméstica fixa informada pelo usuário.</t>
        </is>
      </c>
    </row>
    <row r="262">
      <c r="A262" s="6" t="inlineStr">
        <is>
          <t>Milho</t>
        </is>
      </c>
      <c r="B262" s="6" t="inlineStr">
        <is>
          <t>Belo Horizonte - MG</t>
        </is>
      </c>
      <c r="C262" s="6" t="n">
        <v>-19.9102</v>
      </c>
      <c r="D262" s="6" t="n">
        <v>-43.9266</v>
      </c>
      <c r="E262" s="6" t="inlineStr">
        <is>
          <t>2021-09</t>
        </is>
      </c>
      <c r="F262" s="6" t="n">
        <v>981641.3277196564</v>
      </c>
      <c r="G262" s="6" t="inlineStr">
        <is>
          <t>DOMESTICA</t>
        </is>
      </c>
      <c r="H262" s="6" t="inlineStr">
        <is>
          <t>FIXO</t>
        </is>
      </c>
      <c r="I262" s="11">
        <f>IF($H262="AUTO_OFERTA_TOTAL_PRODUTO_PERIODO",SUMIFS(Oferta!$F:$F,Oferta!$A:$A,$A262,Oferta!$E:$E,$E262),$F262)</f>
        <v/>
      </c>
      <c r="J262" s="6" t="inlineStr">
        <is>
          <t>Informado</t>
        </is>
      </c>
      <c r="K262" s="6" t="inlineStr">
        <is>
          <t>Demanda doméstica fixa informada pelo usuário.</t>
        </is>
      </c>
    </row>
    <row r="263">
      <c r="A263" s="6" t="inlineStr">
        <is>
          <t>Milho</t>
        </is>
      </c>
      <c r="B263" s="6" t="inlineStr">
        <is>
          <t>Belo Horizonte - MG</t>
        </is>
      </c>
      <c r="C263" s="6" t="n">
        <v>-19.9102</v>
      </c>
      <c r="D263" s="6" t="n">
        <v>-43.9266</v>
      </c>
      <c r="E263" s="6" t="inlineStr">
        <is>
          <t>2021-10</t>
        </is>
      </c>
      <c r="F263" s="6" t="n">
        <v>823524.6037916582</v>
      </c>
      <c r="G263" s="6" t="inlineStr">
        <is>
          <t>DOMESTICA</t>
        </is>
      </c>
      <c r="H263" s="6" t="inlineStr">
        <is>
          <t>FIXO</t>
        </is>
      </c>
      <c r="I263" s="11">
        <f>IF($H263="AUTO_OFERTA_TOTAL_PRODUTO_PERIODO",SUMIFS(Oferta!$F:$F,Oferta!$A:$A,$A263,Oferta!$E:$E,$E263),$F263)</f>
        <v/>
      </c>
      <c r="J263" s="6" t="inlineStr">
        <is>
          <t>Informado</t>
        </is>
      </c>
      <c r="K263" s="6" t="inlineStr">
        <is>
          <t>Demanda doméstica fixa informada pelo usuário.</t>
        </is>
      </c>
    </row>
    <row r="264">
      <c r="A264" s="6" t="inlineStr">
        <is>
          <t>Milho</t>
        </is>
      </c>
      <c r="B264" s="6" t="inlineStr">
        <is>
          <t>Belo Horizonte - MG</t>
        </is>
      </c>
      <c r="C264" s="6" t="n">
        <v>-19.9102</v>
      </c>
      <c r="D264" s="6" t="n">
        <v>-43.9266</v>
      </c>
      <c r="E264" s="6" t="inlineStr">
        <is>
          <t>2021-11</t>
        </is>
      </c>
      <c r="F264" s="6" t="n">
        <v>507291.1559356613</v>
      </c>
      <c r="G264" s="6" t="inlineStr">
        <is>
          <t>DOMESTICA</t>
        </is>
      </c>
      <c r="H264" s="6" t="inlineStr">
        <is>
          <t>FIXO</t>
        </is>
      </c>
      <c r="I264" s="11">
        <f>IF($H264="AUTO_OFERTA_TOTAL_PRODUTO_PERIODO",SUMIFS(Oferta!$F:$F,Oferta!$A:$A,$A264,Oferta!$E:$E,$E264),$F264)</f>
        <v/>
      </c>
      <c r="J264" s="6" t="inlineStr">
        <is>
          <t>Informado</t>
        </is>
      </c>
      <c r="K264" s="6" t="inlineStr">
        <is>
          <t>Demanda doméstica fixa informada pelo usuário.</t>
        </is>
      </c>
    </row>
    <row r="265">
      <c r="A265" s="6" t="inlineStr">
        <is>
          <t>Milho</t>
        </is>
      </c>
      <c r="B265" s="6" t="inlineStr">
        <is>
          <t>Belo Horizonte - MG</t>
        </is>
      </c>
      <c r="C265" s="6" t="n">
        <v>-19.9102</v>
      </c>
      <c r="D265" s="6" t="n">
        <v>-43.9266</v>
      </c>
      <c r="E265" s="6" t="inlineStr">
        <is>
          <t>2021-12</t>
        </is>
      </c>
      <c r="F265" s="6" t="n">
        <v>401880.0066503292</v>
      </c>
      <c r="G265" s="6" t="inlineStr">
        <is>
          <t>DOMESTICA</t>
        </is>
      </c>
      <c r="H265" s="6" t="inlineStr">
        <is>
          <t>FIXO</t>
        </is>
      </c>
      <c r="I265" s="11">
        <f>IF($H265="AUTO_OFERTA_TOTAL_PRODUTO_PERIODO",SUMIFS(Oferta!$F:$F,Oferta!$A:$A,$A265,Oferta!$E:$E,$E265),$F265)</f>
        <v/>
      </c>
      <c r="J265" s="6" t="inlineStr">
        <is>
          <t>Informado</t>
        </is>
      </c>
      <c r="K265" s="6" t="inlineStr">
        <is>
          <t>Demanda doméstica fixa informada pelo usuário.</t>
        </is>
      </c>
    </row>
    <row r="266">
      <c r="A266" s="6" t="inlineStr">
        <is>
          <t>Milho</t>
        </is>
      </c>
      <c r="B266" s="6" t="inlineStr">
        <is>
          <t>Rio de Janeiro - RJ</t>
        </is>
      </c>
      <c r="C266" s="6" t="n">
        <v>-22.9129</v>
      </c>
      <c r="D266" s="6" t="n">
        <v>-43.2003</v>
      </c>
      <c r="E266" s="6" t="inlineStr">
        <is>
          <t>2021-01</t>
        </is>
      </c>
      <c r="F266" s="6" t="n">
        <v>101122.1343813961</v>
      </c>
      <c r="G266" s="6" t="inlineStr">
        <is>
          <t>DOMESTICA</t>
        </is>
      </c>
      <c r="H266" s="6" t="inlineStr">
        <is>
          <t>FIXO</t>
        </is>
      </c>
      <c r="I266" s="11">
        <f>IF($H266="AUTO_OFERTA_TOTAL_PRODUTO_PERIODO",SUMIFS(Oferta!$F:$F,Oferta!$A:$A,$A266,Oferta!$E:$E,$E266),$F266)</f>
        <v/>
      </c>
      <c r="J266" s="6" t="inlineStr">
        <is>
          <t>Informado</t>
        </is>
      </c>
      <c r="K266" s="6" t="inlineStr">
        <is>
          <t>Demanda doméstica fixa informada pelo usuário.</t>
        </is>
      </c>
    </row>
    <row r="267">
      <c r="A267" s="6" t="inlineStr">
        <is>
          <t>Milho</t>
        </is>
      </c>
      <c r="B267" s="6" t="inlineStr">
        <is>
          <t>Rio de Janeiro - RJ</t>
        </is>
      </c>
      <c r="C267" s="6" t="n">
        <v>-22.9129</v>
      </c>
      <c r="D267" s="6" t="n">
        <v>-43.2003</v>
      </c>
      <c r="E267" s="6" t="inlineStr">
        <is>
          <t>2021-02</t>
        </is>
      </c>
      <c r="F267" s="6" t="n">
        <v>101122.1343813961</v>
      </c>
      <c r="G267" s="6" t="inlineStr">
        <is>
          <t>DOMESTICA</t>
        </is>
      </c>
      <c r="H267" s="6" t="inlineStr">
        <is>
          <t>FIXO</t>
        </is>
      </c>
      <c r="I267" s="11">
        <f>IF($H267="AUTO_OFERTA_TOTAL_PRODUTO_PERIODO",SUMIFS(Oferta!$F:$F,Oferta!$A:$A,$A267,Oferta!$E:$E,$E267),$F267)</f>
        <v/>
      </c>
      <c r="J267" s="6" t="inlineStr">
        <is>
          <t>Informado</t>
        </is>
      </c>
      <c r="K267" s="6" t="inlineStr">
        <is>
          <t>Demanda doméstica fixa informada pelo usuário.</t>
        </is>
      </c>
    </row>
    <row r="268">
      <c r="A268" s="6" t="inlineStr">
        <is>
          <t>Milho</t>
        </is>
      </c>
      <c r="B268" s="6" t="inlineStr">
        <is>
          <t>Rio de Janeiro - RJ</t>
        </is>
      </c>
      <c r="C268" s="6" t="n">
        <v>-22.9129</v>
      </c>
      <c r="D268" s="6" t="n">
        <v>-43.2003</v>
      </c>
      <c r="E268" s="6" t="inlineStr">
        <is>
          <t>2021-03</t>
        </is>
      </c>
      <c r="F268" s="6" t="n">
        <v>131649.5711757798</v>
      </c>
      <c r="G268" s="6" t="inlineStr">
        <is>
          <t>DOMESTICA</t>
        </is>
      </c>
      <c r="H268" s="6" t="inlineStr">
        <is>
          <t>FIXO</t>
        </is>
      </c>
      <c r="I268" s="11">
        <f>IF($H268="AUTO_OFERTA_TOTAL_PRODUTO_PERIODO",SUMIFS(Oferta!$F:$F,Oferta!$A:$A,$A268,Oferta!$E:$E,$E268),$F268)</f>
        <v/>
      </c>
      <c r="J268" s="6" t="inlineStr">
        <is>
          <t>Informado</t>
        </is>
      </c>
      <c r="K268" s="6" t="inlineStr">
        <is>
          <t>Demanda doméstica fixa informada pelo usuário.</t>
        </is>
      </c>
    </row>
    <row r="269">
      <c r="A269" s="6" t="inlineStr">
        <is>
          <t>Milho</t>
        </is>
      </c>
      <c r="B269" s="6" t="inlineStr">
        <is>
          <t>Rio de Janeiro - RJ</t>
        </is>
      </c>
      <c r="C269" s="6" t="n">
        <v>-22.9129</v>
      </c>
      <c r="D269" s="6" t="n">
        <v>-43.2003</v>
      </c>
      <c r="E269" s="6" t="inlineStr">
        <is>
          <t>2021-04</t>
        </is>
      </c>
      <c r="F269" s="6" t="n">
        <v>192704.4447645472</v>
      </c>
      <c r="G269" s="6" t="inlineStr">
        <is>
          <t>DOMESTICA</t>
        </is>
      </c>
      <c r="H269" s="6" t="inlineStr">
        <is>
          <t>FIXO</t>
        </is>
      </c>
      <c r="I269" s="11">
        <f>IF($H269="AUTO_OFERTA_TOTAL_PRODUTO_PERIODO",SUMIFS(Oferta!$F:$F,Oferta!$A:$A,$A269,Oferta!$E:$E,$E269),$F269)</f>
        <v/>
      </c>
      <c r="J269" s="6" t="inlineStr">
        <is>
          <t>Informado</t>
        </is>
      </c>
      <c r="K269" s="6" t="inlineStr">
        <is>
          <t>Demanda doméstica fixa informada pelo usuário.</t>
        </is>
      </c>
    </row>
    <row r="270">
      <c r="A270" s="6" t="inlineStr">
        <is>
          <t>Milho</t>
        </is>
      </c>
      <c r="B270" s="6" t="inlineStr">
        <is>
          <t>Rio de Janeiro - RJ</t>
        </is>
      </c>
      <c r="C270" s="6" t="n">
        <v>-22.9129</v>
      </c>
      <c r="D270" s="6" t="n">
        <v>-43.2003</v>
      </c>
      <c r="E270" s="6" t="inlineStr">
        <is>
          <t>2021-05</t>
        </is>
      </c>
      <c r="F270" s="6" t="n">
        <v>253759.3183533147</v>
      </c>
      <c r="G270" s="6" t="inlineStr">
        <is>
          <t>DOMESTICA</t>
        </is>
      </c>
      <c r="H270" s="6" t="inlineStr">
        <is>
          <t>FIXO</t>
        </is>
      </c>
      <c r="I270" s="11">
        <f>IF($H270="AUTO_OFERTA_TOTAL_PRODUTO_PERIODO",SUMIFS(Oferta!$F:$F,Oferta!$A:$A,$A270,Oferta!$E:$E,$E270),$F270)</f>
        <v/>
      </c>
      <c r="J270" s="6" t="inlineStr">
        <is>
          <t>Informado</t>
        </is>
      </c>
      <c r="K270" s="6" t="inlineStr">
        <is>
          <t>Demanda doméstica fixa informada pelo usuário.</t>
        </is>
      </c>
    </row>
    <row r="271">
      <c r="A271" s="6" t="inlineStr">
        <is>
          <t>Milho</t>
        </is>
      </c>
      <c r="B271" s="6" t="inlineStr">
        <is>
          <t>Rio de Janeiro - RJ</t>
        </is>
      </c>
      <c r="C271" s="6" t="n">
        <v>-22.9129</v>
      </c>
      <c r="D271" s="6" t="n">
        <v>-43.2003</v>
      </c>
      <c r="E271" s="6" t="inlineStr">
        <is>
          <t>2021-06</t>
        </is>
      </c>
      <c r="F271" s="6" t="n">
        <v>253759.3183533147</v>
      </c>
      <c r="G271" s="6" t="inlineStr">
        <is>
          <t>DOMESTICA</t>
        </is>
      </c>
      <c r="H271" s="6" t="inlineStr">
        <is>
          <t>FIXO</t>
        </is>
      </c>
      <c r="I271" s="11">
        <f>IF($H271="AUTO_OFERTA_TOTAL_PRODUTO_PERIODO",SUMIFS(Oferta!$F:$F,Oferta!$A:$A,$A271,Oferta!$E:$E,$E271),$F271)</f>
        <v/>
      </c>
      <c r="J271" s="6" t="inlineStr">
        <is>
          <t>Informado</t>
        </is>
      </c>
      <c r="K271" s="6" t="inlineStr">
        <is>
          <t>Demanda doméstica fixa informada pelo usuário.</t>
        </is>
      </c>
    </row>
    <row r="272">
      <c r="A272" s="6" t="inlineStr">
        <is>
          <t>Milho</t>
        </is>
      </c>
      <c r="B272" s="6" t="inlineStr">
        <is>
          <t>Rio de Janeiro - RJ</t>
        </is>
      </c>
      <c r="C272" s="6" t="n">
        <v>-22.9129</v>
      </c>
      <c r="D272" s="6" t="n">
        <v>-43.2003</v>
      </c>
      <c r="E272" s="6" t="inlineStr">
        <is>
          <t>2021-07</t>
        </is>
      </c>
      <c r="F272" s="6" t="n">
        <v>223231.8815589309</v>
      </c>
      <c r="G272" s="6" t="inlineStr">
        <is>
          <t>DOMESTICA</t>
        </is>
      </c>
      <c r="H272" s="6" t="inlineStr">
        <is>
          <t>FIXO</t>
        </is>
      </c>
      <c r="I272" s="11">
        <f>IF($H272="AUTO_OFERTA_TOTAL_PRODUTO_PERIODO",SUMIFS(Oferta!$F:$F,Oferta!$A:$A,$A272,Oferta!$E:$E,$E272),$F272)</f>
        <v/>
      </c>
      <c r="J272" s="6" t="inlineStr">
        <is>
          <t>Informado</t>
        </is>
      </c>
      <c r="K272" s="6" t="inlineStr">
        <is>
          <t>Demanda doméstica fixa informada pelo usuário.</t>
        </is>
      </c>
    </row>
    <row r="273">
      <c r="A273" s="6" t="inlineStr">
        <is>
          <t>Milho</t>
        </is>
      </c>
      <c r="B273" s="6" t="inlineStr">
        <is>
          <t>Rio de Janeiro - RJ</t>
        </is>
      </c>
      <c r="C273" s="6" t="n">
        <v>-22.9129</v>
      </c>
      <c r="D273" s="6" t="n">
        <v>-43.2003</v>
      </c>
      <c r="E273" s="6" t="inlineStr">
        <is>
          <t>2021-08</t>
        </is>
      </c>
      <c r="F273" s="6" t="n">
        <v>253759.3183533147</v>
      </c>
      <c r="G273" s="6" t="inlineStr">
        <is>
          <t>DOMESTICA</t>
        </is>
      </c>
      <c r="H273" s="6" t="inlineStr">
        <is>
          <t>FIXO</t>
        </is>
      </c>
      <c r="I273" s="11">
        <f>IF($H273="AUTO_OFERTA_TOTAL_PRODUTO_PERIODO",SUMIFS(Oferta!$F:$F,Oferta!$A:$A,$A273,Oferta!$E:$E,$E273),$F273)</f>
        <v/>
      </c>
      <c r="J273" s="6" t="inlineStr">
        <is>
          <t>Informado</t>
        </is>
      </c>
      <c r="K273" s="6" t="inlineStr">
        <is>
          <t>Demanda doméstica fixa informada pelo usuário.</t>
        </is>
      </c>
    </row>
    <row r="274">
      <c r="A274" s="6" t="inlineStr">
        <is>
          <t>Milho</t>
        </is>
      </c>
      <c r="B274" s="6" t="inlineStr">
        <is>
          <t>Rio de Janeiro - RJ</t>
        </is>
      </c>
      <c r="C274" s="6" t="n">
        <v>-22.9129</v>
      </c>
      <c r="D274" s="6" t="n">
        <v>-43.2003</v>
      </c>
      <c r="E274" s="6" t="inlineStr">
        <is>
          <t>2021-09</t>
        </is>
      </c>
      <c r="F274" s="6" t="n">
        <v>253759.3183533147</v>
      </c>
      <c r="G274" s="6" t="inlineStr">
        <is>
          <t>DOMESTICA</t>
        </is>
      </c>
      <c r="H274" s="6" t="inlineStr">
        <is>
          <t>FIXO</t>
        </is>
      </c>
      <c r="I274" s="11">
        <f>IF($H274="AUTO_OFERTA_TOTAL_PRODUTO_PERIODO",SUMIFS(Oferta!$F:$F,Oferta!$A:$A,$A274,Oferta!$E:$E,$E274),$F274)</f>
        <v/>
      </c>
      <c r="J274" s="6" t="inlineStr">
        <is>
          <t>Informado</t>
        </is>
      </c>
      <c r="K274" s="6" t="inlineStr">
        <is>
          <t>Demanda doméstica fixa informada pelo usuário.</t>
        </is>
      </c>
    </row>
    <row r="275">
      <c r="A275" s="6" t="inlineStr">
        <is>
          <t>Milho</t>
        </is>
      </c>
      <c r="B275" s="6" t="inlineStr">
        <is>
          <t>Rio de Janeiro - RJ</t>
        </is>
      </c>
      <c r="C275" s="6" t="n">
        <v>-22.9129</v>
      </c>
      <c r="D275" s="6" t="n">
        <v>-43.2003</v>
      </c>
      <c r="E275" s="6" t="inlineStr">
        <is>
          <t>2021-10</t>
        </is>
      </c>
      <c r="F275" s="6" t="n">
        <v>223231.8815589309</v>
      </c>
      <c r="G275" s="6" t="inlineStr">
        <is>
          <t>DOMESTICA</t>
        </is>
      </c>
      <c r="H275" s="6" t="inlineStr">
        <is>
          <t>FIXO</t>
        </is>
      </c>
      <c r="I275" s="11">
        <f>IF($H275="AUTO_OFERTA_TOTAL_PRODUTO_PERIODO",SUMIFS(Oferta!$F:$F,Oferta!$A:$A,$A275,Oferta!$E:$E,$E275),$F275)</f>
        <v/>
      </c>
      <c r="J275" s="6" t="inlineStr">
        <is>
          <t>Informado</t>
        </is>
      </c>
      <c r="K275" s="6" t="inlineStr">
        <is>
          <t>Demanda doméstica fixa informada pelo usuário.</t>
        </is>
      </c>
    </row>
    <row r="276">
      <c r="A276" s="6" t="inlineStr">
        <is>
          <t>Milho</t>
        </is>
      </c>
      <c r="B276" s="6" t="inlineStr">
        <is>
          <t>Rio de Janeiro - RJ</t>
        </is>
      </c>
      <c r="C276" s="6" t="n">
        <v>-22.9129</v>
      </c>
      <c r="D276" s="6" t="n">
        <v>-43.2003</v>
      </c>
      <c r="E276" s="6" t="inlineStr">
        <is>
          <t>2021-11</t>
        </is>
      </c>
      <c r="F276" s="6" t="n">
        <v>131649.5711757798</v>
      </c>
      <c r="G276" s="6" t="inlineStr">
        <is>
          <t>DOMESTICA</t>
        </is>
      </c>
      <c r="H276" s="6" t="inlineStr">
        <is>
          <t>FIXO</t>
        </is>
      </c>
      <c r="I276" s="11">
        <f>IF($H276="AUTO_OFERTA_TOTAL_PRODUTO_PERIODO",SUMIFS(Oferta!$F:$F,Oferta!$A:$A,$A276,Oferta!$E:$E,$E276),$F276)</f>
        <v/>
      </c>
      <c r="J276" s="6" t="inlineStr">
        <is>
          <t>Informado</t>
        </is>
      </c>
      <c r="K276" s="6" t="inlineStr">
        <is>
          <t>Demanda doméstica fixa informada pelo usuário.</t>
        </is>
      </c>
    </row>
    <row r="277">
      <c r="A277" s="6" t="inlineStr">
        <is>
          <t>Milho</t>
        </is>
      </c>
      <c r="B277" s="6" t="inlineStr">
        <is>
          <t>Rio de Janeiro - RJ</t>
        </is>
      </c>
      <c r="C277" s="6" t="n">
        <v>-22.9129</v>
      </c>
      <c r="D277" s="6" t="n">
        <v>-43.2003</v>
      </c>
      <c r="E277" s="6" t="inlineStr">
        <is>
          <t>2021-12</t>
        </is>
      </c>
      <c r="F277" s="6" t="n">
        <v>101122.1343813961</v>
      </c>
      <c r="G277" s="6" t="inlineStr">
        <is>
          <t>DOMESTICA</t>
        </is>
      </c>
      <c r="H277" s="6" t="inlineStr">
        <is>
          <t>FIXO</t>
        </is>
      </c>
      <c r="I277" s="11">
        <f>IF($H277="AUTO_OFERTA_TOTAL_PRODUTO_PERIODO",SUMIFS(Oferta!$F:$F,Oferta!$A:$A,$A277,Oferta!$E:$E,$E277),$F277)</f>
        <v/>
      </c>
      <c r="J277" s="6" t="inlineStr">
        <is>
          <t>Informado</t>
        </is>
      </c>
      <c r="K277" s="6" t="inlineStr">
        <is>
          <t>Demanda doméstica fixa informada pelo usuário.</t>
        </is>
      </c>
    </row>
    <row r="278">
      <c r="A278" s="6" t="inlineStr">
        <is>
          <t>Milho</t>
        </is>
      </c>
      <c r="B278" s="6" t="inlineStr">
        <is>
          <t>São Paulo - SP</t>
        </is>
      </c>
      <c r="C278" s="6" t="n">
        <v>-23.5329</v>
      </c>
      <c r="D278" s="6" t="n">
        <v>-46.6395</v>
      </c>
      <c r="E278" s="6" t="inlineStr">
        <is>
          <t>2021-01</t>
        </is>
      </c>
      <c r="F278" s="6" t="n">
        <v>610146.0457410919</v>
      </c>
      <c r="G278" s="6" t="inlineStr">
        <is>
          <t>DOMESTICA</t>
        </is>
      </c>
      <c r="H278" s="6" t="inlineStr">
        <is>
          <t>FIXO</t>
        </is>
      </c>
      <c r="I278" s="11">
        <f>IF($H278="AUTO_OFERTA_TOTAL_PRODUTO_PERIODO",SUMIFS(Oferta!$F:$F,Oferta!$A:$A,$A278,Oferta!$E:$E,$E278),$F278)</f>
        <v/>
      </c>
      <c r="J278" s="6" t="inlineStr">
        <is>
          <t>Informado</t>
        </is>
      </c>
      <c r="K278" s="6" t="inlineStr">
        <is>
          <t>Demanda doméstica fixa informada pelo usuário.</t>
        </is>
      </c>
    </row>
    <row r="279">
      <c r="A279" s="6" t="inlineStr">
        <is>
          <t>Milho</t>
        </is>
      </c>
      <c r="B279" s="6" t="inlineStr">
        <is>
          <t>São Paulo - SP</t>
        </is>
      </c>
      <c r="C279" s="6" t="n">
        <v>-23.5329</v>
      </c>
      <c r="D279" s="6" t="n">
        <v>-46.6395</v>
      </c>
      <c r="E279" s="6" t="inlineStr">
        <is>
          <t>2021-02</t>
        </is>
      </c>
      <c r="F279" s="6" t="n">
        <v>794341.078417648</v>
      </c>
      <c r="G279" s="6" t="inlineStr">
        <is>
          <t>DOMESTICA</t>
        </is>
      </c>
      <c r="H279" s="6" t="inlineStr">
        <is>
          <t>FIXO</t>
        </is>
      </c>
      <c r="I279" s="11">
        <f>IF($H279="AUTO_OFERTA_TOTAL_PRODUTO_PERIODO",SUMIFS(Oferta!$F:$F,Oferta!$A:$A,$A279,Oferta!$E:$E,$E279),$F279)</f>
        <v/>
      </c>
      <c r="J279" s="6" t="inlineStr">
        <is>
          <t>Informado</t>
        </is>
      </c>
      <c r="K279" s="6" t="inlineStr">
        <is>
          <t>Demanda doméstica fixa informada pelo usuário.</t>
        </is>
      </c>
    </row>
    <row r="280">
      <c r="A280" s="6" t="inlineStr">
        <is>
          <t>Milho</t>
        </is>
      </c>
      <c r="B280" s="6" t="inlineStr">
        <is>
          <t>São Paulo - SP</t>
        </is>
      </c>
      <c r="C280" s="6" t="n">
        <v>-23.5329</v>
      </c>
      <c r="D280" s="6" t="n">
        <v>-46.6395</v>
      </c>
      <c r="E280" s="6" t="inlineStr">
        <is>
          <t>2021-03</t>
        </is>
      </c>
      <c r="F280" s="6" t="n">
        <v>978536.111094204</v>
      </c>
      <c r="G280" s="6" t="inlineStr">
        <is>
          <t>DOMESTICA</t>
        </is>
      </c>
      <c r="H280" s="6" t="inlineStr">
        <is>
          <t>FIXO</t>
        </is>
      </c>
      <c r="I280" s="11">
        <f>IF($H280="AUTO_OFERTA_TOTAL_PRODUTO_PERIODO",SUMIFS(Oferta!$F:$F,Oferta!$A:$A,$A280,Oferta!$E:$E,$E280),$F280)</f>
        <v/>
      </c>
      <c r="J280" s="6" t="inlineStr">
        <is>
          <t>Informado</t>
        </is>
      </c>
      <c r="K280" s="6" t="inlineStr">
        <is>
          <t>Demanda doméstica fixa informada pelo usuário.</t>
        </is>
      </c>
    </row>
    <row r="281">
      <c r="A281" s="6" t="inlineStr">
        <is>
          <t>Milho</t>
        </is>
      </c>
      <c r="B281" s="6" t="inlineStr">
        <is>
          <t>São Paulo - SP</t>
        </is>
      </c>
      <c r="C281" s="6" t="n">
        <v>-23.5329</v>
      </c>
      <c r="D281" s="6" t="n">
        <v>-46.6395</v>
      </c>
      <c r="E281" s="6" t="inlineStr">
        <is>
          <t>2021-04</t>
        </is>
      </c>
      <c r="F281" s="6" t="n">
        <v>1346926.176447316</v>
      </c>
      <c r="G281" s="6" t="inlineStr">
        <is>
          <t>DOMESTICA</t>
        </is>
      </c>
      <c r="H281" s="6" t="inlineStr">
        <is>
          <t>FIXO</t>
        </is>
      </c>
      <c r="I281" s="11">
        <f>IF($H281="AUTO_OFERTA_TOTAL_PRODUTO_PERIODO",SUMIFS(Oferta!$F:$F,Oferta!$A:$A,$A281,Oferta!$E:$E,$E281),$F281)</f>
        <v/>
      </c>
      <c r="J281" s="6" t="inlineStr">
        <is>
          <t>Informado</t>
        </is>
      </c>
      <c r="K281" s="6" t="inlineStr">
        <is>
          <t>Demanda doméstica fixa informada pelo usuário.</t>
        </is>
      </c>
    </row>
    <row r="282">
      <c r="A282" s="6" t="inlineStr">
        <is>
          <t>Milho</t>
        </is>
      </c>
      <c r="B282" s="6" t="inlineStr">
        <is>
          <t>São Paulo - SP</t>
        </is>
      </c>
      <c r="C282" s="6" t="n">
        <v>-23.5329</v>
      </c>
      <c r="D282" s="6" t="n">
        <v>-46.6395</v>
      </c>
      <c r="E282" s="6" t="inlineStr">
        <is>
          <t>2021-05</t>
        </is>
      </c>
      <c r="F282" s="6" t="n">
        <v>1531121.209123872</v>
      </c>
      <c r="G282" s="6" t="inlineStr">
        <is>
          <t>DOMESTICA</t>
        </is>
      </c>
      <c r="H282" s="6" t="inlineStr">
        <is>
          <t>FIXO</t>
        </is>
      </c>
      <c r="I282" s="11">
        <f>IF($H282="AUTO_OFERTA_TOTAL_PRODUTO_PERIODO",SUMIFS(Oferta!$F:$F,Oferta!$A:$A,$A282,Oferta!$E:$E,$E282),$F282)</f>
        <v/>
      </c>
      <c r="J282" s="6" t="inlineStr">
        <is>
          <t>Informado</t>
        </is>
      </c>
      <c r="K282" s="6" t="inlineStr">
        <is>
          <t>Demanda doméstica fixa informada pelo usuário.</t>
        </is>
      </c>
    </row>
    <row r="283">
      <c r="A283" s="6" t="inlineStr">
        <is>
          <t>Milho</t>
        </is>
      </c>
      <c r="B283" s="6" t="inlineStr">
        <is>
          <t>São Paulo - SP</t>
        </is>
      </c>
      <c r="C283" s="6" t="n">
        <v>-23.5329</v>
      </c>
      <c r="D283" s="6" t="n">
        <v>-46.6395</v>
      </c>
      <c r="E283" s="6" t="inlineStr">
        <is>
          <t>2021-06</t>
        </is>
      </c>
      <c r="F283" s="6" t="n">
        <v>1715316.241800428</v>
      </c>
      <c r="G283" s="6" t="inlineStr">
        <is>
          <t>DOMESTICA</t>
        </is>
      </c>
      <c r="H283" s="6" t="inlineStr">
        <is>
          <t>FIXO</t>
        </is>
      </c>
      <c r="I283" s="11">
        <f>IF($H283="AUTO_OFERTA_TOTAL_PRODUTO_PERIODO",SUMIFS(Oferta!$F:$F,Oferta!$A:$A,$A283,Oferta!$E:$E,$E283),$F283)</f>
        <v/>
      </c>
      <c r="J283" s="6" t="inlineStr">
        <is>
          <t>Informado</t>
        </is>
      </c>
      <c r="K283" s="6" t="inlineStr">
        <is>
          <t>Demanda doméstica fixa informada pelo usuário.</t>
        </is>
      </c>
    </row>
    <row r="284">
      <c r="A284" s="6" t="inlineStr">
        <is>
          <t>Milho</t>
        </is>
      </c>
      <c r="B284" s="6" t="inlineStr">
        <is>
          <t>São Paulo - SP</t>
        </is>
      </c>
      <c r="C284" s="6" t="n">
        <v>-23.5329</v>
      </c>
      <c r="D284" s="6" t="n">
        <v>-46.6395</v>
      </c>
      <c r="E284" s="6" t="inlineStr">
        <is>
          <t>2021-07</t>
        </is>
      </c>
      <c r="F284" s="6" t="n">
        <v>1715316.241800428</v>
      </c>
      <c r="G284" s="6" t="inlineStr">
        <is>
          <t>DOMESTICA</t>
        </is>
      </c>
      <c r="H284" s="6" t="inlineStr">
        <is>
          <t>FIXO</t>
        </is>
      </c>
      <c r="I284" s="11">
        <f>IF($H284="AUTO_OFERTA_TOTAL_PRODUTO_PERIODO",SUMIFS(Oferta!$F:$F,Oferta!$A:$A,$A284,Oferta!$E:$E,$E284),$F284)</f>
        <v/>
      </c>
      <c r="J284" s="6" t="inlineStr">
        <is>
          <t>Informado</t>
        </is>
      </c>
      <c r="K284" s="6" t="inlineStr">
        <is>
          <t>Demanda doméstica fixa informada pelo usuário.</t>
        </is>
      </c>
    </row>
    <row r="285">
      <c r="A285" s="6" t="inlineStr">
        <is>
          <t>Milho</t>
        </is>
      </c>
      <c r="B285" s="6" t="inlineStr">
        <is>
          <t>São Paulo - SP</t>
        </is>
      </c>
      <c r="C285" s="6" t="n">
        <v>-23.5329</v>
      </c>
      <c r="D285" s="6" t="n">
        <v>-46.6395</v>
      </c>
      <c r="E285" s="6" t="inlineStr">
        <is>
          <t>2021-08</t>
        </is>
      </c>
      <c r="F285" s="6" t="n">
        <v>1899511.274476984</v>
      </c>
      <c r="G285" s="6" t="inlineStr">
        <is>
          <t>DOMESTICA</t>
        </is>
      </c>
      <c r="H285" s="6" t="inlineStr">
        <is>
          <t>FIXO</t>
        </is>
      </c>
      <c r="I285" s="11">
        <f>IF($H285="AUTO_OFERTA_TOTAL_PRODUTO_PERIODO",SUMIFS(Oferta!$F:$F,Oferta!$A:$A,$A285,Oferta!$E:$E,$E285),$F285)</f>
        <v/>
      </c>
      <c r="J285" s="6" t="inlineStr">
        <is>
          <t>Informado</t>
        </is>
      </c>
      <c r="K285" s="6" t="inlineStr">
        <is>
          <t>Demanda doméstica fixa informada pelo usuário.</t>
        </is>
      </c>
    </row>
    <row r="286">
      <c r="A286" s="6" t="inlineStr">
        <is>
          <t>Milho</t>
        </is>
      </c>
      <c r="B286" s="6" t="inlineStr">
        <is>
          <t>São Paulo - SP</t>
        </is>
      </c>
      <c r="C286" s="6" t="n">
        <v>-23.5329</v>
      </c>
      <c r="D286" s="6" t="n">
        <v>-46.6395</v>
      </c>
      <c r="E286" s="6" t="inlineStr">
        <is>
          <t>2021-09</t>
        </is>
      </c>
      <c r="F286" s="6" t="n">
        <v>1899511.274476984</v>
      </c>
      <c r="G286" s="6" t="inlineStr">
        <is>
          <t>DOMESTICA</t>
        </is>
      </c>
      <c r="H286" s="6" t="inlineStr">
        <is>
          <t>FIXO</t>
        </is>
      </c>
      <c r="I286" s="11">
        <f>IF($H286="AUTO_OFERTA_TOTAL_PRODUTO_PERIODO",SUMIFS(Oferta!$F:$F,Oferta!$A:$A,$A286,Oferta!$E:$E,$E286),$F286)</f>
        <v/>
      </c>
      <c r="J286" s="6" t="inlineStr">
        <is>
          <t>Informado</t>
        </is>
      </c>
      <c r="K286" s="6" t="inlineStr">
        <is>
          <t>Demanda doméstica fixa informada pelo usuário.</t>
        </is>
      </c>
    </row>
    <row r="287">
      <c r="A287" s="6" t="inlineStr">
        <is>
          <t>Milho</t>
        </is>
      </c>
      <c r="B287" s="6" t="inlineStr">
        <is>
          <t>São Paulo - SP</t>
        </is>
      </c>
      <c r="C287" s="6" t="n">
        <v>-23.5329</v>
      </c>
      <c r="D287" s="6" t="n">
        <v>-46.6395</v>
      </c>
      <c r="E287" s="6" t="inlineStr">
        <is>
          <t>2021-10</t>
        </is>
      </c>
      <c r="F287" s="6" t="n">
        <v>1715316.241800428</v>
      </c>
      <c r="G287" s="6" t="inlineStr">
        <is>
          <t>DOMESTICA</t>
        </is>
      </c>
      <c r="H287" s="6" t="inlineStr">
        <is>
          <t>FIXO</t>
        </is>
      </c>
      <c r="I287" s="11">
        <f>IF($H287="AUTO_OFERTA_TOTAL_PRODUTO_PERIODO",SUMIFS(Oferta!$F:$F,Oferta!$A:$A,$A287,Oferta!$E:$E,$E287),$F287)</f>
        <v/>
      </c>
      <c r="J287" s="6" t="inlineStr">
        <is>
          <t>Informado</t>
        </is>
      </c>
      <c r="K287" s="6" t="inlineStr">
        <is>
          <t>Demanda doméstica fixa informada pelo usuário.</t>
        </is>
      </c>
    </row>
    <row r="288">
      <c r="A288" s="6" t="inlineStr">
        <is>
          <t>Milho</t>
        </is>
      </c>
      <c r="B288" s="6" t="inlineStr">
        <is>
          <t>São Paulo - SP</t>
        </is>
      </c>
      <c r="C288" s="6" t="n">
        <v>-23.5329</v>
      </c>
      <c r="D288" s="6" t="n">
        <v>-46.6395</v>
      </c>
      <c r="E288" s="6" t="inlineStr">
        <is>
          <t>2021-11</t>
        </is>
      </c>
      <c r="F288" s="6" t="n">
        <v>1162731.14377076</v>
      </c>
      <c r="G288" s="6" t="inlineStr">
        <is>
          <t>DOMESTICA</t>
        </is>
      </c>
      <c r="H288" s="6" t="inlineStr">
        <is>
          <t>FIXO</t>
        </is>
      </c>
      <c r="I288" s="11">
        <f>IF($H288="AUTO_OFERTA_TOTAL_PRODUTO_PERIODO",SUMIFS(Oferta!$F:$F,Oferta!$A:$A,$A288,Oferta!$E:$E,$E288),$F288)</f>
        <v/>
      </c>
      <c r="J288" s="6" t="inlineStr">
        <is>
          <t>Informado</t>
        </is>
      </c>
      <c r="K288" s="6" t="inlineStr">
        <is>
          <t>Demanda doméstica fixa informada pelo usuário.</t>
        </is>
      </c>
    </row>
    <row r="289">
      <c r="A289" s="6" t="inlineStr">
        <is>
          <t>Milho</t>
        </is>
      </c>
      <c r="B289" s="6" t="inlineStr">
        <is>
          <t>São Paulo - SP</t>
        </is>
      </c>
      <c r="C289" s="6" t="n">
        <v>-23.5329</v>
      </c>
      <c r="D289" s="6" t="n">
        <v>-46.6395</v>
      </c>
      <c r="E289" s="6" t="inlineStr">
        <is>
          <t>2021-12</t>
        </is>
      </c>
      <c r="F289" s="6" t="n">
        <v>794341.078417648</v>
      </c>
      <c r="G289" s="6" t="inlineStr">
        <is>
          <t>DOMESTICA</t>
        </is>
      </c>
      <c r="H289" s="6" t="inlineStr">
        <is>
          <t>FIXO</t>
        </is>
      </c>
      <c r="I289" s="11">
        <f>IF($H289="AUTO_OFERTA_TOTAL_PRODUTO_PERIODO",SUMIFS(Oferta!$F:$F,Oferta!$A:$A,$A289,Oferta!$E:$E,$E289),$F289)</f>
        <v/>
      </c>
      <c r="J289" s="6" t="inlineStr">
        <is>
          <t>Informado</t>
        </is>
      </c>
      <c r="K289" s="6" t="inlineStr">
        <is>
          <t>Demanda doméstica fixa informada pelo usuário.</t>
        </is>
      </c>
    </row>
    <row r="290">
      <c r="A290" s="6" t="inlineStr">
        <is>
          <t>Milho</t>
        </is>
      </c>
      <c r="B290" s="6" t="inlineStr">
        <is>
          <t>Curitiba - PR</t>
        </is>
      </c>
      <c r="C290" s="6" t="n">
        <v>-25.4195</v>
      </c>
      <c r="D290" s="6" t="n">
        <v>-49.2646</v>
      </c>
      <c r="E290" s="6" t="inlineStr">
        <is>
          <t>2021-01</t>
        </is>
      </c>
      <c r="F290" s="6" t="n">
        <v>377187.5598458612</v>
      </c>
      <c r="G290" s="6" t="inlineStr">
        <is>
          <t>DOMESTICA</t>
        </is>
      </c>
      <c r="H290" s="6" t="inlineStr">
        <is>
          <t>FIXO</t>
        </is>
      </c>
      <c r="I290" s="11">
        <f>IF($H290="AUTO_OFERTA_TOTAL_PRODUTO_PERIODO",SUMIFS(Oferta!$F:$F,Oferta!$A:$A,$A290,Oferta!$E:$E,$E290),$F290)</f>
        <v/>
      </c>
      <c r="J290" s="6" t="inlineStr">
        <is>
          <t>Informado</t>
        </is>
      </c>
      <c r="K290" s="6" t="inlineStr">
        <is>
          <t>Demanda doméstica fixa informada pelo usuário.</t>
        </is>
      </c>
    </row>
    <row r="291">
      <c r="A291" s="6" t="inlineStr">
        <is>
          <t>Milho</t>
        </is>
      </c>
      <c r="B291" s="6" t="inlineStr">
        <is>
          <t>Curitiba - PR</t>
        </is>
      </c>
      <c r="C291" s="6" t="n">
        <v>-25.4195</v>
      </c>
      <c r="D291" s="6" t="n">
        <v>-49.2646</v>
      </c>
      <c r="E291" s="6" t="inlineStr">
        <is>
          <t>2021-02</t>
        </is>
      </c>
      <c r="F291" s="6" t="n">
        <v>420919.4508424829</v>
      </c>
      <c r="G291" s="6" t="inlineStr">
        <is>
          <t>DOMESTICA</t>
        </is>
      </c>
      <c r="H291" s="6" t="inlineStr">
        <is>
          <t>FIXO</t>
        </is>
      </c>
      <c r="I291" s="11">
        <f>IF($H291="AUTO_OFERTA_TOTAL_PRODUTO_PERIODO",SUMIFS(Oferta!$F:$F,Oferta!$A:$A,$A291,Oferta!$E:$E,$E291),$F291)</f>
        <v/>
      </c>
      <c r="J291" s="6" t="inlineStr">
        <is>
          <t>Informado</t>
        </is>
      </c>
      <c r="K291" s="6" t="inlineStr">
        <is>
          <t>Demanda doméstica fixa informada pelo usuário.</t>
        </is>
      </c>
    </row>
    <row r="292">
      <c r="A292" s="6" t="inlineStr">
        <is>
          <t>Milho</t>
        </is>
      </c>
      <c r="B292" s="6" t="inlineStr">
        <is>
          <t>Curitiba - PR</t>
        </is>
      </c>
      <c r="C292" s="6" t="n">
        <v>-25.4195</v>
      </c>
      <c r="D292" s="6" t="n">
        <v>-49.2646</v>
      </c>
      <c r="E292" s="6" t="inlineStr">
        <is>
          <t>2021-03</t>
        </is>
      </c>
      <c r="F292" s="6" t="n">
        <v>508383.2328357261</v>
      </c>
      <c r="G292" s="6" t="inlineStr">
        <is>
          <t>DOMESTICA</t>
        </is>
      </c>
      <c r="H292" s="6" t="inlineStr">
        <is>
          <t>FIXO</t>
        </is>
      </c>
      <c r="I292" s="11">
        <f>IF($H292="AUTO_OFERTA_TOTAL_PRODUTO_PERIODO",SUMIFS(Oferta!$F:$F,Oferta!$A:$A,$A292,Oferta!$E:$E,$E292),$F292)</f>
        <v/>
      </c>
      <c r="J292" s="6" t="inlineStr">
        <is>
          <t>Informado</t>
        </is>
      </c>
      <c r="K292" s="6" t="inlineStr">
        <is>
          <t>Demanda doméstica fixa informada pelo usuário.</t>
        </is>
      </c>
    </row>
    <row r="293">
      <c r="A293" s="6" t="inlineStr">
        <is>
          <t>Milho</t>
        </is>
      </c>
      <c r="B293" s="6" t="inlineStr">
        <is>
          <t>Curitiba - PR</t>
        </is>
      </c>
      <c r="C293" s="6" t="n">
        <v>-25.4195</v>
      </c>
      <c r="D293" s="6" t="n">
        <v>-49.2646</v>
      </c>
      <c r="E293" s="6" t="inlineStr">
        <is>
          <t>2021-04</t>
        </is>
      </c>
      <c r="F293" s="6" t="n">
        <v>639578.9058255907</v>
      </c>
      <c r="G293" s="6" t="inlineStr">
        <is>
          <t>DOMESTICA</t>
        </is>
      </c>
      <c r="H293" s="6" t="inlineStr">
        <is>
          <t>FIXO</t>
        </is>
      </c>
      <c r="I293" s="11">
        <f>IF($H293="AUTO_OFERTA_TOTAL_PRODUTO_PERIODO",SUMIFS(Oferta!$F:$F,Oferta!$A:$A,$A293,Oferta!$E:$E,$E293),$F293)</f>
        <v/>
      </c>
      <c r="J293" s="6" t="inlineStr">
        <is>
          <t>Informado</t>
        </is>
      </c>
      <c r="K293" s="6" t="inlineStr">
        <is>
          <t>Demanda doméstica fixa informada pelo usuário.</t>
        </is>
      </c>
    </row>
    <row r="294">
      <c r="A294" s="6" t="inlineStr">
        <is>
          <t>Milho</t>
        </is>
      </c>
      <c r="B294" s="6" t="inlineStr">
        <is>
          <t>Curitiba - PR</t>
        </is>
      </c>
      <c r="C294" s="6" t="n">
        <v>-25.4195</v>
      </c>
      <c r="D294" s="6" t="n">
        <v>-49.2646</v>
      </c>
      <c r="E294" s="6" t="inlineStr">
        <is>
          <t>2021-05</t>
        </is>
      </c>
      <c r="F294" s="6" t="n">
        <v>727042.687818834</v>
      </c>
      <c r="G294" s="6" t="inlineStr">
        <is>
          <t>DOMESTICA</t>
        </is>
      </c>
      <c r="H294" s="6" t="inlineStr">
        <is>
          <t>FIXO</t>
        </is>
      </c>
      <c r="I294" s="11">
        <f>IF($H294="AUTO_OFERTA_TOTAL_PRODUTO_PERIODO",SUMIFS(Oferta!$F:$F,Oferta!$A:$A,$A294,Oferta!$E:$E,$E294),$F294)</f>
        <v/>
      </c>
      <c r="J294" s="6" t="inlineStr">
        <is>
          <t>Informado</t>
        </is>
      </c>
      <c r="K294" s="6" t="inlineStr">
        <is>
          <t>Demanda doméstica fixa informada pelo usuário.</t>
        </is>
      </c>
    </row>
    <row r="295">
      <c r="A295" s="6" t="inlineStr">
        <is>
          <t>Milho</t>
        </is>
      </c>
      <c r="B295" s="6" t="inlineStr">
        <is>
          <t>Curitiba - PR</t>
        </is>
      </c>
      <c r="C295" s="6" t="n">
        <v>-25.4195</v>
      </c>
      <c r="D295" s="6" t="n">
        <v>-49.2646</v>
      </c>
      <c r="E295" s="6" t="inlineStr">
        <is>
          <t>2021-06</t>
        </is>
      </c>
      <c r="F295" s="6" t="n">
        <v>770774.5788154557</v>
      </c>
      <c r="G295" s="6" t="inlineStr">
        <is>
          <t>DOMESTICA</t>
        </is>
      </c>
      <c r="H295" s="6" t="inlineStr">
        <is>
          <t>FIXO</t>
        </is>
      </c>
      <c r="I295" s="11">
        <f>IF($H295="AUTO_OFERTA_TOTAL_PRODUTO_PERIODO",SUMIFS(Oferta!$F:$F,Oferta!$A:$A,$A295,Oferta!$E:$E,$E295),$F295)</f>
        <v/>
      </c>
      <c r="J295" s="6" t="inlineStr">
        <is>
          <t>Informado</t>
        </is>
      </c>
      <c r="K295" s="6" t="inlineStr">
        <is>
          <t>Demanda doméstica fixa informada pelo usuário.</t>
        </is>
      </c>
    </row>
    <row r="296">
      <c r="A296" s="6" t="inlineStr">
        <is>
          <t>Milho</t>
        </is>
      </c>
      <c r="B296" s="6" t="inlineStr">
        <is>
          <t>Curitiba - PR</t>
        </is>
      </c>
      <c r="C296" s="6" t="n">
        <v>-25.4195</v>
      </c>
      <c r="D296" s="6" t="n">
        <v>-49.2646</v>
      </c>
      <c r="E296" s="6" t="inlineStr">
        <is>
          <t>2021-07</t>
        </is>
      </c>
      <c r="F296" s="6" t="n">
        <v>727042.687818834</v>
      </c>
      <c r="G296" s="6" t="inlineStr">
        <is>
          <t>DOMESTICA</t>
        </is>
      </c>
      <c r="H296" s="6" t="inlineStr">
        <is>
          <t>FIXO</t>
        </is>
      </c>
      <c r="I296" s="11">
        <f>IF($H296="AUTO_OFERTA_TOTAL_PRODUTO_PERIODO",SUMIFS(Oferta!$F:$F,Oferta!$A:$A,$A296,Oferta!$E:$E,$E296),$F296)</f>
        <v/>
      </c>
      <c r="J296" s="6" t="inlineStr">
        <is>
          <t>Informado</t>
        </is>
      </c>
      <c r="K296" s="6" t="inlineStr">
        <is>
          <t>Demanda doméstica fixa informada pelo usuário.</t>
        </is>
      </c>
    </row>
    <row r="297">
      <c r="A297" s="6" t="inlineStr">
        <is>
          <t>Milho</t>
        </is>
      </c>
      <c r="B297" s="6" t="inlineStr">
        <is>
          <t>Curitiba - PR</t>
        </is>
      </c>
      <c r="C297" s="6" t="n">
        <v>-25.4195</v>
      </c>
      <c r="D297" s="6" t="n">
        <v>-49.2646</v>
      </c>
      <c r="E297" s="6" t="inlineStr">
        <is>
          <t>2021-08</t>
        </is>
      </c>
      <c r="F297" s="6" t="n">
        <v>639578.9058255907</v>
      </c>
      <c r="G297" s="6" t="inlineStr">
        <is>
          <t>DOMESTICA</t>
        </is>
      </c>
      <c r="H297" s="6" t="inlineStr">
        <is>
          <t>FIXO</t>
        </is>
      </c>
      <c r="I297" s="11">
        <f>IF($H297="AUTO_OFERTA_TOTAL_PRODUTO_PERIODO",SUMIFS(Oferta!$F:$F,Oferta!$A:$A,$A297,Oferta!$E:$E,$E297),$F297)</f>
        <v/>
      </c>
      <c r="J297" s="6" t="inlineStr">
        <is>
          <t>Informado</t>
        </is>
      </c>
      <c r="K297" s="6" t="inlineStr">
        <is>
          <t>Demanda doméstica fixa informada pelo usuário.</t>
        </is>
      </c>
    </row>
    <row r="298">
      <c r="A298" s="6" t="inlineStr">
        <is>
          <t>Milho</t>
        </is>
      </c>
      <c r="B298" s="6" t="inlineStr">
        <is>
          <t>Curitiba - PR</t>
        </is>
      </c>
      <c r="C298" s="6" t="n">
        <v>-25.4195</v>
      </c>
      <c r="D298" s="6" t="n">
        <v>-49.2646</v>
      </c>
      <c r="E298" s="6" t="inlineStr">
        <is>
          <t>2021-09</t>
        </is>
      </c>
      <c r="F298" s="6" t="n">
        <v>595847.0148289693</v>
      </c>
      <c r="G298" s="6" t="inlineStr">
        <is>
          <t>DOMESTICA</t>
        </is>
      </c>
      <c r="H298" s="6" t="inlineStr">
        <is>
          <t>FIXO</t>
        </is>
      </c>
      <c r="I298" s="11">
        <f>IF($H298="AUTO_OFERTA_TOTAL_PRODUTO_PERIODO",SUMIFS(Oferta!$F:$F,Oferta!$A:$A,$A298,Oferta!$E:$E,$E298),$F298)</f>
        <v/>
      </c>
      <c r="J298" s="6" t="inlineStr">
        <is>
          <t>Informado</t>
        </is>
      </c>
      <c r="K298" s="6" t="inlineStr">
        <is>
          <t>Demanda doméstica fixa informada pelo usuário.</t>
        </is>
      </c>
    </row>
    <row r="299">
      <c r="A299" s="6" t="inlineStr">
        <is>
          <t>Milho</t>
        </is>
      </c>
      <c r="B299" s="6" t="inlineStr">
        <is>
          <t>Curitiba - PR</t>
        </is>
      </c>
      <c r="C299" s="6" t="n">
        <v>-25.4195</v>
      </c>
      <c r="D299" s="6" t="n">
        <v>-49.2646</v>
      </c>
      <c r="E299" s="6" t="inlineStr">
        <is>
          <t>2021-10</t>
        </is>
      </c>
      <c r="F299" s="6" t="n">
        <v>727042.687818834</v>
      </c>
      <c r="G299" s="6" t="inlineStr">
        <is>
          <t>DOMESTICA</t>
        </is>
      </c>
      <c r="H299" s="6" t="inlineStr">
        <is>
          <t>FIXO</t>
        </is>
      </c>
      <c r="I299" s="11">
        <f>IF($H299="AUTO_OFERTA_TOTAL_PRODUTO_PERIODO",SUMIFS(Oferta!$F:$F,Oferta!$A:$A,$A299,Oferta!$E:$E,$E299),$F299)</f>
        <v/>
      </c>
      <c r="J299" s="6" t="inlineStr">
        <is>
          <t>Informado</t>
        </is>
      </c>
      <c r="K299" s="6" t="inlineStr">
        <is>
          <t>Demanda doméstica fixa informada pelo usuário.</t>
        </is>
      </c>
    </row>
    <row r="300">
      <c r="A300" s="6" t="inlineStr">
        <is>
          <t>Milho</t>
        </is>
      </c>
      <c r="B300" s="6" t="inlineStr">
        <is>
          <t>Curitiba - PR</t>
        </is>
      </c>
      <c r="C300" s="6" t="n">
        <v>-25.4195</v>
      </c>
      <c r="D300" s="6" t="n">
        <v>-49.2646</v>
      </c>
      <c r="E300" s="6" t="inlineStr">
        <is>
          <t>2021-11</t>
        </is>
      </c>
      <c r="F300" s="6" t="n">
        <v>683310.7968222124</v>
      </c>
      <c r="G300" s="6" t="inlineStr">
        <is>
          <t>DOMESTICA</t>
        </is>
      </c>
      <c r="H300" s="6" t="inlineStr">
        <is>
          <t>FIXO</t>
        </is>
      </c>
      <c r="I300" s="11">
        <f>IF($H300="AUTO_OFERTA_TOTAL_PRODUTO_PERIODO",SUMIFS(Oferta!$F:$F,Oferta!$A:$A,$A300,Oferta!$E:$E,$E300),$F300)</f>
        <v/>
      </c>
      <c r="J300" s="6" t="inlineStr">
        <is>
          <t>Informado</t>
        </is>
      </c>
      <c r="K300" s="6" t="inlineStr">
        <is>
          <t>Demanda doméstica fixa informada pelo usuário.</t>
        </is>
      </c>
    </row>
    <row r="301">
      <c r="A301" s="6" t="inlineStr">
        <is>
          <t>Milho</t>
        </is>
      </c>
      <c r="B301" s="6" t="inlineStr">
        <is>
          <t>Curitiba - PR</t>
        </is>
      </c>
      <c r="C301" s="6" t="n">
        <v>-25.4195</v>
      </c>
      <c r="D301" s="6" t="n">
        <v>-49.2646</v>
      </c>
      <c r="E301" s="6" t="inlineStr">
        <is>
          <t>2021-12</t>
        </is>
      </c>
      <c r="F301" s="6" t="n">
        <v>595847.0148289693</v>
      </c>
      <c r="G301" s="6" t="inlineStr">
        <is>
          <t>DOMESTICA</t>
        </is>
      </c>
      <c r="H301" s="6" t="inlineStr">
        <is>
          <t>FIXO</t>
        </is>
      </c>
      <c r="I301" s="11">
        <f>IF($H301="AUTO_OFERTA_TOTAL_PRODUTO_PERIODO",SUMIFS(Oferta!$F:$F,Oferta!$A:$A,$A301,Oferta!$E:$E,$E301),$F301)</f>
        <v/>
      </c>
      <c r="J301" s="6" t="inlineStr">
        <is>
          <t>Informado</t>
        </is>
      </c>
      <c r="K301" s="6" t="inlineStr">
        <is>
          <t>Demanda doméstica fixa informada pelo usuário.</t>
        </is>
      </c>
    </row>
    <row r="302">
      <c r="A302" s="6" t="inlineStr">
        <is>
          <t>Milho</t>
        </is>
      </c>
      <c r="B302" s="6" t="inlineStr">
        <is>
          <t>Florianópolis - SC</t>
        </is>
      </c>
      <c r="C302" s="6" t="n">
        <v>-27.5945</v>
      </c>
      <c r="D302" s="6" t="n">
        <v>-48.5477</v>
      </c>
      <c r="E302" s="6" t="inlineStr">
        <is>
          <t>2021-01</t>
        </is>
      </c>
      <c r="F302" s="6" t="n">
        <v>160839.2614109915</v>
      </c>
      <c r="G302" s="6" t="inlineStr">
        <is>
          <t>DOMESTICA</t>
        </is>
      </c>
      <c r="H302" s="6" t="inlineStr">
        <is>
          <t>FIXO</t>
        </is>
      </c>
      <c r="I302" s="11">
        <f>IF($H302="AUTO_OFERTA_TOTAL_PRODUTO_PERIODO",SUMIFS(Oferta!$F:$F,Oferta!$A:$A,$A302,Oferta!$E:$E,$E302),$F302)</f>
        <v/>
      </c>
      <c r="J302" s="6" t="inlineStr">
        <is>
          <t>Informado</t>
        </is>
      </c>
      <c r="K302" s="6" t="inlineStr">
        <is>
          <t>Demanda doméstica fixa informada pelo usuário.</t>
        </is>
      </c>
    </row>
    <row r="303">
      <c r="A303" s="6" t="inlineStr">
        <is>
          <t>Milho</t>
        </is>
      </c>
      <c r="B303" s="6" t="inlineStr">
        <is>
          <t>Florianópolis - SC</t>
        </is>
      </c>
      <c r="C303" s="6" t="n">
        <v>-27.5945</v>
      </c>
      <c r="D303" s="6" t="n">
        <v>-48.5477</v>
      </c>
      <c r="E303" s="6" t="inlineStr">
        <is>
          <t>2021-02</t>
        </is>
      </c>
      <c r="F303" s="6" t="n">
        <v>203026.6086663337</v>
      </c>
      <c r="G303" s="6" t="inlineStr">
        <is>
          <t>DOMESTICA</t>
        </is>
      </c>
      <c r="H303" s="6" t="inlineStr">
        <is>
          <t>FIXO</t>
        </is>
      </c>
      <c r="I303" s="11">
        <f>IF($H303="AUTO_OFERTA_TOTAL_PRODUTO_PERIODO",SUMIFS(Oferta!$F:$F,Oferta!$A:$A,$A303,Oferta!$E:$E,$E303),$F303)</f>
        <v/>
      </c>
      <c r="J303" s="6" t="inlineStr">
        <is>
          <t>Informado</t>
        </is>
      </c>
      <c r="K303" s="6" t="inlineStr">
        <is>
          <t>Demanda doméstica fixa informada pelo usuário.</t>
        </is>
      </c>
    </row>
    <row r="304">
      <c r="A304" s="6" t="inlineStr">
        <is>
          <t>Milho</t>
        </is>
      </c>
      <c r="B304" s="6" t="inlineStr">
        <is>
          <t>Florianópolis - SC</t>
        </is>
      </c>
      <c r="C304" s="6" t="n">
        <v>-27.5945</v>
      </c>
      <c r="D304" s="6" t="n">
        <v>-48.5477</v>
      </c>
      <c r="E304" s="6" t="inlineStr">
        <is>
          <t>2021-03</t>
        </is>
      </c>
      <c r="F304" s="6" t="n">
        <v>245213.9559216757</v>
      </c>
      <c r="G304" s="6" t="inlineStr">
        <is>
          <t>DOMESTICA</t>
        </is>
      </c>
      <c r="H304" s="6" t="inlineStr">
        <is>
          <t>FIXO</t>
        </is>
      </c>
      <c r="I304" s="11">
        <f>IF($H304="AUTO_OFERTA_TOTAL_PRODUTO_PERIODO",SUMIFS(Oferta!$F:$F,Oferta!$A:$A,$A304,Oferta!$E:$E,$E304),$F304)</f>
        <v/>
      </c>
      <c r="J304" s="6" t="inlineStr">
        <is>
          <t>Informado</t>
        </is>
      </c>
      <c r="K304" s="6" t="inlineStr">
        <is>
          <t>Demanda doméstica fixa informada pelo usuário.</t>
        </is>
      </c>
    </row>
    <row r="305">
      <c r="A305" s="6" t="inlineStr">
        <is>
          <t>Milho</t>
        </is>
      </c>
      <c r="B305" s="6" t="inlineStr">
        <is>
          <t>Florianópolis - SC</t>
        </is>
      </c>
      <c r="C305" s="6" t="n">
        <v>-27.5945</v>
      </c>
      <c r="D305" s="6" t="n">
        <v>-48.5477</v>
      </c>
      <c r="E305" s="6" t="inlineStr">
        <is>
          <t>2021-04</t>
        </is>
      </c>
      <c r="F305" s="6" t="n">
        <v>350682.3240600308</v>
      </c>
      <c r="G305" s="6" t="inlineStr">
        <is>
          <t>DOMESTICA</t>
        </is>
      </c>
      <c r="H305" s="6" t="inlineStr">
        <is>
          <t>FIXO</t>
        </is>
      </c>
      <c r="I305" s="11">
        <f>IF($H305="AUTO_OFERTA_TOTAL_PRODUTO_PERIODO",SUMIFS(Oferta!$F:$F,Oferta!$A:$A,$A305,Oferta!$E:$E,$E305),$F305)</f>
        <v/>
      </c>
      <c r="J305" s="6" t="inlineStr">
        <is>
          <t>Informado</t>
        </is>
      </c>
      <c r="K305" s="6" t="inlineStr">
        <is>
          <t>Demanda doméstica fixa informada pelo usuário.</t>
        </is>
      </c>
    </row>
    <row r="306">
      <c r="A306" s="6" t="inlineStr">
        <is>
          <t>Milho</t>
        </is>
      </c>
      <c r="B306" s="6" t="inlineStr">
        <is>
          <t>Florianópolis - SC</t>
        </is>
      </c>
      <c r="C306" s="6" t="n">
        <v>-27.5945</v>
      </c>
      <c r="D306" s="6" t="n">
        <v>-48.5477</v>
      </c>
      <c r="E306" s="6" t="inlineStr">
        <is>
          <t>2021-05</t>
        </is>
      </c>
      <c r="F306" s="6" t="n">
        <v>435057.018570715</v>
      </c>
      <c r="G306" s="6" t="inlineStr">
        <is>
          <t>DOMESTICA</t>
        </is>
      </c>
      <c r="H306" s="6" t="inlineStr">
        <is>
          <t>FIXO</t>
        </is>
      </c>
      <c r="I306" s="11">
        <f>IF($H306="AUTO_OFERTA_TOTAL_PRODUTO_PERIODO",SUMIFS(Oferta!$F:$F,Oferta!$A:$A,$A306,Oferta!$E:$E,$E306),$F306)</f>
        <v/>
      </c>
      <c r="J306" s="6" t="inlineStr">
        <is>
          <t>Informado</t>
        </is>
      </c>
      <c r="K306" s="6" t="inlineStr">
        <is>
          <t>Demanda doméstica fixa informada pelo usuário.</t>
        </is>
      </c>
    </row>
    <row r="307">
      <c r="A307" s="6" t="inlineStr">
        <is>
          <t>Milho</t>
        </is>
      </c>
      <c r="B307" s="6" t="inlineStr">
        <is>
          <t>Florianópolis - SC</t>
        </is>
      </c>
      <c r="C307" s="6" t="n">
        <v>-27.5945</v>
      </c>
      <c r="D307" s="6" t="n">
        <v>-48.5477</v>
      </c>
      <c r="E307" s="6" t="inlineStr">
        <is>
          <t>2021-06</t>
        </is>
      </c>
      <c r="F307" s="6" t="n">
        <v>477244.365826057</v>
      </c>
      <c r="G307" s="6" t="inlineStr">
        <is>
          <t>DOMESTICA</t>
        </is>
      </c>
      <c r="H307" s="6" t="inlineStr">
        <is>
          <t>FIXO</t>
        </is>
      </c>
      <c r="I307" s="11">
        <f>IF($H307="AUTO_OFERTA_TOTAL_PRODUTO_PERIODO",SUMIFS(Oferta!$F:$F,Oferta!$A:$A,$A307,Oferta!$E:$E,$E307),$F307)</f>
        <v/>
      </c>
      <c r="J307" s="6" t="inlineStr">
        <is>
          <t>Informado</t>
        </is>
      </c>
      <c r="K307" s="6" t="inlineStr">
        <is>
          <t>Demanda doméstica fixa informada pelo usuário.</t>
        </is>
      </c>
    </row>
    <row r="308">
      <c r="A308" s="6" t="inlineStr">
        <is>
          <t>Milho</t>
        </is>
      </c>
      <c r="B308" s="6" t="inlineStr">
        <is>
          <t>Florianópolis - SC</t>
        </is>
      </c>
      <c r="C308" s="6" t="n">
        <v>-27.5945</v>
      </c>
      <c r="D308" s="6" t="n">
        <v>-48.5477</v>
      </c>
      <c r="E308" s="6" t="inlineStr">
        <is>
          <t>2021-07</t>
        </is>
      </c>
      <c r="F308" s="6" t="n">
        <v>519431.713081399</v>
      </c>
      <c r="G308" s="6" t="inlineStr">
        <is>
          <t>DOMESTICA</t>
        </is>
      </c>
      <c r="H308" s="6" t="inlineStr">
        <is>
          <t>FIXO</t>
        </is>
      </c>
      <c r="I308" s="11">
        <f>IF($H308="AUTO_OFERTA_TOTAL_PRODUTO_PERIODO",SUMIFS(Oferta!$F:$F,Oferta!$A:$A,$A308,Oferta!$E:$E,$E308),$F308)</f>
        <v/>
      </c>
      <c r="J308" s="6" t="inlineStr">
        <is>
          <t>Informado</t>
        </is>
      </c>
      <c r="K308" s="6" t="inlineStr">
        <is>
          <t>Demanda doméstica fixa informada pelo usuário.</t>
        </is>
      </c>
    </row>
    <row r="309">
      <c r="A309" s="6" t="inlineStr">
        <is>
          <t>Milho</t>
        </is>
      </c>
      <c r="B309" s="6" t="inlineStr">
        <is>
          <t>Florianópolis - SC</t>
        </is>
      </c>
      <c r="C309" s="6" t="n">
        <v>-27.5945</v>
      </c>
      <c r="D309" s="6" t="n">
        <v>-48.5477</v>
      </c>
      <c r="E309" s="6" t="inlineStr">
        <is>
          <t>2021-08</t>
        </is>
      </c>
      <c r="F309" s="6" t="n">
        <v>435057.018570715</v>
      </c>
      <c r="G309" s="6" t="inlineStr">
        <is>
          <t>DOMESTICA</t>
        </is>
      </c>
      <c r="H309" s="6" t="inlineStr">
        <is>
          <t>FIXO</t>
        </is>
      </c>
      <c r="I309" s="11">
        <f>IF($H309="AUTO_OFERTA_TOTAL_PRODUTO_PERIODO",SUMIFS(Oferta!$F:$F,Oferta!$A:$A,$A309,Oferta!$E:$E,$E309),$F309)</f>
        <v/>
      </c>
      <c r="J309" s="6" t="inlineStr">
        <is>
          <t>Informado</t>
        </is>
      </c>
      <c r="K309" s="6" t="inlineStr">
        <is>
          <t>Demanda doméstica fixa informada pelo usuário.</t>
        </is>
      </c>
    </row>
    <row r="310">
      <c r="A310" s="6" t="inlineStr">
        <is>
          <t>Milho</t>
        </is>
      </c>
      <c r="B310" s="6" t="inlineStr">
        <is>
          <t>Florianópolis - SC</t>
        </is>
      </c>
      <c r="C310" s="6" t="n">
        <v>-27.5945</v>
      </c>
      <c r="D310" s="6" t="n">
        <v>-48.5477</v>
      </c>
      <c r="E310" s="6" t="inlineStr">
        <is>
          <t>2021-09</t>
        </is>
      </c>
      <c r="F310" s="6" t="n">
        <v>371775.9976877019</v>
      </c>
      <c r="G310" s="6" t="inlineStr">
        <is>
          <t>DOMESTICA</t>
        </is>
      </c>
      <c r="H310" s="6" t="inlineStr">
        <is>
          <t>FIXO</t>
        </is>
      </c>
      <c r="I310" s="11">
        <f>IF($H310="AUTO_OFERTA_TOTAL_PRODUTO_PERIODO",SUMIFS(Oferta!$F:$F,Oferta!$A:$A,$A310,Oferta!$E:$E,$E310),$F310)</f>
        <v/>
      </c>
      <c r="J310" s="6" t="inlineStr">
        <is>
          <t>Informado</t>
        </is>
      </c>
      <c r="K310" s="6" t="inlineStr">
        <is>
          <t>Demanda doméstica fixa informada pelo usuário.</t>
        </is>
      </c>
    </row>
    <row r="311">
      <c r="A311" s="6" t="inlineStr">
        <is>
          <t>Milho</t>
        </is>
      </c>
      <c r="B311" s="6" t="inlineStr">
        <is>
          <t>Florianópolis - SC</t>
        </is>
      </c>
      <c r="C311" s="6" t="n">
        <v>-27.5945</v>
      </c>
      <c r="D311" s="6" t="n">
        <v>-48.5477</v>
      </c>
      <c r="E311" s="6" t="inlineStr">
        <is>
          <t>2021-10</t>
        </is>
      </c>
      <c r="F311" s="6" t="n">
        <v>203026.6086663336</v>
      </c>
      <c r="G311" s="6" t="inlineStr">
        <is>
          <t>DOMESTICA</t>
        </is>
      </c>
      <c r="H311" s="6" t="inlineStr">
        <is>
          <t>FIXO</t>
        </is>
      </c>
      <c r="I311" s="11">
        <f>IF($H311="AUTO_OFERTA_TOTAL_PRODUTO_PERIODO",SUMIFS(Oferta!$F:$F,Oferta!$A:$A,$A311,Oferta!$E:$E,$E311),$F311)</f>
        <v/>
      </c>
      <c r="J311" s="6" t="inlineStr">
        <is>
          <t>Informado</t>
        </is>
      </c>
      <c r="K311" s="6" t="inlineStr">
        <is>
          <t>Demanda doméstica fixa informada pelo usuário.</t>
        </is>
      </c>
    </row>
    <row r="312">
      <c r="A312" s="6" t="inlineStr">
        <is>
          <t>Milho</t>
        </is>
      </c>
      <c r="B312" s="6" t="inlineStr">
        <is>
          <t>Florianópolis - SC</t>
        </is>
      </c>
      <c r="C312" s="6" t="n">
        <v>-27.5945</v>
      </c>
      <c r="D312" s="6" t="n">
        <v>-48.5477</v>
      </c>
      <c r="E312" s="6" t="inlineStr">
        <is>
          <t>2021-11</t>
        </is>
      </c>
      <c r="F312" s="6" t="n">
        <v>160839.2614109916</v>
      </c>
      <c r="G312" s="6" t="inlineStr">
        <is>
          <t>DOMESTICA</t>
        </is>
      </c>
      <c r="H312" s="6" t="inlineStr">
        <is>
          <t>FIXO</t>
        </is>
      </c>
      <c r="I312" s="11">
        <f>IF($H312="AUTO_OFERTA_TOTAL_PRODUTO_PERIODO",SUMIFS(Oferta!$F:$F,Oferta!$A:$A,$A312,Oferta!$E:$E,$E312),$F312)</f>
        <v/>
      </c>
      <c r="J312" s="6" t="inlineStr">
        <is>
          <t>Informado</t>
        </is>
      </c>
      <c r="K312" s="6" t="inlineStr">
        <is>
          <t>Demanda doméstica fixa informada pelo usuário.</t>
        </is>
      </c>
    </row>
    <row r="313">
      <c r="A313" s="6" t="inlineStr">
        <is>
          <t>Milho</t>
        </is>
      </c>
      <c r="B313" s="6" t="inlineStr">
        <is>
          <t>Florianópolis - SC</t>
        </is>
      </c>
      <c r="C313" s="6" t="n">
        <v>-27.5945</v>
      </c>
      <c r="D313" s="6" t="n">
        <v>-48.5477</v>
      </c>
      <c r="E313" s="6" t="inlineStr">
        <is>
          <t>2021-12</t>
        </is>
      </c>
      <c r="F313" s="6" t="n">
        <v>139745.5877833206</v>
      </c>
      <c r="G313" s="6" t="inlineStr">
        <is>
          <t>DOMESTICA</t>
        </is>
      </c>
      <c r="H313" s="6" t="inlineStr">
        <is>
          <t>FIXO</t>
        </is>
      </c>
      <c r="I313" s="11">
        <f>IF($H313="AUTO_OFERTA_TOTAL_PRODUTO_PERIODO",SUMIFS(Oferta!$F:$F,Oferta!$A:$A,$A313,Oferta!$E:$E,$E313),$F313)</f>
        <v/>
      </c>
      <c r="J313" s="6" t="inlineStr">
        <is>
          <t>Informado</t>
        </is>
      </c>
      <c r="K313" s="6" t="inlineStr">
        <is>
          <t>Demanda doméstica fixa informada pelo usuário.</t>
        </is>
      </c>
    </row>
    <row r="314">
      <c r="A314" s="6" t="inlineStr">
        <is>
          <t>Milho</t>
        </is>
      </c>
      <c r="B314" s="6" t="inlineStr">
        <is>
          <t>Porto Alegre - RS</t>
        </is>
      </c>
      <c r="C314" s="6" t="n">
        <v>-30.0318</v>
      </c>
      <c r="D314" s="6" t="n">
        <v>-51.2065</v>
      </c>
      <c r="E314" s="6" t="inlineStr">
        <is>
          <t>2021-01</t>
        </is>
      </c>
      <c r="F314" s="6" t="n">
        <v>406170.5289291156</v>
      </c>
      <c r="G314" s="6" t="inlineStr">
        <is>
          <t>DOMESTICA</t>
        </is>
      </c>
      <c r="H314" s="6" t="inlineStr">
        <is>
          <t>FIXO</t>
        </is>
      </c>
      <c r="I314" s="11">
        <f>IF($H314="AUTO_OFERTA_TOTAL_PRODUTO_PERIODO",SUMIFS(Oferta!$F:$F,Oferta!$A:$A,$A314,Oferta!$E:$E,$E314),$F314)</f>
        <v/>
      </c>
      <c r="J314" s="6" t="inlineStr">
        <is>
          <t>Informado</t>
        </is>
      </c>
      <c r="K314" s="6" t="inlineStr">
        <is>
          <t>Demanda doméstica fixa informada pelo usuário.</t>
        </is>
      </c>
    </row>
    <row r="315">
      <c r="A315" s="6" t="inlineStr">
        <is>
          <t>Milho</t>
        </is>
      </c>
      <c r="B315" s="6" t="inlineStr">
        <is>
          <t>Porto Alegre - RS</t>
        </is>
      </c>
      <c r="C315" s="6" t="n">
        <v>-30.0318</v>
      </c>
      <c r="D315" s="6" t="n">
        <v>-51.2065</v>
      </c>
      <c r="E315" s="6" t="inlineStr">
        <is>
          <t>2021-02</t>
        </is>
      </c>
      <c r="F315" s="6" t="n">
        <v>512707.0611072443</v>
      </c>
      <c r="G315" s="6" t="inlineStr">
        <is>
          <t>DOMESTICA</t>
        </is>
      </c>
      <c r="H315" s="6" t="inlineStr">
        <is>
          <t>FIXO</t>
        </is>
      </c>
      <c r="I315" s="11">
        <f>IF($H315="AUTO_OFERTA_TOTAL_PRODUTO_PERIODO",SUMIFS(Oferta!$F:$F,Oferta!$A:$A,$A315,Oferta!$E:$E,$E315),$F315)</f>
        <v/>
      </c>
      <c r="J315" s="6" t="inlineStr">
        <is>
          <t>Informado</t>
        </is>
      </c>
      <c r="K315" s="6" t="inlineStr">
        <is>
          <t>Demanda doméstica fixa informada pelo usuário.</t>
        </is>
      </c>
    </row>
    <row r="316">
      <c r="A316" s="6" t="inlineStr">
        <is>
          <t>Milho</t>
        </is>
      </c>
      <c r="B316" s="6" t="inlineStr">
        <is>
          <t>Porto Alegre - RS</t>
        </is>
      </c>
      <c r="C316" s="6" t="n">
        <v>-30.0318</v>
      </c>
      <c r="D316" s="6" t="n">
        <v>-51.2065</v>
      </c>
      <c r="E316" s="6" t="inlineStr">
        <is>
          <t>2021-03</t>
        </is>
      </c>
      <c r="F316" s="6" t="n">
        <v>619243.5932853729</v>
      </c>
      <c r="G316" s="6" t="inlineStr">
        <is>
          <t>DOMESTICA</t>
        </is>
      </c>
      <c r="H316" s="6" t="inlineStr">
        <is>
          <t>FIXO</t>
        </is>
      </c>
      <c r="I316" s="11">
        <f>IF($H316="AUTO_OFERTA_TOTAL_PRODUTO_PERIODO",SUMIFS(Oferta!$F:$F,Oferta!$A:$A,$A316,Oferta!$E:$E,$E316),$F316)</f>
        <v/>
      </c>
      <c r="J316" s="6" t="inlineStr">
        <is>
          <t>Informado</t>
        </is>
      </c>
      <c r="K316" s="6" t="inlineStr">
        <is>
          <t>Demanda doméstica fixa informada pelo usuário.</t>
        </is>
      </c>
    </row>
    <row r="317">
      <c r="A317" s="6" t="inlineStr">
        <is>
          <t>Milho</t>
        </is>
      </c>
      <c r="B317" s="6" t="inlineStr">
        <is>
          <t>Porto Alegre - RS</t>
        </is>
      </c>
      <c r="C317" s="6" t="n">
        <v>-30.0318</v>
      </c>
      <c r="D317" s="6" t="n">
        <v>-51.2065</v>
      </c>
      <c r="E317" s="6" t="inlineStr">
        <is>
          <t>2021-04</t>
        </is>
      </c>
      <c r="F317" s="6" t="n">
        <v>885584.9237306947</v>
      </c>
      <c r="G317" s="6" t="inlineStr">
        <is>
          <t>DOMESTICA</t>
        </is>
      </c>
      <c r="H317" s="6" t="inlineStr">
        <is>
          <t>FIXO</t>
        </is>
      </c>
      <c r="I317" s="11">
        <f>IF($H317="AUTO_OFERTA_TOTAL_PRODUTO_PERIODO",SUMIFS(Oferta!$F:$F,Oferta!$A:$A,$A317,Oferta!$E:$E,$E317),$F317)</f>
        <v/>
      </c>
      <c r="J317" s="6" t="inlineStr">
        <is>
          <t>Informado</t>
        </is>
      </c>
      <c r="K317" s="6" t="inlineStr">
        <is>
          <t>Demanda doméstica fixa informada pelo usuário.</t>
        </is>
      </c>
    </row>
    <row r="318">
      <c r="A318" s="6" t="inlineStr">
        <is>
          <t>Milho</t>
        </is>
      </c>
      <c r="B318" s="6" t="inlineStr">
        <is>
          <t>Porto Alegre - RS</t>
        </is>
      </c>
      <c r="C318" s="6" t="n">
        <v>-30.0318</v>
      </c>
      <c r="D318" s="6" t="n">
        <v>-51.2065</v>
      </c>
      <c r="E318" s="6" t="inlineStr">
        <is>
          <t>2021-05</t>
        </is>
      </c>
      <c r="F318" s="6" t="n">
        <v>1098657.988086952</v>
      </c>
      <c r="G318" s="6" t="inlineStr">
        <is>
          <t>DOMESTICA</t>
        </is>
      </c>
      <c r="H318" s="6" t="inlineStr">
        <is>
          <t>FIXO</t>
        </is>
      </c>
      <c r="I318" s="11">
        <f>IF($H318="AUTO_OFERTA_TOTAL_PRODUTO_PERIODO",SUMIFS(Oferta!$F:$F,Oferta!$A:$A,$A318,Oferta!$E:$E,$E318),$F318)</f>
        <v/>
      </c>
      <c r="J318" s="6" t="inlineStr">
        <is>
          <t>Informado</t>
        </is>
      </c>
      <c r="K318" s="6" t="inlineStr">
        <is>
          <t>Demanda doméstica fixa informada pelo usuário.</t>
        </is>
      </c>
    </row>
    <row r="319">
      <c r="A319" s="6" t="inlineStr">
        <is>
          <t>Milho</t>
        </is>
      </c>
      <c r="B319" s="6" t="inlineStr">
        <is>
          <t>Porto Alegre - RS</t>
        </is>
      </c>
      <c r="C319" s="6" t="n">
        <v>-30.0318</v>
      </c>
      <c r="D319" s="6" t="n">
        <v>-51.2065</v>
      </c>
      <c r="E319" s="6" t="inlineStr">
        <is>
          <t>2021-06</t>
        </is>
      </c>
      <c r="F319" s="6" t="n">
        <v>1098657.988086952</v>
      </c>
      <c r="G319" s="6" t="inlineStr">
        <is>
          <t>DOMESTICA</t>
        </is>
      </c>
      <c r="H319" s="6" t="inlineStr">
        <is>
          <t>FIXO</t>
        </is>
      </c>
      <c r="I319" s="11">
        <f>IF($H319="AUTO_OFERTA_TOTAL_PRODUTO_PERIODO",SUMIFS(Oferta!$F:$F,Oferta!$A:$A,$A319,Oferta!$E:$E,$E319),$F319)</f>
        <v/>
      </c>
      <c r="J319" s="6" t="inlineStr">
        <is>
          <t>Informado</t>
        </is>
      </c>
      <c r="K319" s="6" t="inlineStr">
        <is>
          <t>Demanda doméstica fixa informada pelo usuário.</t>
        </is>
      </c>
    </row>
    <row r="320">
      <c r="A320" s="6" t="inlineStr">
        <is>
          <t>Milho</t>
        </is>
      </c>
      <c r="B320" s="6" t="inlineStr">
        <is>
          <t>Porto Alegre - RS</t>
        </is>
      </c>
      <c r="C320" s="6" t="n">
        <v>-30.0318</v>
      </c>
      <c r="D320" s="6" t="n">
        <v>-51.2065</v>
      </c>
      <c r="E320" s="6" t="inlineStr">
        <is>
          <t>2021-07</t>
        </is>
      </c>
      <c r="F320" s="6" t="n">
        <v>885584.9237306947</v>
      </c>
      <c r="G320" s="6" t="inlineStr">
        <is>
          <t>DOMESTICA</t>
        </is>
      </c>
      <c r="H320" s="6" t="inlineStr">
        <is>
          <t>FIXO</t>
        </is>
      </c>
      <c r="I320" s="11">
        <f>IF($H320="AUTO_OFERTA_TOTAL_PRODUTO_PERIODO",SUMIFS(Oferta!$F:$F,Oferta!$A:$A,$A320,Oferta!$E:$E,$E320),$F320)</f>
        <v/>
      </c>
      <c r="J320" s="6" t="inlineStr">
        <is>
          <t>Informado</t>
        </is>
      </c>
      <c r="K320" s="6" t="inlineStr">
        <is>
          <t>Demanda doméstica fixa informada pelo usuário.</t>
        </is>
      </c>
    </row>
    <row r="321">
      <c r="A321" s="6" t="inlineStr">
        <is>
          <t>Milho</t>
        </is>
      </c>
      <c r="B321" s="6" t="inlineStr">
        <is>
          <t>Porto Alegre - RS</t>
        </is>
      </c>
      <c r="C321" s="6" t="n">
        <v>-30.0318</v>
      </c>
      <c r="D321" s="6" t="n">
        <v>-51.2065</v>
      </c>
      <c r="E321" s="6" t="inlineStr">
        <is>
          <t>2021-08</t>
        </is>
      </c>
      <c r="F321" s="6" t="n">
        <v>565975.3271963085</v>
      </c>
      <c r="G321" s="6" t="inlineStr">
        <is>
          <t>DOMESTICA</t>
        </is>
      </c>
      <c r="H321" s="6" t="inlineStr">
        <is>
          <t>FIXO</t>
        </is>
      </c>
      <c r="I321" s="11">
        <f>IF($H321="AUTO_OFERTA_TOTAL_PRODUTO_PERIODO",SUMIFS(Oferta!$F:$F,Oferta!$A:$A,$A321,Oferta!$E:$E,$E321),$F321)</f>
        <v/>
      </c>
      <c r="J321" s="6" t="inlineStr">
        <is>
          <t>Informado</t>
        </is>
      </c>
      <c r="K321" s="6" t="inlineStr">
        <is>
          <t>Demanda doméstica fixa informada pelo usuário.</t>
        </is>
      </c>
    </row>
    <row r="322">
      <c r="A322" s="6" t="inlineStr">
        <is>
          <t>Milho</t>
        </is>
      </c>
      <c r="B322" s="6" t="inlineStr">
        <is>
          <t>Porto Alegre - RS</t>
        </is>
      </c>
      <c r="C322" s="6" t="n">
        <v>-30.0318</v>
      </c>
      <c r="D322" s="6" t="n">
        <v>-51.2065</v>
      </c>
      <c r="E322" s="6" t="inlineStr">
        <is>
          <t>2021-09</t>
        </is>
      </c>
      <c r="F322" s="6" t="n">
        <v>459438.7950181799</v>
      </c>
      <c r="G322" s="6" t="inlineStr">
        <is>
          <t>DOMESTICA</t>
        </is>
      </c>
      <c r="H322" s="6" t="inlineStr">
        <is>
          <t>FIXO</t>
        </is>
      </c>
      <c r="I322" s="11">
        <f>IF($H322="AUTO_OFERTA_TOTAL_PRODUTO_PERIODO",SUMIFS(Oferta!$F:$F,Oferta!$A:$A,$A322,Oferta!$E:$E,$E322),$F322)</f>
        <v/>
      </c>
      <c r="J322" s="6" t="inlineStr">
        <is>
          <t>Informado</t>
        </is>
      </c>
      <c r="K322" s="6" t="inlineStr">
        <is>
          <t>Demanda doméstica fixa informada pelo usuário.</t>
        </is>
      </c>
    </row>
    <row r="323">
      <c r="A323" s="6" t="inlineStr">
        <is>
          <t>Milho</t>
        </is>
      </c>
      <c r="B323" s="6" t="inlineStr">
        <is>
          <t>Porto Alegre - RS</t>
        </is>
      </c>
      <c r="C323" s="6" t="n">
        <v>-30.0318</v>
      </c>
      <c r="D323" s="6" t="n">
        <v>-51.2065</v>
      </c>
      <c r="E323" s="6" t="inlineStr">
        <is>
          <t>2021-10</t>
        </is>
      </c>
      <c r="F323" s="6" t="n">
        <v>352902.2628400513</v>
      </c>
      <c r="G323" s="6" t="inlineStr">
        <is>
          <t>DOMESTICA</t>
        </is>
      </c>
      <c r="H323" s="6" t="inlineStr">
        <is>
          <t>FIXO</t>
        </is>
      </c>
      <c r="I323" s="11">
        <f>IF($H323="AUTO_OFERTA_TOTAL_PRODUTO_PERIODO",SUMIFS(Oferta!$F:$F,Oferta!$A:$A,$A323,Oferta!$E:$E,$E323),$F323)</f>
        <v/>
      </c>
      <c r="J323" s="6" t="inlineStr">
        <is>
          <t>Informado</t>
        </is>
      </c>
      <c r="K323" s="6" t="inlineStr">
        <is>
          <t>Demanda doméstica fixa informada pelo usuário.</t>
        </is>
      </c>
    </row>
    <row r="324">
      <c r="A324" s="6" t="inlineStr">
        <is>
          <t>Milho</t>
        </is>
      </c>
      <c r="B324" s="6" t="inlineStr">
        <is>
          <t>Porto Alegre - RS</t>
        </is>
      </c>
      <c r="C324" s="6" t="n">
        <v>-30.0318</v>
      </c>
      <c r="D324" s="6" t="n">
        <v>-51.2065</v>
      </c>
      <c r="E324" s="6" t="inlineStr">
        <is>
          <t>2021-11</t>
        </is>
      </c>
      <c r="F324" s="6" t="n">
        <v>352902.2628400513</v>
      </c>
      <c r="G324" s="6" t="inlineStr">
        <is>
          <t>DOMESTICA</t>
        </is>
      </c>
      <c r="H324" s="6" t="inlineStr">
        <is>
          <t>FIXO</t>
        </is>
      </c>
      <c r="I324" s="11">
        <f>IF($H324="AUTO_OFERTA_TOTAL_PRODUTO_PERIODO",SUMIFS(Oferta!$F:$F,Oferta!$A:$A,$A324,Oferta!$E:$E,$E324),$F324)</f>
        <v/>
      </c>
      <c r="J324" s="6" t="inlineStr">
        <is>
          <t>Informado</t>
        </is>
      </c>
      <c r="K324" s="6" t="inlineStr">
        <is>
          <t>Demanda doméstica fixa informada pelo usuário.</t>
        </is>
      </c>
    </row>
    <row r="325">
      <c r="A325" s="6" t="inlineStr">
        <is>
          <t>Milho</t>
        </is>
      </c>
      <c r="B325" s="6" t="inlineStr">
        <is>
          <t>Porto Alegre - RS</t>
        </is>
      </c>
      <c r="C325" s="6" t="n">
        <v>-30.0318</v>
      </c>
      <c r="D325" s="6" t="n">
        <v>-51.2065</v>
      </c>
      <c r="E325" s="6" t="inlineStr">
        <is>
          <t>2021-12</t>
        </is>
      </c>
      <c r="F325" s="6" t="n">
        <v>352902.2628400513</v>
      </c>
      <c r="G325" s="6" t="inlineStr">
        <is>
          <t>DOMESTICA</t>
        </is>
      </c>
      <c r="H325" s="6" t="inlineStr">
        <is>
          <t>FIXO</t>
        </is>
      </c>
      <c r="I325" s="11">
        <f>IF($H325="AUTO_OFERTA_TOTAL_PRODUTO_PERIODO",SUMIFS(Oferta!$F:$F,Oferta!$A:$A,$A325,Oferta!$E:$E,$E325),$F325)</f>
        <v/>
      </c>
      <c r="J325" s="6" t="inlineStr">
        <is>
          <t>Informado</t>
        </is>
      </c>
      <c r="K325" s="6" t="inlineStr">
        <is>
          <t>Demanda doméstica fixa informada pelo usuário.</t>
        </is>
      </c>
    </row>
    <row r="326">
      <c r="A326" s="6" t="inlineStr">
        <is>
          <t>Milho</t>
        </is>
      </c>
      <c r="B326" s="6" t="inlineStr">
        <is>
          <t>Rio Branco - AC</t>
        </is>
      </c>
      <c r="C326" s="6" t="n">
        <v>-9.97499</v>
      </c>
      <c r="D326" s="6" t="n">
        <v>-67.82429999999999</v>
      </c>
      <c r="E326" s="6" t="inlineStr">
        <is>
          <t>2022-01</t>
        </is>
      </c>
      <c r="F326" s="6" t="n">
        <v>7139.8134832601</v>
      </c>
      <c r="G326" s="6" t="inlineStr">
        <is>
          <t>DOMESTICA</t>
        </is>
      </c>
      <c r="H326" s="6" t="inlineStr">
        <is>
          <t>FIXO</t>
        </is>
      </c>
      <c r="I326" s="11">
        <f>IF($H326="AUTO_OFERTA_TOTAL_PRODUTO_PERIODO",SUMIFS(Oferta!$F:$F,Oferta!$A:$A,$A326,Oferta!$E:$E,$E326),$F326)</f>
        <v/>
      </c>
      <c r="J326" s="6" t="inlineStr">
        <is>
          <t>Informado</t>
        </is>
      </c>
      <c r="K326" s="6" t="inlineStr">
        <is>
          <t>Demanda doméstica fixa informada pelo usuário.</t>
        </is>
      </c>
    </row>
    <row r="327">
      <c r="A327" s="6" t="inlineStr">
        <is>
          <t>Milho</t>
        </is>
      </c>
      <c r="B327" s="6" t="inlineStr">
        <is>
          <t>Rio Branco - AC</t>
        </is>
      </c>
      <c r="C327" s="6" t="n">
        <v>-9.97499</v>
      </c>
      <c r="D327" s="6" t="n">
        <v>-67.82429999999999</v>
      </c>
      <c r="E327" s="6" t="inlineStr">
        <is>
          <t>2022-02</t>
        </is>
      </c>
      <c r="F327" s="6" t="n">
        <v>8217.5211788465</v>
      </c>
      <c r="G327" s="6" t="inlineStr">
        <is>
          <t>DOMESTICA</t>
        </is>
      </c>
      <c r="H327" s="6" t="inlineStr">
        <is>
          <t>FIXO</t>
        </is>
      </c>
      <c r="I327" s="11">
        <f>IF($H327="AUTO_OFERTA_TOTAL_PRODUTO_PERIODO",SUMIFS(Oferta!$F:$F,Oferta!$A:$A,$A327,Oferta!$E:$E,$E327),$F327)</f>
        <v/>
      </c>
      <c r="J327" s="6" t="inlineStr">
        <is>
          <t>Informado</t>
        </is>
      </c>
      <c r="K327" s="6" t="inlineStr">
        <is>
          <t>Demanda doméstica fixa informada pelo usuário.</t>
        </is>
      </c>
    </row>
    <row r="328">
      <c r="A328" s="6" t="inlineStr">
        <is>
          <t>Milho</t>
        </is>
      </c>
      <c r="B328" s="6" t="inlineStr">
        <is>
          <t>Rio Branco - AC</t>
        </is>
      </c>
      <c r="C328" s="6" t="n">
        <v>-9.97499</v>
      </c>
      <c r="D328" s="6" t="n">
        <v>-67.82429999999999</v>
      </c>
      <c r="E328" s="6" t="inlineStr">
        <is>
          <t>2022-03</t>
        </is>
      </c>
      <c r="F328" s="6" t="n">
        <v>10372.9365700194</v>
      </c>
      <c r="G328" s="6" t="inlineStr">
        <is>
          <t>DOMESTICA</t>
        </is>
      </c>
      <c r="H328" s="6" t="inlineStr">
        <is>
          <t>FIXO</t>
        </is>
      </c>
      <c r="I328" s="11">
        <f>IF($H328="AUTO_OFERTA_TOTAL_PRODUTO_PERIODO",SUMIFS(Oferta!$F:$F,Oferta!$A:$A,$A328,Oferta!$E:$E,$E328),$F328)</f>
        <v/>
      </c>
      <c r="J328" s="6" t="inlineStr">
        <is>
          <t>Informado</t>
        </is>
      </c>
      <c r="K328" s="6" t="inlineStr">
        <is>
          <t>Demanda doméstica fixa informada pelo usuário.</t>
        </is>
      </c>
    </row>
    <row r="329">
      <c r="A329" s="6" t="inlineStr">
        <is>
          <t>Milho</t>
        </is>
      </c>
      <c r="B329" s="6" t="inlineStr">
        <is>
          <t>Rio Branco - AC</t>
        </is>
      </c>
      <c r="C329" s="6" t="n">
        <v>-9.97499</v>
      </c>
      <c r="D329" s="6" t="n">
        <v>-67.82429999999999</v>
      </c>
      <c r="E329" s="6" t="inlineStr">
        <is>
          <t>2022-04</t>
        </is>
      </c>
      <c r="F329" s="6" t="n">
        <v>16839.1827435379</v>
      </c>
      <c r="G329" s="6" t="inlineStr">
        <is>
          <t>DOMESTICA</t>
        </is>
      </c>
      <c r="H329" s="6" t="inlineStr">
        <is>
          <t>FIXO</t>
        </is>
      </c>
      <c r="I329" s="11">
        <f>IF($H329="AUTO_OFERTA_TOTAL_PRODUTO_PERIODO",SUMIFS(Oferta!$F:$F,Oferta!$A:$A,$A329,Oferta!$E:$E,$E329),$F329)</f>
        <v/>
      </c>
      <c r="J329" s="6" t="inlineStr">
        <is>
          <t>Informado</t>
        </is>
      </c>
      <c r="K329" s="6" t="inlineStr">
        <is>
          <t>Demanda doméstica fixa informada pelo usuário.</t>
        </is>
      </c>
    </row>
    <row r="330">
      <c r="A330" s="6" t="inlineStr">
        <is>
          <t>Milho</t>
        </is>
      </c>
      <c r="B330" s="6" t="inlineStr">
        <is>
          <t>Rio Branco - AC</t>
        </is>
      </c>
      <c r="C330" s="6" t="n">
        <v>-9.97499</v>
      </c>
      <c r="D330" s="6" t="n">
        <v>-67.82429999999999</v>
      </c>
      <c r="E330" s="6" t="inlineStr">
        <is>
          <t>2022-05</t>
        </is>
      </c>
      <c r="F330" s="6" t="n">
        <v>17916.8904391243</v>
      </c>
      <c r="G330" s="6" t="inlineStr">
        <is>
          <t>DOMESTICA</t>
        </is>
      </c>
      <c r="H330" s="6" t="inlineStr">
        <is>
          <t>FIXO</t>
        </is>
      </c>
      <c r="I330" s="11">
        <f>IF($H330="AUTO_OFERTA_TOTAL_PRODUTO_PERIODO",SUMIFS(Oferta!$F:$F,Oferta!$A:$A,$A330,Oferta!$E:$E,$E330),$F330)</f>
        <v/>
      </c>
      <c r="J330" s="6" t="inlineStr">
        <is>
          <t>Informado</t>
        </is>
      </c>
      <c r="K330" s="6" t="inlineStr">
        <is>
          <t>Demanda doméstica fixa informada pelo usuário.</t>
        </is>
      </c>
    </row>
    <row r="331">
      <c r="A331" s="6" t="inlineStr">
        <is>
          <t>Milho</t>
        </is>
      </c>
      <c r="B331" s="6" t="inlineStr">
        <is>
          <t>Rio Branco - AC</t>
        </is>
      </c>
      <c r="C331" s="6" t="n">
        <v>-9.97499</v>
      </c>
      <c r="D331" s="6" t="n">
        <v>-67.82429999999999</v>
      </c>
      <c r="E331" s="6" t="inlineStr">
        <is>
          <t>2022-06</t>
        </is>
      </c>
      <c r="F331" s="6" t="n">
        <v>16839.1827435379</v>
      </c>
      <c r="G331" s="6" t="inlineStr">
        <is>
          <t>DOMESTICA</t>
        </is>
      </c>
      <c r="H331" s="6" t="inlineStr">
        <is>
          <t>FIXO</t>
        </is>
      </c>
      <c r="I331" s="11">
        <f>IF($H331="AUTO_OFERTA_TOTAL_PRODUTO_PERIODO",SUMIFS(Oferta!$F:$F,Oferta!$A:$A,$A331,Oferta!$E:$E,$E331),$F331)</f>
        <v/>
      </c>
      <c r="J331" s="6" t="inlineStr">
        <is>
          <t>Informado</t>
        </is>
      </c>
      <c r="K331" s="6" t="inlineStr">
        <is>
          <t>Demanda doméstica fixa informada pelo usuário.</t>
        </is>
      </c>
    </row>
    <row r="332">
      <c r="A332" s="6" t="inlineStr">
        <is>
          <t>Milho</t>
        </is>
      </c>
      <c r="B332" s="6" t="inlineStr">
        <is>
          <t>Rio Branco - AC</t>
        </is>
      </c>
      <c r="C332" s="6" t="n">
        <v>-9.97499</v>
      </c>
      <c r="D332" s="6" t="n">
        <v>-67.82429999999999</v>
      </c>
      <c r="E332" s="6" t="inlineStr">
        <is>
          <t>2022-07</t>
        </is>
      </c>
      <c r="F332" s="6" t="n">
        <v>10372.9365700194</v>
      </c>
      <c r="G332" s="6" t="inlineStr">
        <is>
          <t>DOMESTICA</t>
        </is>
      </c>
      <c r="H332" s="6" t="inlineStr">
        <is>
          <t>FIXO</t>
        </is>
      </c>
      <c r="I332" s="11">
        <f>IF($H332="AUTO_OFERTA_TOTAL_PRODUTO_PERIODO",SUMIFS(Oferta!$F:$F,Oferta!$A:$A,$A332,Oferta!$E:$E,$E332),$F332)</f>
        <v/>
      </c>
      <c r="J332" s="6" t="inlineStr">
        <is>
          <t>Informado</t>
        </is>
      </c>
      <c r="K332" s="6" t="inlineStr">
        <is>
          <t>Demanda doméstica fixa informada pelo usuário.</t>
        </is>
      </c>
    </row>
    <row r="333">
      <c r="A333" s="6" t="inlineStr">
        <is>
          <t>Milho</t>
        </is>
      </c>
      <c r="B333" s="6" t="inlineStr">
        <is>
          <t>Rio Branco - AC</t>
        </is>
      </c>
      <c r="C333" s="6" t="n">
        <v>-9.97499</v>
      </c>
      <c r="D333" s="6" t="n">
        <v>-67.82429999999999</v>
      </c>
      <c r="E333" s="6" t="inlineStr">
        <is>
          <t>2022-08</t>
        </is>
      </c>
      <c r="F333" s="6" t="n">
        <v>8217.5211788465</v>
      </c>
      <c r="G333" s="6" t="inlineStr">
        <is>
          <t>DOMESTICA</t>
        </is>
      </c>
      <c r="H333" s="6" t="inlineStr">
        <is>
          <t>FIXO</t>
        </is>
      </c>
      <c r="I333" s="11">
        <f>IF($H333="AUTO_OFERTA_TOTAL_PRODUTO_PERIODO",SUMIFS(Oferta!$F:$F,Oferta!$A:$A,$A333,Oferta!$E:$E,$E333),$F333)</f>
        <v/>
      </c>
      <c r="J333" s="6" t="inlineStr">
        <is>
          <t>Informado</t>
        </is>
      </c>
      <c r="K333" s="6" t="inlineStr">
        <is>
          <t>Demanda doméstica fixa informada pelo usuário.</t>
        </is>
      </c>
    </row>
    <row r="334">
      <c r="A334" s="6" t="inlineStr">
        <is>
          <t>Milho</t>
        </is>
      </c>
      <c r="B334" s="6" t="inlineStr">
        <is>
          <t>Rio Branco - AC</t>
        </is>
      </c>
      <c r="C334" s="6" t="n">
        <v>-9.97499</v>
      </c>
      <c r="D334" s="6" t="n">
        <v>-67.82429999999999</v>
      </c>
      <c r="E334" s="6" t="inlineStr">
        <is>
          <t>2022-09</t>
        </is>
      </c>
      <c r="F334" s="6" t="n">
        <v>7139.8134832601</v>
      </c>
      <c r="G334" s="6" t="inlineStr">
        <is>
          <t>DOMESTICA</t>
        </is>
      </c>
      <c r="H334" s="6" t="inlineStr">
        <is>
          <t>FIXO</t>
        </is>
      </c>
      <c r="I334" s="11">
        <f>IF($H334="AUTO_OFERTA_TOTAL_PRODUTO_PERIODO",SUMIFS(Oferta!$F:$F,Oferta!$A:$A,$A334,Oferta!$E:$E,$E334),$F334)</f>
        <v/>
      </c>
      <c r="J334" s="6" t="inlineStr">
        <is>
          <t>Informado</t>
        </is>
      </c>
      <c r="K334" s="6" t="inlineStr">
        <is>
          <t>Demanda doméstica fixa informada pelo usuário.</t>
        </is>
      </c>
    </row>
    <row r="335">
      <c r="A335" s="6" t="inlineStr">
        <is>
          <t>Milho</t>
        </is>
      </c>
      <c r="B335" s="6" t="inlineStr">
        <is>
          <t>Rio Branco - AC</t>
        </is>
      </c>
      <c r="C335" s="6" t="n">
        <v>-9.97499</v>
      </c>
      <c r="D335" s="6" t="n">
        <v>-67.82429999999999</v>
      </c>
      <c r="E335" s="6" t="inlineStr">
        <is>
          <t>2022-10</t>
        </is>
      </c>
      <c r="F335" s="6" t="n">
        <v>7139.8134832601</v>
      </c>
      <c r="G335" s="6" t="inlineStr">
        <is>
          <t>DOMESTICA</t>
        </is>
      </c>
      <c r="H335" s="6" t="inlineStr">
        <is>
          <t>FIXO</t>
        </is>
      </c>
      <c r="I335" s="11">
        <f>IF($H335="AUTO_OFERTA_TOTAL_PRODUTO_PERIODO",SUMIFS(Oferta!$F:$F,Oferta!$A:$A,$A335,Oferta!$E:$E,$E335),$F335)</f>
        <v/>
      </c>
      <c r="J335" s="6" t="inlineStr">
        <is>
          <t>Informado</t>
        </is>
      </c>
      <c r="K335" s="6" t="inlineStr">
        <is>
          <t>Demanda doméstica fixa informada pelo usuário.</t>
        </is>
      </c>
    </row>
    <row r="336">
      <c r="A336" s="6" t="inlineStr">
        <is>
          <t>Milho</t>
        </is>
      </c>
      <c r="B336" s="6" t="inlineStr">
        <is>
          <t>Rio Branco - AC</t>
        </is>
      </c>
      <c r="C336" s="6" t="n">
        <v>-9.97499</v>
      </c>
      <c r="D336" s="6" t="n">
        <v>-67.82429999999999</v>
      </c>
      <c r="E336" s="6" t="inlineStr">
        <is>
          <t>2022-11</t>
        </is>
      </c>
      <c r="F336" s="6" t="n">
        <v>7139.8134832601</v>
      </c>
      <c r="G336" s="6" t="inlineStr">
        <is>
          <t>DOMESTICA</t>
        </is>
      </c>
      <c r="H336" s="6" t="inlineStr">
        <is>
          <t>FIXO</t>
        </is>
      </c>
      <c r="I336" s="11">
        <f>IF($H336="AUTO_OFERTA_TOTAL_PRODUTO_PERIODO",SUMIFS(Oferta!$F:$F,Oferta!$A:$A,$A336,Oferta!$E:$E,$E336),$F336)</f>
        <v/>
      </c>
      <c r="J336" s="6" t="inlineStr">
        <is>
          <t>Informado</t>
        </is>
      </c>
      <c r="K336" s="6" t="inlineStr">
        <is>
          <t>Demanda doméstica fixa informada pelo usuário.</t>
        </is>
      </c>
    </row>
    <row r="337">
      <c r="A337" s="6" t="inlineStr">
        <is>
          <t>Milho</t>
        </is>
      </c>
      <c r="B337" s="6" t="inlineStr">
        <is>
          <t>Rio Branco - AC</t>
        </is>
      </c>
      <c r="C337" s="6" t="n">
        <v>-9.97499</v>
      </c>
      <c r="D337" s="6" t="n">
        <v>-67.82429999999999</v>
      </c>
      <c r="E337" s="6" t="inlineStr">
        <is>
          <t>2022-12</t>
        </is>
      </c>
      <c r="F337" s="6" t="n">
        <v>7139.8134832601</v>
      </c>
      <c r="G337" s="6" t="inlineStr">
        <is>
          <t>DOMESTICA</t>
        </is>
      </c>
      <c r="H337" s="6" t="inlineStr">
        <is>
          <t>FIXO</t>
        </is>
      </c>
      <c r="I337" s="11">
        <f>IF($H337="AUTO_OFERTA_TOTAL_PRODUTO_PERIODO",SUMIFS(Oferta!$F:$F,Oferta!$A:$A,$A337,Oferta!$E:$E,$E337),$F337)</f>
        <v/>
      </c>
      <c r="J337" s="6" t="inlineStr">
        <is>
          <t>Informado</t>
        </is>
      </c>
      <c r="K337" s="6" t="inlineStr">
        <is>
          <t>Demanda doméstica fixa informada pelo usuário.</t>
        </is>
      </c>
    </row>
    <row r="338">
      <c r="A338" s="6" t="inlineStr">
        <is>
          <t>Milho</t>
        </is>
      </c>
      <c r="B338" s="6" t="inlineStr">
        <is>
          <t>Macapá - AP</t>
        </is>
      </c>
      <c r="C338" s="6" t="n">
        <v>0.034934</v>
      </c>
      <c r="D338" s="6" t="n">
        <v>-51.0694</v>
      </c>
      <c r="E338" s="6" t="inlineStr">
        <is>
          <t>2022-01</t>
        </is>
      </c>
      <c r="F338" s="6" t="n">
        <v>4849.6681389424</v>
      </c>
      <c r="G338" s="6" t="inlineStr">
        <is>
          <t>DOMESTICA</t>
        </is>
      </c>
      <c r="H338" s="6" t="inlineStr">
        <is>
          <t>FIXO</t>
        </is>
      </c>
      <c r="I338" s="11">
        <f>IF($H338="AUTO_OFERTA_TOTAL_PRODUTO_PERIODO",SUMIFS(Oferta!$F:$F,Oferta!$A:$A,$A338,Oferta!$E:$E,$E338),$F338)</f>
        <v/>
      </c>
      <c r="J338" s="6" t="inlineStr">
        <is>
          <t>Informado</t>
        </is>
      </c>
      <c r="K338" s="6" t="inlineStr">
        <is>
          <t>Demanda doméstica fixa informada pelo usuário.</t>
        </is>
      </c>
    </row>
    <row r="339">
      <c r="A339" s="6" t="inlineStr">
        <is>
          <t>Milho</t>
        </is>
      </c>
      <c r="B339" s="6" t="inlineStr">
        <is>
          <t>Macapá - AP</t>
        </is>
      </c>
      <c r="C339" s="6" t="n">
        <v>0.034934</v>
      </c>
      <c r="D339" s="6" t="n">
        <v>-51.0694</v>
      </c>
      <c r="E339" s="6" t="inlineStr">
        <is>
          <t>2022-02</t>
        </is>
      </c>
      <c r="F339" s="6" t="n">
        <v>4849.6681389424</v>
      </c>
      <c r="G339" s="6" t="inlineStr">
        <is>
          <t>DOMESTICA</t>
        </is>
      </c>
      <c r="H339" s="6" t="inlineStr">
        <is>
          <t>FIXO</t>
        </is>
      </c>
      <c r="I339" s="11">
        <f>IF($H339="AUTO_OFERTA_TOTAL_PRODUTO_PERIODO",SUMIFS(Oferta!$F:$F,Oferta!$A:$A,$A339,Oferta!$E:$E,$E339),$F339)</f>
        <v/>
      </c>
      <c r="J339" s="6" t="inlineStr">
        <is>
          <t>Informado</t>
        </is>
      </c>
      <c r="K339" s="6" t="inlineStr">
        <is>
          <t>Demanda doméstica fixa informada pelo usuário.</t>
        </is>
      </c>
    </row>
    <row r="340">
      <c r="A340" s="6" t="inlineStr">
        <is>
          <t>Milho</t>
        </is>
      </c>
      <c r="B340" s="6" t="inlineStr">
        <is>
          <t>Macapá - AP</t>
        </is>
      </c>
      <c r="C340" s="6" t="n">
        <v>0.034934</v>
      </c>
      <c r="D340" s="6" t="n">
        <v>-51.0694</v>
      </c>
      <c r="E340" s="6" t="inlineStr">
        <is>
          <t>2022-03</t>
        </is>
      </c>
      <c r="F340" s="6" t="n">
        <v>4849.6681389424</v>
      </c>
      <c r="G340" s="6" t="inlineStr">
        <is>
          <t>DOMESTICA</t>
        </is>
      </c>
      <c r="H340" s="6" t="inlineStr">
        <is>
          <t>FIXO</t>
        </is>
      </c>
      <c r="I340" s="11">
        <f>IF($H340="AUTO_OFERTA_TOTAL_PRODUTO_PERIODO",SUMIFS(Oferta!$F:$F,Oferta!$A:$A,$A340,Oferta!$E:$E,$E340),$F340)</f>
        <v/>
      </c>
      <c r="J340" s="6" t="inlineStr">
        <is>
          <t>Informado</t>
        </is>
      </c>
      <c r="K340" s="6" t="inlineStr">
        <is>
          <t>Demanda doméstica fixa informada pelo usuário.</t>
        </is>
      </c>
    </row>
    <row r="341">
      <c r="A341" s="6" t="inlineStr">
        <is>
          <t>Milho</t>
        </is>
      </c>
      <c r="B341" s="6" t="inlineStr">
        <is>
          <t>Macapá - AP</t>
        </is>
      </c>
      <c r="C341" s="6" t="n">
        <v>0.034934</v>
      </c>
      <c r="D341" s="6" t="n">
        <v>-51.0694</v>
      </c>
      <c r="E341" s="6" t="inlineStr">
        <is>
          <t>2022-04</t>
        </is>
      </c>
      <c r="F341" s="6" t="n">
        <v>4849.6681389424</v>
      </c>
      <c r="G341" s="6" t="inlineStr">
        <is>
          <t>DOMESTICA</t>
        </is>
      </c>
      <c r="H341" s="6" t="inlineStr">
        <is>
          <t>FIXO</t>
        </is>
      </c>
      <c r="I341" s="11">
        <f>IF($H341="AUTO_OFERTA_TOTAL_PRODUTO_PERIODO",SUMIFS(Oferta!$F:$F,Oferta!$A:$A,$A341,Oferta!$E:$E,$E341),$F341)</f>
        <v/>
      </c>
      <c r="J341" s="6" t="inlineStr">
        <is>
          <t>Informado</t>
        </is>
      </c>
      <c r="K341" s="6" t="inlineStr">
        <is>
          <t>Demanda doméstica fixa informada pelo usuário.</t>
        </is>
      </c>
    </row>
    <row r="342">
      <c r="A342" s="6" t="inlineStr">
        <is>
          <t>Milho</t>
        </is>
      </c>
      <c r="B342" s="6" t="inlineStr">
        <is>
          <t>Macapá - AP</t>
        </is>
      </c>
      <c r="C342" s="6" t="n">
        <v>0.034934</v>
      </c>
      <c r="D342" s="6" t="n">
        <v>-51.0694</v>
      </c>
      <c r="E342" s="6" t="inlineStr">
        <is>
          <t>2022-05</t>
        </is>
      </c>
      <c r="F342" s="6" t="n">
        <v>5581.6935184054</v>
      </c>
      <c r="G342" s="6" t="inlineStr">
        <is>
          <t>DOMESTICA</t>
        </is>
      </c>
      <c r="H342" s="6" t="inlineStr">
        <is>
          <t>FIXO</t>
        </is>
      </c>
      <c r="I342" s="11">
        <f>IF($H342="AUTO_OFERTA_TOTAL_PRODUTO_PERIODO",SUMIFS(Oferta!$F:$F,Oferta!$A:$A,$A342,Oferta!$E:$E,$E342),$F342)</f>
        <v/>
      </c>
      <c r="J342" s="6" t="inlineStr">
        <is>
          <t>Informado</t>
        </is>
      </c>
      <c r="K342" s="6" t="inlineStr">
        <is>
          <t>Demanda doméstica fixa informada pelo usuário.</t>
        </is>
      </c>
    </row>
    <row r="343">
      <c r="A343" s="6" t="inlineStr">
        <is>
          <t>Milho</t>
        </is>
      </c>
      <c r="B343" s="6" t="inlineStr">
        <is>
          <t>Macapá - AP</t>
        </is>
      </c>
      <c r="C343" s="6" t="n">
        <v>0.034934</v>
      </c>
      <c r="D343" s="6" t="n">
        <v>-51.0694</v>
      </c>
      <c r="E343" s="6" t="inlineStr">
        <is>
          <t>2022-06</t>
        </is>
      </c>
      <c r="F343" s="6" t="n">
        <v>8509.795036257399</v>
      </c>
      <c r="G343" s="6" t="inlineStr">
        <is>
          <t>DOMESTICA</t>
        </is>
      </c>
      <c r="H343" s="6" t="inlineStr">
        <is>
          <t>FIXO</t>
        </is>
      </c>
      <c r="I343" s="11">
        <f>IF($H343="AUTO_OFERTA_TOTAL_PRODUTO_PERIODO",SUMIFS(Oferta!$F:$F,Oferta!$A:$A,$A343,Oferta!$E:$E,$E343),$F343)</f>
        <v/>
      </c>
      <c r="J343" s="6" t="inlineStr">
        <is>
          <t>Informado</t>
        </is>
      </c>
      <c r="K343" s="6" t="inlineStr">
        <is>
          <t>Demanda doméstica fixa informada pelo usuário.</t>
        </is>
      </c>
    </row>
    <row r="344">
      <c r="A344" s="6" t="inlineStr">
        <is>
          <t>Milho</t>
        </is>
      </c>
      <c r="B344" s="6" t="inlineStr">
        <is>
          <t>Macapá - AP</t>
        </is>
      </c>
      <c r="C344" s="6" t="n">
        <v>0.034934</v>
      </c>
      <c r="D344" s="6" t="n">
        <v>-51.0694</v>
      </c>
      <c r="E344" s="6" t="inlineStr">
        <is>
          <t>2022-07</t>
        </is>
      </c>
      <c r="F344" s="6" t="n">
        <v>11437.8965541094</v>
      </c>
      <c r="G344" s="6" t="inlineStr">
        <is>
          <t>DOMESTICA</t>
        </is>
      </c>
      <c r="H344" s="6" t="inlineStr">
        <is>
          <t>FIXO</t>
        </is>
      </c>
      <c r="I344" s="11">
        <f>IF($H344="AUTO_OFERTA_TOTAL_PRODUTO_PERIODO",SUMIFS(Oferta!$F:$F,Oferta!$A:$A,$A344,Oferta!$E:$E,$E344),$F344)</f>
        <v/>
      </c>
      <c r="J344" s="6" t="inlineStr">
        <is>
          <t>Informado</t>
        </is>
      </c>
      <c r="K344" s="6" t="inlineStr">
        <is>
          <t>Demanda doméstica fixa informada pelo usuário.</t>
        </is>
      </c>
    </row>
    <row r="345">
      <c r="A345" s="6" t="inlineStr">
        <is>
          <t>Milho</t>
        </is>
      </c>
      <c r="B345" s="6" t="inlineStr">
        <is>
          <t>Macapá - AP</t>
        </is>
      </c>
      <c r="C345" s="6" t="n">
        <v>0.034934</v>
      </c>
      <c r="D345" s="6" t="n">
        <v>-51.0694</v>
      </c>
      <c r="E345" s="6" t="inlineStr">
        <is>
          <t>2022-08</t>
        </is>
      </c>
      <c r="F345" s="6" t="n">
        <v>12169.9219335724</v>
      </c>
      <c r="G345" s="6" t="inlineStr">
        <is>
          <t>DOMESTICA</t>
        </is>
      </c>
      <c r="H345" s="6" t="inlineStr">
        <is>
          <t>FIXO</t>
        </is>
      </c>
      <c r="I345" s="11">
        <f>IF($H345="AUTO_OFERTA_TOTAL_PRODUTO_PERIODO",SUMIFS(Oferta!$F:$F,Oferta!$A:$A,$A345,Oferta!$E:$E,$E345),$F345)</f>
        <v/>
      </c>
      <c r="J345" s="6" t="inlineStr">
        <is>
          <t>Informado</t>
        </is>
      </c>
      <c r="K345" s="6" t="inlineStr">
        <is>
          <t>Demanda doméstica fixa informada pelo usuário.</t>
        </is>
      </c>
    </row>
    <row r="346">
      <c r="A346" s="6" t="inlineStr">
        <is>
          <t>Milho</t>
        </is>
      </c>
      <c r="B346" s="6" t="inlineStr">
        <is>
          <t>Macapá - AP</t>
        </is>
      </c>
      <c r="C346" s="6" t="n">
        <v>0.034934</v>
      </c>
      <c r="D346" s="6" t="n">
        <v>-51.0694</v>
      </c>
      <c r="E346" s="6" t="inlineStr">
        <is>
          <t>2022-09</t>
        </is>
      </c>
      <c r="F346" s="6" t="n">
        <v>9973.845795183401</v>
      </c>
      <c r="G346" s="6" t="inlineStr">
        <is>
          <t>DOMESTICA</t>
        </is>
      </c>
      <c r="H346" s="6" t="inlineStr">
        <is>
          <t>FIXO</t>
        </is>
      </c>
      <c r="I346" s="11">
        <f>IF($H346="AUTO_OFERTA_TOTAL_PRODUTO_PERIODO",SUMIFS(Oferta!$F:$F,Oferta!$A:$A,$A346,Oferta!$E:$E,$E346),$F346)</f>
        <v/>
      </c>
      <c r="J346" s="6" t="inlineStr">
        <is>
          <t>Informado</t>
        </is>
      </c>
      <c r="K346" s="6" t="inlineStr">
        <is>
          <t>Demanda doméstica fixa informada pelo usuário.</t>
        </is>
      </c>
    </row>
    <row r="347">
      <c r="A347" s="6" t="inlineStr">
        <is>
          <t>Milho</t>
        </is>
      </c>
      <c r="B347" s="6" t="inlineStr">
        <is>
          <t>Macapá - AP</t>
        </is>
      </c>
      <c r="C347" s="6" t="n">
        <v>0.034934</v>
      </c>
      <c r="D347" s="6" t="n">
        <v>-51.0694</v>
      </c>
      <c r="E347" s="6" t="inlineStr">
        <is>
          <t>2022-10</t>
        </is>
      </c>
      <c r="F347" s="6" t="n">
        <v>7045.7442773314</v>
      </c>
      <c r="G347" s="6" t="inlineStr">
        <is>
          <t>DOMESTICA</t>
        </is>
      </c>
      <c r="H347" s="6" t="inlineStr">
        <is>
          <t>FIXO</t>
        </is>
      </c>
      <c r="I347" s="11">
        <f>IF($H347="AUTO_OFERTA_TOTAL_PRODUTO_PERIODO",SUMIFS(Oferta!$F:$F,Oferta!$A:$A,$A347,Oferta!$E:$E,$E347),$F347)</f>
        <v/>
      </c>
      <c r="J347" s="6" t="inlineStr">
        <is>
          <t>Informado</t>
        </is>
      </c>
      <c r="K347" s="6" t="inlineStr">
        <is>
          <t>Demanda doméstica fixa informada pelo usuário.</t>
        </is>
      </c>
    </row>
    <row r="348">
      <c r="A348" s="6" t="inlineStr">
        <is>
          <t>Milho</t>
        </is>
      </c>
      <c r="B348" s="6" t="inlineStr">
        <is>
          <t>Macapá - AP</t>
        </is>
      </c>
      <c r="C348" s="6" t="n">
        <v>0.034934</v>
      </c>
      <c r="D348" s="6" t="n">
        <v>-51.0694</v>
      </c>
      <c r="E348" s="6" t="inlineStr">
        <is>
          <t>2022-11</t>
        </is>
      </c>
      <c r="F348" s="6" t="n">
        <v>5581.6935184054</v>
      </c>
      <c r="G348" s="6" t="inlineStr">
        <is>
          <t>DOMESTICA</t>
        </is>
      </c>
      <c r="H348" s="6" t="inlineStr">
        <is>
          <t>FIXO</t>
        </is>
      </c>
      <c r="I348" s="11">
        <f>IF($H348="AUTO_OFERTA_TOTAL_PRODUTO_PERIODO",SUMIFS(Oferta!$F:$F,Oferta!$A:$A,$A348,Oferta!$E:$E,$E348),$F348)</f>
        <v/>
      </c>
      <c r="J348" s="6" t="inlineStr">
        <is>
          <t>Informado</t>
        </is>
      </c>
      <c r="K348" s="6" t="inlineStr">
        <is>
          <t>Demanda doméstica fixa informada pelo usuário.</t>
        </is>
      </c>
    </row>
    <row r="349">
      <c r="A349" s="6" t="inlineStr">
        <is>
          <t>Milho</t>
        </is>
      </c>
      <c r="B349" s="6" t="inlineStr">
        <is>
          <t>Macapá - AP</t>
        </is>
      </c>
      <c r="C349" s="6" t="n">
        <v>0.034934</v>
      </c>
      <c r="D349" s="6" t="n">
        <v>-51.0694</v>
      </c>
      <c r="E349" s="6" t="inlineStr">
        <is>
          <t>2022-12</t>
        </is>
      </c>
      <c r="F349" s="6" t="n">
        <v>4849.6681389424</v>
      </c>
      <c r="G349" s="6" t="inlineStr">
        <is>
          <t>DOMESTICA</t>
        </is>
      </c>
      <c r="H349" s="6" t="inlineStr">
        <is>
          <t>FIXO</t>
        </is>
      </c>
      <c r="I349" s="11">
        <f>IF($H349="AUTO_OFERTA_TOTAL_PRODUTO_PERIODO",SUMIFS(Oferta!$F:$F,Oferta!$A:$A,$A349,Oferta!$E:$E,$E349),$F349)</f>
        <v/>
      </c>
      <c r="J349" s="6" t="inlineStr">
        <is>
          <t>Informado</t>
        </is>
      </c>
      <c r="K349" s="6" t="inlineStr">
        <is>
          <t>Demanda doméstica fixa informada pelo usuário.</t>
        </is>
      </c>
    </row>
    <row r="350">
      <c r="A350" s="6" t="inlineStr">
        <is>
          <t>Milho</t>
        </is>
      </c>
      <c r="B350" s="6" t="inlineStr">
        <is>
          <t>Manaus - AM</t>
        </is>
      </c>
      <c r="C350" s="6" t="n">
        <v>-3.11866</v>
      </c>
      <c r="D350" s="6" t="n">
        <v>-60.0212</v>
      </c>
      <c r="E350" s="6" t="inlineStr">
        <is>
          <t>2022-01</t>
        </is>
      </c>
      <c r="F350" s="6" t="n">
        <v>42846.349201415</v>
      </c>
      <c r="G350" s="6" t="inlineStr">
        <is>
          <t>DOMESTICA</t>
        </is>
      </c>
      <c r="H350" s="6" t="inlineStr">
        <is>
          <t>FIXO</t>
        </is>
      </c>
      <c r="I350" s="11">
        <f>IF($H350="AUTO_OFERTA_TOTAL_PRODUTO_PERIODO",SUMIFS(Oferta!$F:$F,Oferta!$A:$A,$A350,Oferta!$E:$E,$E350),$F350)</f>
        <v/>
      </c>
      <c r="J350" s="6" t="inlineStr">
        <is>
          <t>Informado</t>
        </is>
      </c>
      <c r="K350" s="6" t="inlineStr">
        <is>
          <t>Demanda doméstica fixa informada pelo usuário.</t>
        </is>
      </c>
    </row>
    <row r="351">
      <c r="A351" s="6" t="inlineStr">
        <is>
          <t>Milho</t>
        </is>
      </c>
      <c r="B351" s="6" t="inlineStr">
        <is>
          <t>Manaus - AM</t>
        </is>
      </c>
      <c r="C351" s="6" t="n">
        <v>-3.11866</v>
      </c>
      <c r="D351" s="6" t="n">
        <v>-60.0212</v>
      </c>
      <c r="E351" s="6" t="inlineStr">
        <is>
          <t>2022-02</t>
        </is>
      </c>
      <c r="F351" s="6" t="n">
        <v>42846.349201415</v>
      </c>
      <c r="G351" s="6" t="inlineStr">
        <is>
          <t>DOMESTICA</t>
        </is>
      </c>
      <c r="H351" s="6" t="inlineStr">
        <is>
          <t>FIXO</t>
        </is>
      </c>
      <c r="I351" s="11">
        <f>IF($H351="AUTO_OFERTA_TOTAL_PRODUTO_PERIODO",SUMIFS(Oferta!$F:$F,Oferta!$A:$A,$A351,Oferta!$E:$E,$E351),$F351)</f>
        <v/>
      </c>
      <c r="J351" s="6" t="inlineStr">
        <is>
          <t>Informado</t>
        </is>
      </c>
      <c r="K351" s="6" t="inlineStr">
        <is>
          <t>Demanda doméstica fixa informada pelo usuário.</t>
        </is>
      </c>
    </row>
    <row r="352">
      <c r="A352" s="6" t="inlineStr">
        <is>
          <t>Milho</t>
        </is>
      </c>
      <c r="B352" s="6" t="inlineStr">
        <is>
          <t>Manaus - AM</t>
        </is>
      </c>
      <c r="C352" s="6" t="n">
        <v>-3.11866</v>
      </c>
      <c r="D352" s="6" t="n">
        <v>-60.0212</v>
      </c>
      <c r="E352" s="6" t="inlineStr">
        <is>
          <t>2022-03</t>
        </is>
      </c>
      <c r="F352" s="6" t="n">
        <v>55781.0961301441</v>
      </c>
      <c r="G352" s="6" t="inlineStr">
        <is>
          <t>DOMESTICA</t>
        </is>
      </c>
      <c r="H352" s="6" t="inlineStr">
        <is>
          <t>FIXO</t>
        </is>
      </c>
      <c r="I352" s="11">
        <f>IF($H352="AUTO_OFERTA_TOTAL_PRODUTO_PERIODO",SUMIFS(Oferta!$F:$F,Oferta!$A:$A,$A352,Oferta!$E:$E,$E352),$F352)</f>
        <v/>
      </c>
      <c r="J352" s="6" t="inlineStr">
        <is>
          <t>Informado</t>
        </is>
      </c>
      <c r="K352" s="6" t="inlineStr">
        <is>
          <t>Demanda doméstica fixa informada pelo usuário.</t>
        </is>
      </c>
    </row>
    <row r="353">
      <c r="A353" s="6" t="inlineStr">
        <is>
          <t>Milho</t>
        </is>
      </c>
      <c r="B353" s="6" t="inlineStr">
        <is>
          <t>Manaus - AM</t>
        </is>
      </c>
      <c r="C353" s="6" t="n">
        <v>-3.11866</v>
      </c>
      <c r="D353" s="6" t="n">
        <v>-60.0212</v>
      </c>
      <c r="E353" s="6" t="inlineStr">
        <is>
          <t>2022-04</t>
        </is>
      </c>
      <c r="F353" s="6" t="n">
        <v>68715.8430588732</v>
      </c>
      <c r="G353" s="6" t="inlineStr">
        <is>
          <t>DOMESTICA</t>
        </is>
      </c>
      <c r="H353" s="6" t="inlineStr">
        <is>
          <t>FIXO</t>
        </is>
      </c>
      <c r="I353" s="11">
        <f>IF($H353="AUTO_OFERTA_TOTAL_PRODUTO_PERIODO",SUMIFS(Oferta!$F:$F,Oferta!$A:$A,$A353,Oferta!$E:$E,$E353),$F353)</f>
        <v/>
      </c>
      <c r="J353" s="6" t="inlineStr">
        <is>
          <t>Informado</t>
        </is>
      </c>
      <c r="K353" s="6" t="inlineStr">
        <is>
          <t>Demanda doméstica fixa informada pelo usuário.</t>
        </is>
      </c>
    </row>
    <row r="354">
      <c r="A354" s="6" t="inlineStr">
        <is>
          <t>Milho</t>
        </is>
      </c>
      <c r="B354" s="6" t="inlineStr">
        <is>
          <t>Manaus - AM</t>
        </is>
      </c>
      <c r="C354" s="6" t="n">
        <v>-3.11866</v>
      </c>
      <c r="D354" s="6" t="n">
        <v>-60.0212</v>
      </c>
      <c r="E354" s="6" t="inlineStr">
        <is>
          <t>2022-05</t>
        </is>
      </c>
      <c r="F354" s="6" t="n">
        <v>107520.0838450604</v>
      </c>
      <c r="G354" s="6" t="inlineStr">
        <is>
          <t>DOMESTICA</t>
        </is>
      </c>
      <c r="H354" s="6" t="inlineStr">
        <is>
          <t>FIXO</t>
        </is>
      </c>
      <c r="I354" s="11">
        <f>IF($H354="AUTO_OFERTA_TOTAL_PRODUTO_PERIODO",SUMIFS(Oferta!$F:$F,Oferta!$A:$A,$A354,Oferta!$E:$E,$E354),$F354)</f>
        <v/>
      </c>
      <c r="J354" s="6" t="inlineStr">
        <is>
          <t>Informado</t>
        </is>
      </c>
      <c r="K354" s="6" t="inlineStr">
        <is>
          <t>Demanda doméstica fixa informada pelo usuário.</t>
        </is>
      </c>
    </row>
    <row r="355">
      <c r="A355" s="6" t="inlineStr">
        <is>
          <t>Milho</t>
        </is>
      </c>
      <c r="B355" s="6" t="inlineStr">
        <is>
          <t>Manaus - AM</t>
        </is>
      </c>
      <c r="C355" s="6" t="n">
        <v>-3.11866</v>
      </c>
      <c r="D355" s="6" t="n">
        <v>-60.0212</v>
      </c>
      <c r="E355" s="6" t="inlineStr">
        <is>
          <t>2022-06</t>
        </is>
      </c>
      <c r="F355" s="6" t="n">
        <v>107520.0838450604</v>
      </c>
      <c r="G355" s="6" t="inlineStr">
        <is>
          <t>DOMESTICA</t>
        </is>
      </c>
      <c r="H355" s="6" t="inlineStr">
        <is>
          <t>FIXO</t>
        </is>
      </c>
      <c r="I355" s="11">
        <f>IF($H355="AUTO_OFERTA_TOTAL_PRODUTO_PERIODO",SUMIFS(Oferta!$F:$F,Oferta!$A:$A,$A355,Oferta!$E:$E,$E355),$F355)</f>
        <v/>
      </c>
      <c r="J355" s="6" t="inlineStr">
        <is>
          <t>Informado</t>
        </is>
      </c>
      <c r="K355" s="6" t="inlineStr">
        <is>
          <t>Demanda doméstica fixa informada pelo usuário.</t>
        </is>
      </c>
    </row>
    <row r="356">
      <c r="A356" s="6" t="inlineStr">
        <is>
          <t>Milho</t>
        </is>
      </c>
      <c r="B356" s="6" t="inlineStr">
        <is>
          <t>Manaus - AM</t>
        </is>
      </c>
      <c r="C356" s="6" t="n">
        <v>-3.11866</v>
      </c>
      <c r="D356" s="6" t="n">
        <v>-60.0212</v>
      </c>
      <c r="E356" s="6" t="inlineStr">
        <is>
          <t>2022-07</t>
        </is>
      </c>
      <c r="F356" s="6" t="n">
        <v>107520.0838450604</v>
      </c>
      <c r="G356" s="6" t="inlineStr">
        <is>
          <t>DOMESTICA</t>
        </is>
      </c>
      <c r="H356" s="6" t="inlineStr">
        <is>
          <t>FIXO</t>
        </is>
      </c>
      <c r="I356" s="11">
        <f>IF($H356="AUTO_OFERTA_TOTAL_PRODUTO_PERIODO",SUMIFS(Oferta!$F:$F,Oferta!$A:$A,$A356,Oferta!$E:$E,$E356),$F356)</f>
        <v/>
      </c>
      <c r="J356" s="6" t="inlineStr">
        <is>
          <t>Informado</t>
        </is>
      </c>
      <c r="K356" s="6" t="inlineStr">
        <is>
          <t>Demanda doméstica fixa informada pelo usuário.</t>
        </is>
      </c>
    </row>
    <row r="357">
      <c r="A357" s="6" t="inlineStr">
        <is>
          <t>Milho</t>
        </is>
      </c>
      <c r="B357" s="6" t="inlineStr">
        <is>
          <t>Manaus - AM</t>
        </is>
      </c>
      <c r="C357" s="6" t="n">
        <v>-3.11866</v>
      </c>
      <c r="D357" s="6" t="n">
        <v>-60.0212</v>
      </c>
      <c r="E357" s="6" t="inlineStr">
        <is>
          <t>2022-08</t>
        </is>
      </c>
      <c r="F357" s="6" t="n">
        <v>68715.8430588732</v>
      </c>
      <c r="G357" s="6" t="inlineStr">
        <is>
          <t>DOMESTICA</t>
        </is>
      </c>
      <c r="H357" s="6" t="inlineStr">
        <is>
          <t>FIXO</t>
        </is>
      </c>
      <c r="I357" s="11">
        <f>IF($H357="AUTO_OFERTA_TOTAL_PRODUTO_PERIODO",SUMIFS(Oferta!$F:$F,Oferta!$A:$A,$A357,Oferta!$E:$E,$E357),$F357)</f>
        <v/>
      </c>
      <c r="J357" s="6" t="inlineStr">
        <is>
          <t>Informado</t>
        </is>
      </c>
      <c r="K357" s="6" t="inlineStr">
        <is>
          <t>Demanda doméstica fixa informada pelo usuário.</t>
        </is>
      </c>
    </row>
    <row r="358">
      <c r="A358" s="6" t="inlineStr">
        <is>
          <t>Milho</t>
        </is>
      </c>
      <c r="B358" s="6" t="inlineStr">
        <is>
          <t>Manaus - AM</t>
        </is>
      </c>
      <c r="C358" s="6" t="n">
        <v>-3.11866</v>
      </c>
      <c r="D358" s="6" t="n">
        <v>-60.0212</v>
      </c>
      <c r="E358" s="6" t="inlineStr">
        <is>
          <t>2022-09</t>
        </is>
      </c>
      <c r="F358" s="6" t="n">
        <v>55781.0961301441</v>
      </c>
      <c r="G358" s="6" t="inlineStr">
        <is>
          <t>DOMESTICA</t>
        </is>
      </c>
      <c r="H358" s="6" t="inlineStr">
        <is>
          <t>FIXO</t>
        </is>
      </c>
      <c r="I358" s="11">
        <f>IF($H358="AUTO_OFERTA_TOTAL_PRODUTO_PERIODO",SUMIFS(Oferta!$F:$F,Oferta!$A:$A,$A358,Oferta!$E:$E,$E358),$F358)</f>
        <v/>
      </c>
      <c r="J358" s="6" t="inlineStr">
        <is>
          <t>Informado</t>
        </is>
      </c>
      <c r="K358" s="6" t="inlineStr">
        <is>
          <t>Demanda doméstica fixa informada pelo usuário.</t>
        </is>
      </c>
    </row>
    <row r="359">
      <c r="A359" s="6" t="inlineStr">
        <is>
          <t>Milho</t>
        </is>
      </c>
      <c r="B359" s="6" t="inlineStr">
        <is>
          <t>Manaus - AM</t>
        </is>
      </c>
      <c r="C359" s="6" t="n">
        <v>-3.11866</v>
      </c>
      <c r="D359" s="6" t="n">
        <v>-60.0212</v>
      </c>
      <c r="E359" s="6" t="inlineStr">
        <is>
          <t>2022-10</t>
        </is>
      </c>
      <c r="F359" s="6" t="n">
        <v>42846.349201415</v>
      </c>
      <c r="G359" s="6" t="inlineStr">
        <is>
          <t>DOMESTICA</t>
        </is>
      </c>
      <c r="H359" s="6" t="inlineStr">
        <is>
          <t>FIXO</t>
        </is>
      </c>
      <c r="I359" s="11">
        <f>IF($H359="AUTO_OFERTA_TOTAL_PRODUTO_PERIODO",SUMIFS(Oferta!$F:$F,Oferta!$A:$A,$A359,Oferta!$E:$E,$E359),$F359)</f>
        <v/>
      </c>
      <c r="J359" s="6" t="inlineStr">
        <is>
          <t>Informado</t>
        </is>
      </c>
      <c r="K359" s="6" t="inlineStr">
        <is>
          <t>Demanda doméstica fixa informada pelo usuário.</t>
        </is>
      </c>
    </row>
    <row r="360">
      <c r="A360" s="6" t="inlineStr">
        <is>
          <t>Milho</t>
        </is>
      </c>
      <c r="B360" s="6" t="inlineStr">
        <is>
          <t>Manaus - AM</t>
        </is>
      </c>
      <c r="C360" s="6" t="n">
        <v>-3.11866</v>
      </c>
      <c r="D360" s="6" t="n">
        <v>-60.0212</v>
      </c>
      <c r="E360" s="6" t="inlineStr">
        <is>
          <t>2022-11</t>
        </is>
      </c>
      <c r="F360" s="6" t="n">
        <v>42846.349201415</v>
      </c>
      <c r="G360" s="6" t="inlineStr">
        <is>
          <t>DOMESTICA</t>
        </is>
      </c>
      <c r="H360" s="6" t="inlineStr">
        <is>
          <t>FIXO</t>
        </is>
      </c>
      <c r="I360" s="11">
        <f>IF($H360="AUTO_OFERTA_TOTAL_PRODUTO_PERIODO",SUMIFS(Oferta!$F:$F,Oferta!$A:$A,$A360,Oferta!$E:$E,$E360),$F360)</f>
        <v/>
      </c>
      <c r="J360" s="6" t="inlineStr">
        <is>
          <t>Informado</t>
        </is>
      </c>
      <c r="K360" s="6" t="inlineStr">
        <is>
          <t>Demanda doméstica fixa informada pelo usuário.</t>
        </is>
      </c>
    </row>
    <row r="361">
      <c r="A361" s="6" t="inlineStr">
        <is>
          <t>Milho</t>
        </is>
      </c>
      <c r="B361" s="6" t="inlineStr">
        <is>
          <t>Manaus - AM</t>
        </is>
      </c>
      <c r="C361" s="6" t="n">
        <v>-3.11866</v>
      </c>
      <c r="D361" s="6" t="n">
        <v>-60.0212</v>
      </c>
      <c r="E361" s="6" t="inlineStr">
        <is>
          <t>2022-12</t>
        </is>
      </c>
      <c r="F361" s="6" t="n">
        <v>42846.349201415</v>
      </c>
      <c r="G361" s="6" t="inlineStr">
        <is>
          <t>DOMESTICA</t>
        </is>
      </c>
      <c r="H361" s="6" t="inlineStr">
        <is>
          <t>FIXO</t>
        </is>
      </c>
      <c r="I361" s="11">
        <f>IF($H361="AUTO_OFERTA_TOTAL_PRODUTO_PERIODO",SUMIFS(Oferta!$F:$F,Oferta!$A:$A,$A361,Oferta!$E:$E,$E361),$F361)</f>
        <v/>
      </c>
      <c r="J361" s="6" t="inlineStr">
        <is>
          <t>Informado</t>
        </is>
      </c>
      <c r="K361" s="6" t="inlineStr">
        <is>
          <t>Demanda doméstica fixa informada pelo usuário.</t>
        </is>
      </c>
    </row>
    <row r="362">
      <c r="A362" s="6" t="inlineStr">
        <is>
          <t>Milho</t>
        </is>
      </c>
      <c r="B362" s="6" t="inlineStr">
        <is>
          <t>Belém - PA</t>
        </is>
      </c>
      <c r="C362" s="6" t="n">
        <v>-1.4554</v>
      </c>
      <c r="D362" s="6" t="n">
        <v>-48.4898</v>
      </c>
      <c r="E362" s="6" t="inlineStr">
        <is>
          <t>2022-01</t>
        </is>
      </c>
      <c r="F362" s="6" t="n">
        <v>93500.29183365979</v>
      </c>
      <c r="G362" s="6" t="inlineStr">
        <is>
          <t>DOMESTICA</t>
        </is>
      </c>
      <c r="H362" s="6" t="inlineStr">
        <is>
          <t>FIXO</t>
        </is>
      </c>
      <c r="I362" s="11">
        <f>IF($H362="AUTO_OFERTA_TOTAL_PRODUTO_PERIODO",SUMIFS(Oferta!$F:$F,Oferta!$A:$A,$A362,Oferta!$E:$E,$E362),$F362)</f>
        <v/>
      </c>
      <c r="J362" s="6" t="inlineStr">
        <is>
          <t>Informado</t>
        </is>
      </c>
      <c r="K362" s="6" t="inlineStr">
        <is>
          <t>Demanda doméstica fixa informada pelo usuário.</t>
        </is>
      </c>
    </row>
    <row r="363">
      <c r="A363" s="6" t="inlineStr">
        <is>
          <t>Milho</t>
        </is>
      </c>
      <c r="B363" s="6" t="inlineStr">
        <is>
          <t>Belém - PA</t>
        </is>
      </c>
      <c r="C363" s="6" t="n">
        <v>-1.4554</v>
      </c>
      <c r="D363" s="6" t="n">
        <v>-48.4898</v>
      </c>
      <c r="E363" s="6" t="inlineStr">
        <is>
          <t>2022-02</t>
        </is>
      </c>
      <c r="F363" s="6" t="n">
        <v>75900.23690026499</v>
      </c>
      <c r="G363" s="6" t="inlineStr">
        <is>
          <t>DOMESTICA</t>
        </is>
      </c>
      <c r="H363" s="6" t="inlineStr">
        <is>
          <t>FIXO</t>
        </is>
      </c>
      <c r="I363" s="11">
        <f>IF($H363="AUTO_OFERTA_TOTAL_PRODUTO_PERIODO",SUMIFS(Oferta!$F:$F,Oferta!$A:$A,$A363,Oferta!$E:$E,$E363),$F363)</f>
        <v/>
      </c>
      <c r="J363" s="6" t="inlineStr">
        <is>
          <t>Informado</t>
        </is>
      </c>
      <c r="K363" s="6" t="inlineStr">
        <is>
          <t>Demanda doméstica fixa informada pelo usuário.</t>
        </is>
      </c>
    </row>
    <row r="364">
      <c r="A364" s="6" t="inlineStr">
        <is>
          <t>Milho</t>
        </is>
      </c>
      <c r="B364" s="6" t="inlineStr">
        <is>
          <t>Belém - PA</t>
        </is>
      </c>
      <c r="C364" s="6" t="n">
        <v>-1.4554</v>
      </c>
      <c r="D364" s="6" t="n">
        <v>-48.4898</v>
      </c>
      <c r="E364" s="6" t="inlineStr">
        <is>
          <t>2022-03</t>
        </is>
      </c>
      <c r="F364" s="6" t="n">
        <v>75900.23690026499</v>
      </c>
      <c r="G364" s="6" t="inlineStr">
        <is>
          <t>DOMESTICA</t>
        </is>
      </c>
      <c r="H364" s="6" t="inlineStr">
        <is>
          <t>FIXO</t>
        </is>
      </c>
      <c r="I364" s="11">
        <f>IF($H364="AUTO_OFERTA_TOTAL_PRODUTO_PERIODO",SUMIFS(Oferta!$F:$F,Oferta!$A:$A,$A364,Oferta!$E:$E,$E364),$F364)</f>
        <v/>
      </c>
      <c r="J364" s="6" t="inlineStr">
        <is>
          <t>Informado</t>
        </is>
      </c>
      <c r="K364" s="6" t="inlineStr">
        <is>
          <t>Demanda doméstica fixa informada pelo usuário.</t>
        </is>
      </c>
    </row>
    <row r="365">
      <c r="A365" s="6" t="inlineStr">
        <is>
          <t>Milho</t>
        </is>
      </c>
      <c r="B365" s="6" t="inlineStr">
        <is>
          <t>Belém - PA</t>
        </is>
      </c>
      <c r="C365" s="6" t="n">
        <v>-1.4554</v>
      </c>
      <c r="D365" s="6" t="n">
        <v>-48.4898</v>
      </c>
      <c r="E365" s="6" t="inlineStr">
        <is>
          <t>2022-04</t>
        </is>
      </c>
      <c r="F365" s="6" t="n">
        <v>93500.29183365979</v>
      </c>
      <c r="G365" s="6" t="inlineStr">
        <is>
          <t>DOMESTICA</t>
        </is>
      </c>
      <c r="H365" s="6" t="inlineStr">
        <is>
          <t>FIXO</t>
        </is>
      </c>
      <c r="I365" s="11">
        <f>IF($H365="AUTO_OFERTA_TOTAL_PRODUTO_PERIODO",SUMIFS(Oferta!$F:$F,Oferta!$A:$A,$A365,Oferta!$E:$E,$E365),$F365)</f>
        <v/>
      </c>
      <c r="J365" s="6" t="inlineStr">
        <is>
          <t>Informado</t>
        </is>
      </c>
      <c r="K365" s="6" t="inlineStr">
        <is>
          <t>Demanda doméstica fixa informada pelo usuário.</t>
        </is>
      </c>
    </row>
    <row r="366">
      <c r="A366" s="6" t="inlineStr">
        <is>
          <t>Milho</t>
        </is>
      </c>
      <c r="B366" s="6" t="inlineStr">
        <is>
          <t>Belém - PA</t>
        </is>
      </c>
      <c r="C366" s="6" t="n">
        <v>-1.4554</v>
      </c>
      <c r="D366" s="6" t="n">
        <v>-48.4898</v>
      </c>
      <c r="E366" s="6" t="inlineStr">
        <is>
          <t>2022-05</t>
        </is>
      </c>
      <c r="F366" s="6" t="n">
        <v>128700.4017004494</v>
      </c>
      <c r="G366" s="6" t="inlineStr">
        <is>
          <t>DOMESTICA</t>
        </is>
      </c>
      <c r="H366" s="6" t="inlineStr">
        <is>
          <t>FIXO</t>
        </is>
      </c>
      <c r="I366" s="11">
        <f>IF($H366="AUTO_OFERTA_TOTAL_PRODUTO_PERIODO",SUMIFS(Oferta!$F:$F,Oferta!$A:$A,$A366,Oferta!$E:$E,$E366),$F366)</f>
        <v/>
      </c>
      <c r="J366" s="6" t="inlineStr">
        <is>
          <t>Informado</t>
        </is>
      </c>
      <c r="K366" s="6" t="inlineStr">
        <is>
          <t>Demanda doméstica fixa informada pelo usuário.</t>
        </is>
      </c>
    </row>
    <row r="367">
      <c r="A367" s="6" t="inlineStr">
        <is>
          <t>Milho</t>
        </is>
      </c>
      <c r="B367" s="6" t="inlineStr">
        <is>
          <t>Belém - PA</t>
        </is>
      </c>
      <c r="C367" s="6" t="n">
        <v>-1.4554</v>
      </c>
      <c r="D367" s="6" t="n">
        <v>-48.4898</v>
      </c>
      <c r="E367" s="6" t="inlineStr">
        <is>
          <t>2022-06</t>
        </is>
      </c>
      <c r="F367" s="6" t="n">
        <v>199100.6214340286</v>
      </c>
      <c r="G367" s="6" t="inlineStr">
        <is>
          <t>DOMESTICA</t>
        </is>
      </c>
      <c r="H367" s="6" t="inlineStr">
        <is>
          <t>FIXO</t>
        </is>
      </c>
      <c r="I367" s="11">
        <f>IF($H367="AUTO_OFERTA_TOTAL_PRODUTO_PERIODO",SUMIFS(Oferta!$F:$F,Oferta!$A:$A,$A367,Oferta!$E:$E,$E367),$F367)</f>
        <v/>
      </c>
      <c r="J367" s="6" t="inlineStr">
        <is>
          <t>Informado</t>
        </is>
      </c>
      <c r="K367" s="6" t="inlineStr">
        <is>
          <t>Demanda doméstica fixa informada pelo usuário.</t>
        </is>
      </c>
    </row>
    <row r="368">
      <c r="A368" s="6" t="inlineStr">
        <is>
          <t>Milho</t>
        </is>
      </c>
      <c r="B368" s="6" t="inlineStr">
        <is>
          <t>Belém - PA</t>
        </is>
      </c>
      <c r="C368" s="6" t="n">
        <v>-1.4554</v>
      </c>
      <c r="D368" s="6" t="n">
        <v>-48.4898</v>
      </c>
      <c r="E368" s="6" t="inlineStr">
        <is>
          <t>2022-07</t>
        </is>
      </c>
      <c r="F368" s="6" t="n">
        <v>216700.6763674233</v>
      </c>
      <c r="G368" s="6" t="inlineStr">
        <is>
          <t>DOMESTICA</t>
        </is>
      </c>
      <c r="H368" s="6" t="inlineStr">
        <is>
          <t>FIXO</t>
        </is>
      </c>
      <c r="I368" s="11">
        <f>IF($H368="AUTO_OFERTA_TOTAL_PRODUTO_PERIODO",SUMIFS(Oferta!$F:$F,Oferta!$A:$A,$A368,Oferta!$E:$E,$E368),$F368)</f>
        <v/>
      </c>
      <c r="J368" s="6" t="inlineStr">
        <is>
          <t>Informado</t>
        </is>
      </c>
      <c r="K368" s="6" t="inlineStr">
        <is>
          <t>Demanda doméstica fixa informada pelo usuário.</t>
        </is>
      </c>
    </row>
    <row r="369">
      <c r="A369" s="6" t="inlineStr">
        <is>
          <t>Milho</t>
        </is>
      </c>
      <c r="B369" s="6" t="inlineStr">
        <is>
          <t>Belém - PA</t>
        </is>
      </c>
      <c r="C369" s="6" t="n">
        <v>-1.4554</v>
      </c>
      <c r="D369" s="6" t="n">
        <v>-48.4898</v>
      </c>
      <c r="E369" s="6" t="inlineStr">
        <is>
          <t>2022-08</t>
        </is>
      </c>
      <c r="F369" s="6" t="n">
        <v>199100.6214340286</v>
      </c>
      <c r="G369" s="6" t="inlineStr">
        <is>
          <t>DOMESTICA</t>
        </is>
      </c>
      <c r="H369" s="6" t="inlineStr">
        <is>
          <t>FIXO</t>
        </is>
      </c>
      <c r="I369" s="11">
        <f>IF($H369="AUTO_OFERTA_TOTAL_PRODUTO_PERIODO",SUMIFS(Oferta!$F:$F,Oferta!$A:$A,$A369,Oferta!$E:$E,$E369),$F369)</f>
        <v/>
      </c>
      <c r="J369" s="6" t="inlineStr">
        <is>
          <t>Informado</t>
        </is>
      </c>
      <c r="K369" s="6" t="inlineStr">
        <is>
          <t>Demanda doméstica fixa informada pelo usuário.</t>
        </is>
      </c>
    </row>
    <row r="370">
      <c r="A370" s="6" t="inlineStr">
        <is>
          <t>Milho</t>
        </is>
      </c>
      <c r="B370" s="6" t="inlineStr">
        <is>
          <t>Belém - PA</t>
        </is>
      </c>
      <c r="C370" s="6" t="n">
        <v>-1.4554</v>
      </c>
      <c r="D370" s="6" t="n">
        <v>-48.4898</v>
      </c>
      <c r="E370" s="6" t="inlineStr">
        <is>
          <t>2022-09</t>
        </is>
      </c>
      <c r="F370" s="6" t="n">
        <v>128700.4017004494</v>
      </c>
      <c r="G370" s="6" t="inlineStr">
        <is>
          <t>DOMESTICA</t>
        </is>
      </c>
      <c r="H370" s="6" t="inlineStr">
        <is>
          <t>FIXO</t>
        </is>
      </c>
      <c r="I370" s="11">
        <f>IF($H370="AUTO_OFERTA_TOTAL_PRODUTO_PERIODO",SUMIFS(Oferta!$F:$F,Oferta!$A:$A,$A370,Oferta!$E:$E,$E370),$F370)</f>
        <v/>
      </c>
      <c r="J370" s="6" t="inlineStr">
        <is>
          <t>Informado</t>
        </is>
      </c>
      <c r="K370" s="6" t="inlineStr">
        <is>
          <t>Demanda doméstica fixa informada pelo usuário.</t>
        </is>
      </c>
    </row>
    <row r="371">
      <c r="A371" s="6" t="inlineStr">
        <is>
          <t>Milho</t>
        </is>
      </c>
      <c r="B371" s="6" t="inlineStr">
        <is>
          <t>Belém - PA</t>
        </is>
      </c>
      <c r="C371" s="6" t="n">
        <v>-1.4554</v>
      </c>
      <c r="D371" s="6" t="n">
        <v>-48.4898</v>
      </c>
      <c r="E371" s="6" t="inlineStr">
        <is>
          <t>2022-10</t>
        </is>
      </c>
      <c r="F371" s="6" t="n">
        <v>111100.3467670546</v>
      </c>
      <c r="G371" s="6" t="inlineStr">
        <is>
          <t>DOMESTICA</t>
        </is>
      </c>
      <c r="H371" s="6" t="inlineStr">
        <is>
          <t>FIXO</t>
        </is>
      </c>
      <c r="I371" s="11">
        <f>IF($H371="AUTO_OFERTA_TOTAL_PRODUTO_PERIODO",SUMIFS(Oferta!$F:$F,Oferta!$A:$A,$A371,Oferta!$E:$E,$E371),$F371)</f>
        <v/>
      </c>
      <c r="J371" s="6" t="inlineStr">
        <is>
          <t>Informado</t>
        </is>
      </c>
      <c r="K371" s="6" t="inlineStr">
        <is>
          <t>Demanda doméstica fixa informada pelo usuário.</t>
        </is>
      </c>
    </row>
    <row r="372">
      <c r="A372" s="6" t="inlineStr">
        <is>
          <t>Milho</t>
        </is>
      </c>
      <c r="B372" s="6" t="inlineStr">
        <is>
          <t>Belém - PA</t>
        </is>
      </c>
      <c r="C372" s="6" t="n">
        <v>-1.4554</v>
      </c>
      <c r="D372" s="6" t="n">
        <v>-48.4898</v>
      </c>
      <c r="E372" s="6" t="inlineStr">
        <is>
          <t>2022-11</t>
        </is>
      </c>
      <c r="F372" s="6" t="n">
        <v>111100.3467670546</v>
      </c>
      <c r="G372" s="6" t="inlineStr">
        <is>
          <t>DOMESTICA</t>
        </is>
      </c>
      <c r="H372" s="6" t="inlineStr">
        <is>
          <t>FIXO</t>
        </is>
      </c>
      <c r="I372" s="11">
        <f>IF($H372="AUTO_OFERTA_TOTAL_PRODUTO_PERIODO",SUMIFS(Oferta!$F:$F,Oferta!$A:$A,$A372,Oferta!$E:$E,$E372),$F372)</f>
        <v/>
      </c>
      <c r="J372" s="6" t="inlineStr">
        <is>
          <t>Informado</t>
        </is>
      </c>
      <c r="K372" s="6" t="inlineStr">
        <is>
          <t>Demanda doméstica fixa informada pelo usuário.</t>
        </is>
      </c>
    </row>
    <row r="373">
      <c r="A373" s="6" t="inlineStr">
        <is>
          <t>Milho</t>
        </is>
      </c>
      <c r="B373" s="6" t="inlineStr">
        <is>
          <t>Belém - PA</t>
        </is>
      </c>
      <c r="C373" s="6" t="n">
        <v>-1.4554</v>
      </c>
      <c r="D373" s="6" t="n">
        <v>-48.4898</v>
      </c>
      <c r="E373" s="6" t="inlineStr">
        <is>
          <t>2022-12</t>
        </is>
      </c>
      <c r="F373" s="6" t="n">
        <v>111100.3467670546</v>
      </c>
      <c r="G373" s="6" t="inlineStr">
        <is>
          <t>DOMESTICA</t>
        </is>
      </c>
      <c r="H373" s="6" t="inlineStr">
        <is>
          <t>FIXO</t>
        </is>
      </c>
      <c r="I373" s="11">
        <f>IF($H373="AUTO_OFERTA_TOTAL_PRODUTO_PERIODO",SUMIFS(Oferta!$F:$F,Oferta!$A:$A,$A373,Oferta!$E:$E,$E373),$F373)</f>
        <v/>
      </c>
      <c r="J373" s="6" t="inlineStr">
        <is>
          <t>Informado</t>
        </is>
      </c>
      <c r="K373" s="6" t="inlineStr">
        <is>
          <t>Demanda doméstica fixa informada pelo usuário.</t>
        </is>
      </c>
    </row>
    <row r="374">
      <c r="A374" s="6" t="inlineStr">
        <is>
          <t>Milho</t>
        </is>
      </c>
      <c r="B374" s="6" t="inlineStr">
        <is>
          <t>Porto Velho - RO</t>
        </is>
      </c>
      <c r="C374" s="6" t="n">
        <v>-8.760770000000001</v>
      </c>
      <c r="D374" s="6" t="n">
        <v>-63.8999</v>
      </c>
      <c r="E374" s="6" t="inlineStr">
        <is>
          <t>2022-01</t>
        </is>
      </c>
      <c r="F374" s="6" t="n">
        <v>32698.1288194423</v>
      </c>
      <c r="G374" s="6" t="inlineStr">
        <is>
          <t>DOMESTICA</t>
        </is>
      </c>
      <c r="H374" s="6" t="inlineStr">
        <is>
          <t>FIXO</t>
        </is>
      </c>
      <c r="I374" s="11">
        <f>IF($H374="AUTO_OFERTA_TOTAL_PRODUTO_PERIODO",SUMIFS(Oferta!$F:$F,Oferta!$A:$A,$A374,Oferta!$E:$E,$E374),$F374)</f>
        <v/>
      </c>
      <c r="J374" s="6" t="inlineStr">
        <is>
          <t>Informado</t>
        </is>
      </c>
      <c r="K374" s="6" t="inlineStr">
        <is>
          <t>Demanda doméstica fixa informada pelo usuário.</t>
        </is>
      </c>
    </row>
    <row r="375">
      <c r="A375" s="6" t="inlineStr">
        <is>
          <t>Milho</t>
        </is>
      </c>
      <c r="B375" s="6" t="inlineStr">
        <is>
          <t>Porto Velho - RO</t>
        </is>
      </c>
      <c r="C375" s="6" t="n">
        <v>-8.760770000000001</v>
      </c>
      <c r="D375" s="6" t="n">
        <v>-63.8999</v>
      </c>
      <c r="E375" s="6" t="inlineStr">
        <is>
          <t>2022-02</t>
        </is>
      </c>
      <c r="F375" s="6" t="n">
        <v>36095.3370084753</v>
      </c>
      <c r="G375" s="6" t="inlineStr">
        <is>
          <t>DOMESTICA</t>
        </is>
      </c>
      <c r="H375" s="6" t="inlineStr">
        <is>
          <t>FIXO</t>
        </is>
      </c>
      <c r="I375" s="11">
        <f>IF($H375="AUTO_OFERTA_TOTAL_PRODUTO_PERIODO",SUMIFS(Oferta!$F:$F,Oferta!$A:$A,$A375,Oferta!$E:$E,$E375),$F375)</f>
        <v/>
      </c>
      <c r="J375" s="6" t="inlineStr">
        <is>
          <t>Informado</t>
        </is>
      </c>
      <c r="K375" s="6" t="inlineStr">
        <is>
          <t>Demanda doméstica fixa informada pelo usuário.</t>
        </is>
      </c>
    </row>
    <row r="376">
      <c r="A376" s="6" t="inlineStr">
        <is>
          <t>Milho</t>
        </is>
      </c>
      <c r="B376" s="6" t="inlineStr">
        <is>
          <t>Porto Velho - RO</t>
        </is>
      </c>
      <c r="C376" s="6" t="n">
        <v>-8.760770000000001</v>
      </c>
      <c r="D376" s="6" t="n">
        <v>-63.8999</v>
      </c>
      <c r="E376" s="6" t="inlineStr">
        <is>
          <t>2022-03</t>
        </is>
      </c>
      <c r="F376" s="6" t="n">
        <v>56478.5861426731</v>
      </c>
      <c r="G376" s="6" t="inlineStr">
        <is>
          <t>DOMESTICA</t>
        </is>
      </c>
      <c r="H376" s="6" t="inlineStr">
        <is>
          <t>FIXO</t>
        </is>
      </c>
      <c r="I376" s="11">
        <f>IF($H376="AUTO_OFERTA_TOTAL_PRODUTO_PERIODO",SUMIFS(Oferta!$F:$F,Oferta!$A:$A,$A376,Oferta!$E:$E,$E376),$F376)</f>
        <v/>
      </c>
      <c r="J376" s="6" t="inlineStr">
        <is>
          <t>Informado</t>
        </is>
      </c>
      <c r="K376" s="6" t="inlineStr">
        <is>
          <t>Demanda doméstica fixa informada pelo usuário.</t>
        </is>
      </c>
    </row>
    <row r="377">
      <c r="A377" s="6" t="inlineStr">
        <is>
          <t>Milho</t>
        </is>
      </c>
      <c r="B377" s="6" t="inlineStr">
        <is>
          <t>Porto Velho - RO</t>
        </is>
      </c>
      <c r="C377" s="6" t="n">
        <v>-8.760770000000001</v>
      </c>
      <c r="D377" s="6" t="n">
        <v>-63.8999</v>
      </c>
      <c r="E377" s="6" t="inlineStr">
        <is>
          <t>2022-04</t>
        </is>
      </c>
      <c r="F377" s="6" t="n">
        <v>56478.5861426731</v>
      </c>
      <c r="G377" s="6" t="inlineStr">
        <is>
          <t>DOMESTICA</t>
        </is>
      </c>
      <c r="H377" s="6" t="inlineStr">
        <is>
          <t>FIXO</t>
        </is>
      </c>
      <c r="I377" s="11">
        <f>IF($H377="AUTO_OFERTA_TOTAL_PRODUTO_PERIODO",SUMIFS(Oferta!$F:$F,Oferta!$A:$A,$A377,Oferta!$E:$E,$E377),$F377)</f>
        <v/>
      </c>
      <c r="J377" s="6" t="inlineStr">
        <is>
          <t>Informado</t>
        </is>
      </c>
      <c r="K377" s="6" t="inlineStr">
        <is>
          <t>Demanda doméstica fixa informada pelo usuário.</t>
        </is>
      </c>
    </row>
    <row r="378">
      <c r="A378" s="6" t="inlineStr">
        <is>
          <t>Milho</t>
        </is>
      </c>
      <c r="B378" s="6" t="inlineStr">
        <is>
          <t>Porto Velho - RO</t>
        </is>
      </c>
      <c r="C378" s="6" t="n">
        <v>-8.760770000000001</v>
      </c>
      <c r="D378" s="6" t="n">
        <v>-63.8999</v>
      </c>
      <c r="E378" s="6" t="inlineStr">
        <is>
          <t>2022-05</t>
        </is>
      </c>
      <c r="F378" s="6" t="n">
        <v>56478.5861426731</v>
      </c>
      <c r="G378" s="6" t="inlineStr">
        <is>
          <t>DOMESTICA</t>
        </is>
      </c>
      <c r="H378" s="6" t="inlineStr">
        <is>
          <t>FIXO</t>
        </is>
      </c>
      <c r="I378" s="11">
        <f>IF($H378="AUTO_OFERTA_TOTAL_PRODUTO_PERIODO",SUMIFS(Oferta!$F:$F,Oferta!$A:$A,$A378,Oferta!$E:$E,$E378),$F378)</f>
        <v/>
      </c>
      <c r="J378" s="6" t="inlineStr">
        <is>
          <t>Informado</t>
        </is>
      </c>
      <c r="K378" s="6" t="inlineStr">
        <is>
          <t>Demanda doméstica fixa informada pelo usuário.</t>
        </is>
      </c>
    </row>
    <row r="379">
      <c r="A379" s="6" t="inlineStr">
        <is>
          <t>Milho</t>
        </is>
      </c>
      <c r="B379" s="6" t="inlineStr">
        <is>
          <t>Porto Velho - RO</t>
        </is>
      </c>
      <c r="C379" s="6" t="n">
        <v>-8.760770000000001</v>
      </c>
      <c r="D379" s="6" t="n">
        <v>-63.8999</v>
      </c>
      <c r="E379" s="6" t="inlineStr">
        <is>
          <t>2022-06</t>
        </is>
      </c>
      <c r="F379" s="6" t="n">
        <v>39492.5451975083</v>
      </c>
      <c r="G379" s="6" t="inlineStr">
        <is>
          <t>DOMESTICA</t>
        </is>
      </c>
      <c r="H379" s="6" t="inlineStr">
        <is>
          <t>FIXO</t>
        </is>
      </c>
      <c r="I379" s="11">
        <f>IF($H379="AUTO_OFERTA_TOTAL_PRODUTO_PERIODO",SUMIFS(Oferta!$F:$F,Oferta!$A:$A,$A379,Oferta!$E:$E,$E379),$F379)</f>
        <v/>
      </c>
      <c r="J379" s="6" t="inlineStr">
        <is>
          <t>Informado</t>
        </is>
      </c>
      <c r="K379" s="6" t="inlineStr">
        <is>
          <t>Demanda doméstica fixa informada pelo usuário.</t>
        </is>
      </c>
    </row>
    <row r="380">
      <c r="A380" s="6" t="inlineStr">
        <is>
          <t>Milho</t>
        </is>
      </c>
      <c r="B380" s="6" t="inlineStr">
        <is>
          <t>Porto Velho - RO</t>
        </is>
      </c>
      <c r="C380" s="6" t="n">
        <v>-8.760770000000001</v>
      </c>
      <c r="D380" s="6" t="n">
        <v>-63.8999</v>
      </c>
      <c r="E380" s="6" t="inlineStr">
        <is>
          <t>2022-07</t>
        </is>
      </c>
      <c r="F380" s="6" t="n">
        <v>39492.5451975083</v>
      </c>
      <c r="G380" s="6" t="inlineStr">
        <is>
          <t>DOMESTICA</t>
        </is>
      </c>
      <c r="H380" s="6" t="inlineStr">
        <is>
          <t>FIXO</t>
        </is>
      </c>
      <c r="I380" s="11">
        <f>IF($H380="AUTO_OFERTA_TOTAL_PRODUTO_PERIODO",SUMIFS(Oferta!$F:$F,Oferta!$A:$A,$A380,Oferta!$E:$E,$E380),$F380)</f>
        <v/>
      </c>
      <c r="J380" s="6" t="inlineStr">
        <is>
          <t>Informado</t>
        </is>
      </c>
      <c r="K380" s="6" t="inlineStr">
        <is>
          <t>Demanda doméstica fixa informada pelo usuário.</t>
        </is>
      </c>
    </row>
    <row r="381">
      <c r="A381" s="6" t="inlineStr">
        <is>
          <t>Milho</t>
        </is>
      </c>
      <c r="B381" s="6" t="inlineStr">
        <is>
          <t>Porto Velho - RO</t>
        </is>
      </c>
      <c r="C381" s="6" t="n">
        <v>-8.760770000000001</v>
      </c>
      <c r="D381" s="6" t="n">
        <v>-63.8999</v>
      </c>
      <c r="E381" s="6" t="inlineStr">
        <is>
          <t>2022-08</t>
        </is>
      </c>
      <c r="F381" s="6" t="n">
        <v>46286.9615755742</v>
      </c>
      <c r="G381" s="6" t="inlineStr">
        <is>
          <t>DOMESTICA</t>
        </is>
      </c>
      <c r="H381" s="6" t="inlineStr">
        <is>
          <t>FIXO</t>
        </is>
      </c>
      <c r="I381" s="11">
        <f>IF($H381="AUTO_OFERTA_TOTAL_PRODUTO_PERIODO",SUMIFS(Oferta!$F:$F,Oferta!$A:$A,$A381,Oferta!$E:$E,$E381),$F381)</f>
        <v/>
      </c>
      <c r="J381" s="6" t="inlineStr">
        <is>
          <t>Informado</t>
        </is>
      </c>
      <c r="K381" s="6" t="inlineStr">
        <is>
          <t>Demanda doméstica fixa informada pelo usuário.</t>
        </is>
      </c>
    </row>
    <row r="382">
      <c r="A382" s="6" t="inlineStr">
        <is>
          <t>Milho</t>
        </is>
      </c>
      <c r="B382" s="6" t="inlineStr">
        <is>
          <t>Porto Velho - RO</t>
        </is>
      </c>
      <c r="C382" s="6" t="n">
        <v>-8.760770000000001</v>
      </c>
      <c r="D382" s="6" t="n">
        <v>-63.8999</v>
      </c>
      <c r="E382" s="6" t="inlineStr">
        <is>
          <t>2022-09</t>
        </is>
      </c>
      <c r="F382" s="6" t="n">
        <v>56478.5861426731</v>
      </c>
      <c r="G382" s="6" t="inlineStr">
        <is>
          <t>DOMESTICA</t>
        </is>
      </c>
      <c r="H382" s="6" t="inlineStr">
        <is>
          <t>FIXO</t>
        </is>
      </c>
      <c r="I382" s="11">
        <f>IF($H382="AUTO_OFERTA_TOTAL_PRODUTO_PERIODO",SUMIFS(Oferta!$F:$F,Oferta!$A:$A,$A382,Oferta!$E:$E,$E382),$F382)</f>
        <v/>
      </c>
      <c r="J382" s="6" t="inlineStr">
        <is>
          <t>Informado</t>
        </is>
      </c>
      <c r="K382" s="6" t="inlineStr">
        <is>
          <t>Demanda doméstica fixa informada pelo usuário.</t>
        </is>
      </c>
    </row>
    <row r="383">
      <c r="A383" s="6" t="inlineStr">
        <is>
          <t>Milho</t>
        </is>
      </c>
      <c r="B383" s="6" t="inlineStr">
        <is>
          <t>Porto Velho - RO</t>
        </is>
      </c>
      <c r="C383" s="6" t="n">
        <v>-8.760770000000001</v>
      </c>
      <c r="D383" s="6" t="n">
        <v>-63.8999</v>
      </c>
      <c r="E383" s="6" t="inlineStr">
        <is>
          <t>2022-10</t>
        </is>
      </c>
      <c r="F383" s="6" t="n">
        <v>56478.5861426731</v>
      </c>
      <c r="G383" s="6" t="inlineStr">
        <is>
          <t>DOMESTICA</t>
        </is>
      </c>
      <c r="H383" s="6" t="inlineStr">
        <is>
          <t>FIXO</t>
        </is>
      </c>
      <c r="I383" s="11">
        <f>IF($H383="AUTO_OFERTA_TOTAL_PRODUTO_PERIODO",SUMIFS(Oferta!$F:$F,Oferta!$A:$A,$A383,Oferta!$E:$E,$E383),$F383)</f>
        <v/>
      </c>
      <c r="J383" s="6" t="inlineStr">
        <is>
          <t>Informado</t>
        </is>
      </c>
      <c r="K383" s="6" t="inlineStr">
        <is>
          <t>Demanda doméstica fixa informada pelo usuário.</t>
        </is>
      </c>
    </row>
    <row r="384">
      <c r="A384" s="6" t="inlineStr">
        <is>
          <t>Milho</t>
        </is>
      </c>
      <c r="B384" s="6" t="inlineStr">
        <is>
          <t>Porto Velho - RO</t>
        </is>
      </c>
      <c r="C384" s="6" t="n">
        <v>-8.760770000000001</v>
      </c>
      <c r="D384" s="6" t="n">
        <v>-63.8999</v>
      </c>
      <c r="E384" s="6" t="inlineStr">
        <is>
          <t>2022-11</t>
        </is>
      </c>
      <c r="F384" s="6" t="n">
        <v>46286.9615755742</v>
      </c>
      <c r="G384" s="6" t="inlineStr">
        <is>
          <t>DOMESTICA</t>
        </is>
      </c>
      <c r="H384" s="6" t="inlineStr">
        <is>
          <t>FIXO</t>
        </is>
      </c>
      <c r="I384" s="11">
        <f>IF($H384="AUTO_OFERTA_TOTAL_PRODUTO_PERIODO",SUMIFS(Oferta!$F:$F,Oferta!$A:$A,$A384,Oferta!$E:$E,$E384),$F384)</f>
        <v/>
      </c>
      <c r="J384" s="6" t="inlineStr">
        <is>
          <t>Informado</t>
        </is>
      </c>
      <c r="K384" s="6" t="inlineStr">
        <is>
          <t>Demanda doméstica fixa informada pelo usuário.</t>
        </is>
      </c>
    </row>
    <row r="385">
      <c r="A385" s="6" t="inlineStr">
        <is>
          <t>Milho</t>
        </is>
      </c>
      <c r="B385" s="6" t="inlineStr">
        <is>
          <t>Porto Velho - RO</t>
        </is>
      </c>
      <c r="C385" s="6" t="n">
        <v>-8.760770000000001</v>
      </c>
      <c r="D385" s="6" t="n">
        <v>-63.8999</v>
      </c>
      <c r="E385" s="6" t="inlineStr">
        <is>
          <t>2022-12</t>
        </is>
      </c>
      <c r="F385" s="6" t="n">
        <v>32698.1288194423</v>
      </c>
      <c r="G385" s="6" t="inlineStr">
        <is>
          <t>DOMESTICA</t>
        </is>
      </c>
      <c r="H385" s="6" t="inlineStr">
        <is>
          <t>FIXO</t>
        </is>
      </c>
      <c r="I385" s="11">
        <f>IF($H385="AUTO_OFERTA_TOTAL_PRODUTO_PERIODO",SUMIFS(Oferta!$F:$F,Oferta!$A:$A,$A385,Oferta!$E:$E,$E385),$F385)</f>
        <v/>
      </c>
      <c r="J385" s="6" t="inlineStr">
        <is>
          <t>Informado</t>
        </is>
      </c>
      <c r="K385" s="6" t="inlineStr">
        <is>
          <t>Demanda doméstica fixa informada pelo usuário.</t>
        </is>
      </c>
    </row>
    <row r="386">
      <c r="A386" s="6" t="inlineStr">
        <is>
          <t>Milho</t>
        </is>
      </c>
      <c r="B386" s="6" t="inlineStr">
        <is>
          <t>Boa Vista - RR</t>
        </is>
      </c>
      <c r="C386" s="6" t="n">
        <v>2.82384</v>
      </c>
      <c r="D386" s="6" t="n">
        <v>-60.6753</v>
      </c>
      <c r="E386" s="6" t="inlineStr">
        <is>
          <t>2022-01</t>
        </is>
      </c>
      <c r="F386" s="6" t="n">
        <v>7574.9319650054</v>
      </c>
      <c r="G386" s="6" t="inlineStr">
        <is>
          <t>DOMESTICA</t>
        </is>
      </c>
      <c r="H386" s="6" t="inlineStr">
        <is>
          <t>FIXO</t>
        </is>
      </c>
      <c r="I386" s="11">
        <f>IF($H386="AUTO_OFERTA_TOTAL_PRODUTO_PERIODO",SUMIFS(Oferta!$F:$F,Oferta!$A:$A,$A386,Oferta!$E:$E,$E386),$F386)</f>
        <v/>
      </c>
      <c r="J386" s="6" t="inlineStr">
        <is>
          <t>Informado</t>
        </is>
      </c>
      <c r="K386" s="6" t="inlineStr">
        <is>
          <t>Demanda doméstica fixa informada pelo usuário.</t>
        </is>
      </c>
    </row>
    <row r="387">
      <c r="A387" s="6" t="inlineStr">
        <is>
          <t>Milho</t>
        </is>
      </c>
      <c r="B387" s="6" t="inlineStr">
        <is>
          <t>Boa Vista - RR</t>
        </is>
      </c>
      <c r="C387" s="6" t="n">
        <v>2.82384</v>
      </c>
      <c r="D387" s="6" t="n">
        <v>-60.6753</v>
      </c>
      <c r="E387" s="6" t="inlineStr">
        <is>
          <t>2022-02</t>
        </is>
      </c>
      <c r="F387" s="6" t="n">
        <v>4841.1219325223</v>
      </c>
      <c r="G387" s="6" t="inlineStr">
        <is>
          <t>DOMESTICA</t>
        </is>
      </c>
      <c r="H387" s="6" t="inlineStr">
        <is>
          <t>FIXO</t>
        </is>
      </c>
      <c r="I387" s="11">
        <f>IF($H387="AUTO_OFERTA_TOTAL_PRODUTO_PERIODO",SUMIFS(Oferta!$F:$F,Oferta!$A:$A,$A387,Oferta!$E:$E,$E387),$F387)</f>
        <v/>
      </c>
      <c r="J387" s="6" t="inlineStr">
        <is>
          <t>Informado</t>
        </is>
      </c>
      <c r="K387" s="6" t="inlineStr">
        <is>
          <t>Demanda doméstica fixa informada pelo usuário.</t>
        </is>
      </c>
    </row>
    <row r="388">
      <c r="A388" s="6" t="inlineStr">
        <is>
          <t>Milho</t>
        </is>
      </c>
      <c r="B388" s="6" t="inlineStr">
        <is>
          <t>Boa Vista - RR</t>
        </is>
      </c>
      <c r="C388" s="6" t="n">
        <v>2.82384</v>
      </c>
      <c r="D388" s="6" t="n">
        <v>-60.6753</v>
      </c>
      <c r="E388" s="6" t="inlineStr">
        <is>
          <t>2022-03</t>
        </is>
      </c>
      <c r="F388" s="6" t="n">
        <v>3929.8519216946</v>
      </c>
      <c r="G388" s="6" t="inlineStr">
        <is>
          <t>DOMESTICA</t>
        </is>
      </c>
      <c r="H388" s="6" t="inlineStr">
        <is>
          <t>FIXO</t>
        </is>
      </c>
      <c r="I388" s="11">
        <f>IF($H388="AUTO_OFERTA_TOTAL_PRODUTO_PERIODO",SUMIFS(Oferta!$F:$F,Oferta!$A:$A,$A388,Oferta!$E:$E,$E388),$F388)</f>
        <v/>
      </c>
      <c r="J388" s="6" t="inlineStr">
        <is>
          <t>Informado</t>
        </is>
      </c>
      <c r="K388" s="6" t="inlineStr">
        <is>
          <t>Demanda doméstica fixa informada pelo usuário.</t>
        </is>
      </c>
    </row>
    <row r="389">
      <c r="A389" s="6" t="inlineStr">
        <is>
          <t>Milho</t>
        </is>
      </c>
      <c r="B389" s="6" t="inlineStr">
        <is>
          <t>Boa Vista - RR</t>
        </is>
      </c>
      <c r="C389" s="6" t="n">
        <v>2.82384</v>
      </c>
      <c r="D389" s="6" t="n">
        <v>-60.6753</v>
      </c>
      <c r="E389" s="6" t="inlineStr">
        <is>
          <t>2022-04</t>
        </is>
      </c>
      <c r="F389" s="6" t="n">
        <v>3018.5819108668</v>
      </c>
      <c r="G389" s="6" t="inlineStr">
        <is>
          <t>DOMESTICA</t>
        </is>
      </c>
      <c r="H389" s="6" t="inlineStr">
        <is>
          <t>FIXO</t>
        </is>
      </c>
      <c r="I389" s="11">
        <f>IF($H389="AUTO_OFERTA_TOTAL_PRODUTO_PERIODO",SUMIFS(Oferta!$F:$F,Oferta!$A:$A,$A389,Oferta!$E:$E,$E389),$F389)</f>
        <v/>
      </c>
      <c r="J389" s="6" t="inlineStr">
        <is>
          <t>Informado</t>
        </is>
      </c>
      <c r="K389" s="6" t="inlineStr">
        <is>
          <t>Demanda doméstica fixa informada pelo usuário.</t>
        </is>
      </c>
    </row>
    <row r="390">
      <c r="A390" s="6" t="inlineStr">
        <is>
          <t>Milho</t>
        </is>
      </c>
      <c r="B390" s="6" t="inlineStr">
        <is>
          <t>Boa Vista - RR</t>
        </is>
      </c>
      <c r="C390" s="6" t="n">
        <v>2.82384</v>
      </c>
      <c r="D390" s="6" t="n">
        <v>-60.6753</v>
      </c>
      <c r="E390" s="6" t="inlineStr">
        <is>
          <t>2022-05</t>
        </is>
      </c>
      <c r="F390" s="6" t="n">
        <v>3018.5819108668</v>
      </c>
      <c r="G390" s="6" t="inlineStr">
        <is>
          <t>DOMESTICA</t>
        </is>
      </c>
      <c r="H390" s="6" t="inlineStr">
        <is>
          <t>FIXO</t>
        </is>
      </c>
      <c r="I390" s="11">
        <f>IF($H390="AUTO_OFERTA_TOTAL_PRODUTO_PERIODO",SUMIFS(Oferta!$F:$F,Oferta!$A:$A,$A390,Oferta!$E:$E,$E390),$F390)</f>
        <v/>
      </c>
      <c r="J390" s="6" t="inlineStr">
        <is>
          <t>Informado</t>
        </is>
      </c>
      <c r="K390" s="6" t="inlineStr">
        <is>
          <t>Demanda doméstica fixa informada pelo usuário.</t>
        </is>
      </c>
    </row>
    <row r="391">
      <c r="A391" s="6" t="inlineStr">
        <is>
          <t>Milho</t>
        </is>
      </c>
      <c r="B391" s="6" t="inlineStr">
        <is>
          <t>Boa Vista - RR</t>
        </is>
      </c>
      <c r="C391" s="6" t="n">
        <v>2.82384</v>
      </c>
      <c r="D391" s="6" t="n">
        <v>-60.6753</v>
      </c>
      <c r="E391" s="6" t="inlineStr">
        <is>
          <t>2022-06</t>
        </is>
      </c>
      <c r="F391" s="6" t="n">
        <v>3018.5819108668</v>
      </c>
      <c r="G391" s="6" t="inlineStr">
        <is>
          <t>DOMESTICA</t>
        </is>
      </c>
      <c r="H391" s="6" t="inlineStr">
        <is>
          <t>FIXO</t>
        </is>
      </c>
      <c r="I391" s="11">
        <f>IF($H391="AUTO_OFERTA_TOTAL_PRODUTO_PERIODO",SUMIFS(Oferta!$F:$F,Oferta!$A:$A,$A391,Oferta!$E:$E,$E391),$F391)</f>
        <v/>
      </c>
      <c r="J391" s="6" t="inlineStr">
        <is>
          <t>Informado</t>
        </is>
      </c>
      <c r="K391" s="6" t="inlineStr">
        <is>
          <t>Demanda doméstica fixa informada pelo usuário.</t>
        </is>
      </c>
    </row>
    <row r="392">
      <c r="A392" s="6" t="inlineStr">
        <is>
          <t>Milho</t>
        </is>
      </c>
      <c r="B392" s="6" t="inlineStr">
        <is>
          <t>Boa Vista - RR</t>
        </is>
      </c>
      <c r="C392" s="6" t="n">
        <v>2.82384</v>
      </c>
      <c r="D392" s="6" t="n">
        <v>-60.6753</v>
      </c>
      <c r="E392" s="6" t="inlineStr">
        <is>
          <t>2022-07</t>
        </is>
      </c>
      <c r="F392" s="6" t="n">
        <v>3018.5819108668</v>
      </c>
      <c r="G392" s="6" t="inlineStr">
        <is>
          <t>DOMESTICA</t>
        </is>
      </c>
      <c r="H392" s="6" t="inlineStr">
        <is>
          <t>FIXO</t>
        </is>
      </c>
      <c r="I392" s="11">
        <f>IF($H392="AUTO_OFERTA_TOTAL_PRODUTO_PERIODO",SUMIFS(Oferta!$F:$F,Oferta!$A:$A,$A392,Oferta!$E:$E,$E392),$F392)</f>
        <v/>
      </c>
      <c r="J392" s="6" t="inlineStr">
        <is>
          <t>Informado</t>
        </is>
      </c>
      <c r="K392" s="6" t="inlineStr">
        <is>
          <t>Demanda doméstica fixa informada pelo usuário.</t>
        </is>
      </c>
    </row>
    <row r="393">
      <c r="A393" s="6" t="inlineStr">
        <is>
          <t>Milho</t>
        </is>
      </c>
      <c r="B393" s="6" t="inlineStr">
        <is>
          <t>Boa Vista - RR</t>
        </is>
      </c>
      <c r="C393" s="6" t="n">
        <v>2.82384</v>
      </c>
      <c r="D393" s="6" t="n">
        <v>-60.6753</v>
      </c>
      <c r="E393" s="6" t="inlineStr">
        <is>
          <t>2022-08</t>
        </is>
      </c>
      <c r="F393" s="6" t="n">
        <v>3018.5819108668</v>
      </c>
      <c r="G393" s="6" t="inlineStr">
        <is>
          <t>DOMESTICA</t>
        </is>
      </c>
      <c r="H393" s="6" t="inlineStr">
        <is>
          <t>FIXO</t>
        </is>
      </c>
      <c r="I393" s="11">
        <f>IF($H393="AUTO_OFERTA_TOTAL_PRODUTO_PERIODO",SUMIFS(Oferta!$F:$F,Oferta!$A:$A,$A393,Oferta!$E:$E,$E393),$F393)</f>
        <v/>
      </c>
      <c r="J393" s="6" t="inlineStr">
        <is>
          <t>Informado</t>
        </is>
      </c>
      <c r="K393" s="6" t="inlineStr">
        <is>
          <t>Demanda doméstica fixa informada pelo usuário.</t>
        </is>
      </c>
    </row>
    <row r="394">
      <c r="A394" s="6" t="inlineStr">
        <is>
          <t>Milho</t>
        </is>
      </c>
      <c r="B394" s="6" t="inlineStr">
        <is>
          <t>Boa Vista - RR</t>
        </is>
      </c>
      <c r="C394" s="6" t="n">
        <v>2.82384</v>
      </c>
      <c r="D394" s="6" t="n">
        <v>-60.6753</v>
      </c>
      <c r="E394" s="6" t="inlineStr">
        <is>
          <t>2022-09</t>
        </is>
      </c>
      <c r="F394" s="6" t="n">
        <v>3929.8519216946</v>
      </c>
      <c r="G394" s="6" t="inlineStr">
        <is>
          <t>DOMESTICA</t>
        </is>
      </c>
      <c r="H394" s="6" t="inlineStr">
        <is>
          <t>FIXO</t>
        </is>
      </c>
      <c r="I394" s="11">
        <f>IF($H394="AUTO_OFERTA_TOTAL_PRODUTO_PERIODO",SUMIFS(Oferta!$F:$F,Oferta!$A:$A,$A394,Oferta!$E:$E,$E394),$F394)</f>
        <v/>
      </c>
      <c r="J394" s="6" t="inlineStr">
        <is>
          <t>Informado</t>
        </is>
      </c>
      <c r="K394" s="6" t="inlineStr">
        <is>
          <t>Demanda doméstica fixa informada pelo usuário.</t>
        </is>
      </c>
    </row>
    <row r="395">
      <c r="A395" s="6" t="inlineStr">
        <is>
          <t>Milho</t>
        </is>
      </c>
      <c r="B395" s="6" t="inlineStr">
        <is>
          <t>Boa Vista - RR</t>
        </is>
      </c>
      <c r="C395" s="6" t="n">
        <v>2.82384</v>
      </c>
      <c r="D395" s="6" t="n">
        <v>-60.6753</v>
      </c>
      <c r="E395" s="6" t="inlineStr">
        <is>
          <t>2022-10</t>
        </is>
      </c>
      <c r="F395" s="6" t="n">
        <v>4841.1219325223</v>
      </c>
      <c r="G395" s="6" t="inlineStr">
        <is>
          <t>DOMESTICA</t>
        </is>
      </c>
      <c r="H395" s="6" t="inlineStr">
        <is>
          <t>FIXO</t>
        </is>
      </c>
      <c r="I395" s="11">
        <f>IF($H395="AUTO_OFERTA_TOTAL_PRODUTO_PERIODO",SUMIFS(Oferta!$F:$F,Oferta!$A:$A,$A395,Oferta!$E:$E,$E395),$F395)</f>
        <v/>
      </c>
      <c r="J395" s="6" t="inlineStr">
        <is>
          <t>Informado</t>
        </is>
      </c>
      <c r="K395" s="6" t="inlineStr">
        <is>
          <t>Demanda doméstica fixa informada pelo usuário.</t>
        </is>
      </c>
    </row>
    <row r="396">
      <c r="A396" s="6" t="inlineStr">
        <is>
          <t>Milho</t>
        </is>
      </c>
      <c r="B396" s="6" t="inlineStr">
        <is>
          <t>Boa Vista - RR</t>
        </is>
      </c>
      <c r="C396" s="6" t="n">
        <v>2.82384</v>
      </c>
      <c r="D396" s="6" t="n">
        <v>-60.6753</v>
      </c>
      <c r="E396" s="6" t="inlineStr">
        <is>
          <t>2022-11</t>
        </is>
      </c>
      <c r="F396" s="6" t="n">
        <v>7574.9319650054</v>
      </c>
      <c r="G396" s="6" t="inlineStr">
        <is>
          <t>DOMESTICA</t>
        </is>
      </c>
      <c r="H396" s="6" t="inlineStr">
        <is>
          <t>FIXO</t>
        </is>
      </c>
      <c r="I396" s="11">
        <f>IF($H396="AUTO_OFERTA_TOTAL_PRODUTO_PERIODO",SUMIFS(Oferta!$F:$F,Oferta!$A:$A,$A396,Oferta!$E:$E,$E396),$F396)</f>
        <v/>
      </c>
      <c r="J396" s="6" t="inlineStr">
        <is>
          <t>Informado</t>
        </is>
      </c>
      <c r="K396" s="6" t="inlineStr">
        <is>
          <t>Demanda doméstica fixa informada pelo usuário.</t>
        </is>
      </c>
    </row>
    <row r="397">
      <c r="A397" s="6" t="inlineStr">
        <is>
          <t>Milho</t>
        </is>
      </c>
      <c r="B397" s="6" t="inlineStr">
        <is>
          <t>Boa Vista - RR</t>
        </is>
      </c>
      <c r="C397" s="6" t="n">
        <v>2.82384</v>
      </c>
      <c r="D397" s="6" t="n">
        <v>-60.6753</v>
      </c>
      <c r="E397" s="6" t="inlineStr">
        <is>
          <t>2022-12</t>
        </is>
      </c>
      <c r="F397" s="6" t="n">
        <v>7574.9319650054</v>
      </c>
      <c r="G397" s="6" t="inlineStr">
        <is>
          <t>DOMESTICA</t>
        </is>
      </c>
      <c r="H397" s="6" t="inlineStr">
        <is>
          <t>FIXO</t>
        </is>
      </c>
      <c r="I397" s="11">
        <f>IF($H397="AUTO_OFERTA_TOTAL_PRODUTO_PERIODO",SUMIFS(Oferta!$F:$F,Oferta!$A:$A,$A397,Oferta!$E:$E,$E397),$F397)</f>
        <v/>
      </c>
      <c r="J397" s="6" t="inlineStr">
        <is>
          <t>Informado</t>
        </is>
      </c>
      <c r="K397" s="6" t="inlineStr">
        <is>
          <t>Demanda doméstica fixa informada pelo usuário.</t>
        </is>
      </c>
    </row>
    <row r="398">
      <c r="A398" s="6" t="inlineStr">
        <is>
          <t>Milho</t>
        </is>
      </c>
      <c r="B398" s="6" t="inlineStr">
        <is>
          <t>Palmas - TO</t>
        </is>
      </c>
      <c r="C398" s="6" t="n">
        <v>-10.24</v>
      </c>
      <c r="D398" s="6" t="n">
        <v>-48.3558</v>
      </c>
      <c r="E398" s="6" t="inlineStr">
        <is>
          <t>2022-01</t>
        </is>
      </c>
      <c r="F398" s="6" t="n">
        <v>20188.6999162533</v>
      </c>
      <c r="G398" s="6" t="inlineStr">
        <is>
          <t>DOMESTICA</t>
        </is>
      </c>
      <c r="H398" s="6" t="inlineStr">
        <is>
          <t>FIXO</t>
        </is>
      </c>
      <c r="I398" s="11">
        <f>IF($H398="AUTO_OFERTA_TOTAL_PRODUTO_PERIODO",SUMIFS(Oferta!$F:$F,Oferta!$A:$A,$A398,Oferta!$E:$E,$E398),$F398)</f>
        <v/>
      </c>
      <c r="J398" s="6" t="inlineStr">
        <is>
          <t>Informado</t>
        </is>
      </c>
      <c r="K398" s="6" t="inlineStr">
        <is>
          <t>Demanda doméstica fixa informada pelo usuário.</t>
        </is>
      </c>
    </row>
    <row r="399">
      <c r="A399" s="6" t="inlineStr">
        <is>
          <t>Milho</t>
        </is>
      </c>
      <c r="B399" s="6" t="inlineStr">
        <is>
          <t>Palmas - TO</t>
        </is>
      </c>
      <c r="C399" s="6" t="n">
        <v>-10.24</v>
      </c>
      <c r="D399" s="6" t="n">
        <v>-48.3558</v>
      </c>
      <c r="E399" s="6" t="inlineStr">
        <is>
          <t>2022-02</t>
        </is>
      </c>
      <c r="F399" s="6" t="n">
        <v>20188.6999162533</v>
      </c>
      <c r="G399" s="6" t="inlineStr">
        <is>
          <t>DOMESTICA</t>
        </is>
      </c>
      <c r="H399" s="6" t="inlineStr">
        <is>
          <t>FIXO</t>
        </is>
      </c>
      <c r="I399" s="11">
        <f>IF($H399="AUTO_OFERTA_TOTAL_PRODUTO_PERIODO",SUMIFS(Oferta!$F:$F,Oferta!$A:$A,$A399,Oferta!$E:$E,$E399),$F399)</f>
        <v/>
      </c>
      <c r="J399" s="6" t="inlineStr">
        <is>
          <t>Informado</t>
        </is>
      </c>
      <c r="K399" s="6" t="inlineStr">
        <is>
          <t>Demanda doméstica fixa informada pelo usuário.</t>
        </is>
      </c>
    </row>
    <row r="400">
      <c r="A400" s="6" t="inlineStr">
        <is>
          <t>Milho</t>
        </is>
      </c>
      <c r="B400" s="6" t="inlineStr">
        <is>
          <t>Palmas - TO</t>
        </is>
      </c>
      <c r="C400" s="6" t="n">
        <v>-10.24</v>
      </c>
      <c r="D400" s="6" t="n">
        <v>-48.3558</v>
      </c>
      <c r="E400" s="6" t="inlineStr">
        <is>
          <t>2022-03</t>
        </is>
      </c>
      <c r="F400" s="6" t="n">
        <v>23236.0508470085</v>
      </c>
      <c r="G400" s="6" t="inlineStr">
        <is>
          <t>DOMESTICA</t>
        </is>
      </c>
      <c r="H400" s="6" t="inlineStr">
        <is>
          <t>FIXO</t>
        </is>
      </c>
      <c r="I400" s="11">
        <f>IF($H400="AUTO_OFERTA_TOTAL_PRODUTO_PERIODO",SUMIFS(Oferta!$F:$F,Oferta!$A:$A,$A400,Oferta!$E:$E,$E400),$F400)</f>
        <v/>
      </c>
      <c r="J400" s="6" t="inlineStr">
        <is>
          <t>Informado</t>
        </is>
      </c>
      <c r="K400" s="6" t="inlineStr">
        <is>
          <t>Demanda doméstica fixa informada pelo usuário.</t>
        </is>
      </c>
    </row>
    <row r="401">
      <c r="A401" s="6" t="inlineStr">
        <is>
          <t>Milho</t>
        </is>
      </c>
      <c r="B401" s="6" t="inlineStr">
        <is>
          <t>Palmas - TO</t>
        </is>
      </c>
      <c r="C401" s="6" t="n">
        <v>-10.24</v>
      </c>
      <c r="D401" s="6" t="n">
        <v>-48.3558</v>
      </c>
      <c r="E401" s="6" t="inlineStr">
        <is>
          <t>2022-04</t>
        </is>
      </c>
      <c r="F401" s="6" t="n">
        <v>29330.7527085189</v>
      </c>
      <c r="G401" s="6" t="inlineStr">
        <is>
          <t>DOMESTICA</t>
        </is>
      </c>
      <c r="H401" s="6" t="inlineStr">
        <is>
          <t>FIXO</t>
        </is>
      </c>
      <c r="I401" s="11">
        <f>IF($H401="AUTO_OFERTA_TOTAL_PRODUTO_PERIODO",SUMIFS(Oferta!$F:$F,Oferta!$A:$A,$A401,Oferta!$E:$E,$E401),$F401)</f>
        <v/>
      </c>
      <c r="J401" s="6" t="inlineStr">
        <is>
          <t>Informado</t>
        </is>
      </c>
      <c r="K401" s="6" t="inlineStr">
        <is>
          <t>Demanda doméstica fixa informada pelo usuário.</t>
        </is>
      </c>
    </row>
    <row r="402">
      <c r="A402" s="6" t="inlineStr">
        <is>
          <t>Milho</t>
        </is>
      </c>
      <c r="B402" s="6" t="inlineStr">
        <is>
          <t>Palmas - TO</t>
        </is>
      </c>
      <c r="C402" s="6" t="n">
        <v>-10.24</v>
      </c>
      <c r="D402" s="6" t="n">
        <v>-48.3558</v>
      </c>
      <c r="E402" s="6" t="inlineStr">
        <is>
          <t>2022-05</t>
        </is>
      </c>
      <c r="F402" s="6" t="n">
        <v>41520.1564315397</v>
      </c>
      <c r="G402" s="6" t="inlineStr">
        <is>
          <t>DOMESTICA</t>
        </is>
      </c>
      <c r="H402" s="6" t="inlineStr">
        <is>
          <t>FIXO</t>
        </is>
      </c>
      <c r="I402" s="11">
        <f>IF($H402="AUTO_OFERTA_TOTAL_PRODUTO_PERIODO",SUMIFS(Oferta!$F:$F,Oferta!$A:$A,$A402,Oferta!$E:$E,$E402),$F402)</f>
        <v/>
      </c>
      <c r="J402" s="6" t="inlineStr">
        <is>
          <t>Informado</t>
        </is>
      </c>
      <c r="K402" s="6" t="inlineStr">
        <is>
          <t>Demanda doméstica fixa informada pelo usuário.</t>
        </is>
      </c>
    </row>
    <row r="403">
      <c r="A403" s="6" t="inlineStr">
        <is>
          <t>Milho</t>
        </is>
      </c>
      <c r="B403" s="6" t="inlineStr">
        <is>
          <t>Palmas - TO</t>
        </is>
      </c>
      <c r="C403" s="6" t="n">
        <v>-10.24</v>
      </c>
      <c r="D403" s="6" t="n">
        <v>-48.3558</v>
      </c>
      <c r="E403" s="6" t="inlineStr">
        <is>
          <t>2022-06</t>
        </is>
      </c>
      <c r="F403" s="6" t="n">
        <v>56756.9110853158</v>
      </c>
      <c r="G403" s="6" t="inlineStr">
        <is>
          <t>DOMESTICA</t>
        </is>
      </c>
      <c r="H403" s="6" t="inlineStr">
        <is>
          <t>FIXO</t>
        </is>
      </c>
      <c r="I403" s="11">
        <f>IF($H403="AUTO_OFERTA_TOTAL_PRODUTO_PERIODO",SUMIFS(Oferta!$F:$F,Oferta!$A:$A,$A403,Oferta!$E:$E,$E403),$F403)</f>
        <v/>
      </c>
      <c r="J403" s="6" t="inlineStr">
        <is>
          <t>Informado</t>
        </is>
      </c>
      <c r="K403" s="6" t="inlineStr">
        <is>
          <t>Demanda doméstica fixa informada pelo usuário.</t>
        </is>
      </c>
    </row>
    <row r="404">
      <c r="A404" s="6" t="inlineStr">
        <is>
          <t>Milho</t>
        </is>
      </c>
      <c r="B404" s="6" t="inlineStr">
        <is>
          <t>Palmas - TO</t>
        </is>
      </c>
      <c r="C404" s="6" t="n">
        <v>-10.24</v>
      </c>
      <c r="D404" s="6" t="n">
        <v>-48.3558</v>
      </c>
      <c r="E404" s="6" t="inlineStr">
        <is>
          <t>2022-07</t>
        </is>
      </c>
      <c r="F404" s="6" t="n">
        <v>62851.6129468262</v>
      </c>
      <c r="G404" s="6" t="inlineStr">
        <is>
          <t>DOMESTICA</t>
        </is>
      </c>
      <c r="H404" s="6" t="inlineStr">
        <is>
          <t>FIXO</t>
        </is>
      </c>
      <c r="I404" s="11">
        <f>IF($H404="AUTO_OFERTA_TOTAL_PRODUTO_PERIODO",SUMIFS(Oferta!$F:$F,Oferta!$A:$A,$A404,Oferta!$E:$E,$E404),$F404)</f>
        <v/>
      </c>
      <c r="J404" s="6" t="inlineStr">
        <is>
          <t>Informado</t>
        </is>
      </c>
      <c r="K404" s="6" t="inlineStr">
        <is>
          <t>Demanda doméstica fixa informada pelo usuário.</t>
        </is>
      </c>
    </row>
    <row r="405">
      <c r="A405" s="6" t="inlineStr">
        <is>
          <t>Milho</t>
        </is>
      </c>
      <c r="B405" s="6" t="inlineStr">
        <is>
          <t>Palmas - TO</t>
        </is>
      </c>
      <c r="C405" s="6" t="n">
        <v>-10.24</v>
      </c>
      <c r="D405" s="6" t="n">
        <v>-48.3558</v>
      </c>
      <c r="E405" s="6" t="inlineStr">
        <is>
          <t>2022-08</t>
        </is>
      </c>
      <c r="F405" s="6" t="n">
        <v>68946.3148083367</v>
      </c>
      <c r="G405" s="6" t="inlineStr">
        <is>
          <t>DOMESTICA</t>
        </is>
      </c>
      <c r="H405" s="6" t="inlineStr">
        <is>
          <t>FIXO</t>
        </is>
      </c>
      <c r="I405" s="11">
        <f>IF($H405="AUTO_OFERTA_TOTAL_PRODUTO_PERIODO",SUMIFS(Oferta!$F:$F,Oferta!$A:$A,$A405,Oferta!$E:$E,$E405),$F405)</f>
        <v/>
      </c>
      <c r="J405" s="6" t="inlineStr">
        <is>
          <t>Informado</t>
        </is>
      </c>
      <c r="K405" s="6" t="inlineStr">
        <is>
          <t>Demanda doméstica fixa informada pelo usuário.</t>
        </is>
      </c>
    </row>
    <row r="406">
      <c r="A406" s="6" t="inlineStr">
        <is>
          <t>Milho</t>
        </is>
      </c>
      <c r="B406" s="6" t="inlineStr">
        <is>
          <t>Palmas - TO</t>
        </is>
      </c>
      <c r="C406" s="6" t="n">
        <v>-10.24</v>
      </c>
      <c r="D406" s="6" t="n">
        <v>-48.3558</v>
      </c>
      <c r="E406" s="6" t="inlineStr">
        <is>
          <t>2022-09</t>
        </is>
      </c>
      <c r="F406" s="6" t="n">
        <v>56756.9110853158</v>
      </c>
      <c r="G406" s="6" t="inlineStr">
        <is>
          <t>DOMESTICA</t>
        </is>
      </c>
      <c r="H406" s="6" t="inlineStr">
        <is>
          <t>FIXO</t>
        </is>
      </c>
      <c r="I406" s="11">
        <f>IF($H406="AUTO_OFERTA_TOTAL_PRODUTO_PERIODO",SUMIFS(Oferta!$F:$F,Oferta!$A:$A,$A406,Oferta!$E:$E,$E406),$F406)</f>
        <v/>
      </c>
      <c r="J406" s="6" t="inlineStr">
        <is>
          <t>Informado</t>
        </is>
      </c>
      <c r="K406" s="6" t="inlineStr">
        <is>
          <t>Demanda doméstica fixa informada pelo usuário.</t>
        </is>
      </c>
    </row>
    <row r="407">
      <c r="A407" s="6" t="inlineStr">
        <is>
          <t>Milho</t>
        </is>
      </c>
      <c r="B407" s="6" t="inlineStr">
        <is>
          <t>Palmas - TO</t>
        </is>
      </c>
      <c r="C407" s="6" t="n">
        <v>-10.24</v>
      </c>
      <c r="D407" s="6" t="n">
        <v>-48.3558</v>
      </c>
      <c r="E407" s="6" t="inlineStr">
        <is>
          <t>2022-10</t>
        </is>
      </c>
      <c r="F407" s="6" t="n">
        <v>50662.2092238054</v>
      </c>
      <c r="G407" s="6" t="inlineStr">
        <is>
          <t>DOMESTICA</t>
        </is>
      </c>
      <c r="H407" s="6" t="inlineStr">
        <is>
          <t>FIXO</t>
        </is>
      </c>
      <c r="I407" s="11">
        <f>IF($H407="AUTO_OFERTA_TOTAL_PRODUTO_PERIODO",SUMIFS(Oferta!$F:$F,Oferta!$A:$A,$A407,Oferta!$E:$E,$E407),$F407)</f>
        <v/>
      </c>
      <c r="J407" s="6" t="inlineStr">
        <is>
          <t>Informado</t>
        </is>
      </c>
      <c r="K407" s="6" t="inlineStr">
        <is>
          <t>Demanda doméstica fixa informada pelo usuário.</t>
        </is>
      </c>
    </row>
    <row r="408">
      <c r="A408" s="6" t="inlineStr">
        <is>
          <t>Milho</t>
        </is>
      </c>
      <c r="B408" s="6" t="inlineStr">
        <is>
          <t>Palmas - TO</t>
        </is>
      </c>
      <c r="C408" s="6" t="n">
        <v>-10.24</v>
      </c>
      <c r="D408" s="6" t="n">
        <v>-48.3558</v>
      </c>
      <c r="E408" s="6" t="inlineStr">
        <is>
          <t>2022-11</t>
        </is>
      </c>
      <c r="F408" s="6" t="n">
        <v>32378.1036392741</v>
      </c>
      <c r="G408" s="6" t="inlineStr">
        <is>
          <t>DOMESTICA</t>
        </is>
      </c>
      <c r="H408" s="6" t="inlineStr">
        <is>
          <t>FIXO</t>
        </is>
      </c>
      <c r="I408" s="11">
        <f>IF($H408="AUTO_OFERTA_TOTAL_PRODUTO_PERIODO",SUMIFS(Oferta!$F:$F,Oferta!$A:$A,$A408,Oferta!$E:$E,$E408),$F408)</f>
        <v/>
      </c>
      <c r="J408" s="6" t="inlineStr">
        <is>
          <t>Informado</t>
        </is>
      </c>
      <c r="K408" s="6" t="inlineStr">
        <is>
          <t>Demanda doméstica fixa informada pelo usuário.</t>
        </is>
      </c>
    </row>
    <row r="409">
      <c r="A409" s="6" t="inlineStr">
        <is>
          <t>Milho</t>
        </is>
      </c>
      <c r="B409" s="6" t="inlineStr">
        <is>
          <t>Palmas - TO</t>
        </is>
      </c>
      <c r="C409" s="6" t="n">
        <v>-10.24</v>
      </c>
      <c r="D409" s="6" t="n">
        <v>-48.3558</v>
      </c>
      <c r="E409" s="6" t="inlineStr">
        <is>
          <t>2022-12</t>
        </is>
      </c>
      <c r="F409" s="6" t="n">
        <v>26283.4017777637</v>
      </c>
      <c r="G409" s="6" t="inlineStr">
        <is>
          <t>DOMESTICA</t>
        </is>
      </c>
      <c r="H409" s="6" t="inlineStr">
        <is>
          <t>FIXO</t>
        </is>
      </c>
      <c r="I409" s="11">
        <f>IF($H409="AUTO_OFERTA_TOTAL_PRODUTO_PERIODO",SUMIFS(Oferta!$F:$F,Oferta!$A:$A,$A409,Oferta!$E:$E,$E409),$F409)</f>
        <v/>
      </c>
      <c r="J409" s="6" t="inlineStr">
        <is>
          <t>Informado</t>
        </is>
      </c>
      <c r="K409" s="6" t="inlineStr">
        <is>
          <t>Demanda doméstica fixa informada pelo usuário.</t>
        </is>
      </c>
    </row>
    <row r="410">
      <c r="A410" s="6" t="inlineStr">
        <is>
          <t>Milho</t>
        </is>
      </c>
      <c r="B410" s="6" t="inlineStr">
        <is>
          <t>Maceió - AL</t>
        </is>
      </c>
      <c r="C410" s="6" t="n">
        <v>-9.665990000000001</v>
      </c>
      <c r="D410" s="6" t="n">
        <v>-35.735</v>
      </c>
      <c r="E410" s="6" t="inlineStr">
        <is>
          <t>2022-01</t>
        </is>
      </c>
      <c r="F410" s="6" t="n">
        <v>74038.0445803623</v>
      </c>
      <c r="G410" s="6" t="inlineStr">
        <is>
          <t>DOMESTICA</t>
        </is>
      </c>
      <c r="H410" s="6" t="inlineStr">
        <is>
          <t>FIXO</t>
        </is>
      </c>
      <c r="I410" s="11">
        <f>IF($H410="AUTO_OFERTA_TOTAL_PRODUTO_PERIODO",SUMIFS(Oferta!$F:$F,Oferta!$A:$A,$A410,Oferta!$E:$E,$E410),$F410)</f>
        <v/>
      </c>
      <c r="J410" s="6" t="inlineStr">
        <is>
          <t>Informado</t>
        </is>
      </c>
      <c r="K410" s="6" t="inlineStr">
        <is>
          <t>Demanda doméstica fixa informada pelo usuário.</t>
        </is>
      </c>
    </row>
    <row r="411">
      <c r="A411" s="6" t="inlineStr">
        <is>
          <t>Milho</t>
        </is>
      </c>
      <c r="B411" s="6" t="inlineStr">
        <is>
          <t>Maceió - AL</t>
        </is>
      </c>
      <c r="C411" s="6" t="n">
        <v>-9.665990000000001</v>
      </c>
      <c r="D411" s="6" t="n">
        <v>-35.735</v>
      </c>
      <c r="E411" s="6" t="inlineStr">
        <is>
          <t>2022-02</t>
        </is>
      </c>
      <c r="F411" s="6" t="n">
        <v>45607.4354615031</v>
      </c>
      <c r="G411" s="6" t="inlineStr">
        <is>
          <t>DOMESTICA</t>
        </is>
      </c>
      <c r="H411" s="6" t="inlineStr">
        <is>
          <t>FIXO</t>
        </is>
      </c>
      <c r="I411" s="11">
        <f>IF($H411="AUTO_OFERTA_TOTAL_PRODUTO_PERIODO",SUMIFS(Oferta!$F:$F,Oferta!$A:$A,$A411,Oferta!$E:$E,$E411),$F411)</f>
        <v/>
      </c>
      <c r="J411" s="6" t="inlineStr">
        <is>
          <t>Informado</t>
        </is>
      </c>
      <c r="K411" s="6" t="inlineStr">
        <is>
          <t>Demanda doméstica fixa informada pelo usuário.</t>
        </is>
      </c>
    </row>
    <row r="412">
      <c r="A412" s="6" t="inlineStr">
        <is>
          <t>Milho</t>
        </is>
      </c>
      <c r="B412" s="6" t="inlineStr">
        <is>
          <t>Maceió - AL</t>
        </is>
      </c>
      <c r="C412" s="6" t="n">
        <v>-9.665990000000001</v>
      </c>
      <c r="D412" s="6" t="n">
        <v>-35.735</v>
      </c>
      <c r="E412" s="6" t="inlineStr">
        <is>
          <t>2022-03</t>
        </is>
      </c>
      <c r="F412" s="6" t="n">
        <v>36130.5657552168</v>
      </c>
      <c r="G412" s="6" t="inlineStr">
        <is>
          <t>DOMESTICA</t>
        </is>
      </c>
      <c r="H412" s="6" t="inlineStr">
        <is>
          <t>FIXO</t>
        </is>
      </c>
      <c r="I412" s="11">
        <f>IF($H412="AUTO_OFERTA_TOTAL_PRODUTO_PERIODO",SUMIFS(Oferta!$F:$F,Oferta!$A:$A,$A412,Oferta!$E:$E,$E412),$F412)</f>
        <v/>
      </c>
      <c r="J412" s="6" t="inlineStr">
        <is>
          <t>Informado</t>
        </is>
      </c>
      <c r="K412" s="6" t="inlineStr">
        <is>
          <t>Demanda doméstica fixa informada pelo usuário.</t>
        </is>
      </c>
    </row>
    <row r="413">
      <c r="A413" s="6" t="inlineStr">
        <is>
          <t>Milho</t>
        </is>
      </c>
      <c r="B413" s="6" t="inlineStr">
        <is>
          <t>Maceió - AL</t>
        </is>
      </c>
      <c r="C413" s="6" t="n">
        <v>-9.665990000000001</v>
      </c>
      <c r="D413" s="6" t="n">
        <v>-35.735</v>
      </c>
      <c r="E413" s="6" t="inlineStr">
        <is>
          <t>2022-04</t>
        </is>
      </c>
      <c r="F413" s="6" t="n">
        <v>31392.1309020736</v>
      </c>
      <c r="G413" s="6" t="inlineStr">
        <is>
          <t>DOMESTICA</t>
        </is>
      </c>
      <c r="H413" s="6" t="inlineStr">
        <is>
          <t>FIXO</t>
        </is>
      </c>
      <c r="I413" s="11">
        <f>IF($H413="AUTO_OFERTA_TOTAL_PRODUTO_PERIODO",SUMIFS(Oferta!$F:$F,Oferta!$A:$A,$A413,Oferta!$E:$E,$E413),$F413)</f>
        <v/>
      </c>
      <c r="J413" s="6" t="inlineStr">
        <is>
          <t>Informado</t>
        </is>
      </c>
      <c r="K413" s="6" t="inlineStr">
        <is>
          <t>Demanda doméstica fixa informada pelo usuário.</t>
        </is>
      </c>
    </row>
    <row r="414">
      <c r="A414" s="6" t="inlineStr">
        <is>
          <t>Milho</t>
        </is>
      </c>
      <c r="B414" s="6" t="inlineStr">
        <is>
          <t>Maceió - AL</t>
        </is>
      </c>
      <c r="C414" s="6" t="n">
        <v>-9.665990000000001</v>
      </c>
      <c r="D414" s="6" t="n">
        <v>-35.735</v>
      </c>
      <c r="E414" s="6" t="inlineStr">
        <is>
          <t>2022-05</t>
        </is>
      </c>
      <c r="F414" s="6" t="n">
        <v>31392.1309020736</v>
      </c>
      <c r="G414" s="6" t="inlineStr">
        <is>
          <t>DOMESTICA</t>
        </is>
      </c>
      <c r="H414" s="6" t="inlineStr">
        <is>
          <t>FIXO</t>
        </is>
      </c>
      <c r="I414" s="11">
        <f>IF($H414="AUTO_OFERTA_TOTAL_PRODUTO_PERIODO",SUMIFS(Oferta!$F:$F,Oferta!$A:$A,$A414,Oferta!$E:$E,$E414),$F414)</f>
        <v/>
      </c>
      <c r="J414" s="6" t="inlineStr">
        <is>
          <t>Informado</t>
        </is>
      </c>
      <c r="K414" s="6" t="inlineStr">
        <is>
          <t>Demanda doméstica fixa informada pelo usuário.</t>
        </is>
      </c>
    </row>
    <row r="415">
      <c r="A415" s="6" t="inlineStr">
        <is>
          <t>Milho</t>
        </is>
      </c>
      <c r="B415" s="6" t="inlineStr">
        <is>
          <t>Maceió - AL</t>
        </is>
      </c>
      <c r="C415" s="6" t="n">
        <v>-9.665990000000001</v>
      </c>
      <c r="D415" s="6" t="n">
        <v>-35.735</v>
      </c>
      <c r="E415" s="6" t="inlineStr">
        <is>
          <t>2022-06</t>
        </is>
      </c>
      <c r="F415" s="6" t="n">
        <v>31392.1309020736</v>
      </c>
      <c r="G415" s="6" t="inlineStr">
        <is>
          <t>DOMESTICA</t>
        </is>
      </c>
      <c r="H415" s="6" t="inlineStr">
        <is>
          <t>FIXO</t>
        </is>
      </c>
      <c r="I415" s="11">
        <f>IF($H415="AUTO_OFERTA_TOTAL_PRODUTO_PERIODO",SUMIFS(Oferta!$F:$F,Oferta!$A:$A,$A415,Oferta!$E:$E,$E415),$F415)</f>
        <v/>
      </c>
      <c r="J415" s="6" t="inlineStr">
        <is>
          <t>Informado</t>
        </is>
      </c>
      <c r="K415" s="6" t="inlineStr">
        <is>
          <t>Demanda doméstica fixa informada pelo usuário.</t>
        </is>
      </c>
    </row>
    <row r="416">
      <c r="A416" s="6" t="inlineStr">
        <is>
          <t>Milho</t>
        </is>
      </c>
      <c r="B416" s="6" t="inlineStr">
        <is>
          <t>Maceió - AL</t>
        </is>
      </c>
      <c r="C416" s="6" t="n">
        <v>-9.665990000000001</v>
      </c>
      <c r="D416" s="6" t="n">
        <v>-35.735</v>
      </c>
      <c r="E416" s="6" t="inlineStr">
        <is>
          <t>2022-07</t>
        </is>
      </c>
      <c r="F416" s="6" t="n">
        <v>31392.1309020736</v>
      </c>
      <c r="G416" s="6" t="inlineStr">
        <is>
          <t>DOMESTICA</t>
        </is>
      </c>
      <c r="H416" s="6" t="inlineStr">
        <is>
          <t>FIXO</t>
        </is>
      </c>
      <c r="I416" s="11">
        <f>IF($H416="AUTO_OFERTA_TOTAL_PRODUTO_PERIODO",SUMIFS(Oferta!$F:$F,Oferta!$A:$A,$A416,Oferta!$E:$E,$E416),$F416)</f>
        <v/>
      </c>
      <c r="J416" s="6" t="inlineStr">
        <is>
          <t>Informado</t>
        </is>
      </c>
      <c r="K416" s="6" t="inlineStr">
        <is>
          <t>Demanda doméstica fixa informada pelo usuário.</t>
        </is>
      </c>
    </row>
    <row r="417">
      <c r="A417" s="6" t="inlineStr">
        <is>
          <t>Milho</t>
        </is>
      </c>
      <c r="B417" s="6" t="inlineStr">
        <is>
          <t>Maceió - AL</t>
        </is>
      </c>
      <c r="C417" s="6" t="n">
        <v>-9.665990000000001</v>
      </c>
      <c r="D417" s="6" t="n">
        <v>-35.735</v>
      </c>
      <c r="E417" s="6" t="inlineStr">
        <is>
          <t>2022-08</t>
        </is>
      </c>
      <c r="F417" s="6" t="n">
        <v>31392.1309020736</v>
      </c>
      <c r="G417" s="6" t="inlineStr">
        <is>
          <t>DOMESTICA</t>
        </is>
      </c>
      <c r="H417" s="6" t="inlineStr">
        <is>
          <t>FIXO</t>
        </is>
      </c>
      <c r="I417" s="11">
        <f>IF($H417="AUTO_OFERTA_TOTAL_PRODUTO_PERIODO",SUMIFS(Oferta!$F:$F,Oferta!$A:$A,$A417,Oferta!$E:$E,$E417),$F417)</f>
        <v/>
      </c>
      <c r="J417" s="6" t="inlineStr">
        <is>
          <t>Informado</t>
        </is>
      </c>
      <c r="K417" s="6" t="inlineStr">
        <is>
          <t>Demanda doméstica fixa informada pelo usuário.</t>
        </is>
      </c>
    </row>
    <row r="418">
      <c r="A418" s="6" t="inlineStr">
        <is>
          <t>Milho</t>
        </is>
      </c>
      <c r="B418" s="6" t="inlineStr">
        <is>
          <t>Maceió - AL</t>
        </is>
      </c>
      <c r="C418" s="6" t="n">
        <v>-9.665990000000001</v>
      </c>
      <c r="D418" s="6" t="n">
        <v>-35.735</v>
      </c>
      <c r="E418" s="6" t="inlineStr">
        <is>
          <t>2022-09</t>
        </is>
      </c>
      <c r="F418" s="6" t="n">
        <v>40869.00060836</v>
      </c>
      <c r="G418" s="6" t="inlineStr">
        <is>
          <t>DOMESTICA</t>
        </is>
      </c>
      <c r="H418" s="6" t="inlineStr">
        <is>
          <t>FIXO</t>
        </is>
      </c>
      <c r="I418" s="11">
        <f>IF($H418="AUTO_OFERTA_TOTAL_PRODUTO_PERIODO",SUMIFS(Oferta!$F:$F,Oferta!$A:$A,$A418,Oferta!$E:$E,$E418),$F418)</f>
        <v/>
      </c>
      <c r="J418" s="6" t="inlineStr">
        <is>
          <t>Informado</t>
        </is>
      </c>
      <c r="K418" s="6" t="inlineStr">
        <is>
          <t>Demanda doméstica fixa informada pelo usuário.</t>
        </is>
      </c>
    </row>
    <row r="419">
      <c r="A419" s="6" t="inlineStr">
        <is>
          <t>Milho</t>
        </is>
      </c>
      <c r="B419" s="6" t="inlineStr">
        <is>
          <t>Maceió - AL</t>
        </is>
      </c>
      <c r="C419" s="6" t="n">
        <v>-9.665990000000001</v>
      </c>
      <c r="D419" s="6" t="n">
        <v>-35.735</v>
      </c>
      <c r="E419" s="6" t="inlineStr">
        <is>
          <t>2022-10</t>
        </is>
      </c>
      <c r="F419" s="6" t="n">
        <v>50345.8703146463</v>
      </c>
      <c r="G419" s="6" t="inlineStr">
        <is>
          <t>DOMESTICA</t>
        </is>
      </c>
      <c r="H419" s="6" t="inlineStr">
        <is>
          <t>FIXO</t>
        </is>
      </c>
      <c r="I419" s="11">
        <f>IF($H419="AUTO_OFERTA_TOTAL_PRODUTO_PERIODO",SUMIFS(Oferta!$F:$F,Oferta!$A:$A,$A419,Oferta!$E:$E,$E419),$F419)</f>
        <v/>
      </c>
      <c r="J419" s="6" t="inlineStr">
        <is>
          <t>Informado</t>
        </is>
      </c>
      <c r="K419" s="6" t="inlineStr">
        <is>
          <t>Demanda doméstica fixa informada pelo usuário.</t>
        </is>
      </c>
    </row>
    <row r="420">
      <c r="A420" s="6" t="inlineStr">
        <is>
          <t>Milho</t>
        </is>
      </c>
      <c r="B420" s="6" t="inlineStr">
        <is>
          <t>Maceió - AL</t>
        </is>
      </c>
      <c r="C420" s="6" t="n">
        <v>-9.665990000000001</v>
      </c>
      <c r="D420" s="6" t="n">
        <v>-35.735</v>
      </c>
      <c r="E420" s="6" t="inlineStr">
        <is>
          <t>2022-11</t>
        </is>
      </c>
      <c r="F420" s="6" t="n">
        <v>78776.4794335054</v>
      </c>
      <c r="G420" s="6" t="inlineStr">
        <is>
          <t>DOMESTICA</t>
        </is>
      </c>
      <c r="H420" s="6" t="inlineStr">
        <is>
          <t>FIXO</t>
        </is>
      </c>
      <c r="I420" s="11">
        <f>IF($H420="AUTO_OFERTA_TOTAL_PRODUTO_PERIODO",SUMIFS(Oferta!$F:$F,Oferta!$A:$A,$A420,Oferta!$E:$E,$E420),$F420)</f>
        <v/>
      </c>
      <c r="J420" s="6" t="inlineStr">
        <is>
          <t>Informado</t>
        </is>
      </c>
      <c r="K420" s="6" t="inlineStr">
        <is>
          <t>Demanda doméstica fixa informada pelo usuário.</t>
        </is>
      </c>
    </row>
    <row r="421">
      <c r="A421" s="6" t="inlineStr">
        <is>
          <t>Milho</t>
        </is>
      </c>
      <c r="B421" s="6" t="inlineStr">
        <is>
          <t>Maceió - AL</t>
        </is>
      </c>
      <c r="C421" s="6" t="n">
        <v>-9.665990000000001</v>
      </c>
      <c r="D421" s="6" t="n">
        <v>-35.735</v>
      </c>
      <c r="E421" s="6" t="inlineStr">
        <is>
          <t>2022-12</t>
        </is>
      </c>
      <c r="F421" s="6" t="n">
        <v>78776.4794335054</v>
      </c>
      <c r="G421" s="6" t="inlineStr">
        <is>
          <t>DOMESTICA</t>
        </is>
      </c>
      <c r="H421" s="6" t="inlineStr">
        <is>
          <t>FIXO</t>
        </is>
      </c>
      <c r="I421" s="11">
        <f>IF($H421="AUTO_OFERTA_TOTAL_PRODUTO_PERIODO",SUMIFS(Oferta!$F:$F,Oferta!$A:$A,$A421,Oferta!$E:$E,$E421),$F421)</f>
        <v/>
      </c>
      <c r="J421" s="6" t="inlineStr">
        <is>
          <t>Informado</t>
        </is>
      </c>
      <c r="K421" s="6" t="inlineStr">
        <is>
          <t>Demanda doméstica fixa informada pelo usuário.</t>
        </is>
      </c>
    </row>
    <row r="422">
      <c r="A422" s="6" t="inlineStr">
        <is>
          <t>Milho</t>
        </is>
      </c>
      <c r="B422" s="6" t="inlineStr">
        <is>
          <t>Salvador - BA</t>
        </is>
      </c>
      <c r="C422" s="6" t="n">
        <v>-12.9718</v>
      </c>
      <c r="D422" s="6" t="n">
        <v>-38.5011</v>
      </c>
      <c r="E422" s="6" t="inlineStr">
        <is>
          <t>2022-01</t>
        </is>
      </c>
      <c r="F422" s="6" t="n">
        <v>316645.1932290877</v>
      </c>
      <c r="G422" s="6" t="inlineStr">
        <is>
          <t>DOMESTICA</t>
        </is>
      </c>
      <c r="H422" s="6" t="inlineStr">
        <is>
          <t>FIXO</t>
        </is>
      </c>
      <c r="I422" s="11">
        <f>IF($H422="AUTO_OFERTA_TOTAL_PRODUTO_PERIODO",SUMIFS(Oferta!$F:$F,Oferta!$A:$A,$A422,Oferta!$E:$E,$E422),$F422)</f>
        <v/>
      </c>
      <c r="J422" s="6" t="inlineStr">
        <is>
          <t>Informado</t>
        </is>
      </c>
      <c r="K422" s="6" t="inlineStr">
        <is>
          <t>Demanda doméstica fixa informada pelo usuário.</t>
        </is>
      </c>
    </row>
    <row r="423">
      <c r="A423" s="6" t="inlineStr">
        <is>
          <t>Milho</t>
        </is>
      </c>
      <c r="B423" s="6" t="inlineStr">
        <is>
          <t>Salvador - BA</t>
        </is>
      </c>
      <c r="C423" s="6" t="n">
        <v>-12.9718</v>
      </c>
      <c r="D423" s="6" t="n">
        <v>-38.5011</v>
      </c>
      <c r="E423" s="6" t="inlineStr">
        <is>
          <t>2022-02</t>
        </is>
      </c>
      <c r="F423" s="6" t="n">
        <v>186739.4729299748</v>
      </c>
      <c r="G423" s="6" t="inlineStr">
        <is>
          <t>DOMESTICA</t>
        </is>
      </c>
      <c r="H423" s="6" t="inlineStr">
        <is>
          <t>FIXO</t>
        </is>
      </c>
      <c r="I423" s="11">
        <f>IF($H423="AUTO_OFERTA_TOTAL_PRODUTO_PERIODO",SUMIFS(Oferta!$F:$F,Oferta!$A:$A,$A423,Oferta!$E:$E,$E423),$F423)</f>
        <v/>
      </c>
      <c r="J423" s="6" t="inlineStr">
        <is>
          <t>Informado</t>
        </is>
      </c>
      <c r="K423" s="6" t="inlineStr">
        <is>
          <t>Demanda doméstica fixa informada pelo usuário.</t>
        </is>
      </c>
    </row>
    <row r="424">
      <c r="A424" s="6" t="inlineStr">
        <is>
          <t>Milho</t>
        </is>
      </c>
      <c r="B424" s="6" t="inlineStr">
        <is>
          <t>Salvador - BA</t>
        </is>
      </c>
      <c r="C424" s="6" t="n">
        <v>-12.9718</v>
      </c>
      <c r="D424" s="6" t="n">
        <v>-38.5011</v>
      </c>
      <c r="E424" s="6" t="inlineStr">
        <is>
          <t>2022-03</t>
        </is>
      </c>
      <c r="F424" s="6" t="n">
        <v>165088.5195467893</v>
      </c>
      <c r="G424" s="6" t="inlineStr">
        <is>
          <t>DOMESTICA</t>
        </is>
      </c>
      <c r="H424" s="6" t="inlineStr">
        <is>
          <t>FIXO</t>
        </is>
      </c>
      <c r="I424" s="11">
        <f>IF($H424="AUTO_OFERTA_TOTAL_PRODUTO_PERIODO",SUMIFS(Oferta!$F:$F,Oferta!$A:$A,$A424,Oferta!$E:$E,$E424),$F424)</f>
        <v/>
      </c>
      <c r="J424" s="6" t="inlineStr">
        <is>
          <t>Informado</t>
        </is>
      </c>
      <c r="K424" s="6" t="inlineStr">
        <is>
          <t>Demanda doméstica fixa informada pelo usuário.</t>
        </is>
      </c>
    </row>
    <row r="425">
      <c r="A425" s="6" t="inlineStr">
        <is>
          <t>Milho</t>
        </is>
      </c>
      <c r="B425" s="6" t="inlineStr">
        <is>
          <t>Salvador - BA</t>
        </is>
      </c>
      <c r="C425" s="6" t="n">
        <v>-12.9718</v>
      </c>
      <c r="D425" s="6" t="n">
        <v>-38.5011</v>
      </c>
      <c r="E425" s="6" t="inlineStr">
        <is>
          <t>2022-04</t>
        </is>
      </c>
      <c r="F425" s="6" t="n">
        <v>208390.4263131604</v>
      </c>
      <c r="G425" s="6" t="inlineStr">
        <is>
          <t>DOMESTICA</t>
        </is>
      </c>
      <c r="H425" s="6" t="inlineStr">
        <is>
          <t>FIXO</t>
        </is>
      </c>
      <c r="I425" s="11">
        <f>IF($H425="AUTO_OFERTA_TOTAL_PRODUTO_PERIODO",SUMIFS(Oferta!$F:$F,Oferta!$A:$A,$A425,Oferta!$E:$E,$E425),$F425)</f>
        <v/>
      </c>
      <c r="J425" s="6" t="inlineStr">
        <is>
          <t>Informado</t>
        </is>
      </c>
      <c r="K425" s="6" t="inlineStr">
        <is>
          <t>Demanda doméstica fixa informada pelo usuário.</t>
        </is>
      </c>
    </row>
    <row r="426">
      <c r="A426" s="6" t="inlineStr">
        <is>
          <t>Milho</t>
        </is>
      </c>
      <c r="B426" s="6" t="inlineStr">
        <is>
          <t>Salvador - BA</t>
        </is>
      </c>
      <c r="C426" s="6" t="n">
        <v>-12.9718</v>
      </c>
      <c r="D426" s="6" t="n">
        <v>-38.5011</v>
      </c>
      <c r="E426" s="6" t="inlineStr">
        <is>
          <t>2022-05</t>
        </is>
      </c>
      <c r="F426" s="6" t="n">
        <v>294994.2398459023</v>
      </c>
      <c r="G426" s="6" t="inlineStr">
        <is>
          <t>DOMESTICA</t>
        </is>
      </c>
      <c r="H426" s="6" t="inlineStr">
        <is>
          <t>FIXO</t>
        </is>
      </c>
      <c r="I426" s="11">
        <f>IF($H426="AUTO_OFERTA_TOTAL_PRODUTO_PERIODO",SUMIFS(Oferta!$F:$F,Oferta!$A:$A,$A426,Oferta!$E:$E,$E426),$F426)</f>
        <v/>
      </c>
      <c r="J426" s="6" t="inlineStr">
        <is>
          <t>Informado</t>
        </is>
      </c>
      <c r="K426" s="6" t="inlineStr">
        <is>
          <t>Demanda doméstica fixa informada pelo usuário.</t>
        </is>
      </c>
    </row>
    <row r="427">
      <c r="A427" s="6" t="inlineStr">
        <is>
          <t>Milho</t>
        </is>
      </c>
      <c r="B427" s="6" t="inlineStr">
        <is>
          <t>Salvador - BA</t>
        </is>
      </c>
      <c r="C427" s="6" t="n">
        <v>-12.9718</v>
      </c>
      <c r="D427" s="6" t="n">
        <v>-38.5011</v>
      </c>
      <c r="E427" s="6" t="inlineStr">
        <is>
          <t>2022-06</t>
        </is>
      </c>
      <c r="F427" s="6" t="n">
        <v>403249.0067618297</v>
      </c>
      <c r="G427" s="6" t="inlineStr">
        <is>
          <t>DOMESTICA</t>
        </is>
      </c>
      <c r="H427" s="6" t="inlineStr">
        <is>
          <t>FIXO</t>
        </is>
      </c>
      <c r="I427" s="11">
        <f>IF($H427="AUTO_OFERTA_TOTAL_PRODUTO_PERIODO",SUMIFS(Oferta!$F:$F,Oferta!$A:$A,$A427,Oferta!$E:$E,$E427),$F427)</f>
        <v/>
      </c>
      <c r="J427" s="6" t="inlineStr">
        <is>
          <t>Informado</t>
        </is>
      </c>
      <c r="K427" s="6" t="inlineStr">
        <is>
          <t>Demanda doméstica fixa informada pelo usuário.</t>
        </is>
      </c>
    </row>
    <row r="428">
      <c r="A428" s="6" t="inlineStr">
        <is>
          <t>Milho</t>
        </is>
      </c>
      <c r="B428" s="6" t="inlineStr">
        <is>
          <t>Salvador - BA</t>
        </is>
      </c>
      <c r="C428" s="6" t="n">
        <v>-12.9718</v>
      </c>
      <c r="D428" s="6" t="n">
        <v>-38.5011</v>
      </c>
      <c r="E428" s="6" t="inlineStr">
        <is>
          <t>2022-07</t>
        </is>
      </c>
      <c r="F428" s="6" t="n">
        <v>403249.0067618297</v>
      </c>
      <c r="G428" s="6" t="inlineStr">
        <is>
          <t>DOMESTICA</t>
        </is>
      </c>
      <c r="H428" s="6" t="inlineStr">
        <is>
          <t>FIXO</t>
        </is>
      </c>
      <c r="I428" s="11">
        <f>IF($H428="AUTO_OFERTA_TOTAL_PRODUTO_PERIODO",SUMIFS(Oferta!$F:$F,Oferta!$A:$A,$A428,Oferta!$E:$E,$E428),$F428)</f>
        <v/>
      </c>
      <c r="J428" s="6" t="inlineStr">
        <is>
          <t>Informado</t>
        </is>
      </c>
      <c r="K428" s="6" t="inlineStr">
        <is>
          <t>Demanda doméstica fixa informada pelo usuário.</t>
        </is>
      </c>
    </row>
    <row r="429">
      <c r="A429" s="6" t="inlineStr">
        <is>
          <t>Milho</t>
        </is>
      </c>
      <c r="B429" s="6" t="inlineStr">
        <is>
          <t>Salvador - BA</t>
        </is>
      </c>
      <c r="C429" s="6" t="n">
        <v>-12.9718</v>
      </c>
      <c r="D429" s="6" t="n">
        <v>-38.5011</v>
      </c>
      <c r="E429" s="6" t="inlineStr">
        <is>
          <t>2022-08</t>
        </is>
      </c>
      <c r="F429" s="6" t="n">
        <v>316645.1932290877</v>
      </c>
      <c r="G429" s="6" t="inlineStr">
        <is>
          <t>DOMESTICA</t>
        </is>
      </c>
      <c r="H429" s="6" t="inlineStr">
        <is>
          <t>FIXO</t>
        </is>
      </c>
      <c r="I429" s="11">
        <f>IF($H429="AUTO_OFERTA_TOTAL_PRODUTO_PERIODO",SUMIFS(Oferta!$F:$F,Oferta!$A:$A,$A429,Oferta!$E:$E,$E429),$F429)</f>
        <v/>
      </c>
      <c r="J429" s="6" t="inlineStr">
        <is>
          <t>Informado</t>
        </is>
      </c>
      <c r="K429" s="6" t="inlineStr">
        <is>
          <t>Demanda doméstica fixa informada pelo usuário.</t>
        </is>
      </c>
    </row>
    <row r="430">
      <c r="A430" s="6" t="inlineStr">
        <is>
          <t>Milho</t>
        </is>
      </c>
      <c r="B430" s="6" t="inlineStr">
        <is>
          <t>Salvador - BA</t>
        </is>
      </c>
      <c r="C430" s="6" t="n">
        <v>-12.9718</v>
      </c>
      <c r="D430" s="6" t="n">
        <v>-38.5011</v>
      </c>
      <c r="E430" s="6" t="inlineStr">
        <is>
          <t>2022-09</t>
        </is>
      </c>
      <c r="F430" s="6" t="n">
        <v>208390.4263131603</v>
      </c>
      <c r="G430" s="6" t="inlineStr">
        <is>
          <t>DOMESTICA</t>
        </is>
      </c>
      <c r="H430" s="6" t="inlineStr">
        <is>
          <t>FIXO</t>
        </is>
      </c>
      <c r="I430" s="11">
        <f>IF($H430="AUTO_OFERTA_TOTAL_PRODUTO_PERIODO",SUMIFS(Oferta!$F:$F,Oferta!$A:$A,$A430,Oferta!$E:$E,$E430),$F430)</f>
        <v/>
      </c>
      <c r="J430" s="6" t="inlineStr">
        <is>
          <t>Informado</t>
        </is>
      </c>
      <c r="K430" s="6" t="inlineStr">
        <is>
          <t>Demanda doméstica fixa informada pelo usuário.</t>
        </is>
      </c>
    </row>
    <row r="431">
      <c r="A431" s="6" t="inlineStr">
        <is>
          <t>Milho</t>
        </is>
      </c>
      <c r="B431" s="6" t="inlineStr">
        <is>
          <t>Salvador - BA</t>
        </is>
      </c>
      <c r="C431" s="6" t="n">
        <v>-12.9718</v>
      </c>
      <c r="D431" s="6" t="n">
        <v>-38.5011</v>
      </c>
      <c r="E431" s="6" t="inlineStr">
        <is>
          <t>2022-10</t>
        </is>
      </c>
      <c r="F431" s="6" t="n">
        <v>208390.4263131604</v>
      </c>
      <c r="G431" s="6" t="inlineStr">
        <is>
          <t>DOMESTICA</t>
        </is>
      </c>
      <c r="H431" s="6" t="inlineStr">
        <is>
          <t>FIXO</t>
        </is>
      </c>
      <c r="I431" s="11">
        <f>IF($H431="AUTO_OFERTA_TOTAL_PRODUTO_PERIODO",SUMIFS(Oferta!$F:$F,Oferta!$A:$A,$A431,Oferta!$E:$E,$E431),$F431)</f>
        <v/>
      </c>
      <c r="J431" s="6" t="inlineStr">
        <is>
          <t>Informado</t>
        </is>
      </c>
      <c r="K431" s="6" t="inlineStr">
        <is>
          <t>Demanda doméstica fixa informada pelo usuário.</t>
        </is>
      </c>
    </row>
    <row r="432">
      <c r="A432" s="6" t="inlineStr">
        <is>
          <t>Milho</t>
        </is>
      </c>
      <c r="B432" s="6" t="inlineStr">
        <is>
          <t>Salvador - BA</t>
        </is>
      </c>
      <c r="C432" s="6" t="n">
        <v>-12.9718</v>
      </c>
      <c r="D432" s="6" t="n">
        <v>-38.5011</v>
      </c>
      <c r="E432" s="6" t="inlineStr">
        <is>
          <t>2022-11</t>
        </is>
      </c>
      <c r="F432" s="6" t="n">
        <v>338296.1466122732</v>
      </c>
      <c r="G432" s="6" t="inlineStr">
        <is>
          <t>DOMESTICA</t>
        </is>
      </c>
      <c r="H432" s="6" t="inlineStr">
        <is>
          <t>FIXO</t>
        </is>
      </c>
      <c r="I432" s="11">
        <f>IF($H432="AUTO_OFERTA_TOTAL_PRODUTO_PERIODO",SUMIFS(Oferta!$F:$F,Oferta!$A:$A,$A432,Oferta!$E:$E,$E432),$F432)</f>
        <v/>
      </c>
      <c r="J432" s="6" t="inlineStr">
        <is>
          <t>Informado</t>
        </is>
      </c>
      <c r="K432" s="6" t="inlineStr">
        <is>
          <t>Demanda doméstica fixa informada pelo usuário.</t>
        </is>
      </c>
    </row>
    <row r="433">
      <c r="A433" s="6" t="inlineStr">
        <is>
          <t>Milho</t>
        </is>
      </c>
      <c r="B433" s="6" t="inlineStr">
        <is>
          <t>Salvador - BA</t>
        </is>
      </c>
      <c r="C433" s="6" t="n">
        <v>-12.9718</v>
      </c>
      <c r="D433" s="6" t="n">
        <v>-38.5011</v>
      </c>
      <c r="E433" s="6" t="inlineStr">
        <is>
          <t>2022-12</t>
        </is>
      </c>
      <c r="F433" s="6" t="n">
        <v>359947.0999954588</v>
      </c>
      <c r="G433" s="6" t="inlineStr">
        <is>
          <t>DOMESTICA</t>
        </is>
      </c>
      <c r="H433" s="6" t="inlineStr">
        <is>
          <t>FIXO</t>
        </is>
      </c>
      <c r="I433" s="11">
        <f>IF($H433="AUTO_OFERTA_TOTAL_PRODUTO_PERIODO",SUMIFS(Oferta!$F:$F,Oferta!$A:$A,$A433,Oferta!$E:$E,$E433),$F433)</f>
        <v/>
      </c>
      <c r="J433" s="6" t="inlineStr">
        <is>
          <t>Informado</t>
        </is>
      </c>
      <c r="K433" s="6" t="inlineStr">
        <is>
          <t>Demanda doméstica fixa informada pelo usuário.</t>
        </is>
      </c>
    </row>
    <row r="434">
      <c r="A434" s="6" t="inlineStr">
        <is>
          <t>Milho</t>
        </is>
      </c>
      <c r="B434" s="6" t="inlineStr">
        <is>
          <t>Fortaleza - CE</t>
        </is>
      </c>
      <c r="C434" s="6" t="n">
        <v>-3.71664</v>
      </c>
      <c r="D434" s="6" t="n">
        <v>-38.5423</v>
      </c>
      <c r="E434" s="6" t="inlineStr">
        <is>
          <t>2022-01</t>
        </is>
      </c>
      <c r="F434" s="6" t="n">
        <v>70852.9969938807</v>
      </c>
      <c r="G434" s="6" t="inlineStr">
        <is>
          <t>DOMESTICA</t>
        </is>
      </c>
      <c r="H434" s="6" t="inlineStr">
        <is>
          <t>FIXO</t>
        </is>
      </c>
      <c r="I434" s="11">
        <f>IF($H434="AUTO_OFERTA_TOTAL_PRODUTO_PERIODO",SUMIFS(Oferta!$F:$F,Oferta!$A:$A,$A434,Oferta!$E:$E,$E434),$F434)</f>
        <v/>
      </c>
      <c r="J434" s="6" t="inlineStr">
        <is>
          <t>Informado</t>
        </is>
      </c>
      <c r="K434" s="6" t="inlineStr">
        <is>
          <t>Demanda doméstica fixa informada pelo usuário.</t>
        </is>
      </c>
    </row>
    <row r="435">
      <c r="A435" s="6" t="inlineStr">
        <is>
          <t>Milho</t>
        </is>
      </c>
      <c r="B435" s="6" t="inlineStr">
        <is>
          <t>Fortaleza - CE</t>
        </is>
      </c>
      <c r="C435" s="6" t="n">
        <v>-3.71664</v>
      </c>
      <c r="D435" s="6" t="n">
        <v>-38.5423</v>
      </c>
      <c r="E435" s="6" t="inlineStr">
        <is>
          <t>2022-02</t>
        </is>
      </c>
      <c r="F435" s="6" t="n">
        <v>70852.9969938807</v>
      </c>
      <c r="G435" s="6" t="inlineStr">
        <is>
          <t>DOMESTICA</t>
        </is>
      </c>
      <c r="H435" s="6" t="inlineStr">
        <is>
          <t>FIXO</t>
        </is>
      </c>
      <c r="I435" s="11">
        <f>IF($H435="AUTO_OFERTA_TOTAL_PRODUTO_PERIODO",SUMIFS(Oferta!$F:$F,Oferta!$A:$A,$A435,Oferta!$E:$E,$E435),$F435)</f>
        <v/>
      </c>
      <c r="J435" s="6" t="inlineStr">
        <is>
          <t>Informado</t>
        </is>
      </c>
      <c r="K435" s="6" t="inlineStr">
        <is>
          <t>Demanda doméstica fixa informada pelo usuário.</t>
        </is>
      </c>
    </row>
    <row r="436">
      <c r="A436" s="6" t="inlineStr">
        <is>
          <t>Milho</t>
        </is>
      </c>
      <c r="B436" s="6" t="inlineStr">
        <is>
          <t>Fortaleza - CE</t>
        </is>
      </c>
      <c r="C436" s="6" t="n">
        <v>-3.71664</v>
      </c>
      <c r="D436" s="6" t="n">
        <v>-38.5423</v>
      </c>
      <c r="E436" s="6" t="inlineStr">
        <is>
          <t>2022-03</t>
        </is>
      </c>
      <c r="F436" s="6" t="n">
        <v>70852.9969938807</v>
      </c>
      <c r="G436" s="6" t="inlineStr">
        <is>
          <t>DOMESTICA</t>
        </is>
      </c>
      <c r="H436" s="6" t="inlineStr">
        <is>
          <t>FIXO</t>
        </is>
      </c>
      <c r="I436" s="11">
        <f>IF($H436="AUTO_OFERTA_TOTAL_PRODUTO_PERIODO",SUMIFS(Oferta!$F:$F,Oferta!$A:$A,$A436,Oferta!$E:$E,$E436),$F436)</f>
        <v/>
      </c>
      <c r="J436" s="6" t="inlineStr">
        <is>
          <t>Informado</t>
        </is>
      </c>
      <c r="K436" s="6" t="inlineStr">
        <is>
          <t>Demanda doméstica fixa informada pelo usuário.</t>
        </is>
      </c>
    </row>
    <row r="437">
      <c r="A437" s="6" t="inlineStr">
        <is>
          <t>Milho</t>
        </is>
      </c>
      <c r="B437" s="6" t="inlineStr">
        <is>
          <t>Fortaleza - CE</t>
        </is>
      </c>
      <c r="C437" s="6" t="n">
        <v>-3.71664</v>
      </c>
      <c r="D437" s="6" t="n">
        <v>-38.5423</v>
      </c>
      <c r="E437" s="6" t="inlineStr">
        <is>
          <t>2022-04</t>
        </is>
      </c>
      <c r="F437" s="6" t="n">
        <v>70852.9969938807</v>
      </c>
      <c r="G437" s="6" t="inlineStr">
        <is>
          <t>DOMESTICA</t>
        </is>
      </c>
      <c r="H437" s="6" t="inlineStr">
        <is>
          <t>FIXO</t>
        </is>
      </c>
      <c r="I437" s="11">
        <f>IF($H437="AUTO_OFERTA_TOTAL_PRODUTO_PERIODO",SUMIFS(Oferta!$F:$F,Oferta!$A:$A,$A437,Oferta!$E:$E,$E437),$F437)</f>
        <v/>
      </c>
      <c r="J437" s="6" t="inlineStr">
        <is>
          <t>Informado</t>
        </is>
      </c>
      <c r="K437" s="6" t="inlineStr">
        <is>
          <t>Demanda doméstica fixa informada pelo usuário.</t>
        </is>
      </c>
    </row>
    <row r="438">
      <c r="A438" s="6" t="inlineStr">
        <is>
          <t>Milho</t>
        </is>
      </c>
      <c r="B438" s="6" t="inlineStr">
        <is>
          <t>Fortaleza - CE</t>
        </is>
      </c>
      <c r="C438" s="6" t="n">
        <v>-3.71664</v>
      </c>
      <c r="D438" s="6" t="n">
        <v>-38.5423</v>
      </c>
      <c r="E438" s="6" t="inlineStr">
        <is>
          <t>2022-05</t>
        </is>
      </c>
      <c r="F438" s="6" t="n">
        <v>70852.9969938807</v>
      </c>
      <c r="G438" s="6" t="inlineStr">
        <is>
          <t>DOMESTICA</t>
        </is>
      </c>
      <c r="H438" s="6" t="inlineStr">
        <is>
          <t>FIXO</t>
        </is>
      </c>
      <c r="I438" s="11">
        <f>IF($H438="AUTO_OFERTA_TOTAL_PRODUTO_PERIODO",SUMIFS(Oferta!$F:$F,Oferta!$A:$A,$A438,Oferta!$E:$E,$E438),$F438)</f>
        <v/>
      </c>
      <c r="J438" s="6" t="inlineStr">
        <is>
          <t>Informado</t>
        </is>
      </c>
      <c r="K438" s="6" t="inlineStr">
        <is>
          <t>Demanda doméstica fixa informada pelo usuário.</t>
        </is>
      </c>
    </row>
    <row r="439">
      <c r="A439" s="6" t="inlineStr">
        <is>
          <t>Milho</t>
        </is>
      </c>
      <c r="B439" s="6" t="inlineStr">
        <is>
          <t>Fortaleza - CE</t>
        </is>
      </c>
      <c r="C439" s="6" t="n">
        <v>-3.71664</v>
      </c>
      <c r="D439" s="6" t="n">
        <v>-38.5423</v>
      </c>
      <c r="E439" s="6" t="inlineStr">
        <is>
          <t>2022-06</t>
        </is>
      </c>
      <c r="F439" s="6" t="n">
        <v>92242.5809920334</v>
      </c>
      <c r="G439" s="6" t="inlineStr">
        <is>
          <t>DOMESTICA</t>
        </is>
      </c>
      <c r="H439" s="6" t="inlineStr">
        <is>
          <t>FIXO</t>
        </is>
      </c>
      <c r="I439" s="11">
        <f>IF($H439="AUTO_OFERTA_TOTAL_PRODUTO_PERIODO",SUMIFS(Oferta!$F:$F,Oferta!$A:$A,$A439,Oferta!$E:$E,$E439),$F439)</f>
        <v/>
      </c>
      <c r="J439" s="6" t="inlineStr">
        <is>
          <t>Informado</t>
        </is>
      </c>
      <c r="K439" s="6" t="inlineStr">
        <is>
          <t>Demanda doméstica fixa informada pelo usuário.</t>
        </is>
      </c>
    </row>
    <row r="440">
      <c r="A440" s="6" t="inlineStr">
        <is>
          <t>Milho</t>
        </is>
      </c>
      <c r="B440" s="6" t="inlineStr">
        <is>
          <t>Fortaleza - CE</t>
        </is>
      </c>
      <c r="C440" s="6" t="n">
        <v>-3.71664</v>
      </c>
      <c r="D440" s="6" t="n">
        <v>-38.5423</v>
      </c>
      <c r="E440" s="6" t="inlineStr">
        <is>
          <t>2022-07</t>
        </is>
      </c>
      <c r="F440" s="6" t="n">
        <v>113632.164990186</v>
      </c>
      <c r="G440" s="6" t="inlineStr">
        <is>
          <t>DOMESTICA</t>
        </is>
      </c>
      <c r="H440" s="6" t="inlineStr">
        <is>
          <t>FIXO</t>
        </is>
      </c>
      <c r="I440" s="11">
        <f>IF($H440="AUTO_OFERTA_TOTAL_PRODUTO_PERIODO",SUMIFS(Oferta!$F:$F,Oferta!$A:$A,$A440,Oferta!$E:$E,$E440),$F440)</f>
        <v/>
      </c>
      <c r="J440" s="6" t="inlineStr">
        <is>
          <t>Informado</t>
        </is>
      </c>
      <c r="K440" s="6" t="inlineStr">
        <is>
          <t>Demanda doméstica fixa informada pelo usuário.</t>
        </is>
      </c>
    </row>
    <row r="441">
      <c r="A441" s="6" t="inlineStr">
        <is>
          <t>Milho</t>
        </is>
      </c>
      <c r="B441" s="6" t="inlineStr">
        <is>
          <t>Fortaleza - CE</t>
        </is>
      </c>
      <c r="C441" s="6" t="n">
        <v>-3.71664</v>
      </c>
      <c r="D441" s="6" t="n">
        <v>-38.5423</v>
      </c>
      <c r="E441" s="6" t="inlineStr">
        <is>
          <t>2022-08</t>
        </is>
      </c>
      <c r="F441" s="6" t="n">
        <v>177800.916984644</v>
      </c>
      <c r="G441" s="6" t="inlineStr">
        <is>
          <t>DOMESTICA</t>
        </is>
      </c>
      <c r="H441" s="6" t="inlineStr">
        <is>
          <t>FIXO</t>
        </is>
      </c>
      <c r="I441" s="11">
        <f>IF($H441="AUTO_OFERTA_TOTAL_PRODUTO_PERIODO",SUMIFS(Oferta!$F:$F,Oferta!$A:$A,$A441,Oferta!$E:$E,$E441),$F441)</f>
        <v/>
      </c>
      <c r="J441" s="6" t="inlineStr">
        <is>
          <t>Informado</t>
        </is>
      </c>
      <c r="K441" s="6" t="inlineStr">
        <is>
          <t>Demanda doméstica fixa informada pelo usuário.</t>
        </is>
      </c>
    </row>
    <row r="442">
      <c r="A442" s="6" t="inlineStr">
        <is>
          <t>Milho</t>
        </is>
      </c>
      <c r="B442" s="6" t="inlineStr">
        <is>
          <t>Fortaleza - CE</t>
        </is>
      </c>
      <c r="C442" s="6" t="n">
        <v>-3.71664</v>
      </c>
      <c r="D442" s="6" t="n">
        <v>-38.5423</v>
      </c>
      <c r="E442" s="6" t="inlineStr">
        <is>
          <t>2022-09</t>
        </is>
      </c>
      <c r="F442" s="6" t="n">
        <v>177800.916984644</v>
      </c>
      <c r="G442" s="6" t="inlineStr">
        <is>
          <t>DOMESTICA</t>
        </is>
      </c>
      <c r="H442" s="6" t="inlineStr">
        <is>
          <t>FIXO</t>
        </is>
      </c>
      <c r="I442" s="11">
        <f>IF($H442="AUTO_OFERTA_TOTAL_PRODUTO_PERIODO",SUMIFS(Oferta!$F:$F,Oferta!$A:$A,$A442,Oferta!$E:$E,$E442),$F442)</f>
        <v/>
      </c>
      <c r="J442" s="6" t="inlineStr">
        <is>
          <t>Informado</t>
        </is>
      </c>
      <c r="K442" s="6" t="inlineStr">
        <is>
          <t>Demanda doméstica fixa informada pelo usuário.</t>
        </is>
      </c>
    </row>
    <row r="443">
      <c r="A443" s="6" t="inlineStr">
        <is>
          <t>Milho</t>
        </is>
      </c>
      <c r="B443" s="6" t="inlineStr">
        <is>
          <t>Fortaleza - CE</t>
        </is>
      </c>
      <c r="C443" s="6" t="n">
        <v>-3.71664</v>
      </c>
      <c r="D443" s="6" t="n">
        <v>-38.5423</v>
      </c>
      <c r="E443" s="6" t="inlineStr">
        <is>
          <t>2022-10</t>
        </is>
      </c>
      <c r="F443" s="6" t="n">
        <v>167106.1249855677</v>
      </c>
      <c r="G443" s="6" t="inlineStr">
        <is>
          <t>DOMESTICA</t>
        </is>
      </c>
      <c r="H443" s="6" t="inlineStr">
        <is>
          <t>FIXO</t>
        </is>
      </c>
      <c r="I443" s="11">
        <f>IF($H443="AUTO_OFERTA_TOTAL_PRODUTO_PERIODO",SUMIFS(Oferta!$F:$F,Oferta!$A:$A,$A443,Oferta!$E:$E,$E443),$F443)</f>
        <v/>
      </c>
      <c r="J443" s="6" t="inlineStr">
        <is>
          <t>Informado</t>
        </is>
      </c>
      <c r="K443" s="6" t="inlineStr">
        <is>
          <t>Demanda doméstica fixa informada pelo usuário.</t>
        </is>
      </c>
    </row>
    <row r="444">
      <c r="A444" s="6" t="inlineStr">
        <is>
          <t>Milho</t>
        </is>
      </c>
      <c r="B444" s="6" t="inlineStr">
        <is>
          <t>Fortaleza - CE</t>
        </is>
      </c>
      <c r="C444" s="6" t="n">
        <v>-3.71664</v>
      </c>
      <c r="D444" s="6" t="n">
        <v>-38.5423</v>
      </c>
      <c r="E444" s="6" t="inlineStr">
        <is>
          <t>2022-11</t>
        </is>
      </c>
      <c r="F444" s="6" t="n">
        <v>102937.3729911097</v>
      </c>
      <c r="G444" s="6" t="inlineStr">
        <is>
          <t>DOMESTICA</t>
        </is>
      </c>
      <c r="H444" s="6" t="inlineStr">
        <is>
          <t>FIXO</t>
        </is>
      </c>
      <c r="I444" s="11">
        <f>IF($H444="AUTO_OFERTA_TOTAL_PRODUTO_PERIODO",SUMIFS(Oferta!$F:$F,Oferta!$A:$A,$A444,Oferta!$E:$E,$E444),$F444)</f>
        <v/>
      </c>
      <c r="J444" s="6" t="inlineStr">
        <is>
          <t>Informado</t>
        </is>
      </c>
      <c r="K444" s="6" t="inlineStr">
        <is>
          <t>Demanda doméstica fixa informada pelo usuário.</t>
        </is>
      </c>
    </row>
    <row r="445">
      <c r="A445" s="6" t="inlineStr">
        <is>
          <t>Milho</t>
        </is>
      </c>
      <c r="B445" s="6" t="inlineStr">
        <is>
          <t>Fortaleza - CE</t>
        </is>
      </c>
      <c r="C445" s="6" t="n">
        <v>-3.71664</v>
      </c>
      <c r="D445" s="6" t="n">
        <v>-38.5423</v>
      </c>
      <c r="E445" s="6" t="inlineStr">
        <is>
          <t>2022-12</t>
        </is>
      </c>
      <c r="F445" s="6" t="n">
        <v>81547.78899295699</v>
      </c>
      <c r="G445" s="6" t="inlineStr">
        <is>
          <t>DOMESTICA</t>
        </is>
      </c>
      <c r="H445" s="6" t="inlineStr">
        <is>
          <t>FIXO</t>
        </is>
      </c>
      <c r="I445" s="11">
        <f>IF($H445="AUTO_OFERTA_TOTAL_PRODUTO_PERIODO",SUMIFS(Oferta!$F:$F,Oferta!$A:$A,$A445,Oferta!$E:$E,$E445),$F445)</f>
        <v/>
      </c>
      <c r="J445" s="6" t="inlineStr">
        <is>
          <t>Informado</t>
        </is>
      </c>
      <c r="K445" s="6" t="inlineStr">
        <is>
          <t>Demanda doméstica fixa informada pelo usuário.</t>
        </is>
      </c>
    </row>
    <row r="446">
      <c r="A446" s="6" t="inlineStr">
        <is>
          <t>Milho</t>
        </is>
      </c>
      <c r="B446" s="6" t="inlineStr">
        <is>
          <t>São Luís - MA</t>
        </is>
      </c>
      <c r="C446" s="6" t="n">
        <v>-2.53874</v>
      </c>
      <c r="D446" s="6" t="n">
        <v>-44.2825</v>
      </c>
      <c r="E446" s="6" t="inlineStr">
        <is>
          <t>2022-01</t>
        </is>
      </c>
      <c r="F446" s="6" t="n">
        <v>47557.6078336807</v>
      </c>
      <c r="G446" s="6" t="inlineStr">
        <is>
          <t>DOMESTICA</t>
        </is>
      </c>
      <c r="H446" s="6" t="inlineStr">
        <is>
          <t>FIXO</t>
        </is>
      </c>
      <c r="I446" s="11">
        <f>IF($H446="AUTO_OFERTA_TOTAL_PRODUTO_PERIODO",SUMIFS(Oferta!$F:$F,Oferta!$A:$A,$A446,Oferta!$E:$E,$E446),$F446)</f>
        <v/>
      </c>
      <c r="J446" s="6" t="inlineStr">
        <is>
          <t>Informado</t>
        </is>
      </c>
      <c r="K446" s="6" t="inlineStr">
        <is>
          <t>Demanda doméstica fixa informada pelo usuário.</t>
        </is>
      </c>
    </row>
    <row r="447">
      <c r="A447" s="6" t="inlineStr">
        <is>
          <t>Milho</t>
        </is>
      </c>
      <c r="B447" s="6" t="inlineStr">
        <is>
          <t>São Luís - MA</t>
        </is>
      </c>
      <c r="C447" s="6" t="n">
        <v>-2.53874</v>
      </c>
      <c r="D447" s="6" t="n">
        <v>-44.2825</v>
      </c>
      <c r="E447" s="6" t="inlineStr">
        <is>
          <t>2022-02</t>
        </is>
      </c>
      <c r="F447" s="6" t="n">
        <v>47557.6078336807</v>
      </c>
      <c r="G447" s="6" t="inlineStr">
        <is>
          <t>DOMESTICA</t>
        </is>
      </c>
      <c r="H447" s="6" t="inlineStr">
        <is>
          <t>FIXO</t>
        </is>
      </c>
      <c r="I447" s="11">
        <f>IF($H447="AUTO_OFERTA_TOTAL_PRODUTO_PERIODO",SUMIFS(Oferta!$F:$F,Oferta!$A:$A,$A447,Oferta!$E:$E,$E447),$F447)</f>
        <v/>
      </c>
      <c r="J447" s="6" t="inlineStr">
        <is>
          <t>Informado</t>
        </is>
      </c>
      <c r="K447" s="6" t="inlineStr">
        <is>
          <t>Demanda doméstica fixa informada pelo usuário.</t>
        </is>
      </c>
    </row>
    <row r="448">
      <c r="A448" s="6" t="inlineStr">
        <is>
          <t>Milho</t>
        </is>
      </c>
      <c r="B448" s="6" t="inlineStr">
        <is>
          <t>São Luís - MA</t>
        </is>
      </c>
      <c r="C448" s="6" t="n">
        <v>-2.53874</v>
      </c>
      <c r="D448" s="6" t="n">
        <v>-44.2825</v>
      </c>
      <c r="E448" s="6" t="inlineStr">
        <is>
          <t>2022-03</t>
        </is>
      </c>
      <c r="F448" s="6" t="n">
        <v>54736.1146765005</v>
      </c>
      <c r="G448" s="6" t="inlineStr">
        <is>
          <t>DOMESTICA</t>
        </is>
      </c>
      <c r="H448" s="6" t="inlineStr">
        <is>
          <t>FIXO</t>
        </is>
      </c>
      <c r="I448" s="11">
        <f>IF($H448="AUTO_OFERTA_TOTAL_PRODUTO_PERIODO",SUMIFS(Oferta!$F:$F,Oferta!$A:$A,$A448,Oferta!$E:$E,$E448),$F448)</f>
        <v/>
      </c>
      <c r="J448" s="6" t="inlineStr">
        <is>
          <t>Informado</t>
        </is>
      </c>
      <c r="K448" s="6" t="inlineStr">
        <is>
          <t>Demanda doméstica fixa informada pelo usuário.</t>
        </is>
      </c>
    </row>
    <row r="449">
      <c r="A449" s="6" t="inlineStr">
        <is>
          <t>Milho</t>
        </is>
      </c>
      <c r="B449" s="6" t="inlineStr">
        <is>
          <t>São Luís - MA</t>
        </is>
      </c>
      <c r="C449" s="6" t="n">
        <v>-2.53874</v>
      </c>
      <c r="D449" s="6" t="n">
        <v>-44.2825</v>
      </c>
      <c r="E449" s="6" t="inlineStr">
        <is>
          <t>2022-04</t>
        </is>
      </c>
      <c r="F449" s="6" t="n">
        <v>69093.12836213991</v>
      </c>
      <c r="G449" s="6" t="inlineStr">
        <is>
          <t>DOMESTICA</t>
        </is>
      </c>
      <c r="H449" s="6" t="inlineStr">
        <is>
          <t>FIXO</t>
        </is>
      </c>
      <c r="I449" s="11">
        <f>IF($H449="AUTO_OFERTA_TOTAL_PRODUTO_PERIODO",SUMIFS(Oferta!$F:$F,Oferta!$A:$A,$A449,Oferta!$E:$E,$E449),$F449)</f>
        <v/>
      </c>
      <c r="J449" s="6" t="inlineStr">
        <is>
          <t>Informado</t>
        </is>
      </c>
      <c r="K449" s="6" t="inlineStr">
        <is>
          <t>Demanda doméstica fixa informada pelo usuário.</t>
        </is>
      </c>
    </row>
    <row r="450">
      <c r="A450" s="6" t="inlineStr">
        <is>
          <t>Milho</t>
        </is>
      </c>
      <c r="B450" s="6" t="inlineStr">
        <is>
          <t>São Luís - MA</t>
        </is>
      </c>
      <c r="C450" s="6" t="n">
        <v>-2.53874</v>
      </c>
      <c r="D450" s="6" t="n">
        <v>-44.2825</v>
      </c>
      <c r="E450" s="6" t="inlineStr">
        <is>
          <t>2022-05</t>
        </is>
      </c>
      <c r="F450" s="6" t="n">
        <v>112164.1694190583</v>
      </c>
      <c r="G450" s="6" t="inlineStr">
        <is>
          <t>DOMESTICA</t>
        </is>
      </c>
      <c r="H450" s="6" t="inlineStr">
        <is>
          <t>FIXO</t>
        </is>
      </c>
      <c r="I450" s="11">
        <f>IF($H450="AUTO_OFERTA_TOTAL_PRODUTO_PERIODO",SUMIFS(Oferta!$F:$F,Oferta!$A:$A,$A450,Oferta!$E:$E,$E450),$F450)</f>
        <v/>
      </c>
      <c r="J450" s="6" t="inlineStr">
        <is>
          <t>Informado</t>
        </is>
      </c>
      <c r="K450" s="6" t="inlineStr">
        <is>
          <t>Demanda doméstica fixa informada pelo usuário.</t>
        </is>
      </c>
    </row>
    <row r="451">
      <c r="A451" s="6" t="inlineStr">
        <is>
          <t>Milho</t>
        </is>
      </c>
      <c r="B451" s="6" t="inlineStr">
        <is>
          <t>São Luís - MA</t>
        </is>
      </c>
      <c r="C451" s="6" t="n">
        <v>-2.53874</v>
      </c>
      <c r="D451" s="6" t="n">
        <v>-44.2825</v>
      </c>
      <c r="E451" s="6" t="inlineStr">
        <is>
          <t>2022-06</t>
        </is>
      </c>
      <c r="F451" s="6" t="n">
        <v>133699.6899475175</v>
      </c>
      <c r="G451" s="6" t="inlineStr">
        <is>
          <t>DOMESTICA</t>
        </is>
      </c>
      <c r="H451" s="6" t="inlineStr">
        <is>
          <t>FIXO</t>
        </is>
      </c>
      <c r="I451" s="11">
        <f>IF($H451="AUTO_OFERTA_TOTAL_PRODUTO_PERIODO",SUMIFS(Oferta!$F:$F,Oferta!$A:$A,$A451,Oferta!$E:$E,$E451),$F451)</f>
        <v/>
      </c>
      <c r="J451" s="6" t="inlineStr">
        <is>
          <t>Informado</t>
        </is>
      </c>
      <c r="K451" s="6" t="inlineStr">
        <is>
          <t>Demanda doméstica fixa informada pelo usuário.</t>
        </is>
      </c>
    </row>
    <row r="452">
      <c r="A452" s="6" t="inlineStr">
        <is>
          <t>Milho</t>
        </is>
      </c>
      <c r="B452" s="6" t="inlineStr">
        <is>
          <t>São Luís - MA</t>
        </is>
      </c>
      <c r="C452" s="6" t="n">
        <v>-2.53874</v>
      </c>
      <c r="D452" s="6" t="n">
        <v>-44.2825</v>
      </c>
      <c r="E452" s="6" t="inlineStr">
        <is>
          <t>2022-07</t>
        </is>
      </c>
      <c r="F452" s="6" t="n">
        <v>162413.7173187964</v>
      </c>
      <c r="G452" s="6" t="inlineStr">
        <is>
          <t>DOMESTICA</t>
        </is>
      </c>
      <c r="H452" s="6" t="inlineStr">
        <is>
          <t>FIXO</t>
        </is>
      </c>
      <c r="I452" s="11">
        <f>IF($H452="AUTO_OFERTA_TOTAL_PRODUTO_PERIODO",SUMIFS(Oferta!$F:$F,Oferta!$A:$A,$A452,Oferta!$E:$E,$E452),$F452)</f>
        <v/>
      </c>
      <c r="J452" s="6" t="inlineStr">
        <is>
          <t>Informado</t>
        </is>
      </c>
      <c r="K452" s="6" t="inlineStr">
        <is>
          <t>Demanda doméstica fixa informada pelo usuário.</t>
        </is>
      </c>
    </row>
    <row r="453">
      <c r="A453" s="6" t="inlineStr">
        <is>
          <t>Milho</t>
        </is>
      </c>
      <c r="B453" s="6" t="inlineStr">
        <is>
          <t>São Luís - MA</t>
        </is>
      </c>
      <c r="C453" s="6" t="n">
        <v>-2.53874</v>
      </c>
      <c r="D453" s="6" t="n">
        <v>-44.2825</v>
      </c>
      <c r="E453" s="6" t="inlineStr">
        <is>
          <t>2022-08</t>
        </is>
      </c>
      <c r="F453" s="6" t="n">
        <v>148056.703633157</v>
      </c>
      <c r="G453" s="6" t="inlineStr">
        <is>
          <t>DOMESTICA</t>
        </is>
      </c>
      <c r="H453" s="6" t="inlineStr">
        <is>
          <t>FIXO</t>
        </is>
      </c>
      <c r="I453" s="11">
        <f>IF($H453="AUTO_OFERTA_TOTAL_PRODUTO_PERIODO",SUMIFS(Oferta!$F:$F,Oferta!$A:$A,$A453,Oferta!$E:$E,$E453),$F453)</f>
        <v/>
      </c>
      <c r="J453" s="6" t="inlineStr">
        <is>
          <t>Informado</t>
        </is>
      </c>
      <c r="K453" s="6" t="inlineStr">
        <is>
          <t>Demanda doméstica fixa informada pelo usuário.</t>
        </is>
      </c>
    </row>
    <row r="454">
      <c r="A454" s="6" t="inlineStr">
        <is>
          <t>Milho</t>
        </is>
      </c>
      <c r="B454" s="6" t="inlineStr">
        <is>
          <t>São Luís - MA</t>
        </is>
      </c>
      <c r="C454" s="6" t="n">
        <v>-2.53874</v>
      </c>
      <c r="D454" s="6" t="n">
        <v>-44.2825</v>
      </c>
      <c r="E454" s="6" t="inlineStr">
        <is>
          <t>2022-09</t>
        </is>
      </c>
      <c r="F454" s="6" t="n">
        <v>133699.6899475175</v>
      </c>
      <c r="G454" s="6" t="inlineStr">
        <is>
          <t>DOMESTICA</t>
        </is>
      </c>
      <c r="H454" s="6" t="inlineStr">
        <is>
          <t>FIXO</t>
        </is>
      </c>
      <c r="I454" s="11">
        <f>IF($H454="AUTO_OFERTA_TOTAL_PRODUTO_PERIODO",SUMIFS(Oferta!$F:$F,Oferta!$A:$A,$A454,Oferta!$E:$E,$E454),$F454)</f>
        <v/>
      </c>
      <c r="J454" s="6" t="inlineStr">
        <is>
          <t>Informado</t>
        </is>
      </c>
      <c r="K454" s="6" t="inlineStr">
        <is>
          <t>Demanda doméstica fixa informada pelo usuário.</t>
        </is>
      </c>
    </row>
    <row r="455">
      <c r="A455" s="6" t="inlineStr">
        <is>
          <t>Milho</t>
        </is>
      </c>
      <c r="B455" s="6" t="inlineStr">
        <is>
          <t>São Luís - MA</t>
        </is>
      </c>
      <c r="C455" s="6" t="n">
        <v>-2.53874</v>
      </c>
      <c r="D455" s="6" t="n">
        <v>-44.2825</v>
      </c>
      <c r="E455" s="6" t="inlineStr">
        <is>
          <t>2022-10</t>
        </is>
      </c>
      <c r="F455" s="6" t="n">
        <v>90628.6488905991</v>
      </c>
      <c r="G455" s="6" t="inlineStr">
        <is>
          <t>DOMESTICA</t>
        </is>
      </c>
      <c r="H455" s="6" t="inlineStr">
        <is>
          <t>FIXO</t>
        </is>
      </c>
      <c r="I455" s="11">
        <f>IF($H455="AUTO_OFERTA_TOTAL_PRODUTO_PERIODO",SUMIFS(Oferta!$F:$F,Oferta!$A:$A,$A455,Oferta!$E:$E,$E455),$F455)</f>
        <v/>
      </c>
      <c r="J455" s="6" t="inlineStr">
        <is>
          <t>Informado</t>
        </is>
      </c>
      <c r="K455" s="6" t="inlineStr">
        <is>
          <t>Demanda doméstica fixa informada pelo usuário.</t>
        </is>
      </c>
    </row>
    <row r="456">
      <c r="A456" s="6" t="inlineStr">
        <is>
          <t>Milho</t>
        </is>
      </c>
      <c r="B456" s="6" t="inlineStr">
        <is>
          <t>São Luís - MA</t>
        </is>
      </c>
      <c r="C456" s="6" t="n">
        <v>-2.53874</v>
      </c>
      <c r="D456" s="6" t="n">
        <v>-44.2825</v>
      </c>
      <c r="E456" s="6" t="inlineStr">
        <is>
          <t>2022-11</t>
        </is>
      </c>
      <c r="F456" s="6" t="n">
        <v>61914.6215193202</v>
      </c>
      <c r="G456" s="6" t="inlineStr">
        <is>
          <t>DOMESTICA</t>
        </is>
      </c>
      <c r="H456" s="6" t="inlineStr">
        <is>
          <t>FIXO</t>
        </is>
      </c>
      <c r="I456" s="11">
        <f>IF($H456="AUTO_OFERTA_TOTAL_PRODUTO_PERIODO",SUMIFS(Oferta!$F:$F,Oferta!$A:$A,$A456,Oferta!$E:$E,$E456),$F456)</f>
        <v/>
      </c>
      <c r="J456" s="6" t="inlineStr">
        <is>
          <t>Informado</t>
        </is>
      </c>
      <c r="K456" s="6" t="inlineStr">
        <is>
          <t>Demanda doméstica fixa informada pelo usuário.</t>
        </is>
      </c>
    </row>
    <row r="457">
      <c r="A457" s="6" t="inlineStr">
        <is>
          <t>Milho</t>
        </is>
      </c>
      <c r="B457" s="6" t="inlineStr">
        <is>
          <t>São Luís - MA</t>
        </is>
      </c>
      <c r="C457" s="6" t="n">
        <v>-2.53874</v>
      </c>
      <c r="D457" s="6" t="n">
        <v>-44.2825</v>
      </c>
      <c r="E457" s="6" t="inlineStr">
        <is>
          <t>2022-12</t>
        </is>
      </c>
      <c r="F457" s="6" t="n">
        <v>47557.6078336807</v>
      </c>
      <c r="G457" s="6" t="inlineStr">
        <is>
          <t>DOMESTICA</t>
        </is>
      </c>
      <c r="H457" s="6" t="inlineStr">
        <is>
          <t>FIXO</t>
        </is>
      </c>
      <c r="I457" s="11">
        <f>IF($H457="AUTO_OFERTA_TOTAL_PRODUTO_PERIODO",SUMIFS(Oferta!$F:$F,Oferta!$A:$A,$A457,Oferta!$E:$E,$E457),$F457)</f>
        <v/>
      </c>
      <c r="J457" s="6" t="inlineStr">
        <is>
          <t>Informado</t>
        </is>
      </c>
      <c r="K457" s="6" t="inlineStr">
        <is>
          <t>Demanda doméstica fixa informada pelo usuário.</t>
        </is>
      </c>
    </row>
    <row r="458">
      <c r="A458" s="6" t="inlineStr">
        <is>
          <t>Milho</t>
        </is>
      </c>
      <c r="B458" s="6" t="inlineStr">
        <is>
          <t>João Pessoa - PB</t>
        </is>
      </c>
      <c r="C458" s="6" t="n">
        <v>-7.11509</v>
      </c>
      <c r="D458" s="6" t="n">
        <v>-34.8641</v>
      </c>
      <c r="E458" s="6" t="inlineStr">
        <is>
          <t>2022-01</t>
        </is>
      </c>
      <c r="F458" s="6" t="n">
        <v>39859.9629133194</v>
      </c>
      <c r="G458" s="6" t="inlineStr">
        <is>
          <t>DOMESTICA</t>
        </is>
      </c>
      <c r="H458" s="6" t="inlineStr">
        <is>
          <t>FIXO</t>
        </is>
      </c>
      <c r="I458" s="11">
        <f>IF($H458="AUTO_OFERTA_TOTAL_PRODUTO_PERIODO",SUMIFS(Oferta!$F:$F,Oferta!$A:$A,$A458,Oferta!$E:$E,$E458),$F458)</f>
        <v/>
      </c>
      <c r="J458" s="6" t="inlineStr">
        <is>
          <t>Informado</t>
        </is>
      </c>
      <c r="K458" s="6" t="inlineStr">
        <is>
          <t>Demanda doméstica fixa informada pelo usuário.</t>
        </is>
      </c>
    </row>
    <row r="459">
      <c r="A459" s="6" t="inlineStr">
        <is>
          <t>Milho</t>
        </is>
      </c>
      <c r="B459" s="6" t="inlineStr">
        <is>
          <t>João Pessoa - PB</t>
        </is>
      </c>
      <c r="C459" s="6" t="n">
        <v>-7.11509</v>
      </c>
      <c r="D459" s="6" t="n">
        <v>-34.8641</v>
      </c>
      <c r="E459" s="6" t="inlineStr">
        <is>
          <t>2022-02</t>
        </is>
      </c>
      <c r="F459" s="6" t="n">
        <v>31577.3732170453</v>
      </c>
      <c r="G459" s="6" t="inlineStr">
        <is>
          <t>DOMESTICA</t>
        </is>
      </c>
      <c r="H459" s="6" t="inlineStr">
        <is>
          <t>FIXO</t>
        </is>
      </c>
      <c r="I459" s="11">
        <f>IF($H459="AUTO_OFERTA_TOTAL_PRODUTO_PERIODO",SUMIFS(Oferta!$F:$F,Oferta!$A:$A,$A459,Oferta!$E:$E,$E459),$F459)</f>
        <v/>
      </c>
      <c r="J459" s="6" t="inlineStr">
        <is>
          <t>Informado</t>
        </is>
      </c>
      <c r="K459" s="6" t="inlineStr">
        <is>
          <t>Demanda doméstica fixa informada pelo usuário.</t>
        </is>
      </c>
    </row>
    <row r="460">
      <c r="A460" s="6" t="inlineStr">
        <is>
          <t>Milho</t>
        </is>
      </c>
      <c r="B460" s="6" t="inlineStr">
        <is>
          <t>João Pessoa - PB</t>
        </is>
      </c>
      <c r="C460" s="6" t="n">
        <v>-7.11509</v>
      </c>
      <c r="D460" s="6" t="n">
        <v>-34.8641</v>
      </c>
      <c r="E460" s="6" t="inlineStr">
        <is>
          <t>2022-03</t>
        </is>
      </c>
      <c r="F460" s="6" t="n">
        <v>27436.0783689082</v>
      </c>
      <c r="G460" s="6" t="inlineStr">
        <is>
          <t>DOMESTICA</t>
        </is>
      </c>
      <c r="H460" s="6" t="inlineStr">
        <is>
          <t>FIXO</t>
        </is>
      </c>
      <c r="I460" s="11">
        <f>IF($H460="AUTO_OFERTA_TOTAL_PRODUTO_PERIODO",SUMIFS(Oferta!$F:$F,Oferta!$A:$A,$A460,Oferta!$E:$E,$E460),$F460)</f>
        <v/>
      </c>
      <c r="J460" s="6" t="inlineStr">
        <is>
          <t>Informado</t>
        </is>
      </c>
      <c r="K460" s="6" t="inlineStr">
        <is>
          <t>Demanda doméstica fixa informada pelo usuário.</t>
        </is>
      </c>
    </row>
    <row r="461">
      <c r="A461" s="6" t="inlineStr">
        <is>
          <t>Milho</t>
        </is>
      </c>
      <c r="B461" s="6" t="inlineStr">
        <is>
          <t>João Pessoa - PB</t>
        </is>
      </c>
      <c r="C461" s="6" t="n">
        <v>-7.11509</v>
      </c>
      <c r="D461" s="6" t="n">
        <v>-34.8641</v>
      </c>
      <c r="E461" s="6" t="inlineStr">
        <is>
          <t>2022-04</t>
        </is>
      </c>
      <c r="F461" s="6" t="n">
        <v>27436.0783689082</v>
      </c>
      <c r="G461" s="6" t="inlineStr">
        <is>
          <t>DOMESTICA</t>
        </is>
      </c>
      <c r="H461" s="6" t="inlineStr">
        <is>
          <t>FIXO</t>
        </is>
      </c>
      <c r="I461" s="11">
        <f>IF($H461="AUTO_OFERTA_TOTAL_PRODUTO_PERIODO",SUMIFS(Oferta!$F:$F,Oferta!$A:$A,$A461,Oferta!$E:$E,$E461),$F461)</f>
        <v/>
      </c>
      <c r="J461" s="6" t="inlineStr">
        <is>
          <t>Informado</t>
        </is>
      </c>
      <c r="K461" s="6" t="inlineStr">
        <is>
          <t>Demanda doméstica fixa informada pelo usuário.</t>
        </is>
      </c>
    </row>
    <row r="462">
      <c r="A462" s="6" t="inlineStr">
        <is>
          <t>Milho</t>
        </is>
      </c>
      <c r="B462" s="6" t="inlineStr">
        <is>
          <t>João Pessoa - PB</t>
        </is>
      </c>
      <c r="C462" s="6" t="n">
        <v>-7.11509</v>
      </c>
      <c r="D462" s="6" t="n">
        <v>-34.8641</v>
      </c>
      <c r="E462" s="6" t="inlineStr">
        <is>
          <t>2022-05</t>
        </is>
      </c>
      <c r="F462" s="6" t="n">
        <v>27436.0783689082</v>
      </c>
      <c r="G462" s="6" t="inlineStr">
        <is>
          <t>DOMESTICA</t>
        </is>
      </c>
      <c r="H462" s="6" t="inlineStr">
        <is>
          <t>FIXO</t>
        </is>
      </c>
      <c r="I462" s="11">
        <f>IF($H462="AUTO_OFERTA_TOTAL_PRODUTO_PERIODO",SUMIFS(Oferta!$F:$F,Oferta!$A:$A,$A462,Oferta!$E:$E,$E462),$F462)</f>
        <v/>
      </c>
      <c r="J462" s="6" t="inlineStr">
        <is>
          <t>Informado</t>
        </is>
      </c>
      <c r="K462" s="6" t="inlineStr">
        <is>
          <t>Demanda doméstica fixa informada pelo usuário.</t>
        </is>
      </c>
    </row>
    <row r="463">
      <c r="A463" s="6" t="inlineStr">
        <is>
          <t>Milho</t>
        </is>
      </c>
      <c r="B463" s="6" t="inlineStr">
        <is>
          <t>João Pessoa - PB</t>
        </is>
      </c>
      <c r="C463" s="6" t="n">
        <v>-7.11509</v>
      </c>
      <c r="D463" s="6" t="n">
        <v>-34.8641</v>
      </c>
      <c r="E463" s="6" t="inlineStr">
        <is>
          <t>2022-06</t>
        </is>
      </c>
      <c r="F463" s="6" t="n">
        <v>35718.6680651824</v>
      </c>
      <c r="G463" s="6" t="inlineStr">
        <is>
          <t>DOMESTICA</t>
        </is>
      </c>
      <c r="H463" s="6" t="inlineStr">
        <is>
          <t>FIXO</t>
        </is>
      </c>
      <c r="I463" s="11">
        <f>IF($H463="AUTO_OFERTA_TOTAL_PRODUTO_PERIODO",SUMIFS(Oferta!$F:$F,Oferta!$A:$A,$A463,Oferta!$E:$E,$E463),$F463)</f>
        <v/>
      </c>
      <c r="J463" s="6" t="inlineStr">
        <is>
          <t>Informado</t>
        </is>
      </c>
      <c r="K463" s="6" t="inlineStr">
        <is>
          <t>Demanda doméstica fixa informada pelo usuário.</t>
        </is>
      </c>
    </row>
    <row r="464">
      <c r="A464" s="6" t="inlineStr">
        <is>
          <t>Milho</t>
        </is>
      </c>
      <c r="B464" s="6" t="inlineStr">
        <is>
          <t>João Pessoa - PB</t>
        </is>
      </c>
      <c r="C464" s="6" t="n">
        <v>-7.11509</v>
      </c>
      <c r="D464" s="6" t="n">
        <v>-34.8641</v>
      </c>
      <c r="E464" s="6" t="inlineStr">
        <is>
          <t>2022-07</t>
        </is>
      </c>
      <c r="F464" s="6" t="n">
        <v>44001.2577614565</v>
      </c>
      <c r="G464" s="6" t="inlineStr">
        <is>
          <t>DOMESTICA</t>
        </is>
      </c>
      <c r="H464" s="6" t="inlineStr">
        <is>
          <t>FIXO</t>
        </is>
      </c>
      <c r="I464" s="11">
        <f>IF($H464="AUTO_OFERTA_TOTAL_PRODUTO_PERIODO",SUMIFS(Oferta!$F:$F,Oferta!$A:$A,$A464,Oferta!$E:$E,$E464),$F464)</f>
        <v/>
      </c>
      <c r="J464" s="6" t="inlineStr">
        <is>
          <t>Informado</t>
        </is>
      </c>
      <c r="K464" s="6" t="inlineStr">
        <is>
          <t>Demanda doméstica fixa informada pelo usuário.</t>
        </is>
      </c>
    </row>
    <row r="465">
      <c r="A465" s="6" t="inlineStr">
        <is>
          <t>Milho</t>
        </is>
      </c>
      <c r="B465" s="6" t="inlineStr">
        <is>
          <t>João Pessoa - PB</t>
        </is>
      </c>
      <c r="C465" s="6" t="n">
        <v>-7.11509</v>
      </c>
      <c r="D465" s="6" t="n">
        <v>-34.8641</v>
      </c>
      <c r="E465" s="6" t="inlineStr">
        <is>
          <t>2022-08</t>
        </is>
      </c>
      <c r="F465" s="6" t="n">
        <v>60566.4371540049</v>
      </c>
      <c r="G465" s="6" t="inlineStr">
        <is>
          <t>DOMESTICA</t>
        </is>
      </c>
      <c r="H465" s="6" t="inlineStr">
        <is>
          <t>FIXO</t>
        </is>
      </c>
      <c r="I465" s="11">
        <f>IF($H465="AUTO_OFERTA_TOTAL_PRODUTO_PERIODO",SUMIFS(Oferta!$F:$F,Oferta!$A:$A,$A465,Oferta!$E:$E,$E465),$F465)</f>
        <v/>
      </c>
      <c r="J465" s="6" t="inlineStr">
        <is>
          <t>Informado</t>
        </is>
      </c>
      <c r="K465" s="6" t="inlineStr">
        <is>
          <t>Demanda doméstica fixa informada pelo usuário.</t>
        </is>
      </c>
    </row>
    <row r="466">
      <c r="A466" s="6" t="inlineStr">
        <is>
          <t>Milho</t>
        </is>
      </c>
      <c r="B466" s="6" t="inlineStr">
        <is>
          <t>João Pessoa - PB</t>
        </is>
      </c>
      <c r="C466" s="6" t="n">
        <v>-7.11509</v>
      </c>
      <c r="D466" s="6" t="n">
        <v>-34.8641</v>
      </c>
      <c r="E466" s="6" t="inlineStr">
        <is>
          <t>2022-09</t>
        </is>
      </c>
      <c r="F466" s="6" t="n">
        <v>68849.0268502791</v>
      </c>
      <c r="G466" s="6" t="inlineStr">
        <is>
          <t>DOMESTICA</t>
        </is>
      </c>
      <c r="H466" s="6" t="inlineStr">
        <is>
          <t>FIXO</t>
        </is>
      </c>
      <c r="I466" s="11">
        <f>IF($H466="AUTO_OFERTA_TOTAL_PRODUTO_PERIODO",SUMIFS(Oferta!$F:$F,Oferta!$A:$A,$A466,Oferta!$E:$E,$E466),$F466)</f>
        <v/>
      </c>
      <c r="J466" s="6" t="inlineStr">
        <is>
          <t>Informado</t>
        </is>
      </c>
      <c r="K466" s="6" t="inlineStr">
        <is>
          <t>Demanda doméstica fixa informada pelo usuário.</t>
        </is>
      </c>
    </row>
    <row r="467">
      <c r="A467" s="6" t="inlineStr">
        <is>
          <t>Milho</t>
        </is>
      </c>
      <c r="B467" s="6" t="inlineStr">
        <is>
          <t>João Pessoa - PB</t>
        </is>
      </c>
      <c r="C467" s="6" t="n">
        <v>-7.11509</v>
      </c>
      <c r="D467" s="6" t="n">
        <v>-34.8641</v>
      </c>
      <c r="E467" s="6" t="inlineStr">
        <is>
          <t>2022-10</t>
        </is>
      </c>
      <c r="F467" s="6" t="n">
        <v>68849.0268502791</v>
      </c>
      <c r="G467" s="6" t="inlineStr">
        <is>
          <t>DOMESTICA</t>
        </is>
      </c>
      <c r="H467" s="6" t="inlineStr">
        <is>
          <t>FIXO</t>
        </is>
      </c>
      <c r="I467" s="11">
        <f>IF($H467="AUTO_OFERTA_TOTAL_PRODUTO_PERIODO",SUMIFS(Oferta!$F:$F,Oferta!$A:$A,$A467,Oferta!$E:$E,$E467),$F467)</f>
        <v/>
      </c>
      <c r="J467" s="6" t="inlineStr">
        <is>
          <t>Informado</t>
        </is>
      </c>
      <c r="K467" s="6" t="inlineStr">
        <is>
          <t>Demanda doméstica fixa informada pelo usuário.</t>
        </is>
      </c>
    </row>
    <row r="468">
      <c r="A468" s="6" t="inlineStr">
        <is>
          <t>Milho</t>
        </is>
      </c>
      <c r="B468" s="6" t="inlineStr">
        <is>
          <t>João Pessoa - PB</t>
        </is>
      </c>
      <c r="C468" s="6" t="n">
        <v>-7.11509</v>
      </c>
      <c r="D468" s="6" t="n">
        <v>-34.8641</v>
      </c>
      <c r="E468" s="6" t="inlineStr">
        <is>
          <t>2022-11</t>
        </is>
      </c>
      <c r="F468" s="6" t="n">
        <v>60566.4371540049</v>
      </c>
      <c r="G468" s="6" t="inlineStr">
        <is>
          <t>DOMESTICA</t>
        </is>
      </c>
      <c r="H468" s="6" t="inlineStr">
        <is>
          <t>FIXO</t>
        </is>
      </c>
      <c r="I468" s="11">
        <f>IF($H468="AUTO_OFERTA_TOTAL_PRODUTO_PERIODO",SUMIFS(Oferta!$F:$F,Oferta!$A:$A,$A468,Oferta!$E:$E,$E468),$F468)</f>
        <v/>
      </c>
      <c r="J468" s="6" t="inlineStr">
        <is>
          <t>Informado</t>
        </is>
      </c>
      <c r="K468" s="6" t="inlineStr">
        <is>
          <t>Demanda doméstica fixa informada pelo usuário.</t>
        </is>
      </c>
    </row>
    <row r="469">
      <c r="A469" s="6" t="inlineStr">
        <is>
          <t>Milho</t>
        </is>
      </c>
      <c r="B469" s="6" t="inlineStr">
        <is>
          <t>João Pessoa - PB</t>
        </is>
      </c>
      <c r="C469" s="6" t="n">
        <v>-7.11509</v>
      </c>
      <c r="D469" s="6" t="n">
        <v>-34.8641</v>
      </c>
      <c r="E469" s="6" t="inlineStr">
        <is>
          <t>2022-12</t>
        </is>
      </c>
      <c r="F469" s="6" t="n">
        <v>48142.5526095936</v>
      </c>
      <c r="G469" s="6" t="inlineStr">
        <is>
          <t>DOMESTICA</t>
        </is>
      </c>
      <c r="H469" s="6" t="inlineStr">
        <is>
          <t>FIXO</t>
        </is>
      </c>
      <c r="I469" s="11">
        <f>IF($H469="AUTO_OFERTA_TOTAL_PRODUTO_PERIODO",SUMIFS(Oferta!$F:$F,Oferta!$A:$A,$A469,Oferta!$E:$E,$E469),$F469)</f>
        <v/>
      </c>
      <c r="J469" s="6" t="inlineStr">
        <is>
          <t>Informado</t>
        </is>
      </c>
      <c r="K469" s="6" t="inlineStr">
        <is>
          <t>Demanda doméstica fixa informada pelo usuário.</t>
        </is>
      </c>
    </row>
    <row r="470">
      <c r="A470" s="6" t="inlineStr">
        <is>
          <t>Milho</t>
        </is>
      </c>
      <c r="B470" s="6" t="inlineStr">
        <is>
          <t>Recife - PE</t>
        </is>
      </c>
      <c r="C470" s="6" t="n">
        <v>-8.046659999999999</v>
      </c>
      <c r="D470" s="6" t="n">
        <v>-34.8771</v>
      </c>
      <c r="E470" s="6" t="inlineStr">
        <is>
          <t>2022-01</t>
        </is>
      </c>
      <c r="F470" s="6" t="n">
        <v>108943.1739413747</v>
      </c>
      <c r="G470" s="6" t="inlineStr">
        <is>
          <t>DOMESTICA</t>
        </is>
      </c>
      <c r="H470" s="6" t="inlineStr">
        <is>
          <t>FIXO</t>
        </is>
      </c>
      <c r="I470" s="11">
        <f>IF($H470="AUTO_OFERTA_TOTAL_PRODUTO_PERIODO",SUMIFS(Oferta!$F:$F,Oferta!$A:$A,$A470,Oferta!$E:$E,$E470),$F470)</f>
        <v/>
      </c>
      <c r="J470" s="6" t="inlineStr">
        <is>
          <t>Informado</t>
        </is>
      </c>
      <c r="K470" s="6" t="inlineStr">
        <is>
          <t>Demanda doméstica fixa informada pelo usuário.</t>
        </is>
      </c>
    </row>
    <row r="471">
      <c r="A471" s="6" t="inlineStr">
        <is>
          <t>Milho</t>
        </is>
      </c>
      <c r="B471" s="6" t="inlineStr">
        <is>
          <t>Recife - PE</t>
        </is>
      </c>
      <c r="C471" s="6" t="n">
        <v>-8.046659999999999</v>
      </c>
      <c r="D471" s="6" t="n">
        <v>-34.8771</v>
      </c>
      <c r="E471" s="6" t="inlineStr">
        <is>
          <t>2022-02</t>
        </is>
      </c>
      <c r="F471" s="6" t="n">
        <v>88436.22355241</v>
      </c>
      <c r="G471" s="6" t="inlineStr">
        <is>
          <t>DOMESTICA</t>
        </is>
      </c>
      <c r="H471" s="6" t="inlineStr">
        <is>
          <t>FIXO</t>
        </is>
      </c>
      <c r="I471" s="11">
        <f>IF($H471="AUTO_OFERTA_TOTAL_PRODUTO_PERIODO",SUMIFS(Oferta!$F:$F,Oferta!$A:$A,$A471,Oferta!$E:$E,$E471),$F471)</f>
        <v/>
      </c>
      <c r="J471" s="6" t="inlineStr">
        <is>
          <t>Informado</t>
        </is>
      </c>
      <c r="K471" s="6" t="inlineStr">
        <is>
          <t>Demanda doméstica fixa informada pelo usuário.</t>
        </is>
      </c>
    </row>
    <row r="472">
      <c r="A472" s="6" t="inlineStr">
        <is>
          <t>Milho</t>
        </is>
      </c>
      <c r="B472" s="6" t="inlineStr">
        <is>
          <t>Recife - PE</t>
        </is>
      </c>
      <c r="C472" s="6" t="n">
        <v>-8.046659999999999</v>
      </c>
      <c r="D472" s="6" t="n">
        <v>-34.8771</v>
      </c>
      <c r="E472" s="6" t="inlineStr">
        <is>
          <t>2022-03</t>
        </is>
      </c>
      <c r="F472" s="6" t="n">
        <v>67929.2731634454</v>
      </c>
      <c r="G472" s="6" t="inlineStr">
        <is>
          <t>DOMESTICA</t>
        </is>
      </c>
      <c r="H472" s="6" t="inlineStr">
        <is>
          <t>FIXO</t>
        </is>
      </c>
      <c r="I472" s="11">
        <f>IF($H472="AUTO_OFERTA_TOTAL_PRODUTO_PERIODO",SUMIFS(Oferta!$F:$F,Oferta!$A:$A,$A472,Oferta!$E:$E,$E472),$F472)</f>
        <v/>
      </c>
      <c r="J472" s="6" t="inlineStr">
        <is>
          <t>Informado</t>
        </is>
      </c>
      <c r="K472" s="6" t="inlineStr">
        <is>
          <t>Demanda doméstica fixa informada pelo usuário.</t>
        </is>
      </c>
    </row>
    <row r="473">
      <c r="A473" s="6" t="inlineStr">
        <is>
          <t>Milho</t>
        </is>
      </c>
      <c r="B473" s="6" t="inlineStr">
        <is>
          <t>Recife - PE</t>
        </is>
      </c>
      <c r="C473" s="6" t="n">
        <v>-8.046659999999999</v>
      </c>
      <c r="D473" s="6" t="n">
        <v>-34.8771</v>
      </c>
      <c r="E473" s="6" t="inlineStr">
        <is>
          <t>2022-04</t>
        </is>
      </c>
      <c r="F473" s="6" t="n">
        <v>67929.2731634454</v>
      </c>
      <c r="G473" s="6" t="inlineStr">
        <is>
          <t>DOMESTICA</t>
        </is>
      </c>
      <c r="H473" s="6" t="inlineStr">
        <is>
          <t>FIXO</t>
        </is>
      </c>
      <c r="I473" s="11">
        <f>IF($H473="AUTO_OFERTA_TOTAL_PRODUTO_PERIODO",SUMIFS(Oferta!$F:$F,Oferta!$A:$A,$A473,Oferta!$E:$E,$E473),$F473)</f>
        <v/>
      </c>
      <c r="J473" s="6" t="inlineStr">
        <is>
          <t>Informado</t>
        </is>
      </c>
      <c r="K473" s="6" t="inlineStr">
        <is>
          <t>Demanda doméstica fixa informada pelo usuário.</t>
        </is>
      </c>
    </row>
    <row r="474">
      <c r="A474" s="6" t="inlineStr">
        <is>
          <t>Milho</t>
        </is>
      </c>
      <c r="B474" s="6" t="inlineStr">
        <is>
          <t>Recife - PE</t>
        </is>
      </c>
      <c r="C474" s="6" t="n">
        <v>-8.046659999999999</v>
      </c>
      <c r="D474" s="6" t="n">
        <v>-34.8771</v>
      </c>
      <c r="E474" s="6" t="inlineStr">
        <is>
          <t>2022-05</t>
        </is>
      </c>
      <c r="F474" s="6" t="n">
        <v>88436.22355241</v>
      </c>
      <c r="G474" s="6" t="inlineStr">
        <is>
          <t>DOMESTICA</t>
        </is>
      </c>
      <c r="H474" s="6" t="inlineStr">
        <is>
          <t>FIXO</t>
        </is>
      </c>
      <c r="I474" s="11">
        <f>IF($H474="AUTO_OFERTA_TOTAL_PRODUTO_PERIODO",SUMIFS(Oferta!$F:$F,Oferta!$A:$A,$A474,Oferta!$E:$E,$E474),$F474)</f>
        <v/>
      </c>
      <c r="J474" s="6" t="inlineStr">
        <is>
          <t>Informado</t>
        </is>
      </c>
      <c r="K474" s="6" t="inlineStr">
        <is>
          <t>Demanda doméstica fixa informada pelo usuário.</t>
        </is>
      </c>
    </row>
    <row r="475">
      <c r="A475" s="6" t="inlineStr">
        <is>
          <t>Milho</t>
        </is>
      </c>
      <c r="B475" s="6" t="inlineStr">
        <is>
          <t>Recife - PE</t>
        </is>
      </c>
      <c r="C475" s="6" t="n">
        <v>-8.046659999999999</v>
      </c>
      <c r="D475" s="6" t="n">
        <v>-34.8771</v>
      </c>
      <c r="E475" s="6" t="inlineStr">
        <is>
          <t>2022-06</t>
        </is>
      </c>
      <c r="F475" s="6" t="n">
        <v>170464.0251082686</v>
      </c>
      <c r="G475" s="6" t="inlineStr">
        <is>
          <t>DOMESTICA</t>
        </is>
      </c>
      <c r="H475" s="6" t="inlineStr">
        <is>
          <t>FIXO</t>
        </is>
      </c>
      <c r="I475" s="11">
        <f>IF($H475="AUTO_OFERTA_TOTAL_PRODUTO_PERIODO",SUMIFS(Oferta!$F:$F,Oferta!$A:$A,$A475,Oferta!$E:$E,$E475),$F475)</f>
        <v/>
      </c>
      <c r="J475" s="6" t="inlineStr">
        <is>
          <t>Informado</t>
        </is>
      </c>
      <c r="K475" s="6" t="inlineStr">
        <is>
          <t>Demanda doméstica fixa informada pelo usuário.</t>
        </is>
      </c>
    </row>
    <row r="476">
      <c r="A476" s="6" t="inlineStr">
        <is>
          <t>Milho</t>
        </is>
      </c>
      <c r="B476" s="6" t="inlineStr">
        <is>
          <t>Recife - PE</t>
        </is>
      </c>
      <c r="C476" s="6" t="n">
        <v>-8.046659999999999</v>
      </c>
      <c r="D476" s="6" t="n">
        <v>-34.8771</v>
      </c>
      <c r="E476" s="6" t="inlineStr">
        <is>
          <t>2022-07</t>
        </is>
      </c>
      <c r="F476" s="6" t="n">
        <v>211477.9258861979</v>
      </c>
      <c r="G476" s="6" t="inlineStr">
        <is>
          <t>DOMESTICA</t>
        </is>
      </c>
      <c r="H476" s="6" t="inlineStr">
        <is>
          <t>FIXO</t>
        </is>
      </c>
      <c r="I476" s="11">
        <f>IF($H476="AUTO_OFERTA_TOTAL_PRODUTO_PERIODO",SUMIFS(Oferta!$F:$F,Oferta!$A:$A,$A476,Oferta!$E:$E,$E476),$F476)</f>
        <v/>
      </c>
      <c r="J476" s="6" t="inlineStr">
        <is>
          <t>Informado</t>
        </is>
      </c>
      <c r="K476" s="6" t="inlineStr">
        <is>
          <t>Demanda doméstica fixa informada pelo usuário.</t>
        </is>
      </c>
    </row>
    <row r="477">
      <c r="A477" s="6" t="inlineStr">
        <is>
          <t>Milho</t>
        </is>
      </c>
      <c r="B477" s="6" t="inlineStr">
        <is>
          <t>Recife - PE</t>
        </is>
      </c>
      <c r="C477" s="6" t="n">
        <v>-8.046659999999999</v>
      </c>
      <c r="D477" s="6" t="n">
        <v>-34.8771</v>
      </c>
      <c r="E477" s="6" t="inlineStr">
        <is>
          <t>2022-08</t>
        </is>
      </c>
      <c r="F477" s="6" t="n">
        <v>211477.9258861979</v>
      </c>
      <c r="G477" s="6" t="inlineStr">
        <is>
          <t>DOMESTICA</t>
        </is>
      </c>
      <c r="H477" s="6" t="inlineStr">
        <is>
          <t>FIXO</t>
        </is>
      </c>
      <c r="I477" s="11">
        <f>IF($H477="AUTO_OFERTA_TOTAL_PRODUTO_PERIODO",SUMIFS(Oferta!$F:$F,Oferta!$A:$A,$A477,Oferta!$E:$E,$E477),$F477)</f>
        <v/>
      </c>
      <c r="J477" s="6" t="inlineStr">
        <is>
          <t>Informado</t>
        </is>
      </c>
      <c r="K477" s="6" t="inlineStr">
        <is>
          <t>Demanda doméstica fixa informada pelo usuário.</t>
        </is>
      </c>
    </row>
    <row r="478">
      <c r="A478" s="6" t="inlineStr">
        <is>
          <t>Milho</t>
        </is>
      </c>
      <c r="B478" s="6" t="inlineStr">
        <is>
          <t>Recife - PE</t>
        </is>
      </c>
      <c r="C478" s="6" t="n">
        <v>-8.046659999999999</v>
      </c>
      <c r="D478" s="6" t="n">
        <v>-34.8771</v>
      </c>
      <c r="E478" s="6" t="inlineStr">
        <is>
          <t>2022-09</t>
        </is>
      </c>
      <c r="F478" s="6" t="n">
        <v>190970.9754972332</v>
      </c>
      <c r="G478" s="6" t="inlineStr">
        <is>
          <t>DOMESTICA</t>
        </is>
      </c>
      <c r="H478" s="6" t="inlineStr">
        <is>
          <t>FIXO</t>
        </is>
      </c>
      <c r="I478" s="11">
        <f>IF($H478="AUTO_OFERTA_TOTAL_PRODUTO_PERIODO",SUMIFS(Oferta!$F:$F,Oferta!$A:$A,$A478,Oferta!$E:$E,$E478),$F478)</f>
        <v/>
      </c>
      <c r="J478" s="6" t="inlineStr">
        <is>
          <t>Informado</t>
        </is>
      </c>
      <c r="K478" s="6" t="inlineStr">
        <is>
          <t>Demanda doméstica fixa informada pelo usuário.</t>
        </is>
      </c>
    </row>
    <row r="479">
      <c r="A479" s="6" t="inlineStr">
        <is>
          <t>Milho</t>
        </is>
      </c>
      <c r="B479" s="6" t="inlineStr">
        <is>
          <t>Recife - PE</t>
        </is>
      </c>
      <c r="C479" s="6" t="n">
        <v>-8.046659999999999</v>
      </c>
      <c r="D479" s="6" t="n">
        <v>-34.8771</v>
      </c>
      <c r="E479" s="6" t="inlineStr">
        <is>
          <t>2022-10</t>
        </is>
      </c>
      <c r="F479" s="6" t="n">
        <v>170464.0251082686</v>
      </c>
      <c r="G479" s="6" t="inlineStr">
        <is>
          <t>DOMESTICA</t>
        </is>
      </c>
      <c r="H479" s="6" t="inlineStr">
        <is>
          <t>FIXO</t>
        </is>
      </c>
      <c r="I479" s="11">
        <f>IF($H479="AUTO_OFERTA_TOTAL_PRODUTO_PERIODO",SUMIFS(Oferta!$F:$F,Oferta!$A:$A,$A479,Oferta!$E:$E,$E479),$F479)</f>
        <v/>
      </c>
      <c r="J479" s="6" t="inlineStr">
        <is>
          <t>Informado</t>
        </is>
      </c>
      <c r="K479" s="6" t="inlineStr">
        <is>
          <t>Demanda doméstica fixa informada pelo usuário.</t>
        </is>
      </c>
    </row>
    <row r="480">
      <c r="A480" s="6" t="inlineStr">
        <is>
          <t>Milho</t>
        </is>
      </c>
      <c r="B480" s="6" t="inlineStr">
        <is>
          <t>Recife - PE</t>
        </is>
      </c>
      <c r="C480" s="6" t="n">
        <v>-8.046659999999999</v>
      </c>
      <c r="D480" s="6" t="n">
        <v>-34.8771</v>
      </c>
      <c r="E480" s="6" t="inlineStr">
        <is>
          <t>2022-11</t>
        </is>
      </c>
      <c r="F480" s="6" t="n">
        <v>170464.0251082686</v>
      </c>
      <c r="G480" s="6" t="inlineStr">
        <is>
          <t>DOMESTICA</t>
        </is>
      </c>
      <c r="H480" s="6" t="inlineStr">
        <is>
          <t>FIXO</t>
        </is>
      </c>
      <c r="I480" s="11">
        <f>IF($H480="AUTO_OFERTA_TOTAL_PRODUTO_PERIODO",SUMIFS(Oferta!$F:$F,Oferta!$A:$A,$A480,Oferta!$E:$E,$E480),$F480)</f>
        <v/>
      </c>
      <c r="J480" s="6" t="inlineStr">
        <is>
          <t>Informado</t>
        </is>
      </c>
      <c r="K480" s="6" t="inlineStr">
        <is>
          <t>Demanda doméstica fixa informada pelo usuário.</t>
        </is>
      </c>
    </row>
    <row r="481">
      <c r="A481" s="6" t="inlineStr">
        <is>
          <t>Milho</t>
        </is>
      </c>
      <c r="B481" s="6" t="inlineStr">
        <is>
          <t>Recife - PE</t>
        </is>
      </c>
      <c r="C481" s="6" t="n">
        <v>-8.046659999999999</v>
      </c>
      <c r="D481" s="6" t="n">
        <v>-34.8771</v>
      </c>
      <c r="E481" s="6" t="inlineStr">
        <is>
          <t>2022-12</t>
        </is>
      </c>
      <c r="F481" s="6" t="n">
        <v>129450.1243303393</v>
      </c>
      <c r="G481" s="6" t="inlineStr">
        <is>
          <t>DOMESTICA</t>
        </is>
      </c>
      <c r="H481" s="6" t="inlineStr">
        <is>
          <t>FIXO</t>
        </is>
      </c>
      <c r="I481" s="11">
        <f>IF($H481="AUTO_OFERTA_TOTAL_PRODUTO_PERIODO",SUMIFS(Oferta!$F:$F,Oferta!$A:$A,$A481,Oferta!$E:$E,$E481),$F481)</f>
        <v/>
      </c>
      <c r="J481" s="6" t="inlineStr">
        <is>
          <t>Informado</t>
        </is>
      </c>
      <c r="K481" s="6" t="inlineStr">
        <is>
          <t>Demanda doméstica fixa informada pelo usuário.</t>
        </is>
      </c>
    </row>
    <row r="482">
      <c r="A482" s="6" t="inlineStr">
        <is>
          <t>Milho</t>
        </is>
      </c>
      <c r="B482" s="6" t="inlineStr">
        <is>
          <t>Teresina - PI</t>
        </is>
      </c>
      <c r="C482" s="6" t="n">
        <v>-5.09194</v>
      </c>
      <c r="D482" s="6" t="n">
        <v>-42.8034</v>
      </c>
      <c r="E482" s="6" t="inlineStr">
        <is>
          <t>2022-01</t>
        </is>
      </c>
      <c r="F482" s="6" t="n">
        <v>27304.3291500085</v>
      </c>
      <c r="G482" s="6" t="inlineStr">
        <is>
          <t>DOMESTICA</t>
        </is>
      </c>
      <c r="H482" s="6" t="inlineStr">
        <is>
          <t>FIXO</t>
        </is>
      </c>
      <c r="I482" s="11">
        <f>IF($H482="AUTO_OFERTA_TOTAL_PRODUTO_PERIODO",SUMIFS(Oferta!$F:$F,Oferta!$A:$A,$A482,Oferta!$E:$E,$E482),$F482)</f>
        <v/>
      </c>
      <c r="J482" s="6" t="inlineStr">
        <is>
          <t>Informado</t>
        </is>
      </c>
      <c r="K482" s="6" t="inlineStr">
        <is>
          <t>Demanda doméstica fixa informada pelo usuário.</t>
        </is>
      </c>
    </row>
    <row r="483">
      <c r="A483" s="6" t="inlineStr">
        <is>
          <t>Milho</t>
        </is>
      </c>
      <c r="B483" s="6" t="inlineStr">
        <is>
          <t>Teresina - PI</t>
        </is>
      </c>
      <c r="C483" s="6" t="n">
        <v>-5.09194</v>
      </c>
      <c r="D483" s="6" t="n">
        <v>-42.8034</v>
      </c>
      <c r="E483" s="6" t="inlineStr">
        <is>
          <t>2022-02</t>
        </is>
      </c>
      <c r="F483" s="6" t="n">
        <v>27304.3291500085</v>
      </c>
      <c r="G483" s="6" t="inlineStr">
        <is>
          <t>DOMESTICA</t>
        </is>
      </c>
      <c r="H483" s="6" t="inlineStr">
        <is>
          <t>FIXO</t>
        </is>
      </c>
      <c r="I483" s="11">
        <f>IF($H483="AUTO_OFERTA_TOTAL_PRODUTO_PERIODO",SUMIFS(Oferta!$F:$F,Oferta!$A:$A,$A483,Oferta!$E:$E,$E483),$F483)</f>
        <v/>
      </c>
      <c r="J483" s="6" t="inlineStr">
        <is>
          <t>Informado</t>
        </is>
      </c>
      <c r="K483" s="6" t="inlineStr">
        <is>
          <t>Demanda doméstica fixa informada pelo usuário.</t>
        </is>
      </c>
    </row>
    <row r="484">
      <c r="A484" s="6" t="inlineStr">
        <is>
          <t>Milho</t>
        </is>
      </c>
      <c r="B484" s="6" t="inlineStr">
        <is>
          <t>Teresina - PI</t>
        </is>
      </c>
      <c r="C484" s="6" t="n">
        <v>-5.09194</v>
      </c>
      <c r="D484" s="6" t="n">
        <v>-42.8034</v>
      </c>
      <c r="E484" s="6" t="inlineStr">
        <is>
          <t>2022-03</t>
        </is>
      </c>
      <c r="F484" s="6" t="n">
        <v>31425.7373235947</v>
      </c>
      <c r="G484" s="6" t="inlineStr">
        <is>
          <t>DOMESTICA</t>
        </is>
      </c>
      <c r="H484" s="6" t="inlineStr">
        <is>
          <t>FIXO</t>
        </is>
      </c>
      <c r="I484" s="11">
        <f>IF($H484="AUTO_OFERTA_TOTAL_PRODUTO_PERIODO",SUMIFS(Oferta!$F:$F,Oferta!$A:$A,$A484,Oferta!$E:$E,$E484),$F484)</f>
        <v/>
      </c>
      <c r="J484" s="6" t="inlineStr">
        <is>
          <t>Informado</t>
        </is>
      </c>
      <c r="K484" s="6" t="inlineStr">
        <is>
          <t>Demanda doméstica fixa informada pelo usuário.</t>
        </is>
      </c>
    </row>
    <row r="485">
      <c r="A485" s="6" t="inlineStr">
        <is>
          <t>Milho</t>
        </is>
      </c>
      <c r="B485" s="6" t="inlineStr">
        <is>
          <t>Teresina - PI</t>
        </is>
      </c>
      <c r="C485" s="6" t="n">
        <v>-5.09194</v>
      </c>
      <c r="D485" s="6" t="n">
        <v>-42.8034</v>
      </c>
      <c r="E485" s="6" t="inlineStr">
        <is>
          <t>2022-04</t>
        </is>
      </c>
      <c r="F485" s="6" t="n">
        <v>39668.5536707671</v>
      </c>
      <c r="G485" s="6" t="inlineStr">
        <is>
          <t>DOMESTICA</t>
        </is>
      </c>
      <c r="H485" s="6" t="inlineStr">
        <is>
          <t>FIXO</t>
        </is>
      </c>
      <c r="I485" s="11">
        <f>IF($H485="AUTO_OFERTA_TOTAL_PRODUTO_PERIODO",SUMIFS(Oferta!$F:$F,Oferta!$A:$A,$A485,Oferta!$E:$E,$E485),$F485)</f>
        <v/>
      </c>
      <c r="J485" s="6" t="inlineStr">
        <is>
          <t>Informado</t>
        </is>
      </c>
      <c r="K485" s="6" t="inlineStr">
        <is>
          <t>Demanda doméstica fixa informada pelo usuário.</t>
        </is>
      </c>
    </row>
    <row r="486">
      <c r="A486" s="6" t="inlineStr">
        <is>
          <t>Milho</t>
        </is>
      </c>
      <c r="B486" s="6" t="inlineStr">
        <is>
          <t>Teresina - PI</t>
        </is>
      </c>
      <c r="C486" s="6" t="n">
        <v>-5.09194</v>
      </c>
      <c r="D486" s="6" t="n">
        <v>-42.8034</v>
      </c>
      <c r="E486" s="6" t="inlineStr">
        <is>
          <t>2022-05</t>
        </is>
      </c>
      <c r="F486" s="6" t="n">
        <v>56154.1863651119</v>
      </c>
      <c r="G486" s="6" t="inlineStr">
        <is>
          <t>DOMESTICA</t>
        </is>
      </c>
      <c r="H486" s="6" t="inlineStr">
        <is>
          <t>FIXO</t>
        </is>
      </c>
      <c r="I486" s="11">
        <f>IF($H486="AUTO_OFERTA_TOTAL_PRODUTO_PERIODO",SUMIFS(Oferta!$F:$F,Oferta!$A:$A,$A486,Oferta!$E:$E,$E486),$F486)</f>
        <v/>
      </c>
      <c r="J486" s="6" t="inlineStr">
        <is>
          <t>Informado</t>
        </is>
      </c>
      <c r="K486" s="6" t="inlineStr">
        <is>
          <t>Demanda doméstica fixa informada pelo usuário.</t>
        </is>
      </c>
    </row>
    <row r="487">
      <c r="A487" s="6" t="inlineStr">
        <is>
          <t>Milho</t>
        </is>
      </c>
      <c r="B487" s="6" t="inlineStr">
        <is>
          <t>Teresina - PI</t>
        </is>
      </c>
      <c r="C487" s="6" t="n">
        <v>-5.09194</v>
      </c>
      <c r="D487" s="6" t="n">
        <v>-42.8034</v>
      </c>
      <c r="E487" s="6" t="inlineStr">
        <is>
          <t>2022-06</t>
        </is>
      </c>
      <c r="F487" s="6" t="n">
        <v>76761.2272330429</v>
      </c>
      <c r="G487" s="6" t="inlineStr">
        <is>
          <t>DOMESTICA</t>
        </is>
      </c>
      <c r="H487" s="6" t="inlineStr">
        <is>
          <t>FIXO</t>
        </is>
      </c>
      <c r="I487" s="11">
        <f>IF($H487="AUTO_OFERTA_TOTAL_PRODUTO_PERIODO",SUMIFS(Oferta!$F:$F,Oferta!$A:$A,$A487,Oferta!$E:$E,$E487),$F487)</f>
        <v/>
      </c>
      <c r="J487" s="6" t="inlineStr">
        <is>
          <t>Informado</t>
        </is>
      </c>
      <c r="K487" s="6" t="inlineStr">
        <is>
          <t>Demanda doméstica fixa informada pelo usuário.</t>
        </is>
      </c>
    </row>
    <row r="488">
      <c r="A488" s="6" t="inlineStr">
        <is>
          <t>Milho</t>
        </is>
      </c>
      <c r="B488" s="6" t="inlineStr">
        <is>
          <t>Teresina - PI</t>
        </is>
      </c>
      <c r="C488" s="6" t="n">
        <v>-5.09194</v>
      </c>
      <c r="D488" s="6" t="n">
        <v>-42.8034</v>
      </c>
      <c r="E488" s="6" t="inlineStr">
        <is>
          <t>2022-07</t>
        </is>
      </c>
      <c r="F488" s="6" t="n">
        <v>93246.8599273877</v>
      </c>
      <c r="G488" s="6" t="inlineStr">
        <is>
          <t>DOMESTICA</t>
        </is>
      </c>
      <c r="H488" s="6" t="inlineStr">
        <is>
          <t>FIXO</t>
        </is>
      </c>
      <c r="I488" s="11">
        <f>IF($H488="AUTO_OFERTA_TOTAL_PRODUTO_PERIODO",SUMIFS(Oferta!$F:$F,Oferta!$A:$A,$A488,Oferta!$E:$E,$E488),$F488)</f>
        <v/>
      </c>
      <c r="J488" s="6" t="inlineStr">
        <is>
          <t>Informado</t>
        </is>
      </c>
      <c r="K488" s="6" t="inlineStr">
        <is>
          <t>Demanda doméstica fixa informada pelo usuário.</t>
        </is>
      </c>
    </row>
    <row r="489">
      <c r="A489" s="6" t="inlineStr">
        <is>
          <t>Milho</t>
        </is>
      </c>
      <c r="B489" s="6" t="inlineStr">
        <is>
          <t>Teresina - PI</t>
        </is>
      </c>
      <c r="C489" s="6" t="n">
        <v>-5.09194</v>
      </c>
      <c r="D489" s="6" t="n">
        <v>-42.8034</v>
      </c>
      <c r="E489" s="6" t="inlineStr">
        <is>
          <t>2022-08</t>
        </is>
      </c>
      <c r="F489" s="6" t="n">
        <v>93246.8599273877</v>
      </c>
      <c r="G489" s="6" t="inlineStr">
        <is>
          <t>DOMESTICA</t>
        </is>
      </c>
      <c r="H489" s="6" t="inlineStr">
        <is>
          <t>FIXO</t>
        </is>
      </c>
      <c r="I489" s="11">
        <f>IF($H489="AUTO_OFERTA_TOTAL_PRODUTO_PERIODO",SUMIFS(Oferta!$F:$F,Oferta!$A:$A,$A489,Oferta!$E:$E,$E489),$F489)</f>
        <v/>
      </c>
      <c r="J489" s="6" t="inlineStr">
        <is>
          <t>Informado</t>
        </is>
      </c>
      <c r="K489" s="6" t="inlineStr">
        <is>
          <t>Demanda doméstica fixa informada pelo usuário.</t>
        </is>
      </c>
    </row>
    <row r="490">
      <c r="A490" s="6" t="inlineStr">
        <is>
          <t>Milho</t>
        </is>
      </c>
      <c r="B490" s="6" t="inlineStr">
        <is>
          <t>Teresina - PI</t>
        </is>
      </c>
      <c r="C490" s="6" t="n">
        <v>-5.09194</v>
      </c>
      <c r="D490" s="6" t="n">
        <v>-42.8034</v>
      </c>
      <c r="E490" s="6" t="inlineStr">
        <is>
          <t>2022-09</t>
        </is>
      </c>
      <c r="F490" s="6" t="n">
        <v>76761.2272330429</v>
      </c>
      <c r="G490" s="6" t="inlineStr">
        <is>
          <t>DOMESTICA</t>
        </is>
      </c>
      <c r="H490" s="6" t="inlineStr">
        <is>
          <t>FIXO</t>
        </is>
      </c>
      <c r="I490" s="11">
        <f>IF($H490="AUTO_OFERTA_TOTAL_PRODUTO_PERIODO",SUMIFS(Oferta!$F:$F,Oferta!$A:$A,$A490,Oferta!$E:$E,$E490),$F490)</f>
        <v/>
      </c>
      <c r="J490" s="6" t="inlineStr">
        <is>
          <t>Informado</t>
        </is>
      </c>
      <c r="K490" s="6" t="inlineStr">
        <is>
          <t>Demanda doméstica fixa informada pelo usuário.</t>
        </is>
      </c>
    </row>
    <row r="491">
      <c r="A491" s="6" t="inlineStr">
        <is>
          <t>Milho</t>
        </is>
      </c>
      <c r="B491" s="6" t="inlineStr">
        <is>
          <t>Teresina - PI</t>
        </is>
      </c>
      <c r="C491" s="6" t="n">
        <v>-5.09194</v>
      </c>
      <c r="D491" s="6" t="n">
        <v>-42.8034</v>
      </c>
      <c r="E491" s="6" t="inlineStr">
        <is>
          <t>2022-10</t>
        </is>
      </c>
      <c r="F491" s="6" t="n">
        <v>52032.7781915257</v>
      </c>
      <c r="G491" s="6" t="inlineStr">
        <is>
          <t>DOMESTICA</t>
        </is>
      </c>
      <c r="H491" s="6" t="inlineStr">
        <is>
          <t>FIXO</t>
        </is>
      </c>
      <c r="I491" s="11">
        <f>IF($H491="AUTO_OFERTA_TOTAL_PRODUTO_PERIODO",SUMIFS(Oferta!$F:$F,Oferta!$A:$A,$A491,Oferta!$E:$E,$E491),$F491)</f>
        <v/>
      </c>
      <c r="J491" s="6" t="inlineStr">
        <is>
          <t>Informado</t>
        </is>
      </c>
      <c r="K491" s="6" t="inlineStr">
        <is>
          <t>Demanda doméstica fixa informada pelo usuário.</t>
        </is>
      </c>
    </row>
    <row r="492">
      <c r="A492" s="6" t="inlineStr">
        <is>
          <t>Milho</t>
        </is>
      </c>
      <c r="B492" s="6" t="inlineStr">
        <is>
          <t>Teresina - PI</t>
        </is>
      </c>
      <c r="C492" s="6" t="n">
        <v>-5.09194</v>
      </c>
      <c r="D492" s="6" t="n">
        <v>-42.8034</v>
      </c>
      <c r="E492" s="6" t="inlineStr">
        <is>
          <t>2022-11</t>
        </is>
      </c>
      <c r="F492" s="6" t="n">
        <v>35547.1454971809</v>
      </c>
      <c r="G492" s="6" t="inlineStr">
        <is>
          <t>DOMESTICA</t>
        </is>
      </c>
      <c r="H492" s="6" t="inlineStr">
        <is>
          <t>FIXO</t>
        </is>
      </c>
      <c r="I492" s="11">
        <f>IF($H492="AUTO_OFERTA_TOTAL_PRODUTO_PERIODO",SUMIFS(Oferta!$F:$F,Oferta!$A:$A,$A492,Oferta!$E:$E,$E492),$F492)</f>
        <v/>
      </c>
      <c r="J492" s="6" t="inlineStr">
        <is>
          <t>Informado</t>
        </is>
      </c>
      <c r="K492" s="6" t="inlineStr">
        <is>
          <t>Demanda doméstica fixa informada pelo usuário.</t>
        </is>
      </c>
    </row>
    <row r="493">
      <c r="A493" s="6" t="inlineStr">
        <is>
          <t>Milho</t>
        </is>
      </c>
      <c r="B493" s="6" t="inlineStr">
        <is>
          <t>Teresina - PI</t>
        </is>
      </c>
      <c r="C493" s="6" t="n">
        <v>-5.09194</v>
      </c>
      <c r="D493" s="6" t="n">
        <v>-42.8034</v>
      </c>
      <c r="E493" s="6" t="inlineStr">
        <is>
          <t>2022-12</t>
        </is>
      </c>
      <c r="F493" s="6" t="n">
        <v>27304.3291500085</v>
      </c>
      <c r="G493" s="6" t="inlineStr">
        <is>
          <t>DOMESTICA</t>
        </is>
      </c>
      <c r="H493" s="6" t="inlineStr">
        <is>
          <t>FIXO</t>
        </is>
      </c>
      <c r="I493" s="11">
        <f>IF($H493="AUTO_OFERTA_TOTAL_PRODUTO_PERIODO",SUMIFS(Oferta!$F:$F,Oferta!$A:$A,$A493,Oferta!$E:$E,$E493),$F493)</f>
        <v/>
      </c>
      <c r="J493" s="6" t="inlineStr">
        <is>
          <t>Informado</t>
        </is>
      </c>
      <c r="K493" s="6" t="inlineStr">
        <is>
          <t>Demanda doméstica fixa informada pelo usuário.</t>
        </is>
      </c>
    </row>
    <row r="494">
      <c r="A494" s="6" t="inlineStr">
        <is>
          <t>Milho</t>
        </is>
      </c>
      <c r="B494" s="6" t="inlineStr">
        <is>
          <t>Aracaju - SE</t>
        </is>
      </c>
      <c r="C494" s="6" t="n">
        <v>-10.9091</v>
      </c>
      <c r="D494" s="6" t="n">
        <v>-37.0677</v>
      </c>
      <c r="E494" s="6" t="inlineStr">
        <is>
          <t>2022-01</t>
        </is>
      </c>
      <c r="F494" s="6" t="n">
        <v>47968.2070311782</v>
      </c>
      <c r="G494" s="6" t="inlineStr">
        <is>
          <t>DOMESTICA</t>
        </is>
      </c>
      <c r="H494" s="6" t="inlineStr">
        <is>
          <t>FIXO</t>
        </is>
      </c>
      <c r="I494" s="11">
        <f>IF($H494="AUTO_OFERTA_TOTAL_PRODUTO_PERIODO",SUMIFS(Oferta!$F:$F,Oferta!$A:$A,$A494,Oferta!$E:$E,$E494),$F494)</f>
        <v/>
      </c>
      <c r="J494" s="6" t="inlineStr">
        <is>
          <t>Informado</t>
        </is>
      </c>
      <c r="K494" s="6" t="inlineStr">
        <is>
          <t>Demanda doméstica fixa informada pelo usuário.</t>
        </is>
      </c>
    </row>
    <row r="495">
      <c r="A495" s="6" t="inlineStr">
        <is>
          <t>Milho</t>
        </is>
      </c>
      <c r="B495" s="6" t="inlineStr">
        <is>
          <t>Aracaju - SE</t>
        </is>
      </c>
      <c r="C495" s="6" t="n">
        <v>-10.9091</v>
      </c>
      <c r="D495" s="6" t="n">
        <v>-37.0677</v>
      </c>
      <c r="E495" s="6" t="inlineStr">
        <is>
          <t>2022-02</t>
        </is>
      </c>
      <c r="F495" s="6" t="n">
        <v>28288.9426081307</v>
      </c>
      <c r="G495" s="6" t="inlineStr">
        <is>
          <t>DOMESTICA</t>
        </is>
      </c>
      <c r="H495" s="6" t="inlineStr">
        <is>
          <t>FIXO</t>
        </is>
      </c>
      <c r="I495" s="11">
        <f>IF($H495="AUTO_OFERTA_TOTAL_PRODUTO_PERIODO",SUMIFS(Oferta!$F:$F,Oferta!$A:$A,$A495,Oferta!$E:$E,$E495),$F495)</f>
        <v/>
      </c>
      <c r="J495" s="6" t="inlineStr">
        <is>
          <t>Informado</t>
        </is>
      </c>
      <c r="K495" s="6" t="inlineStr">
        <is>
          <t>Demanda doméstica fixa informada pelo usuário.</t>
        </is>
      </c>
    </row>
    <row r="496">
      <c r="A496" s="6" t="inlineStr">
        <is>
          <t>Milho</t>
        </is>
      </c>
      <c r="B496" s="6" t="inlineStr">
        <is>
          <t>Aracaju - SE</t>
        </is>
      </c>
      <c r="C496" s="6" t="n">
        <v>-10.9091</v>
      </c>
      <c r="D496" s="6" t="n">
        <v>-37.0677</v>
      </c>
      <c r="E496" s="6" t="inlineStr">
        <is>
          <t>2022-03</t>
        </is>
      </c>
      <c r="F496" s="6" t="n">
        <v>21729.1878004482</v>
      </c>
      <c r="G496" s="6" t="inlineStr">
        <is>
          <t>DOMESTICA</t>
        </is>
      </c>
      <c r="H496" s="6" t="inlineStr">
        <is>
          <t>FIXO</t>
        </is>
      </c>
      <c r="I496" s="11">
        <f>IF($H496="AUTO_OFERTA_TOTAL_PRODUTO_PERIODO",SUMIFS(Oferta!$F:$F,Oferta!$A:$A,$A496,Oferta!$E:$E,$E496),$F496)</f>
        <v/>
      </c>
      <c r="J496" s="6" t="inlineStr">
        <is>
          <t>Informado</t>
        </is>
      </c>
      <c r="K496" s="6" t="inlineStr">
        <is>
          <t>Demanda doméstica fixa informada pelo usuário.</t>
        </is>
      </c>
    </row>
    <row r="497">
      <c r="A497" s="6" t="inlineStr">
        <is>
          <t>Milho</t>
        </is>
      </c>
      <c r="B497" s="6" t="inlineStr">
        <is>
          <t>Aracaju - SE</t>
        </is>
      </c>
      <c r="C497" s="6" t="n">
        <v>-10.9091</v>
      </c>
      <c r="D497" s="6" t="n">
        <v>-37.0677</v>
      </c>
      <c r="E497" s="6" t="inlineStr">
        <is>
          <t>2022-04</t>
        </is>
      </c>
      <c r="F497" s="6" t="n">
        <v>21729.1878004482</v>
      </c>
      <c r="G497" s="6" t="inlineStr">
        <is>
          <t>DOMESTICA</t>
        </is>
      </c>
      <c r="H497" s="6" t="inlineStr">
        <is>
          <t>FIXO</t>
        </is>
      </c>
      <c r="I497" s="11">
        <f>IF($H497="AUTO_OFERTA_TOTAL_PRODUTO_PERIODO",SUMIFS(Oferta!$F:$F,Oferta!$A:$A,$A497,Oferta!$E:$E,$E497),$F497)</f>
        <v/>
      </c>
      <c r="J497" s="6" t="inlineStr">
        <is>
          <t>Informado</t>
        </is>
      </c>
      <c r="K497" s="6" t="inlineStr">
        <is>
          <t>Demanda doméstica fixa informada pelo usuário.</t>
        </is>
      </c>
    </row>
    <row r="498">
      <c r="A498" s="6" t="inlineStr">
        <is>
          <t>Milho</t>
        </is>
      </c>
      <c r="B498" s="6" t="inlineStr">
        <is>
          <t>Aracaju - SE</t>
        </is>
      </c>
      <c r="C498" s="6" t="n">
        <v>-10.9091</v>
      </c>
      <c r="D498" s="6" t="n">
        <v>-37.0677</v>
      </c>
      <c r="E498" s="6" t="inlineStr">
        <is>
          <t>2022-05</t>
        </is>
      </c>
      <c r="F498" s="6" t="n">
        <v>21729.1878004482</v>
      </c>
      <c r="G498" s="6" t="inlineStr">
        <is>
          <t>DOMESTICA</t>
        </is>
      </c>
      <c r="H498" s="6" t="inlineStr">
        <is>
          <t>FIXO</t>
        </is>
      </c>
      <c r="I498" s="11">
        <f>IF($H498="AUTO_OFERTA_TOTAL_PRODUTO_PERIODO",SUMIFS(Oferta!$F:$F,Oferta!$A:$A,$A498,Oferta!$E:$E,$E498),$F498)</f>
        <v/>
      </c>
      <c r="J498" s="6" t="inlineStr">
        <is>
          <t>Informado</t>
        </is>
      </c>
      <c r="K498" s="6" t="inlineStr">
        <is>
          <t>Demanda doméstica fixa informada pelo usuário.</t>
        </is>
      </c>
    </row>
    <row r="499">
      <c r="A499" s="6" t="inlineStr">
        <is>
          <t>Milho</t>
        </is>
      </c>
      <c r="B499" s="6" t="inlineStr">
        <is>
          <t>Aracaju - SE</t>
        </is>
      </c>
      <c r="C499" s="6" t="n">
        <v>-10.9091</v>
      </c>
      <c r="D499" s="6" t="n">
        <v>-37.0677</v>
      </c>
      <c r="E499" s="6" t="inlineStr">
        <is>
          <t>2022-06</t>
        </is>
      </c>
      <c r="F499" s="6" t="n">
        <v>21729.1878004482</v>
      </c>
      <c r="G499" s="6" t="inlineStr">
        <is>
          <t>DOMESTICA</t>
        </is>
      </c>
      <c r="H499" s="6" t="inlineStr">
        <is>
          <t>FIXO</t>
        </is>
      </c>
      <c r="I499" s="11">
        <f>IF($H499="AUTO_OFERTA_TOTAL_PRODUTO_PERIODO",SUMIFS(Oferta!$F:$F,Oferta!$A:$A,$A499,Oferta!$E:$E,$E499),$F499)</f>
        <v/>
      </c>
      <c r="J499" s="6" t="inlineStr">
        <is>
          <t>Informado</t>
        </is>
      </c>
      <c r="K499" s="6" t="inlineStr">
        <is>
          <t>Demanda doméstica fixa informada pelo usuário.</t>
        </is>
      </c>
    </row>
    <row r="500">
      <c r="A500" s="6" t="inlineStr">
        <is>
          <t>Milho</t>
        </is>
      </c>
      <c r="B500" s="6" t="inlineStr">
        <is>
          <t>Aracaju - SE</t>
        </is>
      </c>
      <c r="C500" s="6" t="n">
        <v>-10.9091</v>
      </c>
      <c r="D500" s="6" t="n">
        <v>-37.0677</v>
      </c>
      <c r="E500" s="6" t="inlineStr">
        <is>
          <t>2022-07</t>
        </is>
      </c>
      <c r="F500" s="6" t="n">
        <v>21729.1878004482</v>
      </c>
      <c r="G500" s="6" t="inlineStr">
        <is>
          <t>DOMESTICA</t>
        </is>
      </c>
      <c r="H500" s="6" t="inlineStr">
        <is>
          <t>FIXO</t>
        </is>
      </c>
      <c r="I500" s="11">
        <f>IF($H500="AUTO_OFERTA_TOTAL_PRODUTO_PERIODO",SUMIFS(Oferta!$F:$F,Oferta!$A:$A,$A500,Oferta!$E:$E,$E500),$F500)</f>
        <v/>
      </c>
      <c r="J500" s="6" t="inlineStr">
        <is>
          <t>Informado</t>
        </is>
      </c>
      <c r="K500" s="6" t="inlineStr">
        <is>
          <t>Demanda doméstica fixa informada pelo usuário.</t>
        </is>
      </c>
    </row>
    <row r="501">
      <c r="A501" s="6" t="inlineStr">
        <is>
          <t>Milho</t>
        </is>
      </c>
      <c r="B501" s="6" t="inlineStr">
        <is>
          <t>Aracaju - SE</t>
        </is>
      </c>
      <c r="C501" s="6" t="n">
        <v>-10.9091</v>
      </c>
      <c r="D501" s="6" t="n">
        <v>-37.0677</v>
      </c>
      <c r="E501" s="6" t="inlineStr">
        <is>
          <t>2022-08</t>
        </is>
      </c>
      <c r="F501" s="6" t="n">
        <v>21729.1878004482</v>
      </c>
      <c r="G501" s="6" t="inlineStr">
        <is>
          <t>DOMESTICA</t>
        </is>
      </c>
      <c r="H501" s="6" t="inlineStr">
        <is>
          <t>FIXO</t>
        </is>
      </c>
      <c r="I501" s="11">
        <f>IF($H501="AUTO_OFERTA_TOTAL_PRODUTO_PERIODO",SUMIFS(Oferta!$F:$F,Oferta!$A:$A,$A501,Oferta!$E:$E,$E501),$F501)</f>
        <v/>
      </c>
      <c r="J501" s="6" t="inlineStr">
        <is>
          <t>Informado</t>
        </is>
      </c>
      <c r="K501" s="6" t="inlineStr">
        <is>
          <t>Demanda doméstica fixa informada pelo usuário.</t>
        </is>
      </c>
    </row>
    <row r="502">
      <c r="A502" s="6" t="inlineStr">
        <is>
          <t>Milho</t>
        </is>
      </c>
      <c r="B502" s="6" t="inlineStr">
        <is>
          <t>Aracaju - SE</t>
        </is>
      </c>
      <c r="C502" s="6" t="n">
        <v>-10.9091</v>
      </c>
      <c r="D502" s="6" t="n">
        <v>-37.0677</v>
      </c>
      <c r="E502" s="6" t="inlineStr">
        <is>
          <t>2022-09</t>
        </is>
      </c>
      <c r="F502" s="6" t="n">
        <v>25009.0652042895</v>
      </c>
      <c r="G502" s="6" t="inlineStr">
        <is>
          <t>DOMESTICA</t>
        </is>
      </c>
      <c r="H502" s="6" t="inlineStr">
        <is>
          <t>FIXO</t>
        </is>
      </c>
      <c r="I502" s="11">
        <f>IF($H502="AUTO_OFERTA_TOTAL_PRODUTO_PERIODO",SUMIFS(Oferta!$F:$F,Oferta!$A:$A,$A502,Oferta!$E:$E,$E502),$F502)</f>
        <v/>
      </c>
      <c r="J502" s="6" t="inlineStr">
        <is>
          <t>Informado</t>
        </is>
      </c>
      <c r="K502" s="6" t="inlineStr">
        <is>
          <t>Demanda doméstica fixa informada pelo usuário.</t>
        </is>
      </c>
    </row>
    <row r="503">
      <c r="A503" s="6" t="inlineStr">
        <is>
          <t>Milho</t>
        </is>
      </c>
      <c r="B503" s="6" t="inlineStr">
        <is>
          <t>Aracaju - SE</t>
        </is>
      </c>
      <c r="C503" s="6" t="n">
        <v>-10.9091</v>
      </c>
      <c r="D503" s="6" t="n">
        <v>-37.0677</v>
      </c>
      <c r="E503" s="6" t="inlineStr">
        <is>
          <t>2022-10</t>
        </is>
      </c>
      <c r="F503" s="6" t="n">
        <v>31568.820011972</v>
      </c>
      <c r="G503" s="6" t="inlineStr">
        <is>
          <t>DOMESTICA</t>
        </is>
      </c>
      <c r="H503" s="6" t="inlineStr">
        <is>
          <t>FIXO</t>
        </is>
      </c>
      <c r="I503" s="11">
        <f>IF($H503="AUTO_OFERTA_TOTAL_PRODUTO_PERIODO",SUMIFS(Oferta!$F:$F,Oferta!$A:$A,$A503,Oferta!$E:$E,$E503),$F503)</f>
        <v/>
      </c>
      <c r="J503" s="6" t="inlineStr">
        <is>
          <t>Informado</t>
        </is>
      </c>
      <c r="K503" s="6" t="inlineStr">
        <is>
          <t>Demanda doméstica fixa informada pelo usuário.</t>
        </is>
      </c>
    </row>
    <row r="504">
      <c r="A504" s="6" t="inlineStr">
        <is>
          <t>Milho</t>
        </is>
      </c>
      <c r="B504" s="6" t="inlineStr">
        <is>
          <t>Aracaju - SE</t>
        </is>
      </c>
      <c r="C504" s="6" t="n">
        <v>-10.9091</v>
      </c>
      <c r="D504" s="6" t="n">
        <v>-37.0677</v>
      </c>
      <c r="E504" s="6" t="inlineStr">
        <is>
          <t>2022-11</t>
        </is>
      </c>
      <c r="F504" s="6" t="n">
        <v>51248.0844350195</v>
      </c>
      <c r="G504" s="6" t="inlineStr">
        <is>
          <t>DOMESTICA</t>
        </is>
      </c>
      <c r="H504" s="6" t="inlineStr">
        <is>
          <t>FIXO</t>
        </is>
      </c>
      <c r="I504" s="11">
        <f>IF($H504="AUTO_OFERTA_TOTAL_PRODUTO_PERIODO",SUMIFS(Oferta!$F:$F,Oferta!$A:$A,$A504,Oferta!$E:$E,$E504),$F504)</f>
        <v/>
      </c>
      <c r="J504" s="6" t="inlineStr">
        <is>
          <t>Informado</t>
        </is>
      </c>
      <c r="K504" s="6" t="inlineStr">
        <is>
          <t>Demanda doméstica fixa informada pelo usuário.</t>
        </is>
      </c>
    </row>
    <row r="505">
      <c r="A505" s="6" t="inlineStr">
        <is>
          <t>Milho</t>
        </is>
      </c>
      <c r="B505" s="6" t="inlineStr">
        <is>
          <t>Aracaju - SE</t>
        </is>
      </c>
      <c r="C505" s="6" t="n">
        <v>-10.9091</v>
      </c>
      <c r="D505" s="6" t="n">
        <v>-37.0677</v>
      </c>
      <c r="E505" s="6" t="inlineStr">
        <is>
          <t>2022-12</t>
        </is>
      </c>
      <c r="F505" s="6" t="n">
        <v>54527.9618388607</v>
      </c>
      <c r="G505" s="6" t="inlineStr">
        <is>
          <t>DOMESTICA</t>
        </is>
      </c>
      <c r="H505" s="6" t="inlineStr">
        <is>
          <t>FIXO</t>
        </is>
      </c>
      <c r="I505" s="11">
        <f>IF($H505="AUTO_OFERTA_TOTAL_PRODUTO_PERIODO",SUMIFS(Oferta!$F:$F,Oferta!$A:$A,$A505,Oferta!$E:$E,$E505),$F505)</f>
        <v/>
      </c>
      <c r="J505" s="6" t="inlineStr">
        <is>
          <t>Informado</t>
        </is>
      </c>
      <c r="K505" s="6" t="inlineStr">
        <is>
          <t>Demanda doméstica fixa informada pelo usuário.</t>
        </is>
      </c>
    </row>
    <row r="506">
      <c r="A506" s="6" t="inlineStr">
        <is>
          <t>Milho</t>
        </is>
      </c>
      <c r="B506" s="6" t="inlineStr">
        <is>
          <t>Natal - RN</t>
        </is>
      </c>
      <c r="C506" s="6" t="n">
        <v>-5.79357</v>
      </c>
      <c r="D506" s="6" t="n">
        <v>-35.1986</v>
      </c>
      <c r="E506" s="6" t="inlineStr">
        <is>
          <t>2022-01</t>
        </is>
      </c>
      <c r="F506" s="6" t="n">
        <v>26548.9973581922</v>
      </c>
      <c r="G506" s="6" t="inlineStr">
        <is>
          <t>DOMESTICA</t>
        </is>
      </c>
      <c r="H506" s="6" t="inlineStr">
        <is>
          <t>FIXO</t>
        </is>
      </c>
      <c r="I506" s="11">
        <f>IF($H506="AUTO_OFERTA_TOTAL_PRODUTO_PERIODO",SUMIFS(Oferta!$F:$F,Oferta!$A:$A,$A506,Oferta!$E:$E,$E506),$F506)</f>
        <v/>
      </c>
      <c r="J506" s="6" t="inlineStr">
        <is>
          <t>Informado</t>
        </is>
      </c>
      <c r="K506" s="6" t="inlineStr">
        <is>
          <t>Demanda doméstica fixa informada pelo usuário.</t>
        </is>
      </c>
    </row>
    <row r="507">
      <c r="A507" s="6" t="inlineStr">
        <is>
          <t>Milho</t>
        </is>
      </c>
      <c r="B507" s="6" t="inlineStr">
        <is>
          <t>Natal - RN</t>
        </is>
      </c>
      <c r="C507" s="6" t="n">
        <v>-5.79357</v>
      </c>
      <c r="D507" s="6" t="n">
        <v>-35.1986</v>
      </c>
      <c r="E507" s="6" t="inlineStr">
        <is>
          <t>2022-02</t>
        </is>
      </c>
      <c r="F507" s="6" t="n">
        <v>26548.9973581922</v>
      </c>
      <c r="G507" s="6" t="inlineStr">
        <is>
          <t>DOMESTICA</t>
        </is>
      </c>
      <c r="H507" s="6" t="inlineStr">
        <is>
          <t>FIXO</t>
        </is>
      </c>
      <c r="I507" s="11">
        <f>IF($H507="AUTO_OFERTA_TOTAL_PRODUTO_PERIODO",SUMIFS(Oferta!$F:$F,Oferta!$A:$A,$A507,Oferta!$E:$E,$E507),$F507)</f>
        <v/>
      </c>
      <c r="J507" s="6" t="inlineStr">
        <is>
          <t>Informado</t>
        </is>
      </c>
      <c r="K507" s="6" t="inlineStr">
        <is>
          <t>Demanda doméstica fixa informada pelo usuário.</t>
        </is>
      </c>
    </row>
    <row r="508">
      <c r="A508" s="6" t="inlineStr">
        <is>
          <t>Milho</t>
        </is>
      </c>
      <c r="B508" s="6" t="inlineStr">
        <is>
          <t>Natal - RN</t>
        </is>
      </c>
      <c r="C508" s="6" t="n">
        <v>-5.79357</v>
      </c>
      <c r="D508" s="6" t="n">
        <v>-35.1986</v>
      </c>
      <c r="E508" s="6" t="inlineStr">
        <is>
          <t>2022-03</t>
        </is>
      </c>
      <c r="F508" s="6" t="n">
        <v>26548.9973581922</v>
      </c>
      <c r="G508" s="6" t="inlineStr">
        <is>
          <t>DOMESTICA</t>
        </is>
      </c>
      <c r="H508" s="6" t="inlineStr">
        <is>
          <t>FIXO</t>
        </is>
      </c>
      <c r="I508" s="11">
        <f>IF($H508="AUTO_OFERTA_TOTAL_PRODUTO_PERIODO",SUMIFS(Oferta!$F:$F,Oferta!$A:$A,$A508,Oferta!$E:$E,$E508),$F508)</f>
        <v/>
      </c>
      <c r="J508" s="6" t="inlineStr">
        <is>
          <t>Informado</t>
        </is>
      </c>
      <c r="K508" s="6" t="inlineStr">
        <is>
          <t>Demanda doméstica fixa informada pelo usuário.</t>
        </is>
      </c>
    </row>
    <row r="509">
      <c r="A509" s="6" t="inlineStr">
        <is>
          <t>Milho</t>
        </is>
      </c>
      <c r="B509" s="6" t="inlineStr">
        <is>
          <t>Natal - RN</t>
        </is>
      </c>
      <c r="C509" s="6" t="n">
        <v>-5.79357</v>
      </c>
      <c r="D509" s="6" t="n">
        <v>-35.1986</v>
      </c>
      <c r="E509" s="6" t="inlineStr">
        <is>
          <t>2022-04</t>
        </is>
      </c>
      <c r="F509" s="6" t="n">
        <v>26548.9973581922</v>
      </c>
      <c r="G509" s="6" t="inlineStr">
        <is>
          <t>DOMESTICA</t>
        </is>
      </c>
      <c r="H509" s="6" t="inlineStr">
        <is>
          <t>FIXO</t>
        </is>
      </c>
      <c r="I509" s="11">
        <f>IF($H509="AUTO_OFERTA_TOTAL_PRODUTO_PERIODO",SUMIFS(Oferta!$F:$F,Oferta!$A:$A,$A509,Oferta!$E:$E,$E509),$F509)</f>
        <v/>
      </c>
      <c r="J509" s="6" t="inlineStr">
        <is>
          <t>Informado</t>
        </is>
      </c>
      <c r="K509" s="6" t="inlineStr">
        <is>
          <t>Demanda doméstica fixa informada pelo usuário.</t>
        </is>
      </c>
    </row>
    <row r="510">
      <c r="A510" s="6" t="inlineStr">
        <is>
          <t>Milho</t>
        </is>
      </c>
      <c r="B510" s="6" t="inlineStr">
        <is>
          <t>Natal - RN</t>
        </is>
      </c>
      <c r="C510" s="6" t="n">
        <v>-5.79357</v>
      </c>
      <c r="D510" s="6" t="n">
        <v>-35.1986</v>
      </c>
      <c r="E510" s="6" t="inlineStr">
        <is>
          <t>2022-05</t>
        </is>
      </c>
      <c r="F510" s="6" t="n">
        <v>26548.9973581922</v>
      </c>
      <c r="G510" s="6" t="inlineStr">
        <is>
          <t>DOMESTICA</t>
        </is>
      </c>
      <c r="H510" s="6" t="inlineStr">
        <is>
          <t>FIXO</t>
        </is>
      </c>
      <c r="I510" s="11">
        <f>IF($H510="AUTO_OFERTA_TOTAL_PRODUTO_PERIODO",SUMIFS(Oferta!$F:$F,Oferta!$A:$A,$A510,Oferta!$E:$E,$E510),$F510)</f>
        <v/>
      </c>
      <c r="J510" s="6" t="inlineStr">
        <is>
          <t>Informado</t>
        </is>
      </c>
      <c r="K510" s="6" t="inlineStr">
        <is>
          <t>Demanda doméstica fixa informada pelo usuário.</t>
        </is>
      </c>
    </row>
    <row r="511">
      <c r="A511" s="6" t="inlineStr">
        <is>
          <t>Milho</t>
        </is>
      </c>
      <c r="B511" s="6" t="inlineStr">
        <is>
          <t>Natal - RN</t>
        </is>
      </c>
      <c r="C511" s="6" t="n">
        <v>-5.79357</v>
      </c>
      <c r="D511" s="6" t="n">
        <v>-35.1986</v>
      </c>
      <c r="E511" s="6" t="inlineStr">
        <is>
          <t>2022-06</t>
        </is>
      </c>
      <c r="F511" s="6" t="n">
        <v>34563.7890134955</v>
      </c>
      <c r="G511" s="6" t="inlineStr">
        <is>
          <t>DOMESTICA</t>
        </is>
      </c>
      <c r="H511" s="6" t="inlineStr">
        <is>
          <t>FIXO</t>
        </is>
      </c>
      <c r="I511" s="11">
        <f>IF($H511="AUTO_OFERTA_TOTAL_PRODUTO_PERIODO",SUMIFS(Oferta!$F:$F,Oferta!$A:$A,$A511,Oferta!$E:$E,$E511),$F511)</f>
        <v/>
      </c>
      <c r="J511" s="6" t="inlineStr">
        <is>
          <t>Informado</t>
        </is>
      </c>
      <c r="K511" s="6" t="inlineStr">
        <is>
          <t>Demanda doméstica fixa informada pelo usuário.</t>
        </is>
      </c>
    </row>
    <row r="512">
      <c r="A512" s="6" t="inlineStr">
        <is>
          <t>Milho</t>
        </is>
      </c>
      <c r="B512" s="6" t="inlineStr">
        <is>
          <t>Natal - RN</t>
        </is>
      </c>
      <c r="C512" s="6" t="n">
        <v>-5.79357</v>
      </c>
      <c r="D512" s="6" t="n">
        <v>-35.1986</v>
      </c>
      <c r="E512" s="6" t="inlineStr">
        <is>
          <t>2022-07</t>
        </is>
      </c>
      <c r="F512" s="6" t="n">
        <v>42578.5806687988</v>
      </c>
      <c r="G512" s="6" t="inlineStr">
        <is>
          <t>DOMESTICA</t>
        </is>
      </c>
      <c r="H512" s="6" t="inlineStr">
        <is>
          <t>FIXO</t>
        </is>
      </c>
      <c r="I512" s="11">
        <f>IF($H512="AUTO_OFERTA_TOTAL_PRODUTO_PERIODO",SUMIFS(Oferta!$F:$F,Oferta!$A:$A,$A512,Oferta!$E:$E,$E512),$F512)</f>
        <v/>
      </c>
      <c r="J512" s="6" t="inlineStr">
        <is>
          <t>Informado</t>
        </is>
      </c>
      <c r="K512" s="6" t="inlineStr">
        <is>
          <t>Demanda doméstica fixa informada pelo usuário.</t>
        </is>
      </c>
    </row>
    <row r="513">
      <c r="A513" s="6" t="inlineStr">
        <is>
          <t>Milho</t>
        </is>
      </c>
      <c r="B513" s="6" t="inlineStr">
        <is>
          <t>Natal - RN</t>
        </is>
      </c>
      <c r="C513" s="6" t="n">
        <v>-5.79357</v>
      </c>
      <c r="D513" s="6" t="n">
        <v>-35.1986</v>
      </c>
      <c r="E513" s="6" t="inlineStr">
        <is>
          <t>2022-08</t>
        </is>
      </c>
      <c r="F513" s="6" t="n">
        <v>58608.1639794054</v>
      </c>
      <c r="G513" s="6" t="inlineStr">
        <is>
          <t>DOMESTICA</t>
        </is>
      </c>
      <c r="H513" s="6" t="inlineStr">
        <is>
          <t>FIXO</t>
        </is>
      </c>
      <c r="I513" s="11">
        <f>IF($H513="AUTO_OFERTA_TOTAL_PRODUTO_PERIODO",SUMIFS(Oferta!$F:$F,Oferta!$A:$A,$A513,Oferta!$E:$E,$E513),$F513)</f>
        <v/>
      </c>
      <c r="J513" s="6" t="inlineStr">
        <is>
          <t>Informado</t>
        </is>
      </c>
      <c r="K513" s="6" t="inlineStr">
        <is>
          <t>Demanda doméstica fixa informada pelo usuário.</t>
        </is>
      </c>
    </row>
    <row r="514">
      <c r="A514" s="6" t="inlineStr">
        <is>
          <t>Milho</t>
        </is>
      </c>
      <c r="B514" s="6" t="inlineStr">
        <is>
          <t>Natal - RN</t>
        </is>
      </c>
      <c r="C514" s="6" t="n">
        <v>-5.79357</v>
      </c>
      <c r="D514" s="6" t="n">
        <v>-35.1986</v>
      </c>
      <c r="E514" s="6" t="inlineStr">
        <is>
          <t>2022-09</t>
        </is>
      </c>
      <c r="F514" s="6" t="n">
        <v>66622.95563470871</v>
      </c>
      <c r="G514" s="6" t="inlineStr">
        <is>
          <t>DOMESTICA</t>
        </is>
      </c>
      <c r="H514" s="6" t="inlineStr">
        <is>
          <t>FIXO</t>
        </is>
      </c>
      <c r="I514" s="11">
        <f>IF($H514="AUTO_OFERTA_TOTAL_PRODUTO_PERIODO",SUMIFS(Oferta!$F:$F,Oferta!$A:$A,$A514,Oferta!$E:$E,$E514),$F514)</f>
        <v/>
      </c>
      <c r="J514" s="6" t="inlineStr">
        <is>
          <t>Informado</t>
        </is>
      </c>
      <c r="K514" s="6" t="inlineStr">
        <is>
          <t>Demanda doméstica fixa informada pelo usuário.</t>
        </is>
      </c>
    </row>
    <row r="515">
      <c r="A515" s="6" t="inlineStr">
        <is>
          <t>Milho</t>
        </is>
      </c>
      <c r="B515" s="6" t="inlineStr">
        <is>
          <t>Natal - RN</t>
        </is>
      </c>
      <c r="C515" s="6" t="n">
        <v>-5.79357</v>
      </c>
      <c r="D515" s="6" t="n">
        <v>-35.1986</v>
      </c>
      <c r="E515" s="6" t="inlineStr">
        <is>
          <t>2022-10</t>
        </is>
      </c>
      <c r="F515" s="6" t="n">
        <v>66622.95563470871</v>
      </c>
      <c r="G515" s="6" t="inlineStr">
        <is>
          <t>DOMESTICA</t>
        </is>
      </c>
      <c r="H515" s="6" t="inlineStr">
        <is>
          <t>FIXO</t>
        </is>
      </c>
      <c r="I515" s="11">
        <f>IF($H515="AUTO_OFERTA_TOTAL_PRODUTO_PERIODO",SUMIFS(Oferta!$F:$F,Oferta!$A:$A,$A515,Oferta!$E:$E,$E515),$F515)</f>
        <v/>
      </c>
      <c r="J515" s="6" t="inlineStr">
        <is>
          <t>Informado</t>
        </is>
      </c>
      <c r="K515" s="6" t="inlineStr">
        <is>
          <t>Demanda doméstica fixa informada pelo usuário.</t>
        </is>
      </c>
    </row>
    <row r="516">
      <c r="A516" s="6" t="inlineStr">
        <is>
          <t>Milho</t>
        </is>
      </c>
      <c r="B516" s="6" t="inlineStr">
        <is>
          <t>Natal - RN</t>
        </is>
      </c>
      <c r="C516" s="6" t="n">
        <v>-5.79357</v>
      </c>
      <c r="D516" s="6" t="n">
        <v>-35.1986</v>
      </c>
      <c r="E516" s="6" t="inlineStr">
        <is>
          <t>2022-11</t>
        </is>
      </c>
      <c r="F516" s="6" t="n">
        <v>50593.3723241021</v>
      </c>
      <c r="G516" s="6" t="inlineStr">
        <is>
          <t>DOMESTICA</t>
        </is>
      </c>
      <c r="H516" s="6" t="inlineStr">
        <is>
          <t>FIXO</t>
        </is>
      </c>
      <c r="I516" s="11">
        <f>IF($H516="AUTO_OFERTA_TOTAL_PRODUTO_PERIODO",SUMIFS(Oferta!$F:$F,Oferta!$A:$A,$A516,Oferta!$E:$E,$E516),$F516)</f>
        <v/>
      </c>
      <c r="J516" s="6" t="inlineStr">
        <is>
          <t>Informado</t>
        </is>
      </c>
      <c r="K516" s="6" t="inlineStr">
        <is>
          <t>Demanda doméstica fixa informada pelo usuário.</t>
        </is>
      </c>
    </row>
    <row r="517">
      <c r="A517" s="6" t="inlineStr">
        <is>
          <t>Milho</t>
        </is>
      </c>
      <c r="B517" s="6" t="inlineStr">
        <is>
          <t>Natal - RN</t>
        </is>
      </c>
      <c r="C517" s="6" t="n">
        <v>-5.79357</v>
      </c>
      <c r="D517" s="6" t="n">
        <v>-35.1986</v>
      </c>
      <c r="E517" s="6" t="inlineStr">
        <is>
          <t>2022-12</t>
        </is>
      </c>
      <c r="F517" s="6" t="n">
        <v>34563.7890134955</v>
      </c>
      <c r="G517" s="6" t="inlineStr">
        <is>
          <t>DOMESTICA</t>
        </is>
      </c>
      <c r="H517" s="6" t="inlineStr">
        <is>
          <t>FIXO</t>
        </is>
      </c>
      <c r="I517" s="11">
        <f>IF($H517="AUTO_OFERTA_TOTAL_PRODUTO_PERIODO",SUMIFS(Oferta!$F:$F,Oferta!$A:$A,$A517,Oferta!$E:$E,$E517),$F517)</f>
        <v/>
      </c>
      <c r="J517" s="6" t="inlineStr">
        <is>
          <t>Informado</t>
        </is>
      </c>
      <c r="K517" s="6" t="inlineStr">
        <is>
          <t>Demanda doméstica fixa informada pelo usuário.</t>
        </is>
      </c>
    </row>
    <row r="518">
      <c r="A518" s="6" t="inlineStr">
        <is>
          <t>Milho</t>
        </is>
      </c>
      <c r="B518" s="6" t="inlineStr">
        <is>
          <t>Brasília - DF</t>
        </is>
      </c>
      <c r="C518" s="6" t="n">
        <v>-15.7795</v>
      </c>
      <c r="D518" s="6" t="n">
        <v>-47.9297</v>
      </c>
      <c r="E518" s="6" t="inlineStr">
        <is>
          <t>2022-01</t>
        </is>
      </c>
      <c r="F518" s="6" t="n">
        <v>23093.7082310214</v>
      </c>
      <c r="G518" s="6" t="inlineStr">
        <is>
          <t>DOMESTICA</t>
        </is>
      </c>
      <c r="H518" s="6" t="inlineStr">
        <is>
          <t>FIXO</t>
        </is>
      </c>
      <c r="I518" s="11">
        <f>IF($H518="AUTO_OFERTA_TOTAL_PRODUTO_PERIODO",SUMIFS(Oferta!$F:$F,Oferta!$A:$A,$A518,Oferta!$E:$E,$E518),$F518)</f>
        <v/>
      </c>
      <c r="J518" s="6" t="inlineStr">
        <is>
          <t>Informado</t>
        </is>
      </c>
      <c r="K518" s="6" t="inlineStr">
        <is>
          <t>Demanda doméstica fixa informada pelo usuário.</t>
        </is>
      </c>
    </row>
    <row r="519">
      <c r="A519" s="6" t="inlineStr">
        <is>
          <t>Milho</t>
        </is>
      </c>
      <c r="B519" s="6" t="inlineStr">
        <is>
          <t>Brasília - DF</t>
        </is>
      </c>
      <c r="C519" s="6" t="n">
        <v>-15.7795</v>
      </c>
      <c r="D519" s="6" t="n">
        <v>-47.9297</v>
      </c>
      <c r="E519" s="6" t="inlineStr">
        <is>
          <t>2022-02</t>
        </is>
      </c>
      <c r="F519" s="6" t="n">
        <v>23093.7082310214</v>
      </c>
      <c r="G519" s="6" t="inlineStr">
        <is>
          <t>DOMESTICA</t>
        </is>
      </c>
      <c r="H519" s="6" t="inlineStr">
        <is>
          <t>FIXO</t>
        </is>
      </c>
      <c r="I519" s="11">
        <f>IF($H519="AUTO_OFERTA_TOTAL_PRODUTO_PERIODO",SUMIFS(Oferta!$F:$F,Oferta!$A:$A,$A519,Oferta!$E:$E,$E519),$F519)</f>
        <v/>
      </c>
      <c r="J519" s="6" t="inlineStr">
        <is>
          <t>Informado</t>
        </is>
      </c>
      <c r="K519" s="6" t="inlineStr">
        <is>
          <t>Demanda doméstica fixa informada pelo usuário.</t>
        </is>
      </c>
    </row>
    <row r="520">
      <c r="A520" s="6" t="inlineStr">
        <is>
          <t>Milho</t>
        </is>
      </c>
      <c r="B520" s="6" t="inlineStr">
        <is>
          <t>Brasília - DF</t>
        </is>
      </c>
      <c r="C520" s="6" t="n">
        <v>-15.7795</v>
      </c>
      <c r="D520" s="6" t="n">
        <v>-47.9297</v>
      </c>
      <c r="E520" s="6" t="inlineStr">
        <is>
          <t>2022-03</t>
        </is>
      </c>
      <c r="F520" s="6" t="n">
        <v>26579.5509828737</v>
      </c>
      <c r="G520" s="6" t="inlineStr">
        <is>
          <t>DOMESTICA</t>
        </is>
      </c>
      <c r="H520" s="6" t="inlineStr">
        <is>
          <t>FIXO</t>
        </is>
      </c>
      <c r="I520" s="11">
        <f>IF($H520="AUTO_OFERTA_TOTAL_PRODUTO_PERIODO",SUMIFS(Oferta!$F:$F,Oferta!$A:$A,$A520,Oferta!$E:$E,$E520),$F520)</f>
        <v/>
      </c>
      <c r="J520" s="6" t="inlineStr">
        <is>
          <t>Informado</t>
        </is>
      </c>
      <c r="K520" s="6" t="inlineStr">
        <is>
          <t>Demanda doméstica fixa informada pelo usuário.</t>
        </is>
      </c>
    </row>
    <row r="521">
      <c r="A521" s="6" t="inlineStr">
        <is>
          <t>Milho</t>
        </is>
      </c>
      <c r="B521" s="6" t="inlineStr">
        <is>
          <t>Brasília - DF</t>
        </is>
      </c>
      <c r="C521" s="6" t="n">
        <v>-15.7795</v>
      </c>
      <c r="D521" s="6" t="n">
        <v>-47.9297</v>
      </c>
      <c r="E521" s="6" t="inlineStr">
        <is>
          <t>2022-04</t>
        </is>
      </c>
      <c r="F521" s="6" t="n">
        <v>33551.2364865783</v>
      </c>
      <c r="G521" s="6" t="inlineStr">
        <is>
          <t>DOMESTICA</t>
        </is>
      </c>
      <c r="H521" s="6" t="inlineStr">
        <is>
          <t>FIXO</t>
        </is>
      </c>
      <c r="I521" s="11">
        <f>IF($H521="AUTO_OFERTA_TOTAL_PRODUTO_PERIODO",SUMIFS(Oferta!$F:$F,Oferta!$A:$A,$A521,Oferta!$E:$E,$E521),$F521)</f>
        <v/>
      </c>
      <c r="J521" s="6" t="inlineStr">
        <is>
          <t>Informado</t>
        </is>
      </c>
      <c r="K521" s="6" t="inlineStr">
        <is>
          <t>Demanda doméstica fixa informada pelo usuário.</t>
        </is>
      </c>
    </row>
    <row r="522">
      <c r="A522" s="6" t="inlineStr">
        <is>
          <t>Milho</t>
        </is>
      </c>
      <c r="B522" s="6" t="inlineStr">
        <is>
          <t>Brasília - DF</t>
        </is>
      </c>
      <c r="C522" s="6" t="n">
        <v>-15.7795</v>
      </c>
      <c r="D522" s="6" t="n">
        <v>-47.9297</v>
      </c>
      <c r="E522" s="6" t="inlineStr">
        <is>
          <t>2022-05</t>
        </is>
      </c>
      <c r="F522" s="6" t="n">
        <v>54466.292997692</v>
      </c>
      <c r="G522" s="6" t="inlineStr">
        <is>
          <t>DOMESTICA</t>
        </is>
      </c>
      <c r="H522" s="6" t="inlineStr">
        <is>
          <t>FIXO</t>
        </is>
      </c>
      <c r="I522" s="11">
        <f>IF($H522="AUTO_OFERTA_TOTAL_PRODUTO_PERIODO",SUMIFS(Oferta!$F:$F,Oferta!$A:$A,$A522,Oferta!$E:$E,$E522),$F522)</f>
        <v/>
      </c>
      <c r="J522" s="6" t="inlineStr">
        <is>
          <t>Informado</t>
        </is>
      </c>
      <c r="K522" s="6" t="inlineStr">
        <is>
          <t>Demanda doméstica fixa informada pelo usuário.</t>
        </is>
      </c>
    </row>
    <row r="523">
      <c r="A523" s="6" t="inlineStr">
        <is>
          <t>Milho</t>
        </is>
      </c>
      <c r="B523" s="6" t="inlineStr">
        <is>
          <t>Brasília - DF</t>
        </is>
      </c>
      <c r="C523" s="6" t="n">
        <v>-15.7795</v>
      </c>
      <c r="D523" s="6" t="n">
        <v>-47.9297</v>
      </c>
      <c r="E523" s="6" t="inlineStr">
        <is>
          <t>2022-06</t>
        </is>
      </c>
      <c r="F523" s="6" t="n">
        <v>64923.8212532489</v>
      </c>
      <c r="G523" s="6" t="inlineStr">
        <is>
          <t>DOMESTICA</t>
        </is>
      </c>
      <c r="H523" s="6" t="inlineStr">
        <is>
          <t>FIXO</t>
        </is>
      </c>
      <c r="I523" s="11">
        <f>IF($H523="AUTO_OFERTA_TOTAL_PRODUTO_PERIODO",SUMIFS(Oferta!$F:$F,Oferta!$A:$A,$A523,Oferta!$E:$E,$E523),$F523)</f>
        <v/>
      </c>
      <c r="J523" s="6" t="inlineStr">
        <is>
          <t>Informado</t>
        </is>
      </c>
      <c r="K523" s="6" t="inlineStr">
        <is>
          <t>Demanda doméstica fixa informada pelo usuário.</t>
        </is>
      </c>
    </row>
    <row r="524">
      <c r="A524" s="6" t="inlineStr">
        <is>
          <t>Milho</t>
        </is>
      </c>
      <c r="B524" s="6" t="inlineStr">
        <is>
          <t>Brasília - DF</t>
        </is>
      </c>
      <c r="C524" s="6" t="n">
        <v>-15.7795</v>
      </c>
      <c r="D524" s="6" t="n">
        <v>-47.9297</v>
      </c>
      <c r="E524" s="6" t="inlineStr">
        <is>
          <t>2022-07</t>
        </is>
      </c>
      <c r="F524" s="6" t="n">
        <v>75381.3495088058</v>
      </c>
      <c r="G524" s="6" t="inlineStr">
        <is>
          <t>DOMESTICA</t>
        </is>
      </c>
      <c r="H524" s="6" t="inlineStr">
        <is>
          <t>FIXO</t>
        </is>
      </c>
      <c r="I524" s="11">
        <f>IF($H524="AUTO_OFERTA_TOTAL_PRODUTO_PERIODO",SUMIFS(Oferta!$F:$F,Oferta!$A:$A,$A524,Oferta!$E:$E,$E524),$F524)</f>
        <v/>
      </c>
      <c r="J524" s="6" t="inlineStr">
        <is>
          <t>Informado</t>
        </is>
      </c>
      <c r="K524" s="6" t="inlineStr">
        <is>
          <t>Demanda doméstica fixa informada pelo usuário.</t>
        </is>
      </c>
    </row>
    <row r="525">
      <c r="A525" s="6" t="inlineStr">
        <is>
          <t>Milho</t>
        </is>
      </c>
      <c r="B525" s="6" t="inlineStr">
        <is>
          <t>Brasília - DF</t>
        </is>
      </c>
      <c r="C525" s="6" t="n">
        <v>-15.7795</v>
      </c>
      <c r="D525" s="6" t="n">
        <v>-47.9297</v>
      </c>
      <c r="E525" s="6" t="inlineStr">
        <is>
          <t>2022-08</t>
        </is>
      </c>
      <c r="F525" s="6" t="n">
        <v>68409.66400510119</v>
      </c>
      <c r="G525" s="6" t="inlineStr">
        <is>
          <t>DOMESTICA</t>
        </is>
      </c>
      <c r="H525" s="6" t="inlineStr">
        <is>
          <t>FIXO</t>
        </is>
      </c>
      <c r="I525" s="11">
        <f>IF($H525="AUTO_OFERTA_TOTAL_PRODUTO_PERIODO",SUMIFS(Oferta!$F:$F,Oferta!$A:$A,$A525,Oferta!$E:$E,$E525),$F525)</f>
        <v/>
      </c>
      <c r="J525" s="6" t="inlineStr">
        <is>
          <t>Informado</t>
        </is>
      </c>
      <c r="K525" s="6" t="inlineStr">
        <is>
          <t>Demanda doméstica fixa informada pelo usuário.</t>
        </is>
      </c>
    </row>
    <row r="526">
      <c r="A526" s="6" t="inlineStr">
        <is>
          <t>Milho</t>
        </is>
      </c>
      <c r="B526" s="6" t="inlineStr">
        <is>
          <t>Brasília - DF</t>
        </is>
      </c>
      <c r="C526" s="6" t="n">
        <v>-15.7795</v>
      </c>
      <c r="D526" s="6" t="n">
        <v>-47.9297</v>
      </c>
      <c r="E526" s="6" t="inlineStr">
        <is>
          <t>2022-09</t>
        </is>
      </c>
      <c r="F526" s="6" t="n">
        <v>61437.9785013966</v>
      </c>
      <c r="G526" s="6" t="inlineStr">
        <is>
          <t>DOMESTICA</t>
        </is>
      </c>
      <c r="H526" s="6" t="inlineStr">
        <is>
          <t>FIXO</t>
        </is>
      </c>
      <c r="I526" s="11">
        <f>IF($H526="AUTO_OFERTA_TOTAL_PRODUTO_PERIODO",SUMIFS(Oferta!$F:$F,Oferta!$A:$A,$A526,Oferta!$E:$E,$E526),$F526)</f>
        <v/>
      </c>
      <c r="J526" s="6" t="inlineStr">
        <is>
          <t>Informado</t>
        </is>
      </c>
      <c r="K526" s="6" t="inlineStr">
        <is>
          <t>Demanda doméstica fixa informada pelo usuário.</t>
        </is>
      </c>
    </row>
    <row r="527">
      <c r="A527" s="6" t="inlineStr">
        <is>
          <t>Milho</t>
        </is>
      </c>
      <c r="B527" s="6" t="inlineStr">
        <is>
          <t>Brasília - DF</t>
        </is>
      </c>
      <c r="C527" s="6" t="n">
        <v>-15.7795</v>
      </c>
      <c r="D527" s="6" t="n">
        <v>-47.9297</v>
      </c>
      <c r="E527" s="6" t="inlineStr">
        <is>
          <t>2022-10</t>
        </is>
      </c>
      <c r="F527" s="6" t="n">
        <v>44008.7647421352</v>
      </c>
      <c r="G527" s="6" t="inlineStr">
        <is>
          <t>DOMESTICA</t>
        </is>
      </c>
      <c r="H527" s="6" t="inlineStr">
        <is>
          <t>FIXO</t>
        </is>
      </c>
      <c r="I527" s="11">
        <f>IF($H527="AUTO_OFERTA_TOTAL_PRODUTO_PERIODO",SUMIFS(Oferta!$F:$F,Oferta!$A:$A,$A527,Oferta!$E:$E,$E527),$F527)</f>
        <v/>
      </c>
      <c r="J527" s="6" t="inlineStr">
        <is>
          <t>Informado</t>
        </is>
      </c>
      <c r="K527" s="6" t="inlineStr">
        <is>
          <t>Demanda doméstica fixa informada pelo usuário.</t>
        </is>
      </c>
    </row>
    <row r="528">
      <c r="A528" s="6" t="inlineStr">
        <is>
          <t>Milho</t>
        </is>
      </c>
      <c r="B528" s="6" t="inlineStr">
        <is>
          <t>Brasília - DF</t>
        </is>
      </c>
      <c r="C528" s="6" t="n">
        <v>-15.7795</v>
      </c>
      <c r="D528" s="6" t="n">
        <v>-47.9297</v>
      </c>
      <c r="E528" s="6" t="inlineStr">
        <is>
          <t>2022-11</t>
        </is>
      </c>
      <c r="F528" s="6" t="n">
        <v>30065.393734726</v>
      </c>
      <c r="G528" s="6" t="inlineStr">
        <is>
          <t>DOMESTICA</t>
        </is>
      </c>
      <c r="H528" s="6" t="inlineStr">
        <is>
          <t>FIXO</t>
        </is>
      </c>
      <c r="I528" s="11">
        <f>IF($H528="AUTO_OFERTA_TOTAL_PRODUTO_PERIODO",SUMIFS(Oferta!$F:$F,Oferta!$A:$A,$A528,Oferta!$E:$E,$E528),$F528)</f>
        <v/>
      </c>
      <c r="J528" s="6" t="inlineStr">
        <is>
          <t>Informado</t>
        </is>
      </c>
      <c r="K528" s="6" t="inlineStr">
        <is>
          <t>Demanda doméstica fixa informada pelo usuário.</t>
        </is>
      </c>
    </row>
    <row r="529">
      <c r="A529" s="6" t="inlineStr">
        <is>
          <t>Milho</t>
        </is>
      </c>
      <c r="B529" s="6" t="inlineStr">
        <is>
          <t>Brasília - DF</t>
        </is>
      </c>
      <c r="C529" s="6" t="n">
        <v>-15.7795</v>
      </c>
      <c r="D529" s="6" t="n">
        <v>-47.9297</v>
      </c>
      <c r="E529" s="6" t="inlineStr">
        <is>
          <t>2022-12</t>
        </is>
      </c>
      <c r="F529" s="6" t="n">
        <v>23093.7082310214</v>
      </c>
      <c r="G529" s="6" t="inlineStr">
        <is>
          <t>DOMESTICA</t>
        </is>
      </c>
      <c r="H529" s="6" t="inlineStr">
        <is>
          <t>FIXO</t>
        </is>
      </c>
      <c r="I529" s="11">
        <f>IF($H529="AUTO_OFERTA_TOTAL_PRODUTO_PERIODO",SUMIFS(Oferta!$F:$F,Oferta!$A:$A,$A529,Oferta!$E:$E,$E529),$F529)</f>
        <v/>
      </c>
      <c r="J529" s="6" t="inlineStr">
        <is>
          <t>Informado</t>
        </is>
      </c>
      <c r="K529" s="6" t="inlineStr">
        <is>
          <t>Demanda doméstica fixa informada pelo usuário.</t>
        </is>
      </c>
    </row>
    <row r="530">
      <c r="A530" s="6" t="inlineStr">
        <is>
          <t>Milho</t>
        </is>
      </c>
      <c r="B530" s="6" t="inlineStr">
        <is>
          <t>Goiânia - GO</t>
        </is>
      </c>
      <c r="C530" s="6" t="n">
        <v>-16.6864</v>
      </c>
      <c r="D530" s="6" t="n">
        <v>-49.2643</v>
      </c>
      <c r="E530" s="6" t="inlineStr">
        <is>
          <t>2022-01</t>
        </is>
      </c>
      <c r="F530" s="6" t="n">
        <v>181974.1616766464</v>
      </c>
      <c r="G530" s="6" t="inlineStr">
        <is>
          <t>DOMESTICA</t>
        </is>
      </c>
      <c r="H530" s="6" t="inlineStr">
        <is>
          <t>FIXO</t>
        </is>
      </c>
      <c r="I530" s="11">
        <f>IF($H530="AUTO_OFERTA_TOTAL_PRODUTO_PERIODO",SUMIFS(Oferta!$F:$F,Oferta!$A:$A,$A530,Oferta!$E:$E,$E530),$F530)</f>
        <v/>
      </c>
      <c r="J530" s="6" t="inlineStr">
        <is>
          <t>Informado</t>
        </is>
      </c>
      <c r="K530" s="6" t="inlineStr">
        <is>
          <t>Demanda doméstica fixa informada pelo usuário.</t>
        </is>
      </c>
    </row>
    <row r="531">
      <c r="A531" s="6" t="inlineStr">
        <is>
          <t>Milho</t>
        </is>
      </c>
      <c r="B531" s="6" t="inlineStr">
        <is>
          <t>Goiânia - GO</t>
        </is>
      </c>
      <c r="C531" s="6" t="n">
        <v>-16.6864</v>
      </c>
      <c r="D531" s="6" t="n">
        <v>-49.2643</v>
      </c>
      <c r="E531" s="6" t="inlineStr">
        <is>
          <t>2022-02</t>
        </is>
      </c>
      <c r="F531" s="6" t="n">
        <v>181974.1616766464</v>
      </c>
      <c r="G531" s="6" t="inlineStr">
        <is>
          <t>DOMESTICA</t>
        </is>
      </c>
      <c r="H531" s="6" t="inlineStr">
        <is>
          <t>FIXO</t>
        </is>
      </c>
      <c r="I531" s="11">
        <f>IF($H531="AUTO_OFERTA_TOTAL_PRODUTO_PERIODO",SUMIFS(Oferta!$F:$F,Oferta!$A:$A,$A531,Oferta!$E:$E,$E531),$F531)</f>
        <v/>
      </c>
      <c r="J531" s="6" t="inlineStr">
        <is>
          <t>Informado</t>
        </is>
      </c>
      <c r="K531" s="6" t="inlineStr">
        <is>
          <t>Demanda doméstica fixa informada pelo usuário.</t>
        </is>
      </c>
    </row>
    <row r="532">
      <c r="A532" s="6" t="inlineStr">
        <is>
          <t>Milho</t>
        </is>
      </c>
      <c r="B532" s="6" t="inlineStr">
        <is>
          <t>Goiânia - GO</t>
        </is>
      </c>
      <c r="C532" s="6" t="n">
        <v>-16.6864</v>
      </c>
      <c r="D532" s="6" t="n">
        <v>-49.2643</v>
      </c>
      <c r="E532" s="6" t="inlineStr">
        <is>
          <t>2022-03</t>
        </is>
      </c>
      <c r="F532" s="6" t="n">
        <v>209441.9596655742</v>
      </c>
      <c r="G532" s="6" t="inlineStr">
        <is>
          <t>DOMESTICA</t>
        </is>
      </c>
      <c r="H532" s="6" t="inlineStr">
        <is>
          <t>FIXO</t>
        </is>
      </c>
      <c r="I532" s="11">
        <f>IF($H532="AUTO_OFERTA_TOTAL_PRODUTO_PERIODO",SUMIFS(Oferta!$F:$F,Oferta!$A:$A,$A532,Oferta!$E:$E,$E532),$F532)</f>
        <v/>
      </c>
      <c r="J532" s="6" t="inlineStr">
        <is>
          <t>Informado</t>
        </is>
      </c>
      <c r="K532" s="6" t="inlineStr">
        <is>
          <t>Demanda doméstica fixa informada pelo usuário.</t>
        </is>
      </c>
    </row>
    <row r="533">
      <c r="A533" s="6" t="inlineStr">
        <is>
          <t>Milho</t>
        </is>
      </c>
      <c r="B533" s="6" t="inlineStr">
        <is>
          <t>Goiânia - GO</t>
        </is>
      </c>
      <c r="C533" s="6" t="n">
        <v>-16.6864</v>
      </c>
      <c r="D533" s="6" t="n">
        <v>-49.2643</v>
      </c>
      <c r="E533" s="6" t="inlineStr">
        <is>
          <t>2022-04</t>
        </is>
      </c>
      <c r="F533" s="6" t="n">
        <v>264377.5556434297</v>
      </c>
      <c r="G533" s="6" t="inlineStr">
        <is>
          <t>DOMESTICA</t>
        </is>
      </c>
      <c r="H533" s="6" t="inlineStr">
        <is>
          <t>FIXO</t>
        </is>
      </c>
      <c r="I533" s="11">
        <f>IF($H533="AUTO_OFERTA_TOTAL_PRODUTO_PERIODO",SUMIFS(Oferta!$F:$F,Oferta!$A:$A,$A533,Oferta!$E:$E,$E533),$F533)</f>
        <v/>
      </c>
      <c r="J533" s="6" t="inlineStr">
        <is>
          <t>Informado</t>
        </is>
      </c>
      <c r="K533" s="6" t="inlineStr">
        <is>
          <t>Demanda doméstica fixa informada pelo usuário.</t>
        </is>
      </c>
    </row>
    <row r="534">
      <c r="A534" s="6" t="inlineStr">
        <is>
          <t>Milho</t>
        </is>
      </c>
      <c r="B534" s="6" t="inlineStr">
        <is>
          <t>Goiânia - GO</t>
        </is>
      </c>
      <c r="C534" s="6" t="n">
        <v>-16.6864</v>
      </c>
      <c r="D534" s="6" t="n">
        <v>-49.2643</v>
      </c>
      <c r="E534" s="6" t="inlineStr">
        <is>
          <t>2022-05</t>
        </is>
      </c>
      <c r="F534" s="6" t="n">
        <v>429184.3435769964</v>
      </c>
      <c r="G534" s="6" t="inlineStr">
        <is>
          <t>DOMESTICA</t>
        </is>
      </c>
      <c r="H534" s="6" t="inlineStr">
        <is>
          <t>FIXO</t>
        </is>
      </c>
      <c r="I534" s="11">
        <f>IF($H534="AUTO_OFERTA_TOTAL_PRODUTO_PERIODO",SUMIFS(Oferta!$F:$F,Oferta!$A:$A,$A534,Oferta!$E:$E,$E534),$F534)</f>
        <v/>
      </c>
      <c r="J534" s="6" t="inlineStr">
        <is>
          <t>Informado</t>
        </is>
      </c>
      <c r="K534" s="6" t="inlineStr">
        <is>
          <t>Demanda doméstica fixa informada pelo usuário.</t>
        </is>
      </c>
    </row>
    <row r="535">
      <c r="A535" s="6" t="inlineStr">
        <is>
          <t>Milho</t>
        </is>
      </c>
      <c r="B535" s="6" t="inlineStr">
        <is>
          <t>Goiânia - GO</t>
        </is>
      </c>
      <c r="C535" s="6" t="n">
        <v>-16.6864</v>
      </c>
      <c r="D535" s="6" t="n">
        <v>-49.2643</v>
      </c>
      <c r="E535" s="6" t="inlineStr">
        <is>
          <t>2022-06</t>
        </is>
      </c>
      <c r="F535" s="6" t="n">
        <v>511587.7375437796</v>
      </c>
      <c r="G535" s="6" t="inlineStr">
        <is>
          <t>DOMESTICA</t>
        </is>
      </c>
      <c r="H535" s="6" t="inlineStr">
        <is>
          <t>FIXO</t>
        </is>
      </c>
      <c r="I535" s="11">
        <f>IF($H535="AUTO_OFERTA_TOTAL_PRODUTO_PERIODO",SUMIFS(Oferta!$F:$F,Oferta!$A:$A,$A535,Oferta!$E:$E,$E535),$F535)</f>
        <v/>
      </c>
      <c r="J535" s="6" t="inlineStr">
        <is>
          <t>Informado</t>
        </is>
      </c>
      <c r="K535" s="6" t="inlineStr">
        <is>
          <t>Demanda doméstica fixa informada pelo usuário.</t>
        </is>
      </c>
    </row>
    <row r="536">
      <c r="A536" s="6" t="inlineStr">
        <is>
          <t>Milho</t>
        </is>
      </c>
      <c r="B536" s="6" t="inlineStr">
        <is>
          <t>Goiânia - GO</t>
        </is>
      </c>
      <c r="C536" s="6" t="n">
        <v>-16.6864</v>
      </c>
      <c r="D536" s="6" t="n">
        <v>-49.2643</v>
      </c>
      <c r="E536" s="6" t="inlineStr">
        <is>
          <t>2022-07</t>
        </is>
      </c>
      <c r="F536" s="6" t="n">
        <v>593991.1315105628</v>
      </c>
      <c r="G536" s="6" t="inlineStr">
        <is>
          <t>DOMESTICA</t>
        </is>
      </c>
      <c r="H536" s="6" t="inlineStr">
        <is>
          <t>FIXO</t>
        </is>
      </c>
      <c r="I536" s="11">
        <f>IF($H536="AUTO_OFERTA_TOTAL_PRODUTO_PERIODO",SUMIFS(Oferta!$F:$F,Oferta!$A:$A,$A536,Oferta!$E:$E,$E536),$F536)</f>
        <v/>
      </c>
      <c r="J536" s="6" t="inlineStr">
        <is>
          <t>Informado</t>
        </is>
      </c>
      <c r="K536" s="6" t="inlineStr">
        <is>
          <t>Demanda doméstica fixa informada pelo usuário.</t>
        </is>
      </c>
    </row>
    <row r="537">
      <c r="A537" s="6" t="inlineStr">
        <is>
          <t>Milho</t>
        </is>
      </c>
      <c r="B537" s="6" t="inlineStr">
        <is>
          <t>Goiânia - GO</t>
        </is>
      </c>
      <c r="C537" s="6" t="n">
        <v>-16.6864</v>
      </c>
      <c r="D537" s="6" t="n">
        <v>-49.2643</v>
      </c>
      <c r="E537" s="6" t="inlineStr">
        <is>
          <t>2022-08</t>
        </is>
      </c>
      <c r="F537" s="6" t="n">
        <v>539055.5355327075</v>
      </c>
      <c r="G537" s="6" t="inlineStr">
        <is>
          <t>DOMESTICA</t>
        </is>
      </c>
      <c r="H537" s="6" t="inlineStr">
        <is>
          <t>FIXO</t>
        </is>
      </c>
      <c r="I537" s="11">
        <f>IF($H537="AUTO_OFERTA_TOTAL_PRODUTO_PERIODO",SUMIFS(Oferta!$F:$F,Oferta!$A:$A,$A537,Oferta!$E:$E,$E537),$F537)</f>
        <v/>
      </c>
      <c r="J537" s="6" t="inlineStr">
        <is>
          <t>Informado</t>
        </is>
      </c>
      <c r="K537" s="6" t="inlineStr">
        <is>
          <t>Demanda doméstica fixa informada pelo usuário.</t>
        </is>
      </c>
    </row>
    <row r="538">
      <c r="A538" s="6" t="inlineStr">
        <is>
          <t>Milho</t>
        </is>
      </c>
      <c r="B538" s="6" t="inlineStr">
        <is>
          <t>Goiânia - GO</t>
        </is>
      </c>
      <c r="C538" s="6" t="n">
        <v>-16.6864</v>
      </c>
      <c r="D538" s="6" t="n">
        <v>-49.2643</v>
      </c>
      <c r="E538" s="6" t="inlineStr">
        <is>
          <t>2022-09</t>
        </is>
      </c>
      <c r="F538" s="6" t="n">
        <v>484119.9395548519</v>
      </c>
      <c r="G538" s="6" t="inlineStr">
        <is>
          <t>DOMESTICA</t>
        </is>
      </c>
      <c r="H538" s="6" t="inlineStr">
        <is>
          <t>FIXO</t>
        </is>
      </c>
      <c r="I538" s="11">
        <f>IF($H538="AUTO_OFERTA_TOTAL_PRODUTO_PERIODO",SUMIFS(Oferta!$F:$F,Oferta!$A:$A,$A538,Oferta!$E:$E,$E538),$F538)</f>
        <v/>
      </c>
      <c r="J538" s="6" t="inlineStr">
        <is>
          <t>Informado</t>
        </is>
      </c>
      <c r="K538" s="6" t="inlineStr">
        <is>
          <t>Demanda doméstica fixa informada pelo usuário.</t>
        </is>
      </c>
    </row>
    <row r="539">
      <c r="A539" s="6" t="inlineStr">
        <is>
          <t>Milho</t>
        </is>
      </c>
      <c r="B539" s="6" t="inlineStr">
        <is>
          <t>Goiânia - GO</t>
        </is>
      </c>
      <c r="C539" s="6" t="n">
        <v>-16.6864</v>
      </c>
      <c r="D539" s="6" t="n">
        <v>-49.2643</v>
      </c>
      <c r="E539" s="6" t="inlineStr">
        <is>
          <t>2022-10</t>
        </is>
      </c>
      <c r="F539" s="6" t="n">
        <v>374248.7475991407</v>
      </c>
      <c r="G539" s="6" t="inlineStr">
        <is>
          <t>DOMESTICA</t>
        </is>
      </c>
      <c r="H539" s="6" t="inlineStr">
        <is>
          <t>FIXO</t>
        </is>
      </c>
      <c r="I539" s="11">
        <f>IF($H539="AUTO_OFERTA_TOTAL_PRODUTO_PERIODO",SUMIFS(Oferta!$F:$F,Oferta!$A:$A,$A539,Oferta!$E:$E,$E539),$F539)</f>
        <v/>
      </c>
      <c r="J539" s="6" t="inlineStr">
        <is>
          <t>Informado</t>
        </is>
      </c>
      <c r="K539" s="6" t="inlineStr">
        <is>
          <t>Demanda doméstica fixa informada pelo usuário.</t>
        </is>
      </c>
    </row>
    <row r="540">
      <c r="A540" s="6" t="inlineStr">
        <is>
          <t>Milho</t>
        </is>
      </c>
      <c r="B540" s="6" t="inlineStr">
        <is>
          <t>Goiânia - GO</t>
        </is>
      </c>
      <c r="C540" s="6" t="n">
        <v>-16.6864</v>
      </c>
      <c r="D540" s="6" t="n">
        <v>-49.2643</v>
      </c>
      <c r="E540" s="6" t="inlineStr">
        <is>
          <t>2022-11</t>
        </is>
      </c>
      <c r="F540" s="6" t="n">
        <v>264377.5556434297</v>
      </c>
      <c r="G540" s="6" t="inlineStr">
        <is>
          <t>DOMESTICA</t>
        </is>
      </c>
      <c r="H540" s="6" t="inlineStr">
        <is>
          <t>FIXO</t>
        </is>
      </c>
      <c r="I540" s="11">
        <f>IF($H540="AUTO_OFERTA_TOTAL_PRODUTO_PERIODO",SUMIFS(Oferta!$F:$F,Oferta!$A:$A,$A540,Oferta!$E:$E,$E540),$F540)</f>
        <v/>
      </c>
      <c r="J540" s="6" t="inlineStr">
        <is>
          <t>Informado</t>
        </is>
      </c>
      <c r="K540" s="6" t="inlineStr">
        <is>
          <t>Demanda doméstica fixa informada pelo usuário.</t>
        </is>
      </c>
    </row>
    <row r="541">
      <c r="A541" s="6" t="inlineStr">
        <is>
          <t>Milho</t>
        </is>
      </c>
      <c r="B541" s="6" t="inlineStr">
        <is>
          <t>Goiânia - GO</t>
        </is>
      </c>
      <c r="C541" s="6" t="n">
        <v>-16.6864</v>
      </c>
      <c r="D541" s="6" t="n">
        <v>-49.2643</v>
      </c>
      <c r="E541" s="6" t="inlineStr">
        <is>
          <t>2022-12</t>
        </is>
      </c>
      <c r="F541" s="6" t="n">
        <v>209441.9596655742</v>
      </c>
      <c r="G541" s="6" t="inlineStr">
        <is>
          <t>DOMESTICA</t>
        </is>
      </c>
      <c r="H541" s="6" t="inlineStr">
        <is>
          <t>FIXO</t>
        </is>
      </c>
      <c r="I541" s="11">
        <f>IF($H541="AUTO_OFERTA_TOTAL_PRODUTO_PERIODO",SUMIFS(Oferta!$F:$F,Oferta!$A:$A,$A541,Oferta!$E:$E,$E541),$F541)</f>
        <v/>
      </c>
      <c r="J541" s="6" t="inlineStr">
        <is>
          <t>Informado</t>
        </is>
      </c>
      <c r="K541" s="6" t="inlineStr">
        <is>
          <t>Demanda doméstica fixa informada pelo usuário.</t>
        </is>
      </c>
    </row>
    <row r="542">
      <c r="A542" s="6" t="inlineStr">
        <is>
          <t>Milho</t>
        </is>
      </c>
      <c r="B542" s="6" t="inlineStr">
        <is>
          <t>Cuiabá - MT</t>
        </is>
      </c>
      <c r="C542" s="6" t="n">
        <v>-15.601</v>
      </c>
      <c r="D542" s="6" t="n">
        <v>-56.0974</v>
      </c>
      <c r="E542" s="6" t="inlineStr">
        <is>
          <t>2022-01</t>
        </is>
      </c>
      <c r="F542" s="6" t="n">
        <v>233205.1695766668</v>
      </c>
      <c r="G542" s="6" t="inlineStr">
        <is>
          <t>DOMESTICA</t>
        </is>
      </c>
      <c r="H542" s="6" t="inlineStr">
        <is>
          <t>FIXO</t>
        </is>
      </c>
      <c r="I542" s="11">
        <f>IF($H542="AUTO_OFERTA_TOTAL_PRODUTO_PERIODO",SUMIFS(Oferta!$F:$F,Oferta!$A:$A,$A542,Oferta!$E:$E,$E542),$F542)</f>
        <v/>
      </c>
      <c r="J542" s="6" t="inlineStr">
        <is>
          <t>Informado</t>
        </is>
      </c>
      <c r="K542" s="6" t="inlineStr">
        <is>
          <t>Demanda doméstica fixa informada pelo usuário.</t>
        </is>
      </c>
    </row>
    <row r="543">
      <c r="A543" s="6" t="inlineStr">
        <is>
          <t>Milho</t>
        </is>
      </c>
      <c r="B543" s="6" t="inlineStr">
        <is>
          <t>Cuiabá - MT</t>
        </is>
      </c>
      <c r="C543" s="6" t="n">
        <v>-15.601</v>
      </c>
      <c r="D543" s="6" t="n">
        <v>-56.0974</v>
      </c>
      <c r="E543" s="6" t="inlineStr">
        <is>
          <t>2022-02</t>
        </is>
      </c>
      <c r="F543" s="6" t="n">
        <v>233205.1695766668</v>
      </c>
      <c r="G543" s="6" t="inlineStr">
        <is>
          <t>DOMESTICA</t>
        </is>
      </c>
      <c r="H543" s="6" t="inlineStr">
        <is>
          <t>FIXO</t>
        </is>
      </c>
      <c r="I543" s="11">
        <f>IF($H543="AUTO_OFERTA_TOTAL_PRODUTO_PERIODO",SUMIFS(Oferta!$F:$F,Oferta!$A:$A,$A543,Oferta!$E:$E,$E543),$F543)</f>
        <v/>
      </c>
      <c r="J543" s="6" t="inlineStr">
        <is>
          <t>Informado</t>
        </is>
      </c>
      <c r="K543" s="6" t="inlineStr">
        <is>
          <t>Demanda doméstica fixa informada pelo usuário.</t>
        </is>
      </c>
    </row>
    <row r="544">
      <c r="A544" s="6" t="inlineStr">
        <is>
          <t>Milho</t>
        </is>
      </c>
      <c r="B544" s="6" t="inlineStr">
        <is>
          <t>Cuiabá - MT</t>
        </is>
      </c>
      <c r="C544" s="6" t="n">
        <v>-15.601</v>
      </c>
      <c r="D544" s="6" t="n">
        <v>-56.0974</v>
      </c>
      <c r="E544" s="6" t="inlineStr">
        <is>
          <t>2022-03</t>
        </is>
      </c>
      <c r="F544" s="6" t="n">
        <v>303606.7302035851</v>
      </c>
      <c r="G544" s="6" t="inlineStr">
        <is>
          <t>DOMESTICA</t>
        </is>
      </c>
      <c r="H544" s="6" t="inlineStr">
        <is>
          <t>FIXO</t>
        </is>
      </c>
      <c r="I544" s="11">
        <f>IF($H544="AUTO_OFERTA_TOTAL_PRODUTO_PERIODO",SUMIFS(Oferta!$F:$F,Oferta!$A:$A,$A544,Oferta!$E:$E,$E544),$F544)</f>
        <v/>
      </c>
      <c r="J544" s="6" t="inlineStr">
        <is>
          <t>Informado</t>
        </is>
      </c>
      <c r="K544" s="6" t="inlineStr">
        <is>
          <t>Demanda doméstica fixa informada pelo usuário.</t>
        </is>
      </c>
    </row>
    <row r="545">
      <c r="A545" s="6" t="inlineStr">
        <is>
          <t>Milho</t>
        </is>
      </c>
      <c r="B545" s="6" t="inlineStr">
        <is>
          <t>Cuiabá - MT</t>
        </is>
      </c>
      <c r="C545" s="6" t="n">
        <v>-15.601</v>
      </c>
      <c r="D545" s="6" t="n">
        <v>-56.0974</v>
      </c>
      <c r="E545" s="6" t="inlineStr">
        <is>
          <t>2022-04</t>
        </is>
      </c>
      <c r="F545" s="6" t="n">
        <v>444409.8514574216</v>
      </c>
      <c r="G545" s="6" t="inlineStr">
        <is>
          <t>DOMESTICA</t>
        </is>
      </c>
      <c r="H545" s="6" t="inlineStr">
        <is>
          <t>FIXO</t>
        </is>
      </c>
      <c r="I545" s="11">
        <f>IF($H545="AUTO_OFERTA_TOTAL_PRODUTO_PERIODO",SUMIFS(Oferta!$F:$F,Oferta!$A:$A,$A545,Oferta!$E:$E,$E545),$F545)</f>
        <v/>
      </c>
      <c r="J545" s="6" t="inlineStr">
        <is>
          <t>Informado</t>
        </is>
      </c>
      <c r="K545" s="6" t="inlineStr">
        <is>
          <t>Demanda doméstica fixa informada pelo usuário.</t>
        </is>
      </c>
    </row>
    <row r="546">
      <c r="A546" s="6" t="inlineStr">
        <is>
          <t>Milho</t>
        </is>
      </c>
      <c r="B546" s="6" t="inlineStr">
        <is>
          <t>Cuiabá - MT</t>
        </is>
      </c>
      <c r="C546" s="6" t="n">
        <v>-15.601</v>
      </c>
      <c r="D546" s="6" t="n">
        <v>-56.0974</v>
      </c>
      <c r="E546" s="6" t="inlineStr">
        <is>
          <t>2022-05</t>
        </is>
      </c>
      <c r="F546" s="6" t="n">
        <v>585212.9727112581</v>
      </c>
      <c r="G546" s="6" t="inlineStr">
        <is>
          <t>DOMESTICA</t>
        </is>
      </c>
      <c r="H546" s="6" t="inlineStr">
        <is>
          <t>FIXO</t>
        </is>
      </c>
      <c r="I546" s="11">
        <f>IF($H546="AUTO_OFERTA_TOTAL_PRODUTO_PERIODO",SUMIFS(Oferta!$F:$F,Oferta!$A:$A,$A546,Oferta!$E:$E,$E546),$F546)</f>
        <v/>
      </c>
      <c r="J546" s="6" t="inlineStr">
        <is>
          <t>Informado</t>
        </is>
      </c>
      <c r="K546" s="6" t="inlineStr">
        <is>
          <t>Demanda doméstica fixa informada pelo usuário.</t>
        </is>
      </c>
    </row>
    <row r="547">
      <c r="A547" s="6" t="inlineStr">
        <is>
          <t>Milho</t>
        </is>
      </c>
      <c r="B547" s="6" t="inlineStr">
        <is>
          <t>Cuiabá - MT</t>
        </is>
      </c>
      <c r="C547" s="6" t="n">
        <v>-15.601</v>
      </c>
      <c r="D547" s="6" t="n">
        <v>-56.0974</v>
      </c>
      <c r="E547" s="6" t="inlineStr">
        <is>
          <t>2022-06</t>
        </is>
      </c>
      <c r="F547" s="6" t="n">
        <v>655614.5333381763</v>
      </c>
      <c r="G547" s="6" t="inlineStr">
        <is>
          <t>DOMESTICA</t>
        </is>
      </c>
      <c r="H547" s="6" t="inlineStr">
        <is>
          <t>FIXO</t>
        </is>
      </c>
      <c r="I547" s="11">
        <f>IF($H547="AUTO_OFERTA_TOTAL_PRODUTO_PERIODO",SUMIFS(Oferta!$F:$F,Oferta!$A:$A,$A547,Oferta!$E:$E,$E547),$F547)</f>
        <v/>
      </c>
      <c r="J547" s="6" t="inlineStr">
        <is>
          <t>Informado</t>
        </is>
      </c>
      <c r="K547" s="6" t="inlineStr">
        <is>
          <t>Demanda doméstica fixa informada pelo usuário.</t>
        </is>
      </c>
    </row>
    <row r="548">
      <c r="A548" s="6" t="inlineStr">
        <is>
          <t>Milho</t>
        </is>
      </c>
      <c r="B548" s="6" t="inlineStr">
        <is>
          <t>Cuiabá - MT</t>
        </is>
      </c>
      <c r="C548" s="6" t="n">
        <v>-15.601</v>
      </c>
      <c r="D548" s="6" t="n">
        <v>-56.0974</v>
      </c>
      <c r="E548" s="6" t="inlineStr">
        <is>
          <t>2022-07</t>
        </is>
      </c>
      <c r="F548" s="6" t="n">
        <v>726016.0939650948</v>
      </c>
      <c r="G548" s="6" t="inlineStr">
        <is>
          <t>DOMESTICA</t>
        </is>
      </c>
      <c r="H548" s="6" t="inlineStr">
        <is>
          <t>FIXO</t>
        </is>
      </c>
      <c r="I548" s="11">
        <f>IF($H548="AUTO_OFERTA_TOTAL_PRODUTO_PERIODO",SUMIFS(Oferta!$F:$F,Oferta!$A:$A,$A548,Oferta!$E:$E,$E548),$F548)</f>
        <v/>
      </c>
      <c r="J548" s="6" t="inlineStr">
        <is>
          <t>Informado</t>
        </is>
      </c>
      <c r="K548" s="6" t="inlineStr">
        <is>
          <t>Demanda doméstica fixa informada pelo usuário.</t>
        </is>
      </c>
    </row>
    <row r="549">
      <c r="A549" s="6" t="inlineStr">
        <is>
          <t>Milho</t>
        </is>
      </c>
      <c r="B549" s="6" t="inlineStr">
        <is>
          <t>Cuiabá - MT</t>
        </is>
      </c>
      <c r="C549" s="6" t="n">
        <v>-15.601</v>
      </c>
      <c r="D549" s="6" t="n">
        <v>-56.0974</v>
      </c>
      <c r="E549" s="6" t="inlineStr">
        <is>
          <t>2022-08</t>
        </is>
      </c>
      <c r="F549" s="6" t="n">
        <v>726016.0939650948</v>
      </c>
      <c r="G549" s="6" t="inlineStr">
        <is>
          <t>DOMESTICA</t>
        </is>
      </c>
      <c r="H549" s="6" t="inlineStr">
        <is>
          <t>FIXO</t>
        </is>
      </c>
      <c r="I549" s="11">
        <f>IF($H549="AUTO_OFERTA_TOTAL_PRODUTO_PERIODO",SUMIFS(Oferta!$F:$F,Oferta!$A:$A,$A549,Oferta!$E:$E,$E549),$F549)</f>
        <v/>
      </c>
      <c r="J549" s="6" t="inlineStr">
        <is>
          <t>Informado</t>
        </is>
      </c>
      <c r="K549" s="6" t="inlineStr">
        <is>
          <t>Demanda doméstica fixa informada pelo usuário.</t>
        </is>
      </c>
    </row>
    <row r="550">
      <c r="A550" s="6" t="inlineStr">
        <is>
          <t>Milho</t>
        </is>
      </c>
      <c r="B550" s="6" t="inlineStr">
        <is>
          <t>Cuiabá - MT</t>
        </is>
      </c>
      <c r="C550" s="6" t="n">
        <v>-15.601</v>
      </c>
      <c r="D550" s="6" t="n">
        <v>-56.0974</v>
      </c>
      <c r="E550" s="6" t="inlineStr">
        <is>
          <t>2022-09</t>
        </is>
      </c>
      <c r="F550" s="6" t="n">
        <v>655614.5333381763</v>
      </c>
      <c r="G550" s="6" t="inlineStr">
        <is>
          <t>DOMESTICA</t>
        </is>
      </c>
      <c r="H550" s="6" t="inlineStr">
        <is>
          <t>FIXO</t>
        </is>
      </c>
      <c r="I550" s="11">
        <f>IF($H550="AUTO_OFERTA_TOTAL_PRODUTO_PERIODO",SUMIFS(Oferta!$F:$F,Oferta!$A:$A,$A550,Oferta!$E:$E,$E550),$F550)</f>
        <v/>
      </c>
      <c r="J550" s="6" t="inlineStr">
        <is>
          <t>Informado</t>
        </is>
      </c>
      <c r="K550" s="6" t="inlineStr">
        <is>
          <t>Demanda doméstica fixa informada pelo usuário.</t>
        </is>
      </c>
    </row>
    <row r="551">
      <c r="A551" s="6" t="inlineStr">
        <is>
          <t>Milho</t>
        </is>
      </c>
      <c r="B551" s="6" t="inlineStr">
        <is>
          <t>Cuiabá - MT</t>
        </is>
      </c>
      <c r="C551" s="6" t="n">
        <v>-15.601</v>
      </c>
      <c r="D551" s="6" t="n">
        <v>-56.0974</v>
      </c>
      <c r="E551" s="6" t="inlineStr">
        <is>
          <t>2022-10</t>
        </is>
      </c>
      <c r="F551" s="6" t="n">
        <v>479610.6317708807</v>
      </c>
      <c r="G551" s="6" t="inlineStr">
        <is>
          <t>DOMESTICA</t>
        </is>
      </c>
      <c r="H551" s="6" t="inlineStr">
        <is>
          <t>FIXO</t>
        </is>
      </c>
      <c r="I551" s="11">
        <f>IF($H551="AUTO_OFERTA_TOTAL_PRODUTO_PERIODO",SUMIFS(Oferta!$F:$F,Oferta!$A:$A,$A551,Oferta!$E:$E,$E551),$F551)</f>
        <v/>
      </c>
      <c r="J551" s="6" t="inlineStr">
        <is>
          <t>Informado</t>
        </is>
      </c>
      <c r="K551" s="6" t="inlineStr">
        <is>
          <t>Demanda doméstica fixa informada pelo usuário.</t>
        </is>
      </c>
    </row>
    <row r="552">
      <c r="A552" s="6" t="inlineStr">
        <is>
          <t>Milho</t>
        </is>
      </c>
      <c r="B552" s="6" t="inlineStr">
        <is>
          <t>Cuiabá - MT</t>
        </is>
      </c>
      <c r="C552" s="6" t="n">
        <v>-15.601</v>
      </c>
      <c r="D552" s="6" t="n">
        <v>-56.0974</v>
      </c>
      <c r="E552" s="6" t="inlineStr">
        <is>
          <t>2022-11</t>
        </is>
      </c>
      <c r="F552" s="6" t="n">
        <v>338807.5105170441</v>
      </c>
      <c r="G552" s="6" t="inlineStr">
        <is>
          <t>DOMESTICA</t>
        </is>
      </c>
      <c r="H552" s="6" t="inlineStr">
        <is>
          <t>FIXO</t>
        </is>
      </c>
      <c r="I552" s="11">
        <f>IF($H552="AUTO_OFERTA_TOTAL_PRODUTO_PERIODO",SUMIFS(Oferta!$F:$F,Oferta!$A:$A,$A552,Oferta!$E:$E,$E552),$F552)</f>
        <v/>
      </c>
      <c r="J552" s="6" t="inlineStr">
        <is>
          <t>Informado</t>
        </is>
      </c>
      <c r="K552" s="6" t="inlineStr">
        <is>
          <t>Demanda doméstica fixa informada pelo usuário.</t>
        </is>
      </c>
    </row>
    <row r="553">
      <c r="A553" s="6" t="inlineStr">
        <is>
          <t>Milho</t>
        </is>
      </c>
      <c r="B553" s="6" t="inlineStr">
        <is>
          <t>Cuiabá - MT</t>
        </is>
      </c>
      <c r="C553" s="6" t="n">
        <v>-15.601</v>
      </c>
      <c r="D553" s="6" t="n">
        <v>-56.0974</v>
      </c>
      <c r="E553" s="6" t="inlineStr">
        <is>
          <t>2022-12</t>
        </is>
      </c>
      <c r="F553" s="6" t="n">
        <v>268405.949890126</v>
      </c>
      <c r="G553" s="6" t="inlineStr">
        <is>
          <t>DOMESTICA</t>
        </is>
      </c>
      <c r="H553" s="6" t="inlineStr">
        <is>
          <t>FIXO</t>
        </is>
      </c>
      <c r="I553" s="11">
        <f>IF($H553="AUTO_OFERTA_TOTAL_PRODUTO_PERIODO",SUMIFS(Oferta!$F:$F,Oferta!$A:$A,$A553,Oferta!$E:$E,$E553),$F553)</f>
        <v/>
      </c>
      <c r="J553" s="6" t="inlineStr">
        <is>
          <t>Informado</t>
        </is>
      </c>
      <c r="K553" s="6" t="inlineStr">
        <is>
          <t>Demanda doméstica fixa informada pelo usuário.</t>
        </is>
      </c>
    </row>
    <row r="554">
      <c r="A554" s="6" t="inlineStr">
        <is>
          <t>Milho</t>
        </is>
      </c>
      <c r="B554" s="6" t="inlineStr">
        <is>
          <t>Campo Grande - MS</t>
        </is>
      </c>
      <c r="C554" s="6" t="n">
        <v>-20.4486</v>
      </c>
      <c r="D554" s="6" t="n">
        <v>-54.6295</v>
      </c>
      <c r="E554" s="6" t="inlineStr">
        <is>
          <t>2022-01</t>
        </is>
      </c>
      <c r="F554" s="6" t="n">
        <v>69258.66920681229</v>
      </c>
      <c r="G554" s="6" t="inlineStr">
        <is>
          <t>DOMESTICA</t>
        </is>
      </c>
      <c r="H554" s="6" t="inlineStr">
        <is>
          <t>FIXO</t>
        </is>
      </c>
      <c r="I554" s="11">
        <f>IF($H554="AUTO_OFERTA_TOTAL_PRODUTO_PERIODO",SUMIFS(Oferta!$F:$F,Oferta!$A:$A,$A554,Oferta!$E:$E,$E554),$F554)</f>
        <v/>
      </c>
      <c r="J554" s="6" t="inlineStr">
        <is>
          <t>Informado</t>
        </is>
      </c>
      <c r="K554" s="6" t="inlineStr">
        <is>
          <t>Demanda doméstica fixa informada pelo usuário.</t>
        </is>
      </c>
    </row>
    <row r="555">
      <c r="A555" s="6" t="inlineStr">
        <is>
          <t>Milho</t>
        </is>
      </c>
      <c r="B555" s="6" t="inlineStr">
        <is>
          <t>Campo Grande - MS</t>
        </is>
      </c>
      <c r="C555" s="6" t="n">
        <v>-20.4486</v>
      </c>
      <c r="D555" s="6" t="n">
        <v>-54.6295</v>
      </c>
      <c r="E555" s="6" t="inlineStr">
        <is>
          <t>2022-02</t>
        </is>
      </c>
      <c r="F555" s="6" t="n">
        <v>79712.8079550103</v>
      </c>
      <c r="G555" s="6" t="inlineStr">
        <is>
          <t>DOMESTICA</t>
        </is>
      </c>
      <c r="H555" s="6" t="inlineStr">
        <is>
          <t>FIXO</t>
        </is>
      </c>
      <c r="I555" s="11">
        <f>IF($H555="AUTO_OFERTA_TOTAL_PRODUTO_PERIODO",SUMIFS(Oferta!$F:$F,Oferta!$A:$A,$A555,Oferta!$E:$E,$E555),$F555)</f>
        <v/>
      </c>
      <c r="J555" s="6" t="inlineStr">
        <is>
          <t>Informado</t>
        </is>
      </c>
      <c r="K555" s="6" t="inlineStr">
        <is>
          <t>Demanda doméstica fixa informada pelo usuário.</t>
        </is>
      </c>
    </row>
    <row r="556">
      <c r="A556" s="6" t="inlineStr">
        <is>
          <t>Milho</t>
        </is>
      </c>
      <c r="B556" s="6" t="inlineStr">
        <is>
          <t>Campo Grande - MS</t>
        </is>
      </c>
      <c r="C556" s="6" t="n">
        <v>-20.4486</v>
      </c>
      <c r="D556" s="6" t="n">
        <v>-54.6295</v>
      </c>
      <c r="E556" s="6" t="inlineStr">
        <is>
          <t>2022-03</t>
        </is>
      </c>
      <c r="F556" s="6" t="n">
        <v>100621.0854514065</v>
      </c>
      <c r="G556" s="6" t="inlineStr">
        <is>
          <t>DOMESTICA</t>
        </is>
      </c>
      <c r="H556" s="6" t="inlineStr">
        <is>
          <t>FIXO</t>
        </is>
      </c>
      <c r="I556" s="11">
        <f>IF($H556="AUTO_OFERTA_TOTAL_PRODUTO_PERIODO",SUMIFS(Oferta!$F:$F,Oferta!$A:$A,$A556,Oferta!$E:$E,$E556),$F556)</f>
        <v/>
      </c>
      <c r="J556" s="6" t="inlineStr">
        <is>
          <t>Informado</t>
        </is>
      </c>
      <c r="K556" s="6" t="inlineStr">
        <is>
          <t>Demanda doméstica fixa informada pelo usuário.</t>
        </is>
      </c>
    </row>
    <row r="557">
      <c r="A557" s="6" t="inlineStr">
        <is>
          <t>Milho</t>
        </is>
      </c>
      <c r="B557" s="6" t="inlineStr">
        <is>
          <t>Campo Grande - MS</t>
        </is>
      </c>
      <c r="C557" s="6" t="n">
        <v>-20.4486</v>
      </c>
      <c r="D557" s="6" t="n">
        <v>-54.6295</v>
      </c>
      <c r="E557" s="6" t="inlineStr">
        <is>
          <t>2022-04</t>
        </is>
      </c>
      <c r="F557" s="6" t="n">
        <v>163345.917940595</v>
      </c>
      <c r="G557" s="6" t="inlineStr">
        <is>
          <t>DOMESTICA</t>
        </is>
      </c>
      <c r="H557" s="6" t="inlineStr">
        <is>
          <t>FIXO</t>
        </is>
      </c>
      <c r="I557" s="11">
        <f>IF($H557="AUTO_OFERTA_TOTAL_PRODUTO_PERIODO",SUMIFS(Oferta!$F:$F,Oferta!$A:$A,$A557,Oferta!$E:$E,$E557),$F557)</f>
        <v/>
      </c>
      <c r="J557" s="6" t="inlineStr">
        <is>
          <t>Informado</t>
        </is>
      </c>
      <c r="K557" s="6" t="inlineStr">
        <is>
          <t>Demanda doméstica fixa informada pelo usuário.</t>
        </is>
      </c>
    </row>
    <row r="558">
      <c r="A558" s="6" t="inlineStr">
        <is>
          <t>Milho</t>
        </is>
      </c>
      <c r="B558" s="6" t="inlineStr">
        <is>
          <t>Campo Grande - MS</t>
        </is>
      </c>
      <c r="C558" s="6" t="n">
        <v>-20.4486</v>
      </c>
      <c r="D558" s="6" t="n">
        <v>-54.6295</v>
      </c>
      <c r="E558" s="6" t="inlineStr">
        <is>
          <t>2022-05</t>
        </is>
      </c>
      <c r="F558" s="6" t="n">
        <v>194708.3341851892</v>
      </c>
      <c r="G558" s="6" t="inlineStr">
        <is>
          <t>DOMESTICA</t>
        </is>
      </c>
      <c r="H558" s="6" t="inlineStr">
        <is>
          <t>FIXO</t>
        </is>
      </c>
      <c r="I558" s="11">
        <f>IF($H558="AUTO_OFERTA_TOTAL_PRODUTO_PERIODO",SUMIFS(Oferta!$F:$F,Oferta!$A:$A,$A558,Oferta!$E:$E,$E558),$F558)</f>
        <v/>
      </c>
      <c r="J558" s="6" t="inlineStr">
        <is>
          <t>Informado</t>
        </is>
      </c>
      <c r="K558" s="6" t="inlineStr">
        <is>
          <t>Demanda doméstica fixa informada pelo usuário.</t>
        </is>
      </c>
    </row>
    <row r="559">
      <c r="A559" s="6" t="inlineStr">
        <is>
          <t>Milho</t>
        </is>
      </c>
      <c r="B559" s="6" t="inlineStr">
        <is>
          <t>Campo Grande - MS</t>
        </is>
      </c>
      <c r="C559" s="6" t="n">
        <v>-20.4486</v>
      </c>
      <c r="D559" s="6" t="n">
        <v>-54.6295</v>
      </c>
      <c r="E559" s="6" t="inlineStr">
        <is>
          <t>2022-06</t>
        </is>
      </c>
      <c r="F559" s="6" t="n">
        <v>205162.4729333873</v>
      </c>
      <c r="G559" s="6" t="inlineStr">
        <is>
          <t>DOMESTICA</t>
        </is>
      </c>
      <c r="H559" s="6" t="inlineStr">
        <is>
          <t>FIXO</t>
        </is>
      </c>
      <c r="I559" s="11">
        <f>IF($H559="AUTO_OFERTA_TOTAL_PRODUTO_PERIODO",SUMIFS(Oferta!$F:$F,Oferta!$A:$A,$A559,Oferta!$E:$E,$E559),$F559)</f>
        <v/>
      </c>
      <c r="J559" s="6" t="inlineStr">
        <is>
          <t>Informado</t>
        </is>
      </c>
      <c r="K559" s="6" t="inlineStr">
        <is>
          <t>Demanda doméstica fixa informada pelo usuário.</t>
        </is>
      </c>
    </row>
    <row r="560">
      <c r="A560" s="6" t="inlineStr">
        <is>
          <t>Milho</t>
        </is>
      </c>
      <c r="B560" s="6" t="inlineStr">
        <is>
          <t>Campo Grande - MS</t>
        </is>
      </c>
      <c r="C560" s="6" t="n">
        <v>-20.4486</v>
      </c>
      <c r="D560" s="6" t="n">
        <v>-54.6295</v>
      </c>
      <c r="E560" s="6" t="inlineStr">
        <is>
          <t>2022-07</t>
        </is>
      </c>
      <c r="F560" s="6" t="n">
        <v>163345.917940595</v>
      </c>
      <c r="G560" s="6" t="inlineStr">
        <is>
          <t>DOMESTICA</t>
        </is>
      </c>
      <c r="H560" s="6" t="inlineStr">
        <is>
          <t>FIXO</t>
        </is>
      </c>
      <c r="I560" s="11">
        <f>IF($H560="AUTO_OFERTA_TOTAL_PRODUTO_PERIODO",SUMIFS(Oferta!$F:$F,Oferta!$A:$A,$A560,Oferta!$E:$E,$E560),$F560)</f>
        <v/>
      </c>
      <c r="J560" s="6" t="inlineStr">
        <is>
          <t>Informado</t>
        </is>
      </c>
      <c r="K560" s="6" t="inlineStr">
        <is>
          <t>Demanda doméstica fixa informada pelo usuário.</t>
        </is>
      </c>
    </row>
    <row r="561">
      <c r="A561" s="6" t="inlineStr">
        <is>
          <t>Milho</t>
        </is>
      </c>
      <c r="B561" s="6" t="inlineStr">
        <is>
          <t>Campo Grande - MS</t>
        </is>
      </c>
      <c r="C561" s="6" t="n">
        <v>-20.4486</v>
      </c>
      <c r="D561" s="6" t="n">
        <v>-54.6295</v>
      </c>
      <c r="E561" s="6" t="inlineStr">
        <is>
          <t>2022-08</t>
        </is>
      </c>
      <c r="F561" s="6" t="n">
        <v>184254.1954369911</v>
      </c>
      <c r="G561" s="6" t="inlineStr">
        <is>
          <t>DOMESTICA</t>
        </is>
      </c>
      <c r="H561" s="6" t="inlineStr">
        <is>
          <t>FIXO</t>
        </is>
      </c>
      <c r="I561" s="11">
        <f>IF($H561="AUTO_OFERTA_TOTAL_PRODUTO_PERIODO",SUMIFS(Oferta!$F:$F,Oferta!$A:$A,$A561,Oferta!$E:$E,$E561),$F561)</f>
        <v/>
      </c>
      <c r="J561" s="6" t="inlineStr">
        <is>
          <t>Informado</t>
        </is>
      </c>
      <c r="K561" s="6" t="inlineStr">
        <is>
          <t>Demanda doméstica fixa informada pelo usuário.</t>
        </is>
      </c>
    </row>
    <row r="562">
      <c r="A562" s="6" t="inlineStr">
        <is>
          <t>Milho</t>
        </is>
      </c>
      <c r="B562" s="6" t="inlineStr">
        <is>
          <t>Campo Grande - MS</t>
        </is>
      </c>
      <c r="C562" s="6" t="n">
        <v>-20.4486</v>
      </c>
      <c r="D562" s="6" t="n">
        <v>-54.6295</v>
      </c>
      <c r="E562" s="6" t="inlineStr">
        <is>
          <t>2022-09</t>
        </is>
      </c>
      <c r="F562" s="6" t="n">
        <v>173800.0566887931</v>
      </c>
      <c r="G562" s="6" t="inlineStr">
        <is>
          <t>DOMESTICA</t>
        </is>
      </c>
      <c r="H562" s="6" t="inlineStr">
        <is>
          <t>FIXO</t>
        </is>
      </c>
      <c r="I562" s="11">
        <f>IF($H562="AUTO_OFERTA_TOTAL_PRODUTO_PERIODO",SUMIFS(Oferta!$F:$F,Oferta!$A:$A,$A562,Oferta!$E:$E,$E562),$F562)</f>
        <v/>
      </c>
      <c r="J562" s="6" t="inlineStr">
        <is>
          <t>Informado</t>
        </is>
      </c>
      <c r="K562" s="6" t="inlineStr">
        <is>
          <t>Demanda doméstica fixa informada pelo usuário.</t>
        </is>
      </c>
    </row>
    <row r="563">
      <c r="A563" s="6" t="inlineStr">
        <is>
          <t>Milho</t>
        </is>
      </c>
      <c r="B563" s="6" t="inlineStr">
        <is>
          <t>Campo Grande - MS</t>
        </is>
      </c>
      <c r="C563" s="6" t="n">
        <v>-20.4486</v>
      </c>
      <c r="D563" s="6" t="n">
        <v>-54.6295</v>
      </c>
      <c r="E563" s="6" t="inlineStr">
        <is>
          <t>2022-10</t>
        </is>
      </c>
      <c r="F563" s="6" t="n">
        <v>173800.0566887931</v>
      </c>
      <c r="G563" s="6" t="inlineStr">
        <is>
          <t>DOMESTICA</t>
        </is>
      </c>
      <c r="H563" s="6" t="inlineStr">
        <is>
          <t>FIXO</t>
        </is>
      </c>
      <c r="I563" s="11">
        <f>IF($H563="AUTO_OFERTA_TOTAL_PRODUTO_PERIODO",SUMIFS(Oferta!$F:$F,Oferta!$A:$A,$A563,Oferta!$E:$E,$E563),$F563)</f>
        <v/>
      </c>
      <c r="J563" s="6" t="inlineStr">
        <is>
          <t>Informado</t>
        </is>
      </c>
      <c r="K563" s="6" t="inlineStr">
        <is>
          <t>Demanda doméstica fixa informada pelo usuário.</t>
        </is>
      </c>
    </row>
    <row r="564">
      <c r="A564" s="6" t="inlineStr">
        <is>
          <t>Milho</t>
        </is>
      </c>
      <c r="B564" s="6" t="inlineStr">
        <is>
          <t>Campo Grande - MS</t>
        </is>
      </c>
      <c r="C564" s="6" t="n">
        <v>-20.4486</v>
      </c>
      <c r="D564" s="6" t="n">
        <v>-54.6295</v>
      </c>
      <c r="E564" s="6" t="inlineStr">
        <is>
          <t>2022-11</t>
        </is>
      </c>
      <c r="F564" s="6" t="n">
        <v>111075.2241996046</v>
      </c>
      <c r="G564" s="6" t="inlineStr">
        <is>
          <t>DOMESTICA</t>
        </is>
      </c>
      <c r="H564" s="6" t="inlineStr">
        <is>
          <t>FIXO</t>
        </is>
      </c>
      <c r="I564" s="11">
        <f>IF($H564="AUTO_OFERTA_TOTAL_PRODUTO_PERIODO",SUMIFS(Oferta!$F:$F,Oferta!$A:$A,$A564,Oferta!$E:$E,$E564),$F564)</f>
        <v/>
      </c>
      <c r="J564" s="6" t="inlineStr">
        <is>
          <t>Informado</t>
        </is>
      </c>
      <c r="K564" s="6" t="inlineStr">
        <is>
          <t>Demanda doméstica fixa informada pelo usuário.</t>
        </is>
      </c>
    </row>
    <row r="565">
      <c r="A565" s="6" t="inlineStr">
        <is>
          <t>Milho</t>
        </is>
      </c>
      <c r="B565" s="6" t="inlineStr">
        <is>
          <t>Campo Grande - MS</t>
        </is>
      </c>
      <c r="C565" s="6" t="n">
        <v>-20.4486</v>
      </c>
      <c r="D565" s="6" t="n">
        <v>-54.6295</v>
      </c>
      <c r="E565" s="6" t="inlineStr">
        <is>
          <t>2022-12</t>
        </is>
      </c>
      <c r="F565" s="6" t="n">
        <v>90166.94670320841</v>
      </c>
      <c r="G565" s="6" t="inlineStr">
        <is>
          <t>DOMESTICA</t>
        </is>
      </c>
      <c r="H565" s="6" t="inlineStr">
        <is>
          <t>FIXO</t>
        </is>
      </c>
      <c r="I565" s="11">
        <f>IF($H565="AUTO_OFERTA_TOTAL_PRODUTO_PERIODO",SUMIFS(Oferta!$F:$F,Oferta!$A:$A,$A565,Oferta!$E:$E,$E565),$F565)</f>
        <v/>
      </c>
      <c r="J565" s="6" t="inlineStr">
        <is>
          <t>Informado</t>
        </is>
      </c>
      <c r="K565" s="6" t="inlineStr">
        <is>
          <t>Demanda doméstica fixa informada pelo usuário.</t>
        </is>
      </c>
    </row>
    <row r="566">
      <c r="A566" s="6" t="inlineStr">
        <is>
          <t>Milho</t>
        </is>
      </c>
      <c r="B566" s="6" t="inlineStr">
        <is>
          <t>Vitória - ES</t>
        </is>
      </c>
      <c r="C566" s="6" t="n">
        <v>-20.3155</v>
      </c>
      <c r="D566" s="6" t="n">
        <v>-40.3128</v>
      </c>
      <c r="E566" s="6" t="inlineStr">
        <is>
          <t>2022-01</t>
        </is>
      </c>
      <c r="F566" s="6" t="n">
        <v>59586.1826931258</v>
      </c>
      <c r="G566" s="6" t="inlineStr">
        <is>
          <t>DOMESTICA</t>
        </is>
      </c>
      <c r="H566" s="6" t="inlineStr">
        <is>
          <t>FIXO</t>
        </is>
      </c>
      <c r="I566" s="11">
        <f>IF($H566="AUTO_OFERTA_TOTAL_PRODUTO_PERIODO",SUMIFS(Oferta!$F:$F,Oferta!$A:$A,$A566,Oferta!$E:$E,$E566),$F566)</f>
        <v/>
      </c>
      <c r="J566" s="6" t="inlineStr">
        <is>
          <t>Informado</t>
        </is>
      </c>
      <c r="K566" s="6" t="inlineStr">
        <is>
          <t>Demanda doméstica fixa informada pelo usuário.</t>
        </is>
      </c>
    </row>
    <row r="567">
      <c r="A567" s="6" t="inlineStr">
        <is>
          <t>Milho</t>
        </is>
      </c>
      <c r="B567" s="6" t="inlineStr">
        <is>
          <t>Vitória - ES</t>
        </is>
      </c>
      <c r="C567" s="6" t="n">
        <v>-20.3155</v>
      </c>
      <c r="D567" s="6" t="n">
        <v>-40.3128</v>
      </c>
      <c r="E567" s="6" t="inlineStr">
        <is>
          <t>2022-02</t>
        </is>
      </c>
      <c r="F567" s="6" t="n">
        <v>68580.3234769939</v>
      </c>
      <c r="G567" s="6" t="inlineStr">
        <is>
          <t>DOMESTICA</t>
        </is>
      </c>
      <c r="H567" s="6" t="inlineStr">
        <is>
          <t>FIXO</t>
        </is>
      </c>
      <c r="I567" s="11">
        <f>IF($H567="AUTO_OFERTA_TOTAL_PRODUTO_PERIODO",SUMIFS(Oferta!$F:$F,Oferta!$A:$A,$A567,Oferta!$E:$E,$E567),$F567)</f>
        <v/>
      </c>
      <c r="J567" s="6" t="inlineStr">
        <is>
          <t>Informado</t>
        </is>
      </c>
      <c r="K567" s="6" t="inlineStr">
        <is>
          <t>Demanda doméstica fixa informada pelo usuário.</t>
        </is>
      </c>
    </row>
    <row r="568">
      <c r="A568" s="6" t="inlineStr">
        <is>
          <t>Milho</t>
        </is>
      </c>
      <c r="B568" s="6" t="inlineStr">
        <is>
          <t>Vitória - ES</t>
        </is>
      </c>
      <c r="C568" s="6" t="n">
        <v>-20.3155</v>
      </c>
      <c r="D568" s="6" t="n">
        <v>-40.3128</v>
      </c>
      <c r="E568" s="6" t="inlineStr">
        <is>
          <t>2022-03</t>
        </is>
      </c>
      <c r="F568" s="6" t="n">
        <v>86568.60504472999</v>
      </c>
      <c r="G568" s="6" t="inlineStr">
        <is>
          <t>DOMESTICA</t>
        </is>
      </c>
      <c r="H568" s="6" t="inlineStr">
        <is>
          <t>FIXO</t>
        </is>
      </c>
      <c r="I568" s="11">
        <f>IF($H568="AUTO_OFERTA_TOTAL_PRODUTO_PERIODO",SUMIFS(Oferta!$F:$F,Oferta!$A:$A,$A568,Oferta!$E:$E,$E568),$F568)</f>
        <v/>
      </c>
      <c r="J568" s="6" t="inlineStr">
        <is>
          <t>Informado</t>
        </is>
      </c>
      <c r="K568" s="6" t="inlineStr">
        <is>
          <t>Demanda doméstica fixa informada pelo usuário.</t>
        </is>
      </c>
    </row>
    <row r="569">
      <c r="A569" s="6" t="inlineStr">
        <is>
          <t>Milho</t>
        </is>
      </c>
      <c r="B569" s="6" t="inlineStr">
        <is>
          <t>Vitória - ES</t>
        </is>
      </c>
      <c r="C569" s="6" t="n">
        <v>-20.3155</v>
      </c>
      <c r="D569" s="6" t="n">
        <v>-40.3128</v>
      </c>
      <c r="E569" s="6" t="inlineStr">
        <is>
          <t>2022-04</t>
        </is>
      </c>
      <c r="F569" s="6" t="n">
        <v>140533.4497479383</v>
      </c>
      <c r="G569" s="6" t="inlineStr">
        <is>
          <t>DOMESTICA</t>
        </is>
      </c>
      <c r="H569" s="6" t="inlineStr">
        <is>
          <t>FIXO</t>
        </is>
      </c>
      <c r="I569" s="11">
        <f>IF($H569="AUTO_OFERTA_TOTAL_PRODUTO_PERIODO",SUMIFS(Oferta!$F:$F,Oferta!$A:$A,$A569,Oferta!$E:$E,$E569),$F569)</f>
        <v/>
      </c>
      <c r="J569" s="6" t="inlineStr">
        <is>
          <t>Informado</t>
        </is>
      </c>
      <c r="K569" s="6" t="inlineStr">
        <is>
          <t>Demanda doméstica fixa informada pelo usuário.</t>
        </is>
      </c>
    </row>
    <row r="570">
      <c r="A570" s="6" t="inlineStr">
        <is>
          <t>Milho</t>
        </is>
      </c>
      <c r="B570" s="6" t="inlineStr">
        <is>
          <t>Vitória - ES</t>
        </is>
      </c>
      <c r="C570" s="6" t="n">
        <v>-20.3155</v>
      </c>
      <c r="D570" s="6" t="n">
        <v>-40.3128</v>
      </c>
      <c r="E570" s="6" t="inlineStr">
        <is>
          <t>2022-05</t>
        </is>
      </c>
      <c r="F570" s="6" t="n">
        <v>149527.5905318063</v>
      </c>
      <c r="G570" s="6" t="inlineStr">
        <is>
          <t>DOMESTICA</t>
        </is>
      </c>
      <c r="H570" s="6" t="inlineStr">
        <is>
          <t>FIXO</t>
        </is>
      </c>
      <c r="I570" s="11">
        <f>IF($H570="AUTO_OFERTA_TOTAL_PRODUTO_PERIODO",SUMIFS(Oferta!$F:$F,Oferta!$A:$A,$A570,Oferta!$E:$E,$E570),$F570)</f>
        <v/>
      </c>
      <c r="J570" s="6" t="inlineStr">
        <is>
          <t>Informado</t>
        </is>
      </c>
      <c r="K570" s="6" t="inlineStr">
        <is>
          <t>Demanda doméstica fixa informada pelo usuário.</t>
        </is>
      </c>
    </row>
    <row r="571">
      <c r="A571" s="6" t="inlineStr">
        <is>
          <t>Milho</t>
        </is>
      </c>
      <c r="B571" s="6" t="inlineStr">
        <is>
          <t>Vitória - ES</t>
        </is>
      </c>
      <c r="C571" s="6" t="n">
        <v>-20.3155</v>
      </c>
      <c r="D571" s="6" t="n">
        <v>-40.3128</v>
      </c>
      <c r="E571" s="6" t="inlineStr">
        <is>
          <t>2022-06</t>
        </is>
      </c>
      <c r="F571" s="6" t="n">
        <v>140533.4497479383</v>
      </c>
      <c r="G571" s="6" t="inlineStr">
        <is>
          <t>DOMESTICA</t>
        </is>
      </c>
      <c r="H571" s="6" t="inlineStr">
        <is>
          <t>FIXO</t>
        </is>
      </c>
      <c r="I571" s="11">
        <f>IF($H571="AUTO_OFERTA_TOTAL_PRODUTO_PERIODO",SUMIFS(Oferta!$F:$F,Oferta!$A:$A,$A571,Oferta!$E:$E,$E571),$F571)</f>
        <v/>
      </c>
      <c r="J571" s="6" t="inlineStr">
        <is>
          <t>Informado</t>
        </is>
      </c>
      <c r="K571" s="6" t="inlineStr">
        <is>
          <t>Demanda doméstica fixa informada pelo usuário.</t>
        </is>
      </c>
    </row>
    <row r="572">
      <c r="A572" s="6" t="inlineStr">
        <is>
          <t>Milho</t>
        </is>
      </c>
      <c r="B572" s="6" t="inlineStr">
        <is>
          <t>Vitória - ES</t>
        </is>
      </c>
      <c r="C572" s="6" t="n">
        <v>-20.3155</v>
      </c>
      <c r="D572" s="6" t="n">
        <v>-40.3128</v>
      </c>
      <c r="E572" s="6" t="inlineStr">
        <is>
          <t>2022-07</t>
        </is>
      </c>
      <c r="F572" s="6" t="n">
        <v>104556.8866124661</v>
      </c>
      <c r="G572" s="6" t="inlineStr">
        <is>
          <t>DOMESTICA</t>
        </is>
      </c>
      <c r="H572" s="6" t="inlineStr">
        <is>
          <t>FIXO</t>
        </is>
      </c>
      <c r="I572" s="11">
        <f>IF($H572="AUTO_OFERTA_TOTAL_PRODUTO_PERIODO",SUMIFS(Oferta!$F:$F,Oferta!$A:$A,$A572,Oferta!$E:$E,$E572),$F572)</f>
        <v/>
      </c>
      <c r="J572" s="6" t="inlineStr">
        <is>
          <t>Informado</t>
        </is>
      </c>
      <c r="K572" s="6" t="inlineStr">
        <is>
          <t>Demanda doméstica fixa informada pelo usuário.</t>
        </is>
      </c>
    </row>
    <row r="573">
      <c r="A573" s="6" t="inlineStr">
        <is>
          <t>Milho</t>
        </is>
      </c>
      <c r="B573" s="6" t="inlineStr">
        <is>
          <t>Vitória - ES</t>
        </is>
      </c>
      <c r="C573" s="6" t="n">
        <v>-20.3155</v>
      </c>
      <c r="D573" s="6" t="n">
        <v>-40.3128</v>
      </c>
      <c r="E573" s="6" t="inlineStr">
        <is>
          <t>2022-08</t>
        </is>
      </c>
      <c r="F573" s="6" t="n">
        <v>140533.4497479383</v>
      </c>
      <c r="G573" s="6" t="inlineStr">
        <is>
          <t>DOMESTICA</t>
        </is>
      </c>
      <c r="H573" s="6" t="inlineStr">
        <is>
          <t>FIXO</t>
        </is>
      </c>
      <c r="I573" s="11">
        <f>IF($H573="AUTO_OFERTA_TOTAL_PRODUTO_PERIODO",SUMIFS(Oferta!$F:$F,Oferta!$A:$A,$A573,Oferta!$E:$E,$E573),$F573)</f>
        <v/>
      </c>
      <c r="J573" s="6" t="inlineStr">
        <is>
          <t>Informado</t>
        </is>
      </c>
      <c r="K573" s="6" t="inlineStr">
        <is>
          <t>Demanda doméstica fixa informada pelo usuário.</t>
        </is>
      </c>
    </row>
    <row r="574">
      <c r="A574" s="6" t="inlineStr">
        <is>
          <t>Milho</t>
        </is>
      </c>
      <c r="B574" s="6" t="inlineStr">
        <is>
          <t>Vitória - ES</t>
        </is>
      </c>
      <c r="C574" s="6" t="n">
        <v>-20.3155</v>
      </c>
      <c r="D574" s="6" t="n">
        <v>-40.3128</v>
      </c>
      <c r="E574" s="6" t="inlineStr">
        <is>
          <t>2022-09</t>
        </is>
      </c>
      <c r="F574" s="6" t="n">
        <v>149527.5905318063</v>
      </c>
      <c r="G574" s="6" t="inlineStr">
        <is>
          <t>DOMESTICA</t>
        </is>
      </c>
      <c r="H574" s="6" t="inlineStr">
        <is>
          <t>FIXO</t>
        </is>
      </c>
      <c r="I574" s="11">
        <f>IF($H574="AUTO_OFERTA_TOTAL_PRODUTO_PERIODO",SUMIFS(Oferta!$F:$F,Oferta!$A:$A,$A574,Oferta!$E:$E,$E574),$F574)</f>
        <v/>
      </c>
      <c r="J574" s="6" t="inlineStr">
        <is>
          <t>Informado</t>
        </is>
      </c>
      <c r="K574" s="6" t="inlineStr">
        <is>
          <t>Demanda doméstica fixa informada pelo usuário.</t>
        </is>
      </c>
    </row>
    <row r="575">
      <c r="A575" s="6" t="inlineStr">
        <is>
          <t>Milho</t>
        </is>
      </c>
      <c r="B575" s="6" t="inlineStr">
        <is>
          <t>Vitória - ES</t>
        </is>
      </c>
      <c r="C575" s="6" t="n">
        <v>-20.3155</v>
      </c>
      <c r="D575" s="6" t="n">
        <v>-40.3128</v>
      </c>
      <c r="E575" s="6" t="inlineStr">
        <is>
          <t>2022-10</t>
        </is>
      </c>
      <c r="F575" s="6" t="n">
        <v>140533.4497479383</v>
      </c>
      <c r="G575" s="6" t="inlineStr">
        <is>
          <t>DOMESTICA</t>
        </is>
      </c>
      <c r="H575" s="6" t="inlineStr">
        <is>
          <t>FIXO</t>
        </is>
      </c>
      <c r="I575" s="11">
        <f>IF($H575="AUTO_OFERTA_TOTAL_PRODUTO_PERIODO",SUMIFS(Oferta!$F:$F,Oferta!$A:$A,$A575,Oferta!$E:$E,$E575),$F575)</f>
        <v/>
      </c>
      <c r="J575" s="6" t="inlineStr">
        <is>
          <t>Informado</t>
        </is>
      </c>
      <c r="K575" s="6" t="inlineStr">
        <is>
          <t>Demanda doméstica fixa informada pelo usuário.</t>
        </is>
      </c>
    </row>
    <row r="576">
      <c r="A576" s="6" t="inlineStr">
        <is>
          <t>Milho</t>
        </is>
      </c>
      <c r="B576" s="6" t="inlineStr">
        <is>
          <t>Vitória - ES</t>
        </is>
      </c>
      <c r="C576" s="6" t="n">
        <v>-20.3155</v>
      </c>
      <c r="D576" s="6" t="n">
        <v>-40.3128</v>
      </c>
      <c r="E576" s="6" t="inlineStr">
        <is>
          <t>2022-11</t>
        </is>
      </c>
      <c r="F576" s="6" t="n">
        <v>86568.60504472999</v>
      </c>
      <c r="G576" s="6" t="inlineStr">
        <is>
          <t>DOMESTICA</t>
        </is>
      </c>
      <c r="H576" s="6" t="inlineStr">
        <is>
          <t>FIXO</t>
        </is>
      </c>
      <c r="I576" s="11">
        <f>IF($H576="AUTO_OFERTA_TOTAL_PRODUTO_PERIODO",SUMIFS(Oferta!$F:$F,Oferta!$A:$A,$A576,Oferta!$E:$E,$E576),$F576)</f>
        <v/>
      </c>
      <c r="J576" s="6" t="inlineStr">
        <is>
          <t>Informado</t>
        </is>
      </c>
      <c r="K576" s="6" t="inlineStr">
        <is>
          <t>Demanda doméstica fixa informada pelo usuário.</t>
        </is>
      </c>
    </row>
    <row r="577">
      <c r="A577" s="6" t="inlineStr">
        <is>
          <t>Milho</t>
        </is>
      </c>
      <c r="B577" s="6" t="inlineStr">
        <is>
          <t>Vitória - ES</t>
        </is>
      </c>
      <c r="C577" s="6" t="n">
        <v>-20.3155</v>
      </c>
      <c r="D577" s="6" t="n">
        <v>-40.3128</v>
      </c>
      <c r="E577" s="6" t="inlineStr">
        <is>
          <t>2022-12</t>
        </is>
      </c>
      <c r="F577" s="6" t="n">
        <v>68580.3234769939</v>
      </c>
      <c r="G577" s="6" t="inlineStr">
        <is>
          <t>DOMESTICA</t>
        </is>
      </c>
      <c r="H577" s="6" t="inlineStr">
        <is>
          <t>FIXO</t>
        </is>
      </c>
      <c r="I577" s="11">
        <f>IF($H577="AUTO_OFERTA_TOTAL_PRODUTO_PERIODO",SUMIFS(Oferta!$F:$F,Oferta!$A:$A,$A577,Oferta!$E:$E,$E577),$F577)</f>
        <v/>
      </c>
      <c r="J577" s="6" t="inlineStr">
        <is>
          <t>Informado</t>
        </is>
      </c>
      <c r="K577" s="6" t="inlineStr">
        <is>
          <t>Demanda doméstica fixa informada pelo usuário.</t>
        </is>
      </c>
    </row>
    <row r="578">
      <c r="A578" s="6" t="inlineStr">
        <is>
          <t>Milho</t>
        </is>
      </c>
      <c r="B578" s="6" t="inlineStr">
        <is>
          <t>Belo Horizonte - MG</t>
        </is>
      </c>
      <c r="C578" s="6" t="n">
        <v>-19.9102</v>
      </c>
      <c r="D578" s="6" t="n">
        <v>-43.9266</v>
      </c>
      <c r="E578" s="6" t="inlineStr">
        <is>
          <t>2022-01</t>
        </is>
      </c>
      <c r="F578" s="6" t="n">
        <v>365689.0344887825</v>
      </c>
      <c r="G578" s="6" t="inlineStr">
        <is>
          <t>DOMESTICA</t>
        </is>
      </c>
      <c r="H578" s="6" t="inlineStr">
        <is>
          <t>FIXO</t>
        </is>
      </c>
      <c r="I578" s="11">
        <f>IF($H578="AUTO_OFERTA_TOTAL_PRODUTO_PERIODO",SUMIFS(Oferta!$F:$F,Oferta!$A:$A,$A578,Oferta!$E:$E,$E578),$F578)</f>
        <v/>
      </c>
      <c r="J578" s="6" t="inlineStr">
        <is>
          <t>Informado</t>
        </is>
      </c>
      <c r="K578" s="6" t="inlineStr">
        <is>
          <t>Demanda doméstica fixa informada pelo usuário.</t>
        </is>
      </c>
    </row>
    <row r="579">
      <c r="A579" s="6" t="inlineStr">
        <is>
          <t>Milho</t>
        </is>
      </c>
      <c r="B579" s="6" t="inlineStr">
        <is>
          <t>Belo Horizonte - MG</t>
        </is>
      </c>
      <c r="C579" s="6" t="n">
        <v>-19.9102</v>
      </c>
      <c r="D579" s="6" t="n">
        <v>-43.9266</v>
      </c>
      <c r="E579" s="6" t="inlineStr">
        <is>
          <t>2022-02</t>
        </is>
      </c>
      <c r="F579" s="6" t="n">
        <v>365689.0344887825</v>
      </c>
      <c r="G579" s="6" t="inlineStr">
        <is>
          <t>DOMESTICA</t>
        </is>
      </c>
      <c r="H579" s="6" t="inlineStr">
        <is>
          <t>FIXO</t>
        </is>
      </c>
      <c r="I579" s="11">
        <f>IF($H579="AUTO_OFERTA_TOTAL_PRODUTO_PERIODO",SUMIFS(Oferta!$F:$F,Oferta!$A:$A,$A579,Oferta!$E:$E,$E579),$F579)</f>
        <v/>
      </c>
      <c r="J579" s="6" t="inlineStr">
        <is>
          <t>Informado</t>
        </is>
      </c>
      <c r="K579" s="6" t="inlineStr">
        <is>
          <t>Demanda doméstica fixa informada pelo usuário.</t>
        </is>
      </c>
    </row>
    <row r="580">
      <c r="A580" s="6" t="inlineStr">
        <is>
          <t>Milho</t>
        </is>
      </c>
      <c r="B580" s="6" t="inlineStr">
        <is>
          <t>Belo Horizonte - MG</t>
        </is>
      </c>
      <c r="C580" s="6" t="n">
        <v>-19.9102</v>
      </c>
      <c r="D580" s="6" t="n">
        <v>-43.9266</v>
      </c>
      <c r="E580" s="6" t="inlineStr">
        <is>
          <t>2022-03</t>
        </is>
      </c>
      <c r="F580" s="6" t="n">
        <v>420887.3793172779</v>
      </c>
      <c r="G580" s="6" t="inlineStr">
        <is>
          <t>DOMESTICA</t>
        </is>
      </c>
      <c r="H580" s="6" t="inlineStr">
        <is>
          <t>FIXO</t>
        </is>
      </c>
      <c r="I580" s="11">
        <f>IF($H580="AUTO_OFERTA_TOTAL_PRODUTO_PERIODO",SUMIFS(Oferta!$F:$F,Oferta!$A:$A,$A580,Oferta!$E:$E,$E580),$F580)</f>
        <v/>
      </c>
      <c r="J580" s="6" t="inlineStr">
        <is>
          <t>Informado</t>
        </is>
      </c>
      <c r="K580" s="6" t="inlineStr">
        <is>
          <t>Demanda doméstica fixa informada pelo usuário.</t>
        </is>
      </c>
    </row>
    <row r="581">
      <c r="A581" s="6" t="inlineStr">
        <is>
          <t>Milho</t>
        </is>
      </c>
      <c r="B581" s="6" t="inlineStr">
        <is>
          <t>Belo Horizonte - MG</t>
        </is>
      </c>
      <c r="C581" s="6" t="n">
        <v>-19.9102</v>
      </c>
      <c r="D581" s="6" t="n">
        <v>-43.9266</v>
      </c>
      <c r="E581" s="6" t="inlineStr">
        <is>
          <t>2022-04</t>
        </is>
      </c>
      <c r="F581" s="6" t="n">
        <v>531284.0689742689</v>
      </c>
      <c r="G581" s="6" t="inlineStr">
        <is>
          <t>DOMESTICA</t>
        </is>
      </c>
      <c r="H581" s="6" t="inlineStr">
        <is>
          <t>FIXO</t>
        </is>
      </c>
      <c r="I581" s="11">
        <f>IF($H581="AUTO_OFERTA_TOTAL_PRODUTO_PERIODO",SUMIFS(Oferta!$F:$F,Oferta!$A:$A,$A581,Oferta!$E:$E,$E581),$F581)</f>
        <v/>
      </c>
      <c r="J581" s="6" t="inlineStr">
        <is>
          <t>Informado</t>
        </is>
      </c>
      <c r="K581" s="6" t="inlineStr">
        <is>
          <t>Demanda doméstica fixa informada pelo usuário.</t>
        </is>
      </c>
    </row>
    <row r="582">
      <c r="A582" s="6" t="inlineStr">
        <is>
          <t>Milho</t>
        </is>
      </c>
      <c r="B582" s="6" t="inlineStr">
        <is>
          <t>Belo Horizonte - MG</t>
        </is>
      </c>
      <c r="C582" s="6" t="n">
        <v>-19.9102</v>
      </c>
      <c r="D582" s="6" t="n">
        <v>-43.9266</v>
      </c>
      <c r="E582" s="6" t="inlineStr">
        <is>
          <t>2022-05</t>
        </is>
      </c>
      <c r="F582" s="6" t="n">
        <v>752077.4482882506</v>
      </c>
      <c r="G582" s="6" t="inlineStr">
        <is>
          <t>DOMESTICA</t>
        </is>
      </c>
      <c r="H582" s="6" t="inlineStr">
        <is>
          <t>FIXO</t>
        </is>
      </c>
      <c r="I582" s="11">
        <f>IF($H582="AUTO_OFERTA_TOTAL_PRODUTO_PERIODO",SUMIFS(Oferta!$F:$F,Oferta!$A:$A,$A582,Oferta!$E:$E,$E582),$F582)</f>
        <v/>
      </c>
      <c r="J582" s="6" t="inlineStr">
        <is>
          <t>Informado</t>
        </is>
      </c>
      <c r="K582" s="6" t="inlineStr">
        <is>
          <t>Demanda doméstica fixa informada pelo usuário.</t>
        </is>
      </c>
    </row>
    <row r="583">
      <c r="A583" s="6" t="inlineStr">
        <is>
          <t>Milho</t>
        </is>
      </c>
      <c r="B583" s="6" t="inlineStr">
        <is>
          <t>Belo Horizonte - MG</t>
        </is>
      </c>
      <c r="C583" s="6" t="n">
        <v>-19.9102</v>
      </c>
      <c r="D583" s="6" t="n">
        <v>-43.9266</v>
      </c>
      <c r="E583" s="6" t="inlineStr">
        <is>
          <t>2022-06</t>
        </is>
      </c>
      <c r="F583" s="6" t="n">
        <v>972870.8276022325</v>
      </c>
      <c r="G583" s="6" t="inlineStr">
        <is>
          <t>DOMESTICA</t>
        </is>
      </c>
      <c r="H583" s="6" t="inlineStr">
        <is>
          <t>FIXO</t>
        </is>
      </c>
      <c r="I583" s="11">
        <f>IF($H583="AUTO_OFERTA_TOTAL_PRODUTO_PERIODO",SUMIFS(Oferta!$F:$F,Oferta!$A:$A,$A583,Oferta!$E:$E,$E583),$F583)</f>
        <v/>
      </c>
      <c r="J583" s="6" t="inlineStr">
        <is>
          <t>Informado</t>
        </is>
      </c>
      <c r="K583" s="6" t="inlineStr">
        <is>
          <t>Demanda doméstica fixa informada pelo usuário.</t>
        </is>
      </c>
    </row>
    <row r="584">
      <c r="A584" s="6" t="inlineStr">
        <is>
          <t>Milho</t>
        </is>
      </c>
      <c r="B584" s="6" t="inlineStr">
        <is>
          <t>Belo Horizonte - MG</t>
        </is>
      </c>
      <c r="C584" s="6" t="n">
        <v>-19.9102</v>
      </c>
      <c r="D584" s="6" t="n">
        <v>-43.9266</v>
      </c>
      <c r="E584" s="6" t="inlineStr">
        <is>
          <t>2022-07</t>
        </is>
      </c>
      <c r="F584" s="6" t="n">
        <v>1083267.517259224</v>
      </c>
      <c r="G584" s="6" t="inlineStr">
        <is>
          <t>DOMESTICA</t>
        </is>
      </c>
      <c r="H584" s="6" t="inlineStr">
        <is>
          <t>FIXO</t>
        </is>
      </c>
      <c r="I584" s="11">
        <f>IF($H584="AUTO_OFERTA_TOTAL_PRODUTO_PERIODO",SUMIFS(Oferta!$F:$F,Oferta!$A:$A,$A584,Oferta!$E:$E,$E584),$F584)</f>
        <v/>
      </c>
      <c r="J584" s="6" t="inlineStr">
        <is>
          <t>Informado</t>
        </is>
      </c>
      <c r="K584" s="6" t="inlineStr">
        <is>
          <t>Demanda doméstica fixa informada pelo usuário.</t>
        </is>
      </c>
    </row>
    <row r="585">
      <c r="A585" s="6" t="inlineStr">
        <is>
          <t>Milho</t>
        </is>
      </c>
      <c r="B585" s="6" t="inlineStr">
        <is>
          <t>Belo Horizonte - MG</t>
        </is>
      </c>
      <c r="C585" s="6" t="n">
        <v>-19.9102</v>
      </c>
      <c r="D585" s="6" t="n">
        <v>-43.9266</v>
      </c>
      <c r="E585" s="6" t="inlineStr">
        <is>
          <t>2022-08</t>
        </is>
      </c>
      <c r="F585" s="6" t="n">
        <v>1193664.206916214</v>
      </c>
      <c r="G585" s="6" t="inlineStr">
        <is>
          <t>DOMESTICA</t>
        </is>
      </c>
      <c r="H585" s="6" t="inlineStr">
        <is>
          <t>FIXO</t>
        </is>
      </c>
      <c r="I585" s="11">
        <f>IF($H585="AUTO_OFERTA_TOTAL_PRODUTO_PERIODO",SUMIFS(Oferta!$F:$F,Oferta!$A:$A,$A585,Oferta!$E:$E,$E585),$F585)</f>
        <v/>
      </c>
      <c r="J585" s="6" t="inlineStr">
        <is>
          <t>Informado</t>
        </is>
      </c>
      <c r="K585" s="6" t="inlineStr">
        <is>
          <t>Demanda doméstica fixa informada pelo usuário.</t>
        </is>
      </c>
    </row>
    <row r="586">
      <c r="A586" s="6" t="inlineStr">
        <is>
          <t>Milho</t>
        </is>
      </c>
      <c r="B586" s="6" t="inlineStr">
        <is>
          <t>Belo Horizonte - MG</t>
        </is>
      </c>
      <c r="C586" s="6" t="n">
        <v>-19.9102</v>
      </c>
      <c r="D586" s="6" t="n">
        <v>-43.9266</v>
      </c>
      <c r="E586" s="6" t="inlineStr">
        <is>
          <t>2022-09</t>
        </is>
      </c>
      <c r="F586" s="6" t="n">
        <v>1028069.172430728</v>
      </c>
      <c r="G586" s="6" t="inlineStr">
        <is>
          <t>DOMESTICA</t>
        </is>
      </c>
      <c r="H586" s="6" t="inlineStr">
        <is>
          <t>FIXO</t>
        </is>
      </c>
      <c r="I586" s="11">
        <f>IF($H586="AUTO_OFERTA_TOTAL_PRODUTO_PERIODO",SUMIFS(Oferta!$F:$F,Oferta!$A:$A,$A586,Oferta!$E:$E,$E586),$F586)</f>
        <v/>
      </c>
      <c r="J586" s="6" t="inlineStr">
        <is>
          <t>Informado</t>
        </is>
      </c>
      <c r="K586" s="6" t="inlineStr">
        <is>
          <t>Demanda doméstica fixa informada pelo usuário.</t>
        </is>
      </c>
    </row>
    <row r="587">
      <c r="A587" s="6" t="inlineStr">
        <is>
          <t>Milho</t>
        </is>
      </c>
      <c r="B587" s="6" t="inlineStr">
        <is>
          <t>Belo Horizonte - MG</t>
        </is>
      </c>
      <c r="C587" s="6" t="n">
        <v>-19.9102</v>
      </c>
      <c r="D587" s="6" t="n">
        <v>-43.9266</v>
      </c>
      <c r="E587" s="6" t="inlineStr">
        <is>
          <t>2022-10</t>
        </is>
      </c>
      <c r="F587" s="6" t="n">
        <v>862474.1379452416</v>
      </c>
      <c r="G587" s="6" t="inlineStr">
        <is>
          <t>DOMESTICA</t>
        </is>
      </c>
      <c r="H587" s="6" t="inlineStr">
        <is>
          <t>FIXO</t>
        </is>
      </c>
      <c r="I587" s="11">
        <f>IF($H587="AUTO_OFERTA_TOTAL_PRODUTO_PERIODO",SUMIFS(Oferta!$F:$F,Oferta!$A:$A,$A587,Oferta!$E:$E,$E587),$F587)</f>
        <v/>
      </c>
      <c r="J587" s="6" t="inlineStr">
        <is>
          <t>Informado</t>
        </is>
      </c>
      <c r="K587" s="6" t="inlineStr">
        <is>
          <t>Demanda doméstica fixa informada pelo usuário.</t>
        </is>
      </c>
    </row>
    <row r="588">
      <c r="A588" s="6" t="inlineStr">
        <is>
          <t>Milho</t>
        </is>
      </c>
      <c r="B588" s="6" t="inlineStr">
        <is>
          <t>Belo Horizonte - MG</t>
        </is>
      </c>
      <c r="C588" s="6" t="n">
        <v>-19.9102</v>
      </c>
      <c r="D588" s="6" t="n">
        <v>-43.9266</v>
      </c>
      <c r="E588" s="6" t="inlineStr">
        <is>
          <t>2022-11</t>
        </is>
      </c>
      <c r="F588" s="6" t="n">
        <v>531284.0689742687</v>
      </c>
      <c r="G588" s="6" t="inlineStr">
        <is>
          <t>DOMESTICA</t>
        </is>
      </c>
      <c r="H588" s="6" t="inlineStr">
        <is>
          <t>FIXO</t>
        </is>
      </c>
      <c r="I588" s="11">
        <f>IF($H588="AUTO_OFERTA_TOTAL_PRODUTO_PERIODO",SUMIFS(Oferta!$F:$F,Oferta!$A:$A,$A588,Oferta!$E:$E,$E588),$F588)</f>
        <v/>
      </c>
      <c r="J588" s="6" t="inlineStr">
        <is>
          <t>Informado</t>
        </is>
      </c>
      <c r="K588" s="6" t="inlineStr">
        <is>
          <t>Demanda doméstica fixa informada pelo usuário.</t>
        </is>
      </c>
    </row>
    <row r="589">
      <c r="A589" s="6" t="inlineStr">
        <is>
          <t>Milho</t>
        </is>
      </c>
      <c r="B589" s="6" t="inlineStr">
        <is>
          <t>Belo Horizonte - MG</t>
        </is>
      </c>
      <c r="C589" s="6" t="n">
        <v>-19.9102</v>
      </c>
      <c r="D589" s="6" t="n">
        <v>-43.9266</v>
      </c>
      <c r="E589" s="6" t="inlineStr">
        <is>
          <t>2022-12</t>
        </is>
      </c>
      <c r="F589" s="6" t="n">
        <v>420887.3793172779</v>
      </c>
      <c r="G589" s="6" t="inlineStr">
        <is>
          <t>DOMESTICA</t>
        </is>
      </c>
      <c r="H589" s="6" t="inlineStr">
        <is>
          <t>FIXO</t>
        </is>
      </c>
      <c r="I589" s="11">
        <f>IF($H589="AUTO_OFERTA_TOTAL_PRODUTO_PERIODO",SUMIFS(Oferta!$F:$F,Oferta!$A:$A,$A589,Oferta!$E:$E,$E589),$F589)</f>
        <v/>
      </c>
      <c r="J589" s="6" t="inlineStr">
        <is>
          <t>Informado</t>
        </is>
      </c>
      <c r="K589" s="6" t="inlineStr">
        <is>
          <t>Demanda doméstica fixa informada pelo usuário.</t>
        </is>
      </c>
    </row>
    <row r="590">
      <c r="A590" s="6" t="inlineStr">
        <is>
          <t>Milho</t>
        </is>
      </c>
      <c r="B590" s="6" t="inlineStr">
        <is>
          <t>Rio de Janeiro - RJ</t>
        </is>
      </c>
      <c r="C590" s="6" t="n">
        <v>-22.9129</v>
      </c>
      <c r="D590" s="6" t="n">
        <v>-43.2003</v>
      </c>
      <c r="E590" s="6" t="inlineStr">
        <is>
          <t>2022-01</t>
        </is>
      </c>
      <c r="F590" s="6" t="n">
        <v>105904.8209078667</v>
      </c>
      <c r="G590" s="6" t="inlineStr">
        <is>
          <t>DOMESTICA</t>
        </is>
      </c>
      <c r="H590" s="6" t="inlineStr">
        <is>
          <t>FIXO</t>
        </is>
      </c>
      <c r="I590" s="11">
        <f>IF($H590="AUTO_OFERTA_TOTAL_PRODUTO_PERIODO",SUMIFS(Oferta!$F:$F,Oferta!$A:$A,$A590,Oferta!$E:$E,$E590),$F590)</f>
        <v/>
      </c>
      <c r="J590" s="6" t="inlineStr">
        <is>
          <t>Informado</t>
        </is>
      </c>
      <c r="K590" s="6" t="inlineStr">
        <is>
          <t>Demanda doméstica fixa informada pelo usuário.</t>
        </is>
      </c>
    </row>
    <row r="591">
      <c r="A591" s="6" t="inlineStr">
        <is>
          <t>Milho</t>
        </is>
      </c>
      <c r="B591" s="6" t="inlineStr">
        <is>
          <t>Rio de Janeiro - RJ</t>
        </is>
      </c>
      <c r="C591" s="6" t="n">
        <v>-22.9129</v>
      </c>
      <c r="D591" s="6" t="n">
        <v>-43.2003</v>
      </c>
      <c r="E591" s="6" t="inlineStr">
        <is>
          <t>2022-02</t>
        </is>
      </c>
      <c r="F591" s="6" t="n">
        <v>105904.8209078667</v>
      </c>
      <c r="G591" s="6" t="inlineStr">
        <is>
          <t>DOMESTICA</t>
        </is>
      </c>
      <c r="H591" s="6" t="inlineStr">
        <is>
          <t>FIXO</t>
        </is>
      </c>
      <c r="I591" s="11">
        <f>IF($H591="AUTO_OFERTA_TOTAL_PRODUTO_PERIODO",SUMIFS(Oferta!$F:$F,Oferta!$A:$A,$A591,Oferta!$E:$E,$E591),$F591)</f>
        <v/>
      </c>
      <c r="J591" s="6" t="inlineStr">
        <is>
          <t>Informado</t>
        </is>
      </c>
      <c r="K591" s="6" t="inlineStr">
        <is>
          <t>Demanda doméstica fixa informada pelo usuário.</t>
        </is>
      </c>
    </row>
    <row r="592">
      <c r="A592" s="6" t="inlineStr">
        <is>
          <t>Milho</t>
        </is>
      </c>
      <c r="B592" s="6" t="inlineStr">
        <is>
          <t>Rio de Janeiro - RJ</t>
        </is>
      </c>
      <c r="C592" s="6" t="n">
        <v>-22.9129</v>
      </c>
      <c r="D592" s="6" t="n">
        <v>-43.2003</v>
      </c>
      <c r="E592" s="6" t="inlineStr">
        <is>
          <t>2022-03</t>
        </is>
      </c>
      <c r="F592" s="6" t="n">
        <v>137876.087597034</v>
      </c>
      <c r="G592" s="6" t="inlineStr">
        <is>
          <t>DOMESTICA</t>
        </is>
      </c>
      <c r="H592" s="6" t="inlineStr">
        <is>
          <t>FIXO</t>
        </is>
      </c>
      <c r="I592" s="11">
        <f>IF($H592="AUTO_OFERTA_TOTAL_PRODUTO_PERIODO",SUMIFS(Oferta!$F:$F,Oferta!$A:$A,$A592,Oferta!$E:$E,$E592),$F592)</f>
        <v/>
      </c>
      <c r="J592" s="6" t="inlineStr">
        <is>
          <t>Informado</t>
        </is>
      </c>
      <c r="K592" s="6" t="inlineStr">
        <is>
          <t>Demanda doméstica fixa informada pelo usuário.</t>
        </is>
      </c>
    </row>
    <row r="593">
      <c r="A593" s="6" t="inlineStr">
        <is>
          <t>Milho</t>
        </is>
      </c>
      <c r="B593" s="6" t="inlineStr">
        <is>
          <t>Rio de Janeiro - RJ</t>
        </is>
      </c>
      <c r="C593" s="6" t="n">
        <v>-22.9129</v>
      </c>
      <c r="D593" s="6" t="n">
        <v>-43.2003</v>
      </c>
      <c r="E593" s="6" t="inlineStr">
        <is>
          <t>2022-04</t>
        </is>
      </c>
      <c r="F593" s="6" t="n">
        <v>201818.6209753686</v>
      </c>
      <c r="G593" s="6" t="inlineStr">
        <is>
          <t>DOMESTICA</t>
        </is>
      </c>
      <c r="H593" s="6" t="inlineStr">
        <is>
          <t>FIXO</t>
        </is>
      </c>
      <c r="I593" s="11">
        <f>IF($H593="AUTO_OFERTA_TOTAL_PRODUTO_PERIODO",SUMIFS(Oferta!$F:$F,Oferta!$A:$A,$A593,Oferta!$E:$E,$E593),$F593)</f>
        <v/>
      </c>
      <c r="J593" s="6" t="inlineStr">
        <is>
          <t>Informado</t>
        </is>
      </c>
      <c r="K593" s="6" t="inlineStr">
        <is>
          <t>Demanda doméstica fixa informada pelo usuário.</t>
        </is>
      </c>
    </row>
    <row r="594">
      <c r="A594" s="6" t="inlineStr">
        <is>
          <t>Milho</t>
        </is>
      </c>
      <c r="B594" s="6" t="inlineStr">
        <is>
          <t>Rio de Janeiro - RJ</t>
        </is>
      </c>
      <c r="C594" s="6" t="n">
        <v>-22.9129</v>
      </c>
      <c r="D594" s="6" t="n">
        <v>-43.2003</v>
      </c>
      <c r="E594" s="6" t="inlineStr">
        <is>
          <t>2022-05</t>
        </is>
      </c>
      <c r="F594" s="6" t="n">
        <v>265761.1543537033</v>
      </c>
      <c r="G594" s="6" t="inlineStr">
        <is>
          <t>DOMESTICA</t>
        </is>
      </c>
      <c r="H594" s="6" t="inlineStr">
        <is>
          <t>FIXO</t>
        </is>
      </c>
      <c r="I594" s="11">
        <f>IF($H594="AUTO_OFERTA_TOTAL_PRODUTO_PERIODO",SUMIFS(Oferta!$F:$F,Oferta!$A:$A,$A594,Oferta!$E:$E,$E594),$F594)</f>
        <v/>
      </c>
      <c r="J594" s="6" t="inlineStr">
        <is>
          <t>Informado</t>
        </is>
      </c>
      <c r="K594" s="6" t="inlineStr">
        <is>
          <t>Demanda doméstica fixa informada pelo usuário.</t>
        </is>
      </c>
    </row>
    <row r="595">
      <c r="A595" s="6" t="inlineStr">
        <is>
          <t>Milho</t>
        </is>
      </c>
      <c r="B595" s="6" t="inlineStr">
        <is>
          <t>Rio de Janeiro - RJ</t>
        </is>
      </c>
      <c r="C595" s="6" t="n">
        <v>-22.9129</v>
      </c>
      <c r="D595" s="6" t="n">
        <v>-43.2003</v>
      </c>
      <c r="E595" s="6" t="inlineStr">
        <is>
          <t>2022-06</t>
        </is>
      </c>
      <c r="F595" s="6" t="n">
        <v>265761.1543537033</v>
      </c>
      <c r="G595" s="6" t="inlineStr">
        <is>
          <t>DOMESTICA</t>
        </is>
      </c>
      <c r="H595" s="6" t="inlineStr">
        <is>
          <t>FIXO</t>
        </is>
      </c>
      <c r="I595" s="11">
        <f>IF($H595="AUTO_OFERTA_TOTAL_PRODUTO_PERIODO",SUMIFS(Oferta!$F:$F,Oferta!$A:$A,$A595,Oferta!$E:$E,$E595),$F595)</f>
        <v/>
      </c>
      <c r="J595" s="6" t="inlineStr">
        <is>
          <t>Informado</t>
        </is>
      </c>
      <c r="K595" s="6" t="inlineStr">
        <is>
          <t>Demanda doméstica fixa informada pelo usuário.</t>
        </is>
      </c>
    </row>
    <row r="596">
      <c r="A596" s="6" t="inlineStr">
        <is>
          <t>Milho</t>
        </is>
      </c>
      <c r="B596" s="6" t="inlineStr">
        <is>
          <t>Rio de Janeiro - RJ</t>
        </is>
      </c>
      <c r="C596" s="6" t="n">
        <v>-22.9129</v>
      </c>
      <c r="D596" s="6" t="n">
        <v>-43.2003</v>
      </c>
      <c r="E596" s="6" t="inlineStr">
        <is>
          <t>2022-07</t>
        </is>
      </c>
      <c r="F596" s="6" t="n">
        <v>233789.8876645359</v>
      </c>
      <c r="G596" s="6" t="inlineStr">
        <is>
          <t>DOMESTICA</t>
        </is>
      </c>
      <c r="H596" s="6" t="inlineStr">
        <is>
          <t>FIXO</t>
        </is>
      </c>
      <c r="I596" s="11">
        <f>IF($H596="AUTO_OFERTA_TOTAL_PRODUTO_PERIODO",SUMIFS(Oferta!$F:$F,Oferta!$A:$A,$A596,Oferta!$E:$E,$E596),$F596)</f>
        <v/>
      </c>
      <c r="J596" s="6" t="inlineStr">
        <is>
          <t>Informado</t>
        </is>
      </c>
      <c r="K596" s="6" t="inlineStr">
        <is>
          <t>Demanda doméstica fixa informada pelo usuário.</t>
        </is>
      </c>
    </row>
    <row r="597">
      <c r="A597" s="6" t="inlineStr">
        <is>
          <t>Milho</t>
        </is>
      </c>
      <c r="B597" s="6" t="inlineStr">
        <is>
          <t>Rio de Janeiro - RJ</t>
        </is>
      </c>
      <c r="C597" s="6" t="n">
        <v>-22.9129</v>
      </c>
      <c r="D597" s="6" t="n">
        <v>-43.2003</v>
      </c>
      <c r="E597" s="6" t="inlineStr">
        <is>
          <t>2022-08</t>
        </is>
      </c>
      <c r="F597" s="6" t="n">
        <v>265761.1543537033</v>
      </c>
      <c r="G597" s="6" t="inlineStr">
        <is>
          <t>DOMESTICA</t>
        </is>
      </c>
      <c r="H597" s="6" t="inlineStr">
        <is>
          <t>FIXO</t>
        </is>
      </c>
      <c r="I597" s="11">
        <f>IF($H597="AUTO_OFERTA_TOTAL_PRODUTO_PERIODO",SUMIFS(Oferta!$F:$F,Oferta!$A:$A,$A597,Oferta!$E:$E,$E597),$F597)</f>
        <v/>
      </c>
      <c r="J597" s="6" t="inlineStr">
        <is>
          <t>Informado</t>
        </is>
      </c>
      <c r="K597" s="6" t="inlineStr">
        <is>
          <t>Demanda doméstica fixa informada pelo usuário.</t>
        </is>
      </c>
    </row>
    <row r="598">
      <c r="A598" s="6" t="inlineStr">
        <is>
          <t>Milho</t>
        </is>
      </c>
      <c r="B598" s="6" t="inlineStr">
        <is>
          <t>Rio de Janeiro - RJ</t>
        </is>
      </c>
      <c r="C598" s="6" t="n">
        <v>-22.9129</v>
      </c>
      <c r="D598" s="6" t="n">
        <v>-43.2003</v>
      </c>
      <c r="E598" s="6" t="inlineStr">
        <is>
          <t>2022-09</t>
        </is>
      </c>
      <c r="F598" s="6" t="n">
        <v>265761.1543537033</v>
      </c>
      <c r="G598" s="6" t="inlineStr">
        <is>
          <t>DOMESTICA</t>
        </is>
      </c>
      <c r="H598" s="6" t="inlineStr">
        <is>
          <t>FIXO</t>
        </is>
      </c>
      <c r="I598" s="11">
        <f>IF($H598="AUTO_OFERTA_TOTAL_PRODUTO_PERIODO",SUMIFS(Oferta!$F:$F,Oferta!$A:$A,$A598,Oferta!$E:$E,$E598),$F598)</f>
        <v/>
      </c>
      <c r="J598" s="6" t="inlineStr">
        <is>
          <t>Informado</t>
        </is>
      </c>
      <c r="K598" s="6" t="inlineStr">
        <is>
          <t>Demanda doméstica fixa informada pelo usuário.</t>
        </is>
      </c>
    </row>
    <row r="599">
      <c r="A599" s="6" t="inlineStr">
        <is>
          <t>Milho</t>
        </is>
      </c>
      <c r="B599" s="6" t="inlineStr">
        <is>
          <t>Rio de Janeiro - RJ</t>
        </is>
      </c>
      <c r="C599" s="6" t="n">
        <v>-22.9129</v>
      </c>
      <c r="D599" s="6" t="n">
        <v>-43.2003</v>
      </c>
      <c r="E599" s="6" t="inlineStr">
        <is>
          <t>2022-10</t>
        </is>
      </c>
      <c r="F599" s="6" t="n">
        <v>233789.8876645359</v>
      </c>
      <c r="G599" s="6" t="inlineStr">
        <is>
          <t>DOMESTICA</t>
        </is>
      </c>
      <c r="H599" s="6" t="inlineStr">
        <is>
          <t>FIXO</t>
        </is>
      </c>
      <c r="I599" s="11">
        <f>IF($H599="AUTO_OFERTA_TOTAL_PRODUTO_PERIODO",SUMIFS(Oferta!$F:$F,Oferta!$A:$A,$A599,Oferta!$E:$E,$E599),$F599)</f>
        <v/>
      </c>
      <c r="J599" s="6" t="inlineStr">
        <is>
          <t>Informado</t>
        </is>
      </c>
      <c r="K599" s="6" t="inlineStr">
        <is>
          <t>Demanda doméstica fixa informada pelo usuário.</t>
        </is>
      </c>
    </row>
    <row r="600">
      <c r="A600" s="6" t="inlineStr">
        <is>
          <t>Milho</t>
        </is>
      </c>
      <c r="B600" s="6" t="inlineStr">
        <is>
          <t>Rio de Janeiro - RJ</t>
        </is>
      </c>
      <c r="C600" s="6" t="n">
        <v>-22.9129</v>
      </c>
      <c r="D600" s="6" t="n">
        <v>-43.2003</v>
      </c>
      <c r="E600" s="6" t="inlineStr">
        <is>
          <t>2022-11</t>
        </is>
      </c>
      <c r="F600" s="6" t="n">
        <v>137876.087597034</v>
      </c>
      <c r="G600" s="6" t="inlineStr">
        <is>
          <t>DOMESTICA</t>
        </is>
      </c>
      <c r="H600" s="6" t="inlineStr">
        <is>
          <t>FIXO</t>
        </is>
      </c>
      <c r="I600" s="11">
        <f>IF($H600="AUTO_OFERTA_TOTAL_PRODUTO_PERIODO",SUMIFS(Oferta!$F:$F,Oferta!$A:$A,$A600,Oferta!$E:$E,$E600),$F600)</f>
        <v/>
      </c>
      <c r="J600" s="6" t="inlineStr">
        <is>
          <t>Informado</t>
        </is>
      </c>
      <c r="K600" s="6" t="inlineStr">
        <is>
          <t>Demanda doméstica fixa informada pelo usuário.</t>
        </is>
      </c>
    </row>
    <row r="601">
      <c r="A601" s="6" t="inlineStr">
        <is>
          <t>Milho</t>
        </is>
      </c>
      <c r="B601" s="6" t="inlineStr">
        <is>
          <t>Rio de Janeiro - RJ</t>
        </is>
      </c>
      <c r="C601" s="6" t="n">
        <v>-22.9129</v>
      </c>
      <c r="D601" s="6" t="n">
        <v>-43.2003</v>
      </c>
      <c r="E601" s="6" t="inlineStr">
        <is>
          <t>2022-12</t>
        </is>
      </c>
      <c r="F601" s="6" t="n">
        <v>105904.8209078667</v>
      </c>
      <c r="G601" s="6" t="inlineStr">
        <is>
          <t>DOMESTICA</t>
        </is>
      </c>
      <c r="H601" s="6" t="inlineStr">
        <is>
          <t>FIXO</t>
        </is>
      </c>
      <c r="I601" s="11">
        <f>IF($H601="AUTO_OFERTA_TOTAL_PRODUTO_PERIODO",SUMIFS(Oferta!$F:$F,Oferta!$A:$A,$A601,Oferta!$E:$E,$E601),$F601)</f>
        <v/>
      </c>
      <c r="J601" s="6" t="inlineStr">
        <is>
          <t>Informado</t>
        </is>
      </c>
      <c r="K601" s="6" t="inlineStr">
        <is>
          <t>Demanda doméstica fixa informada pelo usuário.</t>
        </is>
      </c>
    </row>
    <row r="602">
      <c r="A602" s="6" t="inlineStr">
        <is>
          <t>Milho</t>
        </is>
      </c>
      <c r="B602" s="6" t="inlineStr">
        <is>
          <t>São Paulo - SP</t>
        </is>
      </c>
      <c r="C602" s="6" t="n">
        <v>-23.5329</v>
      </c>
      <c r="D602" s="6" t="n">
        <v>-46.6395</v>
      </c>
      <c r="E602" s="6" t="inlineStr">
        <is>
          <t>2022-01</t>
        </is>
      </c>
      <c r="F602" s="6" t="n">
        <v>639003.5979476059</v>
      </c>
      <c r="G602" s="6" t="inlineStr">
        <is>
          <t>DOMESTICA</t>
        </is>
      </c>
      <c r="H602" s="6" t="inlineStr">
        <is>
          <t>FIXO</t>
        </is>
      </c>
      <c r="I602" s="11">
        <f>IF($H602="AUTO_OFERTA_TOTAL_PRODUTO_PERIODO",SUMIFS(Oferta!$F:$F,Oferta!$A:$A,$A602,Oferta!$E:$E,$E602),$F602)</f>
        <v/>
      </c>
      <c r="J602" s="6" t="inlineStr">
        <is>
          <t>Informado</t>
        </is>
      </c>
      <c r="K602" s="6" t="inlineStr">
        <is>
          <t>Demanda doméstica fixa informada pelo usuário.</t>
        </is>
      </c>
    </row>
    <row r="603">
      <c r="A603" s="6" t="inlineStr">
        <is>
          <t>Milho</t>
        </is>
      </c>
      <c r="B603" s="6" t="inlineStr">
        <is>
          <t>São Paulo - SP</t>
        </is>
      </c>
      <c r="C603" s="6" t="n">
        <v>-23.5329</v>
      </c>
      <c r="D603" s="6" t="n">
        <v>-46.6395</v>
      </c>
      <c r="E603" s="6" t="inlineStr">
        <is>
          <t>2022-02</t>
        </is>
      </c>
      <c r="F603" s="6" t="n">
        <v>831910.3444978265</v>
      </c>
      <c r="G603" s="6" t="inlineStr">
        <is>
          <t>DOMESTICA</t>
        </is>
      </c>
      <c r="H603" s="6" t="inlineStr">
        <is>
          <t>FIXO</t>
        </is>
      </c>
      <c r="I603" s="11">
        <f>IF($H603="AUTO_OFERTA_TOTAL_PRODUTO_PERIODO",SUMIFS(Oferta!$F:$F,Oferta!$A:$A,$A603,Oferta!$E:$E,$E603),$F603)</f>
        <v/>
      </c>
      <c r="J603" s="6" t="inlineStr">
        <is>
          <t>Informado</t>
        </is>
      </c>
      <c r="K603" s="6" t="inlineStr">
        <is>
          <t>Demanda doméstica fixa informada pelo usuário.</t>
        </is>
      </c>
    </row>
    <row r="604">
      <c r="A604" s="6" t="inlineStr">
        <is>
          <t>Milho</t>
        </is>
      </c>
      <c r="B604" s="6" t="inlineStr">
        <is>
          <t>São Paulo - SP</t>
        </is>
      </c>
      <c r="C604" s="6" t="n">
        <v>-23.5329</v>
      </c>
      <c r="D604" s="6" t="n">
        <v>-46.6395</v>
      </c>
      <c r="E604" s="6" t="inlineStr">
        <is>
          <t>2022-03</t>
        </is>
      </c>
      <c r="F604" s="6" t="n">
        <v>1024817.091048047</v>
      </c>
      <c r="G604" s="6" t="inlineStr">
        <is>
          <t>DOMESTICA</t>
        </is>
      </c>
      <c r="H604" s="6" t="inlineStr">
        <is>
          <t>FIXO</t>
        </is>
      </c>
      <c r="I604" s="11">
        <f>IF($H604="AUTO_OFERTA_TOTAL_PRODUTO_PERIODO",SUMIFS(Oferta!$F:$F,Oferta!$A:$A,$A604,Oferta!$E:$E,$E604),$F604)</f>
        <v/>
      </c>
      <c r="J604" s="6" t="inlineStr">
        <is>
          <t>Informado</t>
        </is>
      </c>
      <c r="K604" s="6" t="inlineStr">
        <is>
          <t>Demanda doméstica fixa informada pelo usuário.</t>
        </is>
      </c>
    </row>
    <row r="605">
      <c r="A605" s="6" t="inlineStr">
        <is>
          <t>Milho</t>
        </is>
      </c>
      <c r="B605" s="6" t="inlineStr">
        <is>
          <t>São Paulo - SP</t>
        </is>
      </c>
      <c r="C605" s="6" t="n">
        <v>-23.5329</v>
      </c>
      <c r="D605" s="6" t="n">
        <v>-46.6395</v>
      </c>
      <c r="E605" s="6" t="inlineStr">
        <is>
          <t>2022-04</t>
        </is>
      </c>
      <c r="F605" s="6" t="n">
        <v>1410630.584148488</v>
      </c>
      <c r="G605" s="6" t="inlineStr">
        <is>
          <t>DOMESTICA</t>
        </is>
      </c>
      <c r="H605" s="6" t="inlineStr">
        <is>
          <t>FIXO</t>
        </is>
      </c>
      <c r="I605" s="11">
        <f>IF($H605="AUTO_OFERTA_TOTAL_PRODUTO_PERIODO",SUMIFS(Oferta!$F:$F,Oferta!$A:$A,$A605,Oferta!$E:$E,$E605),$F605)</f>
        <v/>
      </c>
      <c r="J605" s="6" t="inlineStr">
        <is>
          <t>Informado</t>
        </is>
      </c>
      <c r="K605" s="6" t="inlineStr">
        <is>
          <t>Demanda doméstica fixa informada pelo usuário.</t>
        </is>
      </c>
    </row>
    <row r="606">
      <c r="A606" s="6" t="inlineStr">
        <is>
          <t>Milho</t>
        </is>
      </c>
      <c r="B606" s="6" t="inlineStr">
        <is>
          <t>São Paulo - SP</t>
        </is>
      </c>
      <c r="C606" s="6" t="n">
        <v>-23.5329</v>
      </c>
      <c r="D606" s="6" t="n">
        <v>-46.6395</v>
      </c>
      <c r="E606" s="6" t="inlineStr">
        <is>
          <t>2022-05</t>
        </is>
      </c>
      <c r="F606" s="6" t="n">
        <v>1603537.330698709</v>
      </c>
      <c r="G606" s="6" t="inlineStr">
        <is>
          <t>DOMESTICA</t>
        </is>
      </c>
      <c r="H606" s="6" t="inlineStr">
        <is>
          <t>FIXO</t>
        </is>
      </c>
      <c r="I606" s="11">
        <f>IF($H606="AUTO_OFERTA_TOTAL_PRODUTO_PERIODO",SUMIFS(Oferta!$F:$F,Oferta!$A:$A,$A606,Oferta!$E:$E,$E606),$F606)</f>
        <v/>
      </c>
      <c r="J606" s="6" t="inlineStr">
        <is>
          <t>Informado</t>
        </is>
      </c>
      <c r="K606" s="6" t="inlineStr">
        <is>
          <t>Demanda doméstica fixa informada pelo usuário.</t>
        </is>
      </c>
    </row>
    <row r="607">
      <c r="A607" s="6" t="inlineStr">
        <is>
          <t>Milho</t>
        </is>
      </c>
      <c r="B607" s="6" t="inlineStr">
        <is>
          <t>São Paulo - SP</t>
        </is>
      </c>
      <c r="C607" s="6" t="n">
        <v>-23.5329</v>
      </c>
      <c r="D607" s="6" t="n">
        <v>-46.6395</v>
      </c>
      <c r="E607" s="6" t="inlineStr">
        <is>
          <t>2022-06</t>
        </is>
      </c>
      <c r="F607" s="6" t="n">
        <v>1796444.07724893</v>
      </c>
      <c r="G607" s="6" t="inlineStr">
        <is>
          <t>DOMESTICA</t>
        </is>
      </c>
      <c r="H607" s="6" t="inlineStr">
        <is>
          <t>FIXO</t>
        </is>
      </c>
      <c r="I607" s="11">
        <f>IF($H607="AUTO_OFERTA_TOTAL_PRODUTO_PERIODO",SUMIFS(Oferta!$F:$F,Oferta!$A:$A,$A607,Oferta!$E:$E,$E607),$F607)</f>
        <v/>
      </c>
      <c r="J607" s="6" t="inlineStr">
        <is>
          <t>Informado</t>
        </is>
      </c>
      <c r="K607" s="6" t="inlineStr">
        <is>
          <t>Demanda doméstica fixa informada pelo usuário.</t>
        </is>
      </c>
    </row>
    <row r="608">
      <c r="A608" s="6" t="inlineStr">
        <is>
          <t>Milho</t>
        </is>
      </c>
      <c r="B608" s="6" t="inlineStr">
        <is>
          <t>São Paulo - SP</t>
        </is>
      </c>
      <c r="C608" s="6" t="n">
        <v>-23.5329</v>
      </c>
      <c r="D608" s="6" t="n">
        <v>-46.6395</v>
      </c>
      <c r="E608" s="6" t="inlineStr">
        <is>
          <t>2022-07</t>
        </is>
      </c>
      <c r="F608" s="6" t="n">
        <v>1796444.07724893</v>
      </c>
      <c r="G608" s="6" t="inlineStr">
        <is>
          <t>DOMESTICA</t>
        </is>
      </c>
      <c r="H608" s="6" t="inlineStr">
        <is>
          <t>FIXO</t>
        </is>
      </c>
      <c r="I608" s="11">
        <f>IF($H608="AUTO_OFERTA_TOTAL_PRODUTO_PERIODO",SUMIFS(Oferta!$F:$F,Oferta!$A:$A,$A608,Oferta!$E:$E,$E608),$F608)</f>
        <v/>
      </c>
      <c r="J608" s="6" t="inlineStr">
        <is>
          <t>Informado</t>
        </is>
      </c>
      <c r="K608" s="6" t="inlineStr">
        <is>
          <t>Demanda doméstica fixa informada pelo usuário.</t>
        </is>
      </c>
    </row>
    <row r="609">
      <c r="A609" s="6" t="inlineStr">
        <is>
          <t>Milho</t>
        </is>
      </c>
      <c r="B609" s="6" t="inlineStr">
        <is>
          <t>São Paulo - SP</t>
        </is>
      </c>
      <c r="C609" s="6" t="n">
        <v>-23.5329</v>
      </c>
      <c r="D609" s="6" t="n">
        <v>-46.6395</v>
      </c>
      <c r="E609" s="6" t="inlineStr">
        <is>
          <t>2022-08</t>
        </is>
      </c>
      <c r="F609" s="6" t="n">
        <v>1989350.82379915</v>
      </c>
      <c r="G609" s="6" t="inlineStr">
        <is>
          <t>DOMESTICA</t>
        </is>
      </c>
      <c r="H609" s="6" t="inlineStr">
        <is>
          <t>FIXO</t>
        </is>
      </c>
      <c r="I609" s="11">
        <f>IF($H609="AUTO_OFERTA_TOTAL_PRODUTO_PERIODO",SUMIFS(Oferta!$F:$F,Oferta!$A:$A,$A609,Oferta!$E:$E,$E609),$F609)</f>
        <v/>
      </c>
      <c r="J609" s="6" t="inlineStr">
        <is>
          <t>Informado</t>
        </is>
      </c>
      <c r="K609" s="6" t="inlineStr">
        <is>
          <t>Demanda doméstica fixa informada pelo usuário.</t>
        </is>
      </c>
    </row>
    <row r="610">
      <c r="A610" s="6" t="inlineStr">
        <is>
          <t>Milho</t>
        </is>
      </c>
      <c r="B610" s="6" t="inlineStr">
        <is>
          <t>São Paulo - SP</t>
        </is>
      </c>
      <c r="C610" s="6" t="n">
        <v>-23.5329</v>
      </c>
      <c r="D610" s="6" t="n">
        <v>-46.6395</v>
      </c>
      <c r="E610" s="6" t="inlineStr">
        <is>
          <t>2022-09</t>
        </is>
      </c>
      <c r="F610" s="6" t="n">
        <v>1989350.82379915</v>
      </c>
      <c r="G610" s="6" t="inlineStr">
        <is>
          <t>DOMESTICA</t>
        </is>
      </c>
      <c r="H610" s="6" t="inlineStr">
        <is>
          <t>FIXO</t>
        </is>
      </c>
      <c r="I610" s="11">
        <f>IF($H610="AUTO_OFERTA_TOTAL_PRODUTO_PERIODO",SUMIFS(Oferta!$F:$F,Oferta!$A:$A,$A610,Oferta!$E:$E,$E610),$F610)</f>
        <v/>
      </c>
      <c r="J610" s="6" t="inlineStr">
        <is>
          <t>Informado</t>
        </is>
      </c>
      <c r="K610" s="6" t="inlineStr">
        <is>
          <t>Demanda doméstica fixa informada pelo usuário.</t>
        </is>
      </c>
    </row>
    <row r="611">
      <c r="A611" s="6" t="inlineStr">
        <is>
          <t>Milho</t>
        </is>
      </c>
      <c r="B611" s="6" t="inlineStr">
        <is>
          <t>São Paulo - SP</t>
        </is>
      </c>
      <c r="C611" s="6" t="n">
        <v>-23.5329</v>
      </c>
      <c r="D611" s="6" t="n">
        <v>-46.6395</v>
      </c>
      <c r="E611" s="6" t="inlineStr">
        <is>
          <t>2022-10</t>
        </is>
      </c>
      <c r="F611" s="6" t="n">
        <v>1796444.07724893</v>
      </c>
      <c r="G611" s="6" t="inlineStr">
        <is>
          <t>DOMESTICA</t>
        </is>
      </c>
      <c r="H611" s="6" t="inlineStr">
        <is>
          <t>FIXO</t>
        </is>
      </c>
      <c r="I611" s="11">
        <f>IF($H611="AUTO_OFERTA_TOTAL_PRODUTO_PERIODO",SUMIFS(Oferta!$F:$F,Oferta!$A:$A,$A611,Oferta!$E:$E,$E611),$F611)</f>
        <v/>
      </c>
      <c r="J611" s="6" t="inlineStr">
        <is>
          <t>Informado</t>
        </is>
      </c>
      <c r="K611" s="6" t="inlineStr">
        <is>
          <t>Demanda doméstica fixa informada pelo usuário.</t>
        </is>
      </c>
    </row>
    <row r="612">
      <c r="A612" s="6" t="inlineStr">
        <is>
          <t>Milho</t>
        </is>
      </c>
      <c r="B612" s="6" t="inlineStr">
        <is>
          <t>São Paulo - SP</t>
        </is>
      </c>
      <c r="C612" s="6" t="n">
        <v>-23.5329</v>
      </c>
      <c r="D612" s="6" t="n">
        <v>-46.6395</v>
      </c>
      <c r="E612" s="6" t="inlineStr">
        <is>
          <t>2022-11</t>
        </is>
      </c>
      <c r="F612" s="6" t="n">
        <v>1217723.837598268</v>
      </c>
      <c r="G612" s="6" t="inlineStr">
        <is>
          <t>DOMESTICA</t>
        </is>
      </c>
      <c r="H612" s="6" t="inlineStr">
        <is>
          <t>FIXO</t>
        </is>
      </c>
      <c r="I612" s="11">
        <f>IF($H612="AUTO_OFERTA_TOTAL_PRODUTO_PERIODO",SUMIFS(Oferta!$F:$F,Oferta!$A:$A,$A612,Oferta!$E:$E,$E612),$F612)</f>
        <v/>
      </c>
      <c r="J612" s="6" t="inlineStr">
        <is>
          <t>Informado</t>
        </is>
      </c>
      <c r="K612" s="6" t="inlineStr">
        <is>
          <t>Demanda doméstica fixa informada pelo usuário.</t>
        </is>
      </c>
    </row>
    <row r="613">
      <c r="A613" s="6" t="inlineStr">
        <is>
          <t>Milho</t>
        </is>
      </c>
      <c r="B613" s="6" t="inlineStr">
        <is>
          <t>São Paulo - SP</t>
        </is>
      </c>
      <c r="C613" s="6" t="n">
        <v>-23.5329</v>
      </c>
      <c r="D613" s="6" t="n">
        <v>-46.6395</v>
      </c>
      <c r="E613" s="6" t="inlineStr">
        <is>
          <t>2022-12</t>
        </is>
      </c>
      <c r="F613" s="6" t="n">
        <v>831910.3444978265</v>
      </c>
      <c r="G613" s="6" t="inlineStr">
        <is>
          <t>DOMESTICA</t>
        </is>
      </c>
      <c r="H613" s="6" t="inlineStr">
        <is>
          <t>FIXO</t>
        </is>
      </c>
      <c r="I613" s="11">
        <f>IF($H613="AUTO_OFERTA_TOTAL_PRODUTO_PERIODO",SUMIFS(Oferta!$F:$F,Oferta!$A:$A,$A613,Oferta!$E:$E,$E613),$F613)</f>
        <v/>
      </c>
      <c r="J613" s="6" t="inlineStr">
        <is>
          <t>Informado</t>
        </is>
      </c>
      <c r="K613" s="6" t="inlineStr">
        <is>
          <t>Demanda doméstica fixa informada pelo usuário.</t>
        </is>
      </c>
    </row>
    <row r="614">
      <c r="A614" s="6" t="inlineStr">
        <is>
          <t>Milho</t>
        </is>
      </c>
      <c r="B614" s="6" t="inlineStr">
        <is>
          <t>Curitiba - PR</t>
        </is>
      </c>
      <c r="C614" s="6" t="n">
        <v>-25.4195</v>
      </c>
      <c r="D614" s="6" t="n">
        <v>-49.2646</v>
      </c>
      <c r="E614" s="6" t="inlineStr">
        <is>
          <t>2022-01</t>
        </is>
      </c>
      <c r="F614" s="6" t="n">
        <v>395027.0751158142</v>
      </c>
      <c r="G614" s="6" t="inlineStr">
        <is>
          <t>DOMESTICA</t>
        </is>
      </c>
      <c r="H614" s="6" t="inlineStr">
        <is>
          <t>FIXO</t>
        </is>
      </c>
      <c r="I614" s="11">
        <f>IF($H614="AUTO_OFERTA_TOTAL_PRODUTO_PERIODO",SUMIFS(Oferta!$F:$F,Oferta!$A:$A,$A614,Oferta!$E:$E,$E614),$F614)</f>
        <v/>
      </c>
      <c r="J614" s="6" t="inlineStr">
        <is>
          <t>Informado</t>
        </is>
      </c>
      <c r="K614" s="6" t="inlineStr">
        <is>
          <t>Demanda doméstica fixa informada pelo usuário.</t>
        </is>
      </c>
    </row>
    <row r="615">
      <c r="A615" s="6" t="inlineStr">
        <is>
          <t>Milho</t>
        </is>
      </c>
      <c r="B615" s="6" t="inlineStr">
        <is>
          <t>Curitiba - PR</t>
        </is>
      </c>
      <c r="C615" s="6" t="n">
        <v>-25.4195</v>
      </c>
      <c r="D615" s="6" t="n">
        <v>-49.2646</v>
      </c>
      <c r="E615" s="6" t="inlineStr">
        <is>
          <t>2022-02</t>
        </is>
      </c>
      <c r="F615" s="6" t="n">
        <v>440827.3157089521</v>
      </c>
      <c r="G615" s="6" t="inlineStr">
        <is>
          <t>DOMESTICA</t>
        </is>
      </c>
      <c r="H615" s="6" t="inlineStr">
        <is>
          <t>FIXO</t>
        </is>
      </c>
      <c r="I615" s="11">
        <f>IF($H615="AUTO_OFERTA_TOTAL_PRODUTO_PERIODO",SUMIFS(Oferta!$F:$F,Oferta!$A:$A,$A615,Oferta!$E:$E,$E615),$F615)</f>
        <v/>
      </c>
      <c r="J615" s="6" t="inlineStr">
        <is>
          <t>Informado</t>
        </is>
      </c>
      <c r="K615" s="6" t="inlineStr">
        <is>
          <t>Demanda doméstica fixa informada pelo usuário.</t>
        </is>
      </c>
    </row>
    <row r="616">
      <c r="A616" s="6" t="inlineStr">
        <is>
          <t>Milho</t>
        </is>
      </c>
      <c r="B616" s="6" t="inlineStr">
        <is>
          <t>Curitiba - PR</t>
        </is>
      </c>
      <c r="C616" s="6" t="n">
        <v>-25.4195</v>
      </c>
      <c r="D616" s="6" t="n">
        <v>-49.2646</v>
      </c>
      <c r="E616" s="6" t="inlineStr">
        <is>
          <t>2022-03</t>
        </is>
      </c>
      <c r="F616" s="6" t="n">
        <v>532427.7968952279</v>
      </c>
      <c r="G616" s="6" t="inlineStr">
        <is>
          <t>DOMESTICA</t>
        </is>
      </c>
      <c r="H616" s="6" t="inlineStr">
        <is>
          <t>FIXO</t>
        </is>
      </c>
      <c r="I616" s="11">
        <f>IF($H616="AUTO_OFERTA_TOTAL_PRODUTO_PERIODO",SUMIFS(Oferta!$F:$F,Oferta!$A:$A,$A616,Oferta!$E:$E,$E616),$F616)</f>
        <v/>
      </c>
      <c r="J616" s="6" t="inlineStr">
        <is>
          <t>Informado</t>
        </is>
      </c>
      <c r="K616" s="6" t="inlineStr">
        <is>
          <t>Demanda doméstica fixa informada pelo usuário.</t>
        </is>
      </c>
    </row>
    <row r="617">
      <c r="A617" s="6" t="inlineStr">
        <is>
          <t>Milho</t>
        </is>
      </c>
      <c r="B617" s="6" t="inlineStr">
        <is>
          <t>Curitiba - PR</t>
        </is>
      </c>
      <c r="C617" s="6" t="n">
        <v>-25.4195</v>
      </c>
      <c r="D617" s="6" t="n">
        <v>-49.2646</v>
      </c>
      <c r="E617" s="6" t="inlineStr">
        <is>
          <t>2022-04</t>
        </is>
      </c>
      <c r="F617" s="6" t="n">
        <v>669828.5186746414</v>
      </c>
      <c r="G617" s="6" t="inlineStr">
        <is>
          <t>DOMESTICA</t>
        </is>
      </c>
      <c r="H617" s="6" t="inlineStr">
        <is>
          <t>FIXO</t>
        </is>
      </c>
      <c r="I617" s="11">
        <f>IF($H617="AUTO_OFERTA_TOTAL_PRODUTO_PERIODO",SUMIFS(Oferta!$F:$F,Oferta!$A:$A,$A617,Oferta!$E:$E,$E617),$F617)</f>
        <v/>
      </c>
      <c r="J617" s="6" t="inlineStr">
        <is>
          <t>Informado</t>
        </is>
      </c>
      <c r="K617" s="6" t="inlineStr">
        <is>
          <t>Demanda doméstica fixa informada pelo usuário.</t>
        </is>
      </c>
    </row>
    <row r="618">
      <c r="A618" s="6" t="inlineStr">
        <is>
          <t>Milho</t>
        </is>
      </c>
      <c r="B618" s="6" t="inlineStr">
        <is>
          <t>Curitiba - PR</t>
        </is>
      </c>
      <c r="C618" s="6" t="n">
        <v>-25.4195</v>
      </c>
      <c r="D618" s="6" t="n">
        <v>-49.2646</v>
      </c>
      <c r="E618" s="6" t="inlineStr">
        <is>
          <t>2022-05</t>
        </is>
      </c>
      <c r="F618" s="6" t="n">
        <v>761428.9998609172</v>
      </c>
      <c r="G618" s="6" t="inlineStr">
        <is>
          <t>DOMESTICA</t>
        </is>
      </c>
      <c r="H618" s="6" t="inlineStr">
        <is>
          <t>FIXO</t>
        </is>
      </c>
      <c r="I618" s="11">
        <f>IF($H618="AUTO_OFERTA_TOTAL_PRODUTO_PERIODO",SUMIFS(Oferta!$F:$F,Oferta!$A:$A,$A618,Oferta!$E:$E,$E618),$F618)</f>
        <v/>
      </c>
      <c r="J618" s="6" t="inlineStr">
        <is>
          <t>Informado</t>
        </is>
      </c>
      <c r="K618" s="6" t="inlineStr">
        <is>
          <t>Demanda doméstica fixa informada pelo usuário.</t>
        </is>
      </c>
    </row>
    <row r="619">
      <c r="A619" s="6" t="inlineStr">
        <is>
          <t>Milho</t>
        </is>
      </c>
      <c r="B619" s="6" t="inlineStr">
        <is>
          <t>Curitiba - PR</t>
        </is>
      </c>
      <c r="C619" s="6" t="n">
        <v>-25.4195</v>
      </c>
      <c r="D619" s="6" t="n">
        <v>-49.2646</v>
      </c>
      <c r="E619" s="6" t="inlineStr">
        <is>
          <t>2022-06</t>
        </is>
      </c>
      <c r="F619" s="6" t="n">
        <v>807229.2404540551</v>
      </c>
      <c r="G619" s="6" t="inlineStr">
        <is>
          <t>DOMESTICA</t>
        </is>
      </c>
      <c r="H619" s="6" t="inlineStr">
        <is>
          <t>FIXO</t>
        </is>
      </c>
      <c r="I619" s="11">
        <f>IF($H619="AUTO_OFERTA_TOTAL_PRODUTO_PERIODO",SUMIFS(Oferta!$F:$F,Oferta!$A:$A,$A619,Oferta!$E:$E,$E619),$F619)</f>
        <v/>
      </c>
      <c r="J619" s="6" t="inlineStr">
        <is>
          <t>Informado</t>
        </is>
      </c>
      <c r="K619" s="6" t="inlineStr">
        <is>
          <t>Demanda doméstica fixa informada pelo usuário.</t>
        </is>
      </c>
    </row>
    <row r="620">
      <c r="A620" s="6" t="inlineStr">
        <is>
          <t>Milho</t>
        </is>
      </c>
      <c r="B620" s="6" t="inlineStr">
        <is>
          <t>Curitiba - PR</t>
        </is>
      </c>
      <c r="C620" s="6" t="n">
        <v>-25.4195</v>
      </c>
      <c r="D620" s="6" t="n">
        <v>-49.2646</v>
      </c>
      <c r="E620" s="6" t="inlineStr">
        <is>
          <t>2022-07</t>
        </is>
      </c>
      <c r="F620" s="6" t="n">
        <v>761428.9998609172</v>
      </c>
      <c r="G620" s="6" t="inlineStr">
        <is>
          <t>DOMESTICA</t>
        </is>
      </c>
      <c r="H620" s="6" t="inlineStr">
        <is>
          <t>FIXO</t>
        </is>
      </c>
      <c r="I620" s="11">
        <f>IF($H620="AUTO_OFERTA_TOTAL_PRODUTO_PERIODO",SUMIFS(Oferta!$F:$F,Oferta!$A:$A,$A620,Oferta!$E:$E,$E620),$F620)</f>
        <v/>
      </c>
      <c r="J620" s="6" t="inlineStr">
        <is>
          <t>Informado</t>
        </is>
      </c>
      <c r="K620" s="6" t="inlineStr">
        <is>
          <t>Demanda doméstica fixa informada pelo usuário.</t>
        </is>
      </c>
    </row>
    <row r="621">
      <c r="A621" s="6" t="inlineStr">
        <is>
          <t>Milho</t>
        </is>
      </c>
      <c r="B621" s="6" t="inlineStr">
        <is>
          <t>Curitiba - PR</t>
        </is>
      </c>
      <c r="C621" s="6" t="n">
        <v>-25.4195</v>
      </c>
      <c r="D621" s="6" t="n">
        <v>-49.2646</v>
      </c>
      <c r="E621" s="6" t="inlineStr">
        <is>
          <t>2022-08</t>
        </is>
      </c>
      <c r="F621" s="6" t="n">
        <v>669828.5186746414</v>
      </c>
      <c r="G621" s="6" t="inlineStr">
        <is>
          <t>DOMESTICA</t>
        </is>
      </c>
      <c r="H621" s="6" t="inlineStr">
        <is>
          <t>FIXO</t>
        </is>
      </c>
      <c r="I621" s="11">
        <f>IF($H621="AUTO_OFERTA_TOTAL_PRODUTO_PERIODO",SUMIFS(Oferta!$F:$F,Oferta!$A:$A,$A621,Oferta!$E:$E,$E621),$F621)</f>
        <v/>
      </c>
      <c r="J621" s="6" t="inlineStr">
        <is>
          <t>Informado</t>
        </is>
      </c>
      <c r="K621" s="6" t="inlineStr">
        <is>
          <t>Demanda doméstica fixa informada pelo usuário.</t>
        </is>
      </c>
    </row>
    <row r="622">
      <c r="A622" s="6" t="inlineStr">
        <is>
          <t>Milho</t>
        </is>
      </c>
      <c r="B622" s="6" t="inlineStr">
        <is>
          <t>Curitiba - PR</t>
        </is>
      </c>
      <c r="C622" s="6" t="n">
        <v>-25.4195</v>
      </c>
      <c r="D622" s="6" t="n">
        <v>-49.2646</v>
      </c>
      <c r="E622" s="6" t="inlineStr">
        <is>
          <t>2022-09</t>
        </is>
      </c>
      <c r="F622" s="6" t="n">
        <v>624028.2780815036</v>
      </c>
      <c r="G622" s="6" t="inlineStr">
        <is>
          <t>DOMESTICA</t>
        </is>
      </c>
      <c r="H622" s="6" t="inlineStr">
        <is>
          <t>FIXO</t>
        </is>
      </c>
      <c r="I622" s="11">
        <f>IF($H622="AUTO_OFERTA_TOTAL_PRODUTO_PERIODO",SUMIFS(Oferta!$F:$F,Oferta!$A:$A,$A622,Oferta!$E:$E,$E622),$F622)</f>
        <v/>
      </c>
      <c r="J622" s="6" t="inlineStr">
        <is>
          <t>Informado</t>
        </is>
      </c>
      <c r="K622" s="6" t="inlineStr">
        <is>
          <t>Demanda doméstica fixa informada pelo usuário.</t>
        </is>
      </c>
    </row>
    <row r="623">
      <c r="A623" s="6" t="inlineStr">
        <is>
          <t>Milho</t>
        </is>
      </c>
      <c r="B623" s="6" t="inlineStr">
        <is>
          <t>Curitiba - PR</t>
        </is>
      </c>
      <c r="C623" s="6" t="n">
        <v>-25.4195</v>
      </c>
      <c r="D623" s="6" t="n">
        <v>-49.2646</v>
      </c>
      <c r="E623" s="6" t="inlineStr">
        <is>
          <t>2022-10</t>
        </is>
      </c>
      <c r="F623" s="6" t="n">
        <v>761428.9998609172</v>
      </c>
      <c r="G623" s="6" t="inlineStr">
        <is>
          <t>DOMESTICA</t>
        </is>
      </c>
      <c r="H623" s="6" t="inlineStr">
        <is>
          <t>FIXO</t>
        </is>
      </c>
      <c r="I623" s="11">
        <f>IF($H623="AUTO_OFERTA_TOTAL_PRODUTO_PERIODO",SUMIFS(Oferta!$F:$F,Oferta!$A:$A,$A623,Oferta!$E:$E,$E623),$F623)</f>
        <v/>
      </c>
      <c r="J623" s="6" t="inlineStr">
        <is>
          <t>Informado</t>
        </is>
      </c>
      <c r="K623" s="6" t="inlineStr">
        <is>
          <t>Demanda doméstica fixa informada pelo usuário.</t>
        </is>
      </c>
    </row>
    <row r="624">
      <c r="A624" s="6" t="inlineStr">
        <is>
          <t>Milho</t>
        </is>
      </c>
      <c r="B624" s="6" t="inlineStr">
        <is>
          <t>Curitiba - PR</t>
        </is>
      </c>
      <c r="C624" s="6" t="n">
        <v>-25.4195</v>
      </c>
      <c r="D624" s="6" t="n">
        <v>-49.2646</v>
      </c>
      <c r="E624" s="6" t="inlineStr">
        <is>
          <t>2022-11</t>
        </is>
      </c>
      <c r="F624" s="6" t="n">
        <v>715628.7592677793</v>
      </c>
      <c r="G624" s="6" t="inlineStr">
        <is>
          <t>DOMESTICA</t>
        </is>
      </c>
      <c r="H624" s="6" t="inlineStr">
        <is>
          <t>FIXO</t>
        </is>
      </c>
      <c r="I624" s="11">
        <f>IF($H624="AUTO_OFERTA_TOTAL_PRODUTO_PERIODO",SUMIFS(Oferta!$F:$F,Oferta!$A:$A,$A624,Oferta!$E:$E,$E624),$F624)</f>
        <v/>
      </c>
      <c r="J624" s="6" t="inlineStr">
        <is>
          <t>Informado</t>
        </is>
      </c>
      <c r="K624" s="6" t="inlineStr">
        <is>
          <t>Demanda doméstica fixa informada pelo usuário.</t>
        </is>
      </c>
    </row>
    <row r="625">
      <c r="A625" s="6" t="inlineStr">
        <is>
          <t>Milho</t>
        </is>
      </c>
      <c r="B625" s="6" t="inlineStr">
        <is>
          <t>Curitiba - PR</t>
        </is>
      </c>
      <c r="C625" s="6" t="n">
        <v>-25.4195</v>
      </c>
      <c r="D625" s="6" t="n">
        <v>-49.2646</v>
      </c>
      <c r="E625" s="6" t="inlineStr">
        <is>
          <t>2022-12</t>
        </is>
      </c>
      <c r="F625" s="6" t="n">
        <v>624028.2780815036</v>
      </c>
      <c r="G625" s="6" t="inlineStr">
        <is>
          <t>DOMESTICA</t>
        </is>
      </c>
      <c r="H625" s="6" t="inlineStr">
        <is>
          <t>FIXO</t>
        </is>
      </c>
      <c r="I625" s="11">
        <f>IF($H625="AUTO_OFERTA_TOTAL_PRODUTO_PERIODO",SUMIFS(Oferta!$F:$F,Oferta!$A:$A,$A625,Oferta!$E:$E,$E625),$F625)</f>
        <v/>
      </c>
      <c r="J625" s="6" t="inlineStr">
        <is>
          <t>Informado</t>
        </is>
      </c>
      <c r="K625" s="6" t="inlineStr">
        <is>
          <t>Demanda doméstica fixa informada pelo usuário.</t>
        </is>
      </c>
    </row>
    <row r="626">
      <c r="A626" s="6" t="inlineStr">
        <is>
          <t>Milho</t>
        </is>
      </c>
      <c r="B626" s="6" t="inlineStr">
        <is>
          <t>Florianópolis - SC</t>
        </is>
      </c>
      <c r="C626" s="6" t="n">
        <v>-27.5945</v>
      </c>
      <c r="D626" s="6" t="n">
        <v>-48.5477</v>
      </c>
      <c r="E626" s="6" t="inlineStr">
        <is>
          <t>2022-01</t>
        </is>
      </c>
      <c r="F626" s="6" t="n">
        <v>168446.3374797831</v>
      </c>
      <c r="G626" s="6" t="inlineStr">
        <is>
          <t>DOMESTICA</t>
        </is>
      </c>
      <c r="H626" s="6" t="inlineStr">
        <is>
          <t>FIXO</t>
        </is>
      </c>
      <c r="I626" s="11">
        <f>IF($H626="AUTO_OFERTA_TOTAL_PRODUTO_PERIODO",SUMIFS(Oferta!$F:$F,Oferta!$A:$A,$A626,Oferta!$E:$E,$E626),$F626)</f>
        <v/>
      </c>
      <c r="J626" s="6" t="inlineStr">
        <is>
          <t>Informado</t>
        </is>
      </c>
      <c r="K626" s="6" t="inlineStr">
        <is>
          <t>Demanda doméstica fixa informada pelo usuário.</t>
        </is>
      </c>
    </row>
    <row r="627">
      <c r="A627" s="6" t="inlineStr">
        <is>
          <t>Milho</t>
        </is>
      </c>
      <c r="B627" s="6" t="inlineStr">
        <is>
          <t>Florianópolis - SC</t>
        </is>
      </c>
      <c r="C627" s="6" t="n">
        <v>-27.5945</v>
      </c>
      <c r="D627" s="6" t="n">
        <v>-48.5477</v>
      </c>
      <c r="E627" s="6" t="inlineStr">
        <is>
          <t>2022-02</t>
        </is>
      </c>
      <c r="F627" s="6" t="n">
        <v>212628.9833761197</v>
      </c>
      <c r="G627" s="6" t="inlineStr">
        <is>
          <t>DOMESTICA</t>
        </is>
      </c>
      <c r="H627" s="6" t="inlineStr">
        <is>
          <t>FIXO</t>
        </is>
      </c>
      <c r="I627" s="11">
        <f>IF($H627="AUTO_OFERTA_TOTAL_PRODUTO_PERIODO",SUMIFS(Oferta!$F:$F,Oferta!$A:$A,$A627,Oferta!$E:$E,$E627),$F627)</f>
        <v/>
      </c>
      <c r="J627" s="6" t="inlineStr">
        <is>
          <t>Informado</t>
        </is>
      </c>
      <c r="K627" s="6" t="inlineStr">
        <is>
          <t>Demanda doméstica fixa informada pelo usuário.</t>
        </is>
      </c>
    </row>
    <row r="628">
      <c r="A628" s="6" t="inlineStr">
        <is>
          <t>Milho</t>
        </is>
      </c>
      <c r="B628" s="6" t="inlineStr">
        <is>
          <t>Florianópolis - SC</t>
        </is>
      </c>
      <c r="C628" s="6" t="n">
        <v>-27.5945</v>
      </c>
      <c r="D628" s="6" t="n">
        <v>-48.5477</v>
      </c>
      <c r="E628" s="6" t="inlineStr">
        <is>
          <t>2022-03</t>
        </is>
      </c>
      <c r="F628" s="6" t="n">
        <v>256811.6292724563</v>
      </c>
      <c r="G628" s="6" t="inlineStr">
        <is>
          <t>DOMESTICA</t>
        </is>
      </c>
      <c r="H628" s="6" t="inlineStr">
        <is>
          <t>FIXO</t>
        </is>
      </c>
      <c r="I628" s="11">
        <f>IF($H628="AUTO_OFERTA_TOTAL_PRODUTO_PERIODO",SUMIFS(Oferta!$F:$F,Oferta!$A:$A,$A628,Oferta!$E:$E,$E628),$F628)</f>
        <v/>
      </c>
      <c r="J628" s="6" t="inlineStr">
        <is>
          <t>Informado</t>
        </is>
      </c>
      <c r="K628" s="6" t="inlineStr">
        <is>
          <t>Demanda doméstica fixa informada pelo usuário.</t>
        </is>
      </c>
    </row>
    <row r="629">
      <c r="A629" s="6" t="inlineStr">
        <is>
          <t>Milho</t>
        </is>
      </c>
      <c r="B629" s="6" t="inlineStr">
        <is>
          <t>Florianópolis - SC</t>
        </is>
      </c>
      <c r="C629" s="6" t="n">
        <v>-27.5945</v>
      </c>
      <c r="D629" s="6" t="n">
        <v>-48.5477</v>
      </c>
      <c r="E629" s="6" t="inlineStr">
        <is>
          <t>2022-04</t>
        </is>
      </c>
      <c r="F629" s="6" t="n">
        <v>367268.2440132976</v>
      </c>
      <c r="G629" s="6" t="inlineStr">
        <is>
          <t>DOMESTICA</t>
        </is>
      </c>
      <c r="H629" s="6" t="inlineStr">
        <is>
          <t>FIXO</t>
        </is>
      </c>
      <c r="I629" s="11">
        <f>IF($H629="AUTO_OFERTA_TOTAL_PRODUTO_PERIODO",SUMIFS(Oferta!$F:$F,Oferta!$A:$A,$A629,Oferta!$E:$E,$E629),$F629)</f>
        <v/>
      </c>
      <c r="J629" s="6" t="inlineStr">
        <is>
          <t>Informado</t>
        </is>
      </c>
      <c r="K629" s="6" t="inlineStr">
        <is>
          <t>Demanda doméstica fixa informada pelo usuário.</t>
        </is>
      </c>
    </row>
    <row r="630">
      <c r="A630" s="6" t="inlineStr">
        <is>
          <t>Milho</t>
        </is>
      </c>
      <c r="B630" s="6" t="inlineStr">
        <is>
          <t>Florianópolis - SC</t>
        </is>
      </c>
      <c r="C630" s="6" t="n">
        <v>-27.5945</v>
      </c>
      <c r="D630" s="6" t="n">
        <v>-48.5477</v>
      </c>
      <c r="E630" s="6" t="inlineStr">
        <is>
          <t>2022-05</t>
        </is>
      </c>
      <c r="F630" s="6" t="n">
        <v>455633.5358059708</v>
      </c>
      <c r="G630" s="6" t="inlineStr">
        <is>
          <t>DOMESTICA</t>
        </is>
      </c>
      <c r="H630" s="6" t="inlineStr">
        <is>
          <t>FIXO</t>
        </is>
      </c>
      <c r="I630" s="11">
        <f>IF($H630="AUTO_OFERTA_TOTAL_PRODUTO_PERIODO",SUMIFS(Oferta!$F:$F,Oferta!$A:$A,$A630,Oferta!$E:$E,$E630),$F630)</f>
        <v/>
      </c>
      <c r="J630" s="6" t="inlineStr">
        <is>
          <t>Informado</t>
        </is>
      </c>
      <c r="K630" s="6" t="inlineStr">
        <is>
          <t>Demanda doméstica fixa informada pelo usuário.</t>
        </is>
      </c>
    </row>
    <row r="631">
      <c r="A631" s="6" t="inlineStr">
        <is>
          <t>Milho</t>
        </is>
      </c>
      <c r="B631" s="6" t="inlineStr">
        <is>
          <t>Florianópolis - SC</t>
        </is>
      </c>
      <c r="C631" s="6" t="n">
        <v>-27.5945</v>
      </c>
      <c r="D631" s="6" t="n">
        <v>-48.5477</v>
      </c>
      <c r="E631" s="6" t="inlineStr">
        <is>
          <t>2022-06</t>
        </is>
      </c>
      <c r="F631" s="6" t="n">
        <v>499816.1817023073</v>
      </c>
      <c r="G631" s="6" t="inlineStr">
        <is>
          <t>DOMESTICA</t>
        </is>
      </c>
      <c r="H631" s="6" t="inlineStr">
        <is>
          <t>FIXO</t>
        </is>
      </c>
      <c r="I631" s="11">
        <f>IF($H631="AUTO_OFERTA_TOTAL_PRODUTO_PERIODO",SUMIFS(Oferta!$F:$F,Oferta!$A:$A,$A631,Oferta!$E:$E,$E631),$F631)</f>
        <v/>
      </c>
      <c r="J631" s="6" t="inlineStr">
        <is>
          <t>Informado</t>
        </is>
      </c>
      <c r="K631" s="6" t="inlineStr">
        <is>
          <t>Demanda doméstica fixa informada pelo usuário.</t>
        </is>
      </c>
    </row>
    <row r="632">
      <c r="A632" s="6" t="inlineStr">
        <is>
          <t>Milho</t>
        </is>
      </c>
      <c r="B632" s="6" t="inlineStr">
        <is>
          <t>Florianópolis - SC</t>
        </is>
      </c>
      <c r="C632" s="6" t="n">
        <v>-27.5945</v>
      </c>
      <c r="D632" s="6" t="n">
        <v>-48.5477</v>
      </c>
      <c r="E632" s="6" t="inlineStr">
        <is>
          <t>2022-07</t>
        </is>
      </c>
      <c r="F632" s="6" t="n">
        <v>543998.8275986438</v>
      </c>
      <c r="G632" s="6" t="inlineStr">
        <is>
          <t>DOMESTICA</t>
        </is>
      </c>
      <c r="H632" s="6" t="inlineStr">
        <is>
          <t>FIXO</t>
        </is>
      </c>
      <c r="I632" s="11">
        <f>IF($H632="AUTO_OFERTA_TOTAL_PRODUTO_PERIODO",SUMIFS(Oferta!$F:$F,Oferta!$A:$A,$A632,Oferta!$E:$E,$E632),$F632)</f>
        <v/>
      </c>
      <c r="J632" s="6" t="inlineStr">
        <is>
          <t>Informado</t>
        </is>
      </c>
      <c r="K632" s="6" t="inlineStr">
        <is>
          <t>Demanda doméstica fixa informada pelo usuário.</t>
        </is>
      </c>
    </row>
    <row r="633">
      <c r="A633" s="6" t="inlineStr">
        <is>
          <t>Milho</t>
        </is>
      </c>
      <c r="B633" s="6" t="inlineStr">
        <is>
          <t>Florianópolis - SC</t>
        </is>
      </c>
      <c r="C633" s="6" t="n">
        <v>-27.5945</v>
      </c>
      <c r="D633" s="6" t="n">
        <v>-48.5477</v>
      </c>
      <c r="E633" s="6" t="inlineStr">
        <is>
          <t>2022-08</t>
        </is>
      </c>
      <c r="F633" s="6" t="n">
        <v>455633.5358059708</v>
      </c>
      <c r="G633" s="6" t="inlineStr">
        <is>
          <t>DOMESTICA</t>
        </is>
      </c>
      <c r="H633" s="6" t="inlineStr">
        <is>
          <t>FIXO</t>
        </is>
      </c>
      <c r="I633" s="11">
        <f>IF($H633="AUTO_OFERTA_TOTAL_PRODUTO_PERIODO",SUMIFS(Oferta!$F:$F,Oferta!$A:$A,$A633,Oferta!$E:$E,$E633),$F633)</f>
        <v/>
      </c>
      <c r="J633" s="6" t="inlineStr">
        <is>
          <t>Informado</t>
        </is>
      </c>
      <c r="K633" s="6" t="inlineStr">
        <is>
          <t>Demanda doméstica fixa informada pelo usuário.</t>
        </is>
      </c>
    </row>
    <row r="634">
      <c r="A634" s="6" t="inlineStr">
        <is>
          <t>Milho</t>
        </is>
      </c>
      <c r="B634" s="6" t="inlineStr">
        <is>
          <t>Florianópolis - SC</t>
        </is>
      </c>
      <c r="C634" s="6" t="n">
        <v>-27.5945</v>
      </c>
      <c r="D634" s="6" t="n">
        <v>-48.5477</v>
      </c>
      <c r="E634" s="6" t="inlineStr">
        <is>
          <t>2022-09</t>
        </is>
      </c>
      <c r="F634" s="6" t="n">
        <v>389359.566961466</v>
      </c>
      <c r="G634" s="6" t="inlineStr">
        <is>
          <t>DOMESTICA</t>
        </is>
      </c>
      <c r="H634" s="6" t="inlineStr">
        <is>
          <t>FIXO</t>
        </is>
      </c>
      <c r="I634" s="11">
        <f>IF($H634="AUTO_OFERTA_TOTAL_PRODUTO_PERIODO",SUMIFS(Oferta!$F:$F,Oferta!$A:$A,$A634,Oferta!$E:$E,$E634),$F634)</f>
        <v/>
      </c>
      <c r="J634" s="6" t="inlineStr">
        <is>
          <t>Informado</t>
        </is>
      </c>
      <c r="K634" s="6" t="inlineStr">
        <is>
          <t>Demanda doméstica fixa informada pelo usuário.</t>
        </is>
      </c>
    </row>
    <row r="635">
      <c r="A635" s="6" t="inlineStr">
        <is>
          <t>Milho</t>
        </is>
      </c>
      <c r="B635" s="6" t="inlineStr">
        <is>
          <t>Florianópolis - SC</t>
        </is>
      </c>
      <c r="C635" s="6" t="n">
        <v>-27.5945</v>
      </c>
      <c r="D635" s="6" t="n">
        <v>-48.5477</v>
      </c>
      <c r="E635" s="6" t="inlineStr">
        <is>
          <t>2022-10</t>
        </is>
      </c>
      <c r="F635" s="6" t="n">
        <v>212628.9833761197</v>
      </c>
      <c r="G635" s="6" t="inlineStr">
        <is>
          <t>DOMESTICA</t>
        </is>
      </c>
      <c r="H635" s="6" t="inlineStr">
        <is>
          <t>FIXO</t>
        </is>
      </c>
      <c r="I635" s="11">
        <f>IF($H635="AUTO_OFERTA_TOTAL_PRODUTO_PERIODO",SUMIFS(Oferta!$F:$F,Oferta!$A:$A,$A635,Oferta!$E:$E,$E635),$F635)</f>
        <v/>
      </c>
      <c r="J635" s="6" t="inlineStr">
        <is>
          <t>Informado</t>
        </is>
      </c>
      <c r="K635" s="6" t="inlineStr">
        <is>
          <t>Demanda doméstica fixa informada pelo usuário.</t>
        </is>
      </c>
    </row>
    <row r="636">
      <c r="A636" s="6" t="inlineStr">
        <is>
          <t>Milho</t>
        </is>
      </c>
      <c r="B636" s="6" t="inlineStr">
        <is>
          <t>Florianópolis - SC</t>
        </is>
      </c>
      <c r="C636" s="6" t="n">
        <v>-27.5945</v>
      </c>
      <c r="D636" s="6" t="n">
        <v>-48.5477</v>
      </c>
      <c r="E636" s="6" t="inlineStr">
        <is>
          <t>2022-11</t>
        </is>
      </c>
      <c r="F636" s="6" t="n">
        <v>168446.3374797832</v>
      </c>
      <c r="G636" s="6" t="inlineStr">
        <is>
          <t>DOMESTICA</t>
        </is>
      </c>
      <c r="H636" s="6" t="inlineStr">
        <is>
          <t>FIXO</t>
        </is>
      </c>
      <c r="I636" s="11">
        <f>IF($H636="AUTO_OFERTA_TOTAL_PRODUTO_PERIODO",SUMIFS(Oferta!$F:$F,Oferta!$A:$A,$A636,Oferta!$E:$E,$E636),$F636)</f>
        <v/>
      </c>
      <c r="J636" s="6" t="inlineStr">
        <is>
          <t>Informado</t>
        </is>
      </c>
      <c r="K636" s="6" t="inlineStr">
        <is>
          <t>Demanda doméstica fixa informada pelo usuário.</t>
        </is>
      </c>
    </row>
    <row r="637">
      <c r="A637" s="6" t="inlineStr">
        <is>
          <t>Milho</t>
        </is>
      </c>
      <c r="B637" s="6" t="inlineStr">
        <is>
          <t>Florianópolis - SC</t>
        </is>
      </c>
      <c r="C637" s="6" t="n">
        <v>-27.5945</v>
      </c>
      <c r="D637" s="6" t="n">
        <v>-48.5477</v>
      </c>
      <c r="E637" s="6" t="inlineStr">
        <is>
          <t>2022-12</t>
        </is>
      </c>
      <c r="F637" s="6" t="n">
        <v>146355.0145316149</v>
      </c>
      <c r="G637" s="6" t="inlineStr">
        <is>
          <t>DOMESTICA</t>
        </is>
      </c>
      <c r="H637" s="6" t="inlineStr">
        <is>
          <t>FIXO</t>
        </is>
      </c>
      <c r="I637" s="11">
        <f>IF($H637="AUTO_OFERTA_TOTAL_PRODUTO_PERIODO",SUMIFS(Oferta!$F:$F,Oferta!$A:$A,$A637,Oferta!$E:$E,$E637),$F637)</f>
        <v/>
      </c>
      <c r="J637" s="6" t="inlineStr">
        <is>
          <t>Informado</t>
        </is>
      </c>
      <c r="K637" s="6" t="inlineStr">
        <is>
          <t>Demanda doméstica fixa informada pelo usuário.</t>
        </is>
      </c>
    </row>
    <row r="638">
      <c r="A638" s="6" t="inlineStr">
        <is>
          <t>Milho</t>
        </is>
      </c>
      <c r="B638" s="6" t="inlineStr">
        <is>
          <t>Porto Alegre - RS</t>
        </is>
      </c>
      <c r="C638" s="6" t="n">
        <v>-30.0318</v>
      </c>
      <c r="D638" s="6" t="n">
        <v>-51.2065</v>
      </c>
      <c r="E638" s="6" t="inlineStr">
        <is>
          <t>2022-01</t>
        </is>
      </c>
      <c r="F638" s="6" t="n">
        <v>425380.8267342628</v>
      </c>
      <c r="G638" s="6" t="inlineStr">
        <is>
          <t>DOMESTICA</t>
        </is>
      </c>
      <c r="H638" s="6" t="inlineStr">
        <is>
          <t>FIXO</t>
        </is>
      </c>
      <c r="I638" s="11">
        <f>IF($H638="AUTO_OFERTA_TOTAL_PRODUTO_PERIODO",SUMIFS(Oferta!$F:$F,Oferta!$A:$A,$A638,Oferta!$E:$E,$E638),$F638)</f>
        <v/>
      </c>
      <c r="J638" s="6" t="inlineStr">
        <is>
          <t>Informado</t>
        </is>
      </c>
      <c r="K638" s="6" t="inlineStr">
        <is>
          <t>Demanda doméstica fixa informada pelo usuário.</t>
        </is>
      </c>
    </row>
    <row r="639">
      <c r="A639" s="6" t="inlineStr">
        <is>
          <t>Milho</t>
        </is>
      </c>
      <c r="B639" s="6" t="inlineStr">
        <is>
          <t>Porto Alegre - RS</t>
        </is>
      </c>
      <c r="C639" s="6" t="n">
        <v>-30.0318</v>
      </c>
      <c r="D639" s="6" t="n">
        <v>-51.2065</v>
      </c>
      <c r="E639" s="6" t="inlineStr">
        <is>
          <t>2022-02</t>
        </is>
      </c>
      <c r="F639" s="6" t="n">
        <v>536956.1255498072</v>
      </c>
      <c r="G639" s="6" t="inlineStr">
        <is>
          <t>DOMESTICA</t>
        </is>
      </c>
      <c r="H639" s="6" t="inlineStr">
        <is>
          <t>FIXO</t>
        </is>
      </c>
      <c r="I639" s="11">
        <f>IF($H639="AUTO_OFERTA_TOTAL_PRODUTO_PERIODO",SUMIFS(Oferta!$F:$F,Oferta!$A:$A,$A639,Oferta!$E:$E,$E639),$F639)</f>
        <v/>
      </c>
      <c r="J639" s="6" t="inlineStr">
        <is>
          <t>Informado</t>
        </is>
      </c>
      <c r="K639" s="6" t="inlineStr">
        <is>
          <t>Demanda doméstica fixa informada pelo usuário.</t>
        </is>
      </c>
    </row>
    <row r="640">
      <c r="A640" s="6" t="inlineStr">
        <is>
          <t>Milho</t>
        </is>
      </c>
      <c r="B640" s="6" t="inlineStr">
        <is>
          <t>Porto Alegre - RS</t>
        </is>
      </c>
      <c r="C640" s="6" t="n">
        <v>-30.0318</v>
      </c>
      <c r="D640" s="6" t="n">
        <v>-51.2065</v>
      </c>
      <c r="E640" s="6" t="inlineStr">
        <is>
          <t>2022-03</t>
        </is>
      </c>
      <c r="F640" s="6" t="n">
        <v>648531.4243653516</v>
      </c>
      <c r="G640" s="6" t="inlineStr">
        <is>
          <t>DOMESTICA</t>
        </is>
      </c>
      <c r="H640" s="6" t="inlineStr">
        <is>
          <t>FIXO</t>
        </is>
      </c>
      <c r="I640" s="11">
        <f>IF($H640="AUTO_OFERTA_TOTAL_PRODUTO_PERIODO",SUMIFS(Oferta!$F:$F,Oferta!$A:$A,$A640,Oferta!$E:$E,$E640),$F640)</f>
        <v/>
      </c>
      <c r="J640" s="6" t="inlineStr">
        <is>
          <t>Informado</t>
        </is>
      </c>
      <c r="K640" s="6" t="inlineStr">
        <is>
          <t>Demanda doméstica fixa informada pelo usuário.</t>
        </is>
      </c>
    </row>
    <row r="641">
      <c r="A641" s="6" t="inlineStr">
        <is>
          <t>Milho</t>
        </is>
      </c>
      <c r="B641" s="6" t="inlineStr">
        <is>
          <t>Porto Alegre - RS</t>
        </is>
      </c>
      <c r="C641" s="6" t="n">
        <v>-30.0318</v>
      </c>
      <c r="D641" s="6" t="n">
        <v>-51.2065</v>
      </c>
      <c r="E641" s="6" t="inlineStr">
        <is>
          <t>2022-04</t>
        </is>
      </c>
      <c r="F641" s="6" t="n">
        <v>927469.6714042124</v>
      </c>
      <c r="G641" s="6" t="inlineStr">
        <is>
          <t>DOMESTICA</t>
        </is>
      </c>
      <c r="H641" s="6" t="inlineStr">
        <is>
          <t>FIXO</t>
        </is>
      </c>
      <c r="I641" s="11">
        <f>IF($H641="AUTO_OFERTA_TOTAL_PRODUTO_PERIODO",SUMIFS(Oferta!$F:$F,Oferta!$A:$A,$A641,Oferta!$E:$E,$E641),$F641)</f>
        <v/>
      </c>
      <c r="J641" s="6" t="inlineStr">
        <is>
          <t>Informado</t>
        </is>
      </c>
      <c r="K641" s="6" t="inlineStr">
        <is>
          <t>Demanda doméstica fixa informada pelo usuário.</t>
        </is>
      </c>
    </row>
    <row r="642">
      <c r="A642" s="6" t="inlineStr">
        <is>
          <t>Milho</t>
        </is>
      </c>
      <c r="B642" s="6" t="inlineStr">
        <is>
          <t>Porto Alegre - RS</t>
        </is>
      </c>
      <c r="C642" s="6" t="n">
        <v>-30.0318</v>
      </c>
      <c r="D642" s="6" t="n">
        <v>-51.2065</v>
      </c>
      <c r="E642" s="6" t="inlineStr">
        <is>
          <t>2022-05</t>
        </is>
      </c>
      <c r="F642" s="6" t="n">
        <v>1150620.269035301</v>
      </c>
      <c r="G642" s="6" t="inlineStr">
        <is>
          <t>DOMESTICA</t>
        </is>
      </c>
      <c r="H642" s="6" t="inlineStr">
        <is>
          <t>FIXO</t>
        </is>
      </c>
      <c r="I642" s="11">
        <f>IF($H642="AUTO_OFERTA_TOTAL_PRODUTO_PERIODO",SUMIFS(Oferta!$F:$F,Oferta!$A:$A,$A642,Oferta!$E:$E,$E642),$F642)</f>
        <v/>
      </c>
      <c r="J642" s="6" t="inlineStr">
        <is>
          <t>Informado</t>
        </is>
      </c>
      <c r="K642" s="6" t="inlineStr">
        <is>
          <t>Demanda doméstica fixa informada pelo usuário.</t>
        </is>
      </c>
    </row>
    <row r="643">
      <c r="A643" s="6" t="inlineStr">
        <is>
          <t>Milho</t>
        </is>
      </c>
      <c r="B643" s="6" t="inlineStr">
        <is>
          <t>Porto Alegre - RS</t>
        </is>
      </c>
      <c r="C643" s="6" t="n">
        <v>-30.0318</v>
      </c>
      <c r="D643" s="6" t="n">
        <v>-51.2065</v>
      </c>
      <c r="E643" s="6" t="inlineStr">
        <is>
          <t>2022-06</t>
        </is>
      </c>
      <c r="F643" s="6" t="n">
        <v>1150620.269035301</v>
      </c>
      <c r="G643" s="6" t="inlineStr">
        <is>
          <t>DOMESTICA</t>
        </is>
      </c>
      <c r="H643" s="6" t="inlineStr">
        <is>
          <t>FIXO</t>
        </is>
      </c>
      <c r="I643" s="11">
        <f>IF($H643="AUTO_OFERTA_TOTAL_PRODUTO_PERIODO",SUMIFS(Oferta!$F:$F,Oferta!$A:$A,$A643,Oferta!$E:$E,$E643),$F643)</f>
        <v/>
      </c>
      <c r="J643" s="6" t="inlineStr">
        <is>
          <t>Informado</t>
        </is>
      </c>
      <c r="K643" s="6" t="inlineStr">
        <is>
          <t>Demanda doméstica fixa informada pelo usuário.</t>
        </is>
      </c>
    </row>
    <row r="644">
      <c r="A644" s="6" t="inlineStr">
        <is>
          <t>Milho</t>
        </is>
      </c>
      <c r="B644" s="6" t="inlineStr">
        <is>
          <t>Porto Alegre - RS</t>
        </is>
      </c>
      <c r="C644" s="6" t="n">
        <v>-30.0318</v>
      </c>
      <c r="D644" s="6" t="n">
        <v>-51.2065</v>
      </c>
      <c r="E644" s="6" t="inlineStr">
        <is>
          <t>2022-07</t>
        </is>
      </c>
      <c r="F644" s="6" t="n">
        <v>927469.6714042124</v>
      </c>
      <c r="G644" s="6" t="inlineStr">
        <is>
          <t>DOMESTICA</t>
        </is>
      </c>
      <c r="H644" s="6" t="inlineStr">
        <is>
          <t>FIXO</t>
        </is>
      </c>
      <c r="I644" s="11">
        <f>IF($H644="AUTO_OFERTA_TOTAL_PRODUTO_PERIODO",SUMIFS(Oferta!$F:$F,Oferta!$A:$A,$A644,Oferta!$E:$E,$E644),$F644)</f>
        <v/>
      </c>
      <c r="J644" s="6" t="inlineStr">
        <is>
          <t>Informado</t>
        </is>
      </c>
      <c r="K644" s="6" t="inlineStr">
        <is>
          <t>Demanda doméstica fixa informada pelo usuário.</t>
        </is>
      </c>
    </row>
    <row r="645">
      <c r="A645" s="6" t="inlineStr">
        <is>
          <t>Milho</t>
        </is>
      </c>
      <c r="B645" s="6" t="inlineStr">
        <is>
          <t>Porto Alegre - RS</t>
        </is>
      </c>
      <c r="C645" s="6" t="n">
        <v>-30.0318</v>
      </c>
      <c r="D645" s="6" t="n">
        <v>-51.2065</v>
      </c>
      <c r="E645" s="6" t="inlineStr">
        <is>
          <t>2022-08</t>
        </is>
      </c>
      <c r="F645" s="6" t="n">
        <v>592743.7749575793</v>
      </c>
      <c r="G645" s="6" t="inlineStr">
        <is>
          <t>DOMESTICA</t>
        </is>
      </c>
      <c r="H645" s="6" t="inlineStr">
        <is>
          <t>FIXO</t>
        </is>
      </c>
      <c r="I645" s="11">
        <f>IF($H645="AUTO_OFERTA_TOTAL_PRODUTO_PERIODO",SUMIFS(Oferta!$F:$F,Oferta!$A:$A,$A645,Oferta!$E:$E,$E645),$F645)</f>
        <v/>
      </c>
      <c r="J645" s="6" t="inlineStr">
        <is>
          <t>Informado</t>
        </is>
      </c>
      <c r="K645" s="6" t="inlineStr">
        <is>
          <t>Demanda doméstica fixa informada pelo usuário.</t>
        </is>
      </c>
    </row>
    <row r="646">
      <c r="A646" s="6" t="inlineStr">
        <is>
          <t>Milho</t>
        </is>
      </c>
      <c r="B646" s="6" t="inlineStr">
        <is>
          <t>Porto Alegre - RS</t>
        </is>
      </c>
      <c r="C646" s="6" t="n">
        <v>-30.0318</v>
      </c>
      <c r="D646" s="6" t="n">
        <v>-51.2065</v>
      </c>
      <c r="E646" s="6" t="inlineStr">
        <is>
          <t>2022-09</t>
        </is>
      </c>
      <c r="F646" s="6" t="n">
        <v>481168.476142035</v>
      </c>
      <c r="G646" s="6" t="inlineStr">
        <is>
          <t>DOMESTICA</t>
        </is>
      </c>
      <c r="H646" s="6" t="inlineStr">
        <is>
          <t>FIXO</t>
        </is>
      </c>
      <c r="I646" s="11">
        <f>IF($H646="AUTO_OFERTA_TOTAL_PRODUTO_PERIODO",SUMIFS(Oferta!$F:$F,Oferta!$A:$A,$A646,Oferta!$E:$E,$E646),$F646)</f>
        <v/>
      </c>
      <c r="J646" s="6" t="inlineStr">
        <is>
          <t>Informado</t>
        </is>
      </c>
      <c r="K646" s="6" t="inlineStr">
        <is>
          <t>Demanda doméstica fixa informada pelo usuário.</t>
        </is>
      </c>
    </row>
    <row r="647">
      <c r="A647" s="6" t="inlineStr">
        <is>
          <t>Milho</t>
        </is>
      </c>
      <c r="B647" s="6" t="inlineStr">
        <is>
          <t>Porto Alegre - RS</t>
        </is>
      </c>
      <c r="C647" s="6" t="n">
        <v>-30.0318</v>
      </c>
      <c r="D647" s="6" t="n">
        <v>-51.2065</v>
      </c>
      <c r="E647" s="6" t="inlineStr">
        <is>
          <t>2022-10</t>
        </is>
      </c>
      <c r="F647" s="6" t="n">
        <v>369593.1773264907</v>
      </c>
      <c r="G647" s="6" t="inlineStr">
        <is>
          <t>DOMESTICA</t>
        </is>
      </c>
      <c r="H647" s="6" t="inlineStr">
        <is>
          <t>FIXO</t>
        </is>
      </c>
      <c r="I647" s="11">
        <f>IF($H647="AUTO_OFERTA_TOTAL_PRODUTO_PERIODO",SUMIFS(Oferta!$F:$F,Oferta!$A:$A,$A647,Oferta!$E:$E,$E647),$F647)</f>
        <v/>
      </c>
      <c r="J647" s="6" t="inlineStr">
        <is>
          <t>Informado</t>
        </is>
      </c>
      <c r="K647" s="6" t="inlineStr">
        <is>
          <t>Demanda doméstica fixa informada pelo usuário.</t>
        </is>
      </c>
    </row>
    <row r="648">
      <c r="A648" s="6" t="inlineStr">
        <is>
          <t>Milho</t>
        </is>
      </c>
      <c r="B648" s="6" t="inlineStr">
        <is>
          <t>Porto Alegre - RS</t>
        </is>
      </c>
      <c r="C648" s="6" t="n">
        <v>-30.0318</v>
      </c>
      <c r="D648" s="6" t="n">
        <v>-51.2065</v>
      </c>
      <c r="E648" s="6" t="inlineStr">
        <is>
          <t>2022-11</t>
        </is>
      </c>
      <c r="F648" s="6" t="n">
        <v>369593.1773264907</v>
      </c>
      <c r="G648" s="6" t="inlineStr">
        <is>
          <t>DOMESTICA</t>
        </is>
      </c>
      <c r="H648" s="6" t="inlineStr">
        <is>
          <t>FIXO</t>
        </is>
      </c>
      <c r="I648" s="11">
        <f>IF($H648="AUTO_OFERTA_TOTAL_PRODUTO_PERIODO",SUMIFS(Oferta!$F:$F,Oferta!$A:$A,$A648,Oferta!$E:$E,$E648),$F648)</f>
        <v/>
      </c>
      <c r="J648" s="6" t="inlineStr">
        <is>
          <t>Informado</t>
        </is>
      </c>
      <c r="K648" s="6" t="inlineStr">
        <is>
          <t>Demanda doméstica fixa informada pelo usuário.</t>
        </is>
      </c>
    </row>
    <row r="649">
      <c r="A649" s="6" t="inlineStr">
        <is>
          <t>Milho</t>
        </is>
      </c>
      <c r="B649" s="6" t="inlineStr">
        <is>
          <t>Porto Alegre - RS</t>
        </is>
      </c>
      <c r="C649" s="6" t="n">
        <v>-30.0318</v>
      </c>
      <c r="D649" s="6" t="n">
        <v>-51.2065</v>
      </c>
      <c r="E649" s="6" t="inlineStr">
        <is>
          <t>2022-12</t>
        </is>
      </c>
      <c r="F649" s="6" t="n">
        <v>369593.1773264907</v>
      </c>
      <c r="G649" s="6" t="inlineStr">
        <is>
          <t>DOMESTICA</t>
        </is>
      </c>
      <c r="H649" s="6" t="inlineStr">
        <is>
          <t>FIXO</t>
        </is>
      </c>
      <c r="I649" s="11">
        <f>IF($H649="AUTO_OFERTA_TOTAL_PRODUTO_PERIODO",SUMIFS(Oferta!$F:$F,Oferta!$A:$A,$A649,Oferta!$E:$E,$E649),$F649)</f>
        <v/>
      </c>
      <c r="J649" s="6" t="inlineStr">
        <is>
          <t>Informado</t>
        </is>
      </c>
      <c r="K649" s="6" t="inlineStr">
        <is>
          <t>Demanda doméstica fixa informada pelo usuário.</t>
        </is>
      </c>
    </row>
    <row r="650">
      <c r="A650" s="6" t="inlineStr">
        <is>
          <t>Milho</t>
        </is>
      </c>
      <c r="B650" s="6" t="inlineStr">
        <is>
          <t>Rio Branco - AC</t>
        </is>
      </c>
      <c r="C650" s="6" t="n">
        <v>-9.97499</v>
      </c>
      <c r="D650" s="6" t="n">
        <v>-67.82429999999999</v>
      </c>
      <c r="E650" s="6" t="inlineStr">
        <is>
          <t>2023-01</t>
        </is>
      </c>
      <c r="F650" s="6" t="n">
        <v>7612.2001649709</v>
      </c>
      <c r="G650" s="6" t="inlineStr">
        <is>
          <t>DOMESTICA</t>
        </is>
      </c>
      <c r="H650" s="6" t="inlineStr">
        <is>
          <t>FIXO</t>
        </is>
      </c>
      <c r="I650" s="11">
        <f>IF($H650="AUTO_OFERTA_TOTAL_PRODUTO_PERIODO",SUMIFS(Oferta!$F:$F,Oferta!$A:$A,$A650,Oferta!$E:$E,$E650),$F650)</f>
        <v/>
      </c>
      <c r="J650" s="6" t="inlineStr">
        <is>
          <t>Informado</t>
        </is>
      </c>
      <c r="K650" s="6" t="inlineStr">
        <is>
          <t>Demanda doméstica fixa informada pelo usuário.</t>
        </is>
      </c>
    </row>
    <row r="651">
      <c r="A651" s="6" t="inlineStr">
        <is>
          <t>Milho</t>
        </is>
      </c>
      <c r="B651" s="6" t="inlineStr">
        <is>
          <t>Rio Branco - AC</t>
        </is>
      </c>
      <c r="C651" s="6" t="n">
        <v>-9.97499</v>
      </c>
      <c r="D651" s="6" t="n">
        <v>-67.82429999999999</v>
      </c>
      <c r="E651" s="6" t="inlineStr">
        <is>
          <t>2023-02</t>
        </is>
      </c>
      <c r="F651" s="6" t="n">
        <v>8761.211510626799</v>
      </c>
      <c r="G651" s="6" t="inlineStr">
        <is>
          <t>DOMESTICA</t>
        </is>
      </c>
      <c r="H651" s="6" t="inlineStr">
        <is>
          <t>FIXO</t>
        </is>
      </c>
      <c r="I651" s="11">
        <f>IF($H651="AUTO_OFERTA_TOTAL_PRODUTO_PERIODO",SUMIFS(Oferta!$F:$F,Oferta!$A:$A,$A651,Oferta!$E:$E,$E651),$F651)</f>
        <v/>
      </c>
      <c r="J651" s="6" t="inlineStr">
        <is>
          <t>Informado</t>
        </is>
      </c>
      <c r="K651" s="6" t="inlineStr">
        <is>
          <t>Demanda doméstica fixa informada pelo usuário.</t>
        </is>
      </c>
    </row>
    <row r="652">
      <c r="A652" s="6" t="inlineStr">
        <is>
          <t>Milho</t>
        </is>
      </c>
      <c r="B652" s="6" t="inlineStr">
        <is>
          <t>Rio Branco - AC</t>
        </is>
      </c>
      <c r="C652" s="6" t="n">
        <v>-9.97499</v>
      </c>
      <c r="D652" s="6" t="n">
        <v>-67.82429999999999</v>
      </c>
      <c r="E652" s="6" t="inlineStr">
        <is>
          <t>2023-03</t>
        </is>
      </c>
      <c r="F652" s="6" t="n">
        <v>11059.2342019388</v>
      </c>
      <c r="G652" s="6" t="inlineStr">
        <is>
          <t>DOMESTICA</t>
        </is>
      </c>
      <c r="H652" s="6" t="inlineStr">
        <is>
          <t>FIXO</t>
        </is>
      </c>
      <c r="I652" s="11">
        <f>IF($H652="AUTO_OFERTA_TOTAL_PRODUTO_PERIODO",SUMIFS(Oferta!$F:$F,Oferta!$A:$A,$A652,Oferta!$E:$E,$E652),$F652)</f>
        <v/>
      </c>
      <c r="J652" s="6" t="inlineStr">
        <is>
          <t>Informado</t>
        </is>
      </c>
      <c r="K652" s="6" t="inlineStr">
        <is>
          <t>Demanda doméstica fixa informada pelo usuário.</t>
        </is>
      </c>
    </row>
    <row r="653">
      <c r="A653" s="6" t="inlineStr">
        <is>
          <t>Milho</t>
        </is>
      </c>
      <c r="B653" s="6" t="inlineStr">
        <is>
          <t>Rio Branco - AC</t>
        </is>
      </c>
      <c r="C653" s="6" t="n">
        <v>-9.97499</v>
      </c>
      <c r="D653" s="6" t="n">
        <v>-67.82429999999999</v>
      </c>
      <c r="E653" s="6" t="inlineStr">
        <is>
          <t>2023-04</t>
        </is>
      </c>
      <c r="F653" s="6" t="n">
        <v>17953.3022758747</v>
      </c>
      <c r="G653" s="6" t="inlineStr">
        <is>
          <t>DOMESTICA</t>
        </is>
      </c>
      <c r="H653" s="6" t="inlineStr">
        <is>
          <t>FIXO</t>
        </is>
      </c>
      <c r="I653" s="11">
        <f>IF($H653="AUTO_OFERTA_TOTAL_PRODUTO_PERIODO",SUMIFS(Oferta!$F:$F,Oferta!$A:$A,$A653,Oferta!$E:$E,$E653),$F653)</f>
        <v/>
      </c>
      <c r="J653" s="6" t="inlineStr">
        <is>
          <t>Informado</t>
        </is>
      </c>
      <c r="K653" s="6" t="inlineStr">
        <is>
          <t>Demanda doméstica fixa informada pelo usuário.</t>
        </is>
      </c>
    </row>
    <row r="654">
      <c r="A654" s="6" t="inlineStr">
        <is>
          <t>Milho</t>
        </is>
      </c>
      <c r="B654" s="6" t="inlineStr">
        <is>
          <t>Rio Branco - AC</t>
        </is>
      </c>
      <c r="C654" s="6" t="n">
        <v>-9.97499</v>
      </c>
      <c r="D654" s="6" t="n">
        <v>-67.82429999999999</v>
      </c>
      <c r="E654" s="6" t="inlineStr">
        <is>
          <t>2023-05</t>
        </is>
      </c>
      <c r="F654" s="6" t="n">
        <v>19102.3136215306</v>
      </c>
      <c r="G654" s="6" t="inlineStr">
        <is>
          <t>DOMESTICA</t>
        </is>
      </c>
      <c r="H654" s="6" t="inlineStr">
        <is>
          <t>FIXO</t>
        </is>
      </c>
      <c r="I654" s="11">
        <f>IF($H654="AUTO_OFERTA_TOTAL_PRODUTO_PERIODO",SUMIFS(Oferta!$F:$F,Oferta!$A:$A,$A654,Oferta!$E:$E,$E654),$F654)</f>
        <v/>
      </c>
      <c r="J654" s="6" t="inlineStr">
        <is>
          <t>Informado</t>
        </is>
      </c>
      <c r="K654" s="6" t="inlineStr">
        <is>
          <t>Demanda doméstica fixa informada pelo usuário.</t>
        </is>
      </c>
    </row>
    <row r="655">
      <c r="A655" s="6" t="inlineStr">
        <is>
          <t>Milho</t>
        </is>
      </c>
      <c r="B655" s="6" t="inlineStr">
        <is>
          <t>Rio Branco - AC</t>
        </is>
      </c>
      <c r="C655" s="6" t="n">
        <v>-9.97499</v>
      </c>
      <c r="D655" s="6" t="n">
        <v>-67.82429999999999</v>
      </c>
      <c r="E655" s="6" t="inlineStr">
        <is>
          <t>2023-06</t>
        </is>
      </c>
      <c r="F655" s="6" t="n">
        <v>17953.3022758747</v>
      </c>
      <c r="G655" s="6" t="inlineStr">
        <is>
          <t>DOMESTICA</t>
        </is>
      </c>
      <c r="H655" s="6" t="inlineStr">
        <is>
          <t>FIXO</t>
        </is>
      </c>
      <c r="I655" s="11">
        <f>IF($H655="AUTO_OFERTA_TOTAL_PRODUTO_PERIODO",SUMIFS(Oferta!$F:$F,Oferta!$A:$A,$A655,Oferta!$E:$E,$E655),$F655)</f>
        <v/>
      </c>
      <c r="J655" s="6" t="inlineStr">
        <is>
          <t>Informado</t>
        </is>
      </c>
      <c r="K655" s="6" t="inlineStr">
        <is>
          <t>Demanda doméstica fixa informada pelo usuário.</t>
        </is>
      </c>
    </row>
    <row r="656">
      <c r="A656" s="6" t="inlineStr">
        <is>
          <t>Milho</t>
        </is>
      </c>
      <c r="B656" s="6" t="inlineStr">
        <is>
          <t>Rio Branco - AC</t>
        </is>
      </c>
      <c r="C656" s="6" t="n">
        <v>-9.97499</v>
      </c>
      <c r="D656" s="6" t="n">
        <v>-67.82429999999999</v>
      </c>
      <c r="E656" s="6" t="inlineStr">
        <is>
          <t>2023-07</t>
        </is>
      </c>
      <c r="F656" s="6" t="n">
        <v>11059.2342019388</v>
      </c>
      <c r="G656" s="6" t="inlineStr">
        <is>
          <t>DOMESTICA</t>
        </is>
      </c>
      <c r="H656" s="6" t="inlineStr">
        <is>
          <t>FIXO</t>
        </is>
      </c>
      <c r="I656" s="11">
        <f>IF($H656="AUTO_OFERTA_TOTAL_PRODUTO_PERIODO",SUMIFS(Oferta!$F:$F,Oferta!$A:$A,$A656,Oferta!$E:$E,$E656),$F656)</f>
        <v/>
      </c>
      <c r="J656" s="6" t="inlineStr">
        <is>
          <t>Informado</t>
        </is>
      </c>
      <c r="K656" s="6" t="inlineStr">
        <is>
          <t>Demanda doméstica fixa informada pelo usuário.</t>
        </is>
      </c>
    </row>
    <row r="657">
      <c r="A657" s="6" t="inlineStr">
        <is>
          <t>Milho</t>
        </is>
      </c>
      <c r="B657" s="6" t="inlineStr">
        <is>
          <t>Rio Branco - AC</t>
        </is>
      </c>
      <c r="C657" s="6" t="n">
        <v>-9.97499</v>
      </c>
      <c r="D657" s="6" t="n">
        <v>-67.82429999999999</v>
      </c>
      <c r="E657" s="6" t="inlineStr">
        <is>
          <t>2023-08</t>
        </is>
      </c>
      <c r="F657" s="6" t="n">
        <v>8761.211510626799</v>
      </c>
      <c r="G657" s="6" t="inlineStr">
        <is>
          <t>DOMESTICA</t>
        </is>
      </c>
      <c r="H657" s="6" t="inlineStr">
        <is>
          <t>FIXO</t>
        </is>
      </c>
      <c r="I657" s="11">
        <f>IF($H657="AUTO_OFERTA_TOTAL_PRODUTO_PERIODO",SUMIFS(Oferta!$F:$F,Oferta!$A:$A,$A657,Oferta!$E:$E,$E657),$F657)</f>
        <v/>
      </c>
      <c r="J657" s="6" t="inlineStr">
        <is>
          <t>Informado</t>
        </is>
      </c>
      <c r="K657" s="6" t="inlineStr">
        <is>
          <t>Demanda doméstica fixa informada pelo usuário.</t>
        </is>
      </c>
    </row>
    <row r="658">
      <c r="A658" s="6" t="inlineStr">
        <is>
          <t>Milho</t>
        </is>
      </c>
      <c r="B658" s="6" t="inlineStr">
        <is>
          <t>Rio Branco - AC</t>
        </is>
      </c>
      <c r="C658" s="6" t="n">
        <v>-9.97499</v>
      </c>
      <c r="D658" s="6" t="n">
        <v>-67.82429999999999</v>
      </c>
      <c r="E658" s="6" t="inlineStr">
        <is>
          <t>2023-09</t>
        </is>
      </c>
      <c r="F658" s="6" t="n">
        <v>7612.2001649709</v>
      </c>
      <c r="G658" s="6" t="inlineStr">
        <is>
          <t>DOMESTICA</t>
        </is>
      </c>
      <c r="H658" s="6" t="inlineStr">
        <is>
          <t>FIXO</t>
        </is>
      </c>
      <c r="I658" s="11">
        <f>IF($H658="AUTO_OFERTA_TOTAL_PRODUTO_PERIODO",SUMIFS(Oferta!$F:$F,Oferta!$A:$A,$A658,Oferta!$E:$E,$E658),$F658)</f>
        <v/>
      </c>
      <c r="J658" s="6" t="inlineStr">
        <is>
          <t>Informado</t>
        </is>
      </c>
      <c r="K658" s="6" t="inlineStr">
        <is>
          <t>Demanda doméstica fixa informada pelo usuário.</t>
        </is>
      </c>
    </row>
    <row r="659">
      <c r="A659" s="6" t="inlineStr">
        <is>
          <t>Milho</t>
        </is>
      </c>
      <c r="B659" s="6" t="inlineStr">
        <is>
          <t>Rio Branco - AC</t>
        </is>
      </c>
      <c r="C659" s="6" t="n">
        <v>-9.97499</v>
      </c>
      <c r="D659" s="6" t="n">
        <v>-67.82429999999999</v>
      </c>
      <c r="E659" s="6" t="inlineStr">
        <is>
          <t>2023-10</t>
        </is>
      </c>
      <c r="F659" s="6" t="n">
        <v>7612.2001649709</v>
      </c>
      <c r="G659" s="6" t="inlineStr">
        <is>
          <t>DOMESTICA</t>
        </is>
      </c>
      <c r="H659" s="6" t="inlineStr">
        <is>
          <t>FIXO</t>
        </is>
      </c>
      <c r="I659" s="11">
        <f>IF($H659="AUTO_OFERTA_TOTAL_PRODUTO_PERIODO",SUMIFS(Oferta!$F:$F,Oferta!$A:$A,$A659,Oferta!$E:$E,$E659),$F659)</f>
        <v/>
      </c>
      <c r="J659" s="6" t="inlineStr">
        <is>
          <t>Informado</t>
        </is>
      </c>
      <c r="K659" s="6" t="inlineStr">
        <is>
          <t>Demanda doméstica fixa informada pelo usuário.</t>
        </is>
      </c>
    </row>
    <row r="660">
      <c r="A660" s="6" t="inlineStr">
        <is>
          <t>Milho</t>
        </is>
      </c>
      <c r="B660" s="6" t="inlineStr">
        <is>
          <t>Rio Branco - AC</t>
        </is>
      </c>
      <c r="C660" s="6" t="n">
        <v>-9.97499</v>
      </c>
      <c r="D660" s="6" t="n">
        <v>-67.82429999999999</v>
      </c>
      <c r="E660" s="6" t="inlineStr">
        <is>
          <t>2023-11</t>
        </is>
      </c>
      <c r="F660" s="6" t="n">
        <v>7612.2001649709</v>
      </c>
      <c r="G660" s="6" t="inlineStr">
        <is>
          <t>DOMESTICA</t>
        </is>
      </c>
      <c r="H660" s="6" t="inlineStr">
        <is>
          <t>FIXO</t>
        </is>
      </c>
      <c r="I660" s="11">
        <f>IF($H660="AUTO_OFERTA_TOTAL_PRODUTO_PERIODO",SUMIFS(Oferta!$F:$F,Oferta!$A:$A,$A660,Oferta!$E:$E,$E660),$F660)</f>
        <v/>
      </c>
      <c r="J660" s="6" t="inlineStr">
        <is>
          <t>Informado</t>
        </is>
      </c>
      <c r="K660" s="6" t="inlineStr">
        <is>
          <t>Demanda doméstica fixa informada pelo usuário.</t>
        </is>
      </c>
    </row>
    <row r="661">
      <c r="A661" s="6" t="inlineStr">
        <is>
          <t>Milho</t>
        </is>
      </c>
      <c r="B661" s="6" t="inlineStr">
        <is>
          <t>Rio Branco - AC</t>
        </is>
      </c>
      <c r="C661" s="6" t="n">
        <v>-9.97499</v>
      </c>
      <c r="D661" s="6" t="n">
        <v>-67.82429999999999</v>
      </c>
      <c r="E661" s="6" t="inlineStr">
        <is>
          <t>2023-12</t>
        </is>
      </c>
      <c r="F661" s="6" t="n">
        <v>7612.2001649709</v>
      </c>
      <c r="G661" s="6" t="inlineStr">
        <is>
          <t>DOMESTICA</t>
        </is>
      </c>
      <c r="H661" s="6" t="inlineStr">
        <is>
          <t>FIXO</t>
        </is>
      </c>
      <c r="I661" s="11">
        <f>IF($H661="AUTO_OFERTA_TOTAL_PRODUTO_PERIODO",SUMIFS(Oferta!$F:$F,Oferta!$A:$A,$A661,Oferta!$E:$E,$E661),$F661)</f>
        <v/>
      </c>
      <c r="J661" s="6" t="inlineStr">
        <is>
          <t>Informado</t>
        </is>
      </c>
      <c r="K661" s="6" t="inlineStr">
        <is>
          <t>Demanda doméstica fixa informada pelo usuário.</t>
        </is>
      </c>
    </row>
    <row r="662">
      <c r="A662" s="6" t="inlineStr">
        <is>
          <t>Milho</t>
        </is>
      </c>
      <c r="B662" s="6" t="inlineStr">
        <is>
          <t>Macapá - AP</t>
        </is>
      </c>
      <c r="C662" s="6" t="n">
        <v>0.034934</v>
      </c>
      <c r="D662" s="6" t="n">
        <v>-51.0694</v>
      </c>
      <c r="E662" s="6" t="inlineStr">
        <is>
          <t>2023-01</t>
        </is>
      </c>
      <c r="F662" s="6" t="n">
        <v>5170.5334731594</v>
      </c>
      <c r="G662" s="6" t="inlineStr">
        <is>
          <t>DOMESTICA</t>
        </is>
      </c>
      <c r="H662" s="6" t="inlineStr">
        <is>
          <t>FIXO</t>
        </is>
      </c>
      <c r="I662" s="11">
        <f>IF($H662="AUTO_OFERTA_TOTAL_PRODUTO_PERIODO",SUMIFS(Oferta!$F:$F,Oferta!$A:$A,$A662,Oferta!$E:$E,$E662),$F662)</f>
        <v/>
      </c>
      <c r="J662" s="6" t="inlineStr">
        <is>
          <t>Informado</t>
        </is>
      </c>
      <c r="K662" s="6" t="inlineStr">
        <is>
          <t>Demanda doméstica fixa informada pelo usuário.</t>
        </is>
      </c>
    </row>
    <row r="663">
      <c r="A663" s="6" t="inlineStr">
        <is>
          <t>Milho</t>
        </is>
      </c>
      <c r="B663" s="6" t="inlineStr">
        <is>
          <t>Macapá - AP</t>
        </is>
      </c>
      <c r="C663" s="6" t="n">
        <v>0.034934</v>
      </c>
      <c r="D663" s="6" t="n">
        <v>-51.0694</v>
      </c>
      <c r="E663" s="6" t="inlineStr">
        <is>
          <t>2023-02</t>
        </is>
      </c>
      <c r="F663" s="6" t="n">
        <v>5170.5334731594</v>
      </c>
      <c r="G663" s="6" t="inlineStr">
        <is>
          <t>DOMESTICA</t>
        </is>
      </c>
      <c r="H663" s="6" t="inlineStr">
        <is>
          <t>FIXO</t>
        </is>
      </c>
      <c r="I663" s="11">
        <f>IF($H663="AUTO_OFERTA_TOTAL_PRODUTO_PERIODO",SUMIFS(Oferta!$F:$F,Oferta!$A:$A,$A663,Oferta!$E:$E,$E663),$F663)</f>
        <v/>
      </c>
      <c r="J663" s="6" t="inlineStr">
        <is>
          <t>Informado</t>
        </is>
      </c>
      <c r="K663" s="6" t="inlineStr">
        <is>
          <t>Demanda doméstica fixa informada pelo usuário.</t>
        </is>
      </c>
    </row>
    <row r="664">
      <c r="A664" s="6" t="inlineStr">
        <is>
          <t>Milho</t>
        </is>
      </c>
      <c r="B664" s="6" t="inlineStr">
        <is>
          <t>Macapá - AP</t>
        </is>
      </c>
      <c r="C664" s="6" t="n">
        <v>0.034934</v>
      </c>
      <c r="D664" s="6" t="n">
        <v>-51.0694</v>
      </c>
      <c r="E664" s="6" t="inlineStr">
        <is>
          <t>2023-03</t>
        </is>
      </c>
      <c r="F664" s="6" t="n">
        <v>5170.5334731594</v>
      </c>
      <c r="G664" s="6" t="inlineStr">
        <is>
          <t>DOMESTICA</t>
        </is>
      </c>
      <c r="H664" s="6" t="inlineStr">
        <is>
          <t>FIXO</t>
        </is>
      </c>
      <c r="I664" s="11">
        <f>IF($H664="AUTO_OFERTA_TOTAL_PRODUTO_PERIODO",SUMIFS(Oferta!$F:$F,Oferta!$A:$A,$A664,Oferta!$E:$E,$E664),$F664)</f>
        <v/>
      </c>
      <c r="J664" s="6" t="inlineStr">
        <is>
          <t>Informado</t>
        </is>
      </c>
      <c r="K664" s="6" t="inlineStr">
        <is>
          <t>Demanda doméstica fixa informada pelo usuário.</t>
        </is>
      </c>
    </row>
    <row r="665">
      <c r="A665" s="6" t="inlineStr">
        <is>
          <t>Milho</t>
        </is>
      </c>
      <c r="B665" s="6" t="inlineStr">
        <is>
          <t>Macapá - AP</t>
        </is>
      </c>
      <c r="C665" s="6" t="n">
        <v>0.034934</v>
      </c>
      <c r="D665" s="6" t="n">
        <v>-51.0694</v>
      </c>
      <c r="E665" s="6" t="inlineStr">
        <is>
          <t>2023-04</t>
        </is>
      </c>
      <c r="F665" s="6" t="n">
        <v>5170.5334731594</v>
      </c>
      <c r="G665" s="6" t="inlineStr">
        <is>
          <t>DOMESTICA</t>
        </is>
      </c>
      <c r="H665" s="6" t="inlineStr">
        <is>
          <t>FIXO</t>
        </is>
      </c>
      <c r="I665" s="11">
        <f>IF($H665="AUTO_OFERTA_TOTAL_PRODUTO_PERIODO",SUMIFS(Oferta!$F:$F,Oferta!$A:$A,$A665,Oferta!$E:$E,$E665),$F665)</f>
        <v/>
      </c>
      <c r="J665" s="6" t="inlineStr">
        <is>
          <t>Informado</t>
        </is>
      </c>
      <c r="K665" s="6" t="inlineStr">
        <is>
          <t>Demanda doméstica fixa informada pelo usuário.</t>
        </is>
      </c>
    </row>
    <row r="666">
      <c r="A666" s="6" t="inlineStr">
        <is>
          <t>Milho</t>
        </is>
      </c>
      <c r="B666" s="6" t="inlineStr">
        <is>
          <t>Macapá - AP</t>
        </is>
      </c>
      <c r="C666" s="6" t="n">
        <v>0.034934</v>
      </c>
      <c r="D666" s="6" t="n">
        <v>-51.0694</v>
      </c>
      <c r="E666" s="6" t="inlineStr">
        <is>
          <t>2023-05</t>
        </is>
      </c>
      <c r="F666" s="6" t="n">
        <v>5950.9913559005</v>
      </c>
      <c r="G666" s="6" t="inlineStr">
        <is>
          <t>DOMESTICA</t>
        </is>
      </c>
      <c r="H666" s="6" t="inlineStr">
        <is>
          <t>FIXO</t>
        </is>
      </c>
      <c r="I666" s="11">
        <f>IF($H666="AUTO_OFERTA_TOTAL_PRODUTO_PERIODO",SUMIFS(Oferta!$F:$F,Oferta!$A:$A,$A666,Oferta!$E:$E,$E666),$F666)</f>
        <v/>
      </c>
      <c r="J666" s="6" t="inlineStr">
        <is>
          <t>Informado</t>
        </is>
      </c>
      <c r="K666" s="6" t="inlineStr">
        <is>
          <t>Demanda doméstica fixa informada pelo usuário.</t>
        </is>
      </c>
    </row>
    <row r="667">
      <c r="A667" s="6" t="inlineStr">
        <is>
          <t>Milho</t>
        </is>
      </c>
      <c r="B667" s="6" t="inlineStr">
        <is>
          <t>Macapá - AP</t>
        </is>
      </c>
      <c r="C667" s="6" t="n">
        <v>0.034934</v>
      </c>
      <c r="D667" s="6" t="n">
        <v>-51.0694</v>
      </c>
      <c r="E667" s="6" t="inlineStr">
        <is>
          <t>2023-06</t>
        </is>
      </c>
      <c r="F667" s="6" t="n">
        <v>9072.8228868646</v>
      </c>
      <c r="G667" s="6" t="inlineStr">
        <is>
          <t>DOMESTICA</t>
        </is>
      </c>
      <c r="H667" s="6" t="inlineStr">
        <is>
          <t>FIXO</t>
        </is>
      </c>
      <c r="I667" s="11">
        <f>IF($H667="AUTO_OFERTA_TOTAL_PRODUTO_PERIODO",SUMIFS(Oferta!$F:$F,Oferta!$A:$A,$A667,Oferta!$E:$E,$E667),$F667)</f>
        <v/>
      </c>
      <c r="J667" s="6" t="inlineStr">
        <is>
          <t>Informado</t>
        </is>
      </c>
      <c r="K667" s="6" t="inlineStr">
        <is>
          <t>Demanda doméstica fixa informada pelo usuário.</t>
        </is>
      </c>
    </row>
    <row r="668">
      <c r="A668" s="6" t="inlineStr">
        <is>
          <t>Milho</t>
        </is>
      </c>
      <c r="B668" s="6" t="inlineStr">
        <is>
          <t>Macapá - AP</t>
        </is>
      </c>
      <c r="C668" s="6" t="n">
        <v>0.034934</v>
      </c>
      <c r="D668" s="6" t="n">
        <v>-51.0694</v>
      </c>
      <c r="E668" s="6" t="inlineStr">
        <is>
          <t>2023-07</t>
        </is>
      </c>
      <c r="F668" s="6" t="n">
        <v>12194.6544178288</v>
      </c>
      <c r="G668" s="6" t="inlineStr">
        <is>
          <t>DOMESTICA</t>
        </is>
      </c>
      <c r="H668" s="6" t="inlineStr">
        <is>
          <t>FIXO</t>
        </is>
      </c>
      <c r="I668" s="11">
        <f>IF($H668="AUTO_OFERTA_TOTAL_PRODUTO_PERIODO",SUMIFS(Oferta!$F:$F,Oferta!$A:$A,$A668,Oferta!$E:$E,$E668),$F668)</f>
        <v/>
      </c>
      <c r="J668" s="6" t="inlineStr">
        <is>
          <t>Informado</t>
        </is>
      </c>
      <c r="K668" s="6" t="inlineStr">
        <is>
          <t>Demanda doméstica fixa informada pelo usuário.</t>
        </is>
      </c>
    </row>
    <row r="669">
      <c r="A669" s="6" t="inlineStr">
        <is>
          <t>Milho</t>
        </is>
      </c>
      <c r="B669" s="6" t="inlineStr">
        <is>
          <t>Macapá - AP</t>
        </is>
      </c>
      <c r="C669" s="6" t="n">
        <v>0.034934</v>
      </c>
      <c r="D669" s="6" t="n">
        <v>-51.0694</v>
      </c>
      <c r="E669" s="6" t="inlineStr">
        <is>
          <t>2023-08</t>
        </is>
      </c>
      <c r="F669" s="6" t="n">
        <v>12975.1123005699</v>
      </c>
      <c r="G669" s="6" t="inlineStr">
        <is>
          <t>DOMESTICA</t>
        </is>
      </c>
      <c r="H669" s="6" t="inlineStr">
        <is>
          <t>FIXO</t>
        </is>
      </c>
      <c r="I669" s="11">
        <f>IF($H669="AUTO_OFERTA_TOTAL_PRODUTO_PERIODO",SUMIFS(Oferta!$F:$F,Oferta!$A:$A,$A669,Oferta!$E:$E,$E669),$F669)</f>
        <v/>
      </c>
      <c r="J669" s="6" t="inlineStr">
        <is>
          <t>Informado</t>
        </is>
      </c>
      <c r="K669" s="6" t="inlineStr">
        <is>
          <t>Demanda doméstica fixa informada pelo usuário.</t>
        </is>
      </c>
    </row>
    <row r="670">
      <c r="A670" s="6" t="inlineStr">
        <is>
          <t>Milho</t>
        </is>
      </c>
      <c r="B670" s="6" t="inlineStr">
        <is>
          <t>Macapá - AP</t>
        </is>
      </c>
      <c r="C670" s="6" t="n">
        <v>0.034934</v>
      </c>
      <c r="D670" s="6" t="n">
        <v>-51.0694</v>
      </c>
      <c r="E670" s="6" t="inlineStr">
        <is>
          <t>2023-09</t>
        </is>
      </c>
      <c r="F670" s="6" t="n">
        <v>10633.7386523467</v>
      </c>
      <c r="G670" s="6" t="inlineStr">
        <is>
          <t>DOMESTICA</t>
        </is>
      </c>
      <c r="H670" s="6" t="inlineStr">
        <is>
          <t>FIXO</t>
        </is>
      </c>
      <c r="I670" s="11">
        <f>IF($H670="AUTO_OFERTA_TOTAL_PRODUTO_PERIODO",SUMIFS(Oferta!$F:$F,Oferta!$A:$A,$A670,Oferta!$E:$E,$E670),$F670)</f>
        <v/>
      </c>
      <c r="J670" s="6" t="inlineStr">
        <is>
          <t>Informado</t>
        </is>
      </c>
      <c r="K670" s="6" t="inlineStr">
        <is>
          <t>Demanda doméstica fixa informada pelo usuário.</t>
        </is>
      </c>
    </row>
    <row r="671">
      <c r="A671" s="6" t="inlineStr">
        <is>
          <t>Milho</t>
        </is>
      </c>
      <c r="B671" s="6" t="inlineStr">
        <is>
          <t>Macapá - AP</t>
        </is>
      </c>
      <c r="C671" s="6" t="n">
        <v>0.034934</v>
      </c>
      <c r="D671" s="6" t="n">
        <v>-51.0694</v>
      </c>
      <c r="E671" s="6" t="inlineStr">
        <is>
          <t>2023-10</t>
        </is>
      </c>
      <c r="F671" s="6" t="n">
        <v>7511.9071213825</v>
      </c>
      <c r="G671" s="6" t="inlineStr">
        <is>
          <t>DOMESTICA</t>
        </is>
      </c>
      <c r="H671" s="6" t="inlineStr">
        <is>
          <t>FIXO</t>
        </is>
      </c>
      <c r="I671" s="11">
        <f>IF($H671="AUTO_OFERTA_TOTAL_PRODUTO_PERIODO",SUMIFS(Oferta!$F:$F,Oferta!$A:$A,$A671,Oferta!$E:$E,$E671),$F671)</f>
        <v/>
      </c>
      <c r="J671" s="6" t="inlineStr">
        <is>
          <t>Informado</t>
        </is>
      </c>
      <c r="K671" s="6" t="inlineStr">
        <is>
          <t>Demanda doméstica fixa informada pelo usuário.</t>
        </is>
      </c>
    </row>
    <row r="672">
      <c r="A672" s="6" t="inlineStr">
        <is>
          <t>Milho</t>
        </is>
      </c>
      <c r="B672" s="6" t="inlineStr">
        <is>
          <t>Macapá - AP</t>
        </is>
      </c>
      <c r="C672" s="6" t="n">
        <v>0.034934</v>
      </c>
      <c r="D672" s="6" t="n">
        <v>-51.0694</v>
      </c>
      <c r="E672" s="6" t="inlineStr">
        <is>
          <t>2023-11</t>
        </is>
      </c>
      <c r="F672" s="6" t="n">
        <v>5950.9913559005</v>
      </c>
      <c r="G672" s="6" t="inlineStr">
        <is>
          <t>DOMESTICA</t>
        </is>
      </c>
      <c r="H672" s="6" t="inlineStr">
        <is>
          <t>FIXO</t>
        </is>
      </c>
      <c r="I672" s="11">
        <f>IF($H672="AUTO_OFERTA_TOTAL_PRODUTO_PERIODO",SUMIFS(Oferta!$F:$F,Oferta!$A:$A,$A672,Oferta!$E:$E,$E672),$F672)</f>
        <v/>
      </c>
      <c r="J672" s="6" t="inlineStr">
        <is>
          <t>Informado</t>
        </is>
      </c>
      <c r="K672" s="6" t="inlineStr">
        <is>
          <t>Demanda doméstica fixa informada pelo usuário.</t>
        </is>
      </c>
    </row>
    <row r="673">
      <c r="A673" s="6" t="inlineStr">
        <is>
          <t>Milho</t>
        </is>
      </c>
      <c r="B673" s="6" t="inlineStr">
        <is>
          <t>Macapá - AP</t>
        </is>
      </c>
      <c r="C673" s="6" t="n">
        <v>0.034934</v>
      </c>
      <c r="D673" s="6" t="n">
        <v>-51.0694</v>
      </c>
      <c r="E673" s="6" t="inlineStr">
        <is>
          <t>2023-12</t>
        </is>
      </c>
      <c r="F673" s="6" t="n">
        <v>5170.5334731594</v>
      </c>
      <c r="G673" s="6" t="inlineStr">
        <is>
          <t>DOMESTICA</t>
        </is>
      </c>
      <c r="H673" s="6" t="inlineStr">
        <is>
          <t>FIXO</t>
        </is>
      </c>
      <c r="I673" s="11">
        <f>IF($H673="AUTO_OFERTA_TOTAL_PRODUTO_PERIODO",SUMIFS(Oferta!$F:$F,Oferta!$A:$A,$A673,Oferta!$E:$E,$E673),$F673)</f>
        <v/>
      </c>
      <c r="J673" s="6" t="inlineStr">
        <is>
          <t>Informado</t>
        </is>
      </c>
      <c r="K673" s="6" t="inlineStr">
        <is>
          <t>Demanda doméstica fixa informada pelo usuário.</t>
        </is>
      </c>
    </row>
    <row r="674">
      <c r="A674" s="6" t="inlineStr">
        <is>
          <t>Milho</t>
        </is>
      </c>
      <c r="B674" s="6" t="inlineStr">
        <is>
          <t>Manaus - AM</t>
        </is>
      </c>
      <c r="C674" s="6" t="n">
        <v>-3.11866</v>
      </c>
      <c r="D674" s="6" t="n">
        <v>-60.0212</v>
      </c>
      <c r="E674" s="6" t="inlineStr">
        <is>
          <t>2023-01</t>
        </is>
      </c>
      <c r="F674" s="6" t="n">
        <v>45681.1634119168</v>
      </c>
      <c r="G674" s="6" t="inlineStr">
        <is>
          <t>DOMESTICA</t>
        </is>
      </c>
      <c r="H674" s="6" t="inlineStr">
        <is>
          <t>FIXO</t>
        </is>
      </c>
      <c r="I674" s="11">
        <f>IF($H674="AUTO_OFERTA_TOTAL_PRODUTO_PERIODO",SUMIFS(Oferta!$F:$F,Oferta!$A:$A,$A674,Oferta!$E:$E,$E674),$F674)</f>
        <v/>
      </c>
      <c r="J674" s="6" t="inlineStr">
        <is>
          <t>Informado</t>
        </is>
      </c>
      <c r="K674" s="6" t="inlineStr">
        <is>
          <t>Demanda doméstica fixa informada pelo usuário.</t>
        </is>
      </c>
    </row>
    <row r="675">
      <c r="A675" s="6" t="inlineStr">
        <is>
          <t>Milho</t>
        </is>
      </c>
      <c r="B675" s="6" t="inlineStr">
        <is>
          <t>Manaus - AM</t>
        </is>
      </c>
      <c r="C675" s="6" t="n">
        <v>-3.11866</v>
      </c>
      <c r="D675" s="6" t="n">
        <v>-60.0212</v>
      </c>
      <c r="E675" s="6" t="inlineStr">
        <is>
          <t>2023-02</t>
        </is>
      </c>
      <c r="F675" s="6" t="n">
        <v>45681.1634119168</v>
      </c>
      <c r="G675" s="6" t="inlineStr">
        <is>
          <t>DOMESTICA</t>
        </is>
      </c>
      <c r="H675" s="6" t="inlineStr">
        <is>
          <t>FIXO</t>
        </is>
      </c>
      <c r="I675" s="11">
        <f>IF($H675="AUTO_OFERTA_TOTAL_PRODUTO_PERIODO",SUMIFS(Oferta!$F:$F,Oferta!$A:$A,$A675,Oferta!$E:$E,$E675),$F675)</f>
        <v/>
      </c>
      <c r="J675" s="6" t="inlineStr">
        <is>
          <t>Informado</t>
        </is>
      </c>
      <c r="K675" s="6" t="inlineStr">
        <is>
          <t>Demanda doméstica fixa informada pelo usuário.</t>
        </is>
      </c>
    </row>
    <row r="676">
      <c r="A676" s="6" t="inlineStr">
        <is>
          <t>Milho</t>
        </is>
      </c>
      <c r="B676" s="6" t="inlineStr">
        <is>
          <t>Manaus - AM</t>
        </is>
      </c>
      <c r="C676" s="6" t="n">
        <v>-3.11866</v>
      </c>
      <c r="D676" s="6" t="n">
        <v>-60.0212</v>
      </c>
      <c r="E676" s="6" t="inlineStr">
        <is>
          <t>2023-03</t>
        </is>
      </c>
      <c r="F676" s="6" t="n">
        <v>59471.7033098539</v>
      </c>
      <c r="G676" s="6" t="inlineStr">
        <is>
          <t>DOMESTICA</t>
        </is>
      </c>
      <c r="H676" s="6" t="inlineStr">
        <is>
          <t>FIXO</t>
        </is>
      </c>
      <c r="I676" s="11">
        <f>IF($H676="AUTO_OFERTA_TOTAL_PRODUTO_PERIODO",SUMIFS(Oferta!$F:$F,Oferta!$A:$A,$A676,Oferta!$E:$E,$E676),$F676)</f>
        <v/>
      </c>
      <c r="J676" s="6" t="inlineStr">
        <is>
          <t>Informado</t>
        </is>
      </c>
      <c r="K676" s="6" t="inlineStr">
        <is>
          <t>Demanda doméstica fixa informada pelo usuário.</t>
        </is>
      </c>
    </row>
    <row r="677">
      <c r="A677" s="6" t="inlineStr">
        <is>
          <t>Milho</t>
        </is>
      </c>
      <c r="B677" s="6" t="inlineStr">
        <is>
          <t>Manaus - AM</t>
        </is>
      </c>
      <c r="C677" s="6" t="n">
        <v>-3.11866</v>
      </c>
      <c r="D677" s="6" t="n">
        <v>-60.0212</v>
      </c>
      <c r="E677" s="6" t="inlineStr">
        <is>
          <t>2023-04</t>
        </is>
      </c>
      <c r="F677" s="6" t="n">
        <v>73262.24320779111</v>
      </c>
      <c r="G677" s="6" t="inlineStr">
        <is>
          <t>DOMESTICA</t>
        </is>
      </c>
      <c r="H677" s="6" t="inlineStr">
        <is>
          <t>FIXO</t>
        </is>
      </c>
      <c r="I677" s="11">
        <f>IF($H677="AUTO_OFERTA_TOTAL_PRODUTO_PERIODO",SUMIFS(Oferta!$F:$F,Oferta!$A:$A,$A677,Oferta!$E:$E,$E677),$F677)</f>
        <v/>
      </c>
      <c r="J677" s="6" t="inlineStr">
        <is>
          <t>Informado</t>
        </is>
      </c>
      <c r="K677" s="6" t="inlineStr">
        <is>
          <t>Demanda doméstica fixa informada pelo usuário.</t>
        </is>
      </c>
    </row>
    <row r="678">
      <c r="A678" s="6" t="inlineStr">
        <is>
          <t>Milho</t>
        </is>
      </c>
      <c r="B678" s="6" t="inlineStr">
        <is>
          <t>Manaus - AM</t>
        </is>
      </c>
      <c r="C678" s="6" t="n">
        <v>-3.11866</v>
      </c>
      <c r="D678" s="6" t="n">
        <v>-60.0212</v>
      </c>
      <c r="E678" s="6" t="inlineStr">
        <is>
          <t>2023-05</t>
        </is>
      </c>
      <c r="F678" s="6" t="n">
        <v>114633.8629016025</v>
      </c>
      <c r="G678" s="6" t="inlineStr">
        <is>
          <t>DOMESTICA</t>
        </is>
      </c>
      <c r="H678" s="6" t="inlineStr">
        <is>
          <t>FIXO</t>
        </is>
      </c>
      <c r="I678" s="11">
        <f>IF($H678="AUTO_OFERTA_TOTAL_PRODUTO_PERIODO",SUMIFS(Oferta!$F:$F,Oferta!$A:$A,$A678,Oferta!$E:$E,$E678),$F678)</f>
        <v/>
      </c>
      <c r="J678" s="6" t="inlineStr">
        <is>
          <t>Informado</t>
        </is>
      </c>
      <c r="K678" s="6" t="inlineStr">
        <is>
          <t>Demanda doméstica fixa informada pelo usuário.</t>
        </is>
      </c>
    </row>
    <row r="679">
      <c r="A679" s="6" t="inlineStr">
        <is>
          <t>Milho</t>
        </is>
      </c>
      <c r="B679" s="6" t="inlineStr">
        <is>
          <t>Manaus - AM</t>
        </is>
      </c>
      <c r="C679" s="6" t="n">
        <v>-3.11866</v>
      </c>
      <c r="D679" s="6" t="n">
        <v>-60.0212</v>
      </c>
      <c r="E679" s="6" t="inlineStr">
        <is>
          <t>2023-06</t>
        </is>
      </c>
      <c r="F679" s="6" t="n">
        <v>114633.8629016025</v>
      </c>
      <c r="G679" s="6" t="inlineStr">
        <is>
          <t>DOMESTICA</t>
        </is>
      </c>
      <c r="H679" s="6" t="inlineStr">
        <is>
          <t>FIXO</t>
        </is>
      </c>
      <c r="I679" s="11">
        <f>IF($H679="AUTO_OFERTA_TOTAL_PRODUTO_PERIODO",SUMIFS(Oferta!$F:$F,Oferta!$A:$A,$A679,Oferta!$E:$E,$E679),$F679)</f>
        <v/>
      </c>
      <c r="J679" s="6" t="inlineStr">
        <is>
          <t>Informado</t>
        </is>
      </c>
      <c r="K679" s="6" t="inlineStr">
        <is>
          <t>Demanda doméstica fixa informada pelo usuário.</t>
        </is>
      </c>
    </row>
    <row r="680">
      <c r="A680" s="6" t="inlineStr">
        <is>
          <t>Milho</t>
        </is>
      </c>
      <c r="B680" s="6" t="inlineStr">
        <is>
          <t>Manaus - AM</t>
        </is>
      </c>
      <c r="C680" s="6" t="n">
        <v>-3.11866</v>
      </c>
      <c r="D680" s="6" t="n">
        <v>-60.0212</v>
      </c>
      <c r="E680" s="6" t="inlineStr">
        <is>
          <t>2023-07</t>
        </is>
      </c>
      <c r="F680" s="6" t="n">
        <v>114633.8629016025</v>
      </c>
      <c r="G680" s="6" t="inlineStr">
        <is>
          <t>DOMESTICA</t>
        </is>
      </c>
      <c r="H680" s="6" t="inlineStr">
        <is>
          <t>FIXO</t>
        </is>
      </c>
      <c r="I680" s="11">
        <f>IF($H680="AUTO_OFERTA_TOTAL_PRODUTO_PERIODO",SUMIFS(Oferta!$F:$F,Oferta!$A:$A,$A680,Oferta!$E:$E,$E680),$F680)</f>
        <v/>
      </c>
      <c r="J680" s="6" t="inlineStr">
        <is>
          <t>Informado</t>
        </is>
      </c>
      <c r="K680" s="6" t="inlineStr">
        <is>
          <t>Demanda doméstica fixa informada pelo usuário.</t>
        </is>
      </c>
    </row>
    <row r="681">
      <c r="A681" s="6" t="inlineStr">
        <is>
          <t>Milho</t>
        </is>
      </c>
      <c r="B681" s="6" t="inlineStr">
        <is>
          <t>Manaus - AM</t>
        </is>
      </c>
      <c r="C681" s="6" t="n">
        <v>-3.11866</v>
      </c>
      <c r="D681" s="6" t="n">
        <v>-60.0212</v>
      </c>
      <c r="E681" s="6" t="inlineStr">
        <is>
          <t>2023-08</t>
        </is>
      </c>
      <c r="F681" s="6" t="n">
        <v>73262.24320779111</v>
      </c>
      <c r="G681" s="6" t="inlineStr">
        <is>
          <t>DOMESTICA</t>
        </is>
      </c>
      <c r="H681" s="6" t="inlineStr">
        <is>
          <t>FIXO</t>
        </is>
      </c>
      <c r="I681" s="11">
        <f>IF($H681="AUTO_OFERTA_TOTAL_PRODUTO_PERIODO",SUMIFS(Oferta!$F:$F,Oferta!$A:$A,$A681,Oferta!$E:$E,$E681),$F681)</f>
        <v/>
      </c>
      <c r="J681" s="6" t="inlineStr">
        <is>
          <t>Informado</t>
        </is>
      </c>
      <c r="K681" s="6" t="inlineStr">
        <is>
          <t>Demanda doméstica fixa informada pelo usuário.</t>
        </is>
      </c>
    </row>
    <row r="682">
      <c r="A682" s="6" t="inlineStr">
        <is>
          <t>Milho</t>
        </is>
      </c>
      <c r="B682" s="6" t="inlineStr">
        <is>
          <t>Manaus - AM</t>
        </is>
      </c>
      <c r="C682" s="6" t="n">
        <v>-3.11866</v>
      </c>
      <c r="D682" s="6" t="n">
        <v>-60.0212</v>
      </c>
      <c r="E682" s="6" t="inlineStr">
        <is>
          <t>2023-09</t>
        </is>
      </c>
      <c r="F682" s="6" t="n">
        <v>59471.7033098539</v>
      </c>
      <c r="G682" s="6" t="inlineStr">
        <is>
          <t>DOMESTICA</t>
        </is>
      </c>
      <c r="H682" s="6" t="inlineStr">
        <is>
          <t>FIXO</t>
        </is>
      </c>
      <c r="I682" s="11">
        <f>IF($H682="AUTO_OFERTA_TOTAL_PRODUTO_PERIODO",SUMIFS(Oferta!$F:$F,Oferta!$A:$A,$A682,Oferta!$E:$E,$E682),$F682)</f>
        <v/>
      </c>
      <c r="J682" s="6" t="inlineStr">
        <is>
          <t>Informado</t>
        </is>
      </c>
      <c r="K682" s="6" t="inlineStr">
        <is>
          <t>Demanda doméstica fixa informada pelo usuário.</t>
        </is>
      </c>
    </row>
    <row r="683">
      <c r="A683" s="6" t="inlineStr">
        <is>
          <t>Milho</t>
        </is>
      </c>
      <c r="B683" s="6" t="inlineStr">
        <is>
          <t>Manaus - AM</t>
        </is>
      </c>
      <c r="C683" s="6" t="n">
        <v>-3.11866</v>
      </c>
      <c r="D683" s="6" t="n">
        <v>-60.0212</v>
      </c>
      <c r="E683" s="6" t="inlineStr">
        <is>
          <t>2023-10</t>
        </is>
      </c>
      <c r="F683" s="6" t="n">
        <v>45681.1634119168</v>
      </c>
      <c r="G683" s="6" t="inlineStr">
        <is>
          <t>DOMESTICA</t>
        </is>
      </c>
      <c r="H683" s="6" t="inlineStr">
        <is>
          <t>FIXO</t>
        </is>
      </c>
      <c r="I683" s="11">
        <f>IF($H683="AUTO_OFERTA_TOTAL_PRODUTO_PERIODO",SUMIFS(Oferta!$F:$F,Oferta!$A:$A,$A683,Oferta!$E:$E,$E683),$F683)</f>
        <v/>
      </c>
      <c r="J683" s="6" t="inlineStr">
        <is>
          <t>Informado</t>
        </is>
      </c>
      <c r="K683" s="6" t="inlineStr">
        <is>
          <t>Demanda doméstica fixa informada pelo usuário.</t>
        </is>
      </c>
    </row>
    <row r="684">
      <c r="A684" s="6" t="inlineStr">
        <is>
          <t>Milho</t>
        </is>
      </c>
      <c r="B684" s="6" t="inlineStr">
        <is>
          <t>Manaus - AM</t>
        </is>
      </c>
      <c r="C684" s="6" t="n">
        <v>-3.11866</v>
      </c>
      <c r="D684" s="6" t="n">
        <v>-60.0212</v>
      </c>
      <c r="E684" s="6" t="inlineStr">
        <is>
          <t>2023-11</t>
        </is>
      </c>
      <c r="F684" s="6" t="n">
        <v>45681.1634119168</v>
      </c>
      <c r="G684" s="6" t="inlineStr">
        <is>
          <t>DOMESTICA</t>
        </is>
      </c>
      <c r="H684" s="6" t="inlineStr">
        <is>
          <t>FIXO</t>
        </is>
      </c>
      <c r="I684" s="11">
        <f>IF($H684="AUTO_OFERTA_TOTAL_PRODUTO_PERIODO",SUMIFS(Oferta!$F:$F,Oferta!$A:$A,$A684,Oferta!$E:$E,$E684),$F684)</f>
        <v/>
      </c>
      <c r="J684" s="6" t="inlineStr">
        <is>
          <t>Informado</t>
        </is>
      </c>
      <c r="K684" s="6" t="inlineStr">
        <is>
          <t>Demanda doméstica fixa informada pelo usuário.</t>
        </is>
      </c>
    </row>
    <row r="685">
      <c r="A685" s="6" t="inlineStr">
        <is>
          <t>Milho</t>
        </is>
      </c>
      <c r="B685" s="6" t="inlineStr">
        <is>
          <t>Manaus - AM</t>
        </is>
      </c>
      <c r="C685" s="6" t="n">
        <v>-3.11866</v>
      </c>
      <c r="D685" s="6" t="n">
        <v>-60.0212</v>
      </c>
      <c r="E685" s="6" t="inlineStr">
        <is>
          <t>2023-12</t>
        </is>
      </c>
      <c r="F685" s="6" t="n">
        <v>45681.1634119168</v>
      </c>
      <c r="G685" s="6" t="inlineStr">
        <is>
          <t>DOMESTICA</t>
        </is>
      </c>
      <c r="H685" s="6" t="inlineStr">
        <is>
          <t>FIXO</t>
        </is>
      </c>
      <c r="I685" s="11">
        <f>IF($H685="AUTO_OFERTA_TOTAL_PRODUTO_PERIODO",SUMIFS(Oferta!$F:$F,Oferta!$A:$A,$A685,Oferta!$E:$E,$E685),$F685)</f>
        <v/>
      </c>
      <c r="J685" s="6" t="inlineStr">
        <is>
          <t>Informado</t>
        </is>
      </c>
      <c r="K685" s="6" t="inlineStr">
        <is>
          <t>Demanda doméstica fixa informada pelo usuário.</t>
        </is>
      </c>
    </row>
    <row r="686">
      <c r="A686" s="6" t="inlineStr">
        <is>
          <t>Milho</t>
        </is>
      </c>
      <c r="B686" s="6" t="inlineStr">
        <is>
          <t>Belém - PA</t>
        </is>
      </c>
      <c r="C686" s="6" t="n">
        <v>-1.4554</v>
      </c>
      <c r="D686" s="6" t="n">
        <v>-48.4898</v>
      </c>
      <c r="E686" s="6" t="inlineStr">
        <is>
          <t>2023-01</t>
        </is>
      </c>
      <c r="F686" s="6" t="n">
        <v>99686.48881231309</v>
      </c>
      <c r="G686" s="6" t="inlineStr">
        <is>
          <t>DOMESTICA</t>
        </is>
      </c>
      <c r="H686" s="6" t="inlineStr">
        <is>
          <t>FIXO</t>
        </is>
      </c>
      <c r="I686" s="11">
        <f>IF($H686="AUTO_OFERTA_TOTAL_PRODUTO_PERIODO",SUMIFS(Oferta!$F:$F,Oferta!$A:$A,$A686,Oferta!$E:$E,$E686),$F686)</f>
        <v/>
      </c>
      <c r="J686" s="6" t="inlineStr">
        <is>
          <t>Informado</t>
        </is>
      </c>
      <c r="K686" s="6" t="inlineStr">
        <is>
          <t>Demanda doméstica fixa informada pelo usuário.</t>
        </is>
      </c>
    </row>
    <row r="687">
      <c r="A687" s="6" t="inlineStr">
        <is>
          <t>Milho</t>
        </is>
      </c>
      <c r="B687" s="6" t="inlineStr">
        <is>
          <t>Belém - PA</t>
        </is>
      </c>
      <c r="C687" s="6" t="n">
        <v>-1.4554</v>
      </c>
      <c r="D687" s="6" t="n">
        <v>-48.4898</v>
      </c>
      <c r="E687" s="6" t="inlineStr">
        <is>
          <t>2023-02</t>
        </is>
      </c>
      <c r="F687" s="6" t="n">
        <v>80921.9732711719</v>
      </c>
      <c r="G687" s="6" t="inlineStr">
        <is>
          <t>DOMESTICA</t>
        </is>
      </c>
      <c r="H687" s="6" t="inlineStr">
        <is>
          <t>FIXO</t>
        </is>
      </c>
      <c r="I687" s="11">
        <f>IF($H687="AUTO_OFERTA_TOTAL_PRODUTO_PERIODO",SUMIFS(Oferta!$F:$F,Oferta!$A:$A,$A687,Oferta!$E:$E,$E687),$F687)</f>
        <v/>
      </c>
      <c r="J687" s="6" t="inlineStr">
        <is>
          <t>Informado</t>
        </is>
      </c>
      <c r="K687" s="6" t="inlineStr">
        <is>
          <t>Demanda doméstica fixa informada pelo usuário.</t>
        </is>
      </c>
    </row>
    <row r="688">
      <c r="A688" s="6" t="inlineStr">
        <is>
          <t>Milho</t>
        </is>
      </c>
      <c r="B688" s="6" t="inlineStr">
        <is>
          <t>Belém - PA</t>
        </is>
      </c>
      <c r="C688" s="6" t="n">
        <v>-1.4554</v>
      </c>
      <c r="D688" s="6" t="n">
        <v>-48.4898</v>
      </c>
      <c r="E688" s="6" t="inlineStr">
        <is>
          <t>2023-03</t>
        </is>
      </c>
      <c r="F688" s="6" t="n">
        <v>80921.9732711719</v>
      </c>
      <c r="G688" s="6" t="inlineStr">
        <is>
          <t>DOMESTICA</t>
        </is>
      </c>
      <c r="H688" s="6" t="inlineStr">
        <is>
          <t>FIXO</t>
        </is>
      </c>
      <c r="I688" s="11">
        <f>IF($H688="AUTO_OFERTA_TOTAL_PRODUTO_PERIODO",SUMIFS(Oferta!$F:$F,Oferta!$A:$A,$A688,Oferta!$E:$E,$E688),$F688)</f>
        <v/>
      </c>
      <c r="J688" s="6" t="inlineStr">
        <is>
          <t>Informado</t>
        </is>
      </c>
      <c r="K688" s="6" t="inlineStr">
        <is>
          <t>Demanda doméstica fixa informada pelo usuário.</t>
        </is>
      </c>
    </row>
    <row r="689">
      <c r="A689" s="6" t="inlineStr">
        <is>
          <t>Milho</t>
        </is>
      </c>
      <c r="B689" s="6" t="inlineStr">
        <is>
          <t>Belém - PA</t>
        </is>
      </c>
      <c r="C689" s="6" t="n">
        <v>-1.4554</v>
      </c>
      <c r="D689" s="6" t="n">
        <v>-48.4898</v>
      </c>
      <c r="E689" s="6" t="inlineStr">
        <is>
          <t>2023-04</t>
        </is>
      </c>
      <c r="F689" s="6" t="n">
        <v>99686.48881231309</v>
      </c>
      <c r="G689" s="6" t="inlineStr">
        <is>
          <t>DOMESTICA</t>
        </is>
      </c>
      <c r="H689" s="6" t="inlineStr">
        <is>
          <t>FIXO</t>
        </is>
      </c>
      <c r="I689" s="11">
        <f>IF($H689="AUTO_OFERTA_TOTAL_PRODUTO_PERIODO",SUMIFS(Oferta!$F:$F,Oferta!$A:$A,$A689,Oferta!$E:$E,$E689),$F689)</f>
        <v/>
      </c>
      <c r="J689" s="6" t="inlineStr">
        <is>
          <t>Informado</t>
        </is>
      </c>
      <c r="K689" s="6" t="inlineStr">
        <is>
          <t>Demanda doméstica fixa informada pelo usuário.</t>
        </is>
      </c>
    </row>
    <row r="690">
      <c r="A690" s="6" t="inlineStr">
        <is>
          <t>Milho</t>
        </is>
      </c>
      <c r="B690" s="6" t="inlineStr">
        <is>
          <t>Belém - PA</t>
        </is>
      </c>
      <c r="C690" s="6" t="n">
        <v>-1.4554</v>
      </c>
      <c r="D690" s="6" t="n">
        <v>-48.4898</v>
      </c>
      <c r="E690" s="6" t="inlineStr">
        <is>
          <t>2023-05</t>
        </is>
      </c>
      <c r="F690" s="6" t="n">
        <v>137215.5198945957</v>
      </c>
      <c r="G690" s="6" t="inlineStr">
        <is>
          <t>DOMESTICA</t>
        </is>
      </c>
      <c r="H690" s="6" t="inlineStr">
        <is>
          <t>FIXO</t>
        </is>
      </c>
      <c r="I690" s="11">
        <f>IF($H690="AUTO_OFERTA_TOTAL_PRODUTO_PERIODO",SUMIFS(Oferta!$F:$F,Oferta!$A:$A,$A690,Oferta!$E:$E,$E690),$F690)</f>
        <v/>
      </c>
      <c r="J690" s="6" t="inlineStr">
        <is>
          <t>Informado</t>
        </is>
      </c>
      <c r="K690" s="6" t="inlineStr">
        <is>
          <t>Demanda doméstica fixa informada pelo usuário.</t>
        </is>
      </c>
    </row>
    <row r="691">
      <c r="A691" s="6" t="inlineStr">
        <is>
          <t>Milho</t>
        </is>
      </c>
      <c r="B691" s="6" t="inlineStr">
        <is>
          <t>Belém - PA</t>
        </is>
      </c>
      <c r="C691" s="6" t="n">
        <v>-1.4554</v>
      </c>
      <c r="D691" s="6" t="n">
        <v>-48.4898</v>
      </c>
      <c r="E691" s="6" t="inlineStr">
        <is>
          <t>2023-06</t>
        </is>
      </c>
      <c r="F691" s="6" t="n">
        <v>212273.5820591609</v>
      </c>
      <c r="G691" s="6" t="inlineStr">
        <is>
          <t>DOMESTICA</t>
        </is>
      </c>
      <c r="H691" s="6" t="inlineStr">
        <is>
          <t>FIXO</t>
        </is>
      </c>
      <c r="I691" s="11">
        <f>IF($H691="AUTO_OFERTA_TOTAL_PRODUTO_PERIODO",SUMIFS(Oferta!$F:$F,Oferta!$A:$A,$A691,Oferta!$E:$E,$E691),$F691)</f>
        <v/>
      </c>
      <c r="J691" s="6" t="inlineStr">
        <is>
          <t>Informado</t>
        </is>
      </c>
      <c r="K691" s="6" t="inlineStr">
        <is>
          <t>Demanda doméstica fixa informada pelo usuário.</t>
        </is>
      </c>
    </row>
    <row r="692">
      <c r="A692" s="6" t="inlineStr">
        <is>
          <t>Milho</t>
        </is>
      </c>
      <c r="B692" s="6" t="inlineStr">
        <is>
          <t>Belém - PA</t>
        </is>
      </c>
      <c r="C692" s="6" t="n">
        <v>-1.4554</v>
      </c>
      <c r="D692" s="6" t="n">
        <v>-48.4898</v>
      </c>
      <c r="E692" s="6" t="inlineStr">
        <is>
          <t>2023-07</t>
        </is>
      </c>
      <c r="F692" s="6" t="n">
        <v>231038.0976003023</v>
      </c>
      <c r="G692" s="6" t="inlineStr">
        <is>
          <t>DOMESTICA</t>
        </is>
      </c>
      <c r="H692" s="6" t="inlineStr">
        <is>
          <t>FIXO</t>
        </is>
      </c>
      <c r="I692" s="11">
        <f>IF($H692="AUTO_OFERTA_TOTAL_PRODUTO_PERIODO",SUMIFS(Oferta!$F:$F,Oferta!$A:$A,$A692,Oferta!$E:$E,$E692),$F692)</f>
        <v/>
      </c>
      <c r="J692" s="6" t="inlineStr">
        <is>
          <t>Informado</t>
        </is>
      </c>
      <c r="K692" s="6" t="inlineStr">
        <is>
          <t>Demanda doméstica fixa informada pelo usuário.</t>
        </is>
      </c>
    </row>
    <row r="693">
      <c r="A693" s="6" t="inlineStr">
        <is>
          <t>Milho</t>
        </is>
      </c>
      <c r="B693" s="6" t="inlineStr">
        <is>
          <t>Belém - PA</t>
        </is>
      </c>
      <c r="C693" s="6" t="n">
        <v>-1.4554</v>
      </c>
      <c r="D693" s="6" t="n">
        <v>-48.4898</v>
      </c>
      <c r="E693" s="6" t="inlineStr">
        <is>
          <t>2023-08</t>
        </is>
      </c>
      <c r="F693" s="6" t="n">
        <v>212273.582059161</v>
      </c>
      <c r="G693" s="6" t="inlineStr">
        <is>
          <t>DOMESTICA</t>
        </is>
      </c>
      <c r="H693" s="6" t="inlineStr">
        <is>
          <t>FIXO</t>
        </is>
      </c>
      <c r="I693" s="11">
        <f>IF($H693="AUTO_OFERTA_TOTAL_PRODUTO_PERIODO",SUMIFS(Oferta!$F:$F,Oferta!$A:$A,$A693,Oferta!$E:$E,$E693),$F693)</f>
        <v/>
      </c>
      <c r="J693" s="6" t="inlineStr">
        <is>
          <t>Informado</t>
        </is>
      </c>
      <c r="K693" s="6" t="inlineStr">
        <is>
          <t>Demanda doméstica fixa informada pelo usuário.</t>
        </is>
      </c>
    </row>
    <row r="694">
      <c r="A694" s="6" t="inlineStr">
        <is>
          <t>Milho</t>
        </is>
      </c>
      <c r="B694" s="6" t="inlineStr">
        <is>
          <t>Belém - PA</t>
        </is>
      </c>
      <c r="C694" s="6" t="n">
        <v>-1.4554</v>
      </c>
      <c r="D694" s="6" t="n">
        <v>-48.4898</v>
      </c>
      <c r="E694" s="6" t="inlineStr">
        <is>
          <t>2023-09</t>
        </is>
      </c>
      <c r="F694" s="6" t="n">
        <v>137215.5198945957</v>
      </c>
      <c r="G694" s="6" t="inlineStr">
        <is>
          <t>DOMESTICA</t>
        </is>
      </c>
      <c r="H694" s="6" t="inlineStr">
        <is>
          <t>FIXO</t>
        </is>
      </c>
      <c r="I694" s="11">
        <f>IF($H694="AUTO_OFERTA_TOTAL_PRODUTO_PERIODO",SUMIFS(Oferta!$F:$F,Oferta!$A:$A,$A694,Oferta!$E:$E,$E694),$F694)</f>
        <v/>
      </c>
      <c r="J694" s="6" t="inlineStr">
        <is>
          <t>Informado</t>
        </is>
      </c>
      <c r="K694" s="6" t="inlineStr">
        <is>
          <t>Demanda doméstica fixa informada pelo usuário.</t>
        </is>
      </c>
    </row>
    <row r="695">
      <c r="A695" s="6" t="inlineStr">
        <is>
          <t>Milho</t>
        </is>
      </c>
      <c r="B695" s="6" t="inlineStr">
        <is>
          <t>Belém - PA</t>
        </is>
      </c>
      <c r="C695" s="6" t="n">
        <v>-1.4554</v>
      </c>
      <c r="D695" s="6" t="n">
        <v>-48.4898</v>
      </c>
      <c r="E695" s="6" t="inlineStr">
        <is>
          <t>2023-10</t>
        </is>
      </c>
      <c r="F695" s="6" t="n">
        <v>118451.0043534545</v>
      </c>
      <c r="G695" s="6" t="inlineStr">
        <is>
          <t>DOMESTICA</t>
        </is>
      </c>
      <c r="H695" s="6" t="inlineStr">
        <is>
          <t>FIXO</t>
        </is>
      </c>
      <c r="I695" s="11">
        <f>IF($H695="AUTO_OFERTA_TOTAL_PRODUTO_PERIODO",SUMIFS(Oferta!$F:$F,Oferta!$A:$A,$A695,Oferta!$E:$E,$E695),$F695)</f>
        <v/>
      </c>
      <c r="J695" s="6" t="inlineStr">
        <is>
          <t>Informado</t>
        </is>
      </c>
      <c r="K695" s="6" t="inlineStr">
        <is>
          <t>Demanda doméstica fixa informada pelo usuário.</t>
        </is>
      </c>
    </row>
    <row r="696">
      <c r="A696" s="6" t="inlineStr">
        <is>
          <t>Milho</t>
        </is>
      </c>
      <c r="B696" s="6" t="inlineStr">
        <is>
          <t>Belém - PA</t>
        </is>
      </c>
      <c r="C696" s="6" t="n">
        <v>-1.4554</v>
      </c>
      <c r="D696" s="6" t="n">
        <v>-48.4898</v>
      </c>
      <c r="E696" s="6" t="inlineStr">
        <is>
          <t>2023-11</t>
        </is>
      </c>
      <c r="F696" s="6" t="n">
        <v>118451.0043534545</v>
      </c>
      <c r="G696" s="6" t="inlineStr">
        <is>
          <t>DOMESTICA</t>
        </is>
      </c>
      <c r="H696" s="6" t="inlineStr">
        <is>
          <t>FIXO</t>
        </is>
      </c>
      <c r="I696" s="11">
        <f>IF($H696="AUTO_OFERTA_TOTAL_PRODUTO_PERIODO",SUMIFS(Oferta!$F:$F,Oferta!$A:$A,$A696,Oferta!$E:$E,$E696),$F696)</f>
        <v/>
      </c>
      <c r="J696" s="6" t="inlineStr">
        <is>
          <t>Informado</t>
        </is>
      </c>
      <c r="K696" s="6" t="inlineStr">
        <is>
          <t>Demanda doméstica fixa informada pelo usuário.</t>
        </is>
      </c>
    </row>
    <row r="697">
      <c r="A697" s="6" t="inlineStr">
        <is>
          <t>Milho</t>
        </is>
      </c>
      <c r="B697" s="6" t="inlineStr">
        <is>
          <t>Belém - PA</t>
        </is>
      </c>
      <c r="C697" s="6" t="n">
        <v>-1.4554</v>
      </c>
      <c r="D697" s="6" t="n">
        <v>-48.4898</v>
      </c>
      <c r="E697" s="6" t="inlineStr">
        <is>
          <t>2023-12</t>
        </is>
      </c>
      <c r="F697" s="6" t="n">
        <v>118451.0043534545</v>
      </c>
      <c r="G697" s="6" t="inlineStr">
        <is>
          <t>DOMESTICA</t>
        </is>
      </c>
      <c r="H697" s="6" t="inlineStr">
        <is>
          <t>FIXO</t>
        </is>
      </c>
      <c r="I697" s="11">
        <f>IF($H697="AUTO_OFERTA_TOTAL_PRODUTO_PERIODO",SUMIFS(Oferta!$F:$F,Oferta!$A:$A,$A697,Oferta!$E:$E,$E697),$F697)</f>
        <v/>
      </c>
      <c r="J697" s="6" t="inlineStr">
        <is>
          <t>Informado</t>
        </is>
      </c>
      <c r="K697" s="6" t="inlineStr">
        <is>
          <t>Demanda doméstica fixa informada pelo usuário.</t>
        </is>
      </c>
    </row>
    <row r="698">
      <c r="A698" s="6" t="inlineStr">
        <is>
          <t>Milho</t>
        </is>
      </c>
      <c r="B698" s="6" t="inlineStr">
        <is>
          <t>Porto Velho - RO</t>
        </is>
      </c>
      <c r="C698" s="6" t="n">
        <v>-8.760770000000001</v>
      </c>
      <c r="D698" s="6" t="n">
        <v>-63.8999</v>
      </c>
      <c r="E698" s="6" t="inlineStr">
        <is>
          <t>2023-01</t>
        </is>
      </c>
      <c r="F698" s="6" t="n">
        <v>34861.5131441706</v>
      </c>
      <c r="G698" s="6" t="inlineStr">
        <is>
          <t>DOMESTICA</t>
        </is>
      </c>
      <c r="H698" s="6" t="inlineStr">
        <is>
          <t>FIXO</t>
        </is>
      </c>
      <c r="I698" s="11">
        <f>IF($H698="AUTO_OFERTA_TOTAL_PRODUTO_PERIODO",SUMIFS(Oferta!$F:$F,Oferta!$A:$A,$A698,Oferta!$E:$E,$E698),$F698)</f>
        <v/>
      </c>
      <c r="J698" s="6" t="inlineStr">
        <is>
          <t>Informado</t>
        </is>
      </c>
      <c r="K698" s="6" t="inlineStr">
        <is>
          <t>Demanda doméstica fixa informada pelo usuário.</t>
        </is>
      </c>
    </row>
    <row r="699">
      <c r="A699" s="6" t="inlineStr">
        <is>
          <t>Milho</t>
        </is>
      </c>
      <c r="B699" s="6" t="inlineStr">
        <is>
          <t>Porto Velho - RO</t>
        </is>
      </c>
      <c r="C699" s="6" t="n">
        <v>-8.760770000000001</v>
      </c>
      <c r="D699" s="6" t="n">
        <v>-63.8999</v>
      </c>
      <c r="E699" s="6" t="inlineStr">
        <is>
          <t>2023-02</t>
        </is>
      </c>
      <c r="F699" s="6" t="n">
        <v>38483.4885357727</v>
      </c>
      <c r="G699" s="6" t="inlineStr">
        <is>
          <t>DOMESTICA</t>
        </is>
      </c>
      <c r="H699" s="6" t="inlineStr">
        <is>
          <t>FIXO</t>
        </is>
      </c>
      <c r="I699" s="11">
        <f>IF($H699="AUTO_OFERTA_TOTAL_PRODUTO_PERIODO",SUMIFS(Oferta!$F:$F,Oferta!$A:$A,$A699,Oferta!$E:$E,$E699),$F699)</f>
        <v/>
      </c>
      <c r="J699" s="6" t="inlineStr">
        <is>
          <t>Informado</t>
        </is>
      </c>
      <c r="K699" s="6" t="inlineStr">
        <is>
          <t>Demanda doméstica fixa informada pelo usuário.</t>
        </is>
      </c>
    </row>
    <row r="700">
      <c r="A700" s="6" t="inlineStr">
        <is>
          <t>Milho</t>
        </is>
      </c>
      <c r="B700" s="6" t="inlineStr">
        <is>
          <t>Porto Velho - RO</t>
        </is>
      </c>
      <c r="C700" s="6" t="n">
        <v>-8.760770000000001</v>
      </c>
      <c r="D700" s="6" t="n">
        <v>-63.8999</v>
      </c>
      <c r="E700" s="6" t="inlineStr">
        <is>
          <t>2023-03</t>
        </is>
      </c>
      <c r="F700" s="6" t="n">
        <v>60215.3408853855</v>
      </c>
      <c r="G700" s="6" t="inlineStr">
        <is>
          <t>DOMESTICA</t>
        </is>
      </c>
      <c r="H700" s="6" t="inlineStr">
        <is>
          <t>FIXO</t>
        </is>
      </c>
      <c r="I700" s="11">
        <f>IF($H700="AUTO_OFERTA_TOTAL_PRODUTO_PERIODO",SUMIFS(Oferta!$F:$F,Oferta!$A:$A,$A700,Oferta!$E:$E,$E700),$F700)</f>
        <v/>
      </c>
      <c r="J700" s="6" t="inlineStr">
        <is>
          <t>Informado</t>
        </is>
      </c>
      <c r="K700" s="6" t="inlineStr">
        <is>
          <t>Demanda doméstica fixa informada pelo usuário.</t>
        </is>
      </c>
    </row>
    <row r="701">
      <c r="A701" s="6" t="inlineStr">
        <is>
          <t>Milho</t>
        </is>
      </c>
      <c r="B701" s="6" t="inlineStr">
        <is>
          <t>Porto Velho - RO</t>
        </is>
      </c>
      <c r="C701" s="6" t="n">
        <v>-8.760770000000001</v>
      </c>
      <c r="D701" s="6" t="n">
        <v>-63.8999</v>
      </c>
      <c r="E701" s="6" t="inlineStr">
        <is>
          <t>2023-04</t>
        </is>
      </c>
      <c r="F701" s="6" t="n">
        <v>60215.3408853855</v>
      </c>
      <c r="G701" s="6" t="inlineStr">
        <is>
          <t>DOMESTICA</t>
        </is>
      </c>
      <c r="H701" s="6" t="inlineStr">
        <is>
          <t>FIXO</t>
        </is>
      </c>
      <c r="I701" s="11">
        <f>IF($H701="AUTO_OFERTA_TOTAL_PRODUTO_PERIODO",SUMIFS(Oferta!$F:$F,Oferta!$A:$A,$A701,Oferta!$E:$E,$E701),$F701)</f>
        <v/>
      </c>
      <c r="J701" s="6" t="inlineStr">
        <is>
          <t>Informado</t>
        </is>
      </c>
      <c r="K701" s="6" t="inlineStr">
        <is>
          <t>Demanda doméstica fixa informada pelo usuário.</t>
        </is>
      </c>
    </row>
    <row r="702">
      <c r="A702" s="6" t="inlineStr">
        <is>
          <t>Milho</t>
        </is>
      </c>
      <c r="B702" s="6" t="inlineStr">
        <is>
          <t>Porto Velho - RO</t>
        </is>
      </c>
      <c r="C702" s="6" t="n">
        <v>-8.760770000000001</v>
      </c>
      <c r="D702" s="6" t="n">
        <v>-63.8999</v>
      </c>
      <c r="E702" s="6" t="inlineStr">
        <is>
          <t>2023-05</t>
        </is>
      </c>
      <c r="F702" s="6" t="n">
        <v>60215.3408853855</v>
      </c>
      <c r="G702" s="6" t="inlineStr">
        <is>
          <t>DOMESTICA</t>
        </is>
      </c>
      <c r="H702" s="6" t="inlineStr">
        <is>
          <t>FIXO</t>
        </is>
      </c>
      <c r="I702" s="11">
        <f>IF($H702="AUTO_OFERTA_TOTAL_PRODUTO_PERIODO",SUMIFS(Oferta!$F:$F,Oferta!$A:$A,$A702,Oferta!$E:$E,$E702),$F702)</f>
        <v/>
      </c>
      <c r="J702" s="6" t="inlineStr">
        <is>
          <t>Informado</t>
        </is>
      </c>
      <c r="K702" s="6" t="inlineStr">
        <is>
          <t>Demanda doméstica fixa informada pelo usuário.</t>
        </is>
      </c>
    </row>
    <row r="703">
      <c r="A703" s="6" t="inlineStr">
        <is>
          <t>Milho</t>
        </is>
      </c>
      <c r="B703" s="6" t="inlineStr">
        <is>
          <t>Porto Velho - RO</t>
        </is>
      </c>
      <c r="C703" s="6" t="n">
        <v>-8.760770000000001</v>
      </c>
      <c r="D703" s="6" t="n">
        <v>-63.8999</v>
      </c>
      <c r="E703" s="6" t="inlineStr">
        <is>
          <t>2023-06</t>
        </is>
      </c>
      <c r="F703" s="6" t="n">
        <v>42105.4639273748</v>
      </c>
      <c r="G703" s="6" t="inlineStr">
        <is>
          <t>DOMESTICA</t>
        </is>
      </c>
      <c r="H703" s="6" t="inlineStr">
        <is>
          <t>FIXO</t>
        </is>
      </c>
      <c r="I703" s="11">
        <f>IF($H703="AUTO_OFERTA_TOTAL_PRODUTO_PERIODO",SUMIFS(Oferta!$F:$F,Oferta!$A:$A,$A703,Oferta!$E:$E,$E703),$F703)</f>
        <v/>
      </c>
      <c r="J703" s="6" t="inlineStr">
        <is>
          <t>Informado</t>
        </is>
      </c>
      <c r="K703" s="6" t="inlineStr">
        <is>
          <t>Demanda doméstica fixa informada pelo usuário.</t>
        </is>
      </c>
    </row>
    <row r="704">
      <c r="A704" s="6" t="inlineStr">
        <is>
          <t>Milho</t>
        </is>
      </c>
      <c r="B704" s="6" t="inlineStr">
        <is>
          <t>Porto Velho - RO</t>
        </is>
      </c>
      <c r="C704" s="6" t="n">
        <v>-8.760770000000001</v>
      </c>
      <c r="D704" s="6" t="n">
        <v>-63.8999</v>
      </c>
      <c r="E704" s="6" t="inlineStr">
        <is>
          <t>2023-07</t>
        </is>
      </c>
      <c r="F704" s="6" t="n">
        <v>42105.4639273748</v>
      </c>
      <c r="G704" s="6" t="inlineStr">
        <is>
          <t>DOMESTICA</t>
        </is>
      </c>
      <c r="H704" s="6" t="inlineStr">
        <is>
          <t>FIXO</t>
        </is>
      </c>
      <c r="I704" s="11">
        <f>IF($H704="AUTO_OFERTA_TOTAL_PRODUTO_PERIODO",SUMIFS(Oferta!$F:$F,Oferta!$A:$A,$A704,Oferta!$E:$E,$E704),$F704)</f>
        <v/>
      </c>
      <c r="J704" s="6" t="inlineStr">
        <is>
          <t>Informado</t>
        </is>
      </c>
      <c r="K704" s="6" t="inlineStr">
        <is>
          <t>Demanda doméstica fixa informada pelo usuário.</t>
        </is>
      </c>
    </row>
    <row r="705">
      <c r="A705" s="6" t="inlineStr">
        <is>
          <t>Milho</t>
        </is>
      </c>
      <c r="B705" s="6" t="inlineStr">
        <is>
          <t>Porto Velho - RO</t>
        </is>
      </c>
      <c r="C705" s="6" t="n">
        <v>-8.760770000000001</v>
      </c>
      <c r="D705" s="6" t="n">
        <v>-63.8999</v>
      </c>
      <c r="E705" s="6" t="inlineStr">
        <is>
          <t>2023-08</t>
        </is>
      </c>
      <c r="F705" s="6" t="n">
        <v>49349.4147105791</v>
      </c>
      <c r="G705" s="6" t="inlineStr">
        <is>
          <t>DOMESTICA</t>
        </is>
      </c>
      <c r="H705" s="6" t="inlineStr">
        <is>
          <t>FIXO</t>
        </is>
      </c>
      <c r="I705" s="11">
        <f>IF($H705="AUTO_OFERTA_TOTAL_PRODUTO_PERIODO",SUMIFS(Oferta!$F:$F,Oferta!$A:$A,$A705,Oferta!$E:$E,$E705),$F705)</f>
        <v/>
      </c>
      <c r="J705" s="6" t="inlineStr">
        <is>
          <t>Informado</t>
        </is>
      </c>
      <c r="K705" s="6" t="inlineStr">
        <is>
          <t>Demanda doméstica fixa informada pelo usuário.</t>
        </is>
      </c>
    </row>
    <row r="706">
      <c r="A706" s="6" t="inlineStr">
        <is>
          <t>Milho</t>
        </is>
      </c>
      <c r="B706" s="6" t="inlineStr">
        <is>
          <t>Porto Velho - RO</t>
        </is>
      </c>
      <c r="C706" s="6" t="n">
        <v>-8.760770000000001</v>
      </c>
      <c r="D706" s="6" t="n">
        <v>-63.8999</v>
      </c>
      <c r="E706" s="6" t="inlineStr">
        <is>
          <t>2023-09</t>
        </is>
      </c>
      <c r="F706" s="6" t="n">
        <v>60215.3408853855</v>
      </c>
      <c r="G706" s="6" t="inlineStr">
        <is>
          <t>DOMESTICA</t>
        </is>
      </c>
      <c r="H706" s="6" t="inlineStr">
        <is>
          <t>FIXO</t>
        </is>
      </c>
      <c r="I706" s="11">
        <f>IF($H706="AUTO_OFERTA_TOTAL_PRODUTO_PERIODO",SUMIFS(Oferta!$F:$F,Oferta!$A:$A,$A706,Oferta!$E:$E,$E706),$F706)</f>
        <v/>
      </c>
      <c r="J706" s="6" t="inlineStr">
        <is>
          <t>Informado</t>
        </is>
      </c>
      <c r="K706" s="6" t="inlineStr">
        <is>
          <t>Demanda doméstica fixa informada pelo usuário.</t>
        </is>
      </c>
    </row>
    <row r="707">
      <c r="A707" s="6" t="inlineStr">
        <is>
          <t>Milho</t>
        </is>
      </c>
      <c r="B707" s="6" t="inlineStr">
        <is>
          <t>Porto Velho - RO</t>
        </is>
      </c>
      <c r="C707" s="6" t="n">
        <v>-8.760770000000001</v>
      </c>
      <c r="D707" s="6" t="n">
        <v>-63.8999</v>
      </c>
      <c r="E707" s="6" t="inlineStr">
        <is>
          <t>2023-10</t>
        </is>
      </c>
      <c r="F707" s="6" t="n">
        <v>60215.3408853855</v>
      </c>
      <c r="G707" s="6" t="inlineStr">
        <is>
          <t>DOMESTICA</t>
        </is>
      </c>
      <c r="H707" s="6" t="inlineStr">
        <is>
          <t>FIXO</t>
        </is>
      </c>
      <c r="I707" s="11">
        <f>IF($H707="AUTO_OFERTA_TOTAL_PRODUTO_PERIODO",SUMIFS(Oferta!$F:$F,Oferta!$A:$A,$A707,Oferta!$E:$E,$E707),$F707)</f>
        <v/>
      </c>
      <c r="J707" s="6" t="inlineStr">
        <is>
          <t>Informado</t>
        </is>
      </c>
      <c r="K707" s="6" t="inlineStr">
        <is>
          <t>Demanda doméstica fixa informada pelo usuário.</t>
        </is>
      </c>
    </row>
    <row r="708">
      <c r="A708" s="6" t="inlineStr">
        <is>
          <t>Milho</t>
        </is>
      </c>
      <c r="B708" s="6" t="inlineStr">
        <is>
          <t>Porto Velho - RO</t>
        </is>
      </c>
      <c r="C708" s="6" t="n">
        <v>-8.760770000000001</v>
      </c>
      <c r="D708" s="6" t="n">
        <v>-63.8999</v>
      </c>
      <c r="E708" s="6" t="inlineStr">
        <is>
          <t>2023-11</t>
        </is>
      </c>
      <c r="F708" s="6" t="n">
        <v>49349.4147105791</v>
      </c>
      <c r="G708" s="6" t="inlineStr">
        <is>
          <t>DOMESTICA</t>
        </is>
      </c>
      <c r="H708" s="6" t="inlineStr">
        <is>
          <t>FIXO</t>
        </is>
      </c>
      <c r="I708" s="11">
        <f>IF($H708="AUTO_OFERTA_TOTAL_PRODUTO_PERIODO",SUMIFS(Oferta!$F:$F,Oferta!$A:$A,$A708,Oferta!$E:$E,$E708),$F708)</f>
        <v/>
      </c>
      <c r="J708" s="6" t="inlineStr">
        <is>
          <t>Informado</t>
        </is>
      </c>
      <c r="K708" s="6" t="inlineStr">
        <is>
          <t>Demanda doméstica fixa informada pelo usuário.</t>
        </is>
      </c>
    </row>
    <row r="709">
      <c r="A709" s="6" t="inlineStr">
        <is>
          <t>Milho</t>
        </is>
      </c>
      <c r="B709" s="6" t="inlineStr">
        <is>
          <t>Porto Velho - RO</t>
        </is>
      </c>
      <c r="C709" s="6" t="n">
        <v>-8.760770000000001</v>
      </c>
      <c r="D709" s="6" t="n">
        <v>-63.8999</v>
      </c>
      <c r="E709" s="6" t="inlineStr">
        <is>
          <t>2023-12</t>
        </is>
      </c>
      <c r="F709" s="6" t="n">
        <v>34861.5131441705</v>
      </c>
      <c r="G709" s="6" t="inlineStr">
        <is>
          <t>DOMESTICA</t>
        </is>
      </c>
      <c r="H709" s="6" t="inlineStr">
        <is>
          <t>FIXO</t>
        </is>
      </c>
      <c r="I709" s="11">
        <f>IF($H709="AUTO_OFERTA_TOTAL_PRODUTO_PERIODO",SUMIFS(Oferta!$F:$F,Oferta!$A:$A,$A709,Oferta!$E:$E,$E709),$F709)</f>
        <v/>
      </c>
      <c r="J709" s="6" t="inlineStr">
        <is>
          <t>Informado</t>
        </is>
      </c>
      <c r="K709" s="6" t="inlineStr">
        <is>
          <t>Demanda doméstica fixa informada pelo usuário.</t>
        </is>
      </c>
    </row>
    <row r="710">
      <c r="A710" s="6" t="inlineStr">
        <is>
          <t>Milho</t>
        </is>
      </c>
      <c r="B710" s="6" t="inlineStr">
        <is>
          <t>Boa Vista - RR</t>
        </is>
      </c>
      <c r="C710" s="6" t="n">
        <v>2.82384</v>
      </c>
      <c r="D710" s="6" t="n">
        <v>-60.6753</v>
      </c>
      <c r="E710" s="6" t="inlineStr">
        <is>
          <t>2023-01</t>
        </is>
      </c>
      <c r="F710" s="6" t="n">
        <v>8076.1070984348</v>
      </c>
      <c r="G710" s="6" t="inlineStr">
        <is>
          <t>DOMESTICA</t>
        </is>
      </c>
      <c r="H710" s="6" t="inlineStr">
        <is>
          <t>FIXO</t>
        </is>
      </c>
      <c r="I710" s="11">
        <f>IF($H710="AUTO_OFERTA_TOTAL_PRODUTO_PERIODO",SUMIFS(Oferta!$F:$F,Oferta!$A:$A,$A710,Oferta!$E:$E,$E710),$F710)</f>
        <v/>
      </c>
      <c r="J710" s="6" t="inlineStr">
        <is>
          <t>Informado</t>
        </is>
      </c>
      <c r="K710" s="6" t="inlineStr">
        <is>
          <t>Demanda doméstica fixa informada pelo usuário.</t>
        </is>
      </c>
    </row>
    <row r="711">
      <c r="A711" s="6" t="inlineStr">
        <is>
          <t>Milho</t>
        </is>
      </c>
      <c r="B711" s="6" t="inlineStr">
        <is>
          <t>Boa Vista - RR</t>
        </is>
      </c>
      <c r="C711" s="6" t="n">
        <v>2.82384</v>
      </c>
      <c r="D711" s="6" t="n">
        <v>-60.6753</v>
      </c>
      <c r="E711" s="6" t="inlineStr">
        <is>
          <t>2023-02</t>
        </is>
      </c>
      <c r="F711" s="6" t="n">
        <v>5161.4218298268</v>
      </c>
      <c r="G711" s="6" t="inlineStr">
        <is>
          <t>DOMESTICA</t>
        </is>
      </c>
      <c r="H711" s="6" t="inlineStr">
        <is>
          <t>FIXO</t>
        </is>
      </c>
      <c r="I711" s="11">
        <f>IF($H711="AUTO_OFERTA_TOTAL_PRODUTO_PERIODO",SUMIFS(Oferta!$F:$F,Oferta!$A:$A,$A711,Oferta!$E:$E,$E711),$F711)</f>
        <v/>
      </c>
      <c r="J711" s="6" t="inlineStr">
        <is>
          <t>Informado</t>
        </is>
      </c>
      <c r="K711" s="6" t="inlineStr">
        <is>
          <t>Demanda doméstica fixa informada pelo usuário.</t>
        </is>
      </c>
    </row>
    <row r="712">
      <c r="A712" s="6" t="inlineStr">
        <is>
          <t>Milho</t>
        </is>
      </c>
      <c r="B712" s="6" t="inlineStr">
        <is>
          <t>Boa Vista - RR</t>
        </is>
      </c>
      <c r="C712" s="6" t="n">
        <v>2.82384</v>
      </c>
      <c r="D712" s="6" t="n">
        <v>-60.6753</v>
      </c>
      <c r="E712" s="6" t="inlineStr">
        <is>
          <t>2023-03</t>
        </is>
      </c>
      <c r="F712" s="6" t="n">
        <v>4189.8600736241</v>
      </c>
      <c r="G712" s="6" t="inlineStr">
        <is>
          <t>DOMESTICA</t>
        </is>
      </c>
      <c r="H712" s="6" t="inlineStr">
        <is>
          <t>FIXO</t>
        </is>
      </c>
      <c r="I712" s="11">
        <f>IF($H712="AUTO_OFERTA_TOTAL_PRODUTO_PERIODO",SUMIFS(Oferta!$F:$F,Oferta!$A:$A,$A712,Oferta!$E:$E,$E712),$F712)</f>
        <v/>
      </c>
      <c r="J712" s="6" t="inlineStr">
        <is>
          <t>Informado</t>
        </is>
      </c>
      <c r="K712" s="6" t="inlineStr">
        <is>
          <t>Demanda doméstica fixa informada pelo usuário.</t>
        </is>
      </c>
    </row>
    <row r="713">
      <c r="A713" s="6" t="inlineStr">
        <is>
          <t>Milho</t>
        </is>
      </c>
      <c r="B713" s="6" t="inlineStr">
        <is>
          <t>Boa Vista - RR</t>
        </is>
      </c>
      <c r="C713" s="6" t="n">
        <v>2.82384</v>
      </c>
      <c r="D713" s="6" t="n">
        <v>-60.6753</v>
      </c>
      <c r="E713" s="6" t="inlineStr">
        <is>
          <t>2023-04</t>
        </is>
      </c>
      <c r="F713" s="6" t="n">
        <v>3218.2983174214</v>
      </c>
      <c r="G713" s="6" t="inlineStr">
        <is>
          <t>DOMESTICA</t>
        </is>
      </c>
      <c r="H713" s="6" t="inlineStr">
        <is>
          <t>FIXO</t>
        </is>
      </c>
      <c r="I713" s="11">
        <f>IF($H713="AUTO_OFERTA_TOTAL_PRODUTO_PERIODO",SUMIFS(Oferta!$F:$F,Oferta!$A:$A,$A713,Oferta!$E:$E,$E713),$F713)</f>
        <v/>
      </c>
      <c r="J713" s="6" t="inlineStr">
        <is>
          <t>Informado</t>
        </is>
      </c>
      <c r="K713" s="6" t="inlineStr">
        <is>
          <t>Demanda doméstica fixa informada pelo usuário.</t>
        </is>
      </c>
    </row>
    <row r="714">
      <c r="A714" s="6" t="inlineStr">
        <is>
          <t>Milho</t>
        </is>
      </c>
      <c r="B714" s="6" t="inlineStr">
        <is>
          <t>Boa Vista - RR</t>
        </is>
      </c>
      <c r="C714" s="6" t="n">
        <v>2.82384</v>
      </c>
      <c r="D714" s="6" t="n">
        <v>-60.6753</v>
      </c>
      <c r="E714" s="6" t="inlineStr">
        <is>
          <t>2023-05</t>
        </is>
      </c>
      <c r="F714" s="6" t="n">
        <v>3218.2983174214</v>
      </c>
      <c r="G714" s="6" t="inlineStr">
        <is>
          <t>DOMESTICA</t>
        </is>
      </c>
      <c r="H714" s="6" t="inlineStr">
        <is>
          <t>FIXO</t>
        </is>
      </c>
      <c r="I714" s="11">
        <f>IF($H714="AUTO_OFERTA_TOTAL_PRODUTO_PERIODO",SUMIFS(Oferta!$F:$F,Oferta!$A:$A,$A714,Oferta!$E:$E,$E714),$F714)</f>
        <v/>
      </c>
      <c r="J714" s="6" t="inlineStr">
        <is>
          <t>Informado</t>
        </is>
      </c>
      <c r="K714" s="6" t="inlineStr">
        <is>
          <t>Demanda doméstica fixa informada pelo usuário.</t>
        </is>
      </c>
    </row>
    <row r="715">
      <c r="A715" s="6" t="inlineStr">
        <is>
          <t>Milho</t>
        </is>
      </c>
      <c r="B715" s="6" t="inlineStr">
        <is>
          <t>Boa Vista - RR</t>
        </is>
      </c>
      <c r="C715" s="6" t="n">
        <v>2.82384</v>
      </c>
      <c r="D715" s="6" t="n">
        <v>-60.6753</v>
      </c>
      <c r="E715" s="6" t="inlineStr">
        <is>
          <t>2023-06</t>
        </is>
      </c>
      <c r="F715" s="6" t="n">
        <v>3218.2983174214</v>
      </c>
      <c r="G715" s="6" t="inlineStr">
        <is>
          <t>DOMESTICA</t>
        </is>
      </c>
      <c r="H715" s="6" t="inlineStr">
        <is>
          <t>FIXO</t>
        </is>
      </c>
      <c r="I715" s="11">
        <f>IF($H715="AUTO_OFERTA_TOTAL_PRODUTO_PERIODO",SUMIFS(Oferta!$F:$F,Oferta!$A:$A,$A715,Oferta!$E:$E,$E715),$F715)</f>
        <v/>
      </c>
      <c r="J715" s="6" t="inlineStr">
        <is>
          <t>Informado</t>
        </is>
      </c>
      <c r="K715" s="6" t="inlineStr">
        <is>
          <t>Demanda doméstica fixa informada pelo usuário.</t>
        </is>
      </c>
    </row>
    <row r="716">
      <c r="A716" s="6" t="inlineStr">
        <is>
          <t>Milho</t>
        </is>
      </c>
      <c r="B716" s="6" t="inlineStr">
        <is>
          <t>Boa Vista - RR</t>
        </is>
      </c>
      <c r="C716" s="6" t="n">
        <v>2.82384</v>
      </c>
      <c r="D716" s="6" t="n">
        <v>-60.6753</v>
      </c>
      <c r="E716" s="6" t="inlineStr">
        <is>
          <t>2023-07</t>
        </is>
      </c>
      <c r="F716" s="6" t="n">
        <v>3218.2983174214</v>
      </c>
      <c r="G716" s="6" t="inlineStr">
        <is>
          <t>DOMESTICA</t>
        </is>
      </c>
      <c r="H716" s="6" t="inlineStr">
        <is>
          <t>FIXO</t>
        </is>
      </c>
      <c r="I716" s="11">
        <f>IF($H716="AUTO_OFERTA_TOTAL_PRODUTO_PERIODO",SUMIFS(Oferta!$F:$F,Oferta!$A:$A,$A716,Oferta!$E:$E,$E716),$F716)</f>
        <v/>
      </c>
      <c r="J716" s="6" t="inlineStr">
        <is>
          <t>Informado</t>
        </is>
      </c>
      <c r="K716" s="6" t="inlineStr">
        <is>
          <t>Demanda doméstica fixa informada pelo usuário.</t>
        </is>
      </c>
    </row>
    <row r="717">
      <c r="A717" s="6" t="inlineStr">
        <is>
          <t>Milho</t>
        </is>
      </c>
      <c r="B717" s="6" t="inlineStr">
        <is>
          <t>Boa Vista - RR</t>
        </is>
      </c>
      <c r="C717" s="6" t="n">
        <v>2.82384</v>
      </c>
      <c r="D717" s="6" t="n">
        <v>-60.6753</v>
      </c>
      <c r="E717" s="6" t="inlineStr">
        <is>
          <t>2023-08</t>
        </is>
      </c>
      <c r="F717" s="6" t="n">
        <v>3218.2983174214</v>
      </c>
      <c r="G717" s="6" t="inlineStr">
        <is>
          <t>DOMESTICA</t>
        </is>
      </c>
      <c r="H717" s="6" t="inlineStr">
        <is>
          <t>FIXO</t>
        </is>
      </c>
      <c r="I717" s="11">
        <f>IF($H717="AUTO_OFERTA_TOTAL_PRODUTO_PERIODO",SUMIFS(Oferta!$F:$F,Oferta!$A:$A,$A717,Oferta!$E:$E,$E717),$F717)</f>
        <v/>
      </c>
      <c r="J717" s="6" t="inlineStr">
        <is>
          <t>Informado</t>
        </is>
      </c>
      <c r="K717" s="6" t="inlineStr">
        <is>
          <t>Demanda doméstica fixa informada pelo usuário.</t>
        </is>
      </c>
    </row>
    <row r="718">
      <c r="A718" s="6" t="inlineStr">
        <is>
          <t>Milho</t>
        </is>
      </c>
      <c r="B718" s="6" t="inlineStr">
        <is>
          <t>Boa Vista - RR</t>
        </is>
      </c>
      <c r="C718" s="6" t="n">
        <v>2.82384</v>
      </c>
      <c r="D718" s="6" t="n">
        <v>-60.6753</v>
      </c>
      <c r="E718" s="6" t="inlineStr">
        <is>
          <t>2023-09</t>
        </is>
      </c>
      <c r="F718" s="6" t="n">
        <v>4189.8600736241</v>
      </c>
      <c r="G718" s="6" t="inlineStr">
        <is>
          <t>DOMESTICA</t>
        </is>
      </c>
      <c r="H718" s="6" t="inlineStr">
        <is>
          <t>FIXO</t>
        </is>
      </c>
      <c r="I718" s="11">
        <f>IF($H718="AUTO_OFERTA_TOTAL_PRODUTO_PERIODO",SUMIFS(Oferta!$F:$F,Oferta!$A:$A,$A718,Oferta!$E:$E,$E718),$F718)</f>
        <v/>
      </c>
      <c r="J718" s="6" t="inlineStr">
        <is>
          <t>Informado</t>
        </is>
      </c>
      <c r="K718" s="6" t="inlineStr">
        <is>
          <t>Demanda doméstica fixa informada pelo usuário.</t>
        </is>
      </c>
    </row>
    <row r="719">
      <c r="A719" s="6" t="inlineStr">
        <is>
          <t>Milho</t>
        </is>
      </c>
      <c r="B719" s="6" t="inlineStr">
        <is>
          <t>Boa Vista - RR</t>
        </is>
      </c>
      <c r="C719" s="6" t="n">
        <v>2.82384</v>
      </c>
      <c r="D719" s="6" t="n">
        <v>-60.6753</v>
      </c>
      <c r="E719" s="6" t="inlineStr">
        <is>
          <t>2023-10</t>
        </is>
      </c>
      <c r="F719" s="6" t="n">
        <v>5161.4218298268</v>
      </c>
      <c r="G719" s="6" t="inlineStr">
        <is>
          <t>DOMESTICA</t>
        </is>
      </c>
      <c r="H719" s="6" t="inlineStr">
        <is>
          <t>FIXO</t>
        </is>
      </c>
      <c r="I719" s="11">
        <f>IF($H719="AUTO_OFERTA_TOTAL_PRODUTO_PERIODO",SUMIFS(Oferta!$F:$F,Oferta!$A:$A,$A719,Oferta!$E:$E,$E719),$F719)</f>
        <v/>
      </c>
      <c r="J719" s="6" t="inlineStr">
        <is>
          <t>Informado</t>
        </is>
      </c>
      <c r="K719" s="6" t="inlineStr">
        <is>
          <t>Demanda doméstica fixa informada pelo usuário.</t>
        </is>
      </c>
    </row>
    <row r="720">
      <c r="A720" s="6" t="inlineStr">
        <is>
          <t>Milho</t>
        </is>
      </c>
      <c r="B720" s="6" t="inlineStr">
        <is>
          <t>Boa Vista - RR</t>
        </is>
      </c>
      <c r="C720" s="6" t="n">
        <v>2.82384</v>
      </c>
      <c r="D720" s="6" t="n">
        <v>-60.6753</v>
      </c>
      <c r="E720" s="6" t="inlineStr">
        <is>
          <t>2023-11</t>
        </is>
      </c>
      <c r="F720" s="6" t="n">
        <v>8076.1070984348</v>
      </c>
      <c r="G720" s="6" t="inlineStr">
        <is>
          <t>DOMESTICA</t>
        </is>
      </c>
      <c r="H720" s="6" t="inlineStr">
        <is>
          <t>FIXO</t>
        </is>
      </c>
      <c r="I720" s="11">
        <f>IF($H720="AUTO_OFERTA_TOTAL_PRODUTO_PERIODO",SUMIFS(Oferta!$F:$F,Oferta!$A:$A,$A720,Oferta!$E:$E,$E720),$F720)</f>
        <v/>
      </c>
      <c r="J720" s="6" t="inlineStr">
        <is>
          <t>Informado</t>
        </is>
      </c>
      <c r="K720" s="6" t="inlineStr">
        <is>
          <t>Demanda doméstica fixa informada pelo usuário.</t>
        </is>
      </c>
    </row>
    <row r="721">
      <c r="A721" s="6" t="inlineStr">
        <is>
          <t>Milho</t>
        </is>
      </c>
      <c r="B721" s="6" t="inlineStr">
        <is>
          <t>Boa Vista - RR</t>
        </is>
      </c>
      <c r="C721" s="6" t="n">
        <v>2.82384</v>
      </c>
      <c r="D721" s="6" t="n">
        <v>-60.6753</v>
      </c>
      <c r="E721" s="6" t="inlineStr">
        <is>
          <t>2023-12</t>
        </is>
      </c>
      <c r="F721" s="6" t="n">
        <v>8076.1070984348</v>
      </c>
      <c r="G721" s="6" t="inlineStr">
        <is>
          <t>DOMESTICA</t>
        </is>
      </c>
      <c r="H721" s="6" t="inlineStr">
        <is>
          <t>FIXO</t>
        </is>
      </c>
      <c r="I721" s="11">
        <f>IF($H721="AUTO_OFERTA_TOTAL_PRODUTO_PERIODO",SUMIFS(Oferta!$F:$F,Oferta!$A:$A,$A721,Oferta!$E:$E,$E721),$F721)</f>
        <v/>
      </c>
      <c r="J721" s="6" t="inlineStr">
        <is>
          <t>Informado</t>
        </is>
      </c>
      <c r="K721" s="6" t="inlineStr">
        <is>
          <t>Demanda doméstica fixa informada pelo usuário.</t>
        </is>
      </c>
    </row>
    <row r="722">
      <c r="A722" s="6" t="inlineStr">
        <is>
          <t>Milho</t>
        </is>
      </c>
      <c r="B722" s="6" t="inlineStr">
        <is>
          <t>Palmas - TO</t>
        </is>
      </c>
      <c r="C722" s="6" t="n">
        <v>-10.24</v>
      </c>
      <c r="D722" s="6" t="n">
        <v>-48.3558</v>
      </c>
      <c r="E722" s="6" t="inlineStr">
        <is>
          <t>2023-01</t>
        </is>
      </c>
      <c r="F722" s="6" t="n">
        <v>21524.4313024938</v>
      </c>
      <c r="G722" s="6" t="inlineStr">
        <is>
          <t>DOMESTICA</t>
        </is>
      </c>
      <c r="H722" s="6" t="inlineStr">
        <is>
          <t>FIXO</t>
        </is>
      </c>
      <c r="I722" s="11">
        <f>IF($H722="AUTO_OFERTA_TOTAL_PRODUTO_PERIODO",SUMIFS(Oferta!$F:$F,Oferta!$A:$A,$A722,Oferta!$E:$E,$E722),$F722)</f>
        <v/>
      </c>
      <c r="J722" s="6" t="inlineStr">
        <is>
          <t>Informado</t>
        </is>
      </c>
      <c r="K722" s="6" t="inlineStr">
        <is>
          <t>Demanda doméstica fixa informada pelo usuário.</t>
        </is>
      </c>
    </row>
    <row r="723">
      <c r="A723" s="6" t="inlineStr">
        <is>
          <t>Milho</t>
        </is>
      </c>
      <c r="B723" s="6" t="inlineStr">
        <is>
          <t>Palmas - TO</t>
        </is>
      </c>
      <c r="C723" s="6" t="n">
        <v>-10.24</v>
      </c>
      <c r="D723" s="6" t="n">
        <v>-48.3558</v>
      </c>
      <c r="E723" s="6" t="inlineStr">
        <is>
          <t>2023-02</t>
        </is>
      </c>
      <c r="F723" s="6" t="n">
        <v>21524.4313024938</v>
      </c>
      <c r="G723" s="6" t="inlineStr">
        <is>
          <t>DOMESTICA</t>
        </is>
      </c>
      <c r="H723" s="6" t="inlineStr">
        <is>
          <t>FIXO</t>
        </is>
      </c>
      <c r="I723" s="11">
        <f>IF($H723="AUTO_OFERTA_TOTAL_PRODUTO_PERIODO",SUMIFS(Oferta!$F:$F,Oferta!$A:$A,$A723,Oferta!$E:$E,$E723),$F723)</f>
        <v/>
      </c>
      <c r="J723" s="6" t="inlineStr">
        <is>
          <t>Informado</t>
        </is>
      </c>
      <c r="K723" s="6" t="inlineStr">
        <is>
          <t>Demanda doméstica fixa informada pelo usuário.</t>
        </is>
      </c>
    </row>
    <row r="724">
      <c r="A724" s="6" t="inlineStr">
        <is>
          <t>Milho</t>
        </is>
      </c>
      <c r="B724" s="6" t="inlineStr">
        <is>
          <t>Palmas - TO</t>
        </is>
      </c>
      <c r="C724" s="6" t="n">
        <v>-10.24</v>
      </c>
      <c r="D724" s="6" t="n">
        <v>-48.3558</v>
      </c>
      <c r="E724" s="6" t="inlineStr">
        <is>
          <t>2023-03</t>
        </is>
      </c>
      <c r="F724" s="6" t="n">
        <v>24773.4020651343</v>
      </c>
      <c r="G724" s="6" t="inlineStr">
        <is>
          <t>DOMESTICA</t>
        </is>
      </c>
      <c r="H724" s="6" t="inlineStr">
        <is>
          <t>FIXO</t>
        </is>
      </c>
      <c r="I724" s="11">
        <f>IF($H724="AUTO_OFERTA_TOTAL_PRODUTO_PERIODO",SUMIFS(Oferta!$F:$F,Oferta!$A:$A,$A724,Oferta!$E:$E,$E724),$F724)</f>
        <v/>
      </c>
      <c r="J724" s="6" t="inlineStr">
        <is>
          <t>Informado</t>
        </is>
      </c>
      <c r="K724" s="6" t="inlineStr">
        <is>
          <t>Demanda doméstica fixa informada pelo usuário.</t>
        </is>
      </c>
    </row>
    <row r="725">
      <c r="A725" s="6" t="inlineStr">
        <is>
          <t>Milho</t>
        </is>
      </c>
      <c r="B725" s="6" t="inlineStr">
        <is>
          <t>Palmas - TO</t>
        </is>
      </c>
      <c r="C725" s="6" t="n">
        <v>-10.24</v>
      </c>
      <c r="D725" s="6" t="n">
        <v>-48.3558</v>
      </c>
      <c r="E725" s="6" t="inlineStr">
        <is>
          <t>2023-04</t>
        </is>
      </c>
      <c r="F725" s="6" t="n">
        <v>31271.3435904155</v>
      </c>
      <c r="G725" s="6" t="inlineStr">
        <is>
          <t>DOMESTICA</t>
        </is>
      </c>
      <c r="H725" s="6" t="inlineStr">
        <is>
          <t>FIXO</t>
        </is>
      </c>
      <c r="I725" s="11">
        <f>IF($H725="AUTO_OFERTA_TOTAL_PRODUTO_PERIODO",SUMIFS(Oferta!$F:$F,Oferta!$A:$A,$A725,Oferta!$E:$E,$E725),$F725)</f>
        <v/>
      </c>
      <c r="J725" s="6" t="inlineStr">
        <is>
          <t>Informado</t>
        </is>
      </c>
      <c r="K725" s="6" t="inlineStr">
        <is>
          <t>Demanda doméstica fixa informada pelo usuário.</t>
        </is>
      </c>
    </row>
    <row r="726">
      <c r="A726" s="6" t="inlineStr">
        <is>
          <t>Milho</t>
        </is>
      </c>
      <c r="B726" s="6" t="inlineStr">
        <is>
          <t>Palmas - TO</t>
        </is>
      </c>
      <c r="C726" s="6" t="n">
        <v>-10.24</v>
      </c>
      <c r="D726" s="6" t="n">
        <v>-48.3558</v>
      </c>
      <c r="E726" s="6" t="inlineStr">
        <is>
          <t>2023-05</t>
        </is>
      </c>
      <c r="F726" s="6" t="n">
        <v>44267.2266409777</v>
      </c>
      <c r="G726" s="6" t="inlineStr">
        <is>
          <t>DOMESTICA</t>
        </is>
      </c>
      <c r="H726" s="6" t="inlineStr">
        <is>
          <t>FIXO</t>
        </is>
      </c>
      <c r="I726" s="11">
        <f>IF($H726="AUTO_OFERTA_TOTAL_PRODUTO_PERIODO",SUMIFS(Oferta!$F:$F,Oferta!$A:$A,$A726,Oferta!$E:$E,$E726),$F726)</f>
        <v/>
      </c>
      <c r="J726" s="6" t="inlineStr">
        <is>
          <t>Informado</t>
        </is>
      </c>
      <c r="K726" s="6" t="inlineStr">
        <is>
          <t>Demanda doméstica fixa informada pelo usuário.</t>
        </is>
      </c>
    </row>
    <row r="727">
      <c r="A727" s="6" t="inlineStr">
        <is>
          <t>Milho</t>
        </is>
      </c>
      <c r="B727" s="6" t="inlineStr">
        <is>
          <t>Palmas - TO</t>
        </is>
      </c>
      <c r="C727" s="6" t="n">
        <v>-10.24</v>
      </c>
      <c r="D727" s="6" t="n">
        <v>-48.3558</v>
      </c>
      <c r="E727" s="6" t="inlineStr">
        <is>
          <t>2023-06</t>
        </is>
      </c>
      <c r="F727" s="6" t="n">
        <v>60512.0804541806</v>
      </c>
      <c r="G727" s="6" t="inlineStr">
        <is>
          <t>DOMESTICA</t>
        </is>
      </c>
      <c r="H727" s="6" t="inlineStr">
        <is>
          <t>FIXO</t>
        </is>
      </c>
      <c r="I727" s="11">
        <f>IF($H727="AUTO_OFERTA_TOTAL_PRODUTO_PERIODO",SUMIFS(Oferta!$F:$F,Oferta!$A:$A,$A727,Oferta!$E:$E,$E727),$F727)</f>
        <v/>
      </c>
      <c r="J727" s="6" t="inlineStr">
        <is>
          <t>Informado</t>
        </is>
      </c>
      <c r="K727" s="6" t="inlineStr">
        <is>
          <t>Demanda doméstica fixa informada pelo usuário.</t>
        </is>
      </c>
    </row>
    <row r="728">
      <c r="A728" s="6" t="inlineStr">
        <is>
          <t>Milho</t>
        </is>
      </c>
      <c r="B728" s="6" t="inlineStr">
        <is>
          <t>Palmas - TO</t>
        </is>
      </c>
      <c r="C728" s="6" t="n">
        <v>-10.24</v>
      </c>
      <c r="D728" s="6" t="n">
        <v>-48.3558</v>
      </c>
      <c r="E728" s="6" t="inlineStr">
        <is>
          <t>2023-07</t>
        </is>
      </c>
      <c r="F728" s="6" t="n">
        <v>67010.0219794617</v>
      </c>
      <c r="G728" s="6" t="inlineStr">
        <is>
          <t>DOMESTICA</t>
        </is>
      </c>
      <c r="H728" s="6" t="inlineStr">
        <is>
          <t>FIXO</t>
        </is>
      </c>
      <c r="I728" s="11">
        <f>IF($H728="AUTO_OFERTA_TOTAL_PRODUTO_PERIODO",SUMIFS(Oferta!$F:$F,Oferta!$A:$A,$A728,Oferta!$E:$E,$E728),$F728)</f>
        <v/>
      </c>
      <c r="J728" s="6" t="inlineStr">
        <is>
          <t>Informado</t>
        </is>
      </c>
      <c r="K728" s="6" t="inlineStr">
        <is>
          <t>Demanda doméstica fixa informada pelo usuário.</t>
        </is>
      </c>
    </row>
    <row r="729">
      <c r="A729" s="6" t="inlineStr">
        <is>
          <t>Milho</t>
        </is>
      </c>
      <c r="B729" s="6" t="inlineStr">
        <is>
          <t>Palmas - TO</t>
        </is>
      </c>
      <c r="C729" s="6" t="n">
        <v>-10.24</v>
      </c>
      <c r="D729" s="6" t="n">
        <v>-48.3558</v>
      </c>
      <c r="E729" s="6" t="inlineStr">
        <is>
          <t>2023-08</t>
        </is>
      </c>
      <c r="F729" s="6" t="n">
        <v>73507.9635047429</v>
      </c>
      <c r="G729" s="6" t="inlineStr">
        <is>
          <t>DOMESTICA</t>
        </is>
      </c>
      <c r="H729" s="6" t="inlineStr">
        <is>
          <t>FIXO</t>
        </is>
      </c>
      <c r="I729" s="11">
        <f>IF($H729="AUTO_OFERTA_TOTAL_PRODUTO_PERIODO",SUMIFS(Oferta!$F:$F,Oferta!$A:$A,$A729,Oferta!$E:$E,$E729),$F729)</f>
        <v/>
      </c>
      <c r="J729" s="6" t="inlineStr">
        <is>
          <t>Informado</t>
        </is>
      </c>
      <c r="K729" s="6" t="inlineStr">
        <is>
          <t>Demanda doméstica fixa informada pelo usuário.</t>
        </is>
      </c>
    </row>
    <row r="730">
      <c r="A730" s="6" t="inlineStr">
        <is>
          <t>Milho</t>
        </is>
      </c>
      <c r="B730" s="6" t="inlineStr">
        <is>
          <t>Palmas - TO</t>
        </is>
      </c>
      <c r="C730" s="6" t="n">
        <v>-10.24</v>
      </c>
      <c r="D730" s="6" t="n">
        <v>-48.3558</v>
      </c>
      <c r="E730" s="6" t="inlineStr">
        <is>
          <t>2023-09</t>
        </is>
      </c>
      <c r="F730" s="6" t="n">
        <v>60512.0804541806</v>
      </c>
      <c r="G730" s="6" t="inlineStr">
        <is>
          <t>DOMESTICA</t>
        </is>
      </c>
      <c r="H730" s="6" t="inlineStr">
        <is>
          <t>FIXO</t>
        </is>
      </c>
      <c r="I730" s="11">
        <f>IF($H730="AUTO_OFERTA_TOTAL_PRODUTO_PERIODO",SUMIFS(Oferta!$F:$F,Oferta!$A:$A,$A730,Oferta!$E:$E,$E730),$F730)</f>
        <v/>
      </c>
      <c r="J730" s="6" t="inlineStr">
        <is>
          <t>Informado</t>
        </is>
      </c>
      <c r="K730" s="6" t="inlineStr">
        <is>
          <t>Demanda doméstica fixa informada pelo usuário.</t>
        </is>
      </c>
    </row>
    <row r="731">
      <c r="A731" s="6" t="inlineStr">
        <is>
          <t>Milho</t>
        </is>
      </c>
      <c r="B731" s="6" t="inlineStr">
        <is>
          <t>Palmas - TO</t>
        </is>
      </c>
      <c r="C731" s="6" t="n">
        <v>-10.24</v>
      </c>
      <c r="D731" s="6" t="n">
        <v>-48.3558</v>
      </c>
      <c r="E731" s="6" t="inlineStr">
        <is>
          <t>2023-10</t>
        </is>
      </c>
      <c r="F731" s="6" t="n">
        <v>54014.1389288994</v>
      </c>
      <c r="G731" s="6" t="inlineStr">
        <is>
          <t>DOMESTICA</t>
        </is>
      </c>
      <c r="H731" s="6" t="inlineStr">
        <is>
          <t>FIXO</t>
        </is>
      </c>
      <c r="I731" s="11">
        <f>IF($H731="AUTO_OFERTA_TOTAL_PRODUTO_PERIODO",SUMIFS(Oferta!$F:$F,Oferta!$A:$A,$A731,Oferta!$E:$E,$E731),$F731)</f>
        <v/>
      </c>
      <c r="J731" s="6" t="inlineStr">
        <is>
          <t>Informado</t>
        </is>
      </c>
      <c r="K731" s="6" t="inlineStr">
        <is>
          <t>Demanda doméstica fixa informada pelo usuário.</t>
        </is>
      </c>
    </row>
    <row r="732">
      <c r="A732" s="6" t="inlineStr">
        <is>
          <t>Milho</t>
        </is>
      </c>
      <c r="B732" s="6" t="inlineStr">
        <is>
          <t>Palmas - TO</t>
        </is>
      </c>
      <c r="C732" s="6" t="n">
        <v>-10.24</v>
      </c>
      <c r="D732" s="6" t="n">
        <v>-48.3558</v>
      </c>
      <c r="E732" s="6" t="inlineStr">
        <is>
          <t>2023-11</t>
        </is>
      </c>
      <c r="F732" s="6" t="n">
        <v>34520.314353056</v>
      </c>
      <c r="G732" s="6" t="inlineStr">
        <is>
          <t>DOMESTICA</t>
        </is>
      </c>
      <c r="H732" s="6" t="inlineStr">
        <is>
          <t>FIXO</t>
        </is>
      </c>
      <c r="I732" s="11">
        <f>IF($H732="AUTO_OFERTA_TOTAL_PRODUTO_PERIODO",SUMIFS(Oferta!$F:$F,Oferta!$A:$A,$A732,Oferta!$E:$E,$E732),$F732)</f>
        <v/>
      </c>
      <c r="J732" s="6" t="inlineStr">
        <is>
          <t>Informado</t>
        </is>
      </c>
      <c r="K732" s="6" t="inlineStr">
        <is>
          <t>Demanda doméstica fixa informada pelo usuário.</t>
        </is>
      </c>
    </row>
    <row r="733">
      <c r="A733" s="6" t="inlineStr">
        <is>
          <t>Milho</t>
        </is>
      </c>
      <c r="B733" s="6" t="inlineStr">
        <is>
          <t>Palmas - TO</t>
        </is>
      </c>
      <c r="C733" s="6" t="n">
        <v>-10.24</v>
      </c>
      <c r="D733" s="6" t="n">
        <v>-48.3558</v>
      </c>
      <c r="E733" s="6" t="inlineStr">
        <is>
          <t>2023-12</t>
        </is>
      </c>
      <c r="F733" s="6" t="n">
        <v>28022.3728277749</v>
      </c>
      <c r="G733" s="6" t="inlineStr">
        <is>
          <t>DOMESTICA</t>
        </is>
      </c>
      <c r="H733" s="6" t="inlineStr">
        <is>
          <t>FIXO</t>
        </is>
      </c>
      <c r="I733" s="11">
        <f>IF($H733="AUTO_OFERTA_TOTAL_PRODUTO_PERIODO",SUMIFS(Oferta!$F:$F,Oferta!$A:$A,$A733,Oferta!$E:$E,$E733),$F733)</f>
        <v/>
      </c>
      <c r="J733" s="6" t="inlineStr">
        <is>
          <t>Informado</t>
        </is>
      </c>
      <c r="K733" s="6" t="inlineStr">
        <is>
          <t>Demanda doméstica fixa informada pelo usuário.</t>
        </is>
      </c>
    </row>
    <row r="734">
      <c r="A734" s="6" t="inlineStr">
        <is>
          <t>Milho</t>
        </is>
      </c>
      <c r="B734" s="6" t="inlineStr">
        <is>
          <t>Maceió - AL</t>
        </is>
      </c>
      <c r="C734" s="6" t="n">
        <v>-9.665990000000001</v>
      </c>
      <c r="D734" s="6" t="n">
        <v>-35.735</v>
      </c>
      <c r="E734" s="6" t="inlineStr">
        <is>
          <t>2023-01</t>
        </is>
      </c>
      <c r="F734" s="6" t="n">
        <v>78936.5739721556</v>
      </c>
      <c r="G734" s="6" t="inlineStr">
        <is>
          <t>DOMESTICA</t>
        </is>
      </c>
      <c r="H734" s="6" t="inlineStr">
        <is>
          <t>FIXO</t>
        </is>
      </c>
      <c r="I734" s="11">
        <f>IF($H734="AUTO_OFERTA_TOTAL_PRODUTO_PERIODO",SUMIFS(Oferta!$F:$F,Oferta!$A:$A,$A734,Oferta!$E:$E,$E734),$F734)</f>
        <v/>
      </c>
      <c r="J734" s="6" t="inlineStr">
        <is>
          <t>Informado</t>
        </is>
      </c>
      <c r="K734" s="6" t="inlineStr">
        <is>
          <t>Demanda doméstica fixa informada pelo usuário.</t>
        </is>
      </c>
    </row>
    <row r="735">
      <c r="A735" s="6" t="inlineStr">
        <is>
          <t>Milho</t>
        </is>
      </c>
      <c r="B735" s="6" t="inlineStr">
        <is>
          <t>Maceió - AL</t>
        </is>
      </c>
      <c r="C735" s="6" t="n">
        <v>-9.665990000000001</v>
      </c>
      <c r="D735" s="6" t="n">
        <v>-35.735</v>
      </c>
      <c r="E735" s="6" t="inlineStr">
        <is>
          <t>2023-02</t>
        </is>
      </c>
      <c r="F735" s="6" t="n">
        <v>48624.9295668478</v>
      </c>
      <c r="G735" s="6" t="inlineStr">
        <is>
          <t>DOMESTICA</t>
        </is>
      </c>
      <c r="H735" s="6" t="inlineStr">
        <is>
          <t>FIXO</t>
        </is>
      </c>
      <c r="I735" s="11">
        <f>IF($H735="AUTO_OFERTA_TOTAL_PRODUTO_PERIODO",SUMIFS(Oferta!$F:$F,Oferta!$A:$A,$A735,Oferta!$E:$E,$E735),$F735)</f>
        <v/>
      </c>
      <c r="J735" s="6" t="inlineStr">
        <is>
          <t>Informado</t>
        </is>
      </c>
      <c r="K735" s="6" t="inlineStr">
        <is>
          <t>Demanda doméstica fixa informada pelo usuário.</t>
        </is>
      </c>
    </row>
    <row r="736">
      <c r="A736" s="6" t="inlineStr">
        <is>
          <t>Milho</t>
        </is>
      </c>
      <c r="B736" s="6" t="inlineStr">
        <is>
          <t>Maceió - AL</t>
        </is>
      </c>
      <c r="C736" s="6" t="n">
        <v>-9.665990000000001</v>
      </c>
      <c r="D736" s="6" t="n">
        <v>-35.735</v>
      </c>
      <c r="E736" s="6" t="inlineStr">
        <is>
          <t>2023-03</t>
        </is>
      </c>
      <c r="F736" s="6" t="n">
        <v>38521.0480984119</v>
      </c>
      <c r="G736" s="6" t="inlineStr">
        <is>
          <t>DOMESTICA</t>
        </is>
      </c>
      <c r="H736" s="6" t="inlineStr">
        <is>
          <t>FIXO</t>
        </is>
      </c>
      <c r="I736" s="11">
        <f>IF($H736="AUTO_OFERTA_TOTAL_PRODUTO_PERIODO",SUMIFS(Oferta!$F:$F,Oferta!$A:$A,$A736,Oferta!$E:$E,$E736),$F736)</f>
        <v/>
      </c>
      <c r="J736" s="6" t="inlineStr">
        <is>
          <t>Informado</t>
        </is>
      </c>
      <c r="K736" s="6" t="inlineStr">
        <is>
          <t>Demanda doméstica fixa informada pelo usuário.</t>
        </is>
      </c>
    </row>
    <row r="737">
      <c r="A737" s="6" t="inlineStr">
        <is>
          <t>Milho</t>
        </is>
      </c>
      <c r="B737" s="6" t="inlineStr">
        <is>
          <t>Maceió - AL</t>
        </is>
      </c>
      <c r="C737" s="6" t="n">
        <v>-9.665990000000001</v>
      </c>
      <c r="D737" s="6" t="n">
        <v>-35.735</v>
      </c>
      <c r="E737" s="6" t="inlineStr">
        <is>
          <t>2023-04</t>
        </is>
      </c>
      <c r="F737" s="6" t="n">
        <v>33469.107364194</v>
      </c>
      <c r="G737" s="6" t="inlineStr">
        <is>
          <t>DOMESTICA</t>
        </is>
      </c>
      <c r="H737" s="6" t="inlineStr">
        <is>
          <t>FIXO</t>
        </is>
      </c>
      <c r="I737" s="11">
        <f>IF($H737="AUTO_OFERTA_TOTAL_PRODUTO_PERIODO",SUMIFS(Oferta!$F:$F,Oferta!$A:$A,$A737,Oferta!$E:$E,$E737),$F737)</f>
        <v/>
      </c>
      <c r="J737" s="6" t="inlineStr">
        <is>
          <t>Informado</t>
        </is>
      </c>
      <c r="K737" s="6" t="inlineStr">
        <is>
          <t>Demanda doméstica fixa informada pelo usuário.</t>
        </is>
      </c>
    </row>
    <row r="738">
      <c r="A738" s="6" t="inlineStr">
        <is>
          <t>Milho</t>
        </is>
      </c>
      <c r="B738" s="6" t="inlineStr">
        <is>
          <t>Maceió - AL</t>
        </is>
      </c>
      <c r="C738" s="6" t="n">
        <v>-9.665990000000001</v>
      </c>
      <c r="D738" s="6" t="n">
        <v>-35.735</v>
      </c>
      <c r="E738" s="6" t="inlineStr">
        <is>
          <t>2023-05</t>
        </is>
      </c>
      <c r="F738" s="6" t="n">
        <v>33469.107364194</v>
      </c>
      <c r="G738" s="6" t="inlineStr">
        <is>
          <t>DOMESTICA</t>
        </is>
      </c>
      <c r="H738" s="6" t="inlineStr">
        <is>
          <t>FIXO</t>
        </is>
      </c>
      <c r="I738" s="11">
        <f>IF($H738="AUTO_OFERTA_TOTAL_PRODUTO_PERIODO",SUMIFS(Oferta!$F:$F,Oferta!$A:$A,$A738,Oferta!$E:$E,$E738),$F738)</f>
        <v/>
      </c>
      <c r="J738" s="6" t="inlineStr">
        <is>
          <t>Informado</t>
        </is>
      </c>
      <c r="K738" s="6" t="inlineStr">
        <is>
          <t>Demanda doméstica fixa informada pelo usuário.</t>
        </is>
      </c>
    </row>
    <row r="739">
      <c r="A739" s="6" t="inlineStr">
        <is>
          <t>Milho</t>
        </is>
      </c>
      <c r="B739" s="6" t="inlineStr">
        <is>
          <t>Maceió - AL</t>
        </is>
      </c>
      <c r="C739" s="6" t="n">
        <v>-9.665990000000001</v>
      </c>
      <c r="D739" s="6" t="n">
        <v>-35.735</v>
      </c>
      <c r="E739" s="6" t="inlineStr">
        <is>
          <t>2023-06</t>
        </is>
      </c>
      <c r="F739" s="6" t="n">
        <v>33469.107364194</v>
      </c>
      <c r="G739" s="6" t="inlineStr">
        <is>
          <t>DOMESTICA</t>
        </is>
      </c>
      <c r="H739" s="6" t="inlineStr">
        <is>
          <t>FIXO</t>
        </is>
      </c>
      <c r="I739" s="11">
        <f>IF($H739="AUTO_OFERTA_TOTAL_PRODUTO_PERIODO",SUMIFS(Oferta!$F:$F,Oferta!$A:$A,$A739,Oferta!$E:$E,$E739),$F739)</f>
        <v/>
      </c>
      <c r="J739" s="6" t="inlineStr">
        <is>
          <t>Informado</t>
        </is>
      </c>
      <c r="K739" s="6" t="inlineStr">
        <is>
          <t>Demanda doméstica fixa informada pelo usuário.</t>
        </is>
      </c>
    </row>
    <row r="740">
      <c r="A740" s="6" t="inlineStr">
        <is>
          <t>Milho</t>
        </is>
      </c>
      <c r="B740" s="6" t="inlineStr">
        <is>
          <t>Maceió - AL</t>
        </is>
      </c>
      <c r="C740" s="6" t="n">
        <v>-9.665990000000001</v>
      </c>
      <c r="D740" s="6" t="n">
        <v>-35.735</v>
      </c>
      <c r="E740" s="6" t="inlineStr">
        <is>
          <t>2023-07</t>
        </is>
      </c>
      <c r="F740" s="6" t="n">
        <v>33469.107364194</v>
      </c>
      <c r="G740" s="6" t="inlineStr">
        <is>
          <t>DOMESTICA</t>
        </is>
      </c>
      <c r="H740" s="6" t="inlineStr">
        <is>
          <t>FIXO</t>
        </is>
      </c>
      <c r="I740" s="11">
        <f>IF($H740="AUTO_OFERTA_TOTAL_PRODUTO_PERIODO",SUMIFS(Oferta!$F:$F,Oferta!$A:$A,$A740,Oferta!$E:$E,$E740),$F740)</f>
        <v/>
      </c>
      <c r="J740" s="6" t="inlineStr">
        <is>
          <t>Informado</t>
        </is>
      </c>
      <c r="K740" s="6" t="inlineStr">
        <is>
          <t>Demanda doméstica fixa informada pelo usuário.</t>
        </is>
      </c>
    </row>
    <row r="741">
      <c r="A741" s="6" t="inlineStr">
        <is>
          <t>Milho</t>
        </is>
      </c>
      <c r="B741" s="6" t="inlineStr">
        <is>
          <t>Maceió - AL</t>
        </is>
      </c>
      <c r="C741" s="6" t="n">
        <v>-9.665990000000001</v>
      </c>
      <c r="D741" s="6" t="n">
        <v>-35.735</v>
      </c>
      <c r="E741" s="6" t="inlineStr">
        <is>
          <t>2023-08</t>
        </is>
      </c>
      <c r="F741" s="6" t="n">
        <v>33469.107364194</v>
      </c>
      <c r="G741" s="6" t="inlineStr">
        <is>
          <t>DOMESTICA</t>
        </is>
      </c>
      <c r="H741" s="6" t="inlineStr">
        <is>
          <t>FIXO</t>
        </is>
      </c>
      <c r="I741" s="11">
        <f>IF($H741="AUTO_OFERTA_TOTAL_PRODUTO_PERIODO",SUMIFS(Oferta!$F:$F,Oferta!$A:$A,$A741,Oferta!$E:$E,$E741),$F741)</f>
        <v/>
      </c>
      <c r="J741" s="6" t="inlineStr">
        <is>
          <t>Informado</t>
        </is>
      </c>
      <c r="K741" s="6" t="inlineStr">
        <is>
          <t>Demanda doméstica fixa informada pelo usuário.</t>
        </is>
      </c>
    </row>
    <row r="742">
      <c r="A742" s="6" t="inlineStr">
        <is>
          <t>Milho</t>
        </is>
      </c>
      <c r="B742" s="6" t="inlineStr">
        <is>
          <t>Maceió - AL</t>
        </is>
      </c>
      <c r="C742" s="6" t="n">
        <v>-9.665990000000001</v>
      </c>
      <c r="D742" s="6" t="n">
        <v>-35.735</v>
      </c>
      <c r="E742" s="6" t="inlineStr">
        <is>
          <t>2023-09</t>
        </is>
      </c>
      <c r="F742" s="6" t="n">
        <v>43572.9888326299</v>
      </c>
      <c r="G742" s="6" t="inlineStr">
        <is>
          <t>DOMESTICA</t>
        </is>
      </c>
      <c r="H742" s="6" t="inlineStr">
        <is>
          <t>FIXO</t>
        </is>
      </c>
      <c r="I742" s="11">
        <f>IF($H742="AUTO_OFERTA_TOTAL_PRODUTO_PERIODO",SUMIFS(Oferta!$F:$F,Oferta!$A:$A,$A742,Oferta!$E:$E,$E742),$F742)</f>
        <v/>
      </c>
      <c r="J742" s="6" t="inlineStr">
        <is>
          <t>Informado</t>
        </is>
      </c>
      <c r="K742" s="6" t="inlineStr">
        <is>
          <t>Demanda doméstica fixa informada pelo usuário.</t>
        </is>
      </c>
    </row>
    <row r="743">
      <c r="A743" s="6" t="inlineStr">
        <is>
          <t>Milho</t>
        </is>
      </c>
      <c r="B743" s="6" t="inlineStr">
        <is>
          <t>Maceió - AL</t>
        </is>
      </c>
      <c r="C743" s="6" t="n">
        <v>-9.665990000000001</v>
      </c>
      <c r="D743" s="6" t="n">
        <v>-35.735</v>
      </c>
      <c r="E743" s="6" t="inlineStr">
        <is>
          <t>2023-10</t>
        </is>
      </c>
      <c r="F743" s="6" t="n">
        <v>53676.8703010658</v>
      </c>
      <c r="G743" s="6" t="inlineStr">
        <is>
          <t>DOMESTICA</t>
        </is>
      </c>
      <c r="H743" s="6" t="inlineStr">
        <is>
          <t>FIXO</t>
        </is>
      </c>
      <c r="I743" s="11">
        <f>IF($H743="AUTO_OFERTA_TOTAL_PRODUTO_PERIODO",SUMIFS(Oferta!$F:$F,Oferta!$A:$A,$A743,Oferta!$E:$E,$E743),$F743)</f>
        <v/>
      </c>
      <c r="J743" s="6" t="inlineStr">
        <is>
          <t>Informado</t>
        </is>
      </c>
      <c r="K743" s="6" t="inlineStr">
        <is>
          <t>Demanda doméstica fixa informada pelo usuário.</t>
        </is>
      </c>
    </row>
    <row r="744">
      <c r="A744" s="6" t="inlineStr">
        <is>
          <t>Milho</t>
        </is>
      </c>
      <c r="B744" s="6" t="inlineStr">
        <is>
          <t>Maceió - AL</t>
        </is>
      </c>
      <c r="C744" s="6" t="n">
        <v>-9.665990000000001</v>
      </c>
      <c r="D744" s="6" t="n">
        <v>-35.735</v>
      </c>
      <c r="E744" s="6" t="inlineStr">
        <is>
          <t>2023-11</t>
        </is>
      </c>
      <c r="F744" s="6" t="n">
        <v>83988.51470637359</v>
      </c>
      <c r="G744" s="6" t="inlineStr">
        <is>
          <t>DOMESTICA</t>
        </is>
      </c>
      <c r="H744" s="6" t="inlineStr">
        <is>
          <t>FIXO</t>
        </is>
      </c>
      <c r="I744" s="11">
        <f>IF($H744="AUTO_OFERTA_TOTAL_PRODUTO_PERIODO",SUMIFS(Oferta!$F:$F,Oferta!$A:$A,$A744,Oferta!$E:$E,$E744),$F744)</f>
        <v/>
      </c>
      <c r="J744" s="6" t="inlineStr">
        <is>
          <t>Informado</t>
        </is>
      </c>
      <c r="K744" s="6" t="inlineStr">
        <is>
          <t>Demanda doméstica fixa informada pelo usuário.</t>
        </is>
      </c>
    </row>
    <row r="745">
      <c r="A745" s="6" t="inlineStr">
        <is>
          <t>Milho</t>
        </is>
      </c>
      <c r="B745" s="6" t="inlineStr">
        <is>
          <t>Maceió - AL</t>
        </is>
      </c>
      <c r="C745" s="6" t="n">
        <v>-9.665990000000001</v>
      </c>
      <c r="D745" s="6" t="n">
        <v>-35.735</v>
      </c>
      <c r="E745" s="6" t="inlineStr">
        <is>
          <t>2023-12</t>
        </is>
      </c>
      <c r="F745" s="6" t="n">
        <v>83988.51470637359</v>
      </c>
      <c r="G745" s="6" t="inlineStr">
        <is>
          <t>DOMESTICA</t>
        </is>
      </c>
      <c r="H745" s="6" t="inlineStr">
        <is>
          <t>FIXO</t>
        </is>
      </c>
      <c r="I745" s="11">
        <f>IF($H745="AUTO_OFERTA_TOTAL_PRODUTO_PERIODO",SUMIFS(Oferta!$F:$F,Oferta!$A:$A,$A745,Oferta!$E:$E,$E745),$F745)</f>
        <v/>
      </c>
      <c r="J745" s="6" t="inlineStr">
        <is>
          <t>Informado</t>
        </is>
      </c>
      <c r="K745" s="6" t="inlineStr">
        <is>
          <t>Demanda doméstica fixa informada pelo usuário.</t>
        </is>
      </c>
    </row>
    <row r="746">
      <c r="A746" s="6" t="inlineStr">
        <is>
          <t>Milho</t>
        </is>
      </c>
      <c r="B746" s="6" t="inlineStr">
        <is>
          <t>Salvador - BA</t>
        </is>
      </c>
      <c r="C746" s="6" t="n">
        <v>-12.9718</v>
      </c>
      <c r="D746" s="6" t="n">
        <v>-38.5011</v>
      </c>
      <c r="E746" s="6" t="inlineStr">
        <is>
          <t>2023-01</t>
        </is>
      </c>
      <c r="F746" s="6" t="n">
        <v>337595.1763707843</v>
      </c>
      <c r="G746" s="6" t="inlineStr">
        <is>
          <t>DOMESTICA</t>
        </is>
      </c>
      <c r="H746" s="6" t="inlineStr">
        <is>
          <t>FIXO</t>
        </is>
      </c>
      <c r="I746" s="11">
        <f>IF($H746="AUTO_OFERTA_TOTAL_PRODUTO_PERIODO",SUMIFS(Oferta!$F:$F,Oferta!$A:$A,$A746,Oferta!$E:$E,$E746),$F746)</f>
        <v/>
      </c>
      <c r="J746" s="6" t="inlineStr">
        <is>
          <t>Informado</t>
        </is>
      </c>
      <c r="K746" s="6" t="inlineStr">
        <is>
          <t>Demanda doméstica fixa informada pelo usuário.</t>
        </is>
      </c>
    </row>
    <row r="747">
      <c r="A747" s="6" t="inlineStr">
        <is>
          <t>Milho</t>
        </is>
      </c>
      <c r="B747" s="6" t="inlineStr">
        <is>
          <t>Salvador - BA</t>
        </is>
      </c>
      <c r="C747" s="6" t="n">
        <v>-12.9718</v>
      </c>
      <c r="D747" s="6" t="n">
        <v>-38.5011</v>
      </c>
      <c r="E747" s="6" t="inlineStr">
        <is>
          <t>2023-02</t>
        </is>
      </c>
      <c r="F747" s="6" t="n">
        <v>199094.5911930267</v>
      </c>
      <c r="G747" s="6" t="inlineStr">
        <is>
          <t>DOMESTICA</t>
        </is>
      </c>
      <c r="H747" s="6" t="inlineStr">
        <is>
          <t>FIXO</t>
        </is>
      </c>
      <c r="I747" s="11">
        <f>IF($H747="AUTO_OFERTA_TOTAL_PRODUTO_PERIODO",SUMIFS(Oferta!$F:$F,Oferta!$A:$A,$A747,Oferta!$E:$E,$E747),$F747)</f>
        <v/>
      </c>
      <c r="J747" s="6" t="inlineStr">
        <is>
          <t>Informado</t>
        </is>
      </c>
      <c r="K747" s="6" t="inlineStr">
        <is>
          <t>Demanda doméstica fixa informada pelo usuário.</t>
        </is>
      </c>
    </row>
    <row r="748">
      <c r="A748" s="6" t="inlineStr">
        <is>
          <t>Milho</t>
        </is>
      </c>
      <c r="B748" s="6" t="inlineStr">
        <is>
          <t>Salvador - BA</t>
        </is>
      </c>
      <c r="C748" s="6" t="n">
        <v>-12.9718</v>
      </c>
      <c r="D748" s="6" t="n">
        <v>-38.5011</v>
      </c>
      <c r="E748" s="6" t="inlineStr">
        <is>
          <t>2023-03</t>
        </is>
      </c>
      <c r="F748" s="6" t="n">
        <v>176011.160330067</v>
      </c>
      <c r="G748" s="6" t="inlineStr">
        <is>
          <t>DOMESTICA</t>
        </is>
      </c>
      <c r="H748" s="6" t="inlineStr">
        <is>
          <t>FIXO</t>
        </is>
      </c>
      <c r="I748" s="11">
        <f>IF($H748="AUTO_OFERTA_TOTAL_PRODUTO_PERIODO",SUMIFS(Oferta!$F:$F,Oferta!$A:$A,$A748,Oferta!$E:$E,$E748),$F748)</f>
        <v/>
      </c>
      <c r="J748" s="6" t="inlineStr">
        <is>
          <t>Informado</t>
        </is>
      </c>
      <c r="K748" s="6" t="inlineStr">
        <is>
          <t>Demanda doméstica fixa informada pelo usuário.</t>
        </is>
      </c>
    </row>
    <row r="749">
      <c r="A749" s="6" t="inlineStr">
        <is>
          <t>Milho</t>
        </is>
      </c>
      <c r="B749" s="6" t="inlineStr">
        <is>
          <t>Salvador - BA</t>
        </is>
      </c>
      <c r="C749" s="6" t="n">
        <v>-12.9718</v>
      </c>
      <c r="D749" s="6" t="n">
        <v>-38.5011</v>
      </c>
      <c r="E749" s="6" t="inlineStr">
        <is>
          <t>2023-04</t>
        </is>
      </c>
      <c r="F749" s="6" t="n">
        <v>222178.0220559863</v>
      </c>
      <c r="G749" s="6" t="inlineStr">
        <is>
          <t>DOMESTICA</t>
        </is>
      </c>
      <c r="H749" s="6" t="inlineStr">
        <is>
          <t>FIXO</t>
        </is>
      </c>
      <c r="I749" s="11">
        <f>IF($H749="AUTO_OFERTA_TOTAL_PRODUTO_PERIODO",SUMIFS(Oferta!$F:$F,Oferta!$A:$A,$A749,Oferta!$E:$E,$E749),$F749)</f>
        <v/>
      </c>
      <c r="J749" s="6" t="inlineStr">
        <is>
          <t>Informado</t>
        </is>
      </c>
      <c r="K749" s="6" t="inlineStr">
        <is>
          <t>Demanda doméstica fixa informada pelo usuário.</t>
        </is>
      </c>
    </row>
    <row r="750">
      <c r="A750" s="6" t="inlineStr">
        <is>
          <t>Milho</t>
        </is>
      </c>
      <c r="B750" s="6" t="inlineStr">
        <is>
          <t>Salvador - BA</t>
        </is>
      </c>
      <c r="C750" s="6" t="n">
        <v>-12.9718</v>
      </c>
      <c r="D750" s="6" t="n">
        <v>-38.5011</v>
      </c>
      <c r="E750" s="6" t="inlineStr">
        <is>
          <t>2023-05</t>
        </is>
      </c>
      <c r="F750" s="6" t="n">
        <v>314511.7455078248</v>
      </c>
      <c r="G750" s="6" t="inlineStr">
        <is>
          <t>DOMESTICA</t>
        </is>
      </c>
      <c r="H750" s="6" t="inlineStr">
        <is>
          <t>FIXO</t>
        </is>
      </c>
      <c r="I750" s="11">
        <f>IF($H750="AUTO_OFERTA_TOTAL_PRODUTO_PERIODO",SUMIFS(Oferta!$F:$F,Oferta!$A:$A,$A750,Oferta!$E:$E,$E750),$F750)</f>
        <v/>
      </c>
      <c r="J750" s="6" t="inlineStr">
        <is>
          <t>Informado</t>
        </is>
      </c>
      <c r="K750" s="6" t="inlineStr">
        <is>
          <t>Demanda doméstica fixa informada pelo usuário.</t>
        </is>
      </c>
    </row>
    <row r="751">
      <c r="A751" s="6" t="inlineStr">
        <is>
          <t>Milho</t>
        </is>
      </c>
      <c r="B751" s="6" t="inlineStr">
        <is>
          <t>Salvador - BA</t>
        </is>
      </c>
      <c r="C751" s="6" t="n">
        <v>-12.9718</v>
      </c>
      <c r="D751" s="6" t="n">
        <v>-38.5011</v>
      </c>
      <c r="E751" s="6" t="inlineStr">
        <is>
          <t>2023-06</t>
        </is>
      </c>
      <c r="F751" s="6" t="n">
        <v>429928.8998226228</v>
      </c>
      <c r="G751" s="6" t="inlineStr">
        <is>
          <t>DOMESTICA</t>
        </is>
      </c>
      <c r="H751" s="6" t="inlineStr">
        <is>
          <t>FIXO</t>
        </is>
      </c>
      <c r="I751" s="11">
        <f>IF($H751="AUTO_OFERTA_TOTAL_PRODUTO_PERIODO",SUMIFS(Oferta!$F:$F,Oferta!$A:$A,$A751,Oferta!$E:$E,$E751),$F751)</f>
        <v/>
      </c>
      <c r="J751" s="6" t="inlineStr">
        <is>
          <t>Informado</t>
        </is>
      </c>
      <c r="K751" s="6" t="inlineStr">
        <is>
          <t>Demanda doméstica fixa informada pelo usuário.</t>
        </is>
      </c>
    </row>
    <row r="752">
      <c r="A752" s="6" t="inlineStr">
        <is>
          <t>Milho</t>
        </is>
      </c>
      <c r="B752" s="6" t="inlineStr">
        <is>
          <t>Salvador - BA</t>
        </is>
      </c>
      <c r="C752" s="6" t="n">
        <v>-12.9718</v>
      </c>
      <c r="D752" s="6" t="n">
        <v>-38.5011</v>
      </c>
      <c r="E752" s="6" t="inlineStr">
        <is>
          <t>2023-07</t>
        </is>
      </c>
      <c r="F752" s="6" t="n">
        <v>429928.8998226228</v>
      </c>
      <c r="G752" s="6" t="inlineStr">
        <is>
          <t>DOMESTICA</t>
        </is>
      </c>
      <c r="H752" s="6" t="inlineStr">
        <is>
          <t>FIXO</t>
        </is>
      </c>
      <c r="I752" s="11">
        <f>IF($H752="AUTO_OFERTA_TOTAL_PRODUTO_PERIODO",SUMIFS(Oferta!$F:$F,Oferta!$A:$A,$A752,Oferta!$E:$E,$E752),$F752)</f>
        <v/>
      </c>
      <c r="J752" s="6" t="inlineStr">
        <is>
          <t>Informado</t>
        </is>
      </c>
      <c r="K752" s="6" t="inlineStr">
        <is>
          <t>Demanda doméstica fixa informada pelo usuário.</t>
        </is>
      </c>
    </row>
    <row r="753">
      <c r="A753" s="6" t="inlineStr">
        <is>
          <t>Milho</t>
        </is>
      </c>
      <c r="B753" s="6" t="inlineStr">
        <is>
          <t>Salvador - BA</t>
        </is>
      </c>
      <c r="C753" s="6" t="n">
        <v>-12.9718</v>
      </c>
      <c r="D753" s="6" t="n">
        <v>-38.5011</v>
      </c>
      <c r="E753" s="6" t="inlineStr">
        <is>
          <t>2023-08</t>
        </is>
      </c>
      <c r="F753" s="6" t="n">
        <v>337595.1763707843</v>
      </c>
      <c r="G753" s="6" t="inlineStr">
        <is>
          <t>DOMESTICA</t>
        </is>
      </c>
      <c r="H753" s="6" t="inlineStr">
        <is>
          <t>FIXO</t>
        </is>
      </c>
      <c r="I753" s="11">
        <f>IF($H753="AUTO_OFERTA_TOTAL_PRODUTO_PERIODO",SUMIFS(Oferta!$F:$F,Oferta!$A:$A,$A753,Oferta!$E:$E,$E753),$F753)</f>
        <v/>
      </c>
      <c r="J753" s="6" t="inlineStr">
        <is>
          <t>Informado</t>
        </is>
      </c>
      <c r="K753" s="6" t="inlineStr">
        <is>
          <t>Demanda doméstica fixa informada pelo usuário.</t>
        </is>
      </c>
    </row>
    <row r="754">
      <c r="A754" s="6" t="inlineStr">
        <is>
          <t>Milho</t>
        </is>
      </c>
      <c r="B754" s="6" t="inlineStr">
        <is>
          <t>Salvador - BA</t>
        </is>
      </c>
      <c r="C754" s="6" t="n">
        <v>-12.9718</v>
      </c>
      <c r="D754" s="6" t="n">
        <v>-38.5011</v>
      </c>
      <c r="E754" s="6" t="inlineStr">
        <is>
          <t>2023-09</t>
        </is>
      </c>
      <c r="F754" s="6" t="n">
        <v>222178.0220559863</v>
      </c>
      <c r="G754" s="6" t="inlineStr">
        <is>
          <t>DOMESTICA</t>
        </is>
      </c>
      <c r="H754" s="6" t="inlineStr">
        <is>
          <t>FIXO</t>
        </is>
      </c>
      <c r="I754" s="11">
        <f>IF($H754="AUTO_OFERTA_TOTAL_PRODUTO_PERIODO",SUMIFS(Oferta!$F:$F,Oferta!$A:$A,$A754,Oferta!$E:$E,$E754),$F754)</f>
        <v/>
      </c>
      <c r="J754" s="6" t="inlineStr">
        <is>
          <t>Informado</t>
        </is>
      </c>
      <c r="K754" s="6" t="inlineStr">
        <is>
          <t>Demanda doméstica fixa informada pelo usuário.</t>
        </is>
      </c>
    </row>
    <row r="755">
      <c r="A755" s="6" t="inlineStr">
        <is>
          <t>Milho</t>
        </is>
      </c>
      <c r="B755" s="6" t="inlineStr">
        <is>
          <t>Salvador - BA</t>
        </is>
      </c>
      <c r="C755" s="6" t="n">
        <v>-12.9718</v>
      </c>
      <c r="D755" s="6" t="n">
        <v>-38.5011</v>
      </c>
      <c r="E755" s="6" t="inlineStr">
        <is>
          <t>2023-10</t>
        </is>
      </c>
      <c r="F755" s="6" t="n">
        <v>222178.0220559863</v>
      </c>
      <c r="G755" s="6" t="inlineStr">
        <is>
          <t>DOMESTICA</t>
        </is>
      </c>
      <c r="H755" s="6" t="inlineStr">
        <is>
          <t>FIXO</t>
        </is>
      </c>
      <c r="I755" s="11">
        <f>IF($H755="AUTO_OFERTA_TOTAL_PRODUTO_PERIODO",SUMIFS(Oferta!$F:$F,Oferta!$A:$A,$A755,Oferta!$E:$E,$E755),$F755)</f>
        <v/>
      </c>
      <c r="J755" s="6" t="inlineStr">
        <is>
          <t>Informado</t>
        </is>
      </c>
      <c r="K755" s="6" t="inlineStr">
        <is>
          <t>Demanda doméstica fixa informada pelo usuário.</t>
        </is>
      </c>
    </row>
    <row r="756">
      <c r="A756" s="6" t="inlineStr">
        <is>
          <t>Milho</t>
        </is>
      </c>
      <c r="B756" s="6" t="inlineStr">
        <is>
          <t>Salvador - BA</t>
        </is>
      </c>
      <c r="C756" s="6" t="n">
        <v>-12.9718</v>
      </c>
      <c r="D756" s="6" t="n">
        <v>-38.5011</v>
      </c>
      <c r="E756" s="6" t="inlineStr">
        <is>
          <t>2023-11</t>
        </is>
      </c>
      <c r="F756" s="6" t="n">
        <v>360678.607233744</v>
      </c>
      <c r="G756" s="6" t="inlineStr">
        <is>
          <t>DOMESTICA</t>
        </is>
      </c>
      <c r="H756" s="6" t="inlineStr">
        <is>
          <t>FIXO</t>
        </is>
      </c>
      <c r="I756" s="11">
        <f>IF($H756="AUTO_OFERTA_TOTAL_PRODUTO_PERIODO",SUMIFS(Oferta!$F:$F,Oferta!$A:$A,$A756,Oferta!$E:$E,$E756),$F756)</f>
        <v/>
      </c>
      <c r="J756" s="6" t="inlineStr">
        <is>
          <t>Informado</t>
        </is>
      </c>
      <c r="K756" s="6" t="inlineStr">
        <is>
          <t>Demanda doméstica fixa informada pelo usuário.</t>
        </is>
      </c>
    </row>
    <row r="757">
      <c r="A757" s="6" t="inlineStr">
        <is>
          <t>Milho</t>
        </is>
      </c>
      <c r="B757" s="6" t="inlineStr">
        <is>
          <t>Salvador - BA</t>
        </is>
      </c>
      <c r="C757" s="6" t="n">
        <v>-12.9718</v>
      </c>
      <c r="D757" s="6" t="n">
        <v>-38.5011</v>
      </c>
      <c r="E757" s="6" t="inlineStr">
        <is>
          <t>2023-12</t>
        </is>
      </c>
      <c r="F757" s="6" t="n">
        <v>383762.0380967036</v>
      </c>
      <c r="G757" s="6" t="inlineStr">
        <is>
          <t>DOMESTICA</t>
        </is>
      </c>
      <c r="H757" s="6" t="inlineStr">
        <is>
          <t>FIXO</t>
        </is>
      </c>
      <c r="I757" s="11">
        <f>IF($H757="AUTO_OFERTA_TOTAL_PRODUTO_PERIODO",SUMIFS(Oferta!$F:$F,Oferta!$A:$A,$A757,Oferta!$E:$E,$E757),$F757)</f>
        <v/>
      </c>
      <c r="J757" s="6" t="inlineStr">
        <is>
          <t>Informado</t>
        </is>
      </c>
      <c r="K757" s="6" t="inlineStr">
        <is>
          <t>Demanda doméstica fixa informada pelo usuário.</t>
        </is>
      </c>
    </row>
    <row r="758">
      <c r="A758" s="6" t="inlineStr">
        <is>
          <t>Milho</t>
        </is>
      </c>
      <c r="B758" s="6" t="inlineStr">
        <is>
          <t>Fortaleza - CE</t>
        </is>
      </c>
      <c r="C758" s="6" t="n">
        <v>-3.71664</v>
      </c>
      <c r="D758" s="6" t="n">
        <v>-38.5423</v>
      </c>
      <c r="E758" s="6" t="inlineStr">
        <is>
          <t>2023-01</t>
        </is>
      </c>
      <c r="F758" s="6" t="n">
        <v>75540.7962224847</v>
      </c>
      <c r="G758" s="6" t="inlineStr">
        <is>
          <t>DOMESTICA</t>
        </is>
      </c>
      <c r="H758" s="6" t="inlineStr">
        <is>
          <t>FIXO</t>
        </is>
      </c>
      <c r="I758" s="11">
        <f>IF($H758="AUTO_OFERTA_TOTAL_PRODUTO_PERIODO",SUMIFS(Oferta!$F:$F,Oferta!$A:$A,$A758,Oferta!$E:$E,$E758),$F758)</f>
        <v/>
      </c>
      <c r="J758" s="6" t="inlineStr">
        <is>
          <t>Informado</t>
        </is>
      </c>
      <c r="K758" s="6" t="inlineStr">
        <is>
          <t>Demanda doméstica fixa informada pelo usuário.</t>
        </is>
      </c>
    </row>
    <row r="759">
      <c r="A759" s="6" t="inlineStr">
        <is>
          <t>Milho</t>
        </is>
      </c>
      <c r="B759" s="6" t="inlineStr">
        <is>
          <t>Fortaleza - CE</t>
        </is>
      </c>
      <c r="C759" s="6" t="n">
        <v>-3.71664</v>
      </c>
      <c r="D759" s="6" t="n">
        <v>-38.5423</v>
      </c>
      <c r="E759" s="6" t="inlineStr">
        <is>
          <t>2023-02</t>
        </is>
      </c>
      <c r="F759" s="6" t="n">
        <v>75540.7962224847</v>
      </c>
      <c r="G759" s="6" t="inlineStr">
        <is>
          <t>DOMESTICA</t>
        </is>
      </c>
      <c r="H759" s="6" t="inlineStr">
        <is>
          <t>FIXO</t>
        </is>
      </c>
      <c r="I759" s="11">
        <f>IF($H759="AUTO_OFERTA_TOTAL_PRODUTO_PERIODO",SUMIFS(Oferta!$F:$F,Oferta!$A:$A,$A759,Oferta!$E:$E,$E759),$F759)</f>
        <v/>
      </c>
      <c r="J759" s="6" t="inlineStr">
        <is>
          <t>Informado</t>
        </is>
      </c>
      <c r="K759" s="6" t="inlineStr">
        <is>
          <t>Demanda doméstica fixa informada pelo usuário.</t>
        </is>
      </c>
    </row>
    <row r="760">
      <c r="A760" s="6" t="inlineStr">
        <is>
          <t>Milho</t>
        </is>
      </c>
      <c r="B760" s="6" t="inlineStr">
        <is>
          <t>Fortaleza - CE</t>
        </is>
      </c>
      <c r="C760" s="6" t="n">
        <v>-3.71664</v>
      </c>
      <c r="D760" s="6" t="n">
        <v>-38.5423</v>
      </c>
      <c r="E760" s="6" t="inlineStr">
        <is>
          <t>2023-03</t>
        </is>
      </c>
      <c r="F760" s="6" t="n">
        <v>75540.7962224847</v>
      </c>
      <c r="G760" s="6" t="inlineStr">
        <is>
          <t>DOMESTICA</t>
        </is>
      </c>
      <c r="H760" s="6" t="inlineStr">
        <is>
          <t>FIXO</t>
        </is>
      </c>
      <c r="I760" s="11">
        <f>IF($H760="AUTO_OFERTA_TOTAL_PRODUTO_PERIODO",SUMIFS(Oferta!$F:$F,Oferta!$A:$A,$A760,Oferta!$E:$E,$E760),$F760)</f>
        <v/>
      </c>
      <c r="J760" s="6" t="inlineStr">
        <is>
          <t>Informado</t>
        </is>
      </c>
      <c r="K760" s="6" t="inlineStr">
        <is>
          <t>Demanda doméstica fixa informada pelo usuário.</t>
        </is>
      </c>
    </row>
    <row r="761">
      <c r="A761" s="6" t="inlineStr">
        <is>
          <t>Milho</t>
        </is>
      </c>
      <c r="B761" s="6" t="inlineStr">
        <is>
          <t>Fortaleza - CE</t>
        </is>
      </c>
      <c r="C761" s="6" t="n">
        <v>-3.71664</v>
      </c>
      <c r="D761" s="6" t="n">
        <v>-38.5423</v>
      </c>
      <c r="E761" s="6" t="inlineStr">
        <is>
          <t>2023-04</t>
        </is>
      </c>
      <c r="F761" s="6" t="n">
        <v>75540.7962224847</v>
      </c>
      <c r="G761" s="6" t="inlineStr">
        <is>
          <t>DOMESTICA</t>
        </is>
      </c>
      <c r="H761" s="6" t="inlineStr">
        <is>
          <t>FIXO</t>
        </is>
      </c>
      <c r="I761" s="11">
        <f>IF($H761="AUTO_OFERTA_TOTAL_PRODUTO_PERIODO",SUMIFS(Oferta!$F:$F,Oferta!$A:$A,$A761,Oferta!$E:$E,$E761),$F761)</f>
        <v/>
      </c>
      <c r="J761" s="6" t="inlineStr">
        <is>
          <t>Informado</t>
        </is>
      </c>
      <c r="K761" s="6" t="inlineStr">
        <is>
          <t>Demanda doméstica fixa informada pelo usuário.</t>
        </is>
      </c>
    </row>
    <row r="762">
      <c r="A762" s="6" t="inlineStr">
        <is>
          <t>Milho</t>
        </is>
      </c>
      <c r="B762" s="6" t="inlineStr">
        <is>
          <t>Fortaleza - CE</t>
        </is>
      </c>
      <c r="C762" s="6" t="n">
        <v>-3.71664</v>
      </c>
      <c r="D762" s="6" t="n">
        <v>-38.5423</v>
      </c>
      <c r="E762" s="6" t="inlineStr">
        <is>
          <t>2023-05</t>
        </is>
      </c>
      <c r="F762" s="6" t="n">
        <v>75540.7962224847</v>
      </c>
      <c r="G762" s="6" t="inlineStr">
        <is>
          <t>DOMESTICA</t>
        </is>
      </c>
      <c r="H762" s="6" t="inlineStr">
        <is>
          <t>FIXO</t>
        </is>
      </c>
      <c r="I762" s="11">
        <f>IF($H762="AUTO_OFERTA_TOTAL_PRODUTO_PERIODO",SUMIFS(Oferta!$F:$F,Oferta!$A:$A,$A762,Oferta!$E:$E,$E762),$F762)</f>
        <v/>
      </c>
      <c r="J762" s="6" t="inlineStr">
        <is>
          <t>Informado</t>
        </is>
      </c>
      <c r="K762" s="6" t="inlineStr">
        <is>
          <t>Demanda doméstica fixa informada pelo usuário.</t>
        </is>
      </c>
    </row>
    <row r="763">
      <c r="A763" s="6" t="inlineStr">
        <is>
          <t>Milho</t>
        </is>
      </c>
      <c r="B763" s="6" t="inlineStr">
        <is>
          <t>Fortaleza - CE</t>
        </is>
      </c>
      <c r="C763" s="6" t="n">
        <v>-3.71664</v>
      </c>
      <c r="D763" s="6" t="n">
        <v>-38.5423</v>
      </c>
      <c r="E763" s="6" t="inlineStr">
        <is>
          <t>2023-06</t>
        </is>
      </c>
      <c r="F763" s="6" t="n">
        <v>98345.56489342351</v>
      </c>
      <c r="G763" s="6" t="inlineStr">
        <is>
          <t>DOMESTICA</t>
        </is>
      </c>
      <c r="H763" s="6" t="inlineStr">
        <is>
          <t>FIXO</t>
        </is>
      </c>
      <c r="I763" s="11">
        <f>IF($H763="AUTO_OFERTA_TOTAL_PRODUTO_PERIODO",SUMIFS(Oferta!$F:$F,Oferta!$A:$A,$A763,Oferta!$E:$E,$E763),$F763)</f>
        <v/>
      </c>
      <c r="J763" s="6" t="inlineStr">
        <is>
          <t>Informado</t>
        </is>
      </c>
      <c r="K763" s="6" t="inlineStr">
        <is>
          <t>Demanda doméstica fixa informada pelo usuário.</t>
        </is>
      </c>
    </row>
    <row r="764">
      <c r="A764" s="6" t="inlineStr">
        <is>
          <t>Milho</t>
        </is>
      </c>
      <c r="B764" s="6" t="inlineStr">
        <is>
          <t>Fortaleza - CE</t>
        </is>
      </c>
      <c r="C764" s="6" t="n">
        <v>-3.71664</v>
      </c>
      <c r="D764" s="6" t="n">
        <v>-38.5423</v>
      </c>
      <c r="E764" s="6" t="inlineStr">
        <is>
          <t>2023-07</t>
        </is>
      </c>
      <c r="F764" s="6" t="n">
        <v>121150.3335643622</v>
      </c>
      <c r="G764" s="6" t="inlineStr">
        <is>
          <t>DOMESTICA</t>
        </is>
      </c>
      <c r="H764" s="6" t="inlineStr">
        <is>
          <t>FIXO</t>
        </is>
      </c>
      <c r="I764" s="11">
        <f>IF($H764="AUTO_OFERTA_TOTAL_PRODUTO_PERIODO",SUMIFS(Oferta!$F:$F,Oferta!$A:$A,$A764,Oferta!$E:$E,$E764),$F764)</f>
        <v/>
      </c>
      <c r="J764" s="6" t="inlineStr">
        <is>
          <t>Informado</t>
        </is>
      </c>
      <c r="K764" s="6" t="inlineStr">
        <is>
          <t>Demanda doméstica fixa informada pelo usuário.</t>
        </is>
      </c>
    </row>
    <row r="765">
      <c r="A765" s="6" t="inlineStr">
        <is>
          <t>Milho</t>
        </is>
      </c>
      <c r="B765" s="6" t="inlineStr">
        <is>
          <t>Fortaleza - CE</t>
        </is>
      </c>
      <c r="C765" s="6" t="n">
        <v>-3.71664</v>
      </c>
      <c r="D765" s="6" t="n">
        <v>-38.5423</v>
      </c>
      <c r="E765" s="6" t="inlineStr">
        <is>
          <t>2023-08</t>
        </is>
      </c>
      <c r="F765" s="6" t="n">
        <v>189564.6395771786</v>
      </c>
      <c r="G765" s="6" t="inlineStr">
        <is>
          <t>DOMESTICA</t>
        </is>
      </c>
      <c r="H765" s="6" t="inlineStr">
        <is>
          <t>FIXO</t>
        </is>
      </c>
      <c r="I765" s="11">
        <f>IF($H765="AUTO_OFERTA_TOTAL_PRODUTO_PERIODO",SUMIFS(Oferta!$F:$F,Oferta!$A:$A,$A765,Oferta!$E:$E,$E765),$F765)</f>
        <v/>
      </c>
      <c r="J765" s="6" t="inlineStr">
        <is>
          <t>Informado</t>
        </is>
      </c>
      <c r="K765" s="6" t="inlineStr">
        <is>
          <t>Demanda doméstica fixa informada pelo usuário.</t>
        </is>
      </c>
    </row>
    <row r="766">
      <c r="A766" s="6" t="inlineStr">
        <is>
          <t>Milho</t>
        </is>
      </c>
      <c r="B766" s="6" t="inlineStr">
        <is>
          <t>Fortaleza - CE</t>
        </is>
      </c>
      <c r="C766" s="6" t="n">
        <v>-3.71664</v>
      </c>
      <c r="D766" s="6" t="n">
        <v>-38.5423</v>
      </c>
      <c r="E766" s="6" t="inlineStr">
        <is>
          <t>2023-09</t>
        </is>
      </c>
      <c r="F766" s="6" t="n">
        <v>189564.6395771786</v>
      </c>
      <c r="G766" s="6" t="inlineStr">
        <is>
          <t>DOMESTICA</t>
        </is>
      </c>
      <c r="H766" s="6" t="inlineStr">
        <is>
          <t>FIXO</t>
        </is>
      </c>
      <c r="I766" s="11">
        <f>IF($H766="AUTO_OFERTA_TOTAL_PRODUTO_PERIODO",SUMIFS(Oferta!$F:$F,Oferta!$A:$A,$A766,Oferta!$E:$E,$E766),$F766)</f>
        <v/>
      </c>
      <c r="J766" s="6" t="inlineStr">
        <is>
          <t>Informado</t>
        </is>
      </c>
      <c r="K766" s="6" t="inlineStr">
        <is>
          <t>Demanda doméstica fixa informada pelo usuário.</t>
        </is>
      </c>
    </row>
    <row r="767">
      <c r="A767" s="6" t="inlineStr">
        <is>
          <t>Milho</t>
        </is>
      </c>
      <c r="B767" s="6" t="inlineStr">
        <is>
          <t>Fortaleza - CE</t>
        </is>
      </c>
      <c r="C767" s="6" t="n">
        <v>-3.71664</v>
      </c>
      <c r="D767" s="6" t="n">
        <v>-38.5423</v>
      </c>
      <c r="E767" s="6" t="inlineStr">
        <is>
          <t>2023-10</t>
        </is>
      </c>
      <c r="F767" s="6" t="n">
        <v>178162.2552417092</v>
      </c>
      <c r="G767" s="6" t="inlineStr">
        <is>
          <t>DOMESTICA</t>
        </is>
      </c>
      <c r="H767" s="6" t="inlineStr">
        <is>
          <t>FIXO</t>
        </is>
      </c>
      <c r="I767" s="11">
        <f>IF($H767="AUTO_OFERTA_TOTAL_PRODUTO_PERIODO",SUMIFS(Oferta!$F:$F,Oferta!$A:$A,$A767,Oferta!$E:$E,$E767),$F767)</f>
        <v/>
      </c>
      <c r="J767" s="6" t="inlineStr">
        <is>
          <t>Informado</t>
        </is>
      </c>
      <c r="K767" s="6" t="inlineStr">
        <is>
          <t>Demanda doméstica fixa informada pelo usuário.</t>
        </is>
      </c>
    </row>
    <row r="768">
      <c r="A768" s="6" t="inlineStr">
        <is>
          <t>Milho</t>
        </is>
      </c>
      <c r="B768" s="6" t="inlineStr">
        <is>
          <t>Fortaleza - CE</t>
        </is>
      </c>
      <c r="C768" s="6" t="n">
        <v>-3.71664</v>
      </c>
      <c r="D768" s="6" t="n">
        <v>-38.5423</v>
      </c>
      <c r="E768" s="6" t="inlineStr">
        <is>
          <t>2023-11</t>
        </is>
      </c>
      <c r="F768" s="6" t="n">
        <v>109747.9492288928</v>
      </c>
      <c r="G768" s="6" t="inlineStr">
        <is>
          <t>DOMESTICA</t>
        </is>
      </c>
      <c r="H768" s="6" t="inlineStr">
        <is>
          <t>FIXO</t>
        </is>
      </c>
      <c r="I768" s="11">
        <f>IF($H768="AUTO_OFERTA_TOTAL_PRODUTO_PERIODO",SUMIFS(Oferta!$F:$F,Oferta!$A:$A,$A768,Oferta!$E:$E,$E768),$F768)</f>
        <v/>
      </c>
      <c r="J768" s="6" t="inlineStr">
        <is>
          <t>Informado</t>
        </is>
      </c>
      <c r="K768" s="6" t="inlineStr">
        <is>
          <t>Demanda doméstica fixa informada pelo usuário.</t>
        </is>
      </c>
    </row>
    <row r="769">
      <c r="A769" s="6" t="inlineStr">
        <is>
          <t>Milho</t>
        </is>
      </c>
      <c r="B769" s="6" t="inlineStr">
        <is>
          <t>Fortaleza - CE</t>
        </is>
      </c>
      <c r="C769" s="6" t="n">
        <v>-3.71664</v>
      </c>
      <c r="D769" s="6" t="n">
        <v>-38.5423</v>
      </c>
      <c r="E769" s="6" t="inlineStr">
        <is>
          <t>2023-12</t>
        </is>
      </c>
      <c r="F769" s="6" t="n">
        <v>86943.1805579541</v>
      </c>
      <c r="G769" s="6" t="inlineStr">
        <is>
          <t>DOMESTICA</t>
        </is>
      </c>
      <c r="H769" s="6" t="inlineStr">
        <is>
          <t>FIXO</t>
        </is>
      </c>
      <c r="I769" s="11">
        <f>IF($H769="AUTO_OFERTA_TOTAL_PRODUTO_PERIODO",SUMIFS(Oferta!$F:$F,Oferta!$A:$A,$A769,Oferta!$E:$E,$E769),$F769)</f>
        <v/>
      </c>
      <c r="J769" s="6" t="inlineStr">
        <is>
          <t>Informado</t>
        </is>
      </c>
      <c r="K769" s="6" t="inlineStr">
        <is>
          <t>Demanda doméstica fixa informada pelo usuário.</t>
        </is>
      </c>
    </row>
    <row r="770">
      <c r="A770" s="6" t="inlineStr">
        <is>
          <t>Milho</t>
        </is>
      </c>
      <c r="B770" s="6" t="inlineStr">
        <is>
          <t>São Luís - MA</t>
        </is>
      </c>
      <c r="C770" s="6" t="n">
        <v>-2.53874</v>
      </c>
      <c r="D770" s="6" t="n">
        <v>-44.2825</v>
      </c>
      <c r="E770" s="6" t="inlineStr">
        <is>
          <t>2023-01</t>
        </is>
      </c>
      <c r="F770" s="6" t="n">
        <v>50704.1298832171</v>
      </c>
      <c r="G770" s="6" t="inlineStr">
        <is>
          <t>DOMESTICA</t>
        </is>
      </c>
      <c r="H770" s="6" t="inlineStr">
        <is>
          <t>FIXO</t>
        </is>
      </c>
      <c r="I770" s="11">
        <f>IF($H770="AUTO_OFERTA_TOTAL_PRODUTO_PERIODO",SUMIFS(Oferta!$F:$F,Oferta!$A:$A,$A770,Oferta!$E:$E,$E770),$F770)</f>
        <v/>
      </c>
      <c r="J770" s="6" t="inlineStr">
        <is>
          <t>Informado</t>
        </is>
      </c>
      <c r="K770" s="6" t="inlineStr">
        <is>
          <t>Demanda doméstica fixa informada pelo usuário.</t>
        </is>
      </c>
    </row>
    <row r="771">
      <c r="A771" s="6" t="inlineStr">
        <is>
          <t>Milho</t>
        </is>
      </c>
      <c r="B771" s="6" t="inlineStr">
        <is>
          <t>São Luís - MA</t>
        </is>
      </c>
      <c r="C771" s="6" t="n">
        <v>-2.53874</v>
      </c>
      <c r="D771" s="6" t="n">
        <v>-44.2825</v>
      </c>
      <c r="E771" s="6" t="inlineStr">
        <is>
          <t>2023-02</t>
        </is>
      </c>
      <c r="F771" s="6" t="n">
        <v>50704.1298832171</v>
      </c>
      <c r="G771" s="6" t="inlineStr">
        <is>
          <t>DOMESTICA</t>
        </is>
      </c>
      <c r="H771" s="6" t="inlineStr">
        <is>
          <t>FIXO</t>
        </is>
      </c>
      <c r="I771" s="11">
        <f>IF($H771="AUTO_OFERTA_TOTAL_PRODUTO_PERIODO",SUMIFS(Oferta!$F:$F,Oferta!$A:$A,$A771,Oferta!$E:$E,$E771),$F771)</f>
        <v/>
      </c>
      <c r="J771" s="6" t="inlineStr">
        <is>
          <t>Informado</t>
        </is>
      </c>
      <c r="K771" s="6" t="inlineStr">
        <is>
          <t>Demanda doméstica fixa informada pelo usuário.</t>
        </is>
      </c>
    </row>
    <row r="772">
      <c r="A772" s="6" t="inlineStr">
        <is>
          <t>Milho</t>
        </is>
      </c>
      <c r="B772" s="6" t="inlineStr">
        <is>
          <t>São Luís - MA</t>
        </is>
      </c>
      <c r="C772" s="6" t="n">
        <v>-2.53874</v>
      </c>
      <c r="D772" s="6" t="n">
        <v>-44.2825</v>
      </c>
      <c r="E772" s="6" t="inlineStr">
        <is>
          <t>2023-03</t>
        </is>
      </c>
      <c r="F772" s="6" t="n">
        <v>58357.5834504951</v>
      </c>
      <c r="G772" s="6" t="inlineStr">
        <is>
          <t>DOMESTICA</t>
        </is>
      </c>
      <c r="H772" s="6" t="inlineStr">
        <is>
          <t>FIXO</t>
        </is>
      </c>
      <c r="I772" s="11">
        <f>IF($H772="AUTO_OFERTA_TOTAL_PRODUTO_PERIODO",SUMIFS(Oferta!$F:$F,Oferta!$A:$A,$A772,Oferta!$E:$E,$E772),$F772)</f>
        <v/>
      </c>
      <c r="J772" s="6" t="inlineStr">
        <is>
          <t>Informado</t>
        </is>
      </c>
      <c r="K772" s="6" t="inlineStr">
        <is>
          <t>Demanda doméstica fixa informada pelo usuário.</t>
        </is>
      </c>
    </row>
    <row r="773">
      <c r="A773" s="6" t="inlineStr">
        <is>
          <t>Milho</t>
        </is>
      </c>
      <c r="B773" s="6" t="inlineStr">
        <is>
          <t>São Luís - MA</t>
        </is>
      </c>
      <c r="C773" s="6" t="n">
        <v>-2.53874</v>
      </c>
      <c r="D773" s="6" t="n">
        <v>-44.2825</v>
      </c>
      <c r="E773" s="6" t="inlineStr">
        <is>
          <t>2023-04</t>
        </is>
      </c>
      <c r="F773" s="6" t="n">
        <v>73664.4905850512</v>
      </c>
      <c r="G773" s="6" t="inlineStr">
        <is>
          <t>DOMESTICA</t>
        </is>
      </c>
      <c r="H773" s="6" t="inlineStr">
        <is>
          <t>FIXO</t>
        </is>
      </c>
      <c r="I773" s="11">
        <f>IF($H773="AUTO_OFERTA_TOTAL_PRODUTO_PERIODO",SUMIFS(Oferta!$F:$F,Oferta!$A:$A,$A773,Oferta!$E:$E,$E773),$F773)</f>
        <v/>
      </c>
      <c r="J773" s="6" t="inlineStr">
        <is>
          <t>Informado</t>
        </is>
      </c>
      <c r="K773" s="6" t="inlineStr">
        <is>
          <t>Demanda doméstica fixa informada pelo usuário.</t>
        </is>
      </c>
    </row>
    <row r="774">
      <c r="A774" s="6" t="inlineStr">
        <is>
          <t>Milho</t>
        </is>
      </c>
      <c r="B774" s="6" t="inlineStr">
        <is>
          <t>São Luís - MA</t>
        </is>
      </c>
      <c r="C774" s="6" t="n">
        <v>-2.53874</v>
      </c>
      <c r="D774" s="6" t="n">
        <v>-44.2825</v>
      </c>
      <c r="E774" s="6" t="inlineStr">
        <is>
          <t>2023-05</t>
        </is>
      </c>
      <c r="F774" s="6" t="n">
        <v>119585.2119887195</v>
      </c>
      <c r="G774" s="6" t="inlineStr">
        <is>
          <t>DOMESTICA</t>
        </is>
      </c>
      <c r="H774" s="6" t="inlineStr">
        <is>
          <t>FIXO</t>
        </is>
      </c>
      <c r="I774" s="11">
        <f>IF($H774="AUTO_OFERTA_TOTAL_PRODUTO_PERIODO",SUMIFS(Oferta!$F:$F,Oferta!$A:$A,$A774,Oferta!$E:$E,$E774),$F774)</f>
        <v/>
      </c>
      <c r="J774" s="6" t="inlineStr">
        <is>
          <t>Informado</t>
        </is>
      </c>
      <c r="K774" s="6" t="inlineStr">
        <is>
          <t>Demanda doméstica fixa informada pelo usuário.</t>
        </is>
      </c>
    </row>
    <row r="775">
      <c r="A775" s="6" t="inlineStr">
        <is>
          <t>Milho</t>
        </is>
      </c>
      <c r="B775" s="6" t="inlineStr">
        <is>
          <t>São Luís - MA</t>
        </is>
      </c>
      <c r="C775" s="6" t="n">
        <v>-2.53874</v>
      </c>
      <c r="D775" s="6" t="n">
        <v>-44.2825</v>
      </c>
      <c r="E775" s="6" t="inlineStr">
        <is>
          <t>2023-06</t>
        </is>
      </c>
      <c r="F775" s="6" t="n">
        <v>142545.5726905537</v>
      </c>
      <c r="G775" s="6" t="inlineStr">
        <is>
          <t>DOMESTICA</t>
        </is>
      </c>
      <c r="H775" s="6" t="inlineStr">
        <is>
          <t>FIXO</t>
        </is>
      </c>
      <c r="I775" s="11">
        <f>IF($H775="AUTO_OFERTA_TOTAL_PRODUTO_PERIODO",SUMIFS(Oferta!$F:$F,Oferta!$A:$A,$A775,Oferta!$E:$E,$E775),$F775)</f>
        <v/>
      </c>
      <c r="J775" s="6" t="inlineStr">
        <is>
          <t>Informado</t>
        </is>
      </c>
      <c r="K775" s="6" t="inlineStr">
        <is>
          <t>Demanda doméstica fixa informada pelo usuário.</t>
        </is>
      </c>
    </row>
    <row r="776">
      <c r="A776" s="6" t="inlineStr">
        <is>
          <t>Milho</t>
        </is>
      </c>
      <c r="B776" s="6" t="inlineStr">
        <is>
          <t>São Luís - MA</t>
        </is>
      </c>
      <c r="C776" s="6" t="n">
        <v>-2.53874</v>
      </c>
      <c r="D776" s="6" t="n">
        <v>-44.2825</v>
      </c>
      <c r="E776" s="6" t="inlineStr">
        <is>
          <t>2023-07</t>
        </is>
      </c>
      <c r="F776" s="6" t="n">
        <v>173159.3869596659</v>
      </c>
      <c r="G776" s="6" t="inlineStr">
        <is>
          <t>DOMESTICA</t>
        </is>
      </c>
      <c r="H776" s="6" t="inlineStr">
        <is>
          <t>FIXO</t>
        </is>
      </c>
      <c r="I776" s="11">
        <f>IF($H776="AUTO_OFERTA_TOTAL_PRODUTO_PERIODO",SUMIFS(Oferta!$F:$F,Oferta!$A:$A,$A776,Oferta!$E:$E,$E776),$F776)</f>
        <v/>
      </c>
      <c r="J776" s="6" t="inlineStr">
        <is>
          <t>Informado</t>
        </is>
      </c>
      <c r="K776" s="6" t="inlineStr">
        <is>
          <t>Demanda doméstica fixa informada pelo usuário.</t>
        </is>
      </c>
    </row>
    <row r="777">
      <c r="A777" s="6" t="inlineStr">
        <is>
          <t>Milho</t>
        </is>
      </c>
      <c r="B777" s="6" t="inlineStr">
        <is>
          <t>São Luís - MA</t>
        </is>
      </c>
      <c r="C777" s="6" t="n">
        <v>-2.53874</v>
      </c>
      <c r="D777" s="6" t="n">
        <v>-44.2825</v>
      </c>
      <c r="E777" s="6" t="inlineStr">
        <is>
          <t>2023-08</t>
        </is>
      </c>
      <c r="F777" s="6" t="n">
        <v>157852.4798251098</v>
      </c>
      <c r="G777" s="6" t="inlineStr">
        <is>
          <t>DOMESTICA</t>
        </is>
      </c>
      <c r="H777" s="6" t="inlineStr">
        <is>
          <t>FIXO</t>
        </is>
      </c>
      <c r="I777" s="11">
        <f>IF($H777="AUTO_OFERTA_TOTAL_PRODUTO_PERIODO",SUMIFS(Oferta!$F:$F,Oferta!$A:$A,$A777,Oferta!$E:$E,$E777),$F777)</f>
        <v/>
      </c>
      <c r="J777" s="6" t="inlineStr">
        <is>
          <t>Informado</t>
        </is>
      </c>
      <c r="K777" s="6" t="inlineStr">
        <is>
          <t>Demanda doméstica fixa informada pelo usuário.</t>
        </is>
      </c>
    </row>
    <row r="778">
      <c r="A778" s="6" t="inlineStr">
        <is>
          <t>Milho</t>
        </is>
      </c>
      <c r="B778" s="6" t="inlineStr">
        <is>
          <t>São Luís - MA</t>
        </is>
      </c>
      <c r="C778" s="6" t="n">
        <v>-2.53874</v>
      </c>
      <c r="D778" s="6" t="n">
        <v>-44.2825</v>
      </c>
      <c r="E778" s="6" t="inlineStr">
        <is>
          <t>2023-09</t>
        </is>
      </c>
      <c r="F778" s="6" t="n">
        <v>142545.5726905537</v>
      </c>
      <c r="G778" s="6" t="inlineStr">
        <is>
          <t>DOMESTICA</t>
        </is>
      </c>
      <c r="H778" s="6" t="inlineStr">
        <is>
          <t>FIXO</t>
        </is>
      </c>
      <c r="I778" s="11">
        <f>IF($H778="AUTO_OFERTA_TOTAL_PRODUTO_PERIODO",SUMIFS(Oferta!$F:$F,Oferta!$A:$A,$A778,Oferta!$E:$E,$E778),$F778)</f>
        <v/>
      </c>
      <c r="J778" s="6" t="inlineStr">
        <is>
          <t>Informado</t>
        </is>
      </c>
      <c r="K778" s="6" t="inlineStr">
        <is>
          <t>Demanda doméstica fixa informada pelo usuário.</t>
        </is>
      </c>
    </row>
    <row r="779">
      <c r="A779" s="6" t="inlineStr">
        <is>
          <t>Milho</t>
        </is>
      </c>
      <c r="B779" s="6" t="inlineStr">
        <is>
          <t>São Luís - MA</t>
        </is>
      </c>
      <c r="C779" s="6" t="n">
        <v>-2.53874</v>
      </c>
      <c r="D779" s="6" t="n">
        <v>-44.2825</v>
      </c>
      <c r="E779" s="6" t="inlineStr">
        <is>
          <t>2023-10</t>
        </is>
      </c>
      <c r="F779" s="6" t="n">
        <v>96624.8512868854</v>
      </c>
      <c r="G779" s="6" t="inlineStr">
        <is>
          <t>DOMESTICA</t>
        </is>
      </c>
      <c r="H779" s="6" t="inlineStr">
        <is>
          <t>FIXO</t>
        </is>
      </c>
      <c r="I779" s="11">
        <f>IF($H779="AUTO_OFERTA_TOTAL_PRODUTO_PERIODO",SUMIFS(Oferta!$F:$F,Oferta!$A:$A,$A779,Oferta!$E:$E,$E779),$F779)</f>
        <v/>
      </c>
      <c r="J779" s="6" t="inlineStr">
        <is>
          <t>Informado</t>
        </is>
      </c>
      <c r="K779" s="6" t="inlineStr">
        <is>
          <t>Demanda doméstica fixa informada pelo usuário.</t>
        </is>
      </c>
    </row>
    <row r="780">
      <c r="A780" s="6" t="inlineStr">
        <is>
          <t>Milho</t>
        </is>
      </c>
      <c r="B780" s="6" t="inlineStr">
        <is>
          <t>São Luís - MA</t>
        </is>
      </c>
      <c r="C780" s="6" t="n">
        <v>-2.53874</v>
      </c>
      <c r="D780" s="6" t="n">
        <v>-44.2825</v>
      </c>
      <c r="E780" s="6" t="inlineStr">
        <is>
          <t>2023-11</t>
        </is>
      </c>
      <c r="F780" s="6" t="n">
        <v>66011.0370177732</v>
      </c>
      <c r="G780" s="6" t="inlineStr">
        <is>
          <t>DOMESTICA</t>
        </is>
      </c>
      <c r="H780" s="6" t="inlineStr">
        <is>
          <t>FIXO</t>
        </is>
      </c>
      <c r="I780" s="11">
        <f>IF($H780="AUTO_OFERTA_TOTAL_PRODUTO_PERIODO",SUMIFS(Oferta!$F:$F,Oferta!$A:$A,$A780,Oferta!$E:$E,$E780),$F780)</f>
        <v/>
      </c>
      <c r="J780" s="6" t="inlineStr">
        <is>
          <t>Informado</t>
        </is>
      </c>
      <c r="K780" s="6" t="inlineStr">
        <is>
          <t>Demanda doméstica fixa informada pelo usuário.</t>
        </is>
      </c>
    </row>
    <row r="781">
      <c r="A781" s="6" t="inlineStr">
        <is>
          <t>Milho</t>
        </is>
      </c>
      <c r="B781" s="6" t="inlineStr">
        <is>
          <t>São Luís - MA</t>
        </is>
      </c>
      <c r="C781" s="6" t="n">
        <v>-2.53874</v>
      </c>
      <c r="D781" s="6" t="n">
        <v>-44.2825</v>
      </c>
      <c r="E781" s="6" t="inlineStr">
        <is>
          <t>2023-12</t>
        </is>
      </c>
      <c r="F781" s="6" t="n">
        <v>50704.1298832171</v>
      </c>
      <c r="G781" s="6" t="inlineStr">
        <is>
          <t>DOMESTICA</t>
        </is>
      </c>
      <c r="H781" s="6" t="inlineStr">
        <is>
          <t>FIXO</t>
        </is>
      </c>
      <c r="I781" s="11">
        <f>IF($H781="AUTO_OFERTA_TOTAL_PRODUTO_PERIODO",SUMIFS(Oferta!$F:$F,Oferta!$A:$A,$A781,Oferta!$E:$E,$E781),$F781)</f>
        <v/>
      </c>
      <c r="J781" s="6" t="inlineStr">
        <is>
          <t>Informado</t>
        </is>
      </c>
      <c r="K781" s="6" t="inlineStr">
        <is>
          <t>Demanda doméstica fixa informada pelo usuário.</t>
        </is>
      </c>
    </row>
    <row r="782">
      <c r="A782" s="6" t="inlineStr">
        <is>
          <t>Milho</t>
        </is>
      </c>
      <c r="B782" s="6" t="inlineStr">
        <is>
          <t>João Pessoa - PB</t>
        </is>
      </c>
      <c r="C782" s="6" t="n">
        <v>-7.11509</v>
      </c>
      <c r="D782" s="6" t="n">
        <v>-34.8641</v>
      </c>
      <c r="E782" s="6" t="inlineStr">
        <is>
          <t>2023-01</t>
        </is>
      </c>
      <c r="F782" s="6" t="n">
        <v>42497.1908546214</v>
      </c>
      <c r="G782" s="6" t="inlineStr">
        <is>
          <t>DOMESTICA</t>
        </is>
      </c>
      <c r="H782" s="6" t="inlineStr">
        <is>
          <t>FIXO</t>
        </is>
      </c>
      <c r="I782" s="11">
        <f>IF($H782="AUTO_OFERTA_TOTAL_PRODUTO_PERIODO",SUMIFS(Oferta!$F:$F,Oferta!$A:$A,$A782,Oferta!$E:$E,$E782),$F782)</f>
        <v/>
      </c>
      <c r="J782" s="6" t="inlineStr">
        <is>
          <t>Informado</t>
        </is>
      </c>
      <c r="K782" s="6" t="inlineStr">
        <is>
          <t>Demanda doméstica fixa informada pelo usuário.</t>
        </is>
      </c>
    </row>
    <row r="783">
      <c r="A783" s="6" t="inlineStr">
        <is>
          <t>Milho</t>
        </is>
      </c>
      <c r="B783" s="6" t="inlineStr">
        <is>
          <t>João Pessoa - PB</t>
        </is>
      </c>
      <c r="C783" s="6" t="n">
        <v>-7.11509</v>
      </c>
      <c r="D783" s="6" t="n">
        <v>-34.8641</v>
      </c>
      <c r="E783" s="6" t="inlineStr">
        <is>
          <t>2023-02</t>
        </is>
      </c>
      <c r="F783" s="6" t="n">
        <v>33666.6057419728</v>
      </c>
      <c r="G783" s="6" t="inlineStr">
        <is>
          <t>DOMESTICA</t>
        </is>
      </c>
      <c r="H783" s="6" t="inlineStr">
        <is>
          <t>FIXO</t>
        </is>
      </c>
      <c r="I783" s="11">
        <f>IF($H783="AUTO_OFERTA_TOTAL_PRODUTO_PERIODO",SUMIFS(Oferta!$F:$F,Oferta!$A:$A,$A783,Oferta!$E:$E,$E783),$F783)</f>
        <v/>
      </c>
      <c r="J783" s="6" t="inlineStr">
        <is>
          <t>Informado</t>
        </is>
      </c>
      <c r="K783" s="6" t="inlineStr">
        <is>
          <t>Demanda doméstica fixa informada pelo usuário.</t>
        </is>
      </c>
    </row>
    <row r="784">
      <c r="A784" s="6" t="inlineStr">
        <is>
          <t>Milho</t>
        </is>
      </c>
      <c r="B784" s="6" t="inlineStr">
        <is>
          <t>João Pessoa - PB</t>
        </is>
      </c>
      <c r="C784" s="6" t="n">
        <v>-7.11509</v>
      </c>
      <c r="D784" s="6" t="n">
        <v>-34.8641</v>
      </c>
      <c r="E784" s="6" t="inlineStr">
        <is>
          <t>2023-03</t>
        </is>
      </c>
      <c r="F784" s="6" t="n">
        <v>29251.3131856485</v>
      </c>
      <c r="G784" s="6" t="inlineStr">
        <is>
          <t>DOMESTICA</t>
        </is>
      </c>
      <c r="H784" s="6" t="inlineStr">
        <is>
          <t>FIXO</t>
        </is>
      </c>
      <c r="I784" s="11">
        <f>IF($H784="AUTO_OFERTA_TOTAL_PRODUTO_PERIODO",SUMIFS(Oferta!$F:$F,Oferta!$A:$A,$A784,Oferta!$E:$E,$E784),$F784)</f>
        <v/>
      </c>
      <c r="J784" s="6" t="inlineStr">
        <is>
          <t>Informado</t>
        </is>
      </c>
      <c r="K784" s="6" t="inlineStr">
        <is>
          <t>Demanda doméstica fixa informada pelo usuário.</t>
        </is>
      </c>
    </row>
    <row r="785">
      <c r="A785" s="6" t="inlineStr">
        <is>
          <t>Milho</t>
        </is>
      </c>
      <c r="B785" s="6" t="inlineStr">
        <is>
          <t>João Pessoa - PB</t>
        </is>
      </c>
      <c r="C785" s="6" t="n">
        <v>-7.11509</v>
      </c>
      <c r="D785" s="6" t="n">
        <v>-34.8641</v>
      </c>
      <c r="E785" s="6" t="inlineStr">
        <is>
          <t>2023-04</t>
        </is>
      </c>
      <c r="F785" s="6" t="n">
        <v>29251.3131856485</v>
      </c>
      <c r="G785" s="6" t="inlineStr">
        <is>
          <t>DOMESTICA</t>
        </is>
      </c>
      <c r="H785" s="6" t="inlineStr">
        <is>
          <t>FIXO</t>
        </is>
      </c>
      <c r="I785" s="11">
        <f>IF($H785="AUTO_OFERTA_TOTAL_PRODUTO_PERIODO",SUMIFS(Oferta!$F:$F,Oferta!$A:$A,$A785,Oferta!$E:$E,$E785),$F785)</f>
        <v/>
      </c>
      <c r="J785" s="6" t="inlineStr">
        <is>
          <t>Informado</t>
        </is>
      </c>
      <c r="K785" s="6" t="inlineStr">
        <is>
          <t>Demanda doméstica fixa informada pelo usuário.</t>
        </is>
      </c>
    </row>
    <row r="786">
      <c r="A786" s="6" t="inlineStr">
        <is>
          <t>Milho</t>
        </is>
      </c>
      <c r="B786" s="6" t="inlineStr">
        <is>
          <t>João Pessoa - PB</t>
        </is>
      </c>
      <c r="C786" s="6" t="n">
        <v>-7.11509</v>
      </c>
      <c r="D786" s="6" t="n">
        <v>-34.8641</v>
      </c>
      <c r="E786" s="6" t="inlineStr">
        <is>
          <t>2023-05</t>
        </is>
      </c>
      <c r="F786" s="6" t="n">
        <v>29251.3131856485</v>
      </c>
      <c r="G786" s="6" t="inlineStr">
        <is>
          <t>DOMESTICA</t>
        </is>
      </c>
      <c r="H786" s="6" t="inlineStr">
        <is>
          <t>FIXO</t>
        </is>
      </c>
      <c r="I786" s="11">
        <f>IF($H786="AUTO_OFERTA_TOTAL_PRODUTO_PERIODO",SUMIFS(Oferta!$F:$F,Oferta!$A:$A,$A786,Oferta!$E:$E,$E786),$F786)</f>
        <v/>
      </c>
      <c r="J786" s="6" t="inlineStr">
        <is>
          <t>Informado</t>
        </is>
      </c>
      <c r="K786" s="6" t="inlineStr">
        <is>
          <t>Demanda doméstica fixa informada pelo usuário.</t>
        </is>
      </c>
    </row>
    <row r="787">
      <c r="A787" s="6" t="inlineStr">
        <is>
          <t>Milho</t>
        </is>
      </c>
      <c r="B787" s="6" t="inlineStr">
        <is>
          <t>João Pessoa - PB</t>
        </is>
      </c>
      <c r="C787" s="6" t="n">
        <v>-7.11509</v>
      </c>
      <c r="D787" s="6" t="n">
        <v>-34.8641</v>
      </c>
      <c r="E787" s="6" t="inlineStr">
        <is>
          <t>2023-06</t>
        </is>
      </c>
      <c r="F787" s="6" t="n">
        <v>38081.8982982971</v>
      </c>
      <c r="G787" s="6" t="inlineStr">
        <is>
          <t>DOMESTICA</t>
        </is>
      </c>
      <c r="H787" s="6" t="inlineStr">
        <is>
          <t>FIXO</t>
        </is>
      </c>
      <c r="I787" s="11">
        <f>IF($H787="AUTO_OFERTA_TOTAL_PRODUTO_PERIODO",SUMIFS(Oferta!$F:$F,Oferta!$A:$A,$A787,Oferta!$E:$E,$E787),$F787)</f>
        <v/>
      </c>
      <c r="J787" s="6" t="inlineStr">
        <is>
          <t>Informado</t>
        </is>
      </c>
      <c r="K787" s="6" t="inlineStr">
        <is>
          <t>Demanda doméstica fixa informada pelo usuário.</t>
        </is>
      </c>
    </row>
    <row r="788">
      <c r="A788" s="6" t="inlineStr">
        <is>
          <t>Milho</t>
        </is>
      </c>
      <c r="B788" s="6" t="inlineStr">
        <is>
          <t>João Pessoa - PB</t>
        </is>
      </c>
      <c r="C788" s="6" t="n">
        <v>-7.11509</v>
      </c>
      <c r="D788" s="6" t="n">
        <v>-34.8641</v>
      </c>
      <c r="E788" s="6" t="inlineStr">
        <is>
          <t>2023-07</t>
        </is>
      </c>
      <c r="F788" s="6" t="n">
        <v>46912.4834109457</v>
      </c>
      <c r="G788" s="6" t="inlineStr">
        <is>
          <t>DOMESTICA</t>
        </is>
      </c>
      <c r="H788" s="6" t="inlineStr">
        <is>
          <t>FIXO</t>
        </is>
      </c>
      <c r="I788" s="11">
        <f>IF($H788="AUTO_OFERTA_TOTAL_PRODUTO_PERIODO",SUMIFS(Oferta!$F:$F,Oferta!$A:$A,$A788,Oferta!$E:$E,$E788),$F788)</f>
        <v/>
      </c>
      <c r="J788" s="6" t="inlineStr">
        <is>
          <t>Informado</t>
        </is>
      </c>
      <c r="K788" s="6" t="inlineStr">
        <is>
          <t>Demanda doméstica fixa informada pelo usuário.</t>
        </is>
      </c>
    </row>
    <row r="789">
      <c r="A789" s="6" t="inlineStr">
        <is>
          <t>Milho</t>
        </is>
      </c>
      <c r="B789" s="6" t="inlineStr">
        <is>
          <t>João Pessoa - PB</t>
        </is>
      </c>
      <c r="C789" s="6" t="n">
        <v>-7.11509</v>
      </c>
      <c r="D789" s="6" t="n">
        <v>-34.8641</v>
      </c>
      <c r="E789" s="6" t="inlineStr">
        <is>
          <t>2023-08</t>
        </is>
      </c>
      <c r="F789" s="6" t="n">
        <v>64573.6536362429</v>
      </c>
      <c r="G789" s="6" t="inlineStr">
        <is>
          <t>DOMESTICA</t>
        </is>
      </c>
      <c r="H789" s="6" t="inlineStr">
        <is>
          <t>FIXO</t>
        </is>
      </c>
      <c r="I789" s="11">
        <f>IF($H789="AUTO_OFERTA_TOTAL_PRODUTO_PERIODO",SUMIFS(Oferta!$F:$F,Oferta!$A:$A,$A789,Oferta!$E:$E,$E789),$F789)</f>
        <v/>
      </c>
      <c r="J789" s="6" t="inlineStr">
        <is>
          <t>Informado</t>
        </is>
      </c>
      <c r="K789" s="6" t="inlineStr">
        <is>
          <t>Demanda doméstica fixa informada pelo usuário.</t>
        </is>
      </c>
    </row>
    <row r="790">
      <c r="A790" s="6" t="inlineStr">
        <is>
          <t>Milho</t>
        </is>
      </c>
      <c r="B790" s="6" t="inlineStr">
        <is>
          <t>João Pessoa - PB</t>
        </is>
      </c>
      <c r="C790" s="6" t="n">
        <v>-7.11509</v>
      </c>
      <c r="D790" s="6" t="n">
        <v>-34.8641</v>
      </c>
      <c r="E790" s="6" t="inlineStr">
        <is>
          <t>2023-09</t>
        </is>
      </c>
      <c r="F790" s="6" t="n">
        <v>73404.2387488915</v>
      </c>
      <c r="G790" s="6" t="inlineStr">
        <is>
          <t>DOMESTICA</t>
        </is>
      </c>
      <c r="H790" s="6" t="inlineStr">
        <is>
          <t>FIXO</t>
        </is>
      </c>
      <c r="I790" s="11">
        <f>IF($H790="AUTO_OFERTA_TOTAL_PRODUTO_PERIODO",SUMIFS(Oferta!$F:$F,Oferta!$A:$A,$A790,Oferta!$E:$E,$E790),$F790)</f>
        <v/>
      </c>
      <c r="J790" s="6" t="inlineStr">
        <is>
          <t>Informado</t>
        </is>
      </c>
      <c r="K790" s="6" t="inlineStr">
        <is>
          <t>Demanda doméstica fixa informada pelo usuário.</t>
        </is>
      </c>
    </row>
    <row r="791">
      <c r="A791" s="6" t="inlineStr">
        <is>
          <t>Milho</t>
        </is>
      </c>
      <c r="B791" s="6" t="inlineStr">
        <is>
          <t>João Pessoa - PB</t>
        </is>
      </c>
      <c r="C791" s="6" t="n">
        <v>-7.11509</v>
      </c>
      <c r="D791" s="6" t="n">
        <v>-34.8641</v>
      </c>
      <c r="E791" s="6" t="inlineStr">
        <is>
          <t>2023-10</t>
        </is>
      </c>
      <c r="F791" s="6" t="n">
        <v>73404.2387488915</v>
      </c>
      <c r="G791" s="6" t="inlineStr">
        <is>
          <t>DOMESTICA</t>
        </is>
      </c>
      <c r="H791" s="6" t="inlineStr">
        <is>
          <t>FIXO</t>
        </is>
      </c>
      <c r="I791" s="11">
        <f>IF($H791="AUTO_OFERTA_TOTAL_PRODUTO_PERIODO",SUMIFS(Oferta!$F:$F,Oferta!$A:$A,$A791,Oferta!$E:$E,$E791),$F791)</f>
        <v/>
      </c>
      <c r="J791" s="6" t="inlineStr">
        <is>
          <t>Informado</t>
        </is>
      </c>
      <c r="K791" s="6" t="inlineStr">
        <is>
          <t>Demanda doméstica fixa informada pelo usuário.</t>
        </is>
      </c>
    </row>
    <row r="792">
      <c r="A792" s="6" t="inlineStr">
        <is>
          <t>Milho</t>
        </is>
      </c>
      <c r="B792" s="6" t="inlineStr">
        <is>
          <t>João Pessoa - PB</t>
        </is>
      </c>
      <c r="C792" s="6" t="n">
        <v>-7.11509</v>
      </c>
      <c r="D792" s="6" t="n">
        <v>-34.8641</v>
      </c>
      <c r="E792" s="6" t="inlineStr">
        <is>
          <t>2023-11</t>
        </is>
      </c>
      <c r="F792" s="6" t="n">
        <v>64573.6536362429</v>
      </c>
      <c r="G792" s="6" t="inlineStr">
        <is>
          <t>DOMESTICA</t>
        </is>
      </c>
      <c r="H792" s="6" t="inlineStr">
        <is>
          <t>FIXO</t>
        </is>
      </c>
      <c r="I792" s="11">
        <f>IF($H792="AUTO_OFERTA_TOTAL_PRODUTO_PERIODO",SUMIFS(Oferta!$F:$F,Oferta!$A:$A,$A792,Oferta!$E:$E,$E792),$F792)</f>
        <v/>
      </c>
      <c r="J792" s="6" t="inlineStr">
        <is>
          <t>Informado</t>
        </is>
      </c>
      <c r="K792" s="6" t="inlineStr">
        <is>
          <t>Demanda doméstica fixa informada pelo usuário.</t>
        </is>
      </c>
    </row>
    <row r="793">
      <c r="A793" s="6" t="inlineStr">
        <is>
          <t>Milho</t>
        </is>
      </c>
      <c r="B793" s="6" t="inlineStr">
        <is>
          <t>João Pessoa - PB</t>
        </is>
      </c>
      <c r="C793" s="6" t="n">
        <v>-7.11509</v>
      </c>
      <c r="D793" s="6" t="n">
        <v>-34.8641</v>
      </c>
      <c r="E793" s="6" t="inlineStr">
        <is>
          <t>2023-12</t>
        </is>
      </c>
      <c r="F793" s="6" t="n">
        <v>51327.77596727</v>
      </c>
      <c r="G793" s="6" t="inlineStr">
        <is>
          <t>DOMESTICA</t>
        </is>
      </c>
      <c r="H793" s="6" t="inlineStr">
        <is>
          <t>FIXO</t>
        </is>
      </c>
      <c r="I793" s="11">
        <f>IF($H793="AUTO_OFERTA_TOTAL_PRODUTO_PERIODO",SUMIFS(Oferta!$F:$F,Oferta!$A:$A,$A793,Oferta!$E:$E,$E793),$F793)</f>
        <v/>
      </c>
      <c r="J793" s="6" t="inlineStr">
        <is>
          <t>Informado</t>
        </is>
      </c>
      <c r="K793" s="6" t="inlineStr">
        <is>
          <t>Demanda doméstica fixa informada pelo usuário.</t>
        </is>
      </c>
    </row>
    <row r="794">
      <c r="A794" s="6" t="inlineStr">
        <is>
          <t>Milho</t>
        </is>
      </c>
      <c r="B794" s="6" t="inlineStr">
        <is>
          <t>Recife - PE</t>
        </is>
      </c>
      <c r="C794" s="6" t="n">
        <v>-8.046659999999999</v>
      </c>
      <c r="D794" s="6" t="n">
        <v>-34.8771</v>
      </c>
      <c r="E794" s="6" t="inlineStr">
        <is>
          <t>2023-01</t>
        </is>
      </c>
      <c r="F794" s="6" t="n">
        <v>116151.1079516771</v>
      </c>
      <c r="G794" s="6" t="inlineStr">
        <is>
          <t>DOMESTICA</t>
        </is>
      </c>
      <c r="H794" s="6" t="inlineStr">
        <is>
          <t>FIXO</t>
        </is>
      </c>
      <c r="I794" s="11">
        <f>IF($H794="AUTO_OFERTA_TOTAL_PRODUTO_PERIODO",SUMIFS(Oferta!$F:$F,Oferta!$A:$A,$A794,Oferta!$E:$E,$E794),$F794)</f>
        <v/>
      </c>
      <c r="J794" s="6" t="inlineStr">
        <is>
          <t>Informado</t>
        </is>
      </c>
      <c r="K794" s="6" t="inlineStr">
        <is>
          <t>Demanda doméstica fixa informada pelo usuário.</t>
        </is>
      </c>
    </row>
    <row r="795">
      <c r="A795" s="6" t="inlineStr">
        <is>
          <t>Milho</t>
        </is>
      </c>
      <c r="B795" s="6" t="inlineStr">
        <is>
          <t>Recife - PE</t>
        </is>
      </c>
      <c r="C795" s="6" t="n">
        <v>-8.046659999999999</v>
      </c>
      <c r="D795" s="6" t="n">
        <v>-34.8771</v>
      </c>
      <c r="E795" s="6" t="inlineStr">
        <is>
          <t>2023-02</t>
        </is>
      </c>
      <c r="F795" s="6" t="n">
        <v>94287.3699843026</v>
      </c>
      <c r="G795" s="6" t="inlineStr">
        <is>
          <t>DOMESTICA</t>
        </is>
      </c>
      <c r="H795" s="6" t="inlineStr">
        <is>
          <t>FIXO</t>
        </is>
      </c>
      <c r="I795" s="11">
        <f>IF($H795="AUTO_OFERTA_TOTAL_PRODUTO_PERIODO",SUMIFS(Oferta!$F:$F,Oferta!$A:$A,$A795,Oferta!$E:$E,$E795),$F795)</f>
        <v/>
      </c>
      <c r="J795" s="6" t="inlineStr">
        <is>
          <t>Informado</t>
        </is>
      </c>
      <c r="K795" s="6" t="inlineStr">
        <is>
          <t>Demanda doméstica fixa informada pelo usuário.</t>
        </is>
      </c>
    </row>
    <row r="796">
      <c r="A796" s="6" t="inlineStr">
        <is>
          <t>Milho</t>
        </is>
      </c>
      <c r="B796" s="6" t="inlineStr">
        <is>
          <t>Recife - PE</t>
        </is>
      </c>
      <c r="C796" s="6" t="n">
        <v>-8.046659999999999</v>
      </c>
      <c r="D796" s="6" t="n">
        <v>-34.8771</v>
      </c>
      <c r="E796" s="6" t="inlineStr">
        <is>
          <t>2023-03</t>
        </is>
      </c>
      <c r="F796" s="6" t="n">
        <v>72423.6320169281</v>
      </c>
      <c r="G796" s="6" t="inlineStr">
        <is>
          <t>DOMESTICA</t>
        </is>
      </c>
      <c r="H796" s="6" t="inlineStr">
        <is>
          <t>FIXO</t>
        </is>
      </c>
      <c r="I796" s="11">
        <f>IF($H796="AUTO_OFERTA_TOTAL_PRODUTO_PERIODO",SUMIFS(Oferta!$F:$F,Oferta!$A:$A,$A796,Oferta!$E:$E,$E796),$F796)</f>
        <v/>
      </c>
      <c r="J796" s="6" t="inlineStr">
        <is>
          <t>Informado</t>
        </is>
      </c>
      <c r="K796" s="6" t="inlineStr">
        <is>
          <t>Demanda doméstica fixa informada pelo usuário.</t>
        </is>
      </c>
    </row>
    <row r="797">
      <c r="A797" s="6" t="inlineStr">
        <is>
          <t>Milho</t>
        </is>
      </c>
      <c r="B797" s="6" t="inlineStr">
        <is>
          <t>Recife - PE</t>
        </is>
      </c>
      <c r="C797" s="6" t="n">
        <v>-8.046659999999999</v>
      </c>
      <c r="D797" s="6" t="n">
        <v>-34.8771</v>
      </c>
      <c r="E797" s="6" t="inlineStr">
        <is>
          <t>2023-04</t>
        </is>
      </c>
      <c r="F797" s="6" t="n">
        <v>72423.6320169281</v>
      </c>
      <c r="G797" s="6" t="inlineStr">
        <is>
          <t>DOMESTICA</t>
        </is>
      </c>
      <c r="H797" s="6" t="inlineStr">
        <is>
          <t>FIXO</t>
        </is>
      </c>
      <c r="I797" s="11">
        <f>IF($H797="AUTO_OFERTA_TOTAL_PRODUTO_PERIODO",SUMIFS(Oferta!$F:$F,Oferta!$A:$A,$A797,Oferta!$E:$E,$E797),$F797)</f>
        <v/>
      </c>
      <c r="J797" s="6" t="inlineStr">
        <is>
          <t>Informado</t>
        </is>
      </c>
      <c r="K797" s="6" t="inlineStr">
        <is>
          <t>Demanda doméstica fixa informada pelo usuário.</t>
        </is>
      </c>
    </row>
    <row r="798">
      <c r="A798" s="6" t="inlineStr">
        <is>
          <t>Milho</t>
        </is>
      </c>
      <c r="B798" s="6" t="inlineStr">
        <is>
          <t>Recife - PE</t>
        </is>
      </c>
      <c r="C798" s="6" t="n">
        <v>-8.046659999999999</v>
      </c>
      <c r="D798" s="6" t="n">
        <v>-34.8771</v>
      </c>
      <c r="E798" s="6" t="inlineStr">
        <is>
          <t>2023-05</t>
        </is>
      </c>
      <c r="F798" s="6" t="n">
        <v>94287.3699843026</v>
      </c>
      <c r="G798" s="6" t="inlineStr">
        <is>
          <t>DOMESTICA</t>
        </is>
      </c>
      <c r="H798" s="6" t="inlineStr">
        <is>
          <t>FIXO</t>
        </is>
      </c>
      <c r="I798" s="11">
        <f>IF($H798="AUTO_OFERTA_TOTAL_PRODUTO_PERIODO",SUMIFS(Oferta!$F:$F,Oferta!$A:$A,$A798,Oferta!$E:$E,$E798),$F798)</f>
        <v/>
      </c>
      <c r="J798" s="6" t="inlineStr">
        <is>
          <t>Informado</t>
        </is>
      </c>
      <c r="K798" s="6" t="inlineStr">
        <is>
          <t>Demanda doméstica fixa informada pelo usuário.</t>
        </is>
      </c>
    </row>
    <row r="799">
      <c r="A799" s="6" t="inlineStr">
        <is>
          <t>Milho</t>
        </is>
      </c>
      <c r="B799" s="6" t="inlineStr">
        <is>
          <t>Recife - PE</t>
        </is>
      </c>
      <c r="C799" s="6" t="n">
        <v>-8.046659999999999</v>
      </c>
      <c r="D799" s="6" t="n">
        <v>-34.8771</v>
      </c>
      <c r="E799" s="6" t="inlineStr">
        <is>
          <t>2023-06</t>
        </is>
      </c>
      <c r="F799" s="6" t="n">
        <v>181742.3218538006</v>
      </c>
      <c r="G799" s="6" t="inlineStr">
        <is>
          <t>DOMESTICA</t>
        </is>
      </c>
      <c r="H799" s="6" t="inlineStr">
        <is>
          <t>FIXO</t>
        </is>
      </c>
      <c r="I799" s="11">
        <f>IF($H799="AUTO_OFERTA_TOTAL_PRODUTO_PERIODO",SUMIFS(Oferta!$F:$F,Oferta!$A:$A,$A799,Oferta!$E:$E,$E799),$F799)</f>
        <v/>
      </c>
      <c r="J799" s="6" t="inlineStr">
        <is>
          <t>Informado</t>
        </is>
      </c>
      <c r="K799" s="6" t="inlineStr">
        <is>
          <t>Demanda doméstica fixa informada pelo usuário.</t>
        </is>
      </c>
    </row>
    <row r="800">
      <c r="A800" s="6" t="inlineStr">
        <is>
          <t>Milho</t>
        </is>
      </c>
      <c r="B800" s="6" t="inlineStr">
        <is>
          <t>Recife - PE</t>
        </is>
      </c>
      <c r="C800" s="6" t="n">
        <v>-8.046659999999999</v>
      </c>
      <c r="D800" s="6" t="n">
        <v>-34.8771</v>
      </c>
      <c r="E800" s="6" t="inlineStr">
        <is>
          <t>2023-07</t>
        </is>
      </c>
      <c r="F800" s="6" t="n">
        <v>225469.7977885496</v>
      </c>
      <c r="G800" s="6" t="inlineStr">
        <is>
          <t>DOMESTICA</t>
        </is>
      </c>
      <c r="H800" s="6" t="inlineStr">
        <is>
          <t>FIXO</t>
        </is>
      </c>
      <c r="I800" s="11">
        <f>IF($H800="AUTO_OFERTA_TOTAL_PRODUTO_PERIODO",SUMIFS(Oferta!$F:$F,Oferta!$A:$A,$A800,Oferta!$E:$E,$E800),$F800)</f>
        <v/>
      </c>
      <c r="J800" s="6" t="inlineStr">
        <is>
          <t>Informado</t>
        </is>
      </c>
      <c r="K800" s="6" t="inlineStr">
        <is>
          <t>Demanda doméstica fixa informada pelo usuário.</t>
        </is>
      </c>
    </row>
    <row r="801">
      <c r="A801" s="6" t="inlineStr">
        <is>
          <t>Milho</t>
        </is>
      </c>
      <c r="B801" s="6" t="inlineStr">
        <is>
          <t>Recife - PE</t>
        </is>
      </c>
      <c r="C801" s="6" t="n">
        <v>-8.046659999999999</v>
      </c>
      <c r="D801" s="6" t="n">
        <v>-34.8771</v>
      </c>
      <c r="E801" s="6" t="inlineStr">
        <is>
          <t>2023-08</t>
        </is>
      </c>
      <c r="F801" s="6" t="n">
        <v>225469.7977885496</v>
      </c>
      <c r="G801" s="6" t="inlineStr">
        <is>
          <t>DOMESTICA</t>
        </is>
      </c>
      <c r="H801" s="6" t="inlineStr">
        <is>
          <t>FIXO</t>
        </is>
      </c>
      <c r="I801" s="11">
        <f>IF($H801="AUTO_OFERTA_TOTAL_PRODUTO_PERIODO",SUMIFS(Oferta!$F:$F,Oferta!$A:$A,$A801,Oferta!$E:$E,$E801),$F801)</f>
        <v/>
      </c>
      <c r="J801" s="6" t="inlineStr">
        <is>
          <t>Informado</t>
        </is>
      </c>
      <c r="K801" s="6" t="inlineStr">
        <is>
          <t>Demanda doméstica fixa informada pelo usuário.</t>
        </is>
      </c>
    </row>
    <row r="802">
      <c r="A802" s="6" t="inlineStr">
        <is>
          <t>Milho</t>
        </is>
      </c>
      <c r="B802" s="6" t="inlineStr">
        <is>
          <t>Recife - PE</t>
        </is>
      </c>
      <c r="C802" s="6" t="n">
        <v>-8.046659999999999</v>
      </c>
      <c r="D802" s="6" t="n">
        <v>-34.8771</v>
      </c>
      <c r="E802" s="6" t="inlineStr">
        <is>
          <t>2023-09</t>
        </is>
      </c>
      <c r="F802" s="6" t="n">
        <v>203606.0598211751</v>
      </c>
      <c r="G802" s="6" t="inlineStr">
        <is>
          <t>DOMESTICA</t>
        </is>
      </c>
      <c r="H802" s="6" t="inlineStr">
        <is>
          <t>FIXO</t>
        </is>
      </c>
      <c r="I802" s="11">
        <f>IF($H802="AUTO_OFERTA_TOTAL_PRODUTO_PERIODO",SUMIFS(Oferta!$F:$F,Oferta!$A:$A,$A802,Oferta!$E:$E,$E802),$F802)</f>
        <v/>
      </c>
      <c r="J802" s="6" t="inlineStr">
        <is>
          <t>Informado</t>
        </is>
      </c>
      <c r="K802" s="6" t="inlineStr">
        <is>
          <t>Demanda doméstica fixa informada pelo usuário.</t>
        </is>
      </c>
    </row>
    <row r="803">
      <c r="A803" s="6" t="inlineStr">
        <is>
          <t>Milho</t>
        </is>
      </c>
      <c r="B803" s="6" t="inlineStr">
        <is>
          <t>Recife - PE</t>
        </is>
      </c>
      <c r="C803" s="6" t="n">
        <v>-8.046659999999999</v>
      </c>
      <c r="D803" s="6" t="n">
        <v>-34.8771</v>
      </c>
      <c r="E803" s="6" t="inlineStr">
        <is>
          <t>2023-10</t>
        </is>
      </c>
      <c r="F803" s="6" t="n">
        <v>181742.3218538006</v>
      </c>
      <c r="G803" s="6" t="inlineStr">
        <is>
          <t>DOMESTICA</t>
        </is>
      </c>
      <c r="H803" s="6" t="inlineStr">
        <is>
          <t>FIXO</t>
        </is>
      </c>
      <c r="I803" s="11">
        <f>IF($H803="AUTO_OFERTA_TOTAL_PRODUTO_PERIODO",SUMIFS(Oferta!$F:$F,Oferta!$A:$A,$A803,Oferta!$E:$E,$E803),$F803)</f>
        <v/>
      </c>
      <c r="J803" s="6" t="inlineStr">
        <is>
          <t>Informado</t>
        </is>
      </c>
      <c r="K803" s="6" t="inlineStr">
        <is>
          <t>Demanda doméstica fixa informada pelo usuário.</t>
        </is>
      </c>
    </row>
    <row r="804">
      <c r="A804" s="6" t="inlineStr">
        <is>
          <t>Milho</t>
        </is>
      </c>
      <c r="B804" s="6" t="inlineStr">
        <is>
          <t>Recife - PE</t>
        </is>
      </c>
      <c r="C804" s="6" t="n">
        <v>-8.046659999999999</v>
      </c>
      <c r="D804" s="6" t="n">
        <v>-34.8771</v>
      </c>
      <c r="E804" s="6" t="inlineStr">
        <is>
          <t>2023-11</t>
        </is>
      </c>
      <c r="F804" s="6" t="n">
        <v>181742.3218538006</v>
      </c>
      <c r="G804" s="6" t="inlineStr">
        <is>
          <t>DOMESTICA</t>
        </is>
      </c>
      <c r="H804" s="6" t="inlineStr">
        <is>
          <t>FIXO</t>
        </is>
      </c>
      <c r="I804" s="11">
        <f>IF($H804="AUTO_OFERTA_TOTAL_PRODUTO_PERIODO",SUMIFS(Oferta!$F:$F,Oferta!$A:$A,$A804,Oferta!$E:$E,$E804),$F804)</f>
        <v/>
      </c>
      <c r="J804" s="6" t="inlineStr">
        <is>
          <t>Informado</t>
        </is>
      </c>
      <c r="K804" s="6" t="inlineStr">
        <is>
          <t>Demanda doméstica fixa informada pelo usuário.</t>
        </is>
      </c>
    </row>
    <row r="805">
      <c r="A805" s="6" t="inlineStr">
        <is>
          <t>Milho</t>
        </is>
      </c>
      <c r="B805" s="6" t="inlineStr">
        <is>
          <t>Recife - PE</t>
        </is>
      </c>
      <c r="C805" s="6" t="n">
        <v>-8.046659999999999</v>
      </c>
      <c r="D805" s="6" t="n">
        <v>-34.8771</v>
      </c>
      <c r="E805" s="6" t="inlineStr">
        <is>
          <t>2023-12</t>
        </is>
      </c>
      <c r="F805" s="6" t="n">
        <v>138014.8459190516</v>
      </c>
      <c r="G805" s="6" t="inlineStr">
        <is>
          <t>DOMESTICA</t>
        </is>
      </c>
      <c r="H805" s="6" t="inlineStr">
        <is>
          <t>FIXO</t>
        </is>
      </c>
      <c r="I805" s="11">
        <f>IF($H805="AUTO_OFERTA_TOTAL_PRODUTO_PERIODO",SUMIFS(Oferta!$F:$F,Oferta!$A:$A,$A805,Oferta!$E:$E,$E805),$F805)</f>
        <v/>
      </c>
      <c r="J805" s="6" t="inlineStr">
        <is>
          <t>Informado</t>
        </is>
      </c>
      <c r="K805" s="6" t="inlineStr">
        <is>
          <t>Demanda doméstica fixa informada pelo usuário.</t>
        </is>
      </c>
    </row>
    <row r="806">
      <c r="A806" s="6" t="inlineStr">
        <is>
          <t>Milho</t>
        </is>
      </c>
      <c r="B806" s="6" t="inlineStr">
        <is>
          <t>Teresina - PI</t>
        </is>
      </c>
      <c r="C806" s="6" t="n">
        <v>-5.09194</v>
      </c>
      <c r="D806" s="6" t="n">
        <v>-42.8034</v>
      </c>
      <c r="E806" s="6" t="inlineStr">
        <is>
          <t>2023-01</t>
        </is>
      </c>
      <c r="F806" s="6" t="n">
        <v>29110.847131711</v>
      </c>
      <c r="G806" s="6" t="inlineStr">
        <is>
          <t>DOMESTICA</t>
        </is>
      </c>
      <c r="H806" s="6" t="inlineStr">
        <is>
          <t>FIXO</t>
        </is>
      </c>
      <c r="I806" s="11">
        <f>IF($H806="AUTO_OFERTA_TOTAL_PRODUTO_PERIODO",SUMIFS(Oferta!$F:$F,Oferta!$A:$A,$A806,Oferta!$E:$E,$E806),$F806)</f>
        <v/>
      </c>
      <c r="J806" s="6" t="inlineStr">
        <is>
          <t>Informado</t>
        </is>
      </c>
      <c r="K806" s="6" t="inlineStr">
        <is>
          <t>Demanda doméstica fixa informada pelo usuário.</t>
        </is>
      </c>
    </row>
    <row r="807">
      <c r="A807" s="6" t="inlineStr">
        <is>
          <t>Milho</t>
        </is>
      </c>
      <c r="B807" s="6" t="inlineStr">
        <is>
          <t>Teresina - PI</t>
        </is>
      </c>
      <c r="C807" s="6" t="n">
        <v>-5.09194</v>
      </c>
      <c r="D807" s="6" t="n">
        <v>-42.8034</v>
      </c>
      <c r="E807" s="6" t="inlineStr">
        <is>
          <t>2023-02</t>
        </is>
      </c>
      <c r="F807" s="6" t="n">
        <v>29110.847131711</v>
      </c>
      <c r="G807" s="6" t="inlineStr">
        <is>
          <t>DOMESTICA</t>
        </is>
      </c>
      <c r="H807" s="6" t="inlineStr">
        <is>
          <t>FIXO</t>
        </is>
      </c>
      <c r="I807" s="11">
        <f>IF($H807="AUTO_OFERTA_TOTAL_PRODUTO_PERIODO",SUMIFS(Oferta!$F:$F,Oferta!$A:$A,$A807,Oferta!$E:$E,$E807),$F807)</f>
        <v/>
      </c>
      <c r="J807" s="6" t="inlineStr">
        <is>
          <t>Informado</t>
        </is>
      </c>
      <c r="K807" s="6" t="inlineStr">
        <is>
          <t>Demanda doméstica fixa informada pelo usuário.</t>
        </is>
      </c>
    </row>
    <row r="808">
      <c r="A808" s="6" t="inlineStr">
        <is>
          <t>Milho</t>
        </is>
      </c>
      <c r="B808" s="6" t="inlineStr">
        <is>
          <t>Teresina - PI</t>
        </is>
      </c>
      <c r="C808" s="6" t="n">
        <v>-5.09194</v>
      </c>
      <c r="D808" s="6" t="n">
        <v>-42.8034</v>
      </c>
      <c r="E808" s="6" t="inlineStr">
        <is>
          <t>2023-03</t>
        </is>
      </c>
      <c r="F808" s="6" t="n">
        <v>33504.9372647995</v>
      </c>
      <c r="G808" s="6" t="inlineStr">
        <is>
          <t>DOMESTICA</t>
        </is>
      </c>
      <c r="H808" s="6" t="inlineStr">
        <is>
          <t>FIXO</t>
        </is>
      </c>
      <c r="I808" s="11">
        <f>IF($H808="AUTO_OFERTA_TOTAL_PRODUTO_PERIODO",SUMIFS(Oferta!$F:$F,Oferta!$A:$A,$A808,Oferta!$E:$E,$E808),$F808)</f>
        <v/>
      </c>
      <c r="J808" s="6" t="inlineStr">
        <is>
          <t>Informado</t>
        </is>
      </c>
      <c r="K808" s="6" t="inlineStr">
        <is>
          <t>Demanda doméstica fixa informada pelo usuário.</t>
        </is>
      </c>
    </row>
    <row r="809">
      <c r="A809" s="6" t="inlineStr">
        <is>
          <t>Milho</t>
        </is>
      </c>
      <c r="B809" s="6" t="inlineStr">
        <is>
          <t>Teresina - PI</t>
        </is>
      </c>
      <c r="C809" s="6" t="n">
        <v>-5.09194</v>
      </c>
      <c r="D809" s="6" t="n">
        <v>-42.8034</v>
      </c>
      <c r="E809" s="6" t="inlineStr">
        <is>
          <t>2023-04</t>
        </is>
      </c>
      <c r="F809" s="6" t="n">
        <v>42293.1175309764</v>
      </c>
      <c r="G809" s="6" t="inlineStr">
        <is>
          <t>DOMESTICA</t>
        </is>
      </c>
      <c r="H809" s="6" t="inlineStr">
        <is>
          <t>FIXO</t>
        </is>
      </c>
      <c r="I809" s="11">
        <f>IF($H809="AUTO_OFERTA_TOTAL_PRODUTO_PERIODO",SUMIFS(Oferta!$F:$F,Oferta!$A:$A,$A809,Oferta!$E:$E,$E809),$F809)</f>
        <v/>
      </c>
      <c r="J809" s="6" t="inlineStr">
        <is>
          <t>Informado</t>
        </is>
      </c>
      <c r="K809" s="6" t="inlineStr">
        <is>
          <t>Demanda doméstica fixa informada pelo usuário.</t>
        </is>
      </c>
    </row>
    <row r="810">
      <c r="A810" s="6" t="inlineStr">
        <is>
          <t>Milho</t>
        </is>
      </c>
      <c r="B810" s="6" t="inlineStr">
        <is>
          <t>Teresina - PI</t>
        </is>
      </c>
      <c r="C810" s="6" t="n">
        <v>-5.09194</v>
      </c>
      <c r="D810" s="6" t="n">
        <v>-42.8034</v>
      </c>
      <c r="E810" s="6" t="inlineStr">
        <is>
          <t>2023-05</t>
        </is>
      </c>
      <c r="F810" s="6" t="n">
        <v>59869.4780633303</v>
      </c>
      <c r="G810" s="6" t="inlineStr">
        <is>
          <t>DOMESTICA</t>
        </is>
      </c>
      <c r="H810" s="6" t="inlineStr">
        <is>
          <t>FIXO</t>
        </is>
      </c>
      <c r="I810" s="11">
        <f>IF($H810="AUTO_OFERTA_TOTAL_PRODUTO_PERIODO",SUMIFS(Oferta!$F:$F,Oferta!$A:$A,$A810,Oferta!$E:$E,$E810),$F810)</f>
        <v/>
      </c>
      <c r="J810" s="6" t="inlineStr">
        <is>
          <t>Informado</t>
        </is>
      </c>
      <c r="K810" s="6" t="inlineStr">
        <is>
          <t>Demanda doméstica fixa informada pelo usuário.</t>
        </is>
      </c>
    </row>
    <row r="811">
      <c r="A811" s="6" t="inlineStr">
        <is>
          <t>Milho</t>
        </is>
      </c>
      <c r="B811" s="6" t="inlineStr">
        <is>
          <t>Teresina - PI</t>
        </is>
      </c>
      <c r="C811" s="6" t="n">
        <v>-5.09194</v>
      </c>
      <c r="D811" s="6" t="n">
        <v>-42.8034</v>
      </c>
      <c r="E811" s="6" t="inlineStr">
        <is>
          <t>2023-06</t>
        </is>
      </c>
      <c r="F811" s="6" t="n">
        <v>81839.9287287726</v>
      </c>
      <c r="G811" s="6" t="inlineStr">
        <is>
          <t>DOMESTICA</t>
        </is>
      </c>
      <c r="H811" s="6" t="inlineStr">
        <is>
          <t>FIXO</t>
        </is>
      </c>
      <c r="I811" s="11">
        <f>IF($H811="AUTO_OFERTA_TOTAL_PRODUTO_PERIODO",SUMIFS(Oferta!$F:$F,Oferta!$A:$A,$A811,Oferta!$E:$E,$E811),$F811)</f>
        <v/>
      </c>
      <c r="J811" s="6" t="inlineStr">
        <is>
          <t>Informado</t>
        </is>
      </c>
      <c r="K811" s="6" t="inlineStr">
        <is>
          <t>Demanda doméstica fixa informada pelo usuário.</t>
        </is>
      </c>
    </row>
    <row r="812">
      <c r="A812" s="6" t="inlineStr">
        <is>
          <t>Milho</t>
        </is>
      </c>
      <c r="B812" s="6" t="inlineStr">
        <is>
          <t>Teresina - PI</t>
        </is>
      </c>
      <c r="C812" s="6" t="n">
        <v>-5.09194</v>
      </c>
      <c r="D812" s="6" t="n">
        <v>-42.8034</v>
      </c>
      <c r="E812" s="6" t="inlineStr">
        <is>
          <t>2023-07</t>
        </is>
      </c>
      <c r="F812" s="6" t="n">
        <v>99416.2892611264</v>
      </c>
      <c r="G812" s="6" t="inlineStr">
        <is>
          <t>DOMESTICA</t>
        </is>
      </c>
      <c r="H812" s="6" t="inlineStr">
        <is>
          <t>FIXO</t>
        </is>
      </c>
      <c r="I812" s="11">
        <f>IF($H812="AUTO_OFERTA_TOTAL_PRODUTO_PERIODO",SUMIFS(Oferta!$F:$F,Oferta!$A:$A,$A812,Oferta!$E:$E,$E812),$F812)</f>
        <v/>
      </c>
      <c r="J812" s="6" t="inlineStr">
        <is>
          <t>Informado</t>
        </is>
      </c>
      <c r="K812" s="6" t="inlineStr">
        <is>
          <t>Demanda doméstica fixa informada pelo usuário.</t>
        </is>
      </c>
    </row>
    <row r="813">
      <c r="A813" s="6" t="inlineStr">
        <is>
          <t>Milho</t>
        </is>
      </c>
      <c r="B813" s="6" t="inlineStr">
        <is>
          <t>Teresina - PI</t>
        </is>
      </c>
      <c r="C813" s="6" t="n">
        <v>-5.09194</v>
      </c>
      <c r="D813" s="6" t="n">
        <v>-42.8034</v>
      </c>
      <c r="E813" s="6" t="inlineStr">
        <is>
          <t>2023-08</t>
        </is>
      </c>
      <c r="F813" s="6" t="n">
        <v>99416.2892611264</v>
      </c>
      <c r="G813" s="6" t="inlineStr">
        <is>
          <t>DOMESTICA</t>
        </is>
      </c>
      <c r="H813" s="6" t="inlineStr">
        <is>
          <t>FIXO</t>
        </is>
      </c>
      <c r="I813" s="11">
        <f>IF($H813="AUTO_OFERTA_TOTAL_PRODUTO_PERIODO",SUMIFS(Oferta!$F:$F,Oferta!$A:$A,$A813,Oferta!$E:$E,$E813),$F813)</f>
        <v/>
      </c>
      <c r="J813" s="6" t="inlineStr">
        <is>
          <t>Informado</t>
        </is>
      </c>
      <c r="K813" s="6" t="inlineStr">
        <is>
          <t>Demanda doméstica fixa informada pelo usuário.</t>
        </is>
      </c>
    </row>
    <row r="814">
      <c r="A814" s="6" t="inlineStr">
        <is>
          <t>Milho</t>
        </is>
      </c>
      <c r="B814" s="6" t="inlineStr">
        <is>
          <t>Teresina - PI</t>
        </is>
      </c>
      <c r="C814" s="6" t="n">
        <v>-5.09194</v>
      </c>
      <c r="D814" s="6" t="n">
        <v>-42.8034</v>
      </c>
      <c r="E814" s="6" t="inlineStr">
        <is>
          <t>2023-09</t>
        </is>
      </c>
      <c r="F814" s="6" t="n">
        <v>81839.9287287726</v>
      </c>
      <c r="G814" s="6" t="inlineStr">
        <is>
          <t>DOMESTICA</t>
        </is>
      </c>
      <c r="H814" s="6" t="inlineStr">
        <is>
          <t>FIXO</t>
        </is>
      </c>
      <c r="I814" s="11">
        <f>IF($H814="AUTO_OFERTA_TOTAL_PRODUTO_PERIODO",SUMIFS(Oferta!$F:$F,Oferta!$A:$A,$A814,Oferta!$E:$E,$E814),$F814)</f>
        <v/>
      </c>
      <c r="J814" s="6" t="inlineStr">
        <is>
          <t>Informado</t>
        </is>
      </c>
      <c r="K814" s="6" t="inlineStr">
        <is>
          <t>Demanda doméstica fixa informada pelo usuário.</t>
        </is>
      </c>
    </row>
    <row r="815">
      <c r="A815" s="6" t="inlineStr">
        <is>
          <t>Milho</t>
        </is>
      </c>
      <c r="B815" s="6" t="inlineStr">
        <is>
          <t>Teresina - PI</t>
        </is>
      </c>
      <c r="C815" s="6" t="n">
        <v>-5.09194</v>
      </c>
      <c r="D815" s="6" t="n">
        <v>-42.8034</v>
      </c>
      <c r="E815" s="6" t="inlineStr">
        <is>
          <t>2023-10</t>
        </is>
      </c>
      <c r="F815" s="6" t="n">
        <v>55475.3879302418</v>
      </c>
      <c r="G815" s="6" t="inlineStr">
        <is>
          <t>DOMESTICA</t>
        </is>
      </c>
      <c r="H815" s="6" t="inlineStr">
        <is>
          <t>FIXO</t>
        </is>
      </c>
      <c r="I815" s="11">
        <f>IF($H815="AUTO_OFERTA_TOTAL_PRODUTO_PERIODO",SUMIFS(Oferta!$F:$F,Oferta!$A:$A,$A815,Oferta!$E:$E,$E815),$F815)</f>
        <v/>
      </c>
      <c r="J815" s="6" t="inlineStr">
        <is>
          <t>Informado</t>
        </is>
      </c>
      <c r="K815" s="6" t="inlineStr">
        <is>
          <t>Demanda doméstica fixa informada pelo usuário.</t>
        </is>
      </c>
    </row>
    <row r="816">
      <c r="A816" s="6" t="inlineStr">
        <is>
          <t>Milho</t>
        </is>
      </c>
      <c r="B816" s="6" t="inlineStr">
        <is>
          <t>Teresina - PI</t>
        </is>
      </c>
      <c r="C816" s="6" t="n">
        <v>-5.09194</v>
      </c>
      <c r="D816" s="6" t="n">
        <v>-42.8034</v>
      </c>
      <c r="E816" s="6" t="inlineStr">
        <is>
          <t>2023-11</t>
        </is>
      </c>
      <c r="F816" s="6" t="n">
        <v>37899.027397888</v>
      </c>
      <c r="G816" s="6" t="inlineStr">
        <is>
          <t>DOMESTICA</t>
        </is>
      </c>
      <c r="H816" s="6" t="inlineStr">
        <is>
          <t>FIXO</t>
        </is>
      </c>
      <c r="I816" s="11">
        <f>IF($H816="AUTO_OFERTA_TOTAL_PRODUTO_PERIODO",SUMIFS(Oferta!$F:$F,Oferta!$A:$A,$A816,Oferta!$E:$E,$E816),$F816)</f>
        <v/>
      </c>
      <c r="J816" s="6" t="inlineStr">
        <is>
          <t>Informado</t>
        </is>
      </c>
      <c r="K816" s="6" t="inlineStr">
        <is>
          <t>Demanda doméstica fixa informada pelo usuário.</t>
        </is>
      </c>
    </row>
    <row r="817">
      <c r="A817" s="6" t="inlineStr">
        <is>
          <t>Milho</t>
        </is>
      </c>
      <c r="B817" s="6" t="inlineStr">
        <is>
          <t>Teresina - PI</t>
        </is>
      </c>
      <c r="C817" s="6" t="n">
        <v>-5.09194</v>
      </c>
      <c r="D817" s="6" t="n">
        <v>-42.8034</v>
      </c>
      <c r="E817" s="6" t="inlineStr">
        <is>
          <t>2023-12</t>
        </is>
      </c>
      <c r="F817" s="6" t="n">
        <v>29110.847131711</v>
      </c>
      <c r="G817" s="6" t="inlineStr">
        <is>
          <t>DOMESTICA</t>
        </is>
      </c>
      <c r="H817" s="6" t="inlineStr">
        <is>
          <t>FIXO</t>
        </is>
      </c>
      <c r="I817" s="11">
        <f>IF($H817="AUTO_OFERTA_TOTAL_PRODUTO_PERIODO",SUMIFS(Oferta!$F:$F,Oferta!$A:$A,$A817,Oferta!$E:$E,$E817),$F817)</f>
        <v/>
      </c>
      <c r="J817" s="6" t="inlineStr">
        <is>
          <t>Informado</t>
        </is>
      </c>
      <c r="K817" s="6" t="inlineStr">
        <is>
          <t>Demanda doméstica fixa informada pelo usuário.</t>
        </is>
      </c>
    </row>
    <row r="818">
      <c r="A818" s="6" t="inlineStr">
        <is>
          <t>Milho</t>
        </is>
      </c>
      <c r="B818" s="6" t="inlineStr">
        <is>
          <t>Aracaju - SE</t>
        </is>
      </c>
      <c r="C818" s="6" t="n">
        <v>-10.9091</v>
      </c>
      <c r="D818" s="6" t="n">
        <v>-37.0677</v>
      </c>
      <c r="E818" s="6" t="inlineStr">
        <is>
          <t>2023-01</t>
        </is>
      </c>
      <c r="F818" s="6" t="n">
        <v>51141.8952795058</v>
      </c>
      <c r="G818" s="6" t="inlineStr">
        <is>
          <t>DOMESTICA</t>
        </is>
      </c>
      <c r="H818" s="6" t="inlineStr">
        <is>
          <t>FIXO</t>
        </is>
      </c>
      <c r="I818" s="11">
        <f>IF($H818="AUTO_OFERTA_TOTAL_PRODUTO_PERIODO",SUMIFS(Oferta!$F:$F,Oferta!$A:$A,$A818,Oferta!$E:$E,$E818),$F818)</f>
        <v/>
      </c>
      <c r="J818" s="6" t="inlineStr">
        <is>
          <t>Informado</t>
        </is>
      </c>
      <c r="K818" s="6" t="inlineStr">
        <is>
          <t>Demanda doméstica fixa informada pelo usuário.</t>
        </is>
      </c>
    </row>
    <row r="819">
      <c r="A819" s="6" t="inlineStr">
        <is>
          <t>Milho</t>
        </is>
      </c>
      <c r="B819" s="6" t="inlineStr">
        <is>
          <t>Aracaju - SE</t>
        </is>
      </c>
      <c r="C819" s="6" t="n">
        <v>-10.9091</v>
      </c>
      <c r="D819" s="6" t="n">
        <v>-37.0677</v>
      </c>
      <c r="E819" s="6" t="inlineStr">
        <is>
          <t>2023-02</t>
        </is>
      </c>
      <c r="F819" s="6" t="n">
        <v>30160.6049084265</v>
      </c>
      <c r="G819" s="6" t="inlineStr">
        <is>
          <t>DOMESTICA</t>
        </is>
      </c>
      <c r="H819" s="6" t="inlineStr">
        <is>
          <t>FIXO</t>
        </is>
      </c>
      <c r="I819" s="11">
        <f>IF($H819="AUTO_OFERTA_TOTAL_PRODUTO_PERIODO",SUMIFS(Oferta!$F:$F,Oferta!$A:$A,$A819,Oferta!$E:$E,$E819),$F819)</f>
        <v/>
      </c>
      <c r="J819" s="6" t="inlineStr">
        <is>
          <t>Informado</t>
        </is>
      </c>
      <c r="K819" s="6" t="inlineStr">
        <is>
          <t>Demanda doméstica fixa informada pelo usuário.</t>
        </is>
      </c>
    </row>
    <row r="820">
      <c r="A820" s="6" t="inlineStr">
        <is>
          <t>Milho</t>
        </is>
      </c>
      <c r="B820" s="6" t="inlineStr">
        <is>
          <t>Aracaju - SE</t>
        </is>
      </c>
      <c r="C820" s="6" t="n">
        <v>-10.9091</v>
      </c>
      <c r="D820" s="6" t="n">
        <v>-37.0677</v>
      </c>
      <c r="E820" s="6" t="inlineStr">
        <is>
          <t>2023-03</t>
        </is>
      </c>
      <c r="F820" s="6" t="n">
        <v>23166.8414514001</v>
      </c>
      <c r="G820" s="6" t="inlineStr">
        <is>
          <t>DOMESTICA</t>
        </is>
      </c>
      <c r="H820" s="6" t="inlineStr">
        <is>
          <t>FIXO</t>
        </is>
      </c>
      <c r="I820" s="11">
        <f>IF($H820="AUTO_OFERTA_TOTAL_PRODUTO_PERIODO",SUMIFS(Oferta!$F:$F,Oferta!$A:$A,$A820,Oferta!$E:$E,$E820),$F820)</f>
        <v/>
      </c>
      <c r="J820" s="6" t="inlineStr">
        <is>
          <t>Informado</t>
        </is>
      </c>
      <c r="K820" s="6" t="inlineStr">
        <is>
          <t>Demanda doméstica fixa informada pelo usuário.</t>
        </is>
      </c>
    </row>
    <row r="821">
      <c r="A821" s="6" t="inlineStr">
        <is>
          <t>Milho</t>
        </is>
      </c>
      <c r="B821" s="6" t="inlineStr">
        <is>
          <t>Aracaju - SE</t>
        </is>
      </c>
      <c r="C821" s="6" t="n">
        <v>-10.9091</v>
      </c>
      <c r="D821" s="6" t="n">
        <v>-37.0677</v>
      </c>
      <c r="E821" s="6" t="inlineStr">
        <is>
          <t>2023-04</t>
        </is>
      </c>
      <c r="F821" s="6" t="n">
        <v>23166.8414514001</v>
      </c>
      <c r="G821" s="6" t="inlineStr">
        <is>
          <t>DOMESTICA</t>
        </is>
      </c>
      <c r="H821" s="6" t="inlineStr">
        <is>
          <t>FIXO</t>
        </is>
      </c>
      <c r="I821" s="11">
        <f>IF($H821="AUTO_OFERTA_TOTAL_PRODUTO_PERIODO",SUMIFS(Oferta!$F:$F,Oferta!$A:$A,$A821,Oferta!$E:$E,$E821),$F821)</f>
        <v/>
      </c>
      <c r="J821" s="6" t="inlineStr">
        <is>
          <t>Informado</t>
        </is>
      </c>
      <c r="K821" s="6" t="inlineStr">
        <is>
          <t>Demanda doméstica fixa informada pelo usuário.</t>
        </is>
      </c>
    </row>
    <row r="822">
      <c r="A822" s="6" t="inlineStr">
        <is>
          <t>Milho</t>
        </is>
      </c>
      <c r="B822" s="6" t="inlineStr">
        <is>
          <t>Aracaju - SE</t>
        </is>
      </c>
      <c r="C822" s="6" t="n">
        <v>-10.9091</v>
      </c>
      <c r="D822" s="6" t="n">
        <v>-37.0677</v>
      </c>
      <c r="E822" s="6" t="inlineStr">
        <is>
          <t>2023-05</t>
        </is>
      </c>
      <c r="F822" s="6" t="n">
        <v>23166.8414514001</v>
      </c>
      <c r="G822" s="6" t="inlineStr">
        <is>
          <t>DOMESTICA</t>
        </is>
      </c>
      <c r="H822" s="6" t="inlineStr">
        <is>
          <t>FIXO</t>
        </is>
      </c>
      <c r="I822" s="11">
        <f>IF($H822="AUTO_OFERTA_TOTAL_PRODUTO_PERIODO",SUMIFS(Oferta!$F:$F,Oferta!$A:$A,$A822,Oferta!$E:$E,$E822),$F822)</f>
        <v/>
      </c>
      <c r="J822" s="6" t="inlineStr">
        <is>
          <t>Informado</t>
        </is>
      </c>
      <c r="K822" s="6" t="inlineStr">
        <is>
          <t>Demanda doméstica fixa informada pelo usuário.</t>
        </is>
      </c>
    </row>
    <row r="823">
      <c r="A823" s="6" t="inlineStr">
        <is>
          <t>Milho</t>
        </is>
      </c>
      <c r="B823" s="6" t="inlineStr">
        <is>
          <t>Aracaju - SE</t>
        </is>
      </c>
      <c r="C823" s="6" t="n">
        <v>-10.9091</v>
      </c>
      <c r="D823" s="6" t="n">
        <v>-37.0677</v>
      </c>
      <c r="E823" s="6" t="inlineStr">
        <is>
          <t>2023-06</t>
        </is>
      </c>
      <c r="F823" s="6" t="n">
        <v>23166.8414514001</v>
      </c>
      <c r="G823" s="6" t="inlineStr">
        <is>
          <t>DOMESTICA</t>
        </is>
      </c>
      <c r="H823" s="6" t="inlineStr">
        <is>
          <t>FIXO</t>
        </is>
      </c>
      <c r="I823" s="11">
        <f>IF($H823="AUTO_OFERTA_TOTAL_PRODUTO_PERIODO",SUMIFS(Oferta!$F:$F,Oferta!$A:$A,$A823,Oferta!$E:$E,$E823),$F823)</f>
        <v/>
      </c>
      <c r="J823" s="6" t="inlineStr">
        <is>
          <t>Informado</t>
        </is>
      </c>
      <c r="K823" s="6" t="inlineStr">
        <is>
          <t>Demanda doméstica fixa informada pelo usuário.</t>
        </is>
      </c>
    </row>
    <row r="824">
      <c r="A824" s="6" t="inlineStr">
        <is>
          <t>Milho</t>
        </is>
      </c>
      <c r="B824" s="6" t="inlineStr">
        <is>
          <t>Aracaju - SE</t>
        </is>
      </c>
      <c r="C824" s="6" t="n">
        <v>-10.9091</v>
      </c>
      <c r="D824" s="6" t="n">
        <v>-37.0677</v>
      </c>
      <c r="E824" s="6" t="inlineStr">
        <is>
          <t>2023-07</t>
        </is>
      </c>
      <c r="F824" s="6" t="n">
        <v>23166.8414514001</v>
      </c>
      <c r="G824" s="6" t="inlineStr">
        <is>
          <t>DOMESTICA</t>
        </is>
      </c>
      <c r="H824" s="6" t="inlineStr">
        <is>
          <t>FIXO</t>
        </is>
      </c>
      <c r="I824" s="11">
        <f>IF($H824="AUTO_OFERTA_TOTAL_PRODUTO_PERIODO",SUMIFS(Oferta!$F:$F,Oferta!$A:$A,$A824,Oferta!$E:$E,$E824),$F824)</f>
        <v/>
      </c>
      <c r="J824" s="6" t="inlineStr">
        <is>
          <t>Informado</t>
        </is>
      </c>
      <c r="K824" s="6" t="inlineStr">
        <is>
          <t>Demanda doméstica fixa informada pelo usuário.</t>
        </is>
      </c>
    </row>
    <row r="825">
      <c r="A825" s="6" t="inlineStr">
        <is>
          <t>Milho</t>
        </is>
      </c>
      <c r="B825" s="6" t="inlineStr">
        <is>
          <t>Aracaju - SE</t>
        </is>
      </c>
      <c r="C825" s="6" t="n">
        <v>-10.9091</v>
      </c>
      <c r="D825" s="6" t="n">
        <v>-37.0677</v>
      </c>
      <c r="E825" s="6" t="inlineStr">
        <is>
          <t>2023-08</t>
        </is>
      </c>
      <c r="F825" s="6" t="n">
        <v>23166.8414514001</v>
      </c>
      <c r="G825" s="6" t="inlineStr">
        <is>
          <t>DOMESTICA</t>
        </is>
      </c>
      <c r="H825" s="6" t="inlineStr">
        <is>
          <t>FIXO</t>
        </is>
      </c>
      <c r="I825" s="11">
        <f>IF($H825="AUTO_OFERTA_TOTAL_PRODUTO_PERIODO",SUMIFS(Oferta!$F:$F,Oferta!$A:$A,$A825,Oferta!$E:$E,$E825),$F825)</f>
        <v/>
      </c>
      <c r="J825" s="6" t="inlineStr">
        <is>
          <t>Informado</t>
        </is>
      </c>
      <c r="K825" s="6" t="inlineStr">
        <is>
          <t>Demanda doméstica fixa informada pelo usuário.</t>
        </is>
      </c>
    </row>
    <row r="826">
      <c r="A826" s="6" t="inlineStr">
        <is>
          <t>Milho</t>
        </is>
      </c>
      <c r="B826" s="6" t="inlineStr">
        <is>
          <t>Aracaju - SE</t>
        </is>
      </c>
      <c r="C826" s="6" t="n">
        <v>-10.9091</v>
      </c>
      <c r="D826" s="6" t="n">
        <v>-37.0677</v>
      </c>
      <c r="E826" s="6" t="inlineStr">
        <is>
          <t>2023-09</t>
        </is>
      </c>
      <c r="F826" s="6" t="n">
        <v>26663.7231799133</v>
      </c>
      <c r="G826" s="6" t="inlineStr">
        <is>
          <t>DOMESTICA</t>
        </is>
      </c>
      <c r="H826" s="6" t="inlineStr">
        <is>
          <t>FIXO</t>
        </is>
      </c>
      <c r="I826" s="11">
        <f>IF($H826="AUTO_OFERTA_TOTAL_PRODUTO_PERIODO",SUMIFS(Oferta!$F:$F,Oferta!$A:$A,$A826,Oferta!$E:$E,$E826),$F826)</f>
        <v/>
      </c>
      <c r="J826" s="6" t="inlineStr">
        <is>
          <t>Informado</t>
        </is>
      </c>
      <c r="K826" s="6" t="inlineStr">
        <is>
          <t>Demanda doméstica fixa informada pelo usuário.</t>
        </is>
      </c>
    </row>
    <row r="827">
      <c r="A827" s="6" t="inlineStr">
        <is>
          <t>Milho</t>
        </is>
      </c>
      <c r="B827" s="6" t="inlineStr">
        <is>
          <t>Aracaju - SE</t>
        </is>
      </c>
      <c r="C827" s="6" t="n">
        <v>-10.9091</v>
      </c>
      <c r="D827" s="6" t="n">
        <v>-37.0677</v>
      </c>
      <c r="E827" s="6" t="inlineStr">
        <is>
          <t>2023-10</t>
        </is>
      </c>
      <c r="F827" s="6" t="n">
        <v>33657.4866369397</v>
      </c>
      <c r="G827" s="6" t="inlineStr">
        <is>
          <t>DOMESTICA</t>
        </is>
      </c>
      <c r="H827" s="6" t="inlineStr">
        <is>
          <t>FIXO</t>
        </is>
      </c>
      <c r="I827" s="11">
        <f>IF($H827="AUTO_OFERTA_TOTAL_PRODUTO_PERIODO",SUMIFS(Oferta!$F:$F,Oferta!$A:$A,$A827,Oferta!$E:$E,$E827),$F827)</f>
        <v/>
      </c>
      <c r="J827" s="6" t="inlineStr">
        <is>
          <t>Informado</t>
        </is>
      </c>
      <c r="K827" s="6" t="inlineStr">
        <is>
          <t>Demanda doméstica fixa informada pelo usuário.</t>
        </is>
      </c>
    </row>
    <row r="828">
      <c r="A828" s="6" t="inlineStr">
        <is>
          <t>Milho</t>
        </is>
      </c>
      <c r="B828" s="6" t="inlineStr">
        <is>
          <t>Aracaju - SE</t>
        </is>
      </c>
      <c r="C828" s="6" t="n">
        <v>-10.9091</v>
      </c>
      <c r="D828" s="6" t="n">
        <v>-37.0677</v>
      </c>
      <c r="E828" s="6" t="inlineStr">
        <is>
          <t>2023-11</t>
        </is>
      </c>
      <c r="F828" s="6" t="n">
        <v>54638.7770080191</v>
      </c>
      <c r="G828" s="6" t="inlineStr">
        <is>
          <t>DOMESTICA</t>
        </is>
      </c>
      <c r="H828" s="6" t="inlineStr">
        <is>
          <t>FIXO</t>
        </is>
      </c>
      <c r="I828" s="11">
        <f>IF($H828="AUTO_OFERTA_TOTAL_PRODUTO_PERIODO",SUMIFS(Oferta!$F:$F,Oferta!$A:$A,$A828,Oferta!$E:$E,$E828),$F828)</f>
        <v/>
      </c>
      <c r="J828" s="6" t="inlineStr">
        <is>
          <t>Informado</t>
        </is>
      </c>
      <c r="K828" s="6" t="inlineStr">
        <is>
          <t>Demanda doméstica fixa informada pelo usuário.</t>
        </is>
      </c>
    </row>
    <row r="829">
      <c r="A829" s="6" t="inlineStr">
        <is>
          <t>Milho</t>
        </is>
      </c>
      <c r="B829" s="6" t="inlineStr">
        <is>
          <t>Aracaju - SE</t>
        </is>
      </c>
      <c r="C829" s="6" t="n">
        <v>-10.9091</v>
      </c>
      <c r="D829" s="6" t="n">
        <v>-37.0677</v>
      </c>
      <c r="E829" s="6" t="inlineStr">
        <is>
          <t>2023-12</t>
        </is>
      </c>
      <c r="F829" s="6" t="n">
        <v>58135.6587365323</v>
      </c>
      <c r="G829" s="6" t="inlineStr">
        <is>
          <t>DOMESTICA</t>
        </is>
      </c>
      <c r="H829" s="6" t="inlineStr">
        <is>
          <t>FIXO</t>
        </is>
      </c>
      <c r="I829" s="11">
        <f>IF($H829="AUTO_OFERTA_TOTAL_PRODUTO_PERIODO",SUMIFS(Oferta!$F:$F,Oferta!$A:$A,$A829,Oferta!$E:$E,$E829),$F829)</f>
        <v/>
      </c>
      <c r="J829" s="6" t="inlineStr">
        <is>
          <t>Informado</t>
        </is>
      </c>
      <c r="K829" s="6" t="inlineStr">
        <is>
          <t>Demanda doméstica fixa informada pelo usuário.</t>
        </is>
      </c>
    </row>
    <row r="830">
      <c r="A830" s="6" t="inlineStr">
        <is>
          <t>Milho</t>
        </is>
      </c>
      <c r="B830" s="6" t="inlineStr">
        <is>
          <t>Natal - RN</t>
        </is>
      </c>
      <c r="C830" s="6" t="n">
        <v>-5.79357</v>
      </c>
      <c r="D830" s="6" t="n">
        <v>-35.1986</v>
      </c>
      <c r="E830" s="6" t="inlineStr">
        <is>
          <t>2023-01</t>
        </is>
      </c>
      <c r="F830" s="6" t="n">
        <v>28305.5408301175</v>
      </c>
      <c r="G830" s="6" t="inlineStr">
        <is>
          <t>DOMESTICA</t>
        </is>
      </c>
      <c r="H830" s="6" t="inlineStr">
        <is>
          <t>FIXO</t>
        </is>
      </c>
      <c r="I830" s="11">
        <f>IF($H830="AUTO_OFERTA_TOTAL_PRODUTO_PERIODO",SUMIFS(Oferta!$F:$F,Oferta!$A:$A,$A830,Oferta!$E:$E,$E830),$F830)</f>
        <v/>
      </c>
      <c r="J830" s="6" t="inlineStr">
        <is>
          <t>Informado</t>
        </is>
      </c>
      <c r="K830" s="6" t="inlineStr">
        <is>
          <t>Demanda doméstica fixa informada pelo usuário.</t>
        </is>
      </c>
    </row>
    <row r="831">
      <c r="A831" s="6" t="inlineStr">
        <is>
          <t>Milho</t>
        </is>
      </c>
      <c r="B831" s="6" t="inlineStr">
        <is>
          <t>Natal - RN</t>
        </is>
      </c>
      <c r="C831" s="6" t="n">
        <v>-5.79357</v>
      </c>
      <c r="D831" s="6" t="n">
        <v>-35.1986</v>
      </c>
      <c r="E831" s="6" t="inlineStr">
        <is>
          <t>2023-02</t>
        </is>
      </c>
      <c r="F831" s="6" t="n">
        <v>28305.5408301175</v>
      </c>
      <c r="G831" s="6" t="inlineStr">
        <is>
          <t>DOMESTICA</t>
        </is>
      </c>
      <c r="H831" s="6" t="inlineStr">
        <is>
          <t>FIXO</t>
        </is>
      </c>
      <c r="I831" s="11">
        <f>IF($H831="AUTO_OFERTA_TOTAL_PRODUTO_PERIODO",SUMIFS(Oferta!$F:$F,Oferta!$A:$A,$A831,Oferta!$E:$E,$E831),$F831)</f>
        <v/>
      </c>
      <c r="J831" s="6" t="inlineStr">
        <is>
          <t>Informado</t>
        </is>
      </c>
      <c r="K831" s="6" t="inlineStr">
        <is>
          <t>Demanda doméstica fixa informada pelo usuário.</t>
        </is>
      </c>
    </row>
    <row r="832">
      <c r="A832" s="6" t="inlineStr">
        <is>
          <t>Milho</t>
        </is>
      </c>
      <c r="B832" s="6" t="inlineStr">
        <is>
          <t>Natal - RN</t>
        </is>
      </c>
      <c r="C832" s="6" t="n">
        <v>-5.79357</v>
      </c>
      <c r="D832" s="6" t="n">
        <v>-35.1986</v>
      </c>
      <c r="E832" s="6" t="inlineStr">
        <is>
          <t>2023-03</t>
        </is>
      </c>
      <c r="F832" s="6" t="n">
        <v>28305.5408301175</v>
      </c>
      <c r="G832" s="6" t="inlineStr">
        <is>
          <t>DOMESTICA</t>
        </is>
      </c>
      <c r="H832" s="6" t="inlineStr">
        <is>
          <t>FIXO</t>
        </is>
      </c>
      <c r="I832" s="11">
        <f>IF($H832="AUTO_OFERTA_TOTAL_PRODUTO_PERIODO",SUMIFS(Oferta!$F:$F,Oferta!$A:$A,$A832,Oferta!$E:$E,$E832),$F832)</f>
        <v/>
      </c>
      <c r="J832" s="6" t="inlineStr">
        <is>
          <t>Informado</t>
        </is>
      </c>
      <c r="K832" s="6" t="inlineStr">
        <is>
          <t>Demanda doméstica fixa informada pelo usuário.</t>
        </is>
      </c>
    </row>
    <row r="833">
      <c r="A833" s="6" t="inlineStr">
        <is>
          <t>Milho</t>
        </is>
      </c>
      <c r="B833" s="6" t="inlineStr">
        <is>
          <t>Natal - RN</t>
        </is>
      </c>
      <c r="C833" s="6" t="n">
        <v>-5.79357</v>
      </c>
      <c r="D833" s="6" t="n">
        <v>-35.1986</v>
      </c>
      <c r="E833" s="6" t="inlineStr">
        <is>
          <t>2023-04</t>
        </is>
      </c>
      <c r="F833" s="6" t="n">
        <v>28305.5408301175</v>
      </c>
      <c r="G833" s="6" t="inlineStr">
        <is>
          <t>DOMESTICA</t>
        </is>
      </c>
      <c r="H833" s="6" t="inlineStr">
        <is>
          <t>FIXO</t>
        </is>
      </c>
      <c r="I833" s="11">
        <f>IF($H833="AUTO_OFERTA_TOTAL_PRODUTO_PERIODO",SUMIFS(Oferta!$F:$F,Oferta!$A:$A,$A833,Oferta!$E:$E,$E833),$F833)</f>
        <v/>
      </c>
      <c r="J833" s="6" t="inlineStr">
        <is>
          <t>Informado</t>
        </is>
      </c>
      <c r="K833" s="6" t="inlineStr">
        <is>
          <t>Demanda doméstica fixa informada pelo usuário.</t>
        </is>
      </c>
    </row>
    <row r="834">
      <c r="A834" s="6" t="inlineStr">
        <is>
          <t>Milho</t>
        </is>
      </c>
      <c r="B834" s="6" t="inlineStr">
        <is>
          <t>Natal - RN</t>
        </is>
      </c>
      <c r="C834" s="6" t="n">
        <v>-5.79357</v>
      </c>
      <c r="D834" s="6" t="n">
        <v>-35.1986</v>
      </c>
      <c r="E834" s="6" t="inlineStr">
        <is>
          <t>2023-05</t>
        </is>
      </c>
      <c r="F834" s="6" t="n">
        <v>28305.5408301175</v>
      </c>
      <c r="G834" s="6" t="inlineStr">
        <is>
          <t>DOMESTICA</t>
        </is>
      </c>
      <c r="H834" s="6" t="inlineStr">
        <is>
          <t>FIXO</t>
        </is>
      </c>
      <c r="I834" s="11">
        <f>IF($H834="AUTO_OFERTA_TOTAL_PRODUTO_PERIODO",SUMIFS(Oferta!$F:$F,Oferta!$A:$A,$A834,Oferta!$E:$E,$E834),$F834)</f>
        <v/>
      </c>
      <c r="J834" s="6" t="inlineStr">
        <is>
          <t>Informado</t>
        </is>
      </c>
      <c r="K834" s="6" t="inlineStr">
        <is>
          <t>Demanda doméstica fixa informada pelo usuário.</t>
        </is>
      </c>
    </row>
    <row r="835">
      <c r="A835" s="6" t="inlineStr">
        <is>
          <t>Milho</t>
        </is>
      </c>
      <c r="B835" s="6" t="inlineStr">
        <is>
          <t>Natal - RN</t>
        </is>
      </c>
      <c r="C835" s="6" t="n">
        <v>-5.79357</v>
      </c>
      <c r="D835" s="6" t="n">
        <v>-35.1986</v>
      </c>
      <c r="E835" s="6" t="inlineStr">
        <is>
          <t>2023-06</t>
        </is>
      </c>
      <c r="F835" s="6" t="n">
        <v>36850.6097599643</v>
      </c>
      <c r="G835" s="6" t="inlineStr">
        <is>
          <t>DOMESTICA</t>
        </is>
      </c>
      <c r="H835" s="6" t="inlineStr">
        <is>
          <t>FIXO</t>
        </is>
      </c>
      <c r="I835" s="11">
        <f>IF($H835="AUTO_OFERTA_TOTAL_PRODUTO_PERIODO",SUMIFS(Oferta!$F:$F,Oferta!$A:$A,$A835,Oferta!$E:$E,$E835),$F835)</f>
        <v/>
      </c>
      <c r="J835" s="6" t="inlineStr">
        <is>
          <t>Informado</t>
        </is>
      </c>
      <c r="K835" s="6" t="inlineStr">
        <is>
          <t>Demanda doméstica fixa informada pelo usuário.</t>
        </is>
      </c>
    </row>
    <row r="836">
      <c r="A836" s="6" t="inlineStr">
        <is>
          <t>Milho</t>
        </is>
      </c>
      <c r="B836" s="6" t="inlineStr">
        <is>
          <t>Natal - RN</t>
        </is>
      </c>
      <c r="C836" s="6" t="n">
        <v>-5.79357</v>
      </c>
      <c r="D836" s="6" t="n">
        <v>-35.1986</v>
      </c>
      <c r="E836" s="6" t="inlineStr">
        <is>
          <t>2023-07</t>
        </is>
      </c>
      <c r="F836" s="6" t="n">
        <v>45395.678689811</v>
      </c>
      <c r="G836" s="6" t="inlineStr">
        <is>
          <t>DOMESTICA</t>
        </is>
      </c>
      <c r="H836" s="6" t="inlineStr">
        <is>
          <t>FIXO</t>
        </is>
      </c>
      <c r="I836" s="11">
        <f>IF($H836="AUTO_OFERTA_TOTAL_PRODUTO_PERIODO",SUMIFS(Oferta!$F:$F,Oferta!$A:$A,$A836,Oferta!$E:$E,$E836),$F836)</f>
        <v/>
      </c>
      <c r="J836" s="6" t="inlineStr">
        <is>
          <t>Informado</t>
        </is>
      </c>
      <c r="K836" s="6" t="inlineStr">
        <is>
          <t>Demanda doméstica fixa informada pelo usuário.</t>
        </is>
      </c>
    </row>
    <row r="837">
      <c r="A837" s="6" t="inlineStr">
        <is>
          <t>Milho</t>
        </is>
      </c>
      <c r="B837" s="6" t="inlineStr">
        <is>
          <t>Natal - RN</t>
        </is>
      </c>
      <c r="C837" s="6" t="n">
        <v>-5.79357</v>
      </c>
      <c r="D837" s="6" t="n">
        <v>-35.1986</v>
      </c>
      <c r="E837" s="6" t="inlineStr">
        <is>
          <t>2023-08</t>
        </is>
      </c>
      <c r="F837" s="6" t="n">
        <v>62485.8165495046</v>
      </c>
      <c r="G837" s="6" t="inlineStr">
        <is>
          <t>DOMESTICA</t>
        </is>
      </c>
      <c r="H837" s="6" t="inlineStr">
        <is>
          <t>FIXO</t>
        </is>
      </c>
      <c r="I837" s="11">
        <f>IF($H837="AUTO_OFERTA_TOTAL_PRODUTO_PERIODO",SUMIFS(Oferta!$F:$F,Oferta!$A:$A,$A837,Oferta!$E:$E,$E837),$F837)</f>
        <v/>
      </c>
      <c r="J837" s="6" t="inlineStr">
        <is>
          <t>Informado</t>
        </is>
      </c>
      <c r="K837" s="6" t="inlineStr">
        <is>
          <t>Demanda doméstica fixa informada pelo usuário.</t>
        </is>
      </c>
    </row>
    <row r="838">
      <c r="A838" s="6" t="inlineStr">
        <is>
          <t>Milho</t>
        </is>
      </c>
      <c r="B838" s="6" t="inlineStr">
        <is>
          <t>Natal - RN</t>
        </is>
      </c>
      <c r="C838" s="6" t="n">
        <v>-5.79357</v>
      </c>
      <c r="D838" s="6" t="n">
        <v>-35.1986</v>
      </c>
      <c r="E838" s="6" t="inlineStr">
        <is>
          <t>2023-09</t>
        </is>
      </c>
      <c r="F838" s="6" t="n">
        <v>71030.8854793514</v>
      </c>
      <c r="G838" s="6" t="inlineStr">
        <is>
          <t>DOMESTICA</t>
        </is>
      </c>
      <c r="H838" s="6" t="inlineStr">
        <is>
          <t>FIXO</t>
        </is>
      </c>
      <c r="I838" s="11">
        <f>IF($H838="AUTO_OFERTA_TOTAL_PRODUTO_PERIODO",SUMIFS(Oferta!$F:$F,Oferta!$A:$A,$A838,Oferta!$E:$E,$E838),$F838)</f>
        <v/>
      </c>
      <c r="J838" s="6" t="inlineStr">
        <is>
          <t>Informado</t>
        </is>
      </c>
      <c r="K838" s="6" t="inlineStr">
        <is>
          <t>Demanda doméstica fixa informada pelo usuário.</t>
        </is>
      </c>
    </row>
    <row r="839">
      <c r="A839" s="6" t="inlineStr">
        <is>
          <t>Milho</t>
        </is>
      </c>
      <c r="B839" s="6" t="inlineStr">
        <is>
          <t>Natal - RN</t>
        </is>
      </c>
      <c r="C839" s="6" t="n">
        <v>-5.79357</v>
      </c>
      <c r="D839" s="6" t="n">
        <v>-35.1986</v>
      </c>
      <c r="E839" s="6" t="inlineStr">
        <is>
          <t>2023-10</t>
        </is>
      </c>
      <c r="F839" s="6" t="n">
        <v>71030.8854793514</v>
      </c>
      <c r="G839" s="6" t="inlineStr">
        <is>
          <t>DOMESTICA</t>
        </is>
      </c>
      <c r="H839" s="6" t="inlineStr">
        <is>
          <t>FIXO</t>
        </is>
      </c>
      <c r="I839" s="11">
        <f>IF($H839="AUTO_OFERTA_TOTAL_PRODUTO_PERIODO",SUMIFS(Oferta!$F:$F,Oferta!$A:$A,$A839,Oferta!$E:$E,$E839),$F839)</f>
        <v/>
      </c>
      <c r="J839" s="6" t="inlineStr">
        <is>
          <t>Informado</t>
        </is>
      </c>
      <c r="K839" s="6" t="inlineStr">
        <is>
          <t>Demanda doméstica fixa informada pelo usuário.</t>
        </is>
      </c>
    </row>
    <row r="840">
      <c r="A840" s="6" t="inlineStr">
        <is>
          <t>Milho</t>
        </is>
      </c>
      <c r="B840" s="6" t="inlineStr">
        <is>
          <t>Natal - RN</t>
        </is>
      </c>
      <c r="C840" s="6" t="n">
        <v>-5.79357</v>
      </c>
      <c r="D840" s="6" t="n">
        <v>-35.1986</v>
      </c>
      <c r="E840" s="6" t="inlineStr">
        <is>
          <t>2023-11</t>
        </is>
      </c>
      <c r="F840" s="6" t="n">
        <v>53940.7476196578</v>
      </c>
      <c r="G840" s="6" t="inlineStr">
        <is>
          <t>DOMESTICA</t>
        </is>
      </c>
      <c r="H840" s="6" t="inlineStr">
        <is>
          <t>FIXO</t>
        </is>
      </c>
      <c r="I840" s="11">
        <f>IF($H840="AUTO_OFERTA_TOTAL_PRODUTO_PERIODO",SUMIFS(Oferta!$F:$F,Oferta!$A:$A,$A840,Oferta!$E:$E,$E840),$F840)</f>
        <v/>
      </c>
      <c r="J840" s="6" t="inlineStr">
        <is>
          <t>Informado</t>
        </is>
      </c>
      <c r="K840" s="6" t="inlineStr">
        <is>
          <t>Demanda doméstica fixa informada pelo usuário.</t>
        </is>
      </c>
    </row>
    <row r="841">
      <c r="A841" s="6" t="inlineStr">
        <is>
          <t>Milho</t>
        </is>
      </c>
      <c r="B841" s="6" t="inlineStr">
        <is>
          <t>Natal - RN</t>
        </is>
      </c>
      <c r="C841" s="6" t="n">
        <v>-5.79357</v>
      </c>
      <c r="D841" s="6" t="n">
        <v>-35.1986</v>
      </c>
      <c r="E841" s="6" t="inlineStr">
        <is>
          <t>2023-12</t>
        </is>
      </c>
      <c r="F841" s="6" t="n">
        <v>36850.6097599643</v>
      </c>
      <c r="G841" s="6" t="inlineStr">
        <is>
          <t>DOMESTICA</t>
        </is>
      </c>
      <c r="H841" s="6" t="inlineStr">
        <is>
          <t>FIXO</t>
        </is>
      </c>
      <c r="I841" s="11">
        <f>IF($H841="AUTO_OFERTA_TOTAL_PRODUTO_PERIODO",SUMIFS(Oferta!$F:$F,Oferta!$A:$A,$A841,Oferta!$E:$E,$E841),$F841)</f>
        <v/>
      </c>
      <c r="J841" s="6" t="inlineStr">
        <is>
          <t>Informado</t>
        </is>
      </c>
      <c r="K841" s="6" t="inlineStr">
        <is>
          <t>Demanda doméstica fixa informada pelo usuário.</t>
        </is>
      </c>
    </row>
    <row r="842">
      <c r="A842" s="6" t="inlineStr">
        <is>
          <t>Milho</t>
        </is>
      </c>
      <c r="B842" s="6" t="inlineStr">
        <is>
          <t>Brasília - DF</t>
        </is>
      </c>
      <c r="C842" s="6" t="n">
        <v>-15.7795</v>
      </c>
      <c r="D842" s="6" t="n">
        <v>-47.9297</v>
      </c>
      <c r="E842" s="6" t="inlineStr">
        <is>
          <t>2023-01</t>
        </is>
      </c>
      <c r="F842" s="6" t="n">
        <v>24621.6417302965</v>
      </c>
      <c r="G842" s="6" t="inlineStr">
        <is>
          <t>DOMESTICA</t>
        </is>
      </c>
      <c r="H842" s="6" t="inlineStr">
        <is>
          <t>FIXO</t>
        </is>
      </c>
      <c r="I842" s="11">
        <f>IF($H842="AUTO_OFERTA_TOTAL_PRODUTO_PERIODO",SUMIFS(Oferta!$F:$F,Oferta!$A:$A,$A842,Oferta!$E:$E,$E842),$F842)</f>
        <v/>
      </c>
      <c r="J842" s="6" t="inlineStr">
        <is>
          <t>Informado</t>
        </is>
      </c>
      <c r="K842" s="6" t="inlineStr">
        <is>
          <t>Demanda doméstica fixa informada pelo usuário.</t>
        </is>
      </c>
    </row>
    <row r="843">
      <c r="A843" s="6" t="inlineStr">
        <is>
          <t>Milho</t>
        </is>
      </c>
      <c r="B843" s="6" t="inlineStr">
        <is>
          <t>Brasília - DF</t>
        </is>
      </c>
      <c r="C843" s="6" t="n">
        <v>-15.7795</v>
      </c>
      <c r="D843" s="6" t="n">
        <v>-47.9297</v>
      </c>
      <c r="E843" s="6" t="inlineStr">
        <is>
          <t>2023-02</t>
        </is>
      </c>
      <c r="F843" s="6" t="n">
        <v>24621.6417302965</v>
      </c>
      <c r="G843" s="6" t="inlineStr">
        <is>
          <t>DOMESTICA</t>
        </is>
      </c>
      <c r="H843" s="6" t="inlineStr">
        <is>
          <t>FIXO</t>
        </is>
      </c>
      <c r="I843" s="11">
        <f>IF($H843="AUTO_OFERTA_TOTAL_PRODUTO_PERIODO",SUMIFS(Oferta!$F:$F,Oferta!$A:$A,$A843,Oferta!$E:$E,$E843),$F843)</f>
        <v/>
      </c>
      <c r="J843" s="6" t="inlineStr">
        <is>
          <t>Informado</t>
        </is>
      </c>
      <c r="K843" s="6" t="inlineStr">
        <is>
          <t>Demanda doméstica fixa informada pelo usuário.</t>
        </is>
      </c>
    </row>
    <row r="844">
      <c r="A844" s="6" t="inlineStr">
        <is>
          <t>Milho</t>
        </is>
      </c>
      <c r="B844" s="6" t="inlineStr">
        <is>
          <t>Brasília - DF</t>
        </is>
      </c>
      <c r="C844" s="6" t="n">
        <v>-15.7795</v>
      </c>
      <c r="D844" s="6" t="n">
        <v>-47.9297</v>
      </c>
      <c r="E844" s="6" t="inlineStr">
        <is>
          <t>2023-03</t>
        </is>
      </c>
      <c r="F844" s="6" t="n">
        <v>28338.1159537375</v>
      </c>
      <c r="G844" s="6" t="inlineStr">
        <is>
          <t>DOMESTICA</t>
        </is>
      </c>
      <c r="H844" s="6" t="inlineStr">
        <is>
          <t>FIXO</t>
        </is>
      </c>
      <c r="I844" s="11">
        <f>IF($H844="AUTO_OFERTA_TOTAL_PRODUTO_PERIODO",SUMIFS(Oferta!$F:$F,Oferta!$A:$A,$A844,Oferta!$E:$E,$E844),$F844)</f>
        <v/>
      </c>
      <c r="J844" s="6" t="inlineStr">
        <is>
          <t>Informado</t>
        </is>
      </c>
      <c r="K844" s="6" t="inlineStr">
        <is>
          <t>Demanda doméstica fixa informada pelo usuário.</t>
        </is>
      </c>
    </row>
    <row r="845">
      <c r="A845" s="6" t="inlineStr">
        <is>
          <t>Milho</t>
        </is>
      </c>
      <c r="B845" s="6" t="inlineStr">
        <is>
          <t>Brasília - DF</t>
        </is>
      </c>
      <c r="C845" s="6" t="n">
        <v>-15.7795</v>
      </c>
      <c r="D845" s="6" t="n">
        <v>-47.9297</v>
      </c>
      <c r="E845" s="6" t="inlineStr">
        <is>
          <t>2023-04</t>
        </is>
      </c>
      <c r="F845" s="6" t="n">
        <v>35771.0644006195</v>
      </c>
      <c r="G845" s="6" t="inlineStr">
        <is>
          <t>DOMESTICA</t>
        </is>
      </c>
      <c r="H845" s="6" t="inlineStr">
        <is>
          <t>FIXO</t>
        </is>
      </c>
      <c r="I845" s="11">
        <f>IF($H845="AUTO_OFERTA_TOTAL_PRODUTO_PERIODO",SUMIFS(Oferta!$F:$F,Oferta!$A:$A,$A845,Oferta!$E:$E,$E845),$F845)</f>
        <v/>
      </c>
      <c r="J845" s="6" t="inlineStr">
        <is>
          <t>Informado</t>
        </is>
      </c>
      <c r="K845" s="6" t="inlineStr">
        <is>
          <t>Demanda doméstica fixa informada pelo usuário.</t>
        </is>
      </c>
    </row>
    <row r="846">
      <c r="A846" s="6" t="inlineStr">
        <is>
          <t>Milho</t>
        </is>
      </c>
      <c r="B846" s="6" t="inlineStr">
        <is>
          <t>Brasília - DF</t>
        </is>
      </c>
      <c r="C846" s="6" t="n">
        <v>-15.7795</v>
      </c>
      <c r="D846" s="6" t="n">
        <v>-47.9297</v>
      </c>
      <c r="E846" s="6" t="inlineStr">
        <is>
          <t>2023-05</t>
        </is>
      </c>
      <c r="F846" s="6" t="n">
        <v>58069.9097412654</v>
      </c>
      <c r="G846" s="6" t="inlineStr">
        <is>
          <t>DOMESTICA</t>
        </is>
      </c>
      <c r="H846" s="6" t="inlineStr">
        <is>
          <t>FIXO</t>
        </is>
      </c>
      <c r="I846" s="11">
        <f>IF($H846="AUTO_OFERTA_TOTAL_PRODUTO_PERIODO",SUMIFS(Oferta!$F:$F,Oferta!$A:$A,$A846,Oferta!$E:$E,$E846),$F846)</f>
        <v/>
      </c>
      <c r="J846" s="6" t="inlineStr">
        <is>
          <t>Informado</t>
        </is>
      </c>
      <c r="K846" s="6" t="inlineStr">
        <is>
          <t>Demanda doméstica fixa informada pelo usuário.</t>
        </is>
      </c>
    </row>
    <row r="847">
      <c r="A847" s="6" t="inlineStr">
        <is>
          <t>Milho</t>
        </is>
      </c>
      <c r="B847" s="6" t="inlineStr">
        <is>
          <t>Brasília - DF</t>
        </is>
      </c>
      <c r="C847" s="6" t="n">
        <v>-15.7795</v>
      </c>
      <c r="D847" s="6" t="n">
        <v>-47.9297</v>
      </c>
      <c r="E847" s="6" t="inlineStr">
        <is>
          <t>2023-06</t>
        </is>
      </c>
      <c r="F847" s="6" t="n">
        <v>69219.3324115883</v>
      </c>
      <c r="G847" s="6" t="inlineStr">
        <is>
          <t>DOMESTICA</t>
        </is>
      </c>
      <c r="H847" s="6" t="inlineStr">
        <is>
          <t>FIXO</t>
        </is>
      </c>
      <c r="I847" s="11">
        <f>IF($H847="AUTO_OFERTA_TOTAL_PRODUTO_PERIODO",SUMIFS(Oferta!$F:$F,Oferta!$A:$A,$A847,Oferta!$E:$E,$E847),$F847)</f>
        <v/>
      </c>
      <c r="J847" s="6" t="inlineStr">
        <is>
          <t>Informado</t>
        </is>
      </c>
      <c r="K847" s="6" t="inlineStr">
        <is>
          <t>Demanda doméstica fixa informada pelo usuário.</t>
        </is>
      </c>
    </row>
    <row r="848">
      <c r="A848" s="6" t="inlineStr">
        <is>
          <t>Milho</t>
        </is>
      </c>
      <c r="B848" s="6" t="inlineStr">
        <is>
          <t>Brasília - DF</t>
        </is>
      </c>
      <c r="C848" s="6" t="n">
        <v>-15.7795</v>
      </c>
      <c r="D848" s="6" t="n">
        <v>-47.9297</v>
      </c>
      <c r="E848" s="6" t="inlineStr">
        <is>
          <t>2023-07</t>
        </is>
      </c>
      <c r="F848" s="6" t="n">
        <v>80368.75508191129</v>
      </c>
      <c r="G848" s="6" t="inlineStr">
        <is>
          <t>DOMESTICA</t>
        </is>
      </c>
      <c r="H848" s="6" t="inlineStr">
        <is>
          <t>FIXO</t>
        </is>
      </c>
      <c r="I848" s="11">
        <f>IF($H848="AUTO_OFERTA_TOTAL_PRODUTO_PERIODO",SUMIFS(Oferta!$F:$F,Oferta!$A:$A,$A848,Oferta!$E:$E,$E848),$F848)</f>
        <v/>
      </c>
      <c r="J848" s="6" t="inlineStr">
        <is>
          <t>Informado</t>
        </is>
      </c>
      <c r="K848" s="6" t="inlineStr">
        <is>
          <t>Demanda doméstica fixa informada pelo usuário.</t>
        </is>
      </c>
    </row>
    <row r="849">
      <c r="A849" s="6" t="inlineStr">
        <is>
          <t>Milho</t>
        </is>
      </c>
      <c r="B849" s="6" t="inlineStr">
        <is>
          <t>Brasília - DF</t>
        </is>
      </c>
      <c r="C849" s="6" t="n">
        <v>-15.7795</v>
      </c>
      <c r="D849" s="6" t="n">
        <v>-47.9297</v>
      </c>
      <c r="E849" s="6" t="inlineStr">
        <is>
          <t>2023-08</t>
        </is>
      </c>
      <c r="F849" s="6" t="n">
        <v>72935.80663502929</v>
      </c>
      <c r="G849" s="6" t="inlineStr">
        <is>
          <t>DOMESTICA</t>
        </is>
      </c>
      <c r="H849" s="6" t="inlineStr">
        <is>
          <t>FIXO</t>
        </is>
      </c>
      <c r="I849" s="11">
        <f>IF($H849="AUTO_OFERTA_TOTAL_PRODUTO_PERIODO",SUMIFS(Oferta!$F:$F,Oferta!$A:$A,$A849,Oferta!$E:$E,$E849),$F849)</f>
        <v/>
      </c>
      <c r="J849" s="6" t="inlineStr">
        <is>
          <t>Informado</t>
        </is>
      </c>
      <c r="K849" s="6" t="inlineStr">
        <is>
          <t>Demanda doméstica fixa informada pelo usuário.</t>
        </is>
      </c>
    </row>
    <row r="850">
      <c r="A850" s="6" t="inlineStr">
        <is>
          <t>Milho</t>
        </is>
      </c>
      <c r="B850" s="6" t="inlineStr">
        <is>
          <t>Brasília - DF</t>
        </is>
      </c>
      <c r="C850" s="6" t="n">
        <v>-15.7795</v>
      </c>
      <c r="D850" s="6" t="n">
        <v>-47.9297</v>
      </c>
      <c r="E850" s="6" t="inlineStr">
        <is>
          <t>2023-09</t>
        </is>
      </c>
      <c r="F850" s="6" t="n">
        <v>65502.8581881474</v>
      </c>
      <c r="G850" s="6" t="inlineStr">
        <is>
          <t>DOMESTICA</t>
        </is>
      </c>
      <c r="H850" s="6" t="inlineStr">
        <is>
          <t>FIXO</t>
        </is>
      </c>
      <c r="I850" s="11">
        <f>IF($H850="AUTO_OFERTA_TOTAL_PRODUTO_PERIODO",SUMIFS(Oferta!$F:$F,Oferta!$A:$A,$A850,Oferta!$E:$E,$E850),$F850)</f>
        <v/>
      </c>
      <c r="J850" s="6" t="inlineStr">
        <is>
          <t>Informado</t>
        </is>
      </c>
      <c r="K850" s="6" t="inlineStr">
        <is>
          <t>Demanda doméstica fixa informada pelo usuário.</t>
        </is>
      </c>
    </row>
    <row r="851">
      <c r="A851" s="6" t="inlineStr">
        <is>
          <t>Milho</t>
        </is>
      </c>
      <c r="B851" s="6" t="inlineStr">
        <is>
          <t>Brasília - DF</t>
        </is>
      </c>
      <c r="C851" s="6" t="n">
        <v>-15.7795</v>
      </c>
      <c r="D851" s="6" t="n">
        <v>-47.9297</v>
      </c>
      <c r="E851" s="6" t="inlineStr">
        <is>
          <t>2023-10</t>
        </is>
      </c>
      <c r="F851" s="6" t="n">
        <v>46920.4870709424</v>
      </c>
      <c r="G851" s="6" t="inlineStr">
        <is>
          <t>DOMESTICA</t>
        </is>
      </c>
      <c r="H851" s="6" t="inlineStr">
        <is>
          <t>FIXO</t>
        </is>
      </c>
      <c r="I851" s="11">
        <f>IF($H851="AUTO_OFERTA_TOTAL_PRODUTO_PERIODO",SUMIFS(Oferta!$F:$F,Oferta!$A:$A,$A851,Oferta!$E:$E,$E851),$F851)</f>
        <v/>
      </c>
      <c r="J851" s="6" t="inlineStr">
        <is>
          <t>Informado</t>
        </is>
      </c>
      <c r="K851" s="6" t="inlineStr">
        <is>
          <t>Demanda doméstica fixa informada pelo usuário.</t>
        </is>
      </c>
    </row>
    <row r="852">
      <c r="A852" s="6" t="inlineStr">
        <is>
          <t>Milho</t>
        </is>
      </c>
      <c r="B852" s="6" t="inlineStr">
        <is>
          <t>Brasília - DF</t>
        </is>
      </c>
      <c r="C852" s="6" t="n">
        <v>-15.7795</v>
      </c>
      <c r="D852" s="6" t="n">
        <v>-47.9297</v>
      </c>
      <c r="E852" s="6" t="inlineStr">
        <is>
          <t>2023-11</t>
        </is>
      </c>
      <c r="F852" s="6" t="n">
        <v>32054.5901771785</v>
      </c>
      <c r="G852" s="6" t="inlineStr">
        <is>
          <t>DOMESTICA</t>
        </is>
      </c>
      <c r="H852" s="6" t="inlineStr">
        <is>
          <t>FIXO</t>
        </is>
      </c>
      <c r="I852" s="11">
        <f>IF($H852="AUTO_OFERTA_TOTAL_PRODUTO_PERIODO",SUMIFS(Oferta!$F:$F,Oferta!$A:$A,$A852,Oferta!$E:$E,$E852),$F852)</f>
        <v/>
      </c>
      <c r="J852" s="6" t="inlineStr">
        <is>
          <t>Informado</t>
        </is>
      </c>
      <c r="K852" s="6" t="inlineStr">
        <is>
          <t>Demanda doméstica fixa informada pelo usuário.</t>
        </is>
      </c>
    </row>
    <row r="853">
      <c r="A853" s="6" t="inlineStr">
        <is>
          <t>Milho</t>
        </is>
      </c>
      <c r="B853" s="6" t="inlineStr">
        <is>
          <t>Brasília - DF</t>
        </is>
      </c>
      <c r="C853" s="6" t="n">
        <v>-15.7795</v>
      </c>
      <c r="D853" s="6" t="n">
        <v>-47.9297</v>
      </c>
      <c r="E853" s="6" t="inlineStr">
        <is>
          <t>2023-12</t>
        </is>
      </c>
      <c r="F853" s="6" t="n">
        <v>24621.6417302965</v>
      </c>
      <c r="G853" s="6" t="inlineStr">
        <is>
          <t>DOMESTICA</t>
        </is>
      </c>
      <c r="H853" s="6" t="inlineStr">
        <is>
          <t>FIXO</t>
        </is>
      </c>
      <c r="I853" s="11">
        <f>IF($H853="AUTO_OFERTA_TOTAL_PRODUTO_PERIODO",SUMIFS(Oferta!$F:$F,Oferta!$A:$A,$A853,Oferta!$E:$E,$E853),$F853)</f>
        <v/>
      </c>
      <c r="J853" s="6" t="inlineStr">
        <is>
          <t>Informado</t>
        </is>
      </c>
      <c r="K853" s="6" t="inlineStr">
        <is>
          <t>Demanda doméstica fixa informada pelo usuário.</t>
        </is>
      </c>
    </row>
    <row r="854">
      <c r="A854" s="6" t="inlineStr">
        <is>
          <t>Milho</t>
        </is>
      </c>
      <c r="B854" s="6" t="inlineStr">
        <is>
          <t>Goiânia - GO</t>
        </is>
      </c>
      <c r="C854" s="6" t="n">
        <v>-16.6864</v>
      </c>
      <c r="D854" s="6" t="n">
        <v>-49.2643</v>
      </c>
      <c r="E854" s="6" t="inlineStr">
        <is>
          <t>2023-01</t>
        </is>
      </c>
      <c r="F854" s="6" t="n">
        <v>194013.9958534184</v>
      </c>
      <c r="G854" s="6" t="inlineStr">
        <is>
          <t>DOMESTICA</t>
        </is>
      </c>
      <c r="H854" s="6" t="inlineStr">
        <is>
          <t>FIXO</t>
        </is>
      </c>
      <c r="I854" s="11">
        <f>IF($H854="AUTO_OFERTA_TOTAL_PRODUTO_PERIODO",SUMIFS(Oferta!$F:$F,Oferta!$A:$A,$A854,Oferta!$E:$E,$E854),$F854)</f>
        <v/>
      </c>
      <c r="J854" s="6" t="inlineStr">
        <is>
          <t>Informado</t>
        </is>
      </c>
      <c r="K854" s="6" t="inlineStr">
        <is>
          <t>Demanda doméstica fixa informada pelo usuário.</t>
        </is>
      </c>
    </row>
    <row r="855">
      <c r="A855" s="6" t="inlineStr">
        <is>
          <t>Milho</t>
        </is>
      </c>
      <c r="B855" s="6" t="inlineStr">
        <is>
          <t>Goiânia - GO</t>
        </is>
      </c>
      <c r="C855" s="6" t="n">
        <v>-16.6864</v>
      </c>
      <c r="D855" s="6" t="n">
        <v>-49.2643</v>
      </c>
      <c r="E855" s="6" t="inlineStr">
        <is>
          <t>2023-02</t>
        </is>
      </c>
      <c r="F855" s="6" t="n">
        <v>194013.9958534184</v>
      </c>
      <c r="G855" s="6" t="inlineStr">
        <is>
          <t>DOMESTICA</t>
        </is>
      </c>
      <c r="H855" s="6" t="inlineStr">
        <is>
          <t>FIXO</t>
        </is>
      </c>
      <c r="I855" s="11">
        <f>IF($H855="AUTO_OFERTA_TOTAL_PRODUTO_PERIODO",SUMIFS(Oferta!$F:$F,Oferta!$A:$A,$A855,Oferta!$E:$E,$E855),$F855)</f>
        <v/>
      </c>
      <c r="J855" s="6" t="inlineStr">
        <is>
          <t>Informado</t>
        </is>
      </c>
      <c r="K855" s="6" t="inlineStr">
        <is>
          <t>Demanda doméstica fixa informada pelo usuário.</t>
        </is>
      </c>
    </row>
    <row r="856">
      <c r="A856" s="6" t="inlineStr">
        <is>
          <t>Milho</t>
        </is>
      </c>
      <c r="B856" s="6" t="inlineStr">
        <is>
          <t>Goiânia - GO</t>
        </is>
      </c>
      <c r="C856" s="6" t="n">
        <v>-16.6864</v>
      </c>
      <c r="D856" s="6" t="n">
        <v>-49.2643</v>
      </c>
      <c r="E856" s="6" t="inlineStr">
        <is>
          <t>2023-03</t>
        </is>
      </c>
      <c r="F856" s="6" t="n">
        <v>223299.1273029909</v>
      </c>
      <c r="G856" s="6" t="inlineStr">
        <is>
          <t>DOMESTICA</t>
        </is>
      </c>
      <c r="H856" s="6" t="inlineStr">
        <is>
          <t>FIXO</t>
        </is>
      </c>
      <c r="I856" s="11">
        <f>IF($H856="AUTO_OFERTA_TOTAL_PRODUTO_PERIODO",SUMIFS(Oferta!$F:$F,Oferta!$A:$A,$A856,Oferta!$E:$E,$E856),$F856)</f>
        <v/>
      </c>
      <c r="J856" s="6" t="inlineStr">
        <is>
          <t>Informado</t>
        </is>
      </c>
      <c r="K856" s="6" t="inlineStr">
        <is>
          <t>Demanda doméstica fixa informada pelo usuário.</t>
        </is>
      </c>
    </row>
    <row r="857">
      <c r="A857" s="6" t="inlineStr">
        <is>
          <t>Milho</t>
        </is>
      </c>
      <c r="B857" s="6" t="inlineStr">
        <is>
          <t>Goiânia - GO</t>
        </is>
      </c>
      <c r="C857" s="6" t="n">
        <v>-16.6864</v>
      </c>
      <c r="D857" s="6" t="n">
        <v>-49.2643</v>
      </c>
      <c r="E857" s="6" t="inlineStr">
        <is>
          <t>2023-04</t>
        </is>
      </c>
      <c r="F857" s="6" t="n">
        <v>281869.3902021361</v>
      </c>
      <c r="G857" s="6" t="inlineStr">
        <is>
          <t>DOMESTICA</t>
        </is>
      </c>
      <c r="H857" s="6" t="inlineStr">
        <is>
          <t>FIXO</t>
        </is>
      </c>
      <c r="I857" s="11">
        <f>IF($H857="AUTO_OFERTA_TOTAL_PRODUTO_PERIODO",SUMIFS(Oferta!$F:$F,Oferta!$A:$A,$A857,Oferta!$E:$E,$E857),$F857)</f>
        <v/>
      </c>
      <c r="J857" s="6" t="inlineStr">
        <is>
          <t>Informado</t>
        </is>
      </c>
      <c r="K857" s="6" t="inlineStr">
        <is>
          <t>Demanda doméstica fixa informada pelo usuário.</t>
        </is>
      </c>
    </row>
    <row r="858">
      <c r="A858" s="6" t="inlineStr">
        <is>
          <t>Milho</t>
        </is>
      </c>
      <c r="B858" s="6" t="inlineStr">
        <is>
          <t>Goiânia - GO</t>
        </is>
      </c>
      <c r="C858" s="6" t="n">
        <v>-16.6864</v>
      </c>
      <c r="D858" s="6" t="n">
        <v>-49.2643</v>
      </c>
      <c r="E858" s="6" t="inlineStr">
        <is>
          <t>2023-05</t>
        </is>
      </c>
      <c r="F858" s="6" t="n">
        <v>457580.1788995716</v>
      </c>
      <c r="G858" s="6" t="inlineStr">
        <is>
          <t>DOMESTICA</t>
        </is>
      </c>
      <c r="H858" s="6" t="inlineStr">
        <is>
          <t>FIXO</t>
        </is>
      </c>
      <c r="I858" s="11">
        <f>IF($H858="AUTO_OFERTA_TOTAL_PRODUTO_PERIODO",SUMIFS(Oferta!$F:$F,Oferta!$A:$A,$A858,Oferta!$E:$E,$E858),$F858)</f>
        <v/>
      </c>
      <c r="J858" s="6" t="inlineStr">
        <is>
          <t>Informado</t>
        </is>
      </c>
      <c r="K858" s="6" t="inlineStr">
        <is>
          <t>Demanda doméstica fixa informada pelo usuário.</t>
        </is>
      </c>
    </row>
    <row r="859">
      <c r="A859" s="6" t="inlineStr">
        <is>
          <t>Milho</t>
        </is>
      </c>
      <c r="B859" s="6" t="inlineStr">
        <is>
          <t>Goiânia - GO</t>
        </is>
      </c>
      <c r="C859" s="6" t="n">
        <v>-16.6864</v>
      </c>
      <c r="D859" s="6" t="n">
        <v>-49.2643</v>
      </c>
      <c r="E859" s="6" t="inlineStr">
        <is>
          <t>2023-06</t>
        </is>
      </c>
      <c r="F859" s="6" t="n">
        <v>545435.5732482893</v>
      </c>
      <c r="G859" s="6" t="inlineStr">
        <is>
          <t>DOMESTICA</t>
        </is>
      </c>
      <c r="H859" s="6" t="inlineStr">
        <is>
          <t>FIXO</t>
        </is>
      </c>
      <c r="I859" s="11">
        <f>IF($H859="AUTO_OFERTA_TOTAL_PRODUTO_PERIODO",SUMIFS(Oferta!$F:$F,Oferta!$A:$A,$A859,Oferta!$E:$E,$E859),$F859)</f>
        <v/>
      </c>
      <c r="J859" s="6" t="inlineStr">
        <is>
          <t>Informado</t>
        </is>
      </c>
      <c r="K859" s="6" t="inlineStr">
        <is>
          <t>Demanda doméstica fixa informada pelo usuário.</t>
        </is>
      </c>
    </row>
    <row r="860">
      <c r="A860" s="6" t="inlineStr">
        <is>
          <t>Milho</t>
        </is>
      </c>
      <c r="B860" s="6" t="inlineStr">
        <is>
          <t>Goiânia - GO</t>
        </is>
      </c>
      <c r="C860" s="6" t="n">
        <v>-16.6864</v>
      </c>
      <c r="D860" s="6" t="n">
        <v>-49.2643</v>
      </c>
      <c r="E860" s="6" t="inlineStr">
        <is>
          <t>2023-07</t>
        </is>
      </c>
      <c r="F860" s="6" t="n">
        <v>633290.9675970071</v>
      </c>
      <c r="G860" s="6" t="inlineStr">
        <is>
          <t>DOMESTICA</t>
        </is>
      </c>
      <c r="H860" s="6" t="inlineStr">
        <is>
          <t>FIXO</t>
        </is>
      </c>
      <c r="I860" s="11">
        <f>IF($H860="AUTO_OFERTA_TOTAL_PRODUTO_PERIODO",SUMIFS(Oferta!$F:$F,Oferta!$A:$A,$A860,Oferta!$E:$E,$E860),$F860)</f>
        <v/>
      </c>
      <c r="J860" s="6" t="inlineStr">
        <is>
          <t>Informado</t>
        </is>
      </c>
      <c r="K860" s="6" t="inlineStr">
        <is>
          <t>Demanda doméstica fixa informada pelo usuário.</t>
        </is>
      </c>
    </row>
    <row r="861">
      <c r="A861" s="6" t="inlineStr">
        <is>
          <t>Milho</t>
        </is>
      </c>
      <c r="B861" s="6" t="inlineStr">
        <is>
          <t>Goiânia - GO</t>
        </is>
      </c>
      <c r="C861" s="6" t="n">
        <v>-16.6864</v>
      </c>
      <c r="D861" s="6" t="n">
        <v>-49.2643</v>
      </c>
      <c r="E861" s="6" t="inlineStr">
        <is>
          <t>2023-08</t>
        </is>
      </c>
      <c r="F861" s="6" t="n">
        <v>574720.7046978619</v>
      </c>
      <c r="G861" s="6" t="inlineStr">
        <is>
          <t>DOMESTICA</t>
        </is>
      </c>
      <c r="H861" s="6" t="inlineStr">
        <is>
          <t>FIXO</t>
        </is>
      </c>
      <c r="I861" s="11">
        <f>IF($H861="AUTO_OFERTA_TOTAL_PRODUTO_PERIODO",SUMIFS(Oferta!$F:$F,Oferta!$A:$A,$A861,Oferta!$E:$E,$E861),$F861)</f>
        <v/>
      </c>
      <c r="J861" s="6" t="inlineStr">
        <is>
          <t>Informado</t>
        </is>
      </c>
      <c r="K861" s="6" t="inlineStr">
        <is>
          <t>Demanda doméstica fixa informada pelo usuário.</t>
        </is>
      </c>
    </row>
    <row r="862">
      <c r="A862" s="6" t="inlineStr">
        <is>
          <t>Milho</t>
        </is>
      </c>
      <c r="B862" s="6" t="inlineStr">
        <is>
          <t>Goiânia - GO</t>
        </is>
      </c>
      <c r="C862" s="6" t="n">
        <v>-16.6864</v>
      </c>
      <c r="D862" s="6" t="n">
        <v>-49.2643</v>
      </c>
      <c r="E862" s="6" t="inlineStr">
        <is>
          <t>2023-09</t>
        </is>
      </c>
      <c r="F862" s="6" t="n">
        <v>516150.4417987167</v>
      </c>
      <c r="G862" s="6" t="inlineStr">
        <is>
          <t>DOMESTICA</t>
        </is>
      </c>
      <c r="H862" s="6" t="inlineStr">
        <is>
          <t>FIXO</t>
        </is>
      </c>
      <c r="I862" s="11">
        <f>IF($H862="AUTO_OFERTA_TOTAL_PRODUTO_PERIODO",SUMIFS(Oferta!$F:$F,Oferta!$A:$A,$A862,Oferta!$E:$E,$E862),$F862)</f>
        <v/>
      </c>
      <c r="J862" s="6" t="inlineStr">
        <is>
          <t>Informado</t>
        </is>
      </c>
      <c r="K862" s="6" t="inlineStr">
        <is>
          <t>Demanda doméstica fixa informada pelo usuário.</t>
        </is>
      </c>
    </row>
    <row r="863">
      <c r="A863" s="6" t="inlineStr">
        <is>
          <t>Milho</t>
        </is>
      </c>
      <c r="B863" s="6" t="inlineStr">
        <is>
          <t>Goiânia - GO</t>
        </is>
      </c>
      <c r="C863" s="6" t="n">
        <v>-16.6864</v>
      </c>
      <c r="D863" s="6" t="n">
        <v>-49.2643</v>
      </c>
      <c r="E863" s="6" t="inlineStr">
        <is>
          <t>2023-10</t>
        </is>
      </c>
      <c r="F863" s="6" t="n">
        <v>399009.9160004263</v>
      </c>
      <c r="G863" s="6" t="inlineStr">
        <is>
          <t>DOMESTICA</t>
        </is>
      </c>
      <c r="H863" s="6" t="inlineStr">
        <is>
          <t>FIXO</t>
        </is>
      </c>
      <c r="I863" s="11">
        <f>IF($H863="AUTO_OFERTA_TOTAL_PRODUTO_PERIODO",SUMIFS(Oferta!$F:$F,Oferta!$A:$A,$A863,Oferta!$E:$E,$E863),$F863)</f>
        <v/>
      </c>
      <c r="J863" s="6" t="inlineStr">
        <is>
          <t>Informado</t>
        </is>
      </c>
      <c r="K863" s="6" t="inlineStr">
        <is>
          <t>Demanda doméstica fixa informada pelo usuário.</t>
        </is>
      </c>
    </row>
    <row r="864">
      <c r="A864" s="6" t="inlineStr">
        <is>
          <t>Milho</t>
        </is>
      </c>
      <c r="B864" s="6" t="inlineStr">
        <is>
          <t>Goiânia - GO</t>
        </is>
      </c>
      <c r="C864" s="6" t="n">
        <v>-16.6864</v>
      </c>
      <c r="D864" s="6" t="n">
        <v>-49.2643</v>
      </c>
      <c r="E864" s="6" t="inlineStr">
        <is>
          <t>2023-11</t>
        </is>
      </c>
      <c r="F864" s="6" t="n">
        <v>281869.3902021361</v>
      </c>
      <c r="G864" s="6" t="inlineStr">
        <is>
          <t>DOMESTICA</t>
        </is>
      </c>
      <c r="H864" s="6" t="inlineStr">
        <is>
          <t>FIXO</t>
        </is>
      </c>
      <c r="I864" s="11">
        <f>IF($H864="AUTO_OFERTA_TOTAL_PRODUTO_PERIODO",SUMIFS(Oferta!$F:$F,Oferta!$A:$A,$A864,Oferta!$E:$E,$E864),$F864)</f>
        <v/>
      </c>
      <c r="J864" s="6" t="inlineStr">
        <is>
          <t>Informado</t>
        </is>
      </c>
      <c r="K864" s="6" t="inlineStr">
        <is>
          <t>Demanda doméstica fixa informada pelo usuário.</t>
        </is>
      </c>
    </row>
    <row r="865">
      <c r="A865" s="6" t="inlineStr">
        <is>
          <t>Milho</t>
        </is>
      </c>
      <c r="B865" s="6" t="inlineStr">
        <is>
          <t>Goiânia - GO</t>
        </is>
      </c>
      <c r="C865" s="6" t="n">
        <v>-16.6864</v>
      </c>
      <c r="D865" s="6" t="n">
        <v>-49.2643</v>
      </c>
      <c r="E865" s="6" t="inlineStr">
        <is>
          <t>2023-12</t>
        </is>
      </c>
      <c r="F865" s="6" t="n">
        <v>223299.1273029909</v>
      </c>
      <c r="G865" s="6" t="inlineStr">
        <is>
          <t>DOMESTICA</t>
        </is>
      </c>
      <c r="H865" s="6" t="inlineStr">
        <is>
          <t>FIXO</t>
        </is>
      </c>
      <c r="I865" s="11">
        <f>IF($H865="AUTO_OFERTA_TOTAL_PRODUTO_PERIODO",SUMIFS(Oferta!$F:$F,Oferta!$A:$A,$A865,Oferta!$E:$E,$E865),$F865)</f>
        <v/>
      </c>
      <c r="J865" s="6" t="inlineStr">
        <is>
          <t>Informado</t>
        </is>
      </c>
      <c r="K865" s="6" t="inlineStr">
        <is>
          <t>Demanda doméstica fixa informada pelo usuário.</t>
        </is>
      </c>
    </row>
    <row r="866">
      <c r="A866" s="6" t="inlineStr">
        <is>
          <t>Milho</t>
        </is>
      </c>
      <c r="B866" s="6" t="inlineStr">
        <is>
          <t>Cuiabá - MT</t>
        </is>
      </c>
      <c r="C866" s="6" t="n">
        <v>-15.601</v>
      </c>
      <c r="D866" s="6" t="n">
        <v>-56.0974</v>
      </c>
      <c r="E866" s="6" t="inlineStr">
        <is>
          <t>2023-01</t>
        </is>
      </c>
      <c r="F866" s="6" t="n">
        <v>248634.5665031282</v>
      </c>
      <c r="G866" s="6" t="inlineStr">
        <is>
          <t>DOMESTICA</t>
        </is>
      </c>
      <c r="H866" s="6" t="inlineStr">
        <is>
          <t>FIXO</t>
        </is>
      </c>
      <c r="I866" s="11">
        <f>IF($H866="AUTO_OFERTA_TOTAL_PRODUTO_PERIODO",SUMIFS(Oferta!$F:$F,Oferta!$A:$A,$A866,Oferta!$E:$E,$E866),$F866)</f>
        <v/>
      </c>
      <c r="J866" s="6" t="inlineStr">
        <is>
          <t>Informado</t>
        </is>
      </c>
      <c r="K866" s="6" t="inlineStr">
        <is>
          <t>Demanda doméstica fixa informada pelo usuário.</t>
        </is>
      </c>
    </row>
    <row r="867">
      <c r="A867" s="6" t="inlineStr">
        <is>
          <t>Milho</t>
        </is>
      </c>
      <c r="B867" s="6" t="inlineStr">
        <is>
          <t>Cuiabá - MT</t>
        </is>
      </c>
      <c r="C867" s="6" t="n">
        <v>-15.601</v>
      </c>
      <c r="D867" s="6" t="n">
        <v>-56.0974</v>
      </c>
      <c r="E867" s="6" t="inlineStr">
        <is>
          <t>2023-02</t>
        </is>
      </c>
      <c r="F867" s="6" t="n">
        <v>248634.5665031282</v>
      </c>
      <c r="G867" s="6" t="inlineStr">
        <is>
          <t>DOMESTICA</t>
        </is>
      </c>
      <c r="H867" s="6" t="inlineStr">
        <is>
          <t>FIXO</t>
        </is>
      </c>
      <c r="I867" s="11">
        <f>IF($H867="AUTO_OFERTA_TOTAL_PRODUTO_PERIODO",SUMIFS(Oferta!$F:$F,Oferta!$A:$A,$A867,Oferta!$E:$E,$E867),$F867)</f>
        <v/>
      </c>
      <c r="J867" s="6" t="inlineStr">
        <is>
          <t>Informado</t>
        </is>
      </c>
      <c r="K867" s="6" t="inlineStr">
        <is>
          <t>Demanda doméstica fixa informada pelo usuário.</t>
        </is>
      </c>
    </row>
    <row r="868">
      <c r="A868" s="6" t="inlineStr">
        <is>
          <t>Milho</t>
        </is>
      </c>
      <c r="B868" s="6" t="inlineStr">
        <is>
          <t>Cuiabá - MT</t>
        </is>
      </c>
      <c r="C868" s="6" t="n">
        <v>-15.601</v>
      </c>
      <c r="D868" s="6" t="n">
        <v>-56.0974</v>
      </c>
      <c r="E868" s="6" t="inlineStr">
        <is>
          <t>2023-03</t>
        </is>
      </c>
      <c r="F868" s="6" t="n">
        <v>323694.0582776574</v>
      </c>
      <c r="G868" s="6" t="inlineStr">
        <is>
          <t>DOMESTICA</t>
        </is>
      </c>
      <c r="H868" s="6" t="inlineStr">
        <is>
          <t>FIXO</t>
        </is>
      </c>
      <c r="I868" s="11">
        <f>IF($H868="AUTO_OFERTA_TOTAL_PRODUTO_PERIODO",SUMIFS(Oferta!$F:$F,Oferta!$A:$A,$A868,Oferta!$E:$E,$E868),$F868)</f>
        <v/>
      </c>
      <c r="J868" s="6" t="inlineStr">
        <is>
          <t>Informado</t>
        </is>
      </c>
      <c r="K868" s="6" t="inlineStr">
        <is>
          <t>Demanda doméstica fixa informada pelo usuário.</t>
        </is>
      </c>
    </row>
    <row r="869">
      <c r="A869" s="6" t="inlineStr">
        <is>
          <t>Milho</t>
        </is>
      </c>
      <c r="B869" s="6" t="inlineStr">
        <is>
          <t>Cuiabá - MT</t>
        </is>
      </c>
      <c r="C869" s="6" t="n">
        <v>-15.601</v>
      </c>
      <c r="D869" s="6" t="n">
        <v>-56.0974</v>
      </c>
      <c r="E869" s="6" t="inlineStr">
        <is>
          <t>2023-04</t>
        </is>
      </c>
      <c r="F869" s="6" t="n">
        <v>473813.041826716</v>
      </c>
      <c r="G869" s="6" t="inlineStr">
        <is>
          <t>DOMESTICA</t>
        </is>
      </c>
      <c r="H869" s="6" t="inlineStr">
        <is>
          <t>FIXO</t>
        </is>
      </c>
      <c r="I869" s="11">
        <f>IF($H869="AUTO_OFERTA_TOTAL_PRODUTO_PERIODO",SUMIFS(Oferta!$F:$F,Oferta!$A:$A,$A869,Oferta!$E:$E,$E869),$F869)</f>
        <v/>
      </c>
      <c r="J869" s="6" t="inlineStr">
        <is>
          <t>Informado</t>
        </is>
      </c>
      <c r="K869" s="6" t="inlineStr">
        <is>
          <t>Demanda doméstica fixa informada pelo usuário.</t>
        </is>
      </c>
    </row>
    <row r="870">
      <c r="A870" s="6" t="inlineStr">
        <is>
          <t>Milho</t>
        </is>
      </c>
      <c r="B870" s="6" t="inlineStr">
        <is>
          <t>Cuiabá - MT</t>
        </is>
      </c>
      <c r="C870" s="6" t="n">
        <v>-15.601</v>
      </c>
      <c r="D870" s="6" t="n">
        <v>-56.0974</v>
      </c>
      <c r="E870" s="6" t="inlineStr">
        <is>
          <t>2023-05</t>
        </is>
      </c>
      <c r="F870" s="6" t="n">
        <v>623932.0253757745</v>
      </c>
      <c r="G870" s="6" t="inlineStr">
        <is>
          <t>DOMESTICA</t>
        </is>
      </c>
      <c r="H870" s="6" t="inlineStr">
        <is>
          <t>FIXO</t>
        </is>
      </c>
      <c r="I870" s="11">
        <f>IF($H870="AUTO_OFERTA_TOTAL_PRODUTO_PERIODO",SUMIFS(Oferta!$F:$F,Oferta!$A:$A,$A870,Oferta!$E:$E,$E870),$F870)</f>
        <v/>
      </c>
      <c r="J870" s="6" t="inlineStr">
        <is>
          <t>Informado</t>
        </is>
      </c>
      <c r="K870" s="6" t="inlineStr">
        <is>
          <t>Demanda doméstica fixa informada pelo usuário.</t>
        </is>
      </c>
    </row>
    <row r="871">
      <c r="A871" s="6" t="inlineStr">
        <is>
          <t>Milho</t>
        </is>
      </c>
      <c r="B871" s="6" t="inlineStr">
        <is>
          <t>Cuiabá - MT</t>
        </is>
      </c>
      <c r="C871" s="6" t="n">
        <v>-15.601</v>
      </c>
      <c r="D871" s="6" t="n">
        <v>-56.0974</v>
      </c>
      <c r="E871" s="6" t="inlineStr">
        <is>
          <t>2023-06</t>
        </is>
      </c>
      <c r="F871" s="6" t="n">
        <v>698991.5171503037</v>
      </c>
      <c r="G871" s="6" t="inlineStr">
        <is>
          <t>DOMESTICA</t>
        </is>
      </c>
      <c r="H871" s="6" t="inlineStr">
        <is>
          <t>FIXO</t>
        </is>
      </c>
      <c r="I871" s="11">
        <f>IF($H871="AUTO_OFERTA_TOTAL_PRODUTO_PERIODO",SUMIFS(Oferta!$F:$F,Oferta!$A:$A,$A871,Oferta!$E:$E,$E871),$F871)</f>
        <v/>
      </c>
      <c r="J871" s="6" t="inlineStr">
        <is>
          <t>Informado</t>
        </is>
      </c>
      <c r="K871" s="6" t="inlineStr">
        <is>
          <t>Demanda doméstica fixa informada pelo usuário.</t>
        </is>
      </c>
    </row>
    <row r="872">
      <c r="A872" s="6" t="inlineStr">
        <is>
          <t>Milho</t>
        </is>
      </c>
      <c r="B872" s="6" t="inlineStr">
        <is>
          <t>Cuiabá - MT</t>
        </is>
      </c>
      <c r="C872" s="6" t="n">
        <v>-15.601</v>
      </c>
      <c r="D872" s="6" t="n">
        <v>-56.0974</v>
      </c>
      <c r="E872" s="6" t="inlineStr">
        <is>
          <t>2023-07</t>
        </is>
      </c>
      <c r="F872" s="6" t="n">
        <v>774051.0089248331</v>
      </c>
      <c r="G872" s="6" t="inlineStr">
        <is>
          <t>DOMESTICA</t>
        </is>
      </c>
      <c r="H872" s="6" t="inlineStr">
        <is>
          <t>FIXO</t>
        </is>
      </c>
      <c r="I872" s="11">
        <f>IF($H872="AUTO_OFERTA_TOTAL_PRODUTO_PERIODO",SUMIFS(Oferta!$F:$F,Oferta!$A:$A,$A872,Oferta!$E:$E,$E872),$F872)</f>
        <v/>
      </c>
      <c r="J872" s="6" t="inlineStr">
        <is>
          <t>Informado</t>
        </is>
      </c>
      <c r="K872" s="6" t="inlineStr">
        <is>
          <t>Demanda doméstica fixa informada pelo usuário.</t>
        </is>
      </c>
    </row>
    <row r="873">
      <c r="A873" s="6" t="inlineStr">
        <is>
          <t>Milho</t>
        </is>
      </c>
      <c r="B873" s="6" t="inlineStr">
        <is>
          <t>Cuiabá - MT</t>
        </is>
      </c>
      <c r="C873" s="6" t="n">
        <v>-15.601</v>
      </c>
      <c r="D873" s="6" t="n">
        <v>-56.0974</v>
      </c>
      <c r="E873" s="6" t="inlineStr">
        <is>
          <t>2023-08</t>
        </is>
      </c>
      <c r="F873" s="6" t="n">
        <v>774051.0089248331</v>
      </c>
      <c r="G873" s="6" t="inlineStr">
        <is>
          <t>DOMESTICA</t>
        </is>
      </c>
      <c r="H873" s="6" t="inlineStr">
        <is>
          <t>FIXO</t>
        </is>
      </c>
      <c r="I873" s="11">
        <f>IF($H873="AUTO_OFERTA_TOTAL_PRODUTO_PERIODO",SUMIFS(Oferta!$F:$F,Oferta!$A:$A,$A873,Oferta!$E:$E,$E873),$F873)</f>
        <v/>
      </c>
      <c r="J873" s="6" t="inlineStr">
        <is>
          <t>Informado</t>
        </is>
      </c>
      <c r="K873" s="6" t="inlineStr">
        <is>
          <t>Demanda doméstica fixa informada pelo usuário.</t>
        </is>
      </c>
    </row>
    <row r="874">
      <c r="A874" s="6" t="inlineStr">
        <is>
          <t>Milho</t>
        </is>
      </c>
      <c r="B874" s="6" t="inlineStr">
        <is>
          <t>Cuiabá - MT</t>
        </is>
      </c>
      <c r="C874" s="6" t="n">
        <v>-15.601</v>
      </c>
      <c r="D874" s="6" t="n">
        <v>-56.0974</v>
      </c>
      <c r="E874" s="6" t="inlineStr">
        <is>
          <t>2023-09</t>
        </is>
      </c>
      <c r="F874" s="6" t="n">
        <v>698991.5171503037</v>
      </c>
      <c r="G874" s="6" t="inlineStr">
        <is>
          <t>DOMESTICA</t>
        </is>
      </c>
      <c r="H874" s="6" t="inlineStr">
        <is>
          <t>FIXO</t>
        </is>
      </c>
      <c r="I874" s="11">
        <f>IF($H874="AUTO_OFERTA_TOTAL_PRODUTO_PERIODO",SUMIFS(Oferta!$F:$F,Oferta!$A:$A,$A874,Oferta!$E:$E,$E874),$F874)</f>
        <v/>
      </c>
      <c r="J874" s="6" t="inlineStr">
        <is>
          <t>Informado</t>
        </is>
      </c>
      <c r="K874" s="6" t="inlineStr">
        <is>
          <t>Demanda doméstica fixa informada pelo usuário.</t>
        </is>
      </c>
    </row>
    <row r="875">
      <c r="A875" s="6" t="inlineStr">
        <is>
          <t>Milho</t>
        </is>
      </c>
      <c r="B875" s="6" t="inlineStr">
        <is>
          <t>Cuiabá - MT</t>
        </is>
      </c>
      <c r="C875" s="6" t="n">
        <v>-15.601</v>
      </c>
      <c r="D875" s="6" t="n">
        <v>-56.0974</v>
      </c>
      <c r="E875" s="6" t="inlineStr">
        <is>
          <t>2023-10</t>
        </is>
      </c>
      <c r="F875" s="6" t="n">
        <v>511342.7877139806</v>
      </c>
      <c r="G875" s="6" t="inlineStr">
        <is>
          <t>DOMESTICA</t>
        </is>
      </c>
      <c r="H875" s="6" t="inlineStr">
        <is>
          <t>FIXO</t>
        </is>
      </c>
      <c r="I875" s="11">
        <f>IF($H875="AUTO_OFERTA_TOTAL_PRODUTO_PERIODO",SUMIFS(Oferta!$F:$F,Oferta!$A:$A,$A875,Oferta!$E:$E,$E875),$F875)</f>
        <v/>
      </c>
      <c r="J875" s="6" t="inlineStr">
        <is>
          <t>Informado</t>
        </is>
      </c>
      <c r="K875" s="6" t="inlineStr">
        <is>
          <t>Demanda doméstica fixa informada pelo usuário.</t>
        </is>
      </c>
    </row>
    <row r="876">
      <c r="A876" s="6" t="inlineStr">
        <is>
          <t>Milho</t>
        </is>
      </c>
      <c r="B876" s="6" t="inlineStr">
        <is>
          <t>Cuiabá - MT</t>
        </is>
      </c>
      <c r="C876" s="6" t="n">
        <v>-15.601</v>
      </c>
      <c r="D876" s="6" t="n">
        <v>-56.0974</v>
      </c>
      <c r="E876" s="6" t="inlineStr">
        <is>
          <t>2023-11</t>
        </is>
      </c>
      <c r="F876" s="6" t="n">
        <v>361223.804164922</v>
      </c>
      <c r="G876" s="6" t="inlineStr">
        <is>
          <t>DOMESTICA</t>
        </is>
      </c>
      <c r="H876" s="6" t="inlineStr">
        <is>
          <t>FIXO</t>
        </is>
      </c>
      <c r="I876" s="11">
        <f>IF($H876="AUTO_OFERTA_TOTAL_PRODUTO_PERIODO",SUMIFS(Oferta!$F:$F,Oferta!$A:$A,$A876,Oferta!$E:$E,$E876),$F876)</f>
        <v/>
      </c>
      <c r="J876" s="6" t="inlineStr">
        <is>
          <t>Informado</t>
        </is>
      </c>
      <c r="K876" s="6" t="inlineStr">
        <is>
          <t>Demanda doméstica fixa informada pelo usuário.</t>
        </is>
      </c>
    </row>
    <row r="877">
      <c r="A877" s="6" t="inlineStr">
        <is>
          <t>Milho</t>
        </is>
      </c>
      <c r="B877" s="6" t="inlineStr">
        <is>
          <t>Cuiabá - MT</t>
        </is>
      </c>
      <c r="C877" s="6" t="n">
        <v>-15.601</v>
      </c>
      <c r="D877" s="6" t="n">
        <v>-56.0974</v>
      </c>
      <c r="E877" s="6" t="inlineStr">
        <is>
          <t>2023-12</t>
        </is>
      </c>
      <c r="F877" s="6" t="n">
        <v>286164.3123903929</v>
      </c>
      <c r="G877" s="6" t="inlineStr">
        <is>
          <t>DOMESTICA</t>
        </is>
      </c>
      <c r="H877" s="6" t="inlineStr">
        <is>
          <t>FIXO</t>
        </is>
      </c>
      <c r="I877" s="11">
        <f>IF($H877="AUTO_OFERTA_TOTAL_PRODUTO_PERIODO",SUMIFS(Oferta!$F:$F,Oferta!$A:$A,$A877,Oferta!$E:$E,$E877),$F877)</f>
        <v/>
      </c>
      <c r="J877" s="6" t="inlineStr">
        <is>
          <t>Informado</t>
        </is>
      </c>
      <c r="K877" s="6" t="inlineStr">
        <is>
          <t>Demanda doméstica fixa informada pelo usuário.</t>
        </is>
      </c>
    </row>
    <row r="878">
      <c r="A878" s="6" t="inlineStr">
        <is>
          <t>Milho</t>
        </is>
      </c>
      <c r="B878" s="6" t="inlineStr">
        <is>
          <t>Campo Grande - MS</t>
        </is>
      </c>
      <c r="C878" s="6" t="n">
        <v>-20.4486</v>
      </c>
      <c r="D878" s="6" t="n">
        <v>-54.6295</v>
      </c>
      <c r="E878" s="6" t="inlineStr">
        <is>
          <t>2023-01</t>
        </is>
      </c>
      <c r="F878" s="6" t="n">
        <v>73840.9839973902</v>
      </c>
      <c r="G878" s="6" t="inlineStr">
        <is>
          <t>DOMESTICA</t>
        </is>
      </c>
      <c r="H878" s="6" t="inlineStr">
        <is>
          <t>FIXO</t>
        </is>
      </c>
      <c r="I878" s="11">
        <f>IF($H878="AUTO_OFERTA_TOTAL_PRODUTO_PERIODO",SUMIFS(Oferta!$F:$F,Oferta!$A:$A,$A878,Oferta!$E:$E,$E878),$F878)</f>
        <v/>
      </c>
      <c r="J878" s="6" t="inlineStr">
        <is>
          <t>Informado</t>
        </is>
      </c>
      <c r="K878" s="6" t="inlineStr">
        <is>
          <t>Demanda doméstica fixa informada pelo usuário.</t>
        </is>
      </c>
    </row>
    <row r="879">
      <c r="A879" s="6" t="inlineStr">
        <is>
          <t>Milho</t>
        </is>
      </c>
      <c r="B879" s="6" t="inlineStr">
        <is>
          <t>Campo Grande - MS</t>
        </is>
      </c>
      <c r="C879" s="6" t="n">
        <v>-20.4486</v>
      </c>
      <c r="D879" s="6" t="n">
        <v>-54.6295</v>
      </c>
      <c r="E879" s="6" t="inlineStr">
        <is>
          <t>2023-02</t>
        </is>
      </c>
      <c r="F879" s="6" t="n">
        <v>84986.7929026567</v>
      </c>
      <c r="G879" s="6" t="inlineStr">
        <is>
          <t>DOMESTICA</t>
        </is>
      </c>
      <c r="H879" s="6" t="inlineStr">
        <is>
          <t>FIXO</t>
        </is>
      </c>
      <c r="I879" s="11">
        <f>IF($H879="AUTO_OFERTA_TOTAL_PRODUTO_PERIODO",SUMIFS(Oferta!$F:$F,Oferta!$A:$A,$A879,Oferta!$E:$E,$E879),$F879)</f>
        <v/>
      </c>
      <c r="J879" s="6" t="inlineStr">
        <is>
          <t>Informado</t>
        </is>
      </c>
      <c r="K879" s="6" t="inlineStr">
        <is>
          <t>Demanda doméstica fixa informada pelo usuário.</t>
        </is>
      </c>
    </row>
    <row r="880">
      <c r="A880" s="6" t="inlineStr">
        <is>
          <t>Milho</t>
        </is>
      </c>
      <c r="B880" s="6" t="inlineStr">
        <is>
          <t>Campo Grande - MS</t>
        </is>
      </c>
      <c r="C880" s="6" t="n">
        <v>-20.4486</v>
      </c>
      <c r="D880" s="6" t="n">
        <v>-54.6295</v>
      </c>
      <c r="E880" s="6" t="inlineStr">
        <is>
          <t>2023-03</t>
        </is>
      </c>
      <c r="F880" s="6" t="n">
        <v>107278.4107131896</v>
      </c>
      <c r="G880" s="6" t="inlineStr">
        <is>
          <t>DOMESTICA</t>
        </is>
      </c>
      <c r="H880" s="6" t="inlineStr">
        <is>
          <t>FIXO</t>
        </is>
      </c>
      <c r="I880" s="11">
        <f>IF($H880="AUTO_OFERTA_TOTAL_PRODUTO_PERIODO",SUMIFS(Oferta!$F:$F,Oferta!$A:$A,$A880,Oferta!$E:$E,$E880),$F880)</f>
        <v/>
      </c>
      <c r="J880" s="6" t="inlineStr">
        <is>
          <t>Informado</t>
        </is>
      </c>
      <c r="K880" s="6" t="inlineStr">
        <is>
          <t>Demanda doméstica fixa informada pelo usuário.</t>
        </is>
      </c>
    </row>
    <row r="881">
      <c r="A881" s="6" t="inlineStr">
        <is>
          <t>Milho</t>
        </is>
      </c>
      <c r="B881" s="6" t="inlineStr">
        <is>
          <t>Campo Grande - MS</t>
        </is>
      </c>
      <c r="C881" s="6" t="n">
        <v>-20.4486</v>
      </c>
      <c r="D881" s="6" t="n">
        <v>-54.6295</v>
      </c>
      <c r="E881" s="6" t="inlineStr">
        <is>
          <t>2023-04</t>
        </is>
      </c>
      <c r="F881" s="6" t="n">
        <v>174153.2641447883</v>
      </c>
      <c r="G881" s="6" t="inlineStr">
        <is>
          <t>DOMESTICA</t>
        </is>
      </c>
      <c r="H881" s="6" t="inlineStr">
        <is>
          <t>FIXO</t>
        </is>
      </c>
      <c r="I881" s="11">
        <f>IF($H881="AUTO_OFERTA_TOTAL_PRODUTO_PERIODO",SUMIFS(Oferta!$F:$F,Oferta!$A:$A,$A881,Oferta!$E:$E,$E881),$F881)</f>
        <v/>
      </c>
      <c r="J881" s="6" t="inlineStr">
        <is>
          <t>Informado</t>
        </is>
      </c>
      <c r="K881" s="6" t="inlineStr">
        <is>
          <t>Demanda doméstica fixa informada pelo usuário.</t>
        </is>
      </c>
    </row>
    <row r="882">
      <c r="A882" s="6" t="inlineStr">
        <is>
          <t>Milho</t>
        </is>
      </c>
      <c r="B882" s="6" t="inlineStr">
        <is>
          <t>Campo Grande - MS</t>
        </is>
      </c>
      <c r="C882" s="6" t="n">
        <v>-20.4486</v>
      </c>
      <c r="D882" s="6" t="n">
        <v>-54.6295</v>
      </c>
      <c r="E882" s="6" t="inlineStr">
        <is>
          <t>2023-05</t>
        </is>
      </c>
      <c r="F882" s="6" t="n">
        <v>207590.6908605876</v>
      </c>
      <c r="G882" s="6" t="inlineStr">
        <is>
          <t>DOMESTICA</t>
        </is>
      </c>
      <c r="H882" s="6" t="inlineStr">
        <is>
          <t>FIXO</t>
        </is>
      </c>
      <c r="I882" s="11">
        <f>IF($H882="AUTO_OFERTA_TOTAL_PRODUTO_PERIODO",SUMIFS(Oferta!$F:$F,Oferta!$A:$A,$A882,Oferta!$E:$E,$E882),$F882)</f>
        <v/>
      </c>
      <c r="J882" s="6" t="inlineStr">
        <is>
          <t>Informado</t>
        </is>
      </c>
      <c r="K882" s="6" t="inlineStr">
        <is>
          <t>Demanda doméstica fixa informada pelo usuário.</t>
        </is>
      </c>
    </row>
    <row r="883">
      <c r="A883" s="6" t="inlineStr">
        <is>
          <t>Milho</t>
        </is>
      </c>
      <c r="B883" s="6" t="inlineStr">
        <is>
          <t>Campo Grande - MS</t>
        </is>
      </c>
      <c r="C883" s="6" t="n">
        <v>-20.4486</v>
      </c>
      <c r="D883" s="6" t="n">
        <v>-54.6295</v>
      </c>
      <c r="E883" s="6" t="inlineStr">
        <is>
          <t>2023-06</t>
        </is>
      </c>
      <c r="F883" s="6" t="n">
        <v>218736.4997658541</v>
      </c>
      <c r="G883" s="6" t="inlineStr">
        <is>
          <t>DOMESTICA</t>
        </is>
      </c>
      <c r="H883" s="6" t="inlineStr">
        <is>
          <t>FIXO</t>
        </is>
      </c>
      <c r="I883" s="11">
        <f>IF($H883="AUTO_OFERTA_TOTAL_PRODUTO_PERIODO",SUMIFS(Oferta!$F:$F,Oferta!$A:$A,$A883,Oferta!$E:$E,$E883),$F883)</f>
        <v/>
      </c>
      <c r="J883" s="6" t="inlineStr">
        <is>
          <t>Informado</t>
        </is>
      </c>
      <c r="K883" s="6" t="inlineStr">
        <is>
          <t>Demanda doméstica fixa informada pelo usuário.</t>
        </is>
      </c>
    </row>
    <row r="884">
      <c r="A884" s="6" t="inlineStr">
        <is>
          <t>Milho</t>
        </is>
      </c>
      <c r="B884" s="6" t="inlineStr">
        <is>
          <t>Campo Grande - MS</t>
        </is>
      </c>
      <c r="C884" s="6" t="n">
        <v>-20.4486</v>
      </c>
      <c r="D884" s="6" t="n">
        <v>-54.6295</v>
      </c>
      <c r="E884" s="6" t="inlineStr">
        <is>
          <t>2023-07</t>
        </is>
      </c>
      <c r="F884" s="6" t="n">
        <v>174153.2641447883</v>
      </c>
      <c r="G884" s="6" t="inlineStr">
        <is>
          <t>DOMESTICA</t>
        </is>
      </c>
      <c r="H884" s="6" t="inlineStr">
        <is>
          <t>FIXO</t>
        </is>
      </c>
      <c r="I884" s="11">
        <f>IF($H884="AUTO_OFERTA_TOTAL_PRODUTO_PERIODO",SUMIFS(Oferta!$F:$F,Oferta!$A:$A,$A884,Oferta!$E:$E,$E884),$F884)</f>
        <v/>
      </c>
      <c r="J884" s="6" t="inlineStr">
        <is>
          <t>Informado</t>
        </is>
      </c>
      <c r="K884" s="6" t="inlineStr">
        <is>
          <t>Demanda doméstica fixa informada pelo usuário.</t>
        </is>
      </c>
    </row>
    <row r="885">
      <c r="A885" s="6" t="inlineStr">
        <is>
          <t>Milho</t>
        </is>
      </c>
      <c r="B885" s="6" t="inlineStr">
        <is>
          <t>Campo Grande - MS</t>
        </is>
      </c>
      <c r="C885" s="6" t="n">
        <v>-20.4486</v>
      </c>
      <c r="D885" s="6" t="n">
        <v>-54.6295</v>
      </c>
      <c r="E885" s="6" t="inlineStr">
        <is>
          <t>2023-08</t>
        </is>
      </c>
      <c r="F885" s="6" t="n">
        <v>196444.8819553212</v>
      </c>
      <c r="G885" s="6" t="inlineStr">
        <is>
          <t>DOMESTICA</t>
        </is>
      </c>
      <c r="H885" s="6" t="inlineStr">
        <is>
          <t>FIXO</t>
        </is>
      </c>
      <c r="I885" s="11">
        <f>IF($H885="AUTO_OFERTA_TOTAL_PRODUTO_PERIODO",SUMIFS(Oferta!$F:$F,Oferta!$A:$A,$A885,Oferta!$E:$E,$E885),$F885)</f>
        <v/>
      </c>
      <c r="J885" s="6" t="inlineStr">
        <is>
          <t>Informado</t>
        </is>
      </c>
      <c r="K885" s="6" t="inlineStr">
        <is>
          <t>Demanda doméstica fixa informada pelo usuário.</t>
        </is>
      </c>
    </row>
    <row r="886">
      <c r="A886" s="6" t="inlineStr">
        <is>
          <t>Milho</t>
        </is>
      </c>
      <c r="B886" s="6" t="inlineStr">
        <is>
          <t>Campo Grande - MS</t>
        </is>
      </c>
      <c r="C886" s="6" t="n">
        <v>-20.4486</v>
      </c>
      <c r="D886" s="6" t="n">
        <v>-54.6295</v>
      </c>
      <c r="E886" s="6" t="inlineStr">
        <is>
          <t>2023-09</t>
        </is>
      </c>
      <c r="F886" s="6" t="n">
        <v>185299.0730500547</v>
      </c>
      <c r="G886" s="6" t="inlineStr">
        <is>
          <t>DOMESTICA</t>
        </is>
      </c>
      <c r="H886" s="6" t="inlineStr">
        <is>
          <t>FIXO</t>
        </is>
      </c>
      <c r="I886" s="11">
        <f>IF($H886="AUTO_OFERTA_TOTAL_PRODUTO_PERIODO",SUMIFS(Oferta!$F:$F,Oferta!$A:$A,$A886,Oferta!$E:$E,$E886),$F886)</f>
        <v/>
      </c>
      <c r="J886" s="6" t="inlineStr">
        <is>
          <t>Informado</t>
        </is>
      </c>
      <c r="K886" s="6" t="inlineStr">
        <is>
          <t>Demanda doméstica fixa informada pelo usuário.</t>
        </is>
      </c>
    </row>
    <row r="887">
      <c r="A887" s="6" t="inlineStr">
        <is>
          <t>Milho</t>
        </is>
      </c>
      <c r="B887" s="6" t="inlineStr">
        <is>
          <t>Campo Grande - MS</t>
        </is>
      </c>
      <c r="C887" s="6" t="n">
        <v>-20.4486</v>
      </c>
      <c r="D887" s="6" t="n">
        <v>-54.6295</v>
      </c>
      <c r="E887" s="6" t="inlineStr">
        <is>
          <t>2023-10</t>
        </is>
      </c>
      <c r="F887" s="6" t="n">
        <v>185299.0730500547</v>
      </c>
      <c r="G887" s="6" t="inlineStr">
        <is>
          <t>DOMESTICA</t>
        </is>
      </c>
      <c r="H887" s="6" t="inlineStr">
        <is>
          <t>FIXO</t>
        </is>
      </c>
      <c r="I887" s="11">
        <f>IF($H887="AUTO_OFERTA_TOTAL_PRODUTO_PERIODO",SUMIFS(Oferta!$F:$F,Oferta!$A:$A,$A887,Oferta!$E:$E,$E887),$F887)</f>
        <v/>
      </c>
      <c r="J887" s="6" t="inlineStr">
        <is>
          <t>Informado</t>
        </is>
      </c>
      <c r="K887" s="6" t="inlineStr">
        <is>
          <t>Demanda doméstica fixa informada pelo usuário.</t>
        </is>
      </c>
    </row>
    <row r="888">
      <c r="A888" s="6" t="inlineStr">
        <is>
          <t>Milho</t>
        </is>
      </c>
      <c r="B888" s="6" t="inlineStr">
        <is>
          <t>Campo Grande - MS</t>
        </is>
      </c>
      <c r="C888" s="6" t="n">
        <v>-20.4486</v>
      </c>
      <c r="D888" s="6" t="n">
        <v>-54.6295</v>
      </c>
      <c r="E888" s="6" t="inlineStr">
        <is>
          <t>2023-11</t>
        </is>
      </c>
      <c r="F888" s="6" t="n">
        <v>118424.219618456</v>
      </c>
      <c r="G888" s="6" t="inlineStr">
        <is>
          <t>DOMESTICA</t>
        </is>
      </c>
      <c r="H888" s="6" t="inlineStr">
        <is>
          <t>FIXO</t>
        </is>
      </c>
      <c r="I888" s="11">
        <f>IF($H888="AUTO_OFERTA_TOTAL_PRODUTO_PERIODO",SUMIFS(Oferta!$F:$F,Oferta!$A:$A,$A888,Oferta!$E:$E,$E888),$F888)</f>
        <v/>
      </c>
      <c r="J888" s="6" t="inlineStr">
        <is>
          <t>Informado</t>
        </is>
      </c>
      <c r="K888" s="6" t="inlineStr">
        <is>
          <t>Demanda doméstica fixa informada pelo usuário.</t>
        </is>
      </c>
    </row>
    <row r="889">
      <c r="A889" s="6" t="inlineStr">
        <is>
          <t>Milho</t>
        </is>
      </c>
      <c r="B889" s="6" t="inlineStr">
        <is>
          <t>Campo Grande - MS</t>
        </is>
      </c>
      <c r="C889" s="6" t="n">
        <v>-20.4486</v>
      </c>
      <c r="D889" s="6" t="n">
        <v>-54.6295</v>
      </c>
      <c r="E889" s="6" t="inlineStr">
        <is>
          <t>2023-12</t>
        </is>
      </c>
      <c r="F889" s="6" t="n">
        <v>96132.6018079231</v>
      </c>
      <c r="G889" s="6" t="inlineStr">
        <is>
          <t>DOMESTICA</t>
        </is>
      </c>
      <c r="H889" s="6" t="inlineStr">
        <is>
          <t>FIXO</t>
        </is>
      </c>
      <c r="I889" s="11">
        <f>IF($H889="AUTO_OFERTA_TOTAL_PRODUTO_PERIODO",SUMIFS(Oferta!$F:$F,Oferta!$A:$A,$A889,Oferta!$E:$E,$E889),$F889)</f>
        <v/>
      </c>
      <c r="J889" s="6" t="inlineStr">
        <is>
          <t>Informado</t>
        </is>
      </c>
      <c r="K889" s="6" t="inlineStr">
        <is>
          <t>Demanda doméstica fixa informada pelo usuário.</t>
        </is>
      </c>
    </row>
    <row r="890">
      <c r="A890" s="6" t="inlineStr">
        <is>
          <t>Milho</t>
        </is>
      </c>
      <c r="B890" s="6" t="inlineStr">
        <is>
          <t>Vitória - ES</t>
        </is>
      </c>
      <c r="C890" s="6" t="n">
        <v>-20.3155</v>
      </c>
      <c r="D890" s="6" t="n">
        <v>-40.3128</v>
      </c>
      <c r="E890" s="6" t="inlineStr">
        <is>
          <t>2023-01</t>
        </is>
      </c>
      <c r="F890" s="6" t="n">
        <v>63528.543258176</v>
      </c>
      <c r="G890" s="6" t="inlineStr">
        <is>
          <t>DOMESTICA</t>
        </is>
      </c>
      <c r="H890" s="6" t="inlineStr">
        <is>
          <t>FIXO</t>
        </is>
      </c>
      <c r="I890" s="11">
        <f>IF($H890="AUTO_OFERTA_TOTAL_PRODUTO_PERIODO",SUMIFS(Oferta!$F:$F,Oferta!$A:$A,$A890,Oferta!$E:$E,$E890),$F890)</f>
        <v/>
      </c>
      <c r="J890" s="6" t="inlineStr">
        <is>
          <t>Informado</t>
        </is>
      </c>
      <c r="K890" s="6" t="inlineStr">
        <is>
          <t>Demanda doméstica fixa informada pelo usuário.</t>
        </is>
      </c>
    </row>
    <row r="891">
      <c r="A891" s="6" t="inlineStr">
        <is>
          <t>Milho</t>
        </is>
      </c>
      <c r="B891" s="6" t="inlineStr">
        <is>
          <t>Vitória - ES</t>
        </is>
      </c>
      <c r="C891" s="6" t="n">
        <v>-20.3155</v>
      </c>
      <c r="D891" s="6" t="n">
        <v>-40.3128</v>
      </c>
      <c r="E891" s="6" t="inlineStr">
        <is>
          <t>2023-02</t>
        </is>
      </c>
      <c r="F891" s="6" t="n">
        <v>73117.7573348818</v>
      </c>
      <c r="G891" s="6" t="inlineStr">
        <is>
          <t>DOMESTICA</t>
        </is>
      </c>
      <c r="H891" s="6" t="inlineStr">
        <is>
          <t>FIXO</t>
        </is>
      </c>
      <c r="I891" s="11">
        <f>IF($H891="AUTO_OFERTA_TOTAL_PRODUTO_PERIODO",SUMIFS(Oferta!$F:$F,Oferta!$A:$A,$A891,Oferta!$E:$E,$E891),$F891)</f>
        <v/>
      </c>
      <c r="J891" s="6" t="inlineStr">
        <is>
          <t>Informado</t>
        </is>
      </c>
      <c r="K891" s="6" t="inlineStr">
        <is>
          <t>Demanda doméstica fixa informada pelo usuário.</t>
        </is>
      </c>
    </row>
    <row r="892">
      <c r="A892" s="6" t="inlineStr">
        <is>
          <t>Milho</t>
        </is>
      </c>
      <c r="B892" s="6" t="inlineStr">
        <is>
          <t>Vitória - ES</t>
        </is>
      </c>
      <c r="C892" s="6" t="n">
        <v>-20.3155</v>
      </c>
      <c r="D892" s="6" t="n">
        <v>-40.3128</v>
      </c>
      <c r="E892" s="6" t="inlineStr">
        <is>
          <t>2023-03</t>
        </is>
      </c>
      <c r="F892" s="6" t="n">
        <v>92296.1854882934</v>
      </c>
      <c r="G892" s="6" t="inlineStr">
        <is>
          <t>DOMESTICA</t>
        </is>
      </c>
      <c r="H892" s="6" t="inlineStr">
        <is>
          <t>FIXO</t>
        </is>
      </c>
      <c r="I892" s="11">
        <f>IF($H892="AUTO_OFERTA_TOTAL_PRODUTO_PERIODO",SUMIFS(Oferta!$F:$F,Oferta!$A:$A,$A892,Oferta!$E:$E,$E892),$F892)</f>
        <v/>
      </c>
      <c r="J892" s="6" t="inlineStr">
        <is>
          <t>Informado</t>
        </is>
      </c>
      <c r="K892" s="6" t="inlineStr">
        <is>
          <t>Demanda doméstica fixa informada pelo usuário.</t>
        </is>
      </c>
    </row>
    <row r="893">
      <c r="A893" s="6" t="inlineStr">
        <is>
          <t>Milho</t>
        </is>
      </c>
      <c r="B893" s="6" t="inlineStr">
        <is>
          <t>Vitória - ES</t>
        </is>
      </c>
      <c r="C893" s="6" t="n">
        <v>-20.3155</v>
      </c>
      <c r="D893" s="6" t="n">
        <v>-40.3128</v>
      </c>
      <c r="E893" s="6" t="inlineStr">
        <is>
          <t>2023-04</t>
        </is>
      </c>
      <c r="F893" s="6" t="n">
        <v>149831.4699485283</v>
      </c>
      <c r="G893" s="6" t="inlineStr">
        <is>
          <t>DOMESTICA</t>
        </is>
      </c>
      <c r="H893" s="6" t="inlineStr">
        <is>
          <t>FIXO</t>
        </is>
      </c>
      <c r="I893" s="11">
        <f>IF($H893="AUTO_OFERTA_TOTAL_PRODUTO_PERIODO",SUMIFS(Oferta!$F:$F,Oferta!$A:$A,$A893,Oferta!$E:$E,$E893),$F893)</f>
        <v/>
      </c>
      <c r="J893" s="6" t="inlineStr">
        <is>
          <t>Informado</t>
        </is>
      </c>
      <c r="K893" s="6" t="inlineStr">
        <is>
          <t>Demanda doméstica fixa informada pelo usuário.</t>
        </is>
      </c>
    </row>
    <row r="894">
      <c r="A894" s="6" t="inlineStr">
        <is>
          <t>Milho</t>
        </is>
      </c>
      <c r="B894" s="6" t="inlineStr">
        <is>
          <t>Vitória - ES</t>
        </is>
      </c>
      <c r="C894" s="6" t="n">
        <v>-20.3155</v>
      </c>
      <c r="D894" s="6" t="n">
        <v>-40.3128</v>
      </c>
      <c r="E894" s="6" t="inlineStr">
        <is>
          <t>2023-05</t>
        </is>
      </c>
      <c r="F894" s="6" t="n">
        <v>159420.6840252341</v>
      </c>
      <c r="G894" s="6" t="inlineStr">
        <is>
          <t>DOMESTICA</t>
        </is>
      </c>
      <c r="H894" s="6" t="inlineStr">
        <is>
          <t>FIXO</t>
        </is>
      </c>
      <c r="I894" s="11">
        <f>IF($H894="AUTO_OFERTA_TOTAL_PRODUTO_PERIODO",SUMIFS(Oferta!$F:$F,Oferta!$A:$A,$A894,Oferta!$E:$E,$E894),$F894)</f>
        <v/>
      </c>
      <c r="J894" s="6" t="inlineStr">
        <is>
          <t>Informado</t>
        </is>
      </c>
      <c r="K894" s="6" t="inlineStr">
        <is>
          <t>Demanda doméstica fixa informada pelo usuário.</t>
        </is>
      </c>
    </row>
    <row r="895">
      <c r="A895" s="6" t="inlineStr">
        <is>
          <t>Milho</t>
        </is>
      </c>
      <c r="B895" s="6" t="inlineStr">
        <is>
          <t>Vitória - ES</t>
        </is>
      </c>
      <c r="C895" s="6" t="n">
        <v>-20.3155</v>
      </c>
      <c r="D895" s="6" t="n">
        <v>-40.3128</v>
      </c>
      <c r="E895" s="6" t="inlineStr">
        <is>
          <t>2023-06</t>
        </is>
      </c>
      <c r="F895" s="6" t="n">
        <v>149831.4699485283</v>
      </c>
      <c r="G895" s="6" t="inlineStr">
        <is>
          <t>DOMESTICA</t>
        </is>
      </c>
      <c r="H895" s="6" t="inlineStr">
        <is>
          <t>FIXO</t>
        </is>
      </c>
      <c r="I895" s="11">
        <f>IF($H895="AUTO_OFERTA_TOTAL_PRODUTO_PERIODO",SUMIFS(Oferta!$F:$F,Oferta!$A:$A,$A895,Oferta!$E:$E,$E895),$F895)</f>
        <v/>
      </c>
      <c r="J895" s="6" t="inlineStr">
        <is>
          <t>Informado</t>
        </is>
      </c>
      <c r="K895" s="6" t="inlineStr">
        <is>
          <t>Demanda doméstica fixa informada pelo usuário.</t>
        </is>
      </c>
    </row>
    <row r="896">
      <c r="A896" s="6" t="inlineStr">
        <is>
          <t>Milho</t>
        </is>
      </c>
      <c r="B896" s="6" t="inlineStr">
        <is>
          <t>Vitória - ES</t>
        </is>
      </c>
      <c r="C896" s="6" t="n">
        <v>-20.3155</v>
      </c>
      <c r="D896" s="6" t="n">
        <v>-40.3128</v>
      </c>
      <c r="E896" s="6" t="inlineStr">
        <is>
          <t>2023-07</t>
        </is>
      </c>
      <c r="F896" s="6" t="n">
        <v>111474.613641705</v>
      </c>
      <c r="G896" s="6" t="inlineStr">
        <is>
          <t>DOMESTICA</t>
        </is>
      </c>
      <c r="H896" s="6" t="inlineStr">
        <is>
          <t>FIXO</t>
        </is>
      </c>
      <c r="I896" s="11">
        <f>IF($H896="AUTO_OFERTA_TOTAL_PRODUTO_PERIODO",SUMIFS(Oferta!$F:$F,Oferta!$A:$A,$A896,Oferta!$E:$E,$E896),$F896)</f>
        <v/>
      </c>
      <c r="J896" s="6" t="inlineStr">
        <is>
          <t>Informado</t>
        </is>
      </c>
      <c r="K896" s="6" t="inlineStr">
        <is>
          <t>Demanda doméstica fixa informada pelo usuário.</t>
        </is>
      </c>
    </row>
    <row r="897">
      <c r="A897" s="6" t="inlineStr">
        <is>
          <t>Milho</t>
        </is>
      </c>
      <c r="B897" s="6" t="inlineStr">
        <is>
          <t>Vitória - ES</t>
        </is>
      </c>
      <c r="C897" s="6" t="n">
        <v>-20.3155</v>
      </c>
      <c r="D897" s="6" t="n">
        <v>-40.3128</v>
      </c>
      <c r="E897" s="6" t="inlineStr">
        <is>
          <t>2023-08</t>
        </is>
      </c>
      <c r="F897" s="6" t="n">
        <v>149831.4699485283</v>
      </c>
      <c r="G897" s="6" t="inlineStr">
        <is>
          <t>DOMESTICA</t>
        </is>
      </c>
      <c r="H897" s="6" t="inlineStr">
        <is>
          <t>FIXO</t>
        </is>
      </c>
      <c r="I897" s="11">
        <f>IF($H897="AUTO_OFERTA_TOTAL_PRODUTO_PERIODO",SUMIFS(Oferta!$F:$F,Oferta!$A:$A,$A897,Oferta!$E:$E,$E897),$F897)</f>
        <v/>
      </c>
      <c r="J897" s="6" t="inlineStr">
        <is>
          <t>Informado</t>
        </is>
      </c>
      <c r="K897" s="6" t="inlineStr">
        <is>
          <t>Demanda doméstica fixa informada pelo usuário.</t>
        </is>
      </c>
    </row>
    <row r="898">
      <c r="A898" s="6" t="inlineStr">
        <is>
          <t>Milho</t>
        </is>
      </c>
      <c r="B898" s="6" t="inlineStr">
        <is>
          <t>Vitória - ES</t>
        </is>
      </c>
      <c r="C898" s="6" t="n">
        <v>-20.3155</v>
      </c>
      <c r="D898" s="6" t="n">
        <v>-40.3128</v>
      </c>
      <c r="E898" s="6" t="inlineStr">
        <is>
          <t>2023-09</t>
        </is>
      </c>
      <c r="F898" s="6" t="n">
        <v>159420.6840252341</v>
      </c>
      <c r="G898" s="6" t="inlineStr">
        <is>
          <t>DOMESTICA</t>
        </is>
      </c>
      <c r="H898" s="6" t="inlineStr">
        <is>
          <t>FIXO</t>
        </is>
      </c>
      <c r="I898" s="11">
        <f>IF($H898="AUTO_OFERTA_TOTAL_PRODUTO_PERIODO",SUMIFS(Oferta!$F:$F,Oferta!$A:$A,$A898,Oferta!$E:$E,$E898),$F898)</f>
        <v/>
      </c>
      <c r="J898" s="6" t="inlineStr">
        <is>
          <t>Informado</t>
        </is>
      </c>
      <c r="K898" s="6" t="inlineStr">
        <is>
          <t>Demanda doméstica fixa informada pelo usuário.</t>
        </is>
      </c>
    </row>
    <row r="899">
      <c r="A899" s="6" t="inlineStr">
        <is>
          <t>Milho</t>
        </is>
      </c>
      <c r="B899" s="6" t="inlineStr">
        <is>
          <t>Vitória - ES</t>
        </is>
      </c>
      <c r="C899" s="6" t="n">
        <v>-20.3155</v>
      </c>
      <c r="D899" s="6" t="n">
        <v>-40.3128</v>
      </c>
      <c r="E899" s="6" t="inlineStr">
        <is>
          <t>2023-10</t>
        </is>
      </c>
      <c r="F899" s="6" t="n">
        <v>149831.4699485283</v>
      </c>
      <c r="G899" s="6" t="inlineStr">
        <is>
          <t>DOMESTICA</t>
        </is>
      </c>
      <c r="H899" s="6" t="inlineStr">
        <is>
          <t>FIXO</t>
        </is>
      </c>
      <c r="I899" s="11">
        <f>IF($H899="AUTO_OFERTA_TOTAL_PRODUTO_PERIODO",SUMIFS(Oferta!$F:$F,Oferta!$A:$A,$A899,Oferta!$E:$E,$E899),$F899)</f>
        <v/>
      </c>
      <c r="J899" s="6" t="inlineStr">
        <is>
          <t>Informado</t>
        </is>
      </c>
      <c r="K899" s="6" t="inlineStr">
        <is>
          <t>Demanda doméstica fixa informada pelo usuário.</t>
        </is>
      </c>
    </row>
    <row r="900">
      <c r="A900" s="6" t="inlineStr">
        <is>
          <t>Milho</t>
        </is>
      </c>
      <c r="B900" s="6" t="inlineStr">
        <is>
          <t>Vitória - ES</t>
        </is>
      </c>
      <c r="C900" s="6" t="n">
        <v>-20.3155</v>
      </c>
      <c r="D900" s="6" t="n">
        <v>-40.3128</v>
      </c>
      <c r="E900" s="6" t="inlineStr">
        <is>
          <t>2023-11</t>
        </is>
      </c>
      <c r="F900" s="6" t="n">
        <v>92296.1854882934</v>
      </c>
      <c r="G900" s="6" t="inlineStr">
        <is>
          <t>DOMESTICA</t>
        </is>
      </c>
      <c r="H900" s="6" t="inlineStr">
        <is>
          <t>FIXO</t>
        </is>
      </c>
      <c r="I900" s="11">
        <f>IF($H900="AUTO_OFERTA_TOTAL_PRODUTO_PERIODO",SUMIFS(Oferta!$F:$F,Oferta!$A:$A,$A900,Oferta!$E:$E,$E900),$F900)</f>
        <v/>
      </c>
      <c r="J900" s="6" t="inlineStr">
        <is>
          <t>Informado</t>
        </is>
      </c>
      <c r="K900" s="6" t="inlineStr">
        <is>
          <t>Demanda doméstica fixa informada pelo usuário.</t>
        </is>
      </c>
    </row>
    <row r="901">
      <c r="A901" s="6" t="inlineStr">
        <is>
          <t>Milho</t>
        </is>
      </c>
      <c r="B901" s="6" t="inlineStr">
        <is>
          <t>Vitória - ES</t>
        </is>
      </c>
      <c r="C901" s="6" t="n">
        <v>-20.3155</v>
      </c>
      <c r="D901" s="6" t="n">
        <v>-40.3128</v>
      </c>
      <c r="E901" s="6" t="inlineStr">
        <is>
          <t>2023-12</t>
        </is>
      </c>
      <c r="F901" s="6" t="n">
        <v>73117.7573348818</v>
      </c>
      <c r="G901" s="6" t="inlineStr">
        <is>
          <t>DOMESTICA</t>
        </is>
      </c>
      <c r="H901" s="6" t="inlineStr">
        <is>
          <t>FIXO</t>
        </is>
      </c>
      <c r="I901" s="11">
        <f>IF($H901="AUTO_OFERTA_TOTAL_PRODUTO_PERIODO",SUMIFS(Oferta!$F:$F,Oferta!$A:$A,$A901,Oferta!$E:$E,$E901),$F901)</f>
        <v/>
      </c>
      <c r="J901" s="6" t="inlineStr">
        <is>
          <t>Informado</t>
        </is>
      </c>
      <c r="K901" s="6" t="inlineStr">
        <is>
          <t>Demanda doméstica fixa informada pelo usuário.</t>
        </is>
      </c>
    </row>
    <row r="902">
      <c r="A902" s="6" t="inlineStr">
        <is>
          <t>Milho</t>
        </is>
      </c>
      <c r="B902" s="6" t="inlineStr">
        <is>
          <t>Belo Horizonte - MG</t>
        </is>
      </c>
      <c r="C902" s="6" t="n">
        <v>-19.9102</v>
      </c>
      <c r="D902" s="6" t="n">
        <v>-43.9266</v>
      </c>
      <c r="E902" s="6" t="inlineStr">
        <is>
          <t>2023-01</t>
        </is>
      </c>
      <c r="F902" s="6" t="n">
        <v>389883.8723434678</v>
      </c>
      <c r="G902" s="6" t="inlineStr">
        <is>
          <t>DOMESTICA</t>
        </is>
      </c>
      <c r="H902" s="6" t="inlineStr">
        <is>
          <t>FIXO</t>
        </is>
      </c>
      <c r="I902" s="11">
        <f>IF($H902="AUTO_OFERTA_TOTAL_PRODUTO_PERIODO",SUMIFS(Oferta!$F:$F,Oferta!$A:$A,$A902,Oferta!$E:$E,$E902),$F902)</f>
        <v/>
      </c>
      <c r="J902" s="6" t="inlineStr">
        <is>
          <t>Informado</t>
        </is>
      </c>
      <c r="K902" s="6" t="inlineStr">
        <is>
          <t>Demanda doméstica fixa informada pelo usuário.</t>
        </is>
      </c>
    </row>
    <row r="903">
      <c r="A903" s="6" t="inlineStr">
        <is>
          <t>Milho</t>
        </is>
      </c>
      <c r="B903" s="6" t="inlineStr">
        <is>
          <t>Belo Horizonte - MG</t>
        </is>
      </c>
      <c r="C903" s="6" t="n">
        <v>-19.9102</v>
      </c>
      <c r="D903" s="6" t="n">
        <v>-43.9266</v>
      </c>
      <c r="E903" s="6" t="inlineStr">
        <is>
          <t>2023-02</t>
        </is>
      </c>
      <c r="F903" s="6" t="n">
        <v>389883.8723434678</v>
      </c>
      <c r="G903" s="6" t="inlineStr">
        <is>
          <t>DOMESTICA</t>
        </is>
      </c>
      <c r="H903" s="6" t="inlineStr">
        <is>
          <t>FIXO</t>
        </is>
      </c>
      <c r="I903" s="11">
        <f>IF($H903="AUTO_OFERTA_TOTAL_PRODUTO_PERIODO",SUMIFS(Oferta!$F:$F,Oferta!$A:$A,$A903,Oferta!$E:$E,$E903),$F903)</f>
        <v/>
      </c>
      <c r="J903" s="6" t="inlineStr">
        <is>
          <t>Informado</t>
        </is>
      </c>
      <c r="K903" s="6" t="inlineStr">
        <is>
          <t>Demanda doméstica fixa informada pelo usuário.</t>
        </is>
      </c>
    </row>
    <row r="904">
      <c r="A904" s="6" t="inlineStr">
        <is>
          <t>Milho</t>
        </is>
      </c>
      <c r="B904" s="6" t="inlineStr">
        <is>
          <t>Belo Horizonte - MG</t>
        </is>
      </c>
      <c r="C904" s="6" t="n">
        <v>-19.9102</v>
      </c>
      <c r="D904" s="6" t="n">
        <v>-43.9266</v>
      </c>
      <c r="E904" s="6" t="inlineStr">
        <is>
          <t>2023-03</t>
        </is>
      </c>
      <c r="F904" s="6" t="n">
        <v>448734.2681688968</v>
      </c>
      <c r="G904" s="6" t="inlineStr">
        <is>
          <t>DOMESTICA</t>
        </is>
      </c>
      <c r="H904" s="6" t="inlineStr">
        <is>
          <t>FIXO</t>
        </is>
      </c>
      <c r="I904" s="11">
        <f>IF($H904="AUTO_OFERTA_TOTAL_PRODUTO_PERIODO",SUMIFS(Oferta!$F:$F,Oferta!$A:$A,$A904,Oferta!$E:$E,$E904),$F904)</f>
        <v/>
      </c>
      <c r="J904" s="6" t="inlineStr">
        <is>
          <t>Informado</t>
        </is>
      </c>
      <c r="K904" s="6" t="inlineStr">
        <is>
          <t>Demanda doméstica fixa informada pelo usuário.</t>
        </is>
      </c>
    </row>
    <row r="905">
      <c r="A905" s="6" t="inlineStr">
        <is>
          <t>Milho</t>
        </is>
      </c>
      <c r="B905" s="6" t="inlineStr">
        <is>
          <t>Belo Horizonte - MG</t>
        </is>
      </c>
      <c r="C905" s="6" t="n">
        <v>-19.9102</v>
      </c>
      <c r="D905" s="6" t="n">
        <v>-43.9266</v>
      </c>
      <c r="E905" s="6" t="inlineStr">
        <is>
          <t>2023-04</t>
        </is>
      </c>
      <c r="F905" s="6" t="n">
        <v>566435.0598197551</v>
      </c>
      <c r="G905" s="6" t="inlineStr">
        <is>
          <t>DOMESTICA</t>
        </is>
      </c>
      <c r="H905" s="6" t="inlineStr">
        <is>
          <t>FIXO</t>
        </is>
      </c>
      <c r="I905" s="11">
        <f>IF($H905="AUTO_OFERTA_TOTAL_PRODUTO_PERIODO",SUMIFS(Oferta!$F:$F,Oferta!$A:$A,$A905,Oferta!$E:$E,$E905),$F905)</f>
        <v/>
      </c>
      <c r="J905" s="6" t="inlineStr">
        <is>
          <t>Informado</t>
        </is>
      </c>
      <c r="K905" s="6" t="inlineStr">
        <is>
          <t>Demanda doméstica fixa informada pelo usuário.</t>
        </is>
      </c>
    </row>
    <row r="906">
      <c r="A906" s="6" t="inlineStr">
        <is>
          <t>Milho</t>
        </is>
      </c>
      <c r="B906" s="6" t="inlineStr">
        <is>
          <t>Belo Horizonte - MG</t>
        </is>
      </c>
      <c r="C906" s="6" t="n">
        <v>-19.9102</v>
      </c>
      <c r="D906" s="6" t="n">
        <v>-43.9266</v>
      </c>
      <c r="E906" s="6" t="inlineStr">
        <is>
          <t>2023-05</t>
        </is>
      </c>
      <c r="F906" s="6" t="n">
        <v>801836.6431214714</v>
      </c>
      <c r="G906" s="6" t="inlineStr">
        <is>
          <t>DOMESTICA</t>
        </is>
      </c>
      <c r="H906" s="6" t="inlineStr">
        <is>
          <t>FIXO</t>
        </is>
      </c>
      <c r="I906" s="11">
        <f>IF($H906="AUTO_OFERTA_TOTAL_PRODUTO_PERIODO",SUMIFS(Oferta!$F:$F,Oferta!$A:$A,$A906,Oferta!$E:$E,$E906),$F906)</f>
        <v/>
      </c>
      <c r="J906" s="6" t="inlineStr">
        <is>
          <t>Informado</t>
        </is>
      </c>
      <c r="K906" s="6" t="inlineStr">
        <is>
          <t>Demanda doméstica fixa informada pelo usuário.</t>
        </is>
      </c>
    </row>
    <row r="907">
      <c r="A907" s="6" t="inlineStr">
        <is>
          <t>Milho</t>
        </is>
      </c>
      <c r="B907" s="6" t="inlineStr">
        <is>
          <t>Belo Horizonte - MG</t>
        </is>
      </c>
      <c r="C907" s="6" t="n">
        <v>-19.9102</v>
      </c>
      <c r="D907" s="6" t="n">
        <v>-43.9266</v>
      </c>
      <c r="E907" s="6" t="inlineStr">
        <is>
          <t>2023-06</t>
        </is>
      </c>
      <c r="F907" s="6" t="n">
        <v>1037238.226423188</v>
      </c>
      <c r="G907" s="6" t="inlineStr">
        <is>
          <t>DOMESTICA</t>
        </is>
      </c>
      <c r="H907" s="6" t="inlineStr">
        <is>
          <t>FIXO</t>
        </is>
      </c>
      <c r="I907" s="11">
        <f>IF($H907="AUTO_OFERTA_TOTAL_PRODUTO_PERIODO",SUMIFS(Oferta!$F:$F,Oferta!$A:$A,$A907,Oferta!$E:$E,$E907),$F907)</f>
        <v/>
      </c>
      <c r="J907" s="6" t="inlineStr">
        <is>
          <t>Informado</t>
        </is>
      </c>
      <c r="K907" s="6" t="inlineStr">
        <is>
          <t>Demanda doméstica fixa informada pelo usuário.</t>
        </is>
      </c>
    </row>
    <row r="908">
      <c r="A908" s="6" t="inlineStr">
        <is>
          <t>Milho</t>
        </is>
      </c>
      <c r="B908" s="6" t="inlineStr">
        <is>
          <t>Belo Horizonte - MG</t>
        </is>
      </c>
      <c r="C908" s="6" t="n">
        <v>-19.9102</v>
      </c>
      <c r="D908" s="6" t="n">
        <v>-43.9266</v>
      </c>
      <c r="E908" s="6" t="inlineStr">
        <is>
          <t>2023-07</t>
        </is>
      </c>
      <c r="F908" s="6" t="n">
        <v>1154939.018074046</v>
      </c>
      <c r="G908" s="6" t="inlineStr">
        <is>
          <t>DOMESTICA</t>
        </is>
      </c>
      <c r="H908" s="6" t="inlineStr">
        <is>
          <t>FIXO</t>
        </is>
      </c>
      <c r="I908" s="11">
        <f>IF($H908="AUTO_OFERTA_TOTAL_PRODUTO_PERIODO",SUMIFS(Oferta!$F:$F,Oferta!$A:$A,$A908,Oferta!$E:$E,$E908),$F908)</f>
        <v/>
      </c>
      <c r="J908" s="6" t="inlineStr">
        <is>
          <t>Informado</t>
        </is>
      </c>
      <c r="K908" s="6" t="inlineStr">
        <is>
          <t>Demanda doméstica fixa informada pelo usuário.</t>
        </is>
      </c>
    </row>
    <row r="909">
      <c r="A909" s="6" t="inlineStr">
        <is>
          <t>Milho</t>
        </is>
      </c>
      <c r="B909" s="6" t="inlineStr">
        <is>
          <t>Belo Horizonte - MG</t>
        </is>
      </c>
      <c r="C909" s="6" t="n">
        <v>-19.9102</v>
      </c>
      <c r="D909" s="6" t="n">
        <v>-43.9266</v>
      </c>
      <c r="E909" s="6" t="inlineStr">
        <is>
          <t>2023-08</t>
        </is>
      </c>
      <c r="F909" s="6" t="n">
        <v>1272639.809724904</v>
      </c>
      <c r="G909" s="6" t="inlineStr">
        <is>
          <t>DOMESTICA</t>
        </is>
      </c>
      <c r="H909" s="6" t="inlineStr">
        <is>
          <t>FIXO</t>
        </is>
      </c>
      <c r="I909" s="11">
        <f>IF($H909="AUTO_OFERTA_TOTAL_PRODUTO_PERIODO",SUMIFS(Oferta!$F:$F,Oferta!$A:$A,$A909,Oferta!$E:$E,$E909),$F909)</f>
        <v/>
      </c>
      <c r="J909" s="6" t="inlineStr">
        <is>
          <t>Informado</t>
        </is>
      </c>
      <c r="K909" s="6" t="inlineStr">
        <is>
          <t>Demanda doméstica fixa informada pelo usuário.</t>
        </is>
      </c>
    </row>
    <row r="910">
      <c r="A910" s="6" t="inlineStr">
        <is>
          <t>Milho</t>
        </is>
      </c>
      <c r="B910" s="6" t="inlineStr">
        <is>
          <t>Belo Horizonte - MG</t>
        </is>
      </c>
      <c r="C910" s="6" t="n">
        <v>-19.9102</v>
      </c>
      <c r="D910" s="6" t="n">
        <v>-43.9266</v>
      </c>
      <c r="E910" s="6" t="inlineStr">
        <is>
          <t>2023-09</t>
        </is>
      </c>
      <c r="F910" s="6" t="n">
        <v>1096088.622248617</v>
      </c>
      <c r="G910" s="6" t="inlineStr">
        <is>
          <t>DOMESTICA</t>
        </is>
      </c>
      <c r="H910" s="6" t="inlineStr">
        <is>
          <t>FIXO</t>
        </is>
      </c>
      <c r="I910" s="11">
        <f>IF($H910="AUTO_OFERTA_TOTAL_PRODUTO_PERIODO",SUMIFS(Oferta!$F:$F,Oferta!$A:$A,$A910,Oferta!$E:$E,$E910),$F910)</f>
        <v/>
      </c>
      <c r="J910" s="6" t="inlineStr">
        <is>
          <t>Informado</t>
        </is>
      </c>
      <c r="K910" s="6" t="inlineStr">
        <is>
          <t>Demanda doméstica fixa informada pelo usuário.</t>
        </is>
      </c>
    </row>
    <row r="911">
      <c r="A911" s="6" t="inlineStr">
        <is>
          <t>Milho</t>
        </is>
      </c>
      <c r="B911" s="6" t="inlineStr">
        <is>
          <t>Belo Horizonte - MG</t>
        </is>
      </c>
      <c r="C911" s="6" t="n">
        <v>-19.9102</v>
      </c>
      <c r="D911" s="6" t="n">
        <v>-43.9266</v>
      </c>
      <c r="E911" s="6" t="inlineStr">
        <is>
          <t>2023-10</t>
        </is>
      </c>
      <c r="F911" s="6" t="n">
        <v>919537.4347723298</v>
      </c>
      <c r="G911" s="6" t="inlineStr">
        <is>
          <t>DOMESTICA</t>
        </is>
      </c>
      <c r="H911" s="6" t="inlineStr">
        <is>
          <t>FIXO</t>
        </is>
      </c>
      <c r="I911" s="11">
        <f>IF($H911="AUTO_OFERTA_TOTAL_PRODUTO_PERIODO",SUMIFS(Oferta!$F:$F,Oferta!$A:$A,$A911,Oferta!$E:$E,$E911),$F911)</f>
        <v/>
      </c>
      <c r="J911" s="6" t="inlineStr">
        <is>
          <t>Informado</t>
        </is>
      </c>
      <c r="K911" s="6" t="inlineStr">
        <is>
          <t>Demanda doméstica fixa informada pelo usuário.</t>
        </is>
      </c>
    </row>
    <row r="912">
      <c r="A912" s="6" t="inlineStr">
        <is>
          <t>Milho</t>
        </is>
      </c>
      <c r="B912" s="6" t="inlineStr">
        <is>
          <t>Belo Horizonte - MG</t>
        </is>
      </c>
      <c r="C912" s="6" t="n">
        <v>-19.9102</v>
      </c>
      <c r="D912" s="6" t="n">
        <v>-43.9266</v>
      </c>
      <c r="E912" s="6" t="inlineStr">
        <is>
          <t>2023-11</t>
        </is>
      </c>
      <c r="F912" s="6" t="n">
        <v>566435.059819755</v>
      </c>
      <c r="G912" s="6" t="inlineStr">
        <is>
          <t>DOMESTICA</t>
        </is>
      </c>
      <c r="H912" s="6" t="inlineStr">
        <is>
          <t>FIXO</t>
        </is>
      </c>
      <c r="I912" s="11">
        <f>IF($H912="AUTO_OFERTA_TOTAL_PRODUTO_PERIODO",SUMIFS(Oferta!$F:$F,Oferta!$A:$A,$A912,Oferta!$E:$E,$E912),$F912)</f>
        <v/>
      </c>
      <c r="J912" s="6" t="inlineStr">
        <is>
          <t>Informado</t>
        </is>
      </c>
      <c r="K912" s="6" t="inlineStr">
        <is>
          <t>Demanda doméstica fixa informada pelo usuário.</t>
        </is>
      </c>
    </row>
    <row r="913">
      <c r="A913" s="6" t="inlineStr">
        <is>
          <t>Milho</t>
        </is>
      </c>
      <c r="B913" s="6" t="inlineStr">
        <is>
          <t>Belo Horizonte - MG</t>
        </is>
      </c>
      <c r="C913" s="6" t="n">
        <v>-19.9102</v>
      </c>
      <c r="D913" s="6" t="n">
        <v>-43.9266</v>
      </c>
      <c r="E913" s="6" t="inlineStr">
        <is>
          <t>2023-12</t>
        </is>
      </c>
      <c r="F913" s="6" t="n">
        <v>448734.2681688969</v>
      </c>
      <c r="G913" s="6" t="inlineStr">
        <is>
          <t>DOMESTICA</t>
        </is>
      </c>
      <c r="H913" s="6" t="inlineStr">
        <is>
          <t>FIXO</t>
        </is>
      </c>
      <c r="I913" s="11">
        <f>IF($H913="AUTO_OFERTA_TOTAL_PRODUTO_PERIODO",SUMIFS(Oferta!$F:$F,Oferta!$A:$A,$A913,Oferta!$E:$E,$E913),$F913)</f>
        <v/>
      </c>
      <c r="J913" s="6" t="inlineStr">
        <is>
          <t>Informado</t>
        </is>
      </c>
      <c r="K913" s="6" t="inlineStr">
        <is>
          <t>Demanda doméstica fixa informada pelo usuário.</t>
        </is>
      </c>
    </row>
    <row r="914">
      <c r="A914" s="6" t="inlineStr">
        <is>
          <t>Milho</t>
        </is>
      </c>
      <c r="B914" s="6" t="inlineStr">
        <is>
          <t>Rio de Janeiro - RJ</t>
        </is>
      </c>
      <c r="C914" s="6" t="n">
        <v>-22.9129</v>
      </c>
      <c r="D914" s="6" t="n">
        <v>-43.2003</v>
      </c>
      <c r="E914" s="6" t="inlineStr">
        <is>
          <t>2023-01</t>
        </is>
      </c>
      <c r="F914" s="6" t="n">
        <v>112911.730408113</v>
      </c>
      <c r="G914" s="6" t="inlineStr">
        <is>
          <t>DOMESTICA</t>
        </is>
      </c>
      <c r="H914" s="6" t="inlineStr">
        <is>
          <t>FIXO</t>
        </is>
      </c>
      <c r="I914" s="11">
        <f>IF($H914="AUTO_OFERTA_TOTAL_PRODUTO_PERIODO",SUMIFS(Oferta!$F:$F,Oferta!$A:$A,$A914,Oferta!$E:$E,$E914),$F914)</f>
        <v/>
      </c>
      <c r="J914" s="6" t="inlineStr">
        <is>
          <t>Informado</t>
        </is>
      </c>
      <c r="K914" s="6" t="inlineStr">
        <is>
          <t>Demanda doméstica fixa informada pelo usuário.</t>
        </is>
      </c>
    </row>
    <row r="915">
      <c r="A915" s="6" t="inlineStr">
        <is>
          <t>Milho</t>
        </is>
      </c>
      <c r="B915" s="6" t="inlineStr">
        <is>
          <t>Rio de Janeiro - RJ</t>
        </is>
      </c>
      <c r="C915" s="6" t="n">
        <v>-22.9129</v>
      </c>
      <c r="D915" s="6" t="n">
        <v>-43.2003</v>
      </c>
      <c r="E915" s="6" t="inlineStr">
        <is>
          <t>2023-02</t>
        </is>
      </c>
      <c r="F915" s="6" t="n">
        <v>112911.730408113</v>
      </c>
      <c r="G915" s="6" t="inlineStr">
        <is>
          <t>DOMESTICA</t>
        </is>
      </c>
      <c r="H915" s="6" t="inlineStr">
        <is>
          <t>FIXO</t>
        </is>
      </c>
      <c r="I915" s="11">
        <f>IF($H915="AUTO_OFERTA_TOTAL_PRODUTO_PERIODO",SUMIFS(Oferta!$F:$F,Oferta!$A:$A,$A915,Oferta!$E:$E,$E915),$F915)</f>
        <v/>
      </c>
      <c r="J915" s="6" t="inlineStr">
        <is>
          <t>Informado</t>
        </is>
      </c>
      <c r="K915" s="6" t="inlineStr">
        <is>
          <t>Demanda doméstica fixa informada pelo usuário.</t>
        </is>
      </c>
    </row>
    <row r="916">
      <c r="A916" s="6" t="inlineStr">
        <is>
          <t>Milho</t>
        </is>
      </c>
      <c r="B916" s="6" t="inlineStr">
        <is>
          <t>Rio de Janeiro - RJ</t>
        </is>
      </c>
      <c r="C916" s="6" t="n">
        <v>-22.9129</v>
      </c>
      <c r="D916" s="6" t="n">
        <v>-43.2003</v>
      </c>
      <c r="E916" s="6" t="inlineStr">
        <is>
          <t>2023-03</t>
        </is>
      </c>
      <c r="F916" s="6" t="n">
        <v>146998.2905313169</v>
      </c>
      <c r="G916" s="6" t="inlineStr">
        <is>
          <t>DOMESTICA</t>
        </is>
      </c>
      <c r="H916" s="6" t="inlineStr">
        <is>
          <t>FIXO</t>
        </is>
      </c>
      <c r="I916" s="11">
        <f>IF($H916="AUTO_OFERTA_TOTAL_PRODUTO_PERIODO",SUMIFS(Oferta!$F:$F,Oferta!$A:$A,$A916,Oferta!$E:$E,$E916),$F916)</f>
        <v/>
      </c>
      <c r="J916" s="6" t="inlineStr">
        <is>
          <t>Informado</t>
        </is>
      </c>
      <c r="K916" s="6" t="inlineStr">
        <is>
          <t>Demanda doméstica fixa informada pelo usuário.</t>
        </is>
      </c>
    </row>
    <row r="917">
      <c r="A917" s="6" t="inlineStr">
        <is>
          <t>Milho</t>
        </is>
      </c>
      <c r="B917" s="6" t="inlineStr">
        <is>
          <t>Rio de Janeiro - RJ</t>
        </is>
      </c>
      <c r="C917" s="6" t="n">
        <v>-22.9129</v>
      </c>
      <c r="D917" s="6" t="n">
        <v>-43.2003</v>
      </c>
      <c r="E917" s="6" t="inlineStr">
        <is>
          <t>2023-04</t>
        </is>
      </c>
      <c r="F917" s="6" t="n">
        <v>215171.4107777246</v>
      </c>
      <c r="G917" s="6" t="inlineStr">
        <is>
          <t>DOMESTICA</t>
        </is>
      </c>
      <c r="H917" s="6" t="inlineStr">
        <is>
          <t>FIXO</t>
        </is>
      </c>
      <c r="I917" s="11">
        <f>IF($H917="AUTO_OFERTA_TOTAL_PRODUTO_PERIODO",SUMIFS(Oferta!$F:$F,Oferta!$A:$A,$A917,Oferta!$E:$E,$E917),$F917)</f>
        <v/>
      </c>
      <c r="J917" s="6" t="inlineStr">
        <is>
          <t>Informado</t>
        </is>
      </c>
      <c r="K917" s="6" t="inlineStr">
        <is>
          <t>Demanda doméstica fixa informada pelo usuário.</t>
        </is>
      </c>
    </row>
    <row r="918">
      <c r="A918" s="6" t="inlineStr">
        <is>
          <t>Milho</t>
        </is>
      </c>
      <c r="B918" s="6" t="inlineStr">
        <is>
          <t>Rio de Janeiro - RJ</t>
        </is>
      </c>
      <c r="C918" s="6" t="n">
        <v>-22.9129</v>
      </c>
      <c r="D918" s="6" t="n">
        <v>-43.2003</v>
      </c>
      <c r="E918" s="6" t="inlineStr">
        <is>
          <t>2023-05</t>
        </is>
      </c>
      <c r="F918" s="6" t="n">
        <v>283344.5310241325</v>
      </c>
      <c r="G918" s="6" t="inlineStr">
        <is>
          <t>DOMESTICA</t>
        </is>
      </c>
      <c r="H918" s="6" t="inlineStr">
        <is>
          <t>FIXO</t>
        </is>
      </c>
      <c r="I918" s="11">
        <f>IF($H918="AUTO_OFERTA_TOTAL_PRODUTO_PERIODO",SUMIFS(Oferta!$F:$F,Oferta!$A:$A,$A918,Oferta!$E:$E,$E918),$F918)</f>
        <v/>
      </c>
      <c r="J918" s="6" t="inlineStr">
        <is>
          <t>Informado</t>
        </is>
      </c>
      <c r="K918" s="6" t="inlineStr">
        <is>
          <t>Demanda doméstica fixa informada pelo usuário.</t>
        </is>
      </c>
    </row>
    <row r="919">
      <c r="A919" s="6" t="inlineStr">
        <is>
          <t>Milho</t>
        </is>
      </c>
      <c r="B919" s="6" t="inlineStr">
        <is>
          <t>Rio de Janeiro - RJ</t>
        </is>
      </c>
      <c r="C919" s="6" t="n">
        <v>-22.9129</v>
      </c>
      <c r="D919" s="6" t="n">
        <v>-43.2003</v>
      </c>
      <c r="E919" s="6" t="inlineStr">
        <is>
          <t>2023-06</t>
        </is>
      </c>
      <c r="F919" s="6" t="n">
        <v>283344.5310241325</v>
      </c>
      <c r="G919" s="6" t="inlineStr">
        <is>
          <t>DOMESTICA</t>
        </is>
      </c>
      <c r="H919" s="6" t="inlineStr">
        <is>
          <t>FIXO</t>
        </is>
      </c>
      <c r="I919" s="11">
        <f>IF($H919="AUTO_OFERTA_TOTAL_PRODUTO_PERIODO",SUMIFS(Oferta!$F:$F,Oferta!$A:$A,$A919,Oferta!$E:$E,$E919),$F919)</f>
        <v/>
      </c>
      <c r="J919" s="6" t="inlineStr">
        <is>
          <t>Informado</t>
        </is>
      </c>
      <c r="K919" s="6" t="inlineStr">
        <is>
          <t>Demanda doméstica fixa informada pelo usuário.</t>
        </is>
      </c>
    </row>
    <row r="920">
      <c r="A920" s="6" t="inlineStr">
        <is>
          <t>Milho</t>
        </is>
      </c>
      <c r="B920" s="6" t="inlineStr">
        <is>
          <t>Rio de Janeiro - RJ</t>
        </is>
      </c>
      <c r="C920" s="6" t="n">
        <v>-22.9129</v>
      </c>
      <c r="D920" s="6" t="n">
        <v>-43.2003</v>
      </c>
      <c r="E920" s="6" t="inlineStr">
        <is>
          <t>2023-07</t>
        </is>
      </c>
      <c r="F920" s="6" t="n">
        <v>249257.9709009285</v>
      </c>
      <c r="G920" s="6" t="inlineStr">
        <is>
          <t>DOMESTICA</t>
        </is>
      </c>
      <c r="H920" s="6" t="inlineStr">
        <is>
          <t>FIXO</t>
        </is>
      </c>
      <c r="I920" s="11">
        <f>IF($H920="AUTO_OFERTA_TOTAL_PRODUTO_PERIODO",SUMIFS(Oferta!$F:$F,Oferta!$A:$A,$A920,Oferta!$E:$E,$E920),$F920)</f>
        <v/>
      </c>
      <c r="J920" s="6" t="inlineStr">
        <is>
          <t>Informado</t>
        </is>
      </c>
      <c r="K920" s="6" t="inlineStr">
        <is>
          <t>Demanda doméstica fixa informada pelo usuário.</t>
        </is>
      </c>
    </row>
    <row r="921">
      <c r="A921" s="6" t="inlineStr">
        <is>
          <t>Milho</t>
        </is>
      </c>
      <c r="B921" s="6" t="inlineStr">
        <is>
          <t>Rio de Janeiro - RJ</t>
        </is>
      </c>
      <c r="C921" s="6" t="n">
        <v>-22.9129</v>
      </c>
      <c r="D921" s="6" t="n">
        <v>-43.2003</v>
      </c>
      <c r="E921" s="6" t="inlineStr">
        <is>
          <t>2023-08</t>
        </is>
      </c>
      <c r="F921" s="6" t="n">
        <v>283344.5310241325</v>
      </c>
      <c r="G921" s="6" t="inlineStr">
        <is>
          <t>DOMESTICA</t>
        </is>
      </c>
      <c r="H921" s="6" t="inlineStr">
        <is>
          <t>FIXO</t>
        </is>
      </c>
      <c r="I921" s="11">
        <f>IF($H921="AUTO_OFERTA_TOTAL_PRODUTO_PERIODO",SUMIFS(Oferta!$F:$F,Oferta!$A:$A,$A921,Oferta!$E:$E,$E921),$F921)</f>
        <v/>
      </c>
      <c r="J921" s="6" t="inlineStr">
        <is>
          <t>Informado</t>
        </is>
      </c>
      <c r="K921" s="6" t="inlineStr">
        <is>
          <t>Demanda doméstica fixa informada pelo usuário.</t>
        </is>
      </c>
    </row>
    <row r="922">
      <c r="A922" s="6" t="inlineStr">
        <is>
          <t>Milho</t>
        </is>
      </c>
      <c r="B922" s="6" t="inlineStr">
        <is>
          <t>Rio de Janeiro - RJ</t>
        </is>
      </c>
      <c r="C922" s="6" t="n">
        <v>-22.9129</v>
      </c>
      <c r="D922" s="6" t="n">
        <v>-43.2003</v>
      </c>
      <c r="E922" s="6" t="inlineStr">
        <is>
          <t>2023-09</t>
        </is>
      </c>
      <c r="F922" s="6" t="n">
        <v>283344.5310241325</v>
      </c>
      <c r="G922" s="6" t="inlineStr">
        <is>
          <t>DOMESTICA</t>
        </is>
      </c>
      <c r="H922" s="6" t="inlineStr">
        <is>
          <t>FIXO</t>
        </is>
      </c>
      <c r="I922" s="11">
        <f>IF($H922="AUTO_OFERTA_TOTAL_PRODUTO_PERIODO",SUMIFS(Oferta!$F:$F,Oferta!$A:$A,$A922,Oferta!$E:$E,$E922),$F922)</f>
        <v/>
      </c>
      <c r="J922" s="6" t="inlineStr">
        <is>
          <t>Informado</t>
        </is>
      </c>
      <c r="K922" s="6" t="inlineStr">
        <is>
          <t>Demanda doméstica fixa informada pelo usuário.</t>
        </is>
      </c>
    </row>
    <row r="923">
      <c r="A923" s="6" t="inlineStr">
        <is>
          <t>Milho</t>
        </is>
      </c>
      <c r="B923" s="6" t="inlineStr">
        <is>
          <t>Rio de Janeiro - RJ</t>
        </is>
      </c>
      <c r="C923" s="6" t="n">
        <v>-22.9129</v>
      </c>
      <c r="D923" s="6" t="n">
        <v>-43.2003</v>
      </c>
      <c r="E923" s="6" t="inlineStr">
        <is>
          <t>2023-10</t>
        </is>
      </c>
      <c r="F923" s="6" t="n">
        <v>249257.9709009285</v>
      </c>
      <c r="G923" s="6" t="inlineStr">
        <is>
          <t>DOMESTICA</t>
        </is>
      </c>
      <c r="H923" s="6" t="inlineStr">
        <is>
          <t>FIXO</t>
        </is>
      </c>
      <c r="I923" s="11">
        <f>IF($H923="AUTO_OFERTA_TOTAL_PRODUTO_PERIODO",SUMIFS(Oferta!$F:$F,Oferta!$A:$A,$A923,Oferta!$E:$E,$E923),$F923)</f>
        <v/>
      </c>
      <c r="J923" s="6" t="inlineStr">
        <is>
          <t>Informado</t>
        </is>
      </c>
      <c r="K923" s="6" t="inlineStr">
        <is>
          <t>Demanda doméstica fixa informada pelo usuário.</t>
        </is>
      </c>
    </row>
    <row r="924">
      <c r="A924" s="6" t="inlineStr">
        <is>
          <t>Milho</t>
        </is>
      </c>
      <c r="B924" s="6" t="inlineStr">
        <is>
          <t>Rio de Janeiro - RJ</t>
        </is>
      </c>
      <c r="C924" s="6" t="n">
        <v>-22.9129</v>
      </c>
      <c r="D924" s="6" t="n">
        <v>-43.2003</v>
      </c>
      <c r="E924" s="6" t="inlineStr">
        <is>
          <t>2023-11</t>
        </is>
      </c>
      <c r="F924" s="6" t="n">
        <v>146998.2905313169</v>
      </c>
      <c r="G924" s="6" t="inlineStr">
        <is>
          <t>DOMESTICA</t>
        </is>
      </c>
      <c r="H924" s="6" t="inlineStr">
        <is>
          <t>FIXO</t>
        </is>
      </c>
      <c r="I924" s="11">
        <f>IF($H924="AUTO_OFERTA_TOTAL_PRODUTO_PERIODO",SUMIFS(Oferta!$F:$F,Oferta!$A:$A,$A924,Oferta!$E:$E,$E924),$F924)</f>
        <v/>
      </c>
      <c r="J924" s="6" t="inlineStr">
        <is>
          <t>Informado</t>
        </is>
      </c>
      <c r="K924" s="6" t="inlineStr">
        <is>
          <t>Demanda doméstica fixa informada pelo usuário.</t>
        </is>
      </c>
    </row>
    <row r="925">
      <c r="A925" s="6" t="inlineStr">
        <is>
          <t>Milho</t>
        </is>
      </c>
      <c r="B925" s="6" t="inlineStr">
        <is>
          <t>Rio de Janeiro - RJ</t>
        </is>
      </c>
      <c r="C925" s="6" t="n">
        <v>-22.9129</v>
      </c>
      <c r="D925" s="6" t="n">
        <v>-43.2003</v>
      </c>
      <c r="E925" s="6" t="inlineStr">
        <is>
          <t>2023-12</t>
        </is>
      </c>
      <c r="F925" s="6" t="n">
        <v>112911.730408113</v>
      </c>
      <c r="G925" s="6" t="inlineStr">
        <is>
          <t>DOMESTICA</t>
        </is>
      </c>
      <c r="H925" s="6" t="inlineStr">
        <is>
          <t>FIXO</t>
        </is>
      </c>
      <c r="I925" s="11">
        <f>IF($H925="AUTO_OFERTA_TOTAL_PRODUTO_PERIODO",SUMIFS(Oferta!$F:$F,Oferta!$A:$A,$A925,Oferta!$E:$E,$E925),$F925)</f>
        <v/>
      </c>
      <c r="J925" s="6" t="inlineStr">
        <is>
          <t>Informado</t>
        </is>
      </c>
      <c r="K925" s="6" t="inlineStr">
        <is>
          <t>Demanda doméstica fixa informada pelo usuário.</t>
        </is>
      </c>
    </row>
    <row r="926">
      <c r="A926" s="6" t="inlineStr">
        <is>
          <t>Milho</t>
        </is>
      </c>
      <c r="B926" s="6" t="inlineStr">
        <is>
          <t>São Paulo - SP</t>
        </is>
      </c>
      <c r="C926" s="6" t="n">
        <v>-23.5329</v>
      </c>
      <c r="D926" s="6" t="n">
        <v>-46.6395</v>
      </c>
      <c r="E926" s="6" t="inlineStr">
        <is>
          <t>2023-01</t>
        </is>
      </c>
      <c r="F926" s="6" t="n">
        <v>681281.5636036342</v>
      </c>
      <c r="G926" s="6" t="inlineStr">
        <is>
          <t>DOMESTICA</t>
        </is>
      </c>
      <c r="H926" s="6" t="inlineStr">
        <is>
          <t>FIXO</t>
        </is>
      </c>
      <c r="I926" s="11">
        <f>IF($H926="AUTO_OFERTA_TOTAL_PRODUTO_PERIODO",SUMIFS(Oferta!$F:$F,Oferta!$A:$A,$A926,Oferta!$E:$E,$E926),$F926)</f>
        <v/>
      </c>
      <c r="J926" s="6" t="inlineStr">
        <is>
          <t>Informado</t>
        </is>
      </c>
      <c r="K926" s="6" t="inlineStr">
        <is>
          <t>Demanda doméstica fixa informada pelo usuário.</t>
        </is>
      </c>
    </row>
    <row r="927">
      <c r="A927" s="6" t="inlineStr">
        <is>
          <t>Milho</t>
        </is>
      </c>
      <c r="B927" s="6" t="inlineStr">
        <is>
          <t>São Paulo - SP</t>
        </is>
      </c>
      <c r="C927" s="6" t="n">
        <v>-23.5329</v>
      </c>
      <c r="D927" s="6" t="n">
        <v>-46.6395</v>
      </c>
      <c r="E927" s="6" t="inlineStr">
        <is>
          <t>2023-02</t>
        </is>
      </c>
      <c r="F927" s="6" t="n">
        <v>886951.4695971841</v>
      </c>
      <c r="G927" s="6" t="inlineStr">
        <is>
          <t>DOMESTICA</t>
        </is>
      </c>
      <c r="H927" s="6" t="inlineStr">
        <is>
          <t>FIXO</t>
        </is>
      </c>
      <c r="I927" s="11">
        <f>IF($H927="AUTO_OFERTA_TOTAL_PRODUTO_PERIODO",SUMIFS(Oferta!$F:$F,Oferta!$A:$A,$A927,Oferta!$E:$E,$E927),$F927)</f>
        <v/>
      </c>
      <c r="J927" s="6" t="inlineStr">
        <is>
          <t>Informado</t>
        </is>
      </c>
      <c r="K927" s="6" t="inlineStr">
        <is>
          <t>Demanda doméstica fixa informada pelo usuário.</t>
        </is>
      </c>
    </row>
    <row r="928">
      <c r="A928" s="6" t="inlineStr">
        <is>
          <t>Milho</t>
        </is>
      </c>
      <c r="B928" s="6" t="inlineStr">
        <is>
          <t>São Paulo - SP</t>
        </is>
      </c>
      <c r="C928" s="6" t="n">
        <v>-23.5329</v>
      </c>
      <c r="D928" s="6" t="n">
        <v>-46.6395</v>
      </c>
      <c r="E928" s="6" t="inlineStr">
        <is>
          <t>2023-03</t>
        </is>
      </c>
      <c r="F928" s="6" t="n">
        <v>1092621.375590734</v>
      </c>
      <c r="G928" s="6" t="inlineStr">
        <is>
          <t>DOMESTICA</t>
        </is>
      </c>
      <c r="H928" s="6" t="inlineStr">
        <is>
          <t>FIXO</t>
        </is>
      </c>
      <c r="I928" s="11">
        <f>IF($H928="AUTO_OFERTA_TOTAL_PRODUTO_PERIODO",SUMIFS(Oferta!$F:$F,Oferta!$A:$A,$A928,Oferta!$E:$E,$E928),$F928)</f>
        <v/>
      </c>
      <c r="J928" s="6" t="inlineStr">
        <is>
          <t>Informado</t>
        </is>
      </c>
      <c r="K928" s="6" t="inlineStr">
        <is>
          <t>Demanda doméstica fixa informada pelo usuário.</t>
        </is>
      </c>
    </row>
    <row r="929">
      <c r="A929" s="6" t="inlineStr">
        <is>
          <t>Milho</t>
        </is>
      </c>
      <c r="B929" s="6" t="inlineStr">
        <is>
          <t>São Paulo - SP</t>
        </is>
      </c>
      <c r="C929" s="6" t="n">
        <v>-23.5329</v>
      </c>
      <c r="D929" s="6" t="n">
        <v>-46.6395</v>
      </c>
      <c r="E929" s="6" t="inlineStr">
        <is>
          <t>2023-04</t>
        </is>
      </c>
      <c r="F929" s="6" t="n">
        <v>1503961.187577834</v>
      </c>
      <c r="G929" s="6" t="inlineStr">
        <is>
          <t>DOMESTICA</t>
        </is>
      </c>
      <c r="H929" s="6" t="inlineStr">
        <is>
          <t>FIXO</t>
        </is>
      </c>
      <c r="I929" s="11">
        <f>IF($H929="AUTO_OFERTA_TOTAL_PRODUTO_PERIODO",SUMIFS(Oferta!$F:$F,Oferta!$A:$A,$A929,Oferta!$E:$E,$E929),$F929)</f>
        <v/>
      </c>
      <c r="J929" s="6" t="inlineStr">
        <is>
          <t>Informado</t>
        </is>
      </c>
      <c r="K929" s="6" t="inlineStr">
        <is>
          <t>Demanda doméstica fixa informada pelo usuário.</t>
        </is>
      </c>
    </row>
    <row r="930">
      <c r="A930" s="6" t="inlineStr">
        <is>
          <t>Milho</t>
        </is>
      </c>
      <c r="B930" s="6" t="inlineStr">
        <is>
          <t>São Paulo - SP</t>
        </is>
      </c>
      <c r="C930" s="6" t="n">
        <v>-23.5329</v>
      </c>
      <c r="D930" s="6" t="n">
        <v>-46.6395</v>
      </c>
      <c r="E930" s="6" t="inlineStr">
        <is>
          <t>2023-05</t>
        </is>
      </c>
      <c r="F930" s="6" t="n">
        <v>1709631.093571384</v>
      </c>
      <c r="G930" s="6" t="inlineStr">
        <is>
          <t>DOMESTICA</t>
        </is>
      </c>
      <c r="H930" s="6" t="inlineStr">
        <is>
          <t>FIXO</t>
        </is>
      </c>
      <c r="I930" s="11">
        <f>IF($H930="AUTO_OFERTA_TOTAL_PRODUTO_PERIODO",SUMIFS(Oferta!$F:$F,Oferta!$A:$A,$A930,Oferta!$E:$E,$E930),$F930)</f>
        <v/>
      </c>
      <c r="J930" s="6" t="inlineStr">
        <is>
          <t>Informado</t>
        </is>
      </c>
      <c r="K930" s="6" t="inlineStr">
        <is>
          <t>Demanda doméstica fixa informada pelo usuário.</t>
        </is>
      </c>
    </row>
    <row r="931">
      <c r="A931" s="6" t="inlineStr">
        <is>
          <t>Milho</t>
        </is>
      </c>
      <c r="B931" s="6" t="inlineStr">
        <is>
          <t>São Paulo - SP</t>
        </is>
      </c>
      <c r="C931" s="6" t="n">
        <v>-23.5329</v>
      </c>
      <c r="D931" s="6" t="n">
        <v>-46.6395</v>
      </c>
      <c r="E931" s="6" t="inlineStr">
        <is>
          <t>2023-06</t>
        </is>
      </c>
      <c r="F931" s="6" t="n">
        <v>1915300.999564934</v>
      </c>
      <c r="G931" s="6" t="inlineStr">
        <is>
          <t>DOMESTICA</t>
        </is>
      </c>
      <c r="H931" s="6" t="inlineStr">
        <is>
          <t>FIXO</t>
        </is>
      </c>
      <c r="I931" s="11">
        <f>IF($H931="AUTO_OFERTA_TOTAL_PRODUTO_PERIODO",SUMIFS(Oferta!$F:$F,Oferta!$A:$A,$A931,Oferta!$E:$E,$E931),$F931)</f>
        <v/>
      </c>
      <c r="J931" s="6" t="inlineStr">
        <is>
          <t>Informado</t>
        </is>
      </c>
      <c r="K931" s="6" t="inlineStr">
        <is>
          <t>Demanda doméstica fixa informada pelo usuário.</t>
        </is>
      </c>
    </row>
    <row r="932">
      <c r="A932" s="6" t="inlineStr">
        <is>
          <t>Milho</t>
        </is>
      </c>
      <c r="B932" s="6" t="inlineStr">
        <is>
          <t>São Paulo - SP</t>
        </is>
      </c>
      <c r="C932" s="6" t="n">
        <v>-23.5329</v>
      </c>
      <c r="D932" s="6" t="n">
        <v>-46.6395</v>
      </c>
      <c r="E932" s="6" t="inlineStr">
        <is>
          <t>2023-07</t>
        </is>
      </c>
      <c r="F932" s="6" t="n">
        <v>1915300.999564934</v>
      </c>
      <c r="G932" s="6" t="inlineStr">
        <is>
          <t>DOMESTICA</t>
        </is>
      </c>
      <c r="H932" s="6" t="inlineStr">
        <is>
          <t>FIXO</t>
        </is>
      </c>
      <c r="I932" s="11">
        <f>IF($H932="AUTO_OFERTA_TOTAL_PRODUTO_PERIODO",SUMIFS(Oferta!$F:$F,Oferta!$A:$A,$A932,Oferta!$E:$E,$E932),$F932)</f>
        <v/>
      </c>
      <c r="J932" s="6" t="inlineStr">
        <is>
          <t>Informado</t>
        </is>
      </c>
      <c r="K932" s="6" t="inlineStr">
        <is>
          <t>Demanda doméstica fixa informada pelo usuário.</t>
        </is>
      </c>
    </row>
    <row r="933">
      <c r="A933" s="6" t="inlineStr">
        <is>
          <t>Milho</t>
        </is>
      </c>
      <c r="B933" s="6" t="inlineStr">
        <is>
          <t>São Paulo - SP</t>
        </is>
      </c>
      <c r="C933" s="6" t="n">
        <v>-23.5329</v>
      </c>
      <c r="D933" s="6" t="n">
        <v>-46.6395</v>
      </c>
      <c r="E933" s="6" t="inlineStr">
        <is>
          <t>2023-08</t>
        </is>
      </c>
      <c r="F933" s="6" t="n">
        <v>2120970.905558484</v>
      </c>
      <c r="G933" s="6" t="inlineStr">
        <is>
          <t>DOMESTICA</t>
        </is>
      </c>
      <c r="H933" s="6" t="inlineStr">
        <is>
          <t>FIXO</t>
        </is>
      </c>
      <c r="I933" s="11">
        <f>IF($H933="AUTO_OFERTA_TOTAL_PRODUTO_PERIODO",SUMIFS(Oferta!$F:$F,Oferta!$A:$A,$A933,Oferta!$E:$E,$E933),$F933)</f>
        <v/>
      </c>
      <c r="J933" s="6" t="inlineStr">
        <is>
          <t>Informado</t>
        </is>
      </c>
      <c r="K933" s="6" t="inlineStr">
        <is>
          <t>Demanda doméstica fixa informada pelo usuário.</t>
        </is>
      </c>
    </row>
    <row r="934">
      <c r="A934" s="6" t="inlineStr">
        <is>
          <t>Milho</t>
        </is>
      </c>
      <c r="B934" s="6" t="inlineStr">
        <is>
          <t>São Paulo - SP</t>
        </is>
      </c>
      <c r="C934" s="6" t="n">
        <v>-23.5329</v>
      </c>
      <c r="D934" s="6" t="n">
        <v>-46.6395</v>
      </c>
      <c r="E934" s="6" t="inlineStr">
        <is>
          <t>2023-09</t>
        </is>
      </c>
      <c r="F934" s="6" t="n">
        <v>2120970.905558484</v>
      </c>
      <c r="G934" s="6" t="inlineStr">
        <is>
          <t>DOMESTICA</t>
        </is>
      </c>
      <c r="H934" s="6" t="inlineStr">
        <is>
          <t>FIXO</t>
        </is>
      </c>
      <c r="I934" s="11">
        <f>IF($H934="AUTO_OFERTA_TOTAL_PRODUTO_PERIODO",SUMIFS(Oferta!$F:$F,Oferta!$A:$A,$A934,Oferta!$E:$E,$E934),$F934)</f>
        <v/>
      </c>
      <c r="J934" s="6" t="inlineStr">
        <is>
          <t>Informado</t>
        </is>
      </c>
      <c r="K934" s="6" t="inlineStr">
        <is>
          <t>Demanda doméstica fixa informada pelo usuário.</t>
        </is>
      </c>
    </row>
    <row r="935">
      <c r="A935" s="6" t="inlineStr">
        <is>
          <t>Milho</t>
        </is>
      </c>
      <c r="B935" s="6" t="inlineStr">
        <is>
          <t>São Paulo - SP</t>
        </is>
      </c>
      <c r="C935" s="6" t="n">
        <v>-23.5329</v>
      </c>
      <c r="D935" s="6" t="n">
        <v>-46.6395</v>
      </c>
      <c r="E935" s="6" t="inlineStr">
        <is>
          <t>2023-10</t>
        </is>
      </c>
      <c r="F935" s="6" t="n">
        <v>1915300.999564934</v>
      </c>
      <c r="G935" s="6" t="inlineStr">
        <is>
          <t>DOMESTICA</t>
        </is>
      </c>
      <c r="H935" s="6" t="inlineStr">
        <is>
          <t>FIXO</t>
        </is>
      </c>
      <c r="I935" s="11">
        <f>IF($H935="AUTO_OFERTA_TOTAL_PRODUTO_PERIODO",SUMIFS(Oferta!$F:$F,Oferta!$A:$A,$A935,Oferta!$E:$E,$E935),$F935)</f>
        <v/>
      </c>
      <c r="J935" s="6" t="inlineStr">
        <is>
          <t>Informado</t>
        </is>
      </c>
      <c r="K935" s="6" t="inlineStr">
        <is>
          <t>Demanda doméstica fixa informada pelo usuário.</t>
        </is>
      </c>
    </row>
    <row r="936">
      <c r="A936" s="6" t="inlineStr">
        <is>
          <t>Milho</t>
        </is>
      </c>
      <c r="B936" s="6" t="inlineStr">
        <is>
          <t>São Paulo - SP</t>
        </is>
      </c>
      <c r="C936" s="6" t="n">
        <v>-23.5329</v>
      </c>
      <c r="D936" s="6" t="n">
        <v>-46.6395</v>
      </c>
      <c r="E936" s="6" t="inlineStr">
        <is>
          <t>2023-11</t>
        </is>
      </c>
      <c r="F936" s="6" t="n">
        <v>1298291.281584284</v>
      </c>
      <c r="G936" s="6" t="inlineStr">
        <is>
          <t>DOMESTICA</t>
        </is>
      </c>
      <c r="H936" s="6" t="inlineStr">
        <is>
          <t>FIXO</t>
        </is>
      </c>
      <c r="I936" s="11">
        <f>IF($H936="AUTO_OFERTA_TOTAL_PRODUTO_PERIODO",SUMIFS(Oferta!$F:$F,Oferta!$A:$A,$A936,Oferta!$E:$E,$E936),$F936)</f>
        <v/>
      </c>
      <c r="J936" s="6" t="inlineStr">
        <is>
          <t>Informado</t>
        </is>
      </c>
      <c r="K936" s="6" t="inlineStr">
        <is>
          <t>Demanda doméstica fixa informada pelo usuário.</t>
        </is>
      </c>
    </row>
    <row r="937">
      <c r="A937" s="6" t="inlineStr">
        <is>
          <t>Milho</t>
        </is>
      </c>
      <c r="B937" s="6" t="inlineStr">
        <is>
          <t>São Paulo - SP</t>
        </is>
      </c>
      <c r="C937" s="6" t="n">
        <v>-23.5329</v>
      </c>
      <c r="D937" s="6" t="n">
        <v>-46.6395</v>
      </c>
      <c r="E937" s="6" t="inlineStr">
        <is>
          <t>2023-12</t>
        </is>
      </c>
      <c r="F937" s="6" t="n">
        <v>886951.4695971841</v>
      </c>
      <c r="G937" s="6" t="inlineStr">
        <is>
          <t>DOMESTICA</t>
        </is>
      </c>
      <c r="H937" s="6" t="inlineStr">
        <is>
          <t>FIXO</t>
        </is>
      </c>
      <c r="I937" s="11">
        <f>IF($H937="AUTO_OFERTA_TOTAL_PRODUTO_PERIODO",SUMIFS(Oferta!$F:$F,Oferta!$A:$A,$A937,Oferta!$E:$E,$E937),$F937)</f>
        <v/>
      </c>
      <c r="J937" s="6" t="inlineStr">
        <is>
          <t>Informado</t>
        </is>
      </c>
      <c r="K937" s="6" t="inlineStr">
        <is>
          <t>Demanda doméstica fixa informada pelo usuário.</t>
        </is>
      </c>
    </row>
    <row r="938">
      <c r="A938" s="6" t="inlineStr">
        <is>
          <t>Milho</t>
        </is>
      </c>
      <c r="B938" s="6" t="inlineStr">
        <is>
          <t>Curitiba - PR</t>
        </is>
      </c>
      <c r="C938" s="6" t="n">
        <v>-25.4195</v>
      </c>
      <c r="D938" s="6" t="n">
        <v>-49.2646</v>
      </c>
      <c r="E938" s="6" t="inlineStr">
        <is>
          <t>2023-01</t>
        </is>
      </c>
      <c r="F938" s="6" t="n">
        <v>421162.9860380514</v>
      </c>
      <c r="G938" s="6" t="inlineStr">
        <is>
          <t>DOMESTICA</t>
        </is>
      </c>
      <c r="H938" s="6" t="inlineStr">
        <is>
          <t>FIXO</t>
        </is>
      </c>
      <c r="I938" s="11">
        <f>IF($H938="AUTO_OFERTA_TOTAL_PRODUTO_PERIODO",SUMIFS(Oferta!$F:$F,Oferta!$A:$A,$A938,Oferta!$E:$E,$E938),$F938)</f>
        <v/>
      </c>
      <c r="J938" s="6" t="inlineStr">
        <is>
          <t>Informado</t>
        </is>
      </c>
      <c r="K938" s="6" t="inlineStr">
        <is>
          <t>Demanda doméstica fixa informada pelo usuário.</t>
        </is>
      </c>
    </row>
    <row r="939">
      <c r="A939" s="6" t="inlineStr">
        <is>
          <t>Milho</t>
        </is>
      </c>
      <c r="B939" s="6" t="inlineStr">
        <is>
          <t>Curitiba - PR</t>
        </is>
      </c>
      <c r="C939" s="6" t="n">
        <v>-25.4195</v>
      </c>
      <c r="D939" s="6" t="n">
        <v>-49.2646</v>
      </c>
      <c r="E939" s="6" t="inlineStr">
        <is>
          <t>2023-02</t>
        </is>
      </c>
      <c r="F939" s="6" t="n">
        <v>469993.477172898</v>
      </c>
      <c r="G939" s="6" t="inlineStr">
        <is>
          <t>DOMESTICA</t>
        </is>
      </c>
      <c r="H939" s="6" t="inlineStr">
        <is>
          <t>FIXO</t>
        </is>
      </c>
      <c r="I939" s="11">
        <f>IF($H939="AUTO_OFERTA_TOTAL_PRODUTO_PERIODO",SUMIFS(Oferta!$F:$F,Oferta!$A:$A,$A939,Oferta!$E:$E,$E939),$F939)</f>
        <v/>
      </c>
      <c r="J939" s="6" t="inlineStr">
        <is>
          <t>Informado</t>
        </is>
      </c>
      <c r="K939" s="6" t="inlineStr">
        <is>
          <t>Demanda doméstica fixa informada pelo usuário.</t>
        </is>
      </c>
    </row>
    <row r="940">
      <c r="A940" s="6" t="inlineStr">
        <is>
          <t>Milho</t>
        </is>
      </c>
      <c r="B940" s="6" t="inlineStr">
        <is>
          <t>Curitiba - PR</t>
        </is>
      </c>
      <c r="C940" s="6" t="n">
        <v>-25.4195</v>
      </c>
      <c r="D940" s="6" t="n">
        <v>-49.2646</v>
      </c>
      <c r="E940" s="6" t="inlineStr">
        <is>
          <t>2023-03</t>
        </is>
      </c>
      <c r="F940" s="6" t="n">
        <v>567654.4594425911</v>
      </c>
      <c r="G940" s="6" t="inlineStr">
        <is>
          <t>DOMESTICA</t>
        </is>
      </c>
      <c r="H940" s="6" t="inlineStr">
        <is>
          <t>FIXO</t>
        </is>
      </c>
      <c r="I940" s="11">
        <f>IF($H940="AUTO_OFERTA_TOTAL_PRODUTO_PERIODO",SUMIFS(Oferta!$F:$F,Oferta!$A:$A,$A940,Oferta!$E:$E,$E940),$F940)</f>
        <v/>
      </c>
      <c r="J940" s="6" t="inlineStr">
        <is>
          <t>Informado</t>
        </is>
      </c>
      <c r="K940" s="6" t="inlineStr">
        <is>
          <t>Demanda doméstica fixa informada pelo usuário.</t>
        </is>
      </c>
    </row>
    <row r="941">
      <c r="A941" s="6" t="inlineStr">
        <is>
          <t>Milho</t>
        </is>
      </c>
      <c r="B941" s="6" t="inlineStr">
        <is>
          <t>Curitiba - PR</t>
        </is>
      </c>
      <c r="C941" s="6" t="n">
        <v>-25.4195</v>
      </c>
      <c r="D941" s="6" t="n">
        <v>-49.2646</v>
      </c>
      <c r="E941" s="6" t="inlineStr">
        <is>
          <t>2023-04</t>
        </is>
      </c>
      <c r="F941" s="6" t="n">
        <v>714145.9328471305</v>
      </c>
      <c r="G941" s="6" t="inlineStr">
        <is>
          <t>DOMESTICA</t>
        </is>
      </c>
      <c r="H941" s="6" t="inlineStr">
        <is>
          <t>FIXO</t>
        </is>
      </c>
      <c r="I941" s="11">
        <f>IF($H941="AUTO_OFERTA_TOTAL_PRODUTO_PERIODO",SUMIFS(Oferta!$F:$F,Oferta!$A:$A,$A941,Oferta!$E:$E,$E941),$F941)</f>
        <v/>
      </c>
      <c r="J941" s="6" t="inlineStr">
        <is>
          <t>Informado</t>
        </is>
      </c>
      <c r="K941" s="6" t="inlineStr">
        <is>
          <t>Demanda doméstica fixa informada pelo usuário.</t>
        </is>
      </c>
    </row>
    <row r="942">
      <c r="A942" s="6" t="inlineStr">
        <is>
          <t>Milho</t>
        </is>
      </c>
      <c r="B942" s="6" t="inlineStr">
        <is>
          <t>Curitiba - PR</t>
        </is>
      </c>
      <c r="C942" s="6" t="n">
        <v>-25.4195</v>
      </c>
      <c r="D942" s="6" t="n">
        <v>-49.2646</v>
      </c>
      <c r="E942" s="6" t="inlineStr">
        <is>
          <t>2023-05</t>
        </is>
      </c>
      <c r="F942" s="6" t="n">
        <v>811806.9151168236</v>
      </c>
      <c r="G942" s="6" t="inlineStr">
        <is>
          <t>DOMESTICA</t>
        </is>
      </c>
      <c r="H942" s="6" t="inlineStr">
        <is>
          <t>FIXO</t>
        </is>
      </c>
      <c r="I942" s="11">
        <f>IF($H942="AUTO_OFERTA_TOTAL_PRODUTO_PERIODO",SUMIFS(Oferta!$F:$F,Oferta!$A:$A,$A942,Oferta!$E:$E,$E942),$F942)</f>
        <v/>
      </c>
      <c r="J942" s="6" t="inlineStr">
        <is>
          <t>Informado</t>
        </is>
      </c>
      <c r="K942" s="6" t="inlineStr">
        <is>
          <t>Demanda doméstica fixa informada pelo usuário.</t>
        </is>
      </c>
    </row>
    <row r="943">
      <c r="A943" s="6" t="inlineStr">
        <is>
          <t>Milho</t>
        </is>
      </c>
      <c r="B943" s="6" t="inlineStr">
        <is>
          <t>Curitiba - PR</t>
        </is>
      </c>
      <c r="C943" s="6" t="n">
        <v>-25.4195</v>
      </c>
      <c r="D943" s="6" t="n">
        <v>-49.2646</v>
      </c>
      <c r="E943" s="6" t="inlineStr">
        <is>
          <t>2023-06</t>
        </is>
      </c>
      <c r="F943" s="6" t="n">
        <v>860637.4062516703</v>
      </c>
      <c r="G943" s="6" t="inlineStr">
        <is>
          <t>DOMESTICA</t>
        </is>
      </c>
      <c r="H943" s="6" t="inlineStr">
        <is>
          <t>FIXO</t>
        </is>
      </c>
      <c r="I943" s="11">
        <f>IF($H943="AUTO_OFERTA_TOTAL_PRODUTO_PERIODO",SUMIFS(Oferta!$F:$F,Oferta!$A:$A,$A943,Oferta!$E:$E,$E943),$F943)</f>
        <v/>
      </c>
      <c r="J943" s="6" t="inlineStr">
        <is>
          <t>Informado</t>
        </is>
      </c>
      <c r="K943" s="6" t="inlineStr">
        <is>
          <t>Demanda doméstica fixa informada pelo usuário.</t>
        </is>
      </c>
    </row>
    <row r="944">
      <c r="A944" s="6" t="inlineStr">
        <is>
          <t>Milho</t>
        </is>
      </c>
      <c r="B944" s="6" t="inlineStr">
        <is>
          <t>Curitiba - PR</t>
        </is>
      </c>
      <c r="C944" s="6" t="n">
        <v>-25.4195</v>
      </c>
      <c r="D944" s="6" t="n">
        <v>-49.2646</v>
      </c>
      <c r="E944" s="6" t="inlineStr">
        <is>
          <t>2023-07</t>
        </is>
      </c>
      <c r="F944" s="6" t="n">
        <v>811806.9151168236</v>
      </c>
      <c r="G944" s="6" t="inlineStr">
        <is>
          <t>DOMESTICA</t>
        </is>
      </c>
      <c r="H944" s="6" t="inlineStr">
        <is>
          <t>FIXO</t>
        </is>
      </c>
      <c r="I944" s="11">
        <f>IF($H944="AUTO_OFERTA_TOTAL_PRODUTO_PERIODO",SUMIFS(Oferta!$F:$F,Oferta!$A:$A,$A944,Oferta!$E:$E,$E944),$F944)</f>
        <v/>
      </c>
      <c r="J944" s="6" t="inlineStr">
        <is>
          <t>Informado</t>
        </is>
      </c>
      <c r="K944" s="6" t="inlineStr">
        <is>
          <t>Demanda doméstica fixa informada pelo usuário.</t>
        </is>
      </c>
    </row>
    <row r="945">
      <c r="A945" s="6" t="inlineStr">
        <is>
          <t>Milho</t>
        </is>
      </c>
      <c r="B945" s="6" t="inlineStr">
        <is>
          <t>Curitiba - PR</t>
        </is>
      </c>
      <c r="C945" s="6" t="n">
        <v>-25.4195</v>
      </c>
      <c r="D945" s="6" t="n">
        <v>-49.2646</v>
      </c>
      <c r="E945" s="6" t="inlineStr">
        <is>
          <t>2023-08</t>
        </is>
      </c>
      <c r="F945" s="6" t="n">
        <v>714145.9328471305</v>
      </c>
      <c r="G945" s="6" t="inlineStr">
        <is>
          <t>DOMESTICA</t>
        </is>
      </c>
      <c r="H945" s="6" t="inlineStr">
        <is>
          <t>FIXO</t>
        </is>
      </c>
      <c r="I945" s="11">
        <f>IF($H945="AUTO_OFERTA_TOTAL_PRODUTO_PERIODO",SUMIFS(Oferta!$F:$F,Oferta!$A:$A,$A945,Oferta!$E:$E,$E945),$F945)</f>
        <v/>
      </c>
      <c r="J945" s="6" t="inlineStr">
        <is>
          <t>Informado</t>
        </is>
      </c>
      <c r="K945" s="6" t="inlineStr">
        <is>
          <t>Demanda doméstica fixa informada pelo usuário.</t>
        </is>
      </c>
    </row>
    <row r="946">
      <c r="A946" s="6" t="inlineStr">
        <is>
          <t>Milho</t>
        </is>
      </c>
      <c r="B946" s="6" t="inlineStr">
        <is>
          <t>Curitiba - PR</t>
        </is>
      </c>
      <c r="C946" s="6" t="n">
        <v>-25.4195</v>
      </c>
      <c r="D946" s="6" t="n">
        <v>-49.2646</v>
      </c>
      <c r="E946" s="6" t="inlineStr">
        <is>
          <t>2023-09</t>
        </is>
      </c>
      <c r="F946" s="6" t="n">
        <v>665315.4417122841</v>
      </c>
      <c r="G946" s="6" t="inlineStr">
        <is>
          <t>DOMESTICA</t>
        </is>
      </c>
      <c r="H946" s="6" t="inlineStr">
        <is>
          <t>FIXO</t>
        </is>
      </c>
      <c r="I946" s="11">
        <f>IF($H946="AUTO_OFERTA_TOTAL_PRODUTO_PERIODO",SUMIFS(Oferta!$F:$F,Oferta!$A:$A,$A946,Oferta!$E:$E,$E946),$F946)</f>
        <v/>
      </c>
      <c r="J946" s="6" t="inlineStr">
        <is>
          <t>Informado</t>
        </is>
      </c>
      <c r="K946" s="6" t="inlineStr">
        <is>
          <t>Demanda doméstica fixa informada pelo usuário.</t>
        </is>
      </c>
    </row>
    <row r="947">
      <c r="A947" s="6" t="inlineStr">
        <is>
          <t>Milho</t>
        </is>
      </c>
      <c r="B947" s="6" t="inlineStr">
        <is>
          <t>Curitiba - PR</t>
        </is>
      </c>
      <c r="C947" s="6" t="n">
        <v>-25.4195</v>
      </c>
      <c r="D947" s="6" t="n">
        <v>-49.2646</v>
      </c>
      <c r="E947" s="6" t="inlineStr">
        <is>
          <t>2023-10</t>
        </is>
      </c>
      <c r="F947" s="6" t="n">
        <v>811806.9151168236</v>
      </c>
      <c r="G947" s="6" t="inlineStr">
        <is>
          <t>DOMESTICA</t>
        </is>
      </c>
      <c r="H947" s="6" t="inlineStr">
        <is>
          <t>FIXO</t>
        </is>
      </c>
      <c r="I947" s="11">
        <f>IF($H947="AUTO_OFERTA_TOTAL_PRODUTO_PERIODO",SUMIFS(Oferta!$F:$F,Oferta!$A:$A,$A947,Oferta!$E:$E,$E947),$F947)</f>
        <v/>
      </c>
      <c r="J947" s="6" t="inlineStr">
        <is>
          <t>Informado</t>
        </is>
      </c>
      <c r="K947" s="6" t="inlineStr">
        <is>
          <t>Demanda doméstica fixa informada pelo usuário.</t>
        </is>
      </c>
    </row>
    <row r="948">
      <c r="A948" s="6" t="inlineStr">
        <is>
          <t>Milho</t>
        </is>
      </c>
      <c r="B948" s="6" t="inlineStr">
        <is>
          <t>Curitiba - PR</t>
        </is>
      </c>
      <c r="C948" s="6" t="n">
        <v>-25.4195</v>
      </c>
      <c r="D948" s="6" t="n">
        <v>-49.2646</v>
      </c>
      <c r="E948" s="6" t="inlineStr">
        <is>
          <t>2023-11</t>
        </is>
      </c>
      <c r="F948" s="6" t="n">
        <v>762976.4239819772</v>
      </c>
      <c r="G948" s="6" t="inlineStr">
        <is>
          <t>DOMESTICA</t>
        </is>
      </c>
      <c r="H948" s="6" t="inlineStr">
        <is>
          <t>FIXO</t>
        </is>
      </c>
      <c r="I948" s="11">
        <f>IF($H948="AUTO_OFERTA_TOTAL_PRODUTO_PERIODO",SUMIFS(Oferta!$F:$F,Oferta!$A:$A,$A948,Oferta!$E:$E,$E948),$F948)</f>
        <v/>
      </c>
      <c r="J948" s="6" t="inlineStr">
        <is>
          <t>Informado</t>
        </is>
      </c>
      <c r="K948" s="6" t="inlineStr">
        <is>
          <t>Demanda doméstica fixa informada pelo usuário.</t>
        </is>
      </c>
    </row>
    <row r="949">
      <c r="A949" s="6" t="inlineStr">
        <is>
          <t>Milho</t>
        </is>
      </c>
      <c r="B949" s="6" t="inlineStr">
        <is>
          <t>Curitiba - PR</t>
        </is>
      </c>
      <c r="C949" s="6" t="n">
        <v>-25.4195</v>
      </c>
      <c r="D949" s="6" t="n">
        <v>-49.2646</v>
      </c>
      <c r="E949" s="6" t="inlineStr">
        <is>
          <t>2023-12</t>
        </is>
      </c>
      <c r="F949" s="6" t="n">
        <v>665315.4417122841</v>
      </c>
      <c r="G949" s="6" t="inlineStr">
        <is>
          <t>DOMESTICA</t>
        </is>
      </c>
      <c r="H949" s="6" t="inlineStr">
        <is>
          <t>FIXO</t>
        </is>
      </c>
      <c r="I949" s="11">
        <f>IF($H949="AUTO_OFERTA_TOTAL_PRODUTO_PERIODO",SUMIFS(Oferta!$F:$F,Oferta!$A:$A,$A949,Oferta!$E:$E,$E949),$F949)</f>
        <v/>
      </c>
      <c r="J949" s="6" t="inlineStr">
        <is>
          <t>Informado</t>
        </is>
      </c>
      <c r="K949" s="6" t="inlineStr">
        <is>
          <t>Demanda doméstica fixa informada pelo usuário.</t>
        </is>
      </c>
    </row>
    <row r="950">
      <c r="A950" s="6" t="inlineStr">
        <is>
          <t>Milho</t>
        </is>
      </c>
      <c r="B950" s="6" t="inlineStr">
        <is>
          <t>Florianópolis - SC</t>
        </is>
      </c>
      <c r="C950" s="6" t="n">
        <v>-27.5945</v>
      </c>
      <c r="D950" s="6" t="n">
        <v>-48.5477</v>
      </c>
      <c r="E950" s="6" t="inlineStr">
        <is>
          <t>2023-01</t>
        </is>
      </c>
      <c r="F950" s="6" t="n">
        <v>179591.139314589</v>
      </c>
      <c r="G950" s="6" t="inlineStr">
        <is>
          <t>DOMESTICA</t>
        </is>
      </c>
      <c r="H950" s="6" t="inlineStr">
        <is>
          <t>FIXO</t>
        </is>
      </c>
      <c r="I950" s="11">
        <f>IF($H950="AUTO_OFERTA_TOTAL_PRODUTO_PERIODO",SUMIFS(Oferta!$F:$F,Oferta!$A:$A,$A950,Oferta!$E:$E,$E950),$F950)</f>
        <v/>
      </c>
      <c r="J950" s="6" t="inlineStr">
        <is>
          <t>Informado</t>
        </is>
      </c>
      <c r="K950" s="6" t="inlineStr">
        <is>
          <t>Demanda doméstica fixa informada pelo usuário.</t>
        </is>
      </c>
    </row>
    <row r="951">
      <c r="A951" s="6" t="inlineStr">
        <is>
          <t>Milho</t>
        </is>
      </c>
      <c r="B951" s="6" t="inlineStr">
        <is>
          <t>Florianópolis - SC</t>
        </is>
      </c>
      <c r="C951" s="6" t="n">
        <v>-27.5945</v>
      </c>
      <c r="D951" s="6" t="n">
        <v>-48.5477</v>
      </c>
      <c r="E951" s="6" t="inlineStr">
        <is>
          <t>2023-02</t>
        </is>
      </c>
      <c r="F951" s="6" t="n">
        <v>226697.0119216943</v>
      </c>
      <c r="G951" s="6" t="inlineStr">
        <is>
          <t>DOMESTICA</t>
        </is>
      </c>
      <c r="H951" s="6" t="inlineStr">
        <is>
          <t>FIXO</t>
        </is>
      </c>
      <c r="I951" s="11">
        <f>IF($H951="AUTO_OFERTA_TOTAL_PRODUTO_PERIODO",SUMIFS(Oferta!$F:$F,Oferta!$A:$A,$A951,Oferta!$E:$E,$E951),$F951)</f>
        <v/>
      </c>
      <c r="J951" s="6" t="inlineStr">
        <is>
          <t>Informado</t>
        </is>
      </c>
      <c r="K951" s="6" t="inlineStr">
        <is>
          <t>Demanda doméstica fixa informada pelo usuário.</t>
        </is>
      </c>
    </row>
    <row r="952">
      <c r="A952" s="6" t="inlineStr">
        <is>
          <t>Milho</t>
        </is>
      </c>
      <c r="B952" s="6" t="inlineStr">
        <is>
          <t>Florianópolis - SC</t>
        </is>
      </c>
      <c r="C952" s="6" t="n">
        <v>-27.5945</v>
      </c>
      <c r="D952" s="6" t="n">
        <v>-48.5477</v>
      </c>
      <c r="E952" s="6" t="inlineStr">
        <is>
          <t>2023-03</t>
        </is>
      </c>
      <c r="F952" s="6" t="n">
        <v>273802.8845287996</v>
      </c>
      <c r="G952" s="6" t="inlineStr">
        <is>
          <t>DOMESTICA</t>
        </is>
      </c>
      <c r="H952" s="6" t="inlineStr">
        <is>
          <t>FIXO</t>
        </is>
      </c>
      <c r="I952" s="11">
        <f>IF($H952="AUTO_OFERTA_TOTAL_PRODUTO_PERIODO",SUMIFS(Oferta!$F:$F,Oferta!$A:$A,$A952,Oferta!$E:$E,$E952),$F952)</f>
        <v/>
      </c>
      <c r="J952" s="6" t="inlineStr">
        <is>
          <t>Informado</t>
        </is>
      </c>
      <c r="K952" s="6" t="inlineStr">
        <is>
          <t>Demanda doméstica fixa informada pelo usuário.</t>
        </is>
      </c>
    </row>
    <row r="953">
      <c r="A953" s="6" t="inlineStr">
        <is>
          <t>Milho</t>
        </is>
      </c>
      <c r="B953" s="6" t="inlineStr">
        <is>
          <t>Florianópolis - SC</t>
        </is>
      </c>
      <c r="C953" s="6" t="n">
        <v>-27.5945</v>
      </c>
      <c r="D953" s="6" t="n">
        <v>-48.5477</v>
      </c>
      <c r="E953" s="6" t="inlineStr">
        <is>
          <t>2023-04</t>
        </is>
      </c>
      <c r="F953" s="6" t="n">
        <v>391567.5660465629</v>
      </c>
      <c r="G953" s="6" t="inlineStr">
        <is>
          <t>DOMESTICA</t>
        </is>
      </c>
      <c r="H953" s="6" t="inlineStr">
        <is>
          <t>FIXO</t>
        </is>
      </c>
      <c r="I953" s="11">
        <f>IF($H953="AUTO_OFERTA_TOTAL_PRODUTO_PERIODO",SUMIFS(Oferta!$F:$F,Oferta!$A:$A,$A953,Oferta!$E:$E,$E953),$F953)</f>
        <v/>
      </c>
      <c r="J953" s="6" t="inlineStr">
        <is>
          <t>Informado</t>
        </is>
      </c>
      <c r="K953" s="6" t="inlineStr">
        <is>
          <t>Demanda doméstica fixa informada pelo usuário.</t>
        </is>
      </c>
    </row>
    <row r="954">
      <c r="A954" s="6" t="inlineStr">
        <is>
          <t>Milho</t>
        </is>
      </c>
      <c r="B954" s="6" t="inlineStr">
        <is>
          <t>Florianópolis - SC</t>
        </is>
      </c>
      <c r="C954" s="6" t="n">
        <v>-27.5945</v>
      </c>
      <c r="D954" s="6" t="n">
        <v>-48.5477</v>
      </c>
      <c r="E954" s="6" t="inlineStr">
        <is>
          <t>2023-05</t>
        </is>
      </c>
      <c r="F954" s="6" t="n">
        <v>485779.3112607736</v>
      </c>
      <c r="G954" s="6" t="inlineStr">
        <is>
          <t>DOMESTICA</t>
        </is>
      </c>
      <c r="H954" s="6" t="inlineStr">
        <is>
          <t>FIXO</t>
        </is>
      </c>
      <c r="I954" s="11">
        <f>IF($H954="AUTO_OFERTA_TOTAL_PRODUTO_PERIODO",SUMIFS(Oferta!$F:$F,Oferta!$A:$A,$A954,Oferta!$E:$E,$E954),$F954)</f>
        <v/>
      </c>
      <c r="J954" s="6" t="inlineStr">
        <is>
          <t>Informado</t>
        </is>
      </c>
      <c r="K954" s="6" t="inlineStr">
        <is>
          <t>Demanda doméstica fixa informada pelo usuário.</t>
        </is>
      </c>
    </row>
    <row r="955">
      <c r="A955" s="6" t="inlineStr">
        <is>
          <t>Milho</t>
        </is>
      </c>
      <c r="B955" s="6" t="inlineStr">
        <is>
          <t>Florianópolis - SC</t>
        </is>
      </c>
      <c r="C955" s="6" t="n">
        <v>-27.5945</v>
      </c>
      <c r="D955" s="6" t="n">
        <v>-48.5477</v>
      </c>
      <c r="E955" s="6" t="inlineStr">
        <is>
          <t>2023-06</t>
        </is>
      </c>
      <c r="F955" s="6" t="n">
        <v>532885.1838678787</v>
      </c>
      <c r="G955" s="6" t="inlineStr">
        <is>
          <t>DOMESTICA</t>
        </is>
      </c>
      <c r="H955" s="6" t="inlineStr">
        <is>
          <t>FIXO</t>
        </is>
      </c>
      <c r="I955" s="11">
        <f>IF($H955="AUTO_OFERTA_TOTAL_PRODUTO_PERIODO",SUMIFS(Oferta!$F:$F,Oferta!$A:$A,$A955,Oferta!$E:$E,$E955),$F955)</f>
        <v/>
      </c>
      <c r="J955" s="6" t="inlineStr">
        <is>
          <t>Informado</t>
        </is>
      </c>
      <c r="K955" s="6" t="inlineStr">
        <is>
          <t>Demanda doméstica fixa informada pelo usuário.</t>
        </is>
      </c>
    </row>
    <row r="956">
      <c r="A956" s="6" t="inlineStr">
        <is>
          <t>Milho</t>
        </is>
      </c>
      <c r="B956" s="6" t="inlineStr">
        <is>
          <t>Florianópolis - SC</t>
        </is>
      </c>
      <c r="C956" s="6" t="n">
        <v>-27.5945</v>
      </c>
      <c r="D956" s="6" t="n">
        <v>-48.5477</v>
      </c>
      <c r="E956" s="6" t="inlineStr">
        <is>
          <t>2023-07</t>
        </is>
      </c>
      <c r="F956" s="6" t="n">
        <v>579991.056474984</v>
      </c>
      <c r="G956" s="6" t="inlineStr">
        <is>
          <t>DOMESTICA</t>
        </is>
      </c>
      <c r="H956" s="6" t="inlineStr">
        <is>
          <t>FIXO</t>
        </is>
      </c>
      <c r="I956" s="11">
        <f>IF($H956="AUTO_OFERTA_TOTAL_PRODUTO_PERIODO",SUMIFS(Oferta!$F:$F,Oferta!$A:$A,$A956,Oferta!$E:$E,$E956),$F956)</f>
        <v/>
      </c>
      <c r="J956" s="6" t="inlineStr">
        <is>
          <t>Informado</t>
        </is>
      </c>
      <c r="K956" s="6" t="inlineStr">
        <is>
          <t>Demanda doméstica fixa informada pelo usuário.</t>
        </is>
      </c>
    </row>
    <row r="957">
      <c r="A957" s="6" t="inlineStr">
        <is>
          <t>Milho</t>
        </is>
      </c>
      <c r="B957" s="6" t="inlineStr">
        <is>
          <t>Florianópolis - SC</t>
        </is>
      </c>
      <c r="C957" s="6" t="n">
        <v>-27.5945</v>
      </c>
      <c r="D957" s="6" t="n">
        <v>-48.5477</v>
      </c>
      <c r="E957" s="6" t="inlineStr">
        <is>
          <t>2023-08</t>
        </is>
      </c>
      <c r="F957" s="6" t="n">
        <v>485779.3112607736</v>
      </c>
      <c r="G957" s="6" t="inlineStr">
        <is>
          <t>DOMESTICA</t>
        </is>
      </c>
      <c r="H957" s="6" t="inlineStr">
        <is>
          <t>FIXO</t>
        </is>
      </c>
      <c r="I957" s="11">
        <f>IF($H957="AUTO_OFERTA_TOTAL_PRODUTO_PERIODO",SUMIFS(Oferta!$F:$F,Oferta!$A:$A,$A957,Oferta!$E:$E,$E957),$F957)</f>
        <v/>
      </c>
      <c r="J957" s="6" t="inlineStr">
        <is>
          <t>Informado</t>
        </is>
      </c>
      <c r="K957" s="6" t="inlineStr">
        <is>
          <t>Demanda doméstica fixa informada pelo usuário.</t>
        </is>
      </c>
    </row>
    <row r="958">
      <c r="A958" s="6" t="inlineStr">
        <is>
          <t>Milho</t>
        </is>
      </c>
      <c r="B958" s="6" t="inlineStr">
        <is>
          <t>Florianópolis - SC</t>
        </is>
      </c>
      <c r="C958" s="6" t="n">
        <v>-27.5945</v>
      </c>
      <c r="D958" s="6" t="n">
        <v>-48.5477</v>
      </c>
      <c r="E958" s="6" t="inlineStr">
        <is>
          <t>2023-09</t>
        </is>
      </c>
      <c r="F958" s="6" t="n">
        <v>415120.5023501156</v>
      </c>
      <c r="G958" s="6" t="inlineStr">
        <is>
          <t>DOMESTICA</t>
        </is>
      </c>
      <c r="H958" s="6" t="inlineStr">
        <is>
          <t>FIXO</t>
        </is>
      </c>
      <c r="I958" s="11">
        <f>IF($H958="AUTO_OFERTA_TOTAL_PRODUTO_PERIODO",SUMIFS(Oferta!$F:$F,Oferta!$A:$A,$A958,Oferta!$E:$E,$E958),$F958)</f>
        <v/>
      </c>
      <c r="J958" s="6" t="inlineStr">
        <is>
          <t>Informado</t>
        </is>
      </c>
      <c r="K958" s="6" t="inlineStr">
        <is>
          <t>Demanda doméstica fixa informada pelo usuário.</t>
        </is>
      </c>
    </row>
    <row r="959">
      <c r="A959" s="6" t="inlineStr">
        <is>
          <t>Milho</t>
        </is>
      </c>
      <c r="B959" s="6" t="inlineStr">
        <is>
          <t>Florianópolis - SC</t>
        </is>
      </c>
      <c r="C959" s="6" t="n">
        <v>-27.5945</v>
      </c>
      <c r="D959" s="6" t="n">
        <v>-48.5477</v>
      </c>
      <c r="E959" s="6" t="inlineStr">
        <is>
          <t>2023-10</t>
        </is>
      </c>
      <c r="F959" s="6" t="n">
        <v>226697.0119216943</v>
      </c>
      <c r="G959" s="6" t="inlineStr">
        <is>
          <t>DOMESTICA</t>
        </is>
      </c>
      <c r="H959" s="6" t="inlineStr">
        <is>
          <t>FIXO</t>
        </is>
      </c>
      <c r="I959" s="11">
        <f>IF($H959="AUTO_OFERTA_TOTAL_PRODUTO_PERIODO",SUMIFS(Oferta!$F:$F,Oferta!$A:$A,$A959,Oferta!$E:$E,$E959),$F959)</f>
        <v/>
      </c>
      <c r="J959" s="6" t="inlineStr">
        <is>
          <t>Informado</t>
        </is>
      </c>
      <c r="K959" s="6" t="inlineStr">
        <is>
          <t>Demanda doméstica fixa informada pelo usuário.</t>
        </is>
      </c>
    </row>
    <row r="960">
      <c r="A960" s="6" t="inlineStr">
        <is>
          <t>Milho</t>
        </is>
      </c>
      <c r="B960" s="6" t="inlineStr">
        <is>
          <t>Florianópolis - SC</t>
        </is>
      </c>
      <c r="C960" s="6" t="n">
        <v>-27.5945</v>
      </c>
      <c r="D960" s="6" t="n">
        <v>-48.5477</v>
      </c>
      <c r="E960" s="6" t="inlineStr">
        <is>
          <t>2023-11</t>
        </is>
      </c>
      <c r="F960" s="6" t="n">
        <v>179591.139314589</v>
      </c>
      <c r="G960" s="6" t="inlineStr">
        <is>
          <t>DOMESTICA</t>
        </is>
      </c>
      <c r="H960" s="6" t="inlineStr">
        <is>
          <t>FIXO</t>
        </is>
      </c>
      <c r="I960" s="11">
        <f>IF($H960="AUTO_OFERTA_TOTAL_PRODUTO_PERIODO",SUMIFS(Oferta!$F:$F,Oferta!$A:$A,$A960,Oferta!$E:$E,$E960),$F960)</f>
        <v/>
      </c>
      <c r="J960" s="6" t="inlineStr">
        <is>
          <t>Informado</t>
        </is>
      </c>
      <c r="K960" s="6" t="inlineStr">
        <is>
          <t>Demanda doméstica fixa informada pelo usuário.</t>
        </is>
      </c>
    </row>
    <row r="961">
      <c r="A961" s="6" t="inlineStr">
        <is>
          <t>Milho</t>
        </is>
      </c>
      <c r="B961" s="6" t="inlineStr">
        <is>
          <t>Florianópolis - SC</t>
        </is>
      </c>
      <c r="C961" s="6" t="n">
        <v>-27.5945</v>
      </c>
      <c r="D961" s="6" t="n">
        <v>-48.5477</v>
      </c>
      <c r="E961" s="6" t="inlineStr">
        <is>
          <t>2023-12</t>
        </is>
      </c>
      <c r="F961" s="6" t="n">
        <v>156038.2030110364</v>
      </c>
      <c r="G961" s="6" t="inlineStr">
        <is>
          <t>DOMESTICA</t>
        </is>
      </c>
      <c r="H961" s="6" t="inlineStr">
        <is>
          <t>FIXO</t>
        </is>
      </c>
      <c r="I961" s="11">
        <f>IF($H961="AUTO_OFERTA_TOTAL_PRODUTO_PERIODO",SUMIFS(Oferta!$F:$F,Oferta!$A:$A,$A961,Oferta!$E:$E,$E961),$F961)</f>
        <v/>
      </c>
      <c r="J961" s="6" t="inlineStr">
        <is>
          <t>Informado</t>
        </is>
      </c>
      <c r="K961" s="6" t="inlineStr">
        <is>
          <t>Demanda doméstica fixa informada pelo usuário.</t>
        </is>
      </c>
    </row>
    <row r="962">
      <c r="A962" s="6" t="inlineStr">
        <is>
          <t>Milho</t>
        </is>
      </c>
      <c r="B962" s="6" t="inlineStr">
        <is>
          <t>Porto Alegre - RS</t>
        </is>
      </c>
      <c r="C962" s="6" t="n">
        <v>-30.0318</v>
      </c>
      <c r="D962" s="6" t="n">
        <v>-51.2065</v>
      </c>
      <c r="E962" s="6" t="inlineStr">
        <is>
          <t>2023-01</t>
        </is>
      </c>
      <c r="F962" s="6" t="n">
        <v>453525.0125278436</v>
      </c>
      <c r="G962" s="6" t="inlineStr">
        <is>
          <t>DOMESTICA</t>
        </is>
      </c>
      <c r="H962" s="6" t="inlineStr">
        <is>
          <t>FIXO</t>
        </is>
      </c>
      <c r="I962" s="11">
        <f>IF($H962="AUTO_OFERTA_TOTAL_PRODUTO_PERIODO",SUMIFS(Oferta!$F:$F,Oferta!$A:$A,$A962,Oferta!$E:$E,$E962),$F962)</f>
        <v/>
      </c>
      <c r="J962" s="6" t="inlineStr">
        <is>
          <t>Informado</t>
        </is>
      </c>
      <c r="K962" s="6" t="inlineStr">
        <is>
          <t>Demanda doméstica fixa informada pelo usuário.</t>
        </is>
      </c>
    </row>
    <row r="963">
      <c r="A963" s="6" t="inlineStr">
        <is>
          <t>Milho</t>
        </is>
      </c>
      <c r="B963" s="6" t="inlineStr">
        <is>
          <t>Porto Alegre - RS</t>
        </is>
      </c>
      <c r="C963" s="6" t="n">
        <v>-30.0318</v>
      </c>
      <c r="D963" s="6" t="n">
        <v>-51.2065</v>
      </c>
      <c r="E963" s="6" t="inlineStr">
        <is>
          <t>2023-02</t>
        </is>
      </c>
      <c r="F963" s="6" t="n">
        <v>572482.3928630159</v>
      </c>
      <c r="G963" s="6" t="inlineStr">
        <is>
          <t>DOMESTICA</t>
        </is>
      </c>
      <c r="H963" s="6" t="inlineStr">
        <is>
          <t>FIXO</t>
        </is>
      </c>
      <c r="I963" s="11">
        <f>IF($H963="AUTO_OFERTA_TOTAL_PRODUTO_PERIODO",SUMIFS(Oferta!$F:$F,Oferta!$A:$A,$A963,Oferta!$E:$E,$E963),$F963)</f>
        <v/>
      </c>
      <c r="J963" s="6" t="inlineStr">
        <is>
          <t>Informado</t>
        </is>
      </c>
      <c r="K963" s="6" t="inlineStr">
        <is>
          <t>Demanda doméstica fixa informada pelo usuário.</t>
        </is>
      </c>
    </row>
    <row r="964">
      <c r="A964" s="6" t="inlineStr">
        <is>
          <t>Milho</t>
        </is>
      </c>
      <c r="B964" s="6" t="inlineStr">
        <is>
          <t>Porto Alegre - RS</t>
        </is>
      </c>
      <c r="C964" s="6" t="n">
        <v>-30.0318</v>
      </c>
      <c r="D964" s="6" t="n">
        <v>-51.2065</v>
      </c>
      <c r="E964" s="6" t="inlineStr">
        <is>
          <t>2023-03</t>
        </is>
      </c>
      <c r="F964" s="6" t="n">
        <v>691439.7731981879</v>
      </c>
      <c r="G964" s="6" t="inlineStr">
        <is>
          <t>DOMESTICA</t>
        </is>
      </c>
      <c r="H964" s="6" t="inlineStr">
        <is>
          <t>FIXO</t>
        </is>
      </c>
      <c r="I964" s="11">
        <f>IF($H964="AUTO_OFERTA_TOTAL_PRODUTO_PERIODO",SUMIFS(Oferta!$F:$F,Oferta!$A:$A,$A964,Oferta!$E:$E,$E964),$F964)</f>
        <v/>
      </c>
      <c r="J964" s="6" t="inlineStr">
        <is>
          <t>Informado</t>
        </is>
      </c>
      <c r="K964" s="6" t="inlineStr">
        <is>
          <t>Demanda doméstica fixa informada pelo usuário.</t>
        </is>
      </c>
    </row>
    <row r="965">
      <c r="A965" s="6" t="inlineStr">
        <is>
          <t>Milho</t>
        </is>
      </c>
      <c r="B965" s="6" t="inlineStr">
        <is>
          <t>Porto Alegre - RS</t>
        </is>
      </c>
      <c r="C965" s="6" t="n">
        <v>-30.0318</v>
      </c>
      <c r="D965" s="6" t="n">
        <v>-51.2065</v>
      </c>
      <c r="E965" s="6" t="inlineStr">
        <is>
          <t>2023-04</t>
        </is>
      </c>
      <c r="F965" s="6" t="n">
        <v>988833.2240361182</v>
      </c>
      <c r="G965" s="6" t="inlineStr">
        <is>
          <t>DOMESTICA</t>
        </is>
      </c>
      <c r="H965" s="6" t="inlineStr">
        <is>
          <t>FIXO</t>
        </is>
      </c>
      <c r="I965" s="11">
        <f>IF($H965="AUTO_OFERTA_TOTAL_PRODUTO_PERIODO",SUMIFS(Oferta!$F:$F,Oferta!$A:$A,$A965,Oferta!$E:$E,$E965),$F965)</f>
        <v/>
      </c>
      <c r="J965" s="6" t="inlineStr">
        <is>
          <t>Informado</t>
        </is>
      </c>
      <c r="K965" s="6" t="inlineStr">
        <is>
          <t>Demanda doméstica fixa informada pelo usuário.</t>
        </is>
      </c>
    </row>
    <row r="966">
      <c r="A966" s="6" t="inlineStr">
        <is>
          <t>Milho</t>
        </is>
      </c>
      <c r="B966" s="6" t="inlineStr">
        <is>
          <t>Porto Alegre - RS</t>
        </is>
      </c>
      <c r="C966" s="6" t="n">
        <v>-30.0318</v>
      </c>
      <c r="D966" s="6" t="n">
        <v>-51.2065</v>
      </c>
      <c r="E966" s="6" t="inlineStr">
        <is>
          <t>2023-05</t>
        </is>
      </c>
      <c r="F966" s="6" t="n">
        <v>1226747.984706463</v>
      </c>
      <c r="G966" s="6" t="inlineStr">
        <is>
          <t>DOMESTICA</t>
        </is>
      </c>
      <c r="H966" s="6" t="inlineStr">
        <is>
          <t>FIXO</t>
        </is>
      </c>
      <c r="I966" s="11">
        <f>IF($H966="AUTO_OFERTA_TOTAL_PRODUTO_PERIODO",SUMIFS(Oferta!$F:$F,Oferta!$A:$A,$A966,Oferta!$E:$E,$E966),$F966)</f>
        <v/>
      </c>
      <c r="J966" s="6" t="inlineStr">
        <is>
          <t>Informado</t>
        </is>
      </c>
      <c r="K966" s="6" t="inlineStr">
        <is>
          <t>Demanda doméstica fixa informada pelo usuário.</t>
        </is>
      </c>
    </row>
    <row r="967">
      <c r="A967" s="6" t="inlineStr">
        <is>
          <t>Milho</t>
        </is>
      </c>
      <c r="B967" s="6" t="inlineStr">
        <is>
          <t>Porto Alegre - RS</t>
        </is>
      </c>
      <c r="C967" s="6" t="n">
        <v>-30.0318</v>
      </c>
      <c r="D967" s="6" t="n">
        <v>-51.2065</v>
      </c>
      <c r="E967" s="6" t="inlineStr">
        <is>
          <t>2023-06</t>
        </is>
      </c>
      <c r="F967" s="6" t="n">
        <v>1226747.984706463</v>
      </c>
      <c r="G967" s="6" t="inlineStr">
        <is>
          <t>DOMESTICA</t>
        </is>
      </c>
      <c r="H967" s="6" t="inlineStr">
        <is>
          <t>FIXO</t>
        </is>
      </c>
      <c r="I967" s="11">
        <f>IF($H967="AUTO_OFERTA_TOTAL_PRODUTO_PERIODO",SUMIFS(Oferta!$F:$F,Oferta!$A:$A,$A967,Oferta!$E:$E,$E967),$F967)</f>
        <v/>
      </c>
      <c r="J967" s="6" t="inlineStr">
        <is>
          <t>Informado</t>
        </is>
      </c>
      <c r="K967" s="6" t="inlineStr">
        <is>
          <t>Demanda doméstica fixa informada pelo usuário.</t>
        </is>
      </c>
    </row>
    <row r="968">
      <c r="A968" s="6" t="inlineStr">
        <is>
          <t>Milho</t>
        </is>
      </c>
      <c r="B968" s="6" t="inlineStr">
        <is>
          <t>Porto Alegre - RS</t>
        </is>
      </c>
      <c r="C968" s="6" t="n">
        <v>-30.0318</v>
      </c>
      <c r="D968" s="6" t="n">
        <v>-51.2065</v>
      </c>
      <c r="E968" s="6" t="inlineStr">
        <is>
          <t>2023-07</t>
        </is>
      </c>
      <c r="F968" s="6" t="n">
        <v>988833.2240361182</v>
      </c>
      <c r="G968" s="6" t="inlineStr">
        <is>
          <t>DOMESTICA</t>
        </is>
      </c>
      <c r="H968" s="6" t="inlineStr">
        <is>
          <t>FIXO</t>
        </is>
      </c>
      <c r="I968" s="11">
        <f>IF($H968="AUTO_OFERTA_TOTAL_PRODUTO_PERIODO",SUMIFS(Oferta!$F:$F,Oferta!$A:$A,$A968,Oferta!$E:$E,$E968),$F968)</f>
        <v/>
      </c>
      <c r="J968" s="6" t="inlineStr">
        <is>
          <t>Informado</t>
        </is>
      </c>
      <c r="K968" s="6" t="inlineStr">
        <is>
          <t>Demanda doméstica fixa informada pelo usuário.</t>
        </is>
      </c>
    </row>
    <row r="969">
      <c r="A969" s="6" t="inlineStr">
        <is>
          <t>Milho</t>
        </is>
      </c>
      <c r="B969" s="6" t="inlineStr">
        <is>
          <t>Porto Alegre - RS</t>
        </is>
      </c>
      <c r="C969" s="6" t="n">
        <v>-30.0318</v>
      </c>
      <c r="D969" s="6" t="n">
        <v>-51.2065</v>
      </c>
      <c r="E969" s="6" t="inlineStr">
        <is>
          <t>2023-08</t>
        </is>
      </c>
      <c r="F969" s="6" t="n">
        <v>631961.0830306018</v>
      </c>
      <c r="G969" s="6" t="inlineStr">
        <is>
          <t>DOMESTICA</t>
        </is>
      </c>
      <c r="H969" s="6" t="inlineStr">
        <is>
          <t>FIXO</t>
        </is>
      </c>
      <c r="I969" s="11">
        <f>IF($H969="AUTO_OFERTA_TOTAL_PRODUTO_PERIODO",SUMIFS(Oferta!$F:$F,Oferta!$A:$A,$A969,Oferta!$E:$E,$E969),$F969)</f>
        <v/>
      </c>
      <c r="J969" s="6" t="inlineStr">
        <is>
          <t>Informado</t>
        </is>
      </c>
      <c r="K969" s="6" t="inlineStr">
        <is>
          <t>Demanda doméstica fixa informada pelo usuário.</t>
        </is>
      </c>
    </row>
    <row r="970">
      <c r="A970" s="6" t="inlineStr">
        <is>
          <t>Milho</t>
        </is>
      </c>
      <c r="B970" s="6" t="inlineStr">
        <is>
          <t>Porto Alegre - RS</t>
        </is>
      </c>
      <c r="C970" s="6" t="n">
        <v>-30.0318</v>
      </c>
      <c r="D970" s="6" t="n">
        <v>-51.2065</v>
      </c>
      <c r="E970" s="6" t="inlineStr">
        <is>
          <t>2023-09</t>
        </is>
      </c>
      <c r="F970" s="6" t="n">
        <v>513003.7026954298</v>
      </c>
      <c r="G970" s="6" t="inlineStr">
        <is>
          <t>DOMESTICA</t>
        </is>
      </c>
      <c r="H970" s="6" t="inlineStr">
        <is>
          <t>FIXO</t>
        </is>
      </c>
      <c r="I970" s="11">
        <f>IF($H970="AUTO_OFERTA_TOTAL_PRODUTO_PERIODO",SUMIFS(Oferta!$F:$F,Oferta!$A:$A,$A970,Oferta!$E:$E,$E970),$F970)</f>
        <v/>
      </c>
      <c r="J970" s="6" t="inlineStr">
        <is>
          <t>Informado</t>
        </is>
      </c>
      <c r="K970" s="6" t="inlineStr">
        <is>
          <t>Demanda doméstica fixa informada pelo usuário.</t>
        </is>
      </c>
    </row>
    <row r="971">
      <c r="A971" s="6" t="inlineStr">
        <is>
          <t>Milho</t>
        </is>
      </c>
      <c r="B971" s="6" t="inlineStr">
        <is>
          <t>Porto Alegre - RS</t>
        </is>
      </c>
      <c r="C971" s="6" t="n">
        <v>-30.0318</v>
      </c>
      <c r="D971" s="6" t="n">
        <v>-51.2065</v>
      </c>
      <c r="E971" s="6" t="inlineStr">
        <is>
          <t>2023-10</t>
        </is>
      </c>
      <c r="F971" s="6" t="n">
        <v>394046.3223602577</v>
      </c>
      <c r="G971" s="6" t="inlineStr">
        <is>
          <t>DOMESTICA</t>
        </is>
      </c>
      <c r="H971" s="6" t="inlineStr">
        <is>
          <t>FIXO</t>
        </is>
      </c>
      <c r="I971" s="11">
        <f>IF($H971="AUTO_OFERTA_TOTAL_PRODUTO_PERIODO",SUMIFS(Oferta!$F:$F,Oferta!$A:$A,$A971,Oferta!$E:$E,$E971),$F971)</f>
        <v/>
      </c>
      <c r="J971" s="6" t="inlineStr">
        <is>
          <t>Informado</t>
        </is>
      </c>
      <c r="K971" s="6" t="inlineStr">
        <is>
          <t>Demanda doméstica fixa informada pelo usuário.</t>
        </is>
      </c>
    </row>
    <row r="972">
      <c r="A972" s="6" t="inlineStr">
        <is>
          <t>Milho</t>
        </is>
      </c>
      <c r="B972" s="6" t="inlineStr">
        <is>
          <t>Porto Alegre - RS</t>
        </is>
      </c>
      <c r="C972" s="6" t="n">
        <v>-30.0318</v>
      </c>
      <c r="D972" s="6" t="n">
        <v>-51.2065</v>
      </c>
      <c r="E972" s="6" t="inlineStr">
        <is>
          <t>2023-11</t>
        </is>
      </c>
      <c r="F972" s="6" t="n">
        <v>394046.3223602577</v>
      </c>
      <c r="G972" s="6" t="inlineStr">
        <is>
          <t>DOMESTICA</t>
        </is>
      </c>
      <c r="H972" s="6" t="inlineStr">
        <is>
          <t>FIXO</t>
        </is>
      </c>
      <c r="I972" s="11">
        <f>IF($H972="AUTO_OFERTA_TOTAL_PRODUTO_PERIODO",SUMIFS(Oferta!$F:$F,Oferta!$A:$A,$A972,Oferta!$E:$E,$E972),$F972)</f>
        <v/>
      </c>
      <c r="J972" s="6" t="inlineStr">
        <is>
          <t>Informado</t>
        </is>
      </c>
      <c r="K972" s="6" t="inlineStr">
        <is>
          <t>Demanda doméstica fixa informada pelo usuário.</t>
        </is>
      </c>
    </row>
    <row r="973">
      <c r="A973" s="6" t="inlineStr">
        <is>
          <t>Milho</t>
        </is>
      </c>
      <c r="B973" s="6" t="inlineStr">
        <is>
          <t>Porto Alegre - RS</t>
        </is>
      </c>
      <c r="C973" s="6" t="n">
        <v>-30.0318</v>
      </c>
      <c r="D973" s="6" t="n">
        <v>-51.2065</v>
      </c>
      <c r="E973" s="6" t="inlineStr">
        <is>
          <t>2023-12</t>
        </is>
      </c>
      <c r="F973" s="6" t="n">
        <v>394046.3223602577</v>
      </c>
      <c r="G973" s="6" t="inlineStr">
        <is>
          <t>DOMESTICA</t>
        </is>
      </c>
      <c r="H973" s="6" t="inlineStr">
        <is>
          <t>FIXO</t>
        </is>
      </c>
      <c r="I973" s="11">
        <f>IF($H973="AUTO_OFERTA_TOTAL_PRODUTO_PERIODO",SUMIFS(Oferta!$F:$F,Oferta!$A:$A,$A973,Oferta!$E:$E,$E973),$F973)</f>
        <v/>
      </c>
      <c r="J973" s="6" t="inlineStr">
        <is>
          <t>Informado</t>
        </is>
      </c>
      <c r="K973" s="6" t="inlineStr">
        <is>
          <t>Demanda doméstica fixa informada pelo usuário.</t>
        </is>
      </c>
    </row>
    <row r="974">
      <c r="A974" s="6" t="inlineStr">
        <is>
          <t>Milho</t>
        </is>
      </c>
      <c r="B974" s="6" t="inlineStr">
        <is>
          <t>Rio Branco - AC</t>
        </is>
      </c>
      <c r="C974" s="6" t="n">
        <v>-9.97499</v>
      </c>
      <c r="D974" s="6" t="n">
        <v>-67.82429999999999</v>
      </c>
      <c r="E974" s="6" t="inlineStr">
        <is>
          <t>2024-01</t>
        </is>
      </c>
      <c r="F974" s="6" t="n">
        <v>8056.6918788427</v>
      </c>
      <c r="G974" s="6" t="inlineStr">
        <is>
          <t>DOMESTICA</t>
        </is>
      </c>
      <c r="H974" s="6" t="inlineStr">
        <is>
          <t>FIXO</t>
        </is>
      </c>
      <c r="I974" s="11">
        <f>IF($H974="AUTO_OFERTA_TOTAL_PRODUTO_PERIODO",SUMIFS(Oferta!$F:$F,Oferta!$A:$A,$A974,Oferta!$E:$E,$E974),$F974)</f>
        <v/>
      </c>
      <c r="J974" s="6" t="inlineStr">
        <is>
          <t>Informado</t>
        </is>
      </c>
      <c r="K974" s="6" t="inlineStr">
        <is>
          <t>Demanda doméstica fixa informada pelo usuário.</t>
        </is>
      </c>
    </row>
    <row r="975">
      <c r="A975" s="6" t="inlineStr">
        <is>
          <t>Milho</t>
        </is>
      </c>
      <c r="B975" s="6" t="inlineStr">
        <is>
          <t>Rio Branco - AC</t>
        </is>
      </c>
      <c r="C975" s="6" t="n">
        <v>-9.97499</v>
      </c>
      <c r="D975" s="6" t="n">
        <v>-67.82429999999999</v>
      </c>
      <c r="E975" s="6" t="inlineStr">
        <is>
          <t>2024-02</t>
        </is>
      </c>
      <c r="F975" s="6" t="n">
        <v>9272.796313385001</v>
      </c>
      <c r="G975" s="6" t="inlineStr">
        <is>
          <t>DOMESTICA</t>
        </is>
      </c>
      <c r="H975" s="6" t="inlineStr">
        <is>
          <t>FIXO</t>
        </is>
      </c>
      <c r="I975" s="11">
        <f>IF($H975="AUTO_OFERTA_TOTAL_PRODUTO_PERIODO",SUMIFS(Oferta!$F:$F,Oferta!$A:$A,$A975,Oferta!$E:$E,$E975),$F975)</f>
        <v/>
      </c>
      <c r="J975" s="6" t="inlineStr">
        <is>
          <t>Informado</t>
        </is>
      </c>
      <c r="K975" s="6" t="inlineStr">
        <is>
          <t>Demanda doméstica fixa informada pelo usuário.</t>
        </is>
      </c>
    </row>
    <row r="976">
      <c r="A976" s="6" t="inlineStr">
        <is>
          <t>Milho</t>
        </is>
      </c>
      <c r="B976" s="6" t="inlineStr">
        <is>
          <t>Rio Branco - AC</t>
        </is>
      </c>
      <c r="C976" s="6" t="n">
        <v>-9.97499</v>
      </c>
      <c r="D976" s="6" t="n">
        <v>-67.82429999999999</v>
      </c>
      <c r="E976" s="6" t="inlineStr">
        <is>
          <t>2024-03</t>
        </is>
      </c>
      <c r="F976" s="6" t="n">
        <v>11705.0051824696</v>
      </c>
      <c r="G976" s="6" t="inlineStr">
        <is>
          <t>DOMESTICA</t>
        </is>
      </c>
      <c r="H976" s="6" t="inlineStr">
        <is>
          <t>FIXO</t>
        </is>
      </c>
      <c r="I976" s="11">
        <f>IF($H976="AUTO_OFERTA_TOTAL_PRODUTO_PERIODO",SUMIFS(Oferta!$F:$F,Oferta!$A:$A,$A976,Oferta!$E:$E,$E976),$F976)</f>
        <v/>
      </c>
      <c r="J976" s="6" t="inlineStr">
        <is>
          <t>Informado</t>
        </is>
      </c>
      <c r="K976" s="6" t="inlineStr">
        <is>
          <t>Demanda doméstica fixa informada pelo usuário.</t>
        </is>
      </c>
    </row>
    <row r="977">
      <c r="A977" s="6" t="inlineStr">
        <is>
          <t>Milho</t>
        </is>
      </c>
      <c r="B977" s="6" t="inlineStr">
        <is>
          <t>Rio Branco - AC</t>
        </is>
      </c>
      <c r="C977" s="6" t="n">
        <v>-9.97499</v>
      </c>
      <c r="D977" s="6" t="n">
        <v>-67.82429999999999</v>
      </c>
      <c r="E977" s="6" t="inlineStr">
        <is>
          <t>2024-04</t>
        </is>
      </c>
      <c r="F977" s="6" t="n">
        <v>19001.6317897233</v>
      </c>
      <c r="G977" s="6" t="inlineStr">
        <is>
          <t>DOMESTICA</t>
        </is>
      </c>
      <c r="H977" s="6" t="inlineStr">
        <is>
          <t>FIXO</t>
        </is>
      </c>
      <c r="I977" s="11">
        <f>IF($H977="AUTO_OFERTA_TOTAL_PRODUTO_PERIODO",SUMIFS(Oferta!$F:$F,Oferta!$A:$A,$A977,Oferta!$E:$E,$E977),$F977)</f>
        <v/>
      </c>
      <c r="J977" s="6" t="inlineStr">
        <is>
          <t>Informado</t>
        </is>
      </c>
      <c r="K977" s="6" t="inlineStr">
        <is>
          <t>Demanda doméstica fixa informada pelo usuário.</t>
        </is>
      </c>
    </row>
    <row r="978">
      <c r="A978" s="6" t="inlineStr">
        <is>
          <t>Milho</t>
        </is>
      </c>
      <c r="B978" s="6" t="inlineStr">
        <is>
          <t>Rio Branco - AC</t>
        </is>
      </c>
      <c r="C978" s="6" t="n">
        <v>-9.97499</v>
      </c>
      <c r="D978" s="6" t="n">
        <v>-67.82429999999999</v>
      </c>
      <c r="E978" s="6" t="inlineStr">
        <is>
          <t>2024-05</t>
        </is>
      </c>
      <c r="F978" s="6" t="n">
        <v>20217.7362242656</v>
      </c>
      <c r="G978" s="6" t="inlineStr">
        <is>
          <t>DOMESTICA</t>
        </is>
      </c>
      <c r="H978" s="6" t="inlineStr">
        <is>
          <t>FIXO</t>
        </is>
      </c>
      <c r="I978" s="11">
        <f>IF($H978="AUTO_OFERTA_TOTAL_PRODUTO_PERIODO",SUMIFS(Oferta!$F:$F,Oferta!$A:$A,$A978,Oferta!$E:$E,$E978),$F978)</f>
        <v/>
      </c>
      <c r="J978" s="6" t="inlineStr">
        <is>
          <t>Informado</t>
        </is>
      </c>
      <c r="K978" s="6" t="inlineStr">
        <is>
          <t>Demanda doméstica fixa informada pelo usuário.</t>
        </is>
      </c>
    </row>
    <row r="979">
      <c r="A979" s="6" t="inlineStr">
        <is>
          <t>Milho</t>
        </is>
      </c>
      <c r="B979" s="6" t="inlineStr">
        <is>
          <t>Rio Branco - AC</t>
        </is>
      </c>
      <c r="C979" s="6" t="n">
        <v>-9.97499</v>
      </c>
      <c r="D979" s="6" t="n">
        <v>-67.82429999999999</v>
      </c>
      <c r="E979" s="6" t="inlineStr">
        <is>
          <t>2024-06</t>
        </is>
      </c>
      <c r="F979" s="6" t="n">
        <v>19001.6317897233</v>
      </c>
      <c r="G979" s="6" t="inlineStr">
        <is>
          <t>DOMESTICA</t>
        </is>
      </c>
      <c r="H979" s="6" t="inlineStr">
        <is>
          <t>FIXO</t>
        </is>
      </c>
      <c r="I979" s="11">
        <f>IF($H979="AUTO_OFERTA_TOTAL_PRODUTO_PERIODO",SUMIFS(Oferta!$F:$F,Oferta!$A:$A,$A979,Oferta!$E:$E,$E979),$F979)</f>
        <v/>
      </c>
      <c r="J979" s="6" t="inlineStr">
        <is>
          <t>Informado</t>
        </is>
      </c>
      <c r="K979" s="6" t="inlineStr">
        <is>
          <t>Demanda doméstica fixa informada pelo usuário.</t>
        </is>
      </c>
    </row>
    <row r="980">
      <c r="A980" s="6" t="inlineStr">
        <is>
          <t>Milho</t>
        </is>
      </c>
      <c r="B980" s="6" t="inlineStr">
        <is>
          <t>Rio Branco - AC</t>
        </is>
      </c>
      <c r="C980" s="6" t="n">
        <v>-9.97499</v>
      </c>
      <c r="D980" s="6" t="n">
        <v>-67.82429999999999</v>
      </c>
      <c r="E980" s="6" t="inlineStr">
        <is>
          <t>2024-07</t>
        </is>
      </c>
      <c r="F980" s="6" t="n">
        <v>11705.0051824696</v>
      </c>
      <c r="G980" s="6" t="inlineStr">
        <is>
          <t>DOMESTICA</t>
        </is>
      </c>
      <c r="H980" s="6" t="inlineStr">
        <is>
          <t>FIXO</t>
        </is>
      </c>
      <c r="I980" s="11">
        <f>IF($H980="AUTO_OFERTA_TOTAL_PRODUTO_PERIODO",SUMIFS(Oferta!$F:$F,Oferta!$A:$A,$A980,Oferta!$E:$E,$E980),$F980)</f>
        <v/>
      </c>
      <c r="J980" s="6" t="inlineStr">
        <is>
          <t>Informado</t>
        </is>
      </c>
      <c r="K980" s="6" t="inlineStr">
        <is>
          <t>Demanda doméstica fixa informada pelo usuário.</t>
        </is>
      </c>
    </row>
    <row r="981">
      <c r="A981" s="6" t="inlineStr">
        <is>
          <t>Milho</t>
        </is>
      </c>
      <c r="B981" s="6" t="inlineStr">
        <is>
          <t>Rio Branco - AC</t>
        </is>
      </c>
      <c r="C981" s="6" t="n">
        <v>-9.97499</v>
      </c>
      <c r="D981" s="6" t="n">
        <v>-67.82429999999999</v>
      </c>
      <c r="E981" s="6" t="inlineStr">
        <is>
          <t>2024-08</t>
        </is>
      </c>
      <c r="F981" s="6" t="n">
        <v>9272.796313385001</v>
      </c>
      <c r="G981" s="6" t="inlineStr">
        <is>
          <t>DOMESTICA</t>
        </is>
      </c>
      <c r="H981" s="6" t="inlineStr">
        <is>
          <t>FIXO</t>
        </is>
      </c>
      <c r="I981" s="11">
        <f>IF($H981="AUTO_OFERTA_TOTAL_PRODUTO_PERIODO",SUMIFS(Oferta!$F:$F,Oferta!$A:$A,$A981,Oferta!$E:$E,$E981),$F981)</f>
        <v/>
      </c>
      <c r="J981" s="6" t="inlineStr">
        <is>
          <t>Informado</t>
        </is>
      </c>
      <c r="K981" s="6" t="inlineStr">
        <is>
          <t>Demanda doméstica fixa informada pelo usuário.</t>
        </is>
      </c>
    </row>
    <row r="982">
      <c r="A982" s="6" t="inlineStr">
        <is>
          <t>Milho</t>
        </is>
      </c>
      <c r="B982" s="6" t="inlineStr">
        <is>
          <t>Rio Branco - AC</t>
        </is>
      </c>
      <c r="C982" s="6" t="n">
        <v>-9.97499</v>
      </c>
      <c r="D982" s="6" t="n">
        <v>-67.82429999999999</v>
      </c>
      <c r="E982" s="6" t="inlineStr">
        <is>
          <t>2024-09</t>
        </is>
      </c>
      <c r="F982" s="6" t="n">
        <v>8056.6918788427</v>
      </c>
      <c r="G982" s="6" t="inlineStr">
        <is>
          <t>DOMESTICA</t>
        </is>
      </c>
      <c r="H982" s="6" t="inlineStr">
        <is>
          <t>FIXO</t>
        </is>
      </c>
      <c r="I982" s="11">
        <f>IF($H982="AUTO_OFERTA_TOTAL_PRODUTO_PERIODO",SUMIFS(Oferta!$F:$F,Oferta!$A:$A,$A982,Oferta!$E:$E,$E982),$F982)</f>
        <v/>
      </c>
      <c r="J982" s="6" t="inlineStr">
        <is>
          <t>Informado</t>
        </is>
      </c>
      <c r="K982" s="6" t="inlineStr">
        <is>
          <t>Demanda doméstica fixa informada pelo usuário.</t>
        </is>
      </c>
    </row>
    <row r="983">
      <c r="A983" s="6" t="inlineStr">
        <is>
          <t>Milho</t>
        </is>
      </c>
      <c r="B983" s="6" t="inlineStr">
        <is>
          <t>Rio Branco - AC</t>
        </is>
      </c>
      <c r="C983" s="6" t="n">
        <v>-9.97499</v>
      </c>
      <c r="D983" s="6" t="n">
        <v>-67.82429999999999</v>
      </c>
      <c r="E983" s="6" t="inlineStr">
        <is>
          <t>2024-10</t>
        </is>
      </c>
      <c r="F983" s="6" t="n">
        <v>8056.6918788427</v>
      </c>
      <c r="G983" s="6" t="inlineStr">
        <is>
          <t>DOMESTICA</t>
        </is>
      </c>
      <c r="H983" s="6" t="inlineStr">
        <is>
          <t>FIXO</t>
        </is>
      </c>
      <c r="I983" s="11">
        <f>IF($H983="AUTO_OFERTA_TOTAL_PRODUTO_PERIODO",SUMIFS(Oferta!$F:$F,Oferta!$A:$A,$A983,Oferta!$E:$E,$E983),$F983)</f>
        <v/>
      </c>
      <c r="J983" s="6" t="inlineStr">
        <is>
          <t>Informado</t>
        </is>
      </c>
      <c r="K983" s="6" t="inlineStr">
        <is>
          <t>Demanda doméstica fixa informada pelo usuário.</t>
        </is>
      </c>
    </row>
    <row r="984">
      <c r="A984" s="6" t="inlineStr">
        <is>
          <t>Milho</t>
        </is>
      </c>
      <c r="B984" s="6" t="inlineStr">
        <is>
          <t>Rio Branco - AC</t>
        </is>
      </c>
      <c r="C984" s="6" t="n">
        <v>-9.97499</v>
      </c>
      <c r="D984" s="6" t="n">
        <v>-67.82429999999999</v>
      </c>
      <c r="E984" s="6" t="inlineStr">
        <is>
          <t>2024-11</t>
        </is>
      </c>
      <c r="F984" s="6" t="n">
        <v>8056.6918788427</v>
      </c>
      <c r="G984" s="6" t="inlineStr">
        <is>
          <t>DOMESTICA</t>
        </is>
      </c>
      <c r="H984" s="6" t="inlineStr">
        <is>
          <t>FIXO</t>
        </is>
      </c>
      <c r="I984" s="11">
        <f>IF($H984="AUTO_OFERTA_TOTAL_PRODUTO_PERIODO",SUMIFS(Oferta!$F:$F,Oferta!$A:$A,$A984,Oferta!$E:$E,$E984),$F984)</f>
        <v/>
      </c>
      <c r="J984" s="6" t="inlineStr">
        <is>
          <t>Informado</t>
        </is>
      </c>
      <c r="K984" s="6" t="inlineStr">
        <is>
          <t>Demanda doméstica fixa informada pelo usuário.</t>
        </is>
      </c>
    </row>
    <row r="985">
      <c r="A985" s="6" t="inlineStr">
        <is>
          <t>Milho</t>
        </is>
      </c>
      <c r="B985" s="6" t="inlineStr">
        <is>
          <t>Rio Branco - AC</t>
        </is>
      </c>
      <c r="C985" s="6" t="n">
        <v>-9.97499</v>
      </c>
      <c r="D985" s="6" t="n">
        <v>-67.82429999999999</v>
      </c>
      <c r="E985" s="6" t="inlineStr">
        <is>
          <t>2024-12</t>
        </is>
      </c>
      <c r="F985" s="6" t="n">
        <v>8056.6918788427</v>
      </c>
      <c r="G985" s="6" t="inlineStr">
        <is>
          <t>DOMESTICA</t>
        </is>
      </c>
      <c r="H985" s="6" t="inlineStr">
        <is>
          <t>FIXO</t>
        </is>
      </c>
      <c r="I985" s="11">
        <f>IF($H985="AUTO_OFERTA_TOTAL_PRODUTO_PERIODO",SUMIFS(Oferta!$F:$F,Oferta!$A:$A,$A985,Oferta!$E:$E,$E985),$F985)</f>
        <v/>
      </c>
      <c r="J985" s="6" t="inlineStr">
        <is>
          <t>Informado</t>
        </is>
      </c>
      <c r="K985" s="6" t="inlineStr">
        <is>
          <t>Demanda doméstica fixa informada pelo usuário.</t>
        </is>
      </c>
    </row>
    <row r="986">
      <c r="A986" s="6" t="inlineStr">
        <is>
          <t>Milho</t>
        </is>
      </c>
      <c r="B986" s="6" t="inlineStr">
        <is>
          <t>Macapá - AP</t>
        </is>
      </c>
      <c r="C986" s="6" t="n">
        <v>0.034934</v>
      </c>
      <c r="D986" s="6" t="n">
        <v>-51.0694</v>
      </c>
      <c r="E986" s="6" t="inlineStr">
        <is>
          <t>2024-01</t>
        </is>
      </c>
      <c r="F986" s="6" t="n">
        <v>5472.4513464823</v>
      </c>
      <c r="G986" s="6" t="inlineStr">
        <is>
          <t>DOMESTICA</t>
        </is>
      </c>
      <c r="H986" s="6" t="inlineStr">
        <is>
          <t>FIXO</t>
        </is>
      </c>
      <c r="I986" s="11">
        <f>IF($H986="AUTO_OFERTA_TOTAL_PRODUTO_PERIODO",SUMIFS(Oferta!$F:$F,Oferta!$A:$A,$A986,Oferta!$E:$E,$E986),$F986)</f>
        <v/>
      </c>
      <c r="J986" s="6" t="inlineStr">
        <is>
          <t>Informado</t>
        </is>
      </c>
      <c r="K986" s="6" t="inlineStr">
        <is>
          <t>Demanda doméstica fixa informada pelo usuário.</t>
        </is>
      </c>
    </row>
    <row r="987">
      <c r="A987" s="6" t="inlineStr">
        <is>
          <t>Milho</t>
        </is>
      </c>
      <c r="B987" s="6" t="inlineStr">
        <is>
          <t>Macapá - AP</t>
        </is>
      </c>
      <c r="C987" s="6" t="n">
        <v>0.034934</v>
      </c>
      <c r="D987" s="6" t="n">
        <v>-51.0694</v>
      </c>
      <c r="E987" s="6" t="inlineStr">
        <is>
          <t>2024-02</t>
        </is>
      </c>
      <c r="F987" s="6" t="n">
        <v>5472.4513464823</v>
      </c>
      <c r="G987" s="6" t="inlineStr">
        <is>
          <t>DOMESTICA</t>
        </is>
      </c>
      <c r="H987" s="6" t="inlineStr">
        <is>
          <t>FIXO</t>
        </is>
      </c>
      <c r="I987" s="11">
        <f>IF($H987="AUTO_OFERTA_TOTAL_PRODUTO_PERIODO",SUMIFS(Oferta!$F:$F,Oferta!$A:$A,$A987,Oferta!$E:$E,$E987),$F987)</f>
        <v/>
      </c>
      <c r="J987" s="6" t="inlineStr">
        <is>
          <t>Informado</t>
        </is>
      </c>
      <c r="K987" s="6" t="inlineStr">
        <is>
          <t>Demanda doméstica fixa informada pelo usuário.</t>
        </is>
      </c>
    </row>
    <row r="988">
      <c r="A988" s="6" t="inlineStr">
        <is>
          <t>Milho</t>
        </is>
      </c>
      <c r="B988" s="6" t="inlineStr">
        <is>
          <t>Macapá - AP</t>
        </is>
      </c>
      <c r="C988" s="6" t="n">
        <v>0.034934</v>
      </c>
      <c r="D988" s="6" t="n">
        <v>-51.0694</v>
      </c>
      <c r="E988" s="6" t="inlineStr">
        <is>
          <t>2024-03</t>
        </is>
      </c>
      <c r="F988" s="6" t="n">
        <v>5472.4513464823</v>
      </c>
      <c r="G988" s="6" t="inlineStr">
        <is>
          <t>DOMESTICA</t>
        </is>
      </c>
      <c r="H988" s="6" t="inlineStr">
        <is>
          <t>FIXO</t>
        </is>
      </c>
      <c r="I988" s="11">
        <f>IF($H988="AUTO_OFERTA_TOTAL_PRODUTO_PERIODO",SUMIFS(Oferta!$F:$F,Oferta!$A:$A,$A988,Oferta!$E:$E,$E988),$F988)</f>
        <v/>
      </c>
      <c r="J988" s="6" t="inlineStr">
        <is>
          <t>Informado</t>
        </is>
      </c>
      <c r="K988" s="6" t="inlineStr">
        <is>
          <t>Demanda doméstica fixa informada pelo usuário.</t>
        </is>
      </c>
    </row>
    <row r="989">
      <c r="A989" s="6" t="inlineStr">
        <is>
          <t>Milho</t>
        </is>
      </c>
      <c r="B989" s="6" t="inlineStr">
        <is>
          <t>Macapá - AP</t>
        </is>
      </c>
      <c r="C989" s="6" t="n">
        <v>0.034934</v>
      </c>
      <c r="D989" s="6" t="n">
        <v>-51.0694</v>
      </c>
      <c r="E989" s="6" t="inlineStr">
        <is>
          <t>2024-04</t>
        </is>
      </c>
      <c r="F989" s="6" t="n">
        <v>5472.4513464823</v>
      </c>
      <c r="G989" s="6" t="inlineStr">
        <is>
          <t>DOMESTICA</t>
        </is>
      </c>
      <c r="H989" s="6" t="inlineStr">
        <is>
          <t>FIXO</t>
        </is>
      </c>
      <c r="I989" s="11">
        <f>IF($H989="AUTO_OFERTA_TOTAL_PRODUTO_PERIODO",SUMIFS(Oferta!$F:$F,Oferta!$A:$A,$A989,Oferta!$E:$E,$E989),$F989)</f>
        <v/>
      </c>
      <c r="J989" s="6" t="inlineStr">
        <is>
          <t>Informado</t>
        </is>
      </c>
      <c r="K989" s="6" t="inlineStr">
        <is>
          <t>Demanda doméstica fixa informada pelo usuário.</t>
        </is>
      </c>
    </row>
    <row r="990">
      <c r="A990" s="6" t="inlineStr">
        <is>
          <t>Milho</t>
        </is>
      </c>
      <c r="B990" s="6" t="inlineStr">
        <is>
          <t>Macapá - AP</t>
        </is>
      </c>
      <c r="C990" s="6" t="n">
        <v>0.034934</v>
      </c>
      <c r="D990" s="6" t="n">
        <v>-51.0694</v>
      </c>
      <c r="E990" s="6" t="inlineStr">
        <is>
          <t>2024-05</t>
        </is>
      </c>
      <c r="F990" s="6" t="n">
        <v>6298.4817384042</v>
      </c>
      <c r="G990" s="6" t="inlineStr">
        <is>
          <t>DOMESTICA</t>
        </is>
      </c>
      <c r="H990" s="6" t="inlineStr">
        <is>
          <t>FIXO</t>
        </is>
      </c>
      <c r="I990" s="11">
        <f>IF($H990="AUTO_OFERTA_TOTAL_PRODUTO_PERIODO",SUMIFS(Oferta!$F:$F,Oferta!$A:$A,$A990,Oferta!$E:$E,$E990),$F990)</f>
        <v/>
      </c>
      <c r="J990" s="6" t="inlineStr">
        <is>
          <t>Informado</t>
        </is>
      </c>
      <c r="K990" s="6" t="inlineStr">
        <is>
          <t>Demanda doméstica fixa informada pelo usuário.</t>
        </is>
      </c>
    </row>
    <row r="991">
      <c r="A991" s="6" t="inlineStr">
        <is>
          <t>Milho</t>
        </is>
      </c>
      <c r="B991" s="6" t="inlineStr">
        <is>
          <t>Macapá - AP</t>
        </is>
      </c>
      <c r="C991" s="6" t="n">
        <v>0.034934</v>
      </c>
      <c r="D991" s="6" t="n">
        <v>-51.0694</v>
      </c>
      <c r="E991" s="6" t="inlineStr">
        <is>
          <t>2024-06</t>
        </is>
      </c>
      <c r="F991" s="6" t="n">
        <v>9602.6033060916</v>
      </c>
      <c r="G991" s="6" t="inlineStr">
        <is>
          <t>DOMESTICA</t>
        </is>
      </c>
      <c r="H991" s="6" t="inlineStr">
        <is>
          <t>FIXO</t>
        </is>
      </c>
      <c r="I991" s="11">
        <f>IF($H991="AUTO_OFERTA_TOTAL_PRODUTO_PERIODO",SUMIFS(Oferta!$F:$F,Oferta!$A:$A,$A991,Oferta!$E:$E,$E991),$F991)</f>
        <v/>
      </c>
      <c r="J991" s="6" t="inlineStr">
        <is>
          <t>Informado</t>
        </is>
      </c>
      <c r="K991" s="6" t="inlineStr">
        <is>
          <t>Demanda doméstica fixa informada pelo usuário.</t>
        </is>
      </c>
    </row>
    <row r="992">
      <c r="A992" s="6" t="inlineStr">
        <is>
          <t>Milho</t>
        </is>
      </c>
      <c r="B992" s="6" t="inlineStr">
        <is>
          <t>Macapá - AP</t>
        </is>
      </c>
      <c r="C992" s="6" t="n">
        <v>0.034934</v>
      </c>
      <c r="D992" s="6" t="n">
        <v>-51.0694</v>
      </c>
      <c r="E992" s="6" t="inlineStr">
        <is>
          <t>2024-07</t>
        </is>
      </c>
      <c r="F992" s="6" t="n">
        <v>12906.7248737791</v>
      </c>
      <c r="G992" s="6" t="inlineStr">
        <is>
          <t>DOMESTICA</t>
        </is>
      </c>
      <c r="H992" s="6" t="inlineStr">
        <is>
          <t>FIXO</t>
        </is>
      </c>
      <c r="I992" s="11">
        <f>IF($H992="AUTO_OFERTA_TOTAL_PRODUTO_PERIODO",SUMIFS(Oferta!$F:$F,Oferta!$A:$A,$A992,Oferta!$E:$E,$E992),$F992)</f>
        <v/>
      </c>
      <c r="J992" s="6" t="inlineStr">
        <is>
          <t>Informado</t>
        </is>
      </c>
      <c r="K992" s="6" t="inlineStr">
        <is>
          <t>Demanda doméstica fixa informada pelo usuário.</t>
        </is>
      </c>
    </row>
    <row r="993">
      <c r="A993" s="6" t="inlineStr">
        <is>
          <t>Milho</t>
        </is>
      </c>
      <c r="B993" s="6" t="inlineStr">
        <is>
          <t>Macapá - AP</t>
        </is>
      </c>
      <c r="C993" s="6" t="n">
        <v>0.034934</v>
      </c>
      <c r="D993" s="6" t="n">
        <v>-51.0694</v>
      </c>
      <c r="E993" s="6" t="inlineStr">
        <is>
          <t>2024-08</t>
        </is>
      </c>
      <c r="F993" s="6" t="n">
        <v>13732.7552657009</v>
      </c>
      <c r="G993" s="6" t="inlineStr">
        <is>
          <t>DOMESTICA</t>
        </is>
      </c>
      <c r="H993" s="6" t="inlineStr">
        <is>
          <t>FIXO</t>
        </is>
      </c>
      <c r="I993" s="11">
        <f>IF($H993="AUTO_OFERTA_TOTAL_PRODUTO_PERIODO",SUMIFS(Oferta!$F:$F,Oferta!$A:$A,$A993,Oferta!$E:$E,$E993),$F993)</f>
        <v/>
      </c>
      <c r="J993" s="6" t="inlineStr">
        <is>
          <t>Informado</t>
        </is>
      </c>
      <c r="K993" s="6" t="inlineStr">
        <is>
          <t>Demanda doméstica fixa informada pelo usuário.</t>
        </is>
      </c>
    </row>
    <row r="994">
      <c r="A994" s="6" t="inlineStr">
        <is>
          <t>Milho</t>
        </is>
      </c>
      <c r="B994" s="6" t="inlineStr">
        <is>
          <t>Macapá - AP</t>
        </is>
      </c>
      <c r="C994" s="6" t="n">
        <v>0.034934</v>
      </c>
      <c r="D994" s="6" t="n">
        <v>-51.0694</v>
      </c>
      <c r="E994" s="6" t="inlineStr">
        <is>
          <t>2024-09</t>
        </is>
      </c>
      <c r="F994" s="6" t="n">
        <v>11254.6640899354</v>
      </c>
      <c r="G994" s="6" t="inlineStr">
        <is>
          <t>DOMESTICA</t>
        </is>
      </c>
      <c r="H994" s="6" t="inlineStr">
        <is>
          <t>FIXO</t>
        </is>
      </c>
      <c r="I994" s="11">
        <f>IF($H994="AUTO_OFERTA_TOTAL_PRODUTO_PERIODO",SUMIFS(Oferta!$F:$F,Oferta!$A:$A,$A994,Oferta!$E:$E,$E994),$F994)</f>
        <v/>
      </c>
      <c r="J994" s="6" t="inlineStr">
        <is>
          <t>Informado</t>
        </is>
      </c>
      <c r="K994" s="6" t="inlineStr">
        <is>
          <t>Demanda doméstica fixa informada pelo usuário.</t>
        </is>
      </c>
    </row>
    <row r="995">
      <c r="A995" s="6" t="inlineStr">
        <is>
          <t>Milho</t>
        </is>
      </c>
      <c r="B995" s="6" t="inlineStr">
        <is>
          <t>Macapá - AP</t>
        </is>
      </c>
      <c r="C995" s="6" t="n">
        <v>0.034934</v>
      </c>
      <c r="D995" s="6" t="n">
        <v>-51.0694</v>
      </c>
      <c r="E995" s="6" t="inlineStr">
        <is>
          <t>2024-10</t>
        </is>
      </c>
      <c r="F995" s="6" t="n">
        <v>7950.5425222479</v>
      </c>
      <c r="G995" s="6" t="inlineStr">
        <is>
          <t>DOMESTICA</t>
        </is>
      </c>
      <c r="H995" s="6" t="inlineStr">
        <is>
          <t>FIXO</t>
        </is>
      </c>
      <c r="I995" s="11">
        <f>IF($H995="AUTO_OFERTA_TOTAL_PRODUTO_PERIODO",SUMIFS(Oferta!$F:$F,Oferta!$A:$A,$A995,Oferta!$E:$E,$E995),$F995)</f>
        <v/>
      </c>
      <c r="J995" s="6" t="inlineStr">
        <is>
          <t>Informado</t>
        </is>
      </c>
      <c r="K995" s="6" t="inlineStr">
        <is>
          <t>Demanda doméstica fixa informada pelo usuário.</t>
        </is>
      </c>
    </row>
    <row r="996">
      <c r="A996" s="6" t="inlineStr">
        <is>
          <t>Milho</t>
        </is>
      </c>
      <c r="B996" s="6" t="inlineStr">
        <is>
          <t>Macapá - AP</t>
        </is>
      </c>
      <c r="C996" s="6" t="n">
        <v>0.034934</v>
      </c>
      <c r="D996" s="6" t="n">
        <v>-51.0694</v>
      </c>
      <c r="E996" s="6" t="inlineStr">
        <is>
          <t>2024-11</t>
        </is>
      </c>
      <c r="F996" s="6" t="n">
        <v>6298.4817384042</v>
      </c>
      <c r="G996" s="6" t="inlineStr">
        <is>
          <t>DOMESTICA</t>
        </is>
      </c>
      <c r="H996" s="6" t="inlineStr">
        <is>
          <t>FIXO</t>
        </is>
      </c>
      <c r="I996" s="11">
        <f>IF($H996="AUTO_OFERTA_TOTAL_PRODUTO_PERIODO",SUMIFS(Oferta!$F:$F,Oferta!$A:$A,$A996,Oferta!$E:$E,$E996),$F996)</f>
        <v/>
      </c>
      <c r="J996" s="6" t="inlineStr">
        <is>
          <t>Informado</t>
        </is>
      </c>
      <c r="K996" s="6" t="inlineStr">
        <is>
          <t>Demanda doméstica fixa informada pelo usuário.</t>
        </is>
      </c>
    </row>
    <row r="997">
      <c r="A997" s="6" t="inlineStr">
        <is>
          <t>Milho</t>
        </is>
      </c>
      <c r="B997" s="6" t="inlineStr">
        <is>
          <t>Macapá - AP</t>
        </is>
      </c>
      <c r="C997" s="6" t="n">
        <v>0.034934</v>
      </c>
      <c r="D997" s="6" t="n">
        <v>-51.0694</v>
      </c>
      <c r="E997" s="6" t="inlineStr">
        <is>
          <t>2024-12</t>
        </is>
      </c>
      <c r="F997" s="6" t="n">
        <v>5472.4513464823</v>
      </c>
      <c r="G997" s="6" t="inlineStr">
        <is>
          <t>DOMESTICA</t>
        </is>
      </c>
      <c r="H997" s="6" t="inlineStr">
        <is>
          <t>FIXO</t>
        </is>
      </c>
      <c r="I997" s="11">
        <f>IF($H997="AUTO_OFERTA_TOTAL_PRODUTO_PERIODO",SUMIFS(Oferta!$F:$F,Oferta!$A:$A,$A997,Oferta!$E:$E,$E997),$F997)</f>
        <v/>
      </c>
      <c r="J997" s="6" t="inlineStr">
        <is>
          <t>Informado</t>
        </is>
      </c>
      <c r="K997" s="6" t="inlineStr">
        <is>
          <t>Demanda doméstica fixa informada pelo usuário.</t>
        </is>
      </c>
    </row>
    <row r="998">
      <c r="A998" s="6" t="inlineStr">
        <is>
          <t>Milho</t>
        </is>
      </c>
      <c r="B998" s="6" t="inlineStr">
        <is>
          <t>Manaus - AM</t>
        </is>
      </c>
      <c r="C998" s="6" t="n">
        <v>-3.11866</v>
      </c>
      <c r="D998" s="6" t="n">
        <v>-60.0212</v>
      </c>
      <c r="E998" s="6" t="inlineStr">
        <is>
          <t>2024-01</t>
        </is>
      </c>
      <c r="F998" s="6" t="n">
        <v>48348.578637026</v>
      </c>
      <c r="G998" s="6" t="inlineStr">
        <is>
          <t>DOMESTICA</t>
        </is>
      </c>
      <c r="H998" s="6" t="inlineStr">
        <is>
          <t>FIXO</t>
        </is>
      </c>
      <c r="I998" s="11">
        <f>IF($H998="AUTO_OFERTA_TOTAL_PRODUTO_PERIODO",SUMIFS(Oferta!$F:$F,Oferta!$A:$A,$A998,Oferta!$E:$E,$E998),$F998)</f>
        <v/>
      </c>
      <c r="J998" s="6" t="inlineStr">
        <is>
          <t>Informado</t>
        </is>
      </c>
      <c r="K998" s="6" t="inlineStr">
        <is>
          <t>Demanda doméstica fixa informada pelo usuário.</t>
        </is>
      </c>
    </row>
    <row r="999">
      <c r="A999" s="6" t="inlineStr">
        <is>
          <t>Milho</t>
        </is>
      </c>
      <c r="B999" s="6" t="inlineStr">
        <is>
          <t>Manaus - AM</t>
        </is>
      </c>
      <c r="C999" s="6" t="n">
        <v>-3.11866</v>
      </c>
      <c r="D999" s="6" t="n">
        <v>-60.0212</v>
      </c>
      <c r="E999" s="6" t="inlineStr">
        <is>
          <t>2024-02</t>
        </is>
      </c>
      <c r="F999" s="6" t="n">
        <v>48348.578637026</v>
      </c>
      <c r="G999" s="6" t="inlineStr">
        <is>
          <t>DOMESTICA</t>
        </is>
      </c>
      <c r="H999" s="6" t="inlineStr">
        <is>
          <t>FIXO</t>
        </is>
      </c>
      <c r="I999" s="11">
        <f>IF($H999="AUTO_OFERTA_TOTAL_PRODUTO_PERIODO",SUMIFS(Oferta!$F:$F,Oferta!$A:$A,$A999,Oferta!$E:$E,$E999),$F999)</f>
        <v/>
      </c>
      <c r="J999" s="6" t="inlineStr">
        <is>
          <t>Informado</t>
        </is>
      </c>
      <c r="K999" s="6" t="inlineStr">
        <is>
          <t>Demanda doméstica fixa informada pelo usuário.</t>
        </is>
      </c>
    </row>
    <row r="1000">
      <c r="A1000" s="6" t="inlineStr">
        <is>
          <t>Milho</t>
        </is>
      </c>
      <c r="B1000" s="6" t="inlineStr">
        <is>
          <t>Manaus - AM</t>
        </is>
      </c>
      <c r="C1000" s="6" t="n">
        <v>-3.11866</v>
      </c>
      <c r="D1000" s="6" t="n">
        <v>-60.0212</v>
      </c>
      <c r="E1000" s="6" t="inlineStr">
        <is>
          <t>2024-03</t>
        </is>
      </c>
      <c r="F1000" s="6" t="n">
        <v>62944.3759614113</v>
      </c>
      <c r="G1000" s="6" t="inlineStr">
        <is>
          <t>DOMESTICA</t>
        </is>
      </c>
      <c r="H1000" s="6" t="inlineStr">
        <is>
          <t>FIXO</t>
        </is>
      </c>
      <c r="I1000" s="11">
        <f>IF($H1000="AUTO_OFERTA_TOTAL_PRODUTO_PERIODO",SUMIFS(Oferta!$F:$F,Oferta!$A:$A,$A1000,Oferta!$E:$E,$E1000),$F1000)</f>
        <v/>
      </c>
      <c r="J1000" s="6" t="inlineStr">
        <is>
          <t>Informado</t>
        </is>
      </c>
      <c r="K1000" s="6" t="inlineStr">
        <is>
          <t>Demanda doméstica fixa informada pelo usuário.</t>
        </is>
      </c>
    </row>
    <row r="1001">
      <c r="A1001" s="6" t="inlineStr">
        <is>
          <t>Milho</t>
        </is>
      </c>
      <c r="B1001" s="6" t="inlineStr">
        <is>
          <t>Manaus - AM</t>
        </is>
      </c>
      <c r="C1001" s="6" t="n">
        <v>-3.11866</v>
      </c>
      <c r="D1001" s="6" t="n">
        <v>-60.0212</v>
      </c>
      <c r="E1001" s="6" t="inlineStr">
        <is>
          <t>2024-04</t>
        </is>
      </c>
      <c r="F1001" s="6" t="n">
        <v>77540.1732857965</v>
      </c>
      <c r="G1001" s="6" t="inlineStr">
        <is>
          <t>DOMESTICA</t>
        </is>
      </c>
      <c r="H1001" s="6" t="inlineStr">
        <is>
          <t>FIXO</t>
        </is>
      </c>
      <c r="I1001" s="11">
        <f>IF($H1001="AUTO_OFERTA_TOTAL_PRODUTO_PERIODO",SUMIFS(Oferta!$F:$F,Oferta!$A:$A,$A1001,Oferta!$E:$E,$E1001),$F1001)</f>
        <v/>
      </c>
      <c r="J1001" s="6" t="inlineStr">
        <is>
          <t>Informado</t>
        </is>
      </c>
      <c r="K1001" s="6" t="inlineStr">
        <is>
          <t>Demanda doméstica fixa informada pelo usuário.</t>
        </is>
      </c>
    </row>
    <row r="1002">
      <c r="A1002" s="6" t="inlineStr">
        <is>
          <t>Milho</t>
        </is>
      </c>
      <c r="B1002" s="6" t="inlineStr">
        <is>
          <t>Manaus - AM</t>
        </is>
      </c>
      <c r="C1002" s="6" t="n">
        <v>-3.11866</v>
      </c>
      <c r="D1002" s="6" t="n">
        <v>-60.0212</v>
      </c>
      <c r="E1002" s="6" t="inlineStr">
        <is>
          <t>2024-05</t>
        </is>
      </c>
      <c r="F1002" s="6" t="n">
        <v>121327.5652589522</v>
      </c>
      <c r="G1002" s="6" t="inlineStr">
        <is>
          <t>DOMESTICA</t>
        </is>
      </c>
      <c r="H1002" s="6" t="inlineStr">
        <is>
          <t>FIXO</t>
        </is>
      </c>
      <c r="I1002" s="11">
        <f>IF($H1002="AUTO_OFERTA_TOTAL_PRODUTO_PERIODO",SUMIFS(Oferta!$F:$F,Oferta!$A:$A,$A1002,Oferta!$E:$E,$E1002),$F1002)</f>
        <v/>
      </c>
      <c r="J1002" s="6" t="inlineStr">
        <is>
          <t>Informado</t>
        </is>
      </c>
      <c r="K1002" s="6" t="inlineStr">
        <is>
          <t>Demanda doméstica fixa informada pelo usuário.</t>
        </is>
      </c>
    </row>
    <row r="1003">
      <c r="A1003" s="6" t="inlineStr">
        <is>
          <t>Milho</t>
        </is>
      </c>
      <c r="B1003" s="6" t="inlineStr">
        <is>
          <t>Manaus - AM</t>
        </is>
      </c>
      <c r="C1003" s="6" t="n">
        <v>-3.11866</v>
      </c>
      <c r="D1003" s="6" t="n">
        <v>-60.0212</v>
      </c>
      <c r="E1003" s="6" t="inlineStr">
        <is>
          <t>2024-06</t>
        </is>
      </c>
      <c r="F1003" s="6" t="n">
        <v>121327.5652589522</v>
      </c>
      <c r="G1003" s="6" t="inlineStr">
        <is>
          <t>DOMESTICA</t>
        </is>
      </c>
      <c r="H1003" s="6" t="inlineStr">
        <is>
          <t>FIXO</t>
        </is>
      </c>
      <c r="I1003" s="11">
        <f>IF($H1003="AUTO_OFERTA_TOTAL_PRODUTO_PERIODO",SUMIFS(Oferta!$F:$F,Oferta!$A:$A,$A1003,Oferta!$E:$E,$E1003),$F1003)</f>
        <v/>
      </c>
      <c r="J1003" s="6" t="inlineStr">
        <is>
          <t>Informado</t>
        </is>
      </c>
      <c r="K1003" s="6" t="inlineStr">
        <is>
          <t>Demanda doméstica fixa informada pelo usuário.</t>
        </is>
      </c>
    </row>
    <row r="1004">
      <c r="A1004" s="6" t="inlineStr">
        <is>
          <t>Milho</t>
        </is>
      </c>
      <c r="B1004" s="6" t="inlineStr">
        <is>
          <t>Manaus - AM</t>
        </is>
      </c>
      <c r="C1004" s="6" t="n">
        <v>-3.11866</v>
      </c>
      <c r="D1004" s="6" t="n">
        <v>-60.0212</v>
      </c>
      <c r="E1004" s="6" t="inlineStr">
        <is>
          <t>2024-07</t>
        </is>
      </c>
      <c r="F1004" s="6" t="n">
        <v>121327.5652589522</v>
      </c>
      <c r="G1004" s="6" t="inlineStr">
        <is>
          <t>DOMESTICA</t>
        </is>
      </c>
      <c r="H1004" s="6" t="inlineStr">
        <is>
          <t>FIXO</t>
        </is>
      </c>
      <c r="I1004" s="11">
        <f>IF($H1004="AUTO_OFERTA_TOTAL_PRODUTO_PERIODO",SUMIFS(Oferta!$F:$F,Oferta!$A:$A,$A1004,Oferta!$E:$E,$E1004),$F1004)</f>
        <v/>
      </c>
      <c r="J1004" s="6" t="inlineStr">
        <is>
          <t>Informado</t>
        </is>
      </c>
      <c r="K1004" s="6" t="inlineStr">
        <is>
          <t>Demanda doméstica fixa informada pelo usuário.</t>
        </is>
      </c>
    </row>
    <row r="1005">
      <c r="A1005" s="6" t="inlineStr">
        <is>
          <t>Milho</t>
        </is>
      </c>
      <c r="B1005" s="6" t="inlineStr">
        <is>
          <t>Manaus - AM</t>
        </is>
      </c>
      <c r="C1005" s="6" t="n">
        <v>-3.11866</v>
      </c>
      <c r="D1005" s="6" t="n">
        <v>-60.0212</v>
      </c>
      <c r="E1005" s="6" t="inlineStr">
        <is>
          <t>2024-08</t>
        </is>
      </c>
      <c r="F1005" s="6" t="n">
        <v>77540.1732857965</v>
      </c>
      <c r="G1005" s="6" t="inlineStr">
        <is>
          <t>DOMESTICA</t>
        </is>
      </c>
      <c r="H1005" s="6" t="inlineStr">
        <is>
          <t>FIXO</t>
        </is>
      </c>
      <c r="I1005" s="11">
        <f>IF($H1005="AUTO_OFERTA_TOTAL_PRODUTO_PERIODO",SUMIFS(Oferta!$F:$F,Oferta!$A:$A,$A1005,Oferta!$E:$E,$E1005),$F1005)</f>
        <v/>
      </c>
      <c r="J1005" s="6" t="inlineStr">
        <is>
          <t>Informado</t>
        </is>
      </c>
      <c r="K1005" s="6" t="inlineStr">
        <is>
          <t>Demanda doméstica fixa informada pelo usuário.</t>
        </is>
      </c>
    </row>
    <row r="1006">
      <c r="A1006" s="6" t="inlineStr">
        <is>
          <t>Milho</t>
        </is>
      </c>
      <c r="B1006" s="6" t="inlineStr">
        <is>
          <t>Manaus - AM</t>
        </is>
      </c>
      <c r="C1006" s="6" t="n">
        <v>-3.11866</v>
      </c>
      <c r="D1006" s="6" t="n">
        <v>-60.0212</v>
      </c>
      <c r="E1006" s="6" t="inlineStr">
        <is>
          <t>2024-09</t>
        </is>
      </c>
      <c r="F1006" s="6" t="n">
        <v>62944.3759614113</v>
      </c>
      <c r="G1006" s="6" t="inlineStr">
        <is>
          <t>DOMESTICA</t>
        </is>
      </c>
      <c r="H1006" s="6" t="inlineStr">
        <is>
          <t>FIXO</t>
        </is>
      </c>
      <c r="I1006" s="11">
        <f>IF($H1006="AUTO_OFERTA_TOTAL_PRODUTO_PERIODO",SUMIFS(Oferta!$F:$F,Oferta!$A:$A,$A1006,Oferta!$E:$E,$E1006),$F1006)</f>
        <v/>
      </c>
      <c r="J1006" s="6" t="inlineStr">
        <is>
          <t>Informado</t>
        </is>
      </c>
      <c r="K1006" s="6" t="inlineStr">
        <is>
          <t>Demanda doméstica fixa informada pelo usuário.</t>
        </is>
      </c>
    </row>
    <row r="1007">
      <c r="A1007" s="6" t="inlineStr">
        <is>
          <t>Milho</t>
        </is>
      </c>
      <c r="B1007" s="6" t="inlineStr">
        <is>
          <t>Manaus - AM</t>
        </is>
      </c>
      <c r="C1007" s="6" t="n">
        <v>-3.11866</v>
      </c>
      <c r="D1007" s="6" t="n">
        <v>-60.0212</v>
      </c>
      <c r="E1007" s="6" t="inlineStr">
        <is>
          <t>2024-10</t>
        </is>
      </c>
      <c r="F1007" s="6" t="n">
        <v>48348.578637026</v>
      </c>
      <c r="G1007" s="6" t="inlineStr">
        <is>
          <t>DOMESTICA</t>
        </is>
      </c>
      <c r="H1007" s="6" t="inlineStr">
        <is>
          <t>FIXO</t>
        </is>
      </c>
      <c r="I1007" s="11">
        <f>IF($H1007="AUTO_OFERTA_TOTAL_PRODUTO_PERIODO",SUMIFS(Oferta!$F:$F,Oferta!$A:$A,$A1007,Oferta!$E:$E,$E1007),$F1007)</f>
        <v/>
      </c>
      <c r="J1007" s="6" t="inlineStr">
        <is>
          <t>Informado</t>
        </is>
      </c>
      <c r="K1007" s="6" t="inlineStr">
        <is>
          <t>Demanda doméstica fixa informada pelo usuário.</t>
        </is>
      </c>
    </row>
    <row r="1008">
      <c r="A1008" s="6" t="inlineStr">
        <is>
          <t>Milho</t>
        </is>
      </c>
      <c r="B1008" s="6" t="inlineStr">
        <is>
          <t>Manaus - AM</t>
        </is>
      </c>
      <c r="C1008" s="6" t="n">
        <v>-3.11866</v>
      </c>
      <c r="D1008" s="6" t="n">
        <v>-60.0212</v>
      </c>
      <c r="E1008" s="6" t="inlineStr">
        <is>
          <t>2024-11</t>
        </is>
      </c>
      <c r="F1008" s="6" t="n">
        <v>48348.578637026</v>
      </c>
      <c r="G1008" s="6" t="inlineStr">
        <is>
          <t>DOMESTICA</t>
        </is>
      </c>
      <c r="H1008" s="6" t="inlineStr">
        <is>
          <t>FIXO</t>
        </is>
      </c>
      <c r="I1008" s="11">
        <f>IF($H1008="AUTO_OFERTA_TOTAL_PRODUTO_PERIODO",SUMIFS(Oferta!$F:$F,Oferta!$A:$A,$A1008,Oferta!$E:$E,$E1008),$F1008)</f>
        <v/>
      </c>
      <c r="J1008" s="6" t="inlineStr">
        <is>
          <t>Informado</t>
        </is>
      </c>
      <c r="K1008" s="6" t="inlineStr">
        <is>
          <t>Demanda doméstica fixa informada pelo usuário.</t>
        </is>
      </c>
    </row>
    <row r="1009">
      <c r="A1009" s="6" t="inlineStr">
        <is>
          <t>Milho</t>
        </is>
      </c>
      <c r="B1009" s="6" t="inlineStr">
        <is>
          <t>Manaus - AM</t>
        </is>
      </c>
      <c r="C1009" s="6" t="n">
        <v>-3.11866</v>
      </c>
      <c r="D1009" s="6" t="n">
        <v>-60.0212</v>
      </c>
      <c r="E1009" s="6" t="inlineStr">
        <is>
          <t>2024-12</t>
        </is>
      </c>
      <c r="F1009" s="6" t="n">
        <v>48348.578637026</v>
      </c>
      <c r="G1009" s="6" t="inlineStr">
        <is>
          <t>DOMESTICA</t>
        </is>
      </c>
      <c r="H1009" s="6" t="inlineStr">
        <is>
          <t>FIXO</t>
        </is>
      </c>
      <c r="I1009" s="11">
        <f>IF($H1009="AUTO_OFERTA_TOTAL_PRODUTO_PERIODO",SUMIFS(Oferta!$F:$F,Oferta!$A:$A,$A1009,Oferta!$E:$E,$E1009),$F1009)</f>
        <v/>
      </c>
      <c r="J1009" s="6" t="inlineStr">
        <is>
          <t>Informado</t>
        </is>
      </c>
      <c r="K1009" s="6" t="inlineStr">
        <is>
          <t>Demanda doméstica fixa informada pelo usuário.</t>
        </is>
      </c>
    </row>
    <row r="1010">
      <c r="A1010" s="6" t="inlineStr">
        <is>
          <t>Milho</t>
        </is>
      </c>
      <c r="B1010" s="6" t="inlineStr">
        <is>
          <t>Belém - PA</t>
        </is>
      </c>
      <c r="C1010" s="6" t="n">
        <v>-1.4554</v>
      </c>
      <c r="D1010" s="6" t="n">
        <v>-48.4898</v>
      </c>
      <c r="E1010" s="6" t="inlineStr">
        <is>
          <t>2024-01</t>
        </is>
      </c>
      <c r="F1010" s="6" t="n">
        <v>105507.3838625973</v>
      </c>
      <c r="G1010" s="6" t="inlineStr">
        <is>
          <t>DOMESTICA</t>
        </is>
      </c>
      <c r="H1010" s="6" t="inlineStr">
        <is>
          <t>FIXO</t>
        </is>
      </c>
      <c r="I1010" s="11">
        <f>IF($H1010="AUTO_OFERTA_TOTAL_PRODUTO_PERIODO",SUMIFS(Oferta!$F:$F,Oferta!$A:$A,$A1010,Oferta!$E:$E,$E1010),$F1010)</f>
        <v/>
      </c>
      <c r="J1010" s="6" t="inlineStr">
        <is>
          <t>Informado</t>
        </is>
      </c>
      <c r="K1010" s="6" t="inlineStr">
        <is>
          <t>Demanda doméstica fixa informada pelo usuário.</t>
        </is>
      </c>
    </row>
    <row r="1011">
      <c r="A1011" s="6" t="inlineStr">
        <is>
          <t>Milho</t>
        </is>
      </c>
      <c r="B1011" s="6" t="inlineStr">
        <is>
          <t>Belém - PA</t>
        </is>
      </c>
      <c r="C1011" s="6" t="n">
        <v>-1.4554</v>
      </c>
      <c r="D1011" s="6" t="n">
        <v>-48.4898</v>
      </c>
      <c r="E1011" s="6" t="inlineStr">
        <is>
          <t>2024-02</t>
        </is>
      </c>
      <c r="F1011" s="6" t="n">
        <v>85647.1704296378</v>
      </c>
      <c r="G1011" s="6" t="inlineStr">
        <is>
          <t>DOMESTICA</t>
        </is>
      </c>
      <c r="H1011" s="6" t="inlineStr">
        <is>
          <t>FIXO</t>
        </is>
      </c>
      <c r="I1011" s="11">
        <f>IF($H1011="AUTO_OFERTA_TOTAL_PRODUTO_PERIODO",SUMIFS(Oferta!$F:$F,Oferta!$A:$A,$A1011,Oferta!$E:$E,$E1011),$F1011)</f>
        <v/>
      </c>
      <c r="J1011" s="6" t="inlineStr">
        <is>
          <t>Informado</t>
        </is>
      </c>
      <c r="K1011" s="6" t="inlineStr">
        <is>
          <t>Demanda doméstica fixa informada pelo usuário.</t>
        </is>
      </c>
    </row>
    <row r="1012">
      <c r="A1012" s="6" t="inlineStr">
        <is>
          <t>Milho</t>
        </is>
      </c>
      <c r="B1012" s="6" t="inlineStr">
        <is>
          <t>Belém - PA</t>
        </is>
      </c>
      <c r="C1012" s="6" t="n">
        <v>-1.4554</v>
      </c>
      <c r="D1012" s="6" t="n">
        <v>-48.4898</v>
      </c>
      <c r="E1012" s="6" t="inlineStr">
        <is>
          <t>2024-03</t>
        </is>
      </c>
      <c r="F1012" s="6" t="n">
        <v>85647.1704296378</v>
      </c>
      <c r="G1012" s="6" t="inlineStr">
        <is>
          <t>DOMESTICA</t>
        </is>
      </c>
      <c r="H1012" s="6" t="inlineStr">
        <is>
          <t>FIXO</t>
        </is>
      </c>
      <c r="I1012" s="11">
        <f>IF($H1012="AUTO_OFERTA_TOTAL_PRODUTO_PERIODO",SUMIFS(Oferta!$F:$F,Oferta!$A:$A,$A1012,Oferta!$E:$E,$E1012),$F1012)</f>
        <v/>
      </c>
      <c r="J1012" s="6" t="inlineStr">
        <is>
          <t>Informado</t>
        </is>
      </c>
      <c r="K1012" s="6" t="inlineStr">
        <is>
          <t>Demanda doméstica fixa informada pelo usuário.</t>
        </is>
      </c>
    </row>
    <row r="1013">
      <c r="A1013" s="6" t="inlineStr">
        <is>
          <t>Milho</t>
        </is>
      </c>
      <c r="B1013" s="6" t="inlineStr">
        <is>
          <t>Belém - PA</t>
        </is>
      </c>
      <c r="C1013" s="6" t="n">
        <v>-1.4554</v>
      </c>
      <c r="D1013" s="6" t="n">
        <v>-48.4898</v>
      </c>
      <c r="E1013" s="6" t="inlineStr">
        <is>
          <t>2024-04</t>
        </is>
      </c>
      <c r="F1013" s="6" t="n">
        <v>105507.3838625973</v>
      </c>
      <c r="G1013" s="6" t="inlineStr">
        <is>
          <t>DOMESTICA</t>
        </is>
      </c>
      <c r="H1013" s="6" t="inlineStr">
        <is>
          <t>FIXO</t>
        </is>
      </c>
      <c r="I1013" s="11">
        <f>IF($H1013="AUTO_OFERTA_TOTAL_PRODUTO_PERIODO",SUMIFS(Oferta!$F:$F,Oferta!$A:$A,$A1013,Oferta!$E:$E,$E1013),$F1013)</f>
        <v/>
      </c>
      <c r="J1013" s="6" t="inlineStr">
        <is>
          <t>Informado</t>
        </is>
      </c>
      <c r="K1013" s="6" t="inlineStr">
        <is>
          <t>Demanda doméstica fixa informada pelo usuário.</t>
        </is>
      </c>
    </row>
    <row r="1014">
      <c r="A1014" s="6" t="inlineStr">
        <is>
          <t>Milho</t>
        </is>
      </c>
      <c r="B1014" s="6" t="inlineStr">
        <is>
          <t>Belém - PA</t>
        </is>
      </c>
      <c r="C1014" s="6" t="n">
        <v>-1.4554</v>
      </c>
      <c r="D1014" s="6" t="n">
        <v>-48.4898</v>
      </c>
      <c r="E1014" s="6" t="inlineStr">
        <is>
          <t>2024-05</t>
        </is>
      </c>
      <c r="F1014" s="6" t="n">
        <v>145227.8107285163</v>
      </c>
      <c r="G1014" s="6" t="inlineStr">
        <is>
          <t>DOMESTICA</t>
        </is>
      </c>
      <c r="H1014" s="6" t="inlineStr">
        <is>
          <t>FIXO</t>
        </is>
      </c>
      <c r="I1014" s="11">
        <f>IF($H1014="AUTO_OFERTA_TOTAL_PRODUTO_PERIODO",SUMIFS(Oferta!$F:$F,Oferta!$A:$A,$A1014,Oferta!$E:$E,$E1014),$F1014)</f>
        <v/>
      </c>
      <c r="J1014" s="6" t="inlineStr">
        <is>
          <t>Informado</t>
        </is>
      </c>
      <c r="K1014" s="6" t="inlineStr">
        <is>
          <t>Demanda doméstica fixa informada pelo usuário.</t>
        </is>
      </c>
    </row>
    <row r="1015">
      <c r="A1015" s="6" t="inlineStr">
        <is>
          <t>Milho</t>
        </is>
      </c>
      <c r="B1015" s="6" t="inlineStr">
        <is>
          <t>Belém - PA</t>
        </is>
      </c>
      <c r="C1015" s="6" t="n">
        <v>-1.4554</v>
      </c>
      <c r="D1015" s="6" t="n">
        <v>-48.4898</v>
      </c>
      <c r="E1015" s="6" t="inlineStr">
        <is>
          <t>2024-06</t>
        </is>
      </c>
      <c r="F1015" s="6" t="n">
        <v>224668.6644603543</v>
      </c>
      <c r="G1015" s="6" t="inlineStr">
        <is>
          <t>DOMESTICA</t>
        </is>
      </c>
      <c r="H1015" s="6" t="inlineStr">
        <is>
          <t>FIXO</t>
        </is>
      </c>
      <c r="I1015" s="11">
        <f>IF($H1015="AUTO_OFERTA_TOTAL_PRODUTO_PERIODO",SUMIFS(Oferta!$F:$F,Oferta!$A:$A,$A1015,Oferta!$E:$E,$E1015),$F1015)</f>
        <v/>
      </c>
      <c r="J1015" s="6" t="inlineStr">
        <is>
          <t>Informado</t>
        </is>
      </c>
      <c r="K1015" s="6" t="inlineStr">
        <is>
          <t>Demanda doméstica fixa informada pelo usuário.</t>
        </is>
      </c>
    </row>
    <row r="1016">
      <c r="A1016" s="6" t="inlineStr">
        <is>
          <t>Milho</t>
        </is>
      </c>
      <c r="B1016" s="6" t="inlineStr">
        <is>
          <t>Belém - PA</t>
        </is>
      </c>
      <c r="C1016" s="6" t="n">
        <v>-1.4554</v>
      </c>
      <c r="D1016" s="6" t="n">
        <v>-48.4898</v>
      </c>
      <c r="E1016" s="6" t="inlineStr">
        <is>
          <t>2024-07</t>
        </is>
      </c>
      <c r="F1016" s="6" t="n">
        <v>244528.8778933138</v>
      </c>
      <c r="G1016" s="6" t="inlineStr">
        <is>
          <t>DOMESTICA</t>
        </is>
      </c>
      <c r="H1016" s="6" t="inlineStr">
        <is>
          <t>FIXO</t>
        </is>
      </c>
      <c r="I1016" s="11">
        <f>IF($H1016="AUTO_OFERTA_TOTAL_PRODUTO_PERIODO",SUMIFS(Oferta!$F:$F,Oferta!$A:$A,$A1016,Oferta!$E:$E,$E1016),$F1016)</f>
        <v/>
      </c>
      <c r="J1016" s="6" t="inlineStr">
        <is>
          <t>Informado</t>
        </is>
      </c>
      <c r="K1016" s="6" t="inlineStr">
        <is>
          <t>Demanda doméstica fixa informada pelo usuário.</t>
        </is>
      </c>
    </row>
    <row r="1017">
      <c r="A1017" s="6" t="inlineStr">
        <is>
          <t>Milho</t>
        </is>
      </c>
      <c r="B1017" s="6" t="inlineStr">
        <is>
          <t>Belém - PA</t>
        </is>
      </c>
      <c r="C1017" s="6" t="n">
        <v>-1.4554</v>
      </c>
      <c r="D1017" s="6" t="n">
        <v>-48.4898</v>
      </c>
      <c r="E1017" s="6" t="inlineStr">
        <is>
          <t>2024-08</t>
        </is>
      </c>
      <c r="F1017" s="6" t="n">
        <v>224668.6644603544</v>
      </c>
      <c r="G1017" s="6" t="inlineStr">
        <is>
          <t>DOMESTICA</t>
        </is>
      </c>
      <c r="H1017" s="6" t="inlineStr">
        <is>
          <t>FIXO</t>
        </is>
      </c>
      <c r="I1017" s="11">
        <f>IF($H1017="AUTO_OFERTA_TOTAL_PRODUTO_PERIODO",SUMIFS(Oferta!$F:$F,Oferta!$A:$A,$A1017,Oferta!$E:$E,$E1017),$F1017)</f>
        <v/>
      </c>
      <c r="J1017" s="6" t="inlineStr">
        <is>
          <t>Informado</t>
        </is>
      </c>
      <c r="K1017" s="6" t="inlineStr">
        <is>
          <t>Demanda doméstica fixa informada pelo usuário.</t>
        </is>
      </c>
    </row>
    <row r="1018">
      <c r="A1018" s="6" t="inlineStr">
        <is>
          <t>Milho</t>
        </is>
      </c>
      <c r="B1018" s="6" t="inlineStr">
        <is>
          <t>Belém - PA</t>
        </is>
      </c>
      <c r="C1018" s="6" t="n">
        <v>-1.4554</v>
      </c>
      <c r="D1018" s="6" t="n">
        <v>-48.4898</v>
      </c>
      <c r="E1018" s="6" t="inlineStr">
        <is>
          <t>2024-09</t>
        </is>
      </c>
      <c r="F1018" s="6" t="n">
        <v>145227.8107285163</v>
      </c>
      <c r="G1018" s="6" t="inlineStr">
        <is>
          <t>DOMESTICA</t>
        </is>
      </c>
      <c r="H1018" s="6" t="inlineStr">
        <is>
          <t>FIXO</t>
        </is>
      </c>
      <c r="I1018" s="11">
        <f>IF($H1018="AUTO_OFERTA_TOTAL_PRODUTO_PERIODO",SUMIFS(Oferta!$F:$F,Oferta!$A:$A,$A1018,Oferta!$E:$E,$E1018),$F1018)</f>
        <v/>
      </c>
      <c r="J1018" s="6" t="inlineStr">
        <is>
          <t>Informado</t>
        </is>
      </c>
      <c r="K1018" s="6" t="inlineStr">
        <is>
          <t>Demanda doméstica fixa informada pelo usuário.</t>
        </is>
      </c>
    </row>
    <row r="1019">
      <c r="A1019" s="6" t="inlineStr">
        <is>
          <t>Milho</t>
        </is>
      </c>
      <c r="B1019" s="6" t="inlineStr">
        <is>
          <t>Belém - PA</t>
        </is>
      </c>
      <c r="C1019" s="6" t="n">
        <v>-1.4554</v>
      </c>
      <c r="D1019" s="6" t="n">
        <v>-48.4898</v>
      </c>
      <c r="E1019" s="6" t="inlineStr">
        <is>
          <t>2024-10</t>
        </is>
      </c>
      <c r="F1019" s="6" t="n">
        <v>125367.5972955568</v>
      </c>
      <c r="G1019" s="6" t="inlineStr">
        <is>
          <t>DOMESTICA</t>
        </is>
      </c>
      <c r="H1019" s="6" t="inlineStr">
        <is>
          <t>FIXO</t>
        </is>
      </c>
      <c r="I1019" s="11">
        <f>IF($H1019="AUTO_OFERTA_TOTAL_PRODUTO_PERIODO",SUMIFS(Oferta!$F:$F,Oferta!$A:$A,$A1019,Oferta!$E:$E,$E1019),$F1019)</f>
        <v/>
      </c>
      <c r="J1019" s="6" t="inlineStr">
        <is>
          <t>Informado</t>
        </is>
      </c>
      <c r="K1019" s="6" t="inlineStr">
        <is>
          <t>Demanda doméstica fixa informada pelo usuário.</t>
        </is>
      </c>
    </row>
    <row r="1020">
      <c r="A1020" s="6" t="inlineStr">
        <is>
          <t>Milho</t>
        </is>
      </c>
      <c r="B1020" s="6" t="inlineStr">
        <is>
          <t>Belém - PA</t>
        </is>
      </c>
      <c r="C1020" s="6" t="n">
        <v>-1.4554</v>
      </c>
      <c r="D1020" s="6" t="n">
        <v>-48.4898</v>
      </c>
      <c r="E1020" s="6" t="inlineStr">
        <is>
          <t>2024-11</t>
        </is>
      </c>
      <c r="F1020" s="6" t="n">
        <v>125367.5972955568</v>
      </c>
      <c r="G1020" s="6" t="inlineStr">
        <is>
          <t>DOMESTICA</t>
        </is>
      </c>
      <c r="H1020" s="6" t="inlineStr">
        <is>
          <t>FIXO</t>
        </is>
      </c>
      <c r="I1020" s="11">
        <f>IF($H1020="AUTO_OFERTA_TOTAL_PRODUTO_PERIODO",SUMIFS(Oferta!$F:$F,Oferta!$A:$A,$A1020,Oferta!$E:$E,$E1020),$F1020)</f>
        <v/>
      </c>
      <c r="J1020" s="6" t="inlineStr">
        <is>
          <t>Informado</t>
        </is>
      </c>
      <c r="K1020" s="6" t="inlineStr">
        <is>
          <t>Demanda doméstica fixa informada pelo usuário.</t>
        </is>
      </c>
    </row>
    <row r="1021">
      <c r="A1021" s="6" t="inlineStr">
        <is>
          <t>Milho</t>
        </is>
      </c>
      <c r="B1021" s="6" t="inlineStr">
        <is>
          <t>Belém - PA</t>
        </is>
      </c>
      <c r="C1021" s="6" t="n">
        <v>-1.4554</v>
      </c>
      <c r="D1021" s="6" t="n">
        <v>-48.4898</v>
      </c>
      <c r="E1021" s="6" t="inlineStr">
        <is>
          <t>2024-12</t>
        </is>
      </c>
      <c r="F1021" s="6" t="n">
        <v>125367.5972955568</v>
      </c>
      <c r="G1021" s="6" t="inlineStr">
        <is>
          <t>DOMESTICA</t>
        </is>
      </c>
      <c r="H1021" s="6" t="inlineStr">
        <is>
          <t>FIXO</t>
        </is>
      </c>
      <c r="I1021" s="11">
        <f>IF($H1021="AUTO_OFERTA_TOTAL_PRODUTO_PERIODO",SUMIFS(Oferta!$F:$F,Oferta!$A:$A,$A1021,Oferta!$E:$E,$E1021),$F1021)</f>
        <v/>
      </c>
      <c r="J1021" s="6" t="inlineStr">
        <is>
          <t>Informado</t>
        </is>
      </c>
      <c r="K1021" s="6" t="inlineStr">
        <is>
          <t>Demanda doméstica fixa informada pelo usuário.</t>
        </is>
      </c>
    </row>
    <row r="1022">
      <c r="A1022" s="6" t="inlineStr">
        <is>
          <t>Milho</t>
        </is>
      </c>
      <c r="B1022" s="6" t="inlineStr">
        <is>
          <t>Porto Velho - RO</t>
        </is>
      </c>
      <c r="C1022" s="6" t="n">
        <v>-8.760770000000001</v>
      </c>
      <c r="D1022" s="6" t="n">
        <v>-63.8999</v>
      </c>
      <c r="E1022" s="6" t="inlineStr">
        <is>
          <t>2024-01</t>
        </is>
      </c>
      <c r="F1022" s="6" t="n">
        <v>36897.1471776691</v>
      </c>
      <c r="G1022" s="6" t="inlineStr">
        <is>
          <t>DOMESTICA</t>
        </is>
      </c>
      <c r="H1022" s="6" t="inlineStr">
        <is>
          <t>FIXO</t>
        </is>
      </c>
      <c r="I1022" s="11">
        <f>IF($H1022="AUTO_OFERTA_TOTAL_PRODUTO_PERIODO",SUMIFS(Oferta!$F:$F,Oferta!$A:$A,$A1022,Oferta!$E:$E,$E1022),$F1022)</f>
        <v/>
      </c>
      <c r="J1022" s="6" t="inlineStr">
        <is>
          <t>Informado</t>
        </is>
      </c>
      <c r="K1022" s="6" t="inlineStr">
        <is>
          <t>Demanda doméstica fixa informada pelo usuário.</t>
        </is>
      </c>
    </row>
    <row r="1023">
      <c r="A1023" s="6" t="inlineStr">
        <is>
          <t>Milho</t>
        </is>
      </c>
      <c r="B1023" s="6" t="inlineStr">
        <is>
          <t>Porto Velho - RO</t>
        </is>
      </c>
      <c r="C1023" s="6" t="n">
        <v>-8.760770000000001</v>
      </c>
      <c r="D1023" s="6" t="n">
        <v>-63.8999</v>
      </c>
      <c r="E1023" s="6" t="inlineStr">
        <is>
          <t>2024-02</t>
        </is>
      </c>
      <c r="F1023" s="6" t="n">
        <v>40730.6170143101</v>
      </c>
      <c r="G1023" s="6" t="inlineStr">
        <is>
          <t>DOMESTICA</t>
        </is>
      </c>
      <c r="H1023" s="6" t="inlineStr">
        <is>
          <t>FIXO</t>
        </is>
      </c>
      <c r="I1023" s="11">
        <f>IF($H1023="AUTO_OFERTA_TOTAL_PRODUTO_PERIODO",SUMIFS(Oferta!$F:$F,Oferta!$A:$A,$A1023,Oferta!$E:$E,$E1023),$F1023)</f>
        <v/>
      </c>
      <c r="J1023" s="6" t="inlineStr">
        <is>
          <t>Informado</t>
        </is>
      </c>
      <c r="K1023" s="6" t="inlineStr">
        <is>
          <t>Demanda doméstica fixa informada pelo usuário.</t>
        </is>
      </c>
    </row>
    <row r="1024">
      <c r="A1024" s="6" t="inlineStr">
        <is>
          <t>Milho</t>
        </is>
      </c>
      <c r="B1024" s="6" t="inlineStr">
        <is>
          <t>Porto Velho - RO</t>
        </is>
      </c>
      <c r="C1024" s="6" t="n">
        <v>-8.760770000000001</v>
      </c>
      <c r="D1024" s="6" t="n">
        <v>-63.8999</v>
      </c>
      <c r="E1024" s="6" t="inlineStr">
        <is>
          <t>2024-03</t>
        </is>
      </c>
      <c r="F1024" s="6" t="n">
        <v>63731.4360341557</v>
      </c>
      <c r="G1024" s="6" t="inlineStr">
        <is>
          <t>DOMESTICA</t>
        </is>
      </c>
      <c r="H1024" s="6" t="inlineStr">
        <is>
          <t>FIXO</t>
        </is>
      </c>
      <c r="I1024" s="11">
        <f>IF($H1024="AUTO_OFERTA_TOTAL_PRODUTO_PERIODO",SUMIFS(Oferta!$F:$F,Oferta!$A:$A,$A1024,Oferta!$E:$E,$E1024),$F1024)</f>
        <v/>
      </c>
      <c r="J1024" s="6" t="inlineStr">
        <is>
          <t>Informado</t>
        </is>
      </c>
      <c r="K1024" s="6" t="inlineStr">
        <is>
          <t>Demanda doméstica fixa informada pelo usuário.</t>
        </is>
      </c>
    </row>
    <row r="1025">
      <c r="A1025" s="6" t="inlineStr">
        <is>
          <t>Milho</t>
        </is>
      </c>
      <c r="B1025" s="6" t="inlineStr">
        <is>
          <t>Porto Velho - RO</t>
        </is>
      </c>
      <c r="C1025" s="6" t="n">
        <v>-8.760770000000001</v>
      </c>
      <c r="D1025" s="6" t="n">
        <v>-63.8999</v>
      </c>
      <c r="E1025" s="6" t="inlineStr">
        <is>
          <t>2024-04</t>
        </is>
      </c>
      <c r="F1025" s="6" t="n">
        <v>63731.4360341557</v>
      </c>
      <c r="G1025" s="6" t="inlineStr">
        <is>
          <t>DOMESTICA</t>
        </is>
      </c>
      <c r="H1025" s="6" t="inlineStr">
        <is>
          <t>FIXO</t>
        </is>
      </c>
      <c r="I1025" s="11">
        <f>IF($H1025="AUTO_OFERTA_TOTAL_PRODUTO_PERIODO",SUMIFS(Oferta!$F:$F,Oferta!$A:$A,$A1025,Oferta!$E:$E,$E1025),$F1025)</f>
        <v/>
      </c>
      <c r="J1025" s="6" t="inlineStr">
        <is>
          <t>Informado</t>
        </is>
      </c>
      <c r="K1025" s="6" t="inlineStr">
        <is>
          <t>Demanda doméstica fixa informada pelo usuário.</t>
        </is>
      </c>
    </row>
    <row r="1026">
      <c r="A1026" s="6" t="inlineStr">
        <is>
          <t>Milho</t>
        </is>
      </c>
      <c r="B1026" s="6" t="inlineStr">
        <is>
          <t>Porto Velho - RO</t>
        </is>
      </c>
      <c r="C1026" s="6" t="n">
        <v>-8.760770000000001</v>
      </c>
      <c r="D1026" s="6" t="n">
        <v>-63.8999</v>
      </c>
      <c r="E1026" s="6" t="inlineStr">
        <is>
          <t>2024-05</t>
        </is>
      </c>
      <c r="F1026" s="6" t="n">
        <v>63731.4360341557</v>
      </c>
      <c r="G1026" s="6" t="inlineStr">
        <is>
          <t>DOMESTICA</t>
        </is>
      </c>
      <c r="H1026" s="6" t="inlineStr">
        <is>
          <t>FIXO</t>
        </is>
      </c>
      <c r="I1026" s="11">
        <f>IF($H1026="AUTO_OFERTA_TOTAL_PRODUTO_PERIODO",SUMIFS(Oferta!$F:$F,Oferta!$A:$A,$A1026,Oferta!$E:$E,$E1026),$F1026)</f>
        <v/>
      </c>
      <c r="J1026" s="6" t="inlineStr">
        <is>
          <t>Informado</t>
        </is>
      </c>
      <c r="K1026" s="6" t="inlineStr">
        <is>
          <t>Demanda doméstica fixa informada pelo usuário.</t>
        </is>
      </c>
    </row>
    <row r="1027">
      <c r="A1027" s="6" t="inlineStr">
        <is>
          <t>Milho</t>
        </is>
      </c>
      <c r="B1027" s="6" t="inlineStr">
        <is>
          <t>Porto Velho - RO</t>
        </is>
      </c>
      <c r="C1027" s="6" t="n">
        <v>-8.760770000000001</v>
      </c>
      <c r="D1027" s="6" t="n">
        <v>-63.8999</v>
      </c>
      <c r="E1027" s="6" t="inlineStr">
        <is>
          <t>2024-06</t>
        </is>
      </c>
      <c r="F1027" s="6" t="n">
        <v>44564.086850951</v>
      </c>
      <c r="G1027" s="6" t="inlineStr">
        <is>
          <t>DOMESTICA</t>
        </is>
      </c>
      <c r="H1027" s="6" t="inlineStr">
        <is>
          <t>FIXO</t>
        </is>
      </c>
      <c r="I1027" s="11">
        <f>IF($H1027="AUTO_OFERTA_TOTAL_PRODUTO_PERIODO",SUMIFS(Oferta!$F:$F,Oferta!$A:$A,$A1027,Oferta!$E:$E,$E1027),$F1027)</f>
        <v/>
      </c>
      <c r="J1027" s="6" t="inlineStr">
        <is>
          <t>Informado</t>
        </is>
      </c>
      <c r="K1027" s="6" t="inlineStr">
        <is>
          <t>Demanda doméstica fixa informada pelo usuário.</t>
        </is>
      </c>
    </row>
    <row r="1028">
      <c r="A1028" s="6" t="inlineStr">
        <is>
          <t>Milho</t>
        </is>
      </c>
      <c r="B1028" s="6" t="inlineStr">
        <is>
          <t>Porto Velho - RO</t>
        </is>
      </c>
      <c r="C1028" s="6" t="n">
        <v>-8.760770000000001</v>
      </c>
      <c r="D1028" s="6" t="n">
        <v>-63.8999</v>
      </c>
      <c r="E1028" s="6" t="inlineStr">
        <is>
          <t>2024-07</t>
        </is>
      </c>
      <c r="F1028" s="6" t="n">
        <v>44564.086850951</v>
      </c>
      <c r="G1028" s="6" t="inlineStr">
        <is>
          <t>DOMESTICA</t>
        </is>
      </c>
      <c r="H1028" s="6" t="inlineStr">
        <is>
          <t>FIXO</t>
        </is>
      </c>
      <c r="I1028" s="11">
        <f>IF($H1028="AUTO_OFERTA_TOTAL_PRODUTO_PERIODO",SUMIFS(Oferta!$F:$F,Oferta!$A:$A,$A1028,Oferta!$E:$E,$E1028),$F1028)</f>
        <v/>
      </c>
      <c r="J1028" s="6" t="inlineStr">
        <is>
          <t>Informado</t>
        </is>
      </c>
      <c r="K1028" s="6" t="inlineStr">
        <is>
          <t>Demanda doméstica fixa informada pelo usuário.</t>
        </is>
      </c>
    </row>
    <row r="1029">
      <c r="A1029" s="6" t="inlineStr">
        <is>
          <t>Milho</t>
        </is>
      </c>
      <c r="B1029" s="6" t="inlineStr">
        <is>
          <t>Porto Velho - RO</t>
        </is>
      </c>
      <c r="C1029" s="6" t="n">
        <v>-8.760770000000001</v>
      </c>
      <c r="D1029" s="6" t="n">
        <v>-63.8999</v>
      </c>
      <c r="E1029" s="6" t="inlineStr">
        <is>
          <t>2024-08</t>
        </is>
      </c>
      <c r="F1029" s="6" t="n">
        <v>52231.0265242329</v>
      </c>
      <c r="G1029" s="6" t="inlineStr">
        <is>
          <t>DOMESTICA</t>
        </is>
      </c>
      <c r="H1029" s="6" t="inlineStr">
        <is>
          <t>FIXO</t>
        </is>
      </c>
      <c r="I1029" s="11">
        <f>IF($H1029="AUTO_OFERTA_TOTAL_PRODUTO_PERIODO",SUMIFS(Oferta!$F:$F,Oferta!$A:$A,$A1029,Oferta!$E:$E,$E1029),$F1029)</f>
        <v/>
      </c>
      <c r="J1029" s="6" t="inlineStr">
        <is>
          <t>Informado</t>
        </is>
      </c>
      <c r="K1029" s="6" t="inlineStr">
        <is>
          <t>Demanda doméstica fixa informada pelo usuário.</t>
        </is>
      </c>
    </row>
    <row r="1030">
      <c r="A1030" s="6" t="inlineStr">
        <is>
          <t>Milho</t>
        </is>
      </c>
      <c r="B1030" s="6" t="inlineStr">
        <is>
          <t>Porto Velho - RO</t>
        </is>
      </c>
      <c r="C1030" s="6" t="n">
        <v>-8.760770000000001</v>
      </c>
      <c r="D1030" s="6" t="n">
        <v>-63.8999</v>
      </c>
      <c r="E1030" s="6" t="inlineStr">
        <is>
          <t>2024-09</t>
        </is>
      </c>
      <c r="F1030" s="6" t="n">
        <v>63731.4360341557</v>
      </c>
      <c r="G1030" s="6" t="inlineStr">
        <is>
          <t>DOMESTICA</t>
        </is>
      </c>
      <c r="H1030" s="6" t="inlineStr">
        <is>
          <t>FIXO</t>
        </is>
      </c>
      <c r="I1030" s="11">
        <f>IF($H1030="AUTO_OFERTA_TOTAL_PRODUTO_PERIODO",SUMIFS(Oferta!$F:$F,Oferta!$A:$A,$A1030,Oferta!$E:$E,$E1030),$F1030)</f>
        <v/>
      </c>
      <c r="J1030" s="6" t="inlineStr">
        <is>
          <t>Informado</t>
        </is>
      </c>
      <c r="K1030" s="6" t="inlineStr">
        <is>
          <t>Demanda doméstica fixa informada pelo usuário.</t>
        </is>
      </c>
    </row>
    <row r="1031">
      <c r="A1031" s="6" t="inlineStr">
        <is>
          <t>Milho</t>
        </is>
      </c>
      <c r="B1031" s="6" t="inlineStr">
        <is>
          <t>Porto Velho - RO</t>
        </is>
      </c>
      <c r="C1031" s="6" t="n">
        <v>-8.760770000000001</v>
      </c>
      <c r="D1031" s="6" t="n">
        <v>-63.8999</v>
      </c>
      <c r="E1031" s="6" t="inlineStr">
        <is>
          <t>2024-10</t>
        </is>
      </c>
      <c r="F1031" s="6" t="n">
        <v>63731.4360341557</v>
      </c>
      <c r="G1031" s="6" t="inlineStr">
        <is>
          <t>DOMESTICA</t>
        </is>
      </c>
      <c r="H1031" s="6" t="inlineStr">
        <is>
          <t>FIXO</t>
        </is>
      </c>
      <c r="I1031" s="11">
        <f>IF($H1031="AUTO_OFERTA_TOTAL_PRODUTO_PERIODO",SUMIFS(Oferta!$F:$F,Oferta!$A:$A,$A1031,Oferta!$E:$E,$E1031),$F1031)</f>
        <v/>
      </c>
      <c r="J1031" s="6" t="inlineStr">
        <is>
          <t>Informado</t>
        </is>
      </c>
      <c r="K1031" s="6" t="inlineStr">
        <is>
          <t>Demanda doméstica fixa informada pelo usuário.</t>
        </is>
      </c>
    </row>
    <row r="1032">
      <c r="A1032" s="6" t="inlineStr">
        <is>
          <t>Milho</t>
        </is>
      </c>
      <c r="B1032" s="6" t="inlineStr">
        <is>
          <t>Porto Velho - RO</t>
        </is>
      </c>
      <c r="C1032" s="6" t="n">
        <v>-8.760770000000001</v>
      </c>
      <c r="D1032" s="6" t="n">
        <v>-63.8999</v>
      </c>
      <c r="E1032" s="6" t="inlineStr">
        <is>
          <t>2024-11</t>
        </is>
      </c>
      <c r="F1032" s="6" t="n">
        <v>52231.0265242329</v>
      </c>
      <c r="G1032" s="6" t="inlineStr">
        <is>
          <t>DOMESTICA</t>
        </is>
      </c>
      <c r="H1032" s="6" t="inlineStr">
        <is>
          <t>FIXO</t>
        </is>
      </c>
      <c r="I1032" s="11">
        <f>IF($H1032="AUTO_OFERTA_TOTAL_PRODUTO_PERIODO",SUMIFS(Oferta!$F:$F,Oferta!$A:$A,$A1032,Oferta!$E:$E,$E1032),$F1032)</f>
        <v/>
      </c>
      <c r="J1032" s="6" t="inlineStr">
        <is>
          <t>Informado</t>
        </is>
      </c>
      <c r="K1032" s="6" t="inlineStr">
        <is>
          <t>Demanda doméstica fixa informada pelo usuário.</t>
        </is>
      </c>
    </row>
    <row r="1033">
      <c r="A1033" s="6" t="inlineStr">
        <is>
          <t>Milho</t>
        </is>
      </c>
      <c r="B1033" s="6" t="inlineStr">
        <is>
          <t>Porto Velho - RO</t>
        </is>
      </c>
      <c r="C1033" s="6" t="n">
        <v>-8.760770000000001</v>
      </c>
      <c r="D1033" s="6" t="n">
        <v>-63.8999</v>
      </c>
      <c r="E1033" s="6" t="inlineStr">
        <is>
          <t>2024-12</t>
        </is>
      </c>
      <c r="F1033" s="6" t="n">
        <v>36897.1471776691</v>
      </c>
      <c r="G1033" s="6" t="inlineStr">
        <is>
          <t>DOMESTICA</t>
        </is>
      </c>
      <c r="H1033" s="6" t="inlineStr">
        <is>
          <t>FIXO</t>
        </is>
      </c>
      <c r="I1033" s="11">
        <f>IF($H1033="AUTO_OFERTA_TOTAL_PRODUTO_PERIODO",SUMIFS(Oferta!$F:$F,Oferta!$A:$A,$A1033,Oferta!$E:$E,$E1033),$F1033)</f>
        <v/>
      </c>
      <c r="J1033" s="6" t="inlineStr">
        <is>
          <t>Informado</t>
        </is>
      </c>
      <c r="K1033" s="6" t="inlineStr">
        <is>
          <t>Demanda doméstica fixa informada pelo usuário.</t>
        </is>
      </c>
    </row>
    <row r="1034">
      <c r="A1034" s="6" t="inlineStr">
        <is>
          <t>Milho</t>
        </is>
      </c>
      <c r="B1034" s="6" t="inlineStr">
        <is>
          <t>Boa Vista - RR</t>
        </is>
      </c>
      <c r="C1034" s="6" t="n">
        <v>2.82384</v>
      </c>
      <c r="D1034" s="6" t="n">
        <v>-60.6753</v>
      </c>
      <c r="E1034" s="6" t="inlineStr">
        <is>
          <t>2024-01</t>
        </is>
      </c>
      <c r="F1034" s="6" t="n">
        <v>8547.6872733907</v>
      </c>
      <c r="G1034" s="6" t="inlineStr">
        <is>
          <t>DOMESTICA</t>
        </is>
      </c>
      <c r="H1034" s="6" t="inlineStr">
        <is>
          <t>FIXO</t>
        </is>
      </c>
      <c r="I1034" s="11">
        <f>IF($H1034="AUTO_OFERTA_TOTAL_PRODUTO_PERIODO",SUMIFS(Oferta!$F:$F,Oferta!$A:$A,$A1034,Oferta!$E:$E,$E1034),$F1034)</f>
        <v/>
      </c>
      <c r="J1034" s="6" t="inlineStr">
        <is>
          <t>Informado</t>
        </is>
      </c>
      <c r="K1034" s="6" t="inlineStr">
        <is>
          <t>Demanda doméstica fixa informada pelo usuário.</t>
        </is>
      </c>
    </row>
    <row r="1035">
      <c r="A1035" s="6" t="inlineStr">
        <is>
          <t>Milho</t>
        </is>
      </c>
      <c r="B1035" s="6" t="inlineStr">
        <is>
          <t>Boa Vista - RR</t>
        </is>
      </c>
      <c r="C1035" s="6" t="n">
        <v>2.82384</v>
      </c>
      <c r="D1035" s="6" t="n">
        <v>-60.6753</v>
      </c>
      <c r="E1035" s="6" t="inlineStr">
        <is>
          <t>2024-02</t>
        </is>
      </c>
      <c r="F1035" s="6" t="n">
        <v>5462.8076559264</v>
      </c>
      <c r="G1035" s="6" t="inlineStr">
        <is>
          <t>DOMESTICA</t>
        </is>
      </c>
      <c r="H1035" s="6" t="inlineStr">
        <is>
          <t>FIXO</t>
        </is>
      </c>
      <c r="I1035" s="11">
        <f>IF($H1035="AUTO_OFERTA_TOTAL_PRODUTO_PERIODO",SUMIFS(Oferta!$F:$F,Oferta!$A:$A,$A1035,Oferta!$E:$E,$E1035),$F1035)</f>
        <v/>
      </c>
      <c r="J1035" s="6" t="inlineStr">
        <is>
          <t>Informado</t>
        </is>
      </c>
      <c r="K1035" s="6" t="inlineStr">
        <is>
          <t>Demanda doméstica fixa informada pelo usuário.</t>
        </is>
      </c>
    </row>
    <row r="1036">
      <c r="A1036" s="6" t="inlineStr">
        <is>
          <t>Milho</t>
        </is>
      </c>
      <c r="B1036" s="6" t="inlineStr">
        <is>
          <t>Boa Vista - RR</t>
        </is>
      </c>
      <c r="C1036" s="6" t="n">
        <v>2.82384</v>
      </c>
      <c r="D1036" s="6" t="n">
        <v>-60.6753</v>
      </c>
      <c r="E1036" s="6" t="inlineStr">
        <is>
          <t>2024-03</t>
        </is>
      </c>
      <c r="F1036" s="6" t="n">
        <v>4434.5144501049</v>
      </c>
      <c r="G1036" s="6" t="inlineStr">
        <is>
          <t>DOMESTICA</t>
        </is>
      </c>
      <c r="H1036" s="6" t="inlineStr">
        <is>
          <t>FIXO</t>
        </is>
      </c>
      <c r="I1036" s="11">
        <f>IF($H1036="AUTO_OFERTA_TOTAL_PRODUTO_PERIODO",SUMIFS(Oferta!$F:$F,Oferta!$A:$A,$A1036,Oferta!$E:$E,$E1036),$F1036)</f>
        <v/>
      </c>
      <c r="J1036" s="6" t="inlineStr">
        <is>
          <t>Informado</t>
        </is>
      </c>
      <c r="K1036" s="6" t="inlineStr">
        <is>
          <t>Demanda doméstica fixa informada pelo usuário.</t>
        </is>
      </c>
    </row>
    <row r="1037">
      <c r="A1037" s="6" t="inlineStr">
        <is>
          <t>Milho</t>
        </is>
      </c>
      <c r="B1037" s="6" t="inlineStr">
        <is>
          <t>Boa Vista - RR</t>
        </is>
      </c>
      <c r="C1037" s="6" t="n">
        <v>2.82384</v>
      </c>
      <c r="D1037" s="6" t="n">
        <v>-60.6753</v>
      </c>
      <c r="E1037" s="6" t="inlineStr">
        <is>
          <t>2024-04</t>
        </is>
      </c>
      <c r="F1037" s="6" t="n">
        <v>3406.2212442835</v>
      </c>
      <c r="G1037" s="6" t="inlineStr">
        <is>
          <t>DOMESTICA</t>
        </is>
      </c>
      <c r="H1037" s="6" t="inlineStr">
        <is>
          <t>FIXO</t>
        </is>
      </c>
      <c r="I1037" s="11">
        <f>IF($H1037="AUTO_OFERTA_TOTAL_PRODUTO_PERIODO",SUMIFS(Oferta!$F:$F,Oferta!$A:$A,$A1037,Oferta!$E:$E,$E1037),$F1037)</f>
        <v/>
      </c>
      <c r="J1037" s="6" t="inlineStr">
        <is>
          <t>Informado</t>
        </is>
      </c>
      <c r="K1037" s="6" t="inlineStr">
        <is>
          <t>Demanda doméstica fixa informada pelo usuário.</t>
        </is>
      </c>
    </row>
    <row r="1038">
      <c r="A1038" s="6" t="inlineStr">
        <is>
          <t>Milho</t>
        </is>
      </c>
      <c r="B1038" s="6" t="inlineStr">
        <is>
          <t>Boa Vista - RR</t>
        </is>
      </c>
      <c r="C1038" s="6" t="n">
        <v>2.82384</v>
      </c>
      <c r="D1038" s="6" t="n">
        <v>-60.6753</v>
      </c>
      <c r="E1038" s="6" t="inlineStr">
        <is>
          <t>2024-05</t>
        </is>
      </c>
      <c r="F1038" s="6" t="n">
        <v>3406.2212442835</v>
      </c>
      <c r="G1038" s="6" t="inlineStr">
        <is>
          <t>DOMESTICA</t>
        </is>
      </c>
      <c r="H1038" s="6" t="inlineStr">
        <is>
          <t>FIXO</t>
        </is>
      </c>
      <c r="I1038" s="11">
        <f>IF($H1038="AUTO_OFERTA_TOTAL_PRODUTO_PERIODO",SUMIFS(Oferta!$F:$F,Oferta!$A:$A,$A1038,Oferta!$E:$E,$E1038),$F1038)</f>
        <v/>
      </c>
      <c r="J1038" s="6" t="inlineStr">
        <is>
          <t>Informado</t>
        </is>
      </c>
      <c r="K1038" s="6" t="inlineStr">
        <is>
          <t>Demanda doméstica fixa informada pelo usuário.</t>
        </is>
      </c>
    </row>
    <row r="1039">
      <c r="A1039" s="6" t="inlineStr">
        <is>
          <t>Milho</t>
        </is>
      </c>
      <c r="B1039" s="6" t="inlineStr">
        <is>
          <t>Boa Vista - RR</t>
        </is>
      </c>
      <c r="C1039" s="6" t="n">
        <v>2.82384</v>
      </c>
      <c r="D1039" s="6" t="n">
        <v>-60.6753</v>
      </c>
      <c r="E1039" s="6" t="inlineStr">
        <is>
          <t>2024-06</t>
        </is>
      </c>
      <c r="F1039" s="6" t="n">
        <v>3406.2212442835</v>
      </c>
      <c r="G1039" s="6" t="inlineStr">
        <is>
          <t>DOMESTICA</t>
        </is>
      </c>
      <c r="H1039" s="6" t="inlineStr">
        <is>
          <t>FIXO</t>
        </is>
      </c>
      <c r="I1039" s="11">
        <f>IF($H1039="AUTO_OFERTA_TOTAL_PRODUTO_PERIODO",SUMIFS(Oferta!$F:$F,Oferta!$A:$A,$A1039,Oferta!$E:$E,$E1039),$F1039)</f>
        <v/>
      </c>
      <c r="J1039" s="6" t="inlineStr">
        <is>
          <t>Informado</t>
        </is>
      </c>
      <c r="K1039" s="6" t="inlineStr">
        <is>
          <t>Demanda doméstica fixa informada pelo usuário.</t>
        </is>
      </c>
    </row>
    <row r="1040">
      <c r="A1040" s="6" t="inlineStr">
        <is>
          <t>Milho</t>
        </is>
      </c>
      <c r="B1040" s="6" t="inlineStr">
        <is>
          <t>Boa Vista - RR</t>
        </is>
      </c>
      <c r="C1040" s="6" t="n">
        <v>2.82384</v>
      </c>
      <c r="D1040" s="6" t="n">
        <v>-60.6753</v>
      </c>
      <c r="E1040" s="6" t="inlineStr">
        <is>
          <t>2024-07</t>
        </is>
      </c>
      <c r="F1040" s="6" t="n">
        <v>3406.2212442835</v>
      </c>
      <c r="G1040" s="6" t="inlineStr">
        <is>
          <t>DOMESTICA</t>
        </is>
      </c>
      <c r="H1040" s="6" t="inlineStr">
        <is>
          <t>FIXO</t>
        </is>
      </c>
      <c r="I1040" s="11">
        <f>IF($H1040="AUTO_OFERTA_TOTAL_PRODUTO_PERIODO",SUMIFS(Oferta!$F:$F,Oferta!$A:$A,$A1040,Oferta!$E:$E,$E1040),$F1040)</f>
        <v/>
      </c>
      <c r="J1040" s="6" t="inlineStr">
        <is>
          <t>Informado</t>
        </is>
      </c>
      <c r="K1040" s="6" t="inlineStr">
        <is>
          <t>Demanda doméstica fixa informada pelo usuário.</t>
        </is>
      </c>
    </row>
    <row r="1041">
      <c r="A1041" s="6" t="inlineStr">
        <is>
          <t>Milho</t>
        </is>
      </c>
      <c r="B1041" s="6" t="inlineStr">
        <is>
          <t>Boa Vista - RR</t>
        </is>
      </c>
      <c r="C1041" s="6" t="n">
        <v>2.82384</v>
      </c>
      <c r="D1041" s="6" t="n">
        <v>-60.6753</v>
      </c>
      <c r="E1041" s="6" t="inlineStr">
        <is>
          <t>2024-08</t>
        </is>
      </c>
      <c r="F1041" s="6" t="n">
        <v>3406.2212442835</v>
      </c>
      <c r="G1041" s="6" t="inlineStr">
        <is>
          <t>DOMESTICA</t>
        </is>
      </c>
      <c r="H1041" s="6" t="inlineStr">
        <is>
          <t>FIXO</t>
        </is>
      </c>
      <c r="I1041" s="11">
        <f>IF($H1041="AUTO_OFERTA_TOTAL_PRODUTO_PERIODO",SUMIFS(Oferta!$F:$F,Oferta!$A:$A,$A1041,Oferta!$E:$E,$E1041),$F1041)</f>
        <v/>
      </c>
      <c r="J1041" s="6" t="inlineStr">
        <is>
          <t>Informado</t>
        </is>
      </c>
      <c r="K1041" s="6" t="inlineStr">
        <is>
          <t>Demanda doméstica fixa informada pelo usuário.</t>
        </is>
      </c>
    </row>
    <row r="1042">
      <c r="A1042" s="6" t="inlineStr">
        <is>
          <t>Milho</t>
        </is>
      </c>
      <c r="B1042" s="6" t="inlineStr">
        <is>
          <t>Boa Vista - RR</t>
        </is>
      </c>
      <c r="C1042" s="6" t="n">
        <v>2.82384</v>
      </c>
      <c r="D1042" s="6" t="n">
        <v>-60.6753</v>
      </c>
      <c r="E1042" s="6" t="inlineStr">
        <is>
          <t>2024-09</t>
        </is>
      </c>
      <c r="F1042" s="6" t="n">
        <v>4434.5144501049</v>
      </c>
      <c r="G1042" s="6" t="inlineStr">
        <is>
          <t>DOMESTICA</t>
        </is>
      </c>
      <c r="H1042" s="6" t="inlineStr">
        <is>
          <t>FIXO</t>
        </is>
      </c>
      <c r="I1042" s="11">
        <f>IF($H1042="AUTO_OFERTA_TOTAL_PRODUTO_PERIODO",SUMIFS(Oferta!$F:$F,Oferta!$A:$A,$A1042,Oferta!$E:$E,$E1042),$F1042)</f>
        <v/>
      </c>
      <c r="J1042" s="6" t="inlineStr">
        <is>
          <t>Informado</t>
        </is>
      </c>
      <c r="K1042" s="6" t="inlineStr">
        <is>
          <t>Demanda doméstica fixa informada pelo usuário.</t>
        </is>
      </c>
    </row>
    <row r="1043">
      <c r="A1043" s="6" t="inlineStr">
        <is>
          <t>Milho</t>
        </is>
      </c>
      <c r="B1043" s="6" t="inlineStr">
        <is>
          <t>Boa Vista - RR</t>
        </is>
      </c>
      <c r="C1043" s="6" t="n">
        <v>2.82384</v>
      </c>
      <c r="D1043" s="6" t="n">
        <v>-60.6753</v>
      </c>
      <c r="E1043" s="6" t="inlineStr">
        <is>
          <t>2024-10</t>
        </is>
      </c>
      <c r="F1043" s="6" t="n">
        <v>5462.8076559264</v>
      </c>
      <c r="G1043" s="6" t="inlineStr">
        <is>
          <t>DOMESTICA</t>
        </is>
      </c>
      <c r="H1043" s="6" t="inlineStr">
        <is>
          <t>FIXO</t>
        </is>
      </c>
      <c r="I1043" s="11">
        <f>IF($H1043="AUTO_OFERTA_TOTAL_PRODUTO_PERIODO",SUMIFS(Oferta!$F:$F,Oferta!$A:$A,$A1043,Oferta!$E:$E,$E1043),$F1043)</f>
        <v/>
      </c>
      <c r="J1043" s="6" t="inlineStr">
        <is>
          <t>Informado</t>
        </is>
      </c>
      <c r="K1043" s="6" t="inlineStr">
        <is>
          <t>Demanda doméstica fixa informada pelo usuário.</t>
        </is>
      </c>
    </row>
    <row r="1044">
      <c r="A1044" s="6" t="inlineStr">
        <is>
          <t>Milho</t>
        </is>
      </c>
      <c r="B1044" s="6" t="inlineStr">
        <is>
          <t>Boa Vista - RR</t>
        </is>
      </c>
      <c r="C1044" s="6" t="n">
        <v>2.82384</v>
      </c>
      <c r="D1044" s="6" t="n">
        <v>-60.6753</v>
      </c>
      <c r="E1044" s="6" t="inlineStr">
        <is>
          <t>2024-11</t>
        </is>
      </c>
      <c r="F1044" s="6" t="n">
        <v>8547.6872733907</v>
      </c>
      <c r="G1044" s="6" t="inlineStr">
        <is>
          <t>DOMESTICA</t>
        </is>
      </c>
      <c r="H1044" s="6" t="inlineStr">
        <is>
          <t>FIXO</t>
        </is>
      </c>
      <c r="I1044" s="11">
        <f>IF($H1044="AUTO_OFERTA_TOTAL_PRODUTO_PERIODO",SUMIFS(Oferta!$F:$F,Oferta!$A:$A,$A1044,Oferta!$E:$E,$E1044),$F1044)</f>
        <v/>
      </c>
      <c r="J1044" s="6" t="inlineStr">
        <is>
          <t>Informado</t>
        </is>
      </c>
      <c r="K1044" s="6" t="inlineStr">
        <is>
          <t>Demanda doméstica fixa informada pelo usuário.</t>
        </is>
      </c>
    </row>
    <row r="1045">
      <c r="A1045" s="6" t="inlineStr">
        <is>
          <t>Milho</t>
        </is>
      </c>
      <c r="B1045" s="6" t="inlineStr">
        <is>
          <t>Boa Vista - RR</t>
        </is>
      </c>
      <c r="C1045" s="6" t="n">
        <v>2.82384</v>
      </c>
      <c r="D1045" s="6" t="n">
        <v>-60.6753</v>
      </c>
      <c r="E1045" s="6" t="inlineStr">
        <is>
          <t>2024-12</t>
        </is>
      </c>
      <c r="F1045" s="6" t="n">
        <v>8547.6872733907</v>
      </c>
      <c r="G1045" s="6" t="inlineStr">
        <is>
          <t>DOMESTICA</t>
        </is>
      </c>
      <c r="H1045" s="6" t="inlineStr">
        <is>
          <t>FIXO</t>
        </is>
      </c>
      <c r="I1045" s="11">
        <f>IF($H1045="AUTO_OFERTA_TOTAL_PRODUTO_PERIODO",SUMIFS(Oferta!$F:$F,Oferta!$A:$A,$A1045,Oferta!$E:$E,$E1045),$F1045)</f>
        <v/>
      </c>
      <c r="J1045" s="6" t="inlineStr">
        <is>
          <t>Informado</t>
        </is>
      </c>
      <c r="K1045" s="6" t="inlineStr">
        <is>
          <t>Demanda doméstica fixa informada pelo usuário.</t>
        </is>
      </c>
    </row>
    <row r="1046">
      <c r="A1046" s="6" t="inlineStr">
        <is>
          <t>Milho</t>
        </is>
      </c>
      <c r="B1046" s="6" t="inlineStr">
        <is>
          <t>Palmas - TO</t>
        </is>
      </c>
      <c r="C1046" s="6" t="n">
        <v>-10.24</v>
      </c>
      <c r="D1046" s="6" t="n">
        <v>-48.3558</v>
      </c>
      <c r="E1046" s="6" t="inlineStr">
        <is>
          <t>2024-01</t>
        </is>
      </c>
      <c r="F1046" s="6" t="n">
        <v>22781.2862396233</v>
      </c>
      <c r="G1046" s="6" t="inlineStr">
        <is>
          <t>DOMESTICA</t>
        </is>
      </c>
      <c r="H1046" s="6" t="inlineStr">
        <is>
          <t>FIXO</t>
        </is>
      </c>
      <c r="I1046" s="11">
        <f>IF($H1046="AUTO_OFERTA_TOTAL_PRODUTO_PERIODO",SUMIFS(Oferta!$F:$F,Oferta!$A:$A,$A1046,Oferta!$E:$E,$E1046),$F1046)</f>
        <v/>
      </c>
      <c r="J1046" s="6" t="inlineStr">
        <is>
          <t>Informado</t>
        </is>
      </c>
      <c r="K1046" s="6" t="inlineStr">
        <is>
          <t>Demanda doméstica fixa informada pelo usuário.</t>
        </is>
      </c>
    </row>
    <row r="1047">
      <c r="A1047" s="6" t="inlineStr">
        <is>
          <t>Milho</t>
        </is>
      </c>
      <c r="B1047" s="6" t="inlineStr">
        <is>
          <t>Palmas - TO</t>
        </is>
      </c>
      <c r="C1047" s="6" t="n">
        <v>-10.24</v>
      </c>
      <c r="D1047" s="6" t="n">
        <v>-48.3558</v>
      </c>
      <c r="E1047" s="6" t="inlineStr">
        <is>
          <t>2024-02</t>
        </is>
      </c>
      <c r="F1047" s="6" t="n">
        <v>22781.2862396233</v>
      </c>
      <c r="G1047" s="6" t="inlineStr">
        <is>
          <t>DOMESTICA</t>
        </is>
      </c>
      <c r="H1047" s="6" t="inlineStr">
        <is>
          <t>FIXO</t>
        </is>
      </c>
      <c r="I1047" s="11">
        <f>IF($H1047="AUTO_OFERTA_TOTAL_PRODUTO_PERIODO",SUMIFS(Oferta!$F:$F,Oferta!$A:$A,$A1047,Oferta!$E:$E,$E1047),$F1047)</f>
        <v/>
      </c>
      <c r="J1047" s="6" t="inlineStr">
        <is>
          <t>Informado</t>
        </is>
      </c>
      <c r="K1047" s="6" t="inlineStr">
        <is>
          <t>Demanda doméstica fixa informada pelo usuário.</t>
        </is>
      </c>
    </row>
    <row r="1048">
      <c r="A1048" s="6" t="inlineStr">
        <is>
          <t>Milho</t>
        </is>
      </c>
      <c r="B1048" s="6" t="inlineStr">
        <is>
          <t>Palmas - TO</t>
        </is>
      </c>
      <c r="C1048" s="6" t="n">
        <v>-10.24</v>
      </c>
      <c r="D1048" s="6" t="n">
        <v>-48.3558</v>
      </c>
      <c r="E1048" s="6" t="inlineStr">
        <is>
          <t>2024-03</t>
        </is>
      </c>
      <c r="F1048" s="6" t="n">
        <v>26219.9709550382</v>
      </c>
      <c r="G1048" s="6" t="inlineStr">
        <is>
          <t>DOMESTICA</t>
        </is>
      </c>
      <c r="H1048" s="6" t="inlineStr">
        <is>
          <t>FIXO</t>
        </is>
      </c>
      <c r="I1048" s="11">
        <f>IF($H1048="AUTO_OFERTA_TOTAL_PRODUTO_PERIODO",SUMIFS(Oferta!$F:$F,Oferta!$A:$A,$A1048,Oferta!$E:$E,$E1048),$F1048)</f>
        <v/>
      </c>
      <c r="J1048" s="6" t="inlineStr">
        <is>
          <t>Informado</t>
        </is>
      </c>
      <c r="K1048" s="6" t="inlineStr">
        <is>
          <t>Demanda doméstica fixa informada pelo usuário.</t>
        </is>
      </c>
    </row>
    <row r="1049">
      <c r="A1049" s="6" t="inlineStr">
        <is>
          <t>Milho</t>
        </is>
      </c>
      <c r="B1049" s="6" t="inlineStr">
        <is>
          <t>Palmas - TO</t>
        </is>
      </c>
      <c r="C1049" s="6" t="n">
        <v>-10.24</v>
      </c>
      <c r="D1049" s="6" t="n">
        <v>-48.3558</v>
      </c>
      <c r="E1049" s="6" t="inlineStr">
        <is>
          <t>2024-04</t>
        </is>
      </c>
      <c r="F1049" s="6" t="n">
        <v>33097.3403858679</v>
      </c>
      <c r="G1049" s="6" t="inlineStr">
        <is>
          <t>DOMESTICA</t>
        </is>
      </c>
      <c r="H1049" s="6" t="inlineStr">
        <is>
          <t>FIXO</t>
        </is>
      </c>
      <c r="I1049" s="11">
        <f>IF($H1049="AUTO_OFERTA_TOTAL_PRODUTO_PERIODO",SUMIFS(Oferta!$F:$F,Oferta!$A:$A,$A1049,Oferta!$E:$E,$E1049),$F1049)</f>
        <v/>
      </c>
      <c r="J1049" s="6" t="inlineStr">
        <is>
          <t>Informado</t>
        </is>
      </c>
      <c r="K1049" s="6" t="inlineStr">
        <is>
          <t>Demanda doméstica fixa informada pelo usuário.</t>
        </is>
      </c>
    </row>
    <row r="1050">
      <c r="A1050" s="6" t="inlineStr">
        <is>
          <t>Milho</t>
        </is>
      </c>
      <c r="B1050" s="6" t="inlineStr">
        <is>
          <t>Palmas - TO</t>
        </is>
      </c>
      <c r="C1050" s="6" t="n">
        <v>-10.24</v>
      </c>
      <c r="D1050" s="6" t="n">
        <v>-48.3558</v>
      </c>
      <c r="E1050" s="6" t="inlineStr">
        <is>
          <t>2024-05</t>
        </is>
      </c>
      <c r="F1050" s="6" t="n">
        <v>46852.0792475272</v>
      </c>
      <c r="G1050" s="6" t="inlineStr">
        <is>
          <t>DOMESTICA</t>
        </is>
      </c>
      <c r="H1050" s="6" t="inlineStr">
        <is>
          <t>FIXO</t>
        </is>
      </c>
      <c r="I1050" s="11">
        <f>IF($H1050="AUTO_OFERTA_TOTAL_PRODUTO_PERIODO",SUMIFS(Oferta!$F:$F,Oferta!$A:$A,$A1050,Oferta!$E:$E,$E1050),$F1050)</f>
        <v/>
      </c>
      <c r="J1050" s="6" t="inlineStr">
        <is>
          <t>Informado</t>
        </is>
      </c>
      <c r="K1050" s="6" t="inlineStr">
        <is>
          <t>Demanda doméstica fixa informada pelo usuário.</t>
        </is>
      </c>
    </row>
    <row r="1051">
      <c r="A1051" s="6" t="inlineStr">
        <is>
          <t>Milho</t>
        </is>
      </c>
      <c r="B1051" s="6" t="inlineStr">
        <is>
          <t>Palmas - TO</t>
        </is>
      </c>
      <c r="C1051" s="6" t="n">
        <v>-10.24</v>
      </c>
      <c r="D1051" s="6" t="n">
        <v>-48.3558</v>
      </c>
      <c r="E1051" s="6" t="inlineStr">
        <is>
          <t>2024-06</t>
        </is>
      </c>
      <c r="F1051" s="6" t="n">
        <v>64045.5028246014</v>
      </c>
      <c r="G1051" s="6" t="inlineStr">
        <is>
          <t>DOMESTICA</t>
        </is>
      </c>
      <c r="H1051" s="6" t="inlineStr">
        <is>
          <t>FIXO</t>
        </is>
      </c>
      <c r="I1051" s="11">
        <f>IF($H1051="AUTO_OFERTA_TOTAL_PRODUTO_PERIODO",SUMIFS(Oferta!$F:$F,Oferta!$A:$A,$A1051,Oferta!$E:$E,$E1051),$F1051)</f>
        <v/>
      </c>
      <c r="J1051" s="6" t="inlineStr">
        <is>
          <t>Informado</t>
        </is>
      </c>
      <c r="K1051" s="6" t="inlineStr">
        <is>
          <t>Demanda doméstica fixa informada pelo usuário.</t>
        </is>
      </c>
    </row>
    <row r="1052">
      <c r="A1052" s="6" t="inlineStr">
        <is>
          <t>Milho</t>
        </is>
      </c>
      <c r="B1052" s="6" t="inlineStr">
        <is>
          <t>Palmas - TO</t>
        </is>
      </c>
      <c r="C1052" s="6" t="n">
        <v>-10.24</v>
      </c>
      <c r="D1052" s="6" t="n">
        <v>-48.3558</v>
      </c>
      <c r="E1052" s="6" t="inlineStr">
        <is>
          <t>2024-07</t>
        </is>
      </c>
      <c r="F1052" s="6" t="n">
        <v>70922.8722554312</v>
      </c>
      <c r="G1052" s="6" t="inlineStr">
        <is>
          <t>DOMESTICA</t>
        </is>
      </c>
      <c r="H1052" s="6" t="inlineStr">
        <is>
          <t>FIXO</t>
        </is>
      </c>
      <c r="I1052" s="11">
        <f>IF($H1052="AUTO_OFERTA_TOTAL_PRODUTO_PERIODO",SUMIFS(Oferta!$F:$F,Oferta!$A:$A,$A1052,Oferta!$E:$E,$E1052),$F1052)</f>
        <v/>
      </c>
      <c r="J1052" s="6" t="inlineStr">
        <is>
          <t>Informado</t>
        </is>
      </c>
      <c r="K1052" s="6" t="inlineStr">
        <is>
          <t>Demanda doméstica fixa informada pelo usuário.</t>
        </is>
      </c>
    </row>
    <row r="1053">
      <c r="A1053" s="6" t="inlineStr">
        <is>
          <t>Milho</t>
        </is>
      </c>
      <c r="B1053" s="6" t="inlineStr">
        <is>
          <t>Palmas - TO</t>
        </is>
      </c>
      <c r="C1053" s="6" t="n">
        <v>-10.24</v>
      </c>
      <c r="D1053" s="6" t="n">
        <v>-48.3558</v>
      </c>
      <c r="E1053" s="6" t="inlineStr">
        <is>
          <t>2024-08</t>
        </is>
      </c>
      <c r="F1053" s="6" t="n">
        <v>77800.2416862609</v>
      </c>
      <c r="G1053" s="6" t="inlineStr">
        <is>
          <t>DOMESTICA</t>
        </is>
      </c>
      <c r="H1053" s="6" t="inlineStr">
        <is>
          <t>FIXO</t>
        </is>
      </c>
      <c r="I1053" s="11">
        <f>IF($H1053="AUTO_OFERTA_TOTAL_PRODUTO_PERIODO",SUMIFS(Oferta!$F:$F,Oferta!$A:$A,$A1053,Oferta!$E:$E,$E1053),$F1053)</f>
        <v/>
      </c>
      <c r="J1053" s="6" t="inlineStr">
        <is>
          <t>Informado</t>
        </is>
      </c>
      <c r="K1053" s="6" t="inlineStr">
        <is>
          <t>Demanda doméstica fixa informada pelo usuário.</t>
        </is>
      </c>
    </row>
    <row r="1054">
      <c r="A1054" s="6" t="inlineStr">
        <is>
          <t>Milho</t>
        </is>
      </c>
      <c r="B1054" s="6" t="inlineStr">
        <is>
          <t>Palmas - TO</t>
        </is>
      </c>
      <c r="C1054" s="6" t="n">
        <v>-10.24</v>
      </c>
      <c r="D1054" s="6" t="n">
        <v>-48.3558</v>
      </c>
      <c r="E1054" s="6" t="inlineStr">
        <is>
          <t>2024-09</t>
        </is>
      </c>
      <c r="F1054" s="6" t="n">
        <v>64045.5028246014</v>
      </c>
      <c r="G1054" s="6" t="inlineStr">
        <is>
          <t>DOMESTICA</t>
        </is>
      </c>
      <c r="H1054" s="6" t="inlineStr">
        <is>
          <t>FIXO</t>
        </is>
      </c>
      <c r="I1054" s="11">
        <f>IF($H1054="AUTO_OFERTA_TOTAL_PRODUTO_PERIODO",SUMIFS(Oferta!$F:$F,Oferta!$A:$A,$A1054,Oferta!$E:$E,$E1054),$F1054)</f>
        <v/>
      </c>
      <c r="J1054" s="6" t="inlineStr">
        <is>
          <t>Informado</t>
        </is>
      </c>
      <c r="K1054" s="6" t="inlineStr">
        <is>
          <t>Demanda doméstica fixa informada pelo usuário.</t>
        </is>
      </c>
    </row>
    <row r="1055">
      <c r="A1055" s="6" t="inlineStr">
        <is>
          <t>Milho</t>
        </is>
      </c>
      <c r="B1055" s="6" t="inlineStr">
        <is>
          <t>Palmas - TO</t>
        </is>
      </c>
      <c r="C1055" s="6" t="n">
        <v>-10.24</v>
      </c>
      <c r="D1055" s="6" t="n">
        <v>-48.3558</v>
      </c>
      <c r="E1055" s="6" t="inlineStr">
        <is>
          <t>2024-10</t>
        </is>
      </c>
      <c r="F1055" s="6" t="n">
        <v>57168.1333937718</v>
      </c>
      <c r="G1055" s="6" t="inlineStr">
        <is>
          <t>DOMESTICA</t>
        </is>
      </c>
      <c r="H1055" s="6" t="inlineStr">
        <is>
          <t>FIXO</t>
        </is>
      </c>
      <c r="I1055" s="11">
        <f>IF($H1055="AUTO_OFERTA_TOTAL_PRODUTO_PERIODO",SUMIFS(Oferta!$F:$F,Oferta!$A:$A,$A1055,Oferta!$E:$E,$E1055),$F1055)</f>
        <v/>
      </c>
      <c r="J1055" s="6" t="inlineStr">
        <is>
          <t>Informado</t>
        </is>
      </c>
      <c r="K1055" s="6" t="inlineStr">
        <is>
          <t>Demanda doméstica fixa informada pelo usuário.</t>
        </is>
      </c>
    </row>
    <row r="1056">
      <c r="A1056" s="6" t="inlineStr">
        <is>
          <t>Milho</t>
        </is>
      </c>
      <c r="B1056" s="6" t="inlineStr">
        <is>
          <t>Palmas - TO</t>
        </is>
      </c>
      <c r="C1056" s="6" t="n">
        <v>-10.24</v>
      </c>
      <c r="D1056" s="6" t="n">
        <v>-48.3558</v>
      </c>
      <c r="E1056" s="6" t="inlineStr">
        <is>
          <t>2024-11</t>
        </is>
      </c>
      <c r="F1056" s="6" t="n">
        <v>36536.0251012827</v>
      </c>
      <c r="G1056" s="6" t="inlineStr">
        <is>
          <t>DOMESTICA</t>
        </is>
      </c>
      <c r="H1056" s="6" t="inlineStr">
        <is>
          <t>FIXO</t>
        </is>
      </c>
      <c r="I1056" s="11">
        <f>IF($H1056="AUTO_OFERTA_TOTAL_PRODUTO_PERIODO",SUMIFS(Oferta!$F:$F,Oferta!$A:$A,$A1056,Oferta!$E:$E,$E1056),$F1056)</f>
        <v/>
      </c>
      <c r="J1056" s="6" t="inlineStr">
        <is>
          <t>Informado</t>
        </is>
      </c>
      <c r="K1056" s="6" t="inlineStr">
        <is>
          <t>Demanda doméstica fixa informada pelo usuário.</t>
        </is>
      </c>
    </row>
    <row r="1057">
      <c r="A1057" s="6" t="inlineStr">
        <is>
          <t>Milho</t>
        </is>
      </c>
      <c r="B1057" s="6" t="inlineStr">
        <is>
          <t>Palmas - TO</t>
        </is>
      </c>
      <c r="C1057" s="6" t="n">
        <v>-10.24</v>
      </c>
      <c r="D1057" s="6" t="n">
        <v>-48.3558</v>
      </c>
      <c r="E1057" s="6" t="inlineStr">
        <is>
          <t>2024-12</t>
        </is>
      </c>
      <c r="F1057" s="6" t="n">
        <v>29658.655670453</v>
      </c>
      <c r="G1057" s="6" t="inlineStr">
        <is>
          <t>DOMESTICA</t>
        </is>
      </c>
      <c r="H1057" s="6" t="inlineStr">
        <is>
          <t>FIXO</t>
        </is>
      </c>
      <c r="I1057" s="11">
        <f>IF($H1057="AUTO_OFERTA_TOTAL_PRODUTO_PERIODO",SUMIFS(Oferta!$F:$F,Oferta!$A:$A,$A1057,Oferta!$E:$E,$E1057),$F1057)</f>
        <v/>
      </c>
      <c r="J1057" s="6" t="inlineStr">
        <is>
          <t>Informado</t>
        </is>
      </c>
      <c r="K1057" s="6" t="inlineStr">
        <is>
          <t>Demanda doméstica fixa informada pelo usuário.</t>
        </is>
      </c>
    </row>
    <row r="1058">
      <c r="A1058" s="6" t="inlineStr">
        <is>
          <t>Milho</t>
        </is>
      </c>
      <c r="B1058" s="6" t="inlineStr">
        <is>
          <t>Maceió - AL</t>
        </is>
      </c>
      <c r="C1058" s="6" t="n">
        <v>-9.665990000000001</v>
      </c>
      <c r="D1058" s="6" t="n">
        <v>-35.735</v>
      </c>
      <c r="E1058" s="6" t="inlineStr">
        <is>
          <t>2024-01</t>
        </is>
      </c>
      <c r="F1058" s="6" t="n">
        <v>83545.8396629756</v>
      </c>
      <c r="G1058" s="6" t="inlineStr">
        <is>
          <t>DOMESTICA</t>
        </is>
      </c>
      <c r="H1058" s="6" t="inlineStr">
        <is>
          <t>FIXO</t>
        </is>
      </c>
      <c r="I1058" s="11">
        <f>IF($H1058="AUTO_OFERTA_TOTAL_PRODUTO_PERIODO",SUMIFS(Oferta!$F:$F,Oferta!$A:$A,$A1058,Oferta!$E:$E,$E1058),$F1058)</f>
        <v/>
      </c>
      <c r="J1058" s="6" t="inlineStr">
        <is>
          <t>Informado</t>
        </is>
      </c>
      <c r="K1058" s="6" t="inlineStr">
        <is>
          <t>Demanda doméstica fixa informada pelo usuário.</t>
        </is>
      </c>
    </row>
    <row r="1059">
      <c r="A1059" s="6" t="inlineStr">
        <is>
          <t>Milho</t>
        </is>
      </c>
      <c r="B1059" s="6" t="inlineStr">
        <is>
          <t>Maceió - AL</t>
        </is>
      </c>
      <c r="C1059" s="6" t="n">
        <v>-9.665990000000001</v>
      </c>
      <c r="D1059" s="6" t="n">
        <v>-35.735</v>
      </c>
      <c r="E1059" s="6" t="inlineStr">
        <is>
          <t>2024-02</t>
        </is>
      </c>
      <c r="F1059" s="6" t="n">
        <v>51464.237232393</v>
      </c>
      <c r="G1059" s="6" t="inlineStr">
        <is>
          <t>DOMESTICA</t>
        </is>
      </c>
      <c r="H1059" s="6" t="inlineStr">
        <is>
          <t>FIXO</t>
        </is>
      </c>
      <c r="I1059" s="11">
        <f>IF($H1059="AUTO_OFERTA_TOTAL_PRODUTO_PERIODO",SUMIFS(Oferta!$F:$F,Oferta!$A:$A,$A1059,Oferta!$E:$E,$E1059),$F1059)</f>
        <v/>
      </c>
      <c r="J1059" s="6" t="inlineStr">
        <is>
          <t>Informado</t>
        </is>
      </c>
      <c r="K1059" s="6" t="inlineStr">
        <is>
          <t>Demanda doméstica fixa informada pelo usuário.</t>
        </is>
      </c>
    </row>
    <row r="1060">
      <c r="A1060" s="6" t="inlineStr">
        <is>
          <t>Milho</t>
        </is>
      </c>
      <c r="B1060" s="6" t="inlineStr">
        <is>
          <t>Maceió - AL</t>
        </is>
      </c>
      <c r="C1060" s="6" t="n">
        <v>-9.665990000000001</v>
      </c>
      <c r="D1060" s="6" t="n">
        <v>-35.735</v>
      </c>
      <c r="E1060" s="6" t="inlineStr">
        <is>
          <t>2024-03</t>
        </is>
      </c>
      <c r="F1060" s="6" t="n">
        <v>40770.3697555321</v>
      </c>
      <c r="G1060" s="6" t="inlineStr">
        <is>
          <t>DOMESTICA</t>
        </is>
      </c>
      <c r="H1060" s="6" t="inlineStr">
        <is>
          <t>FIXO</t>
        </is>
      </c>
      <c r="I1060" s="11">
        <f>IF($H1060="AUTO_OFERTA_TOTAL_PRODUTO_PERIODO",SUMIFS(Oferta!$F:$F,Oferta!$A:$A,$A1060,Oferta!$E:$E,$E1060),$F1060)</f>
        <v/>
      </c>
      <c r="J1060" s="6" t="inlineStr">
        <is>
          <t>Informado</t>
        </is>
      </c>
      <c r="K1060" s="6" t="inlineStr">
        <is>
          <t>Demanda doméstica fixa informada pelo usuário.</t>
        </is>
      </c>
    </row>
    <row r="1061">
      <c r="A1061" s="6" t="inlineStr">
        <is>
          <t>Milho</t>
        </is>
      </c>
      <c r="B1061" s="6" t="inlineStr">
        <is>
          <t>Maceió - AL</t>
        </is>
      </c>
      <c r="C1061" s="6" t="n">
        <v>-9.665990000000001</v>
      </c>
      <c r="D1061" s="6" t="n">
        <v>-35.735</v>
      </c>
      <c r="E1061" s="6" t="inlineStr">
        <is>
          <t>2024-04</t>
        </is>
      </c>
      <c r="F1061" s="6" t="n">
        <v>35423.4360171017</v>
      </c>
      <c r="G1061" s="6" t="inlineStr">
        <is>
          <t>DOMESTICA</t>
        </is>
      </c>
      <c r="H1061" s="6" t="inlineStr">
        <is>
          <t>FIXO</t>
        </is>
      </c>
      <c r="I1061" s="11">
        <f>IF($H1061="AUTO_OFERTA_TOTAL_PRODUTO_PERIODO",SUMIFS(Oferta!$F:$F,Oferta!$A:$A,$A1061,Oferta!$E:$E,$E1061),$F1061)</f>
        <v/>
      </c>
      <c r="J1061" s="6" t="inlineStr">
        <is>
          <t>Informado</t>
        </is>
      </c>
      <c r="K1061" s="6" t="inlineStr">
        <is>
          <t>Demanda doméstica fixa informada pelo usuário.</t>
        </is>
      </c>
    </row>
    <row r="1062">
      <c r="A1062" s="6" t="inlineStr">
        <is>
          <t>Milho</t>
        </is>
      </c>
      <c r="B1062" s="6" t="inlineStr">
        <is>
          <t>Maceió - AL</t>
        </is>
      </c>
      <c r="C1062" s="6" t="n">
        <v>-9.665990000000001</v>
      </c>
      <c r="D1062" s="6" t="n">
        <v>-35.735</v>
      </c>
      <c r="E1062" s="6" t="inlineStr">
        <is>
          <t>2024-05</t>
        </is>
      </c>
      <c r="F1062" s="6" t="n">
        <v>35423.4360171017</v>
      </c>
      <c r="G1062" s="6" t="inlineStr">
        <is>
          <t>DOMESTICA</t>
        </is>
      </c>
      <c r="H1062" s="6" t="inlineStr">
        <is>
          <t>FIXO</t>
        </is>
      </c>
      <c r="I1062" s="11">
        <f>IF($H1062="AUTO_OFERTA_TOTAL_PRODUTO_PERIODO",SUMIFS(Oferta!$F:$F,Oferta!$A:$A,$A1062,Oferta!$E:$E,$E1062),$F1062)</f>
        <v/>
      </c>
      <c r="J1062" s="6" t="inlineStr">
        <is>
          <t>Informado</t>
        </is>
      </c>
      <c r="K1062" s="6" t="inlineStr">
        <is>
          <t>Demanda doméstica fixa informada pelo usuário.</t>
        </is>
      </c>
    </row>
    <row r="1063">
      <c r="A1063" s="6" t="inlineStr">
        <is>
          <t>Milho</t>
        </is>
      </c>
      <c r="B1063" s="6" t="inlineStr">
        <is>
          <t>Maceió - AL</t>
        </is>
      </c>
      <c r="C1063" s="6" t="n">
        <v>-9.665990000000001</v>
      </c>
      <c r="D1063" s="6" t="n">
        <v>-35.735</v>
      </c>
      <c r="E1063" s="6" t="inlineStr">
        <is>
          <t>2024-06</t>
        </is>
      </c>
      <c r="F1063" s="6" t="n">
        <v>35423.4360171017</v>
      </c>
      <c r="G1063" s="6" t="inlineStr">
        <is>
          <t>DOMESTICA</t>
        </is>
      </c>
      <c r="H1063" s="6" t="inlineStr">
        <is>
          <t>FIXO</t>
        </is>
      </c>
      <c r="I1063" s="11">
        <f>IF($H1063="AUTO_OFERTA_TOTAL_PRODUTO_PERIODO",SUMIFS(Oferta!$F:$F,Oferta!$A:$A,$A1063,Oferta!$E:$E,$E1063),$F1063)</f>
        <v/>
      </c>
      <c r="J1063" s="6" t="inlineStr">
        <is>
          <t>Informado</t>
        </is>
      </c>
      <c r="K1063" s="6" t="inlineStr">
        <is>
          <t>Demanda doméstica fixa informada pelo usuário.</t>
        </is>
      </c>
    </row>
    <row r="1064">
      <c r="A1064" s="6" t="inlineStr">
        <is>
          <t>Milho</t>
        </is>
      </c>
      <c r="B1064" s="6" t="inlineStr">
        <is>
          <t>Maceió - AL</t>
        </is>
      </c>
      <c r="C1064" s="6" t="n">
        <v>-9.665990000000001</v>
      </c>
      <c r="D1064" s="6" t="n">
        <v>-35.735</v>
      </c>
      <c r="E1064" s="6" t="inlineStr">
        <is>
          <t>2024-07</t>
        </is>
      </c>
      <c r="F1064" s="6" t="n">
        <v>35423.4360171017</v>
      </c>
      <c r="G1064" s="6" t="inlineStr">
        <is>
          <t>DOMESTICA</t>
        </is>
      </c>
      <c r="H1064" s="6" t="inlineStr">
        <is>
          <t>FIXO</t>
        </is>
      </c>
      <c r="I1064" s="11">
        <f>IF($H1064="AUTO_OFERTA_TOTAL_PRODUTO_PERIODO",SUMIFS(Oferta!$F:$F,Oferta!$A:$A,$A1064,Oferta!$E:$E,$E1064),$F1064)</f>
        <v/>
      </c>
      <c r="J1064" s="6" t="inlineStr">
        <is>
          <t>Informado</t>
        </is>
      </c>
      <c r="K1064" s="6" t="inlineStr">
        <is>
          <t>Demanda doméstica fixa informada pelo usuário.</t>
        </is>
      </c>
    </row>
    <row r="1065">
      <c r="A1065" s="6" t="inlineStr">
        <is>
          <t>Milho</t>
        </is>
      </c>
      <c r="B1065" s="6" t="inlineStr">
        <is>
          <t>Maceió - AL</t>
        </is>
      </c>
      <c r="C1065" s="6" t="n">
        <v>-9.665990000000001</v>
      </c>
      <c r="D1065" s="6" t="n">
        <v>-35.735</v>
      </c>
      <c r="E1065" s="6" t="inlineStr">
        <is>
          <t>2024-08</t>
        </is>
      </c>
      <c r="F1065" s="6" t="n">
        <v>35423.4360171017</v>
      </c>
      <c r="G1065" s="6" t="inlineStr">
        <is>
          <t>DOMESTICA</t>
        </is>
      </c>
      <c r="H1065" s="6" t="inlineStr">
        <is>
          <t>FIXO</t>
        </is>
      </c>
      <c r="I1065" s="11">
        <f>IF($H1065="AUTO_OFERTA_TOTAL_PRODUTO_PERIODO",SUMIFS(Oferta!$F:$F,Oferta!$A:$A,$A1065,Oferta!$E:$E,$E1065),$F1065)</f>
        <v/>
      </c>
      <c r="J1065" s="6" t="inlineStr">
        <is>
          <t>Informado</t>
        </is>
      </c>
      <c r="K1065" s="6" t="inlineStr">
        <is>
          <t>Demanda doméstica fixa informada pelo usuário.</t>
        </is>
      </c>
    </row>
    <row r="1066">
      <c r="A1066" s="6" t="inlineStr">
        <is>
          <t>Milho</t>
        </is>
      </c>
      <c r="B1066" s="6" t="inlineStr">
        <is>
          <t>Maceió - AL</t>
        </is>
      </c>
      <c r="C1066" s="6" t="n">
        <v>-9.665990000000001</v>
      </c>
      <c r="D1066" s="6" t="n">
        <v>-35.735</v>
      </c>
      <c r="E1066" s="6" t="inlineStr">
        <is>
          <t>2024-09</t>
        </is>
      </c>
      <c r="F1066" s="6" t="n">
        <v>46117.3034939626</v>
      </c>
      <c r="G1066" s="6" t="inlineStr">
        <is>
          <t>DOMESTICA</t>
        </is>
      </c>
      <c r="H1066" s="6" t="inlineStr">
        <is>
          <t>FIXO</t>
        </is>
      </c>
      <c r="I1066" s="11">
        <f>IF($H1066="AUTO_OFERTA_TOTAL_PRODUTO_PERIODO",SUMIFS(Oferta!$F:$F,Oferta!$A:$A,$A1066,Oferta!$E:$E,$E1066),$F1066)</f>
        <v/>
      </c>
      <c r="J1066" s="6" t="inlineStr">
        <is>
          <t>Informado</t>
        </is>
      </c>
      <c r="K1066" s="6" t="inlineStr">
        <is>
          <t>Demanda doméstica fixa informada pelo usuário.</t>
        </is>
      </c>
    </row>
    <row r="1067">
      <c r="A1067" s="6" t="inlineStr">
        <is>
          <t>Milho</t>
        </is>
      </c>
      <c r="B1067" s="6" t="inlineStr">
        <is>
          <t>Maceió - AL</t>
        </is>
      </c>
      <c r="C1067" s="6" t="n">
        <v>-9.665990000000001</v>
      </c>
      <c r="D1067" s="6" t="n">
        <v>-35.735</v>
      </c>
      <c r="E1067" s="6" t="inlineStr">
        <is>
          <t>2024-10</t>
        </is>
      </c>
      <c r="F1067" s="6" t="n">
        <v>56811.1709708234</v>
      </c>
      <c r="G1067" s="6" t="inlineStr">
        <is>
          <t>DOMESTICA</t>
        </is>
      </c>
      <c r="H1067" s="6" t="inlineStr">
        <is>
          <t>FIXO</t>
        </is>
      </c>
      <c r="I1067" s="11">
        <f>IF($H1067="AUTO_OFERTA_TOTAL_PRODUTO_PERIODO",SUMIFS(Oferta!$F:$F,Oferta!$A:$A,$A1067,Oferta!$E:$E,$E1067),$F1067)</f>
        <v/>
      </c>
      <c r="J1067" s="6" t="inlineStr">
        <is>
          <t>Informado</t>
        </is>
      </c>
      <c r="K1067" s="6" t="inlineStr">
        <is>
          <t>Demanda doméstica fixa informada pelo usuário.</t>
        </is>
      </c>
    </row>
    <row r="1068">
      <c r="A1068" s="6" t="inlineStr">
        <is>
          <t>Milho</t>
        </is>
      </c>
      <c r="B1068" s="6" t="inlineStr">
        <is>
          <t>Maceió - AL</t>
        </is>
      </c>
      <c r="C1068" s="6" t="n">
        <v>-9.665990000000001</v>
      </c>
      <c r="D1068" s="6" t="n">
        <v>-35.735</v>
      </c>
      <c r="E1068" s="6" t="inlineStr">
        <is>
          <t>2024-11</t>
        </is>
      </c>
      <c r="F1068" s="6" t="n">
        <v>88892.7734014061</v>
      </c>
      <c r="G1068" s="6" t="inlineStr">
        <is>
          <t>DOMESTICA</t>
        </is>
      </c>
      <c r="H1068" s="6" t="inlineStr">
        <is>
          <t>FIXO</t>
        </is>
      </c>
      <c r="I1068" s="11">
        <f>IF($H1068="AUTO_OFERTA_TOTAL_PRODUTO_PERIODO",SUMIFS(Oferta!$F:$F,Oferta!$A:$A,$A1068,Oferta!$E:$E,$E1068),$F1068)</f>
        <v/>
      </c>
      <c r="J1068" s="6" t="inlineStr">
        <is>
          <t>Informado</t>
        </is>
      </c>
      <c r="K1068" s="6" t="inlineStr">
        <is>
          <t>Demanda doméstica fixa informada pelo usuário.</t>
        </is>
      </c>
    </row>
    <row r="1069">
      <c r="A1069" s="6" t="inlineStr">
        <is>
          <t>Milho</t>
        </is>
      </c>
      <c r="B1069" s="6" t="inlineStr">
        <is>
          <t>Maceió - AL</t>
        </is>
      </c>
      <c r="C1069" s="6" t="n">
        <v>-9.665990000000001</v>
      </c>
      <c r="D1069" s="6" t="n">
        <v>-35.735</v>
      </c>
      <c r="E1069" s="6" t="inlineStr">
        <is>
          <t>2024-12</t>
        </is>
      </c>
      <c r="F1069" s="6" t="n">
        <v>88892.7734014061</v>
      </c>
      <c r="G1069" s="6" t="inlineStr">
        <is>
          <t>DOMESTICA</t>
        </is>
      </c>
      <c r="H1069" s="6" t="inlineStr">
        <is>
          <t>FIXO</t>
        </is>
      </c>
      <c r="I1069" s="11">
        <f>IF($H1069="AUTO_OFERTA_TOTAL_PRODUTO_PERIODO",SUMIFS(Oferta!$F:$F,Oferta!$A:$A,$A1069,Oferta!$E:$E,$E1069),$F1069)</f>
        <v/>
      </c>
      <c r="J1069" s="6" t="inlineStr">
        <is>
          <t>Informado</t>
        </is>
      </c>
      <c r="K1069" s="6" t="inlineStr">
        <is>
          <t>Demanda doméstica fixa informada pelo usuário.</t>
        </is>
      </c>
    </row>
    <row r="1070">
      <c r="A1070" s="6" t="inlineStr">
        <is>
          <t>Milho</t>
        </is>
      </c>
      <c r="B1070" s="6" t="inlineStr">
        <is>
          <t>Salvador - BA</t>
        </is>
      </c>
      <c r="C1070" s="6" t="n">
        <v>-12.9718</v>
      </c>
      <c r="D1070" s="6" t="n">
        <v>-38.5011</v>
      </c>
      <c r="E1070" s="6" t="inlineStr">
        <is>
          <t>2024-01</t>
        </is>
      </c>
      <c r="F1070" s="6" t="n">
        <v>357308.0393128864</v>
      </c>
      <c r="G1070" s="6" t="inlineStr">
        <is>
          <t>DOMESTICA</t>
        </is>
      </c>
      <c r="H1070" s="6" t="inlineStr">
        <is>
          <t>FIXO</t>
        </is>
      </c>
      <c r="I1070" s="11">
        <f>IF($H1070="AUTO_OFERTA_TOTAL_PRODUTO_PERIODO",SUMIFS(Oferta!$F:$F,Oferta!$A:$A,$A1070,Oferta!$E:$E,$E1070),$F1070)</f>
        <v/>
      </c>
      <c r="J1070" s="6" t="inlineStr">
        <is>
          <t>Informado</t>
        </is>
      </c>
      <c r="K1070" s="6" t="inlineStr">
        <is>
          <t>Demanda doméstica fixa informada pelo usuário.</t>
        </is>
      </c>
    </row>
    <row r="1071">
      <c r="A1071" s="6" t="inlineStr">
        <is>
          <t>Milho</t>
        </is>
      </c>
      <c r="B1071" s="6" t="inlineStr">
        <is>
          <t>Salvador - BA</t>
        </is>
      </c>
      <c r="C1071" s="6" t="n">
        <v>-12.9718</v>
      </c>
      <c r="D1071" s="6" t="n">
        <v>-38.5011</v>
      </c>
      <c r="E1071" s="6" t="inlineStr">
        <is>
          <t>2024-02</t>
        </is>
      </c>
      <c r="F1071" s="6" t="n">
        <v>210720.1257486253</v>
      </c>
      <c r="G1071" s="6" t="inlineStr">
        <is>
          <t>DOMESTICA</t>
        </is>
      </c>
      <c r="H1071" s="6" t="inlineStr">
        <is>
          <t>FIXO</t>
        </is>
      </c>
      <c r="I1071" s="11">
        <f>IF($H1071="AUTO_OFERTA_TOTAL_PRODUTO_PERIODO",SUMIFS(Oferta!$F:$F,Oferta!$A:$A,$A1071,Oferta!$E:$E,$E1071),$F1071)</f>
        <v/>
      </c>
      <c r="J1071" s="6" t="inlineStr">
        <is>
          <t>Informado</t>
        </is>
      </c>
      <c r="K1071" s="6" t="inlineStr">
        <is>
          <t>Demanda doméstica fixa informada pelo usuário.</t>
        </is>
      </c>
    </row>
    <row r="1072">
      <c r="A1072" s="6" t="inlineStr">
        <is>
          <t>Milho</t>
        </is>
      </c>
      <c r="B1072" s="6" t="inlineStr">
        <is>
          <t>Salvador - BA</t>
        </is>
      </c>
      <c r="C1072" s="6" t="n">
        <v>-12.9718</v>
      </c>
      <c r="D1072" s="6" t="n">
        <v>-38.5011</v>
      </c>
      <c r="E1072" s="6" t="inlineStr">
        <is>
          <t>2024-03</t>
        </is>
      </c>
      <c r="F1072" s="6" t="n">
        <v>186288.8068212484</v>
      </c>
      <c r="G1072" s="6" t="inlineStr">
        <is>
          <t>DOMESTICA</t>
        </is>
      </c>
      <c r="H1072" s="6" t="inlineStr">
        <is>
          <t>FIXO</t>
        </is>
      </c>
      <c r="I1072" s="11">
        <f>IF($H1072="AUTO_OFERTA_TOTAL_PRODUTO_PERIODO",SUMIFS(Oferta!$F:$F,Oferta!$A:$A,$A1072,Oferta!$E:$E,$E1072),$F1072)</f>
        <v/>
      </c>
      <c r="J1072" s="6" t="inlineStr">
        <is>
          <t>Informado</t>
        </is>
      </c>
      <c r="K1072" s="6" t="inlineStr">
        <is>
          <t>Demanda doméstica fixa informada pelo usuário.</t>
        </is>
      </c>
    </row>
    <row r="1073">
      <c r="A1073" s="6" t="inlineStr">
        <is>
          <t>Milho</t>
        </is>
      </c>
      <c r="B1073" s="6" t="inlineStr">
        <is>
          <t>Salvador - BA</t>
        </is>
      </c>
      <c r="C1073" s="6" t="n">
        <v>-12.9718</v>
      </c>
      <c r="D1073" s="6" t="n">
        <v>-38.5011</v>
      </c>
      <c r="E1073" s="6" t="inlineStr">
        <is>
          <t>2024-04</t>
        </is>
      </c>
      <c r="F1073" s="6" t="n">
        <v>235151.4446760022</v>
      </c>
      <c r="G1073" s="6" t="inlineStr">
        <is>
          <t>DOMESTICA</t>
        </is>
      </c>
      <c r="H1073" s="6" t="inlineStr">
        <is>
          <t>FIXO</t>
        </is>
      </c>
      <c r="I1073" s="11">
        <f>IF($H1073="AUTO_OFERTA_TOTAL_PRODUTO_PERIODO",SUMIFS(Oferta!$F:$F,Oferta!$A:$A,$A1073,Oferta!$E:$E,$E1073),$F1073)</f>
        <v/>
      </c>
      <c r="J1073" s="6" t="inlineStr">
        <is>
          <t>Informado</t>
        </is>
      </c>
      <c r="K1073" s="6" t="inlineStr">
        <is>
          <t>Demanda doméstica fixa informada pelo usuário.</t>
        </is>
      </c>
    </row>
    <row r="1074">
      <c r="A1074" s="6" t="inlineStr">
        <is>
          <t>Milho</t>
        </is>
      </c>
      <c r="B1074" s="6" t="inlineStr">
        <is>
          <t>Salvador - BA</t>
        </is>
      </c>
      <c r="C1074" s="6" t="n">
        <v>-12.9718</v>
      </c>
      <c r="D1074" s="6" t="n">
        <v>-38.5011</v>
      </c>
      <c r="E1074" s="6" t="inlineStr">
        <is>
          <t>2024-05</t>
        </is>
      </c>
      <c r="F1074" s="6" t="n">
        <v>332876.7203855095</v>
      </c>
      <c r="G1074" s="6" t="inlineStr">
        <is>
          <t>DOMESTICA</t>
        </is>
      </c>
      <c r="H1074" s="6" t="inlineStr">
        <is>
          <t>FIXO</t>
        </is>
      </c>
      <c r="I1074" s="11">
        <f>IF($H1074="AUTO_OFERTA_TOTAL_PRODUTO_PERIODO",SUMIFS(Oferta!$F:$F,Oferta!$A:$A,$A1074,Oferta!$E:$E,$E1074),$F1074)</f>
        <v/>
      </c>
      <c r="J1074" s="6" t="inlineStr">
        <is>
          <t>Informado</t>
        </is>
      </c>
      <c r="K1074" s="6" t="inlineStr">
        <is>
          <t>Demanda doméstica fixa informada pelo usuário.</t>
        </is>
      </c>
    </row>
    <row r="1075">
      <c r="A1075" s="6" t="inlineStr">
        <is>
          <t>Milho</t>
        </is>
      </c>
      <c r="B1075" s="6" t="inlineStr">
        <is>
          <t>Salvador - BA</t>
        </is>
      </c>
      <c r="C1075" s="6" t="n">
        <v>-12.9718</v>
      </c>
      <c r="D1075" s="6" t="n">
        <v>-38.5011</v>
      </c>
      <c r="E1075" s="6" t="inlineStr">
        <is>
          <t>2024-06</t>
        </is>
      </c>
      <c r="F1075" s="6" t="n">
        <v>455033.3150223938</v>
      </c>
      <c r="G1075" s="6" t="inlineStr">
        <is>
          <t>DOMESTICA</t>
        </is>
      </c>
      <c r="H1075" s="6" t="inlineStr">
        <is>
          <t>FIXO</t>
        </is>
      </c>
      <c r="I1075" s="11">
        <f>IF($H1075="AUTO_OFERTA_TOTAL_PRODUTO_PERIODO",SUMIFS(Oferta!$F:$F,Oferta!$A:$A,$A1075,Oferta!$E:$E,$E1075),$F1075)</f>
        <v/>
      </c>
      <c r="J1075" s="6" t="inlineStr">
        <is>
          <t>Informado</t>
        </is>
      </c>
      <c r="K1075" s="6" t="inlineStr">
        <is>
          <t>Demanda doméstica fixa informada pelo usuário.</t>
        </is>
      </c>
    </row>
    <row r="1076">
      <c r="A1076" s="6" t="inlineStr">
        <is>
          <t>Milho</t>
        </is>
      </c>
      <c r="B1076" s="6" t="inlineStr">
        <is>
          <t>Salvador - BA</t>
        </is>
      </c>
      <c r="C1076" s="6" t="n">
        <v>-12.9718</v>
      </c>
      <c r="D1076" s="6" t="n">
        <v>-38.5011</v>
      </c>
      <c r="E1076" s="6" t="inlineStr">
        <is>
          <t>2024-07</t>
        </is>
      </c>
      <c r="F1076" s="6" t="n">
        <v>455033.3150223938</v>
      </c>
      <c r="G1076" s="6" t="inlineStr">
        <is>
          <t>DOMESTICA</t>
        </is>
      </c>
      <c r="H1076" s="6" t="inlineStr">
        <is>
          <t>FIXO</t>
        </is>
      </c>
      <c r="I1076" s="11">
        <f>IF($H1076="AUTO_OFERTA_TOTAL_PRODUTO_PERIODO",SUMIFS(Oferta!$F:$F,Oferta!$A:$A,$A1076,Oferta!$E:$E,$E1076),$F1076)</f>
        <v/>
      </c>
      <c r="J1076" s="6" t="inlineStr">
        <is>
          <t>Informado</t>
        </is>
      </c>
      <c r="K1076" s="6" t="inlineStr">
        <is>
          <t>Demanda doméstica fixa informada pelo usuário.</t>
        </is>
      </c>
    </row>
    <row r="1077">
      <c r="A1077" s="6" t="inlineStr">
        <is>
          <t>Milho</t>
        </is>
      </c>
      <c r="B1077" s="6" t="inlineStr">
        <is>
          <t>Salvador - BA</t>
        </is>
      </c>
      <c r="C1077" s="6" t="n">
        <v>-12.9718</v>
      </c>
      <c r="D1077" s="6" t="n">
        <v>-38.5011</v>
      </c>
      <c r="E1077" s="6" t="inlineStr">
        <is>
          <t>2024-08</t>
        </is>
      </c>
      <c r="F1077" s="6" t="n">
        <v>357308.0393128864</v>
      </c>
      <c r="G1077" s="6" t="inlineStr">
        <is>
          <t>DOMESTICA</t>
        </is>
      </c>
      <c r="H1077" s="6" t="inlineStr">
        <is>
          <t>FIXO</t>
        </is>
      </c>
      <c r="I1077" s="11">
        <f>IF($H1077="AUTO_OFERTA_TOTAL_PRODUTO_PERIODO",SUMIFS(Oferta!$F:$F,Oferta!$A:$A,$A1077,Oferta!$E:$E,$E1077),$F1077)</f>
        <v/>
      </c>
      <c r="J1077" s="6" t="inlineStr">
        <is>
          <t>Informado</t>
        </is>
      </c>
      <c r="K1077" s="6" t="inlineStr">
        <is>
          <t>Demanda doméstica fixa informada pelo usuário.</t>
        </is>
      </c>
    </row>
    <row r="1078">
      <c r="A1078" s="6" t="inlineStr">
        <is>
          <t>Milho</t>
        </is>
      </c>
      <c r="B1078" s="6" t="inlineStr">
        <is>
          <t>Salvador - BA</t>
        </is>
      </c>
      <c r="C1078" s="6" t="n">
        <v>-12.9718</v>
      </c>
      <c r="D1078" s="6" t="n">
        <v>-38.5011</v>
      </c>
      <c r="E1078" s="6" t="inlineStr">
        <is>
          <t>2024-09</t>
        </is>
      </c>
      <c r="F1078" s="6" t="n">
        <v>235151.4446760021</v>
      </c>
      <c r="G1078" s="6" t="inlineStr">
        <is>
          <t>DOMESTICA</t>
        </is>
      </c>
      <c r="H1078" s="6" t="inlineStr">
        <is>
          <t>FIXO</t>
        </is>
      </c>
      <c r="I1078" s="11">
        <f>IF($H1078="AUTO_OFERTA_TOTAL_PRODUTO_PERIODO",SUMIFS(Oferta!$F:$F,Oferta!$A:$A,$A1078,Oferta!$E:$E,$E1078),$F1078)</f>
        <v/>
      </c>
      <c r="J1078" s="6" t="inlineStr">
        <is>
          <t>Informado</t>
        </is>
      </c>
      <c r="K1078" s="6" t="inlineStr">
        <is>
          <t>Demanda doméstica fixa informada pelo usuário.</t>
        </is>
      </c>
    </row>
    <row r="1079">
      <c r="A1079" s="6" t="inlineStr">
        <is>
          <t>Milho</t>
        </is>
      </c>
      <c r="B1079" s="6" t="inlineStr">
        <is>
          <t>Salvador - BA</t>
        </is>
      </c>
      <c r="C1079" s="6" t="n">
        <v>-12.9718</v>
      </c>
      <c r="D1079" s="6" t="n">
        <v>-38.5011</v>
      </c>
      <c r="E1079" s="6" t="inlineStr">
        <is>
          <t>2024-10</t>
        </is>
      </c>
      <c r="F1079" s="6" t="n">
        <v>235151.4446760022</v>
      </c>
      <c r="G1079" s="6" t="inlineStr">
        <is>
          <t>DOMESTICA</t>
        </is>
      </c>
      <c r="H1079" s="6" t="inlineStr">
        <is>
          <t>FIXO</t>
        </is>
      </c>
      <c r="I1079" s="11">
        <f>IF($H1079="AUTO_OFERTA_TOTAL_PRODUTO_PERIODO",SUMIFS(Oferta!$F:$F,Oferta!$A:$A,$A1079,Oferta!$E:$E,$E1079),$F1079)</f>
        <v/>
      </c>
      <c r="J1079" s="6" t="inlineStr">
        <is>
          <t>Informado</t>
        </is>
      </c>
      <c r="K1079" s="6" t="inlineStr">
        <is>
          <t>Demanda doméstica fixa informada pelo usuário.</t>
        </is>
      </c>
    </row>
    <row r="1080">
      <c r="A1080" s="6" t="inlineStr">
        <is>
          <t>Milho</t>
        </is>
      </c>
      <c r="B1080" s="6" t="inlineStr">
        <is>
          <t>Salvador - BA</t>
        </is>
      </c>
      <c r="C1080" s="6" t="n">
        <v>-12.9718</v>
      </c>
      <c r="D1080" s="6" t="n">
        <v>-38.5011</v>
      </c>
      <c r="E1080" s="6" t="inlineStr">
        <is>
          <t>2024-11</t>
        </is>
      </c>
      <c r="F1080" s="6" t="n">
        <v>381739.3582402632</v>
      </c>
      <c r="G1080" s="6" t="inlineStr">
        <is>
          <t>DOMESTICA</t>
        </is>
      </c>
      <c r="H1080" s="6" t="inlineStr">
        <is>
          <t>FIXO</t>
        </is>
      </c>
      <c r="I1080" s="11">
        <f>IF($H1080="AUTO_OFERTA_TOTAL_PRODUTO_PERIODO",SUMIFS(Oferta!$F:$F,Oferta!$A:$A,$A1080,Oferta!$E:$E,$E1080),$F1080)</f>
        <v/>
      </c>
      <c r="J1080" s="6" t="inlineStr">
        <is>
          <t>Informado</t>
        </is>
      </c>
      <c r="K1080" s="6" t="inlineStr">
        <is>
          <t>Demanda doméstica fixa informada pelo usuário.</t>
        </is>
      </c>
    </row>
    <row r="1081">
      <c r="A1081" s="6" t="inlineStr">
        <is>
          <t>Milho</t>
        </is>
      </c>
      <c r="B1081" s="6" t="inlineStr">
        <is>
          <t>Salvador - BA</t>
        </is>
      </c>
      <c r="C1081" s="6" t="n">
        <v>-12.9718</v>
      </c>
      <c r="D1081" s="6" t="n">
        <v>-38.5011</v>
      </c>
      <c r="E1081" s="6" t="inlineStr">
        <is>
          <t>2024-12</t>
        </is>
      </c>
      <c r="F1081" s="6" t="n">
        <v>406170.6771676401</v>
      </c>
      <c r="G1081" s="6" t="inlineStr">
        <is>
          <t>DOMESTICA</t>
        </is>
      </c>
      <c r="H1081" s="6" t="inlineStr">
        <is>
          <t>FIXO</t>
        </is>
      </c>
      <c r="I1081" s="11">
        <f>IF($H1081="AUTO_OFERTA_TOTAL_PRODUTO_PERIODO",SUMIFS(Oferta!$F:$F,Oferta!$A:$A,$A1081,Oferta!$E:$E,$E1081),$F1081)</f>
        <v/>
      </c>
      <c r="J1081" s="6" t="inlineStr">
        <is>
          <t>Informado</t>
        </is>
      </c>
      <c r="K1081" s="6" t="inlineStr">
        <is>
          <t>Demanda doméstica fixa informada pelo usuário.</t>
        </is>
      </c>
    </row>
    <row r="1082">
      <c r="A1082" s="6" t="inlineStr">
        <is>
          <t>Milho</t>
        </is>
      </c>
      <c r="B1082" s="6" t="inlineStr">
        <is>
          <t>Fortaleza - CE</t>
        </is>
      </c>
      <c r="C1082" s="6" t="n">
        <v>-3.71664</v>
      </c>
      <c r="D1082" s="6" t="n">
        <v>-38.5423</v>
      </c>
      <c r="E1082" s="6" t="inlineStr">
        <is>
          <t>2024-01</t>
        </is>
      </c>
      <c r="F1082" s="6" t="n">
        <v>79951.775604594</v>
      </c>
      <c r="G1082" s="6" t="inlineStr">
        <is>
          <t>DOMESTICA</t>
        </is>
      </c>
      <c r="H1082" s="6" t="inlineStr">
        <is>
          <t>FIXO</t>
        </is>
      </c>
      <c r="I1082" s="11">
        <f>IF($H1082="AUTO_OFERTA_TOTAL_PRODUTO_PERIODO",SUMIFS(Oferta!$F:$F,Oferta!$A:$A,$A1082,Oferta!$E:$E,$E1082),$F1082)</f>
        <v/>
      </c>
      <c r="J1082" s="6" t="inlineStr">
        <is>
          <t>Informado</t>
        </is>
      </c>
      <c r="K1082" s="6" t="inlineStr">
        <is>
          <t>Demanda doméstica fixa informada pelo usuário.</t>
        </is>
      </c>
    </row>
    <row r="1083">
      <c r="A1083" s="6" t="inlineStr">
        <is>
          <t>Milho</t>
        </is>
      </c>
      <c r="B1083" s="6" t="inlineStr">
        <is>
          <t>Fortaleza - CE</t>
        </is>
      </c>
      <c r="C1083" s="6" t="n">
        <v>-3.71664</v>
      </c>
      <c r="D1083" s="6" t="n">
        <v>-38.5423</v>
      </c>
      <c r="E1083" s="6" t="inlineStr">
        <is>
          <t>2024-02</t>
        </is>
      </c>
      <c r="F1083" s="6" t="n">
        <v>79951.775604594</v>
      </c>
      <c r="G1083" s="6" t="inlineStr">
        <is>
          <t>DOMESTICA</t>
        </is>
      </c>
      <c r="H1083" s="6" t="inlineStr">
        <is>
          <t>FIXO</t>
        </is>
      </c>
      <c r="I1083" s="11">
        <f>IF($H1083="AUTO_OFERTA_TOTAL_PRODUTO_PERIODO",SUMIFS(Oferta!$F:$F,Oferta!$A:$A,$A1083,Oferta!$E:$E,$E1083),$F1083)</f>
        <v/>
      </c>
      <c r="J1083" s="6" t="inlineStr">
        <is>
          <t>Informado</t>
        </is>
      </c>
      <c r="K1083" s="6" t="inlineStr">
        <is>
          <t>Demanda doméstica fixa informada pelo usuário.</t>
        </is>
      </c>
    </row>
    <row r="1084">
      <c r="A1084" s="6" t="inlineStr">
        <is>
          <t>Milho</t>
        </is>
      </c>
      <c r="B1084" s="6" t="inlineStr">
        <is>
          <t>Fortaleza - CE</t>
        </is>
      </c>
      <c r="C1084" s="6" t="n">
        <v>-3.71664</v>
      </c>
      <c r="D1084" s="6" t="n">
        <v>-38.5423</v>
      </c>
      <c r="E1084" s="6" t="inlineStr">
        <is>
          <t>2024-03</t>
        </is>
      </c>
      <c r="F1084" s="6" t="n">
        <v>79951.775604594</v>
      </c>
      <c r="G1084" s="6" t="inlineStr">
        <is>
          <t>DOMESTICA</t>
        </is>
      </c>
      <c r="H1084" s="6" t="inlineStr">
        <is>
          <t>FIXO</t>
        </is>
      </c>
      <c r="I1084" s="11">
        <f>IF($H1084="AUTO_OFERTA_TOTAL_PRODUTO_PERIODO",SUMIFS(Oferta!$F:$F,Oferta!$A:$A,$A1084,Oferta!$E:$E,$E1084),$F1084)</f>
        <v/>
      </c>
      <c r="J1084" s="6" t="inlineStr">
        <is>
          <t>Informado</t>
        </is>
      </c>
      <c r="K1084" s="6" t="inlineStr">
        <is>
          <t>Demanda doméstica fixa informada pelo usuário.</t>
        </is>
      </c>
    </row>
    <row r="1085">
      <c r="A1085" s="6" t="inlineStr">
        <is>
          <t>Milho</t>
        </is>
      </c>
      <c r="B1085" s="6" t="inlineStr">
        <is>
          <t>Fortaleza - CE</t>
        </is>
      </c>
      <c r="C1085" s="6" t="n">
        <v>-3.71664</v>
      </c>
      <c r="D1085" s="6" t="n">
        <v>-38.5423</v>
      </c>
      <c r="E1085" s="6" t="inlineStr">
        <is>
          <t>2024-04</t>
        </is>
      </c>
      <c r="F1085" s="6" t="n">
        <v>79951.775604594</v>
      </c>
      <c r="G1085" s="6" t="inlineStr">
        <is>
          <t>DOMESTICA</t>
        </is>
      </c>
      <c r="H1085" s="6" t="inlineStr">
        <is>
          <t>FIXO</t>
        </is>
      </c>
      <c r="I1085" s="11">
        <f>IF($H1085="AUTO_OFERTA_TOTAL_PRODUTO_PERIODO",SUMIFS(Oferta!$F:$F,Oferta!$A:$A,$A1085,Oferta!$E:$E,$E1085),$F1085)</f>
        <v/>
      </c>
      <c r="J1085" s="6" t="inlineStr">
        <is>
          <t>Informado</t>
        </is>
      </c>
      <c r="K1085" s="6" t="inlineStr">
        <is>
          <t>Demanda doméstica fixa informada pelo usuário.</t>
        </is>
      </c>
    </row>
    <row r="1086">
      <c r="A1086" s="6" t="inlineStr">
        <is>
          <t>Milho</t>
        </is>
      </c>
      <c r="B1086" s="6" t="inlineStr">
        <is>
          <t>Fortaleza - CE</t>
        </is>
      </c>
      <c r="C1086" s="6" t="n">
        <v>-3.71664</v>
      </c>
      <c r="D1086" s="6" t="n">
        <v>-38.5423</v>
      </c>
      <c r="E1086" s="6" t="inlineStr">
        <is>
          <t>2024-05</t>
        </is>
      </c>
      <c r="F1086" s="6" t="n">
        <v>79951.775604594</v>
      </c>
      <c r="G1086" s="6" t="inlineStr">
        <is>
          <t>DOMESTICA</t>
        </is>
      </c>
      <c r="H1086" s="6" t="inlineStr">
        <is>
          <t>FIXO</t>
        </is>
      </c>
      <c r="I1086" s="11">
        <f>IF($H1086="AUTO_OFERTA_TOTAL_PRODUTO_PERIODO",SUMIFS(Oferta!$F:$F,Oferta!$A:$A,$A1086,Oferta!$E:$E,$E1086),$F1086)</f>
        <v/>
      </c>
      <c r="J1086" s="6" t="inlineStr">
        <is>
          <t>Informado</t>
        </is>
      </c>
      <c r="K1086" s="6" t="inlineStr">
        <is>
          <t>Demanda doméstica fixa informada pelo usuário.</t>
        </is>
      </c>
    </row>
    <row r="1087">
      <c r="A1087" s="6" t="inlineStr">
        <is>
          <t>Milho</t>
        </is>
      </c>
      <c r="B1087" s="6" t="inlineStr">
        <is>
          <t>Fortaleza - CE</t>
        </is>
      </c>
      <c r="C1087" s="6" t="n">
        <v>-3.71664</v>
      </c>
      <c r="D1087" s="6" t="n">
        <v>-38.5423</v>
      </c>
      <c r="E1087" s="6" t="inlineStr">
        <is>
          <t>2024-06</t>
        </is>
      </c>
      <c r="F1087" s="6" t="n">
        <v>104088.1606927734</v>
      </c>
      <c r="G1087" s="6" t="inlineStr">
        <is>
          <t>DOMESTICA</t>
        </is>
      </c>
      <c r="H1087" s="6" t="inlineStr">
        <is>
          <t>FIXO</t>
        </is>
      </c>
      <c r="I1087" s="11">
        <f>IF($H1087="AUTO_OFERTA_TOTAL_PRODUTO_PERIODO",SUMIFS(Oferta!$F:$F,Oferta!$A:$A,$A1087,Oferta!$E:$E,$E1087),$F1087)</f>
        <v/>
      </c>
      <c r="J1087" s="6" t="inlineStr">
        <is>
          <t>Informado</t>
        </is>
      </c>
      <c r="K1087" s="6" t="inlineStr">
        <is>
          <t>Demanda doméstica fixa informada pelo usuário.</t>
        </is>
      </c>
    </row>
    <row r="1088">
      <c r="A1088" s="6" t="inlineStr">
        <is>
          <t>Milho</t>
        </is>
      </c>
      <c r="B1088" s="6" t="inlineStr">
        <is>
          <t>Fortaleza - CE</t>
        </is>
      </c>
      <c r="C1088" s="6" t="n">
        <v>-3.71664</v>
      </c>
      <c r="D1088" s="6" t="n">
        <v>-38.5423</v>
      </c>
      <c r="E1088" s="6" t="inlineStr">
        <is>
          <t>2024-07</t>
        </is>
      </c>
      <c r="F1088" s="6" t="n">
        <v>128224.5457809527</v>
      </c>
      <c r="G1088" s="6" t="inlineStr">
        <is>
          <t>DOMESTICA</t>
        </is>
      </c>
      <c r="H1088" s="6" t="inlineStr">
        <is>
          <t>FIXO</t>
        </is>
      </c>
      <c r="I1088" s="11">
        <f>IF($H1088="AUTO_OFERTA_TOTAL_PRODUTO_PERIODO",SUMIFS(Oferta!$F:$F,Oferta!$A:$A,$A1088,Oferta!$E:$E,$E1088),$F1088)</f>
        <v/>
      </c>
      <c r="J1088" s="6" t="inlineStr">
        <is>
          <t>Informado</t>
        </is>
      </c>
      <c r="K1088" s="6" t="inlineStr">
        <is>
          <t>Demanda doméstica fixa informada pelo usuário.</t>
        </is>
      </c>
    </row>
    <row r="1089">
      <c r="A1089" s="6" t="inlineStr">
        <is>
          <t>Milho</t>
        </is>
      </c>
      <c r="B1089" s="6" t="inlineStr">
        <is>
          <t>Fortaleza - CE</t>
        </is>
      </c>
      <c r="C1089" s="6" t="n">
        <v>-3.71664</v>
      </c>
      <c r="D1089" s="6" t="n">
        <v>-38.5423</v>
      </c>
      <c r="E1089" s="6" t="inlineStr">
        <is>
          <t>2024-08</t>
        </is>
      </c>
      <c r="F1089" s="6" t="n">
        <v>200633.7010454907</v>
      </c>
      <c r="G1089" s="6" t="inlineStr">
        <is>
          <t>DOMESTICA</t>
        </is>
      </c>
      <c r="H1089" s="6" t="inlineStr">
        <is>
          <t>FIXO</t>
        </is>
      </c>
      <c r="I1089" s="11">
        <f>IF($H1089="AUTO_OFERTA_TOTAL_PRODUTO_PERIODO",SUMIFS(Oferta!$F:$F,Oferta!$A:$A,$A1089,Oferta!$E:$E,$E1089),$F1089)</f>
        <v/>
      </c>
      <c r="J1089" s="6" t="inlineStr">
        <is>
          <t>Informado</t>
        </is>
      </c>
      <c r="K1089" s="6" t="inlineStr">
        <is>
          <t>Demanda doméstica fixa informada pelo usuário.</t>
        </is>
      </c>
    </row>
    <row r="1090">
      <c r="A1090" s="6" t="inlineStr">
        <is>
          <t>Milho</t>
        </is>
      </c>
      <c r="B1090" s="6" t="inlineStr">
        <is>
          <t>Fortaleza - CE</t>
        </is>
      </c>
      <c r="C1090" s="6" t="n">
        <v>-3.71664</v>
      </c>
      <c r="D1090" s="6" t="n">
        <v>-38.5423</v>
      </c>
      <c r="E1090" s="6" t="inlineStr">
        <is>
          <t>2024-09</t>
        </is>
      </c>
      <c r="F1090" s="6" t="n">
        <v>200633.7010454907</v>
      </c>
      <c r="G1090" s="6" t="inlineStr">
        <is>
          <t>DOMESTICA</t>
        </is>
      </c>
      <c r="H1090" s="6" t="inlineStr">
        <is>
          <t>FIXO</t>
        </is>
      </c>
      <c r="I1090" s="11">
        <f>IF($H1090="AUTO_OFERTA_TOTAL_PRODUTO_PERIODO",SUMIFS(Oferta!$F:$F,Oferta!$A:$A,$A1090,Oferta!$E:$E,$E1090),$F1090)</f>
        <v/>
      </c>
      <c r="J1090" s="6" t="inlineStr">
        <is>
          <t>Informado</t>
        </is>
      </c>
      <c r="K1090" s="6" t="inlineStr">
        <is>
          <t>Demanda doméstica fixa informada pelo usuário.</t>
        </is>
      </c>
    </row>
    <row r="1091">
      <c r="A1091" s="6" t="inlineStr">
        <is>
          <t>Milho</t>
        </is>
      </c>
      <c r="B1091" s="6" t="inlineStr">
        <is>
          <t>Fortaleza - CE</t>
        </is>
      </c>
      <c r="C1091" s="6" t="n">
        <v>-3.71664</v>
      </c>
      <c r="D1091" s="6" t="n">
        <v>-38.5423</v>
      </c>
      <c r="E1091" s="6" t="inlineStr">
        <is>
          <t>2024-10</t>
        </is>
      </c>
      <c r="F1091" s="6" t="n">
        <v>188565.508501401</v>
      </c>
      <c r="G1091" s="6" t="inlineStr">
        <is>
          <t>DOMESTICA</t>
        </is>
      </c>
      <c r="H1091" s="6" t="inlineStr">
        <is>
          <t>FIXO</t>
        </is>
      </c>
      <c r="I1091" s="11">
        <f>IF($H1091="AUTO_OFERTA_TOTAL_PRODUTO_PERIODO",SUMIFS(Oferta!$F:$F,Oferta!$A:$A,$A1091,Oferta!$E:$E,$E1091),$F1091)</f>
        <v/>
      </c>
      <c r="J1091" s="6" t="inlineStr">
        <is>
          <t>Informado</t>
        </is>
      </c>
      <c r="K1091" s="6" t="inlineStr">
        <is>
          <t>Demanda doméstica fixa informada pelo usuário.</t>
        </is>
      </c>
    </row>
    <row r="1092">
      <c r="A1092" s="6" t="inlineStr">
        <is>
          <t>Milho</t>
        </is>
      </c>
      <c r="B1092" s="6" t="inlineStr">
        <is>
          <t>Fortaleza - CE</t>
        </is>
      </c>
      <c r="C1092" s="6" t="n">
        <v>-3.71664</v>
      </c>
      <c r="D1092" s="6" t="n">
        <v>-38.5423</v>
      </c>
      <c r="E1092" s="6" t="inlineStr">
        <is>
          <t>2024-11</t>
        </is>
      </c>
      <c r="F1092" s="6" t="n">
        <v>116156.353236863</v>
      </c>
      <c r="G1092" s="6" t="inlineStr">
        <is>
          <t>DOMESTICA</t>
        </is>
      </c>
      <c r="H1092" s="6" t="inlineStr">
        <is>
          <t>FIXO</t>
        </is>
      </c>
      <c r="I1092" s="11">
        <f>IF($H1092="AUTO_OFERTA_TOTAL_PRODUTO_PERIODO",SUMIFS(Oferta!$F:$F,Oferta!$A:$A,$A1092,Oferta!$E:$E,$E1092),$F1092)</f>
        <v/>
      </c>
      <c r="J1092" s="6" t="inlineStr">
        <is>
          <t>Informado</t>
        </is>
      </c>
      <c r="K1092" s="6" t="inlineStr">
        <is>
          <t>Demanda doméstica fixa informada pelo usuário.</t>
        </is>
      </c>
    </row>
    <row r="1093">
      <c r="A1093" s="6" t="inlineStr">
        <is>
          <t>Milho</t>
        </is>
      </c>
      <c r="B1093" s="6" t="inlineStr">
        <is>
          <t>Fortaleza - CE</t>
        </is>
      </c>
      <c r="C1093" s="6" t="n">
        <v>-3.71664</v>
      </c>
      <c r="D1093" s="6" t="n">
        <v>-38.5423</v>
      </c>
      <c r="E1093" s="6" t="inlineStr">
        <is>
          <t>2024-12</t>
        </is>
      </c>
      <c r="F1093" s="6" t="n">
        <v>92019.96814868371</v>
      </c>
      <c r="G1093" s="6" t="inlineStr">
        <is>
          <t>DOMESTICA</t>
        </is>
      </c>
      <c r="H1093" s="6" t="inlineStr">
        <is>
          <t>FIXO</t>
        </is>
      </c>
      <c r="I1093" s="11">
        <f>IF($H1093="AUTO_OFERTA_TOTAL_PRODUTO_PERIODO",SUMIFS(Oferta!$F:$F,Oferta!$A:$A,$A1093,Oferta!$E:$E,$E1093),$F1093)</f>
        <v/>
      </c>
      <c r="J1093" s="6" t="inlineStr">
        <is>
          <t>Informado</t>
        </is>
      </c>
      <c r="K1093" s="6" t="inlineStr">
        <is>
          <t>Demanda doméstica fixa informada pelo usuário.</t>
        </is>
      </c>
    </row>
    <row r="1094">
      <c r="A1094" s="6" t="inlineStr">
        <is>
          <t>Milho</t>
        </is>
      </c>
      <c r="B1094" s="6" t="inlineStr">
        <is>
          <t>São Luís - MA</t>
        </is>
      </c>
      <c r="C1094" s="6" t="n">
        <v>-2.53874</v>
      </c>
      <c r="D1094" s="6" t="n">
        <v>-44.2825</v>
      </c>
      <c r="E1094" s="6" t="inlineStr">
        <is>
          <t>2024-01</t>
        </is>
      </c>
      <c r="F1094" s="6" t="n">
        <v>53664.8462469148</v>
      </c>
      <c r="G1094" s="6" t="inlineStr">
        <is>
          <t>DOMESTICA</t>
        </is>
      </c>
      <c r="H1094" s="6" t="inlineStr">
        <is>
          <t>FIXO</t>
        </is>
      </c>
      <c r="I1094" s="11">
        <f>IF($H1094="AUTO_OFERTA_TOTAL_PRODUTO_PERIODO",SUMIFS(Oferta!$F:$F,Oferta!$A:$A,$A1094,Oferta!$E:$E,$E1094),$F1094)</f>
        <v/>
      </c>
      <c r="J1094" s="6" t="inlineStr">
        <is>
          <t>Informado</t>
        </is>
      </c>
      <c r="K1094" s="6" t="inlineStr">
        <is>
          <t>Demanda doméstica fixa informada pelo usuário.</t>
        </is>
      </c>
    </row>
    <row r="1095">
      <c r="A1095" s="6" t="inlineStr">
        <is>
          <t>Milho</t>
        </is>
      </c>
      <c r="B1095" s="6" t="inlineStr">
        <is>
          <t>São Luís - MA</t>
        </is>
      </c>
      <c r="C1095" s="6" t="n">
        <v>-2.53874</v>
      </c>
      <c r="D1095" s="6" t="n">
        <v>-44.2825</v>
      </c>
      <c r="E1095" s="6" t="inlineStr">
        <is>
          <t>2024-02</t>
        </is>
      </c>
      <c r="F1095" s="6" t="n">
        <v>53664.8462469148</v>
      </c>
      <c r="G1095" s="6" t="inlineStr">
        <is>
          <t>DOMESTICA</t>
        </is>
      </c>
      <c r="H1095" s="6" t="inlineStr">
        <is>
          <t>FIXO</t>
        </is>
      </c>
      <c r="I1095" s="11">
        <f>IF($H1095="AUTO_OFERTA_TOTAL_PRODUTO_PERIODO",SUMIFS(Oferta!$F:$F,Oferta!$A:$A,$A1095,Oferta!$E:$E,$E1095),$F1095)</f>
        <v/>
      </c>
      <c r="J1095" s="6" t="inlineStr">
        <is>
          <t>Informado</t>
        </is>
      </c>
      <c r="K1095" s="6" t="inlineStr">
        <is>
          <t>Demanda doméstica fixa informada pelo usuário.</t>
        </is>
      </c>
    </row>
    <row r="1096">
      <c r="A1096" s="6" t="inlineStr">
        <is>
          <t>Milho</t>
        </is>
      </c>
      <c r="B1096" s="6" t="inlineStr">
        <is>
          <t>São Luís - MA</t>
        </is>
      </c>
      <c r="C1096" s="6" t="n">
        <v>-2.53874</v>
      </c>
      <c r="D1096" s="6" t="n">
        <v>-44.2825</v>
      </c>
      <c r="E1096" s="6" t="inlineStr">
        <is>
          <t>2024-03</t>
        </is>
      </c>
      <c r="F1096" s="6" t="n">
        <v>61765.2003973925</v>
      </c>
      <c r="G1096" s="6" t="inlineStr">
        <is>
          <t>DOMESTICA</t>
        </is>
      </c>
      <c r="H1096" s="6" t="inlineStr">
        <is>
          <t>FIXO</t>
        </is>
      </c>
      <c r="I1096" s="11">
        <f>IF($H1096="AUTO_OFERTA_TOTAL_PRODUTO_PERIODO",SUMIFS(Oferta!$F:$F,Oferta!$A:$A,$A1096,Oferta!$E:$E,$E1096),$F1096)</f>
        <v/>
      </c>
      <c r="J1096" s="6" t="inlineStr">
        <is>
          <t>Informado</t>
        </is>
      </c>
      <c r="K1096" s="6" t="inlineStr">
        <is>
          <t>Demanda doméstica fixa informada pelo usuário.</t>
        </is>
      </c>
    </row>
    <row r="1097">
      <c r="A1097" s="6" t="inlineStr">
        <is>
          <t>Milho</t>
        </is>
      </c>
      <c r="B1097" s="6" t="inlineStr">
        <is>
          <t>São Luís - MA</t>
        </is>
      </c>
      <c r="C1097" s="6" t="n">
        <v>-2.53874</v>
      </c>
      <c r="D1097" s="6" t="n">
        <v>-44.2825</v>
      </c>
      <c r="E1097" s="6" t="inlineStr">
        <is>
          <t>2024-04</t>
        </is>
      </c>
      <c r="F1097" s="6" t="n">
        <v>77965.90869834791</v>
      </c>
      <c r="G1097" s="6" t="inlineStr">
        <is>
          <t>DOMESTICA</t>
        </is>
      </c>
      <c r="H1097" s="6" t="inlineStr">
        <is>
          <t>FIXO</t>
        </is>
      </c>
      <c r="I1097" s="11">
        <f>IF($H1097="AUTO_OFERTA_TOTAL_PRODUTO_PERIODO",SUMIFS(Oferta!$F:$F,Oferta!$A:$A,$A1097,Oferta!$E:$E,$E1097),$F1097)</f>
        <v/>
      </c>
      <c r="J1097" s="6" t="inlineStr">
        <is>
          <t>Informado</t>
        </is>
      </c>
      <c r="K1097" s="6" t="inlineStr">
        <is>
          <t>Demanda doméstica fixa informada pelo usuário.</t>
        </is>
      </c>
    </row>
    <row r="1098">
      <c r="A1098" s="6" t="inlineStr">
        <is>
          <t>Milho</t>
        </is>
      </c>
      <c r="B1098" s="6" t="inlineStr">
        <is>
          <t>São Luís - MA</t>
        </is>
      </c>
      <c r="C1098" s="6" t="n">
        <v>-2.53874</v>
      </c>
      <c r="D1098" s="6" t="n">
        <v>-44.2825</v>
      </c>
      <c r="E1098" s="6" t="inlineStr">
        <is>
          <t>2024-05</t>
        </is>
      </c>
      <c r="F1098" s="6" t="n">
        <v>126568.0336012141</v>
      </c>
      <c r="G1098" s="6" t="inlineStr">
        <is>
          <t>DOMESTICA</t>
        </is>
      </c>
      <c r="H1098" s="6" t="inlineStr">
        <is>
          <t>FIXO</t>
        </is>
      </c>
      <c r="I1098" s="11">
        <f>IF($H1098="AUTO_OFERTA_TOTAL_PRODUTO_PERIODO",SUMIFS(Oferta!$F:$F,Oferta!$A:$A,$A1098,Oferta!$E:$E,$E1098),$F1098)</f>
        <v/>
      </c>
      <c r="J1098" s="6" t="inlineStr">
        <is>
          <t>Informado</t>
        </is>
      </c>
      <c r="K1098" s="6" t="inlineStr">
        <is>
          <t>Demanda doméstica fixa informada pelo usuário.</t>
        </is>
      </c>
    </row>
    <row r="1099">
      <c r="A1099" s="6" t="inlineStr">
        <is>
          <t>Milho</t>
        </is>
      </c>
      <c r="B1099" s="6" t="inlineStr">
        <is>
          <t>São Luís - MA</t>
        </is>
      </c>
      <c r="C1099" s="6" t="n">
        <v>-2.53874</v>
      </c>
      <c r="D1099" s="6" t="n">
        <v>-44.2825</v>
      </c>
      <c r="E1099" s="6" t="inlineStr">
        <is>
          <t>2024-06</t>
        </is>
      </c>
      <c r="F1099" s="6" t="n">
        <v>150869.0960526472</v>
      </c>
      <c r="G1099" s="6" t="inlineStr">
        <is>
          <t>DOMESTICA</t>
        </is>
      </c>
      <c r="H1099" s="6" t="inlineStr">
        <is>
          <t>FIXO</t>
        </is>
      </c>
      <c r="I1099" s="11">
        <f>IF($H1099="AUTO_OFERTA_TOTAL_PRODUTO_PERIODO",SUMIFS(Oferta!$F:$F,Oferta!$A:$A,$A1099,Oferta!$E:$E,$E1099),$F1099)</f>
        <v/>
      </c>
      <c r="J1099" s="6" t="inlineStr">
        <is>
          <t>Informado</t>
        </is>
      </c>
      <c r="K1099" s="6" t="inlineStr">
        <is>
          <t>Demanda doméstica fixa informada pelo usuário.</t>
        </is>
      </c>
    </row>
    <row r="1100">
      <c r="A1100" s="6" t="inlineStr">
        <is>
          <t>Milho</t>
        </is>
      </c>
      <c r="B1100" s="6" t="inlineStr">
        <is>
          <t>São Luís - MA</t>
        </is>
      </c>
      <c r="C1100" s="6" t="n">
        <v>-2.53874</v>
      </c>
      <c r="D1100" s="6" t="n">
        <v>-44.2825</v>
      </c>
      <c r="E1100" s="6" t="inlineStr">
        <is>
          <t>2024-07</t>
        </is>
      </c>
      <c r="F1100" s="6" t="n">
        <v>183270.5126545581</v>
      </c>
      <c r="G1100" s="6" t="inlineStr">
        <is>
          <t>DOMESTICA</t>
        </is>
      </c>
      <c r="H1100" s="6" t="inlineStr">
        <is>
          <t>FIXO</t>
        </is>
      </c>
      <c r="I1100" s="11">
        <f>IF($H1100="AUTO_OFERTA_TOTAL_PRODUTO_PERIODO",SUMIFS(Oferta!$F:$F,Oferta!$A:$A,$A1100,Oferta!$E:$E,$E1100),$F1100)</f>
        <v/>
      </c>
      <c r="J1100" s="6" t="inlineStr">
        <is>
          <t>Informado</t>
        </is>
      </c>
      <c r="K1100" s="6" t="inlineStr">
        <is>
          <t>Demanda doméstica fixa informada pelo usuário.</t>
        </is>
      </c>
    </row>
    <row r="1101">
      <c r="A1101" s="6" t="inlineStr">
        <is>
          <t>Milho</t>
        </is>
      </c>
      <c r="B1101" s="6" t="inlineStr">
        <is>
          <t>São Luís - MA</t>
        </is>
      </c>
      <c r="C1101" s="6" t="n">
        <v>-2.53874</v>
      </c>
      <c r="D1101" s="6" t="n">
        <v>-44.2825</v>
      </c>
      <c r="E1101" s="6" t="inlineStr">
        <is>
          <t>2024-08</t>
        </is>
      </c>
      <c r="F1101" s="6" t="n">
        <v>167069.8043536027</v>
      </c>
      <c r="G1101" s="6" t="inlineStr">
        <is>
          <t>DOMESTICA</t>
        </is>
      </c>
      <c r="H1101" s="6" t="inlineStr">
        <is>
          <t>FIXO</t>
        </is>
      </c>
      <c r="I1101" s="11">
        <f>IF($H1101="AUTO_OFERTA_TOTAL_PRODUTO_PERIODO",SUMIFS(Oferta!$F:$F,Oferta!$A:$A,$A1101,Oferta!$E:$E,$E1101),$F1101)</f>
        <v/>
      </c>
      <c r="J1101" s="6" t="inlineStr">
        <is>
          <t>Informado</t>
        </is>
      </c>
      <c r="K1101" s="6" t="inlineStr">
        <is>
          <t>Demanda doméstica fixa informada pelo usuário.</t>
        </is>
      </c>
    </row>
    <row r="1102">
      <c r="A1102" s="6" t="inlineStr">
        <is>
          <t>Milho</t>
        </is>
      </c>
      <c r="B1102" s="6" t="inlineStr">
        <is>
          <t>São Luís - MA</t>
        </is>
      </c>
      <c r="C1102" s="6" t="n">
        <v>-2.53874</v>
      </c>
      <c r="D1102" s="6" t="n">
        <v>-44.2825</v>
      </c>
      <c r="E1102" s="6" t="inlineStr">
        <is>
          <t>2024-09</t>
        </is>
      </c>
      <c r="F1102" s="6" t="n">
        <v>150869.0960526472</v>
      </c>
      <c r="G1102" s="6" t="inlineStr">
        <is>
          <t>DOMESTICA</t>
        </is>
      </c>
      <c r="H1102" s="6" t="inlineStr">
        <is>
          <t>FIXO</t>
        </is>
      </c>
      <c r="I1102" s="11">
        <f>IF($H1102="AUTO_OFERTA_TOTAL_PRODUTO_PERIODO",SUMIFS(Oferta!$F:$F,Oferta!$A:$A,$A1102,Oferta!$E:$E,$E1102),$F1102)</f>
        <v/>
      </c>
      <c r="J1102" s="6" t="inlineStr">
        <is>
          <t>Informado</t>
        </is>
      </c>
      <c r="K1102" s="6" t="inlineStr">
        <is>
          <t>Demanda doméstica fixa informada pelo usuário.</t>
        </is>
      </c>
    </row>
    <row r="1103">
      <c r="A1103" s="6" t="inlineStr">
        <is>
          <t>Milho</t>
        </is>
      </c>
      <c r="B1103" s="6" t="inlineStr">
        <is>
          <t>São Luís - MA</t>
        </is>
      </c>
      <c r="C1103" s="6" t="n">
        <v>-2.53874</v>
      </c>
      <c r="D1103" s="6" t="n">
        <v>-44.2825</v>
      </c>
      <c r="E1103" s="6" t="inlineStr">
        <is>
          <t>2024-10</t>
        </is>
      </c>
      <c r="F1103" s="6" t="n">
        <v>102266.971149781</v>
      </c>
      <c r="G1103" s="6" t="inlineStr">
        <is>
          <t>DOMESTICA</t>
        </is>
      </c>
      <c r="H1103" s="6" t="inlineStr">
        <is>
          <t>FIXO</t>
        </is>
      </c>
      <c r="I1103" s="11">
        <f>IF($H1103="AUTO_OFERTA_TOTAL_PRODUTO_PERIODO",SUMIFS(Oferta!$F:$F,Oferta!$A:$A,$A1103,Oferta!$E:$E,$E1103),$F1103)</f>
        <v/>
      </c>
      <c r="J1103" s="6" t="inlineStr">
        <is>
          <t>Informado</t>
        </is>
      </c>
      <c r="K1103" s="6" t="inlineStr">
        <is>
          <t>Demanda doméstica fixa informada pelo usuário.</t>
        </is>
      </c>
    </row>
    <row r="1104">
      <c r="A1104" s="6" t="inlineStr">
        <is>
          <t>Milho</t>
        </is>
      </c>
      <c r="B1104" s="6" t="inlineStr">
        <is>
          <t>São Luís - MA</t>
        </is>
      </c>
      <c r="C1104" s="6" t="n">
        <v>-2.53874</v>
      </c>
      <c r="D1104" s="6" t="n">
        <v>-44.2825</v>
      </c>
      <c r="E1104" s="6" t="inlineStr">
        <is>
          <t>2024-11</t>
        </is>
      </c>
      <c r="F1104" s="6" t="n">
        <v>69865.5545478702</v>
      </c>
      <c r="G1104" s="6" t="inlineStr">
        <is>
          <t>DOMESTICA</t>
        </is>
      </c>
      <c r="H1104" s="6" t="inlineStr">
        <is>
          <t>FIXO</t>
        </is>
      </c>
      <c r="I1104" s="11">
        <f>IF($H1104="AUTO_OFERTA_TOTAL_PRODUTO_PERIODO",SUMIFS(Oferta!$F:$F,Oferta!$A:$A,$A1104,Oferta!$E:$E,$E1104),$F1104)</f>
        <v/>
      </c>
      <c r="J1104" s="6" t="inlineStr">
        <is>
          <t>Informado</t>
        </is>
      </c>
      <c r="K1104" s="6" t="inlineStr">
        <is>
          <t>Demanda doméstica fixa informada pelo usuário.</t>
        </is>
      </c>
    </row>
    <row r="1105">
      <c r="A1105" s="6" t="inlineStr">
        <is>
          <t>Milho</t>
        </is>
      </c>
      <c r="B1105" s="6" t="inlineStr">
        <is>
          <t>São Luís - MA</t>
        </is>
      </c>
      <c r="C1105" s="6" t="n">
        <v>-2.53874</v>
      </c>
      <c r="D1105" s="6" t="n">
        <v>-44.2825</v>
      </c>
      <c r="E1105" s="6" t="inlineStr">
        <is>
          <t>2024-12</t>
        </is>
      </c>
      <c r="F1105" s="6" t="n">
        <v>53664.8462469148</v>
      </c>
      <c r="G1105" s="6" t="inlineStr">
        <is>
          <t>DOMESTICA</t>
        </is>
      </c>
      <c r="H1105" s="6" t="inlineStr">
        <is>
          <t>FIXO</t>
        </is>
      </c>
      <c r="I1105" s="11">
        <f>IF($H1105="AUTO_OFERTA_TOTAL_PRODUTO_PERIODO",SUMIFS(Oferta!$F:$F,Oferta!$A:$A,$A1105,Oferta!$E:$E,$E1105),$F1105)</f>
        <v/>
      </c>
      <c r="J1105" s="6" t="inlineStr">
        <is>
          <t>Informado</t>
        </is>
      </c>
      <c r="K1105" s="6" t="inlineStr">
        <is>
          <t>Demanda doméstica fixa informada pelo usuário.</t>
        </is>
      </c>
    </row>
    <row r="1106">
      <c r="A1106" s="6" t="inlineStr">
        <is>
          <t>Milho</t>
        </is>
      </c>
      <c r="B1106" s="6" t="inlineStr">
        <is>
          <t>João Pessoa - PB</t>
        </is>
      </c>
      <c r="C1106" s="6" t="n">
        <v>-7.11509</v>
      </c>
      <c r="D1106" s="6" t="n">
        <v>-34.8641</v>
      </c>
      <c r="E1106" s="6" t="inlineStr">
        <is>
          <t>2024-01</t>
        </is>
      </c>
      <c r="F1106" s="6" t="n">
        <v>44978.6875032032</v>
      </c>
      <c r="G1106" s="6" t="inlineStr">
        <is>
          <t>DOMESTICA</t>
        </is>
      </c>
      <c r="H1106" s="6" t="inlineStr">
        <is>
          <t>FIXO</t>
        </is>
      </c>
      <c r="I1106" s="11">
        <f>IF($H1106="AUTO_OFERTA_TOTAL_PRODUTO_PERIODO",SUMIFS(Oferta!$F:$F,Oferta!$A:$A,$A1106,Oferta!$E:$E,$E1106),$F1106)</f>
        <v/>
      </c>
      <c r="J1106" s="6" t="inlineStr">
        <is>
          <t>Informado</t>
        </is>
      </c>
      <c r="K1106" s="6" t="inlineStr">
        <is>
          <t>Demanda doméstica fixa informada pelo usuário.</t>
        </is>
      </c>
    </row>
    <row r="1107">
      <c r="A1107" s="6" t="inlineStr">
        <is>
          <t>Milho</t>
        </is>
      </c>
      <c r="B1107" s="6" t="inlineStr">
        <is>
          <t>João Pessoa - PB</t>
        </is>
      </c>
      <c r="C1107" s="6" t="n">
        <v>-7.11509</v>
      </c>
      <c r="D1107" s="6" t="n">
        <v>-34.8641</v>
      </c>
      <c r="E1107" s="6" t="inlineStr">
        <is>
          <t>2024-02</t>
        </is>
      </c>
      <c r="F1107" s="6" t="n">
        <v>35632.4667233168</v>
      </c>
      <c r="G1107" s="6" t="inlineStr">
        <is>
          <t>DOMESTICA</t>
        </is>
      </c>
      <c r="H1107" s="6" t="inlineStr">
        <is>
          <t>FIXO</t>
        </is>
      </c>
      <c r="I1107" s="11">
        <f>IF($H1107="AUTO_OFERTA_TOTAL_PRODUTO_PERIODO",SUMIFS(Oferta!$F:$F,Oferta!$A:$A,$A1107,Oferta!$E:$E,$E1107),$F1107)</f>
        <v/>
      </c>
      <c r="J1107" s="6" t="inlineStr">
        <is>
          <t>Informado</t>
        </is>
      </c>
      <c r="K1107" s="6" t="inlineStr">
        <is>
          <t>Demanda doméstica fixa informada pelo usuário.</t>
        </is>
      </c>
    </row>
    <row r="1108">
      <c r="A1108" s="6" t="inlineStr">
        <is>
          <t>Milho</t>
        </is>
      </c>
      <c r="B1108" s="6" t="inlineStr">
        <is>
          <t>João Pessoa - PB</t>
        </is>
      </c>
      <c r="C1108" s="6" t="n">
        <v>-7.11509</v>
      </c>
      <c r="D1108" s="6" t="n">
        <v>-34.8641</v>
      </c>
      <c r="E1108" s="6" t="inlineStr">
        <is>
          <t>2024-03</t>
        </is>
      </c>
      <c r="F1108" s="6" t="n">
        <v>30959.3563333736</v>
      </c>
      <c r="G1108" s="6" t="inlineStr">
        <is>
          <t>DOMESTICA</t>
        </is>
      </c>
      <c r="H1108" s="6" t="inlineStr">
        <is>
          <t>FIXO</t>
        </is>
      </c>
      <c r="I1108" s="11">
        <f>IF($H1108="AUTO_OFERTA_TOTAL_PRODUTO_PERIODO",SUMIFS(Oferta!$F:$F,Oferta!$A:$A,$A1108,Oferta!$E:$E,$E1108),$F1108)</f>
        <v/>
      </c>
      <c r="J1108" s="6" t="inlineStr">
        <is>
          <t>Informado</t>
        </is>
      </c>
      <c r="K1108" s="6" t="inlineStr">
        <is>
          <t>Demanda doméstica fixa informada pelo usuário.</t>
        </is>
      </c>
    </row>
    <row r="1109">
      <c r="A1109" s="6" t="inlineStr">
        <is>
          <t>Milho</t>
        </is>
      </c>
      <c r="B1109" s="6" t="inlineStr">
        <is>
          <t>João Pessoa - PB</t>
        </is>
      </c>
      <c r="C1109" s="6" t="n">
        <v>-7.11509</v>
      </c>
      <c r="D1109" s="6" t="n">
        <v>-34.8641</v>
      </c>
      <c r="E1109" s="6" t="inlineStr">
        <is>
          <t>2024-04</t>
        </is>
      </c>
      <c r="F1109" s="6" t="n">
        <v>30959.3563333736</v>
      </c>
      <c r="G1109" s="6" t="inlineStr">
        <is>
          <t>DOMESTICA</t>
        </is>
      </c>
      <c r="H1109" s="6" t="inlineStr">
        <is>
          <t>FIXO</t>
        </is>
      </c>
      <c r="I1109" s="11">
        <f>IF($H1109="AUTO_OFERTA_TOTAL_PRODUTO_PERIODO",SUMIFS(Oferta!$F:$F,Oferta!$A:$A,$A1109,Oferta!$E:$E,$E1109),$F1109)</f>
        <v/>
      </c>
      <c r="J1109" s="6" t="inlineStr">
        <is>
          <t>Informado</t>
        </is>
      </c>
      <c r="K1109" s="6" t="inlineStr">
        <is>
          <t>Demanda doméstica fixa informada pelo usuário.</t>
        </is>
      </c>
    </row>
    <row r="1110">
      <c r="A1110" s="6" t="inlineStr">
        <is>
          <t>Milho</t>
        </is>
      </c>
      <c r="B1110" s="6" t="inlineStr">
        <is>
          <t>João Pessoa - PB</t>
        </is>
      </c>
      <c r="C1110" s="6" t="n">
        <v>-7.11509</v>
      </c>
      <c r="D1110" s="6" t="n">
        <v>-34.8641</v>
      </c>
      <c r="E1110" s="6" t="inlineStr">
        <is>
          <t>2024-05</t>
        </is>
      </c>
      <c r="F1110" s="6" t="n">
        <v>30959.3563333736</v>
      </c>
      <c r="G1110" s="6" t="inlineStr">
        <is>
          <t>DOMESTICA</t>
        </is>
      </c>
      <c r="H1110" s="6" t="inlineStr">
        <is>
          <t>FIXO</t>
        </is>
      </c>
      <c r="I1110" s="11">
        <f>IF($H1110="AUTO_OFERTA_TOTAL_PRODUTO_PERIODO",SUMIFS(Oferta!$F:$F,Oferta!$A:$A,$A1110,Oferta!$E:$E,$E1110),$F1110)</f>
        <v/>
      </c>
      <c r="J1110" s="6" t="inlineStr">
        <is>
          <t>Informado</t>
        </is>
      </c>
      <c r="K1110" s="6" t="inlineStr">
        <is>
          <t>Demanda doméstica fixa informada pelo usuário.</t>
        </is>
      </c>
    </row>
    <row r="1111">
      <c r="A1111" s="6" t="inlineStr">
        <is>
          <t>Milho</t>
        </is>
      </c>
      <c r="B1111" s="6" t="inlineStr">
        <is>
          <t>João Pessoa - PB</t>
        </is>
      </c>
      <c r="C1111" s="6" t="n">
        <v>-7.11509</v>
      </c>
      <c r="D1111" s="6" t="n">
        <v>-34.8641</v>
      </c>
      <c r="E1111" s="6" t="inlineStr">
        <is>
          <t>2024-06</t>
        </is>
      </c>
      <c r="F1111" s="6" t="n">
        <v>40305.57711326</v>
      </c>
      <c r="G1111" s="6" t="inlineStr">
        <is>
          <t>DOMESTICA</t>
        </is>
      </c>
      <c r="H1111" s="6" t="inlineStr">
        <is>
          <t>FIXO</t>
        </is>
      </c>
      <c r="I1111" s="11">
        <f>IF($H1111="AUTO_OFERTA_TOTAL_PRODUTO_PERIODO",SUMIFS(Oferta!$F:$F,Oferta!$A:$A,$A1111,Oferta!$E:$E,$E1111),$F1111)</f>
        <v/>
      </c>
      <c r="J1111" s="6" t="inlineStr">
        <is>
          <t>Informado</t>
        </is>
      </c>
      <c r="K1111" s="6" t="inlineStr">
        <is>
          <t>Demanda doméstica fixa informada pelo usuário.</t>
        </is>
      </c>
    </row>
    <row r="1112">
      <c r="A1112" s="6" t="inlineStr">
        <is>
          <t>Milho</t>
        </is>
      </c>
      <c r="B1112" s="6" t="inlineStr">
        <is>
          <t>João Pessoa - PB</t>
        </is>
      </c>
      <c r="C1112" s="6" t="n">
        <v>-7.11509</v>
      </c>
      <c r="D1112" s="6" t="n">
        <v>-34.8641</v>
      </c>
      <c r="E1112" s="6" t="inlineStr">
        <is>
          <t>2024-07</t>
        </is>
      </c>
      <c r="F1112" s="6" t="n">
        <v>49651.7978931464</v>
      </c>
      <c r="G1112" s="6" t="inlineStr">
        <is>
          <t>DOMESTICA</t>
        </is>
      </c>
      <c r="H1112" s="6" t="inlineStr">
        <is>
          <t>FIXO</t>
        </is>
      </c>
      <c r="I1112" s="11">
        <f>IF($H1112="AUTO_OFERTA_TOTAL_PRODUTO_PERIODO",SUMIFS(Oferta!$F:$F,Oferta!$A:$A,$A1112,Oferta!$E:$E,$E1112),$F1112)</f>
        <v/>
      </c>
      <c r="J1112" s="6" t="inlineStr">
        <is>
          <t>Informado</t>
        </is>
      </c>
      <c r="K1112" s="6" t="inlineStr">
        <is>
          <t>Demanda doméstica fixa informada pelo usuário.</t>
        </is>
      </c>
    </row>
    <row r="1113">
      <c r="A1113" s="6" t="inlineStr">
        <is>
          <t>Milho</t>
        </is>
      </c>
      <c r="B1113" s="6" t="inlineStr">
        <is>
          <t>João Pessoa - PB</t>
        </is>
      </c>
      <c r="C1113" s="6" t="n">
        <v>-7.11509</v>
      </c>
      <c r="D1113" s="6" t="n">
        <v>-34.8641</v>
      </c>
      <c r="E1113" s="6" t="inlineStr">
        <is>
          <t>2024-08</t>
        </is>
      </c>
      <c r="F1113" s="6" t="n">
        <v>68344.2394529192</v>
      </c>
      <c r="G1113" s="6" t="inlineStr">
        <is>
          <t>DOMESTICA</t>
        </is>
      </c>
      <c r="H1113" s="6" t="inlineStr">
        <is>
          <t>FIXO</t>
        </is>
      </c>
      <c r="I1113" s="11">
        <f>IF($H1113="AUTO_OFERTA_TOTAL_PRODUTO_PERIODO",SUMIFS(Oferta!$F:$F,Oferta!$A:$A,$A1113,Oferta!$E:$E,$E1113),$F1113)</f>
        <v/>
      </c>
      <c r="J1113" s="6" t="inlineStr">
        <is>
          <t>Informado</t>
        </is>
      </c>
      <c r="K1113" s="6" t="inlineStr">
        <is>
          <t>Demanda doméstica fixa informada pelo usuário.</t>
        </is>
      </c>
    </row>
    <row r="1114">
      <c r="A1114" s="6" t="inlineStr">
        <is>
          <t>Milho</t>
        </is>
      </c>
      <c r="B1114" s="6" t="inlineStr">
        <is>
          <t>João Pessoa - PB</t>
        </is>
      </c>
      <c r="C1114" s="6" t="n">
        <v>-7.11509</v>
      </c>
      <c r="D1114" s="6" t="n">
        <v>-34.8641</v>
      </c>
      <c r="E1114" s="6" t="inlineStr">
        <is>
          <t>2024-09</t>
        </is>
      </c>
      <c r="F1114" s="6" t="n">
        <v>77690.46023280561</v>
      </c>
      <c r="G1114" s="6" t="inlineStr">
        <is>
          <t>DOMESTICA</t>
        </is>
      </c>
      <c r="H1114" s="6" t="inlineStr">
        <is>
          <t>FIXO</t>
        </is>
      </c>
      <c r="I1114" s="11">
        <f>IF($H1114="AUTO_OFERTA_TOTAL_PRODUTO_PERIODO",SUMIFS(Oferta!$F:$F,Oferta!$A:$A,$A1114,Oferta!$E:$E,$E1114),$F1114)</f>
        <v/>
      </c>
      <c r="J1114" s="6" t="inlineStr">
        <is>
          <t>Informado</t>
        </is>
      </c>
      <c r="K1114" s="6" t="inlineStr">
        <is>
          <t>Demanda doméstica fixa informada pelo usuário.</t>
        </is>
      </c>
    </row>
    <row r="1115">
      <c r="A1115" s="6" t="inlineStr">
        <is>
          <t>Milho</t>
        </is>
      </c>
      <c r="B1115" s="6" t="inlineStr">
        <is>
          <t>João Pessoa - PB</t>
        </is>
      </c>
      <c r="C1115" s="6" t="n">
        <v>-7.11509</v>
      </c>
      <c r="D1115" s="6" t="n">
        <v>-34.8641</v>
      </c>
      <c r="E1115" s="6" t="inlineStr">
        <is>
          <t>2024-10</t>
        </is>
      </c>
      <c r="F1115" s="6" t="n">
        <v>77690.46023280561</v>
      </c>
      <c r="G1115" s="6" t="inlineStr">
        <is>
          <t>DOMESTICA</t>
        </is>
      </c>
      <c r="H1115" s="6" t="inlineStr">
        <is>
          <t>FIXO</t>
        </is>
      </c>
      <c r="I1115" s="11">
        <f>IF($H1115="AUTO_OFERTA_TOTAL_PRODUTO_PERIODO",SUMIFS(Oferta!$F:$F,Oferta!$A:$A,$A1115,Oferta!$E:$E,$E1115),$F1115)</f>
        <v/>
      </c>
      <c r="J1115" s="6" t="inlineStr">
        <is>
          <t>Informado</t>
        </is>
      </c>
      <c r="K1115" s="6" t="inlineStr">
        <is>
          <t>Demanda doméstica fixa informada pelo usuário.</t>
        </is>
      </c>
    </row>
    <row r="1116">
      <c r="A1116" s="6" t="inlineStr">
        <is>
          <t>Milho</t>
        </is>
      </c>
      <c r="B1116" s="6" t="inlineStr">
        <is>
          <t>João Pessoa - PB</t>
        </is>
      </c>
      <c r="C1116" s="6" t="n">
        <v>-7.11509</v>
      </c>
      <c r="D1116" s="6" t="n">
        <v>-34.8641</v>
      </c>
      <c r="E1116" s="6" t="inlineStr">
        <is>
          <t>2024-11</t>
        </is>
      </c>
      <c r="F1116" s="6" t="n">
        <v>68344.2394529192</v>
      </c>
      <c r="G1116" s="6" t="inlineStr">
        <is>
          <t>DOMESTICA</t>
        </is>
      </c>
      <c r="H1116" s="6" t="inlineStr">
        <is>
          <t>FIXO</t>
        </is>
      </c>
      <c r="I1116" s="11">
        <f>IF($H1116="AUTO_OFERTA_TOTAL_PRODUTO_PERIODO",SUMIFS(Oferta!$F:$F,Oferta!$A:$A,$A1116,Oferta!$E:$E,$E1116),$F1116)</f>
        <v/>
      </c>
      <c r="J1116" s="6" t="inlineStr">
        <is>
          <t>Informado</t>
        </is>
      </c>
      <c r="K1116" s="6" t="inlineStr">
        <is>
          <t>Demanda doméstica fixa informada pelo usuário.</t>
        </is>
      </c>
    </row>
    <row r="1117">
      <c r="A1117" s="6" t="inlineStr">
        <is>
          <t>Milho</t>
        </is>
      </c>
      <c r="B1117" s="6" t="inlineStr">
        <is>
          <t>João Pessoa - PB</t>
        </is>
      </c>
      <c r="C1117" s="6" t="n">
        <v>-7.11509</v>
      </c>
      <c r="D1117" s="6" t="n">
        <v>-34.8641</v>
      </c>
      <c r="E1117" s="6" t="inlineStr">
        <is>
          <t>2024-12</t>
        </is>
      </c>
      <c r="F1117" s="6" t="n">
        <v>54324.9082830896</v>
      </c>
      <c r="G1117" s="6" t="inlineStr">
        <is>
          <t>DOMESTICA</t>
        </is>
      </c>
      <c r="H1117" s="6" t="inlineStr">
        <is>
          <t>FIXO</t>
        </is>
      </c>
      <c r="I1117" s="11">
        <f>IF($H1117="AUTO_OFERTA_TOTAL_PRODUTO_PERIODO",SUMIFS(Oferta!$F:$F,Oferta!$A:$A,$A1117,Oferta!$E:$E,$E1117),$F1117)</f>
        <v/>
      </c>
      <c r="J1117" s="6" t="inlineStr">
        <is>
          <t>Informado</t>
        </is>
      </c>
      <c r="K1117" s="6" t="inlineStr">
        <is>
          <t>Demanda doméstica fixa informada pelo usuário.</t>
        </is>
      </c>
    </row>
    <row r="1118">
      <c r="A1118" s="6" t="inlineStr">
        <is>
          <t>Milho</t>
        </is>
      </c>
      <c r="B1118" s="6" t="inlineStr">
        <is>
          <t>Recife - PE</t>
        </is>
      </c>
      <c r="C1118" s="6" t="n">
        <v>-8.046659999999999</v>
      </c>
      <c r="D1118" s="6" t="n">
        <v>-34.8771</v>
      </c>
      <c r="E1118" s="6" t="inlineStr">
        <is>
          <t>2024-01</t>
        </is>
      </c>
      <c r="F1118" s="6" t="n">
        <v>122933.4053062753</v>
      </c>
      <c r="G1118" s="6" t="inlineStr">
        <is>
          <t>DOMESTICA</t>
        </is>
      </c>
      <c r="H1118" s="6" t="inlineStr">
        <is>
          <t>FIXO</t>
        </is>
      </c>
      <c r="I1118" s="11">
        <f>IF($H1118="AUTO_OFERTA_TOTAL_PRODUTO_PERIODO",SUMIFS(Oferta!$F:$F,Oferta!$A:$A,$A1118,Oferta!$E:$E,$E1118),$F1118)</f>
        <v/>
      </c>
      <c r="J1118" s="6" t="inlineStr">
        <is>
          <t>Informado</t>
        </is>
      </c>
      <c r="K1118" s="6" t="inlineStr">
        <is>
          <t>Demanda doméstica fixa informada pelo usuário.</t>
        </is>
      </c>
    </row>
    <row r="1119">
      <c r="A1119" s="6" t="inlineStr">
        <is>
          <t>Milho</t>
        </is>
      </c>
      <c r="B1119" s="6" t="inlineStr">
        <is>
          <t>Recife - PE</t>
        </is>
      </c>
      <c r="C1119" s="6" t="n">
        <v>-8.046659999999999</v>
      </c>
      <c r="D1119" s="6" t="n">
        <v>-34.8771</v>
      </c>
      <c r="E1119" s="6" t="inlineStr">
        <is>
          <t>2024-02</t>
        </is>
      </c>
      <c r="F1119" s="6" t="n">
        <v>99792.9996015647</v>
      </c>
      <c r="G1119" s="6" t="inlineStr">
        <is>
          <t>DOMESTICA</t>
        </is>
      </c>
      <c r="H1119" s="6" t="inlineStr">
        <is>
          <t>FIXO</t>
        </is>
      </c>
      <c r="I1119" s="11">
        <f>IF($H1119="AUTO_OFERTA_TOTAL_PRODUTO_PERIODO",SUMIFS(Oferta!$F:$F,Oferta!$A:$A,$A1119,Oferta!$E:$E,$E1119),$F1119)</f>
        <v/>
      </c>
      <c r="J1119" s="6" t="inlineStr">
        <is>
          <t>Informado</t>
        </is>
      </c>
      <c r="K1119" s="6" t="inlineStr">
        <is>
          <t>Demanda doméstica fixa informada pelo usuário.</t>
        </is>
      </c>
    </row>
    <row r="1120">
      <c r="A1120" s="6" t="inlineStr">
        <is>
          <t>Milho</t>
        </is>
      </c>
      <c r="B1120" s="6" t="inlineStr">
        <is>
          <t>Recife - PE</t>
        </is>
      </c>
      <c r="C1120" s="6" t="n">
        <v>-8.046659999999999</v>
      </c>
      <c r="D1120" s="6" t="n">
        <v>-34.8771</v>
      </c>
      <c r="E1120" s="6" t="inlineStr">
        <is>
          <t>2024-03</t>
        </is>
      </c>
      <c r="F1120" s="6" t="n">
        <v>76652.593896854</v>
      </c>
      <c r="G1120" s="6" t="inlineStr">
        <is>
          <t>DOMESTICA</t>
        </is>
      </c>
      <c r="H1120" s="6" t="inlineStr">
        <is>
          <t>FIXO</t>
        </is>
      </c>
      <c r="I1120" s="11">
        <f>IF($H1120="AUTO_OFERTA_TOTAL_PRODUTO_PERIODO",SUMIFS(Oferta!$F:$F,Oferta!$A:$A,$A1120,Oferta!$E:$E,$E1120),$F1120)</f>
        <v/>
      </c>
      <c r="J1120" s="6" t="inlineStr">
        <is>
          <t>Informado</t>
        </is>
      </c>
      <c r="K1120" s="6" t="inlineStr">
        <is>
          <t>Demanda doméstica fixa informada pelo usuário.</t>
        </is>
      </c>
    </row>
    <row r="1121">
      <c r="A1121" s="6" t="inlineStr">
        <is>
          <t>Milho</t>
        </is>
      </c>
      <c r="B1121" s="6" t="inlineStr">
        <is>
          <t>Recife - PE</t>
        </is>
      </c>
      <c r="C1121" s="6" t="n">
        <v>-8.046659999999999</v>
      </c>
      <c r="D1121" s="6" t="n">
        <v>-34.8771</v>
      </c>
      <c r="E1121" s="6" t="inlineStr">
        <is>
          <t>2024-04</t>
        </is>
      </c>
      <c r="F1121" s="6" t="n">
        <v>76652.593896854</v>
      </c>
      <c r="G1121" s="6" t="inlineStr">
        <is>
          <t>DOMESTICA</t>
        </is>
      </c>
      <c r="H1121" s="6" t="inlineStr">
        <is>
          <t>FIXO</t>
        </is>
      </c>
      <c r="I1121" s="11">
        <f>IF($H1121="AUTO_OFERTA_TOTAL_PRODUTO_PERIODO",SUMIFS(Oferta!$F:$F,Oferta!$A:$A,$A1121,Oferta!$E:$E,$E1121),$F1121)</f>
        <v/>
      </c>
      <c r="J1121" s="6" t="inlineStr">
        <is>
          <t>Informado</t>
        </is>
      </c>
      <c r="K1121" s="6" t="inlineStr">
        <is>
          <t>Demanda doméstica fixa informada pelo usuário.</t>
        </is>
      </c>
    </row>
    <row r="1122">
      <c r="A1122" s="6" t="inlineStr">
        <is>
          <t>Milho</t>
        </is>
      </c>
      <c r="B1122" s="6" t="inlineStr">
        <is>
          <t>Recife - PE</t>
        </is>
      </c>
      <c r="C1122" s="6" t="n">
        <v>-8.046659999999999</v>
      </c>
      <c r="D1122" s="6" t="n">
        <v>-34.8771</v>
      </c>
      <c r="E1122" s="6" t="inlineStr">
        <is>
          <t>2024-05</t>
        </is>
      </c>
      <c r="F1122" s="6" t="n">
        <v>99792.9996015647</v>
      </c>
      <c r="G1122" s="6" t="inlineStr">
        <is>
          <t>DOMESTICA</t>
        </is>
      </c>
      <c r="H1122" s="6" t="inlineStr">
        <is>
          <t>FIXO</t>
        </is>
      </c>
      <c r="I1122" s="11">
        <f>IF($H1122="AUTO_OFERTA_TOTAL_PRODUTO_PERIODO",SUMIFS(Oferta!$F:$F,Oferta!$A:$A,$A1122,Oferta!$E:$E,$E1122),$F1122)</f>
        <v/>
      </c>
      <c r="J1122" s="6" t="inlineStr">
        <is>
          <t>Informado</t>
        </is>
      </c>
      <c r="K1122" s="6" t="inlineStr">
        <is>
          <t>Demanda doméstica fixa informada pelo usuário.</t>
        </is>
      </c>
    </row>
    <row r="1123">
      <c r="A1123" s="6" t="inlineStr">
        <is>
          <t>Milho</t>
        </is>
      </c>
      <c r="B1123" s="6" t="inlineStr">
        <is>
          <t>Recife - PE</t>
        </is>
      </c>
      <c r="C1123" s="6" t="n">
        <v>-8.046659999999999</v>
      </c>
      <c r="D1123" s="6" t="n">
        <v>-34.8771</v>
      </c>
      <c r="E1123" s="6" t="inlineStr">
        <is>
          <t>2024-06</t>
        </is>
      </c>
      <c r="F1123" s="6" t="n">
        <v>192354.6224204073</v>
      </c>
      <c r="G1123" s="6" t="inlineStr">
        <is>
          <t>DOMESTICA</t>
        </is>
      </c>
      <c r="H1123" s="6" t="inlineStr">
        <is>
          <t>FIXO</t>
        </is>
      </c>
      <c r="I1123" s="11">
        <f>IF($H1123="AUTO_OFERTA_TOTAL_PRODUTO_PERIODO",SUMIFS(Oferta!$F:$F,Oferta!$A:$A,$A1123,Oferta!$E:$E,$E1123),$F1123)</f>
        <v/>
      </c>
      <c r="J1123" s="6" t="inlineStr">
        <is>
          <t>Informado</t>
        </is>
      </c>
      <c r="K1123" s="6" t="inlineStr">
        <is>
          <t>Demanda doméstica fixa informada pelo usuário.</t>
        </is>
      </c>
    </row>
    <row r="1124">
      <c r="A1124" s="6" t="inlineStr">
        <is>
          <t>Milho</t>
        </is>
      </c>
      <c r="B1124" s="6" t="inlineStr">
        <is>
          <t>Recife - PE</t>
        </is>
      </c>
      <c r="C1124" s="6" t="n">
        <v>-8.046659999999999</v>
      </c>
      <c r="D1124" s="6" t="n">
        <v>-34.8771</v>
      </c>
      <c r="E1124" s="6" t="inlineStr">
        <is>
          <t>2024-07</t>
        </is>
      </c>
      <c r="F1124" s="6" t="n">
        <v>238635.4338298286</v>
      </c>
      <c r="G1124" s="6" t="inlineStr">
        <is>
          <t>DOMESTICA</t>
        </is>
      </c>
      <c r="H1124" s="6" t="inlineStr">
        <is>
          <t>FIXO</t>
        </is>
      </c>
      <c r="I1124" s="11">
        <f>IF($H1124="AUTO_OFERTA_TOTAL_PRODUTO_PERIODO",SUMIFS(Oferta!$F:$F,Oferta!$A:$A,$A1124,Oferta!$E:$E,$E1124),$F1124)</f>
        <v/>
      </c>
      <c r="J1124" s="6" t="inlineStr">
        <is>
          <t>Informado</t>
        </is>
      </c>
      <c r="K1124" s="6" t="inlineStr">
        <is>
          <t>Demanda doméstica fixa informada pelo usuário.</t>
        </is>
      </c>
    </row>
    <row r="1125">
      <c r="A1125" s="6" t="inlineStr">
        <is>
          <t>Milho</t>
        </is>
      </c>
      <c r="B1125" s="6" t="inlineStr">
        <is>
          <t>Recife - PE</t>
        </is>
      </c>
      <c r="C1125" s="6" t="n">
        <v>-8.046659999999999</v>
      </c>
      <c r="D1125" s="6" t="n">
        <v>-34.8771</v>
      </c>
      <c r="E1125" s="6" t="inlineStr">
        <is>
          <t>2024-08</t>
        </is>
      </c>
      <c r="F1125" s="6" t="n">
        <v>238635.4338298286</v>
      </c>
      <c r="G1125" s="6" t="inlineStr">
        <is>
          <t>DOMESTICA</t>
        </is>
      </c>
      <c r="H1125" s="6" t="inlineStr">
        <is>
          <t>FIXO</t>
        </is>
      </c>
      <c r="I1125" s="11">
        <f>IF($H1125="AUTO_OFERTA_TOTAL_PRODUTO_PERIODO",SUMIFS(Oferta!$F:$F,Oferta!$A:$A,$A1125,Oferta!$E:$E,$E1125),$F1125)</f>
        <v/>
      </c>
      <c r="J1125" s="6" t="inlineStr">
        <is>
          <t>Informado</t>
        </is>
      </c>
      <c r="K1125" s="6" t="inlineStr">
        <is>
          <t>Demanda doméstica fixa informada pelo usuário.</t>
        </is>
      </c>
    </row>
    <row r="1126">
      <c r="A1126" s="6" t="inlineStr">
        <is>
          <t>Milho</t>
        </is>
      </c>
      <c r="B1126" s="6" t="inlineStr">
        <is>
          <t>Recife - PE</t>
        </is>
      </c>
      <c r="C1126" s="6" t="n">
        <v>-8.046659999999999</v>
      </c>
      <c r="D1126" s="6" t="n">
        <v>-34.8771</v>
      </c>
      <c r="E1126" s="6" t="inlineStr">
        <is>
          <t>2024-09</t>
        </is>
      </c>
      <c r="F1126" s="6" t="n">
        <v>215495.0281251179</v>
      </c>
      <c r="G1126" s="6" t="inlineStr">
        <is>
          <t>DOMESTICA</t>
        </is>
      </c>
      <c r="H1126" s="6" t="inlineStr">
        <is>
          <t>FIXO</t>
        </is>
      </c>
      <c r="I1126" s="11">
        <f>IF($H1126="AUTO_OFERTA_TOTAL_PRODUTO_PERIODO",SUMIFS(Oferta!$F:$F,Oferta!$A:$A,$A1126,Oferta!$E:$E,$E1126),$F1126)</f>
        <v/>
      </c>
      <c r="J1126" s="6" t="inlineStr">
        <is>
          <t>Informado</t>
        </is>
      </c>
      <c r="K1126" s="6" t="inlineStr">
        <is>
          <t>Demanda doméstica fixa informada pelo usuário.</t>
        </is>
      </c>
    </row>
    <row r="1127">
      <c r="A1127" s="6" t="inlineStr">
        <is>
          <t>Milho</t>
        </is>
      </c>
      <c r="B1127" s="6" t="inlineStr">
        <is>
          <t>Recife - PE</t>
        </is>
      </c>
      <c r="C1127" s="6" t="n">
        <v>-8.046659999999999</v>
      </c>
      <c r="D1127" s="6" t="n">
        <v>-34.8771</v>
      </c>
      <c r="E1127" s="6" t="inlineStr">
        <is>
          <t>2024-10</t>
        </is>
      </c>
      <c r="F1127" s="6" t="n">
        <v>192354.6224204073</v>
      </c>
      <c r="G1127" s="6" t="inlineStr">
        <is>
          <t>DOMESTICA</t>
        </is>
      </c>
      <c r="H1127" s="6" t="inlineStr">
        <is>
          <t>FIXO</t>
        </is>
      </c>
      <c r="I1127" s="11">
        <f>IF($H1127="AUTO_OFERTA_TOTAL_PRODUTO_PERIODO",SUMIFS(Oferta!$F:$F,Oferta!$A:$A,$A1127,Oferta!$E:$E,$E1127),$F1127)</f>
        <v/>
      </c>
      <c r="J1127" s="6" t="inlineStr">
        <is>
          <t>Informado</t>
        </is>
      </c>
      <c r="K1127" s="6" t="inlineStr">
        <is>
          <t>Demanda doméstica fixa informada pelo usuário.</t>
        </is>
      </c>
    </row>
    <row r="1128">
      <c r="A1128" s="6" t="inlineStr">
        <is>
          <t>Milho</t>
        </is>
      </c>
      <c r="B1128" s="6" t="inlineStr">
        <is>
          <t>Recife - PE</t>
        </is>
      </c>
      <c r="C1128" s="6" t="n">
        <v>-8.046659999999999</v>
      </c>
      <c r="D1128" s="6" t="n">
        <v>-34.8771</v>
      </c>
      <c r="E1128" s="6" t="inlineStr">
        <is>
          <t>2024-11</t>
        </is>
      </c>
      <c r="F1128" s="6" t="n">
        <v>192354.6224204073</v>
      </c>
      <c r="G1128" s="6" t="inlineStr">
        <is>
          <t>DOMESTICA</t>
        </is>
      </c>
      <c r="H1128" s="6" t="inlineStr">
        <is>
          <t>FIXO</t>
        </is>
      </c>
      <c r="I1128" s="11">
        <f>IF($H1128="AUTO_OFERTA_TOTAL_PRODUTO_PERIODO",SUMIFS(Oferta!$F:$F,Oferta!$A:$A,$A1128,Oferta!$E:$E,$E1128),$F1128)</f>
        <v/>
      </c>
      <c r="J1128" s="6" t="inlineStr">
        <is>
          <t>Informado</t>
        </is>
      </c>
      <c r="K1128" s="6" t="inlineStr">
        <is>
          <t>Demanda doméstica fixa informada pelo usuário.</t>
        </is>
      </c>
    </row>
    <row r="1129">
      <c r="A1129" s="6" t="inlineStr">
        <is>
          <t>Milho</t>
        </is>
      </c>
      <c r="B1129" s="6" t="inlineStr">
        <is>
          <t>Recife - PE</t>
        </is>
      </c>
      <c r="C1129" s="6" t="n">
        <v>-8.046659999999999</v>
      </c>
      <c r="D1129" s="6" t="n">
        <v>-34.8771</v>
      </c>
      <c r="E1129" s="6" t="inlineStr">
        <is>
          <t>2024-12</t>
        </is>
      </c>
      <c r="F1129" s="6" t="n">
        <v>146073.811010986</v>
      </c>
      <c r="G1129" s="6" t="inlineStr">
        <is>
          <t>DOMESTICA</t>
        </is>
      </c>
      <c r="H1129" s="6" t="inlineStr">
        <is>
          <t>FIXO</t>
        </is>
      </c>
      <c r="I1129" s="11">
        <f>IF($H1129="AUTO_OFERTA_TOTAL_PRODUTO_PERIODO",SUMIFS(Oferta!$F:$F,Oferta!$A:$A,$A1129,Oferta!$E:$E,$E1129),$F1129)</f>
        <v/>
      </c>
      <c r="J1129" s="6" t="inlineStr">
        <is>
          <t>Informado</t>
        </is>
      </c>
      <c r="K1129" s="6" t="inlineStr">
        <is>
          <t>Demanda doméstica fixa informada pelo usuário.</t>
        </is>
      </c>
    </row>
    <row r="1130">
      <c r="A1130" s="6" t="inlineStr">
        <is>
          <t>Milho</t>
        </is>
      </c>
      <c r="B1130" s="6" t="inlineStr">
        <is>
          <t>Teresina - PI</t>
        </is>
      </c>
      <c r="C1130" s="6" t="n">
        <v>-5.09194</v>
      </c>
      <c r="D1130" s="6" t="n">
        <v>-42.8034</v>
      </c>
      <c r="E1130" s="6" t="inlineStr">
        <is>
          <t>2024-01</t>
        </is>
      </c>
      <c r="F1130" s="6" t="n">
        <v>30810.6881833664</v>
      </c>
      <c r="G1130" s="6" t="inlineStr">
        <is>
          <t>DOMESTICA</t>
        </is>
      </c>
      <c r="H1130" s="6" t="inlineStr">
        <is>
          <t>FIXO</t>
        </is>
      </c>
      <c r="I1130" s="11">
        <f>IF($H1130="AUTO_OFERTA_TOTAL_PRODUTO_PERIODO",SUMIFS(Oferta!$F:$F,Oferta!$A:$A,$A1130,Oferta!$E:$E,$E1130),$F1130)</f>
        <v/>
      </c>
      <c r="J1130" s="6" t="inlineStr">
        <is>
          <t>Informado</t>
        </is>
      </c>
      <c r="K1130" s="6" t="inlineStr">
        <is>
          <t>Demanda doméstica fixa informada pelo usuário.</t>
        </is>
      </c>
    </row>
    <row r="1131">
      <c r="A1131" s="6" t="inlineStr">
        <is>
          <t>Milho</t>
        </is>
      </c>
      <c r="B1131" s="6" t="inlineStr">
        <is>
          <t>Teresina - PI</t>
        </is>
      </c>
      <c r="C1131" s="6" t="n">
        <v>-5.09194</v>
      </c>
      <c r="D1131" s="6" t="n">
        <v>-42.8034</v>
      </c>
      <c r="E1131" s="6" t="inlineStr">
        <is>
          <t>2024-02</t>
        </is>
      </c>
      <c r="F1131" s="6" t="n">
        <v>30810.6881833664</v>
      </c>
      <c r="G1131" s="6" t="inlineStr">
        <is>
          <t>DOMESTICA</t>
        </is>
      </c>
      <c r="H1131" s="6" t="inlineStr">
        <is>
          <t>FIXO</t>
        </is>
      </c>
      <c r="I1131" s="11">
        <f>IF($H1131="AUTO_OFERTA_TOTAL_PRODUTO_PERIODO",SUMIFS(Oferta!$F:$F,Oferta!$A:$A,$A1131,Oferta!$E:$E,$E1131),$F1131)</f>
        <v/>
      </c>
      <c r="J1131" s="6" t="inlineStr">
        <is>
          <t>Informado</t>
        </is>
      </c>
      <c r="K1131" s="6" t="inlineStr">
        <is>
          <t>Demanda doméstica fixa informada pelo usuário.</t>
        </is>
      </c>
    </row>
    <row r="1132">
      <c r="A1132" s="6" t="inlineStr">
        <is>
          <t>Milho</t>
        </is>
      </c>
      <c r="B1132" s="6" t="inlineStr">
        <is>
          <t>Teresina - PI</t>
        </is>
      </c>
      <c r="C1132" s="6" t="n">
        <v>-5.09194</v>
      </c>
      <c r="D1132" s="6" t="n">
        <v>-42.8034</v>
      </c>
      <c r="E1132" s="6" t="inlineStr">
        <is>
          <t>2024-03</t>
        </is>
      </c>
      <c r="F1132" s="6" t="n">
        <v>35461.3580978368</v>
      </c>
      <c r="G1132" s="6" t="inlineStr">
        <is>
          <t>DOMESTICA</t>
        </is>
      </c>
      <c r="H1132" s="6" t="inlineStr">
        <is>
          <t>FIXO</t>
        </is>
      </c>
      <c r="I1132" s="11">
        <f>IF($H1132="AUTO_OFERTA_TOTAL_PRODUTO_PERIODO",SUMIFS(Oferta!$F:$F,Oferta!$A:$A,$A1132,Oferta!$E:$E,$E1132),$F1132)</f>
        <v/>
      </c>
      <c r="J1132" s="6" t="inlineStr">
        <is>
          <t>Informado</t>
        </is>
      </c>
      <c r="K1132" s="6" t="inlineStr">
        <is>
          <t>Demanda doméstica fixa informada pelo usuário.</t>
        </is>
      </c>
    </row>
    <row r="1133">
      <c r="A1133" s="6" t="inlineStr">
        <is>
          <t>Milho</t>
        </is>
      </c>
      <c r="B1133" s="6" t="inlineStr">
        <is>
          <t>Teresina - PI</t>
        </is>
      </c>
      <c r="C1133" s="6" t="n">
        <v>-5.09194</v>
      </c>
      <c r="D1133" s="6" t="n">
        <v>-42.8034</v>
      </c>
      <c r="E1133" s="6" t="inlineStr">
        <is>
          <t>2024-04</t>
        </is>
      </c>
      <c r="F1133" s="6" t="n">
        <v>44762.6979267777</v>
      </c>
      <c r="G1133" s="6" t="inlineStr">
        <is>
          <t>DOMESTICA</t>
        </is>
      </c>
      <c r="H1133" s="6" t="inlineStr">
        <is>
          <t>FIXO</t>
        </is>
      </c>
      <c r="I1133" s="11">
        <f>IF($H1133="AUTO_OFERTA_TOTAL_PRODUTO_PERIODO",SUMIFS(Oferta!$F:$F,Oferta!$A:$A,$A1133,Oferta!$E:$E,$E1133),$F1133)</f>
        <v/>
      </c>
      <c r="J1133" s="6" t="inlineStr">
        <is>
          <t>Informado</t>
        </is>
      </c>
      <c r="K1133" s="6" t="inlineStr">
        <is>
          <t>Demanda doméstica fixa informada pelo usuário.</t>
        </is>
      </c>
    </row>
    <row r="1134">
      <c r="A1134" s="6" t="inlineStr">
        <is>
          <t>Milho</t>
        </is>
      </c>
      <c r="B1134" s="6" t="inlineStr">
        <is>
          <t>Teresina - PI</t>
        </is>
      </c>
      <c r="C1134" s="6" t="n">
        <v>-5.09194</v>
      </c>
      <c r="D1134" s="6" t="n">
        <v>-42.8034</v>
      </c>
      <c r="E1134" s="6" t="inlineStr">
        <is>
          <t>2024-05</t>
        </is>
      </c>
      <c r="F1134" s="6" t="n">
        <v>63365.3775846593</v>
      </c>
      <c r="G1134" s="6" t="inlineStr">
        <is>
          <t>DOMESTICA</t>
        </is>
      </c>
      <c r="H1134" s="6" t="inlineStr">
        <is>
          <t>FIXO</t>
        </is>
      </c>
      <c r="I1134" s="11">
        <f>IF($H1134="AUTO_OFERTA_TOTAL_PRODUTO_PERIODO",SUMIFS(Oferta!$F:$F,Oferta!$A:$A,$A1134,Oferta!$E:$E,$E1134),$F1134)</f>
        <v/>
      </c>
      <c r="J1134" s="6" t="inlineStr">
        <is>
          <t>Informado</t>
        </is>
      </c>
      <c r="K1134" s="6" t="inlineStr">
        <is>
          <t>Demanda doméstica fixa informada pelo usuário.</t>
        </is>
      </c>
    </row>
    <row r="1135">
      <c r="A1135" s="6" t="inlineStr">
        <is>
          <t>Milho</t>
        </is>
      </c>
      <c r="B1135" s="6" t="inlineStr">
        <is>
          <t>Teresina - PI</t>
        </is>
      </c>
      <c r="C1135" s="6" t="n">
        <v>-5.09194</v>
      </c>
      <c r="D1135" s="6" t="n">
        <v>-42.8034</v>
      </c>
      <c r="E1135" s="6" t="inlineStr">
        <is>
          <t>2024-06</t>
        </is>
      </c>
      <c r="F1135" s="6" t="n">
        <v>86618.72715701129</v>
      </c>
      <c r="G1135" s="6" t="inlineStr">
        <is>
          <t>DOMESTICA</t>
        </is>
      </c>
      <c r="H1135" s="6" t="inlineStr">
        <is>
          <t>FIXO</t>
        </is>
      </c>
      <c r="I1135" s="11">
        <f>IF($H1135="AUTO_OFERTA_TOTAL_PRODUTO_PERIODO",SUMIFS(Oferta!$F:$F,Oferta!$A:$A,$A1135,Oferta!$E:$E,$E1135),$F1135)</f>
        <v/>
      </c>
      <c r="J1135" s="6" t="inlineStr">
        <is>
          <t>Informado</t>
        </is>
      </c>
      <c r="K1135" s="6" t="inlineStr">
        <is>
          <t>Demanda doméstica fixa informada pelo usuário.</t>
        </is>
      </c>
    </row>
    <row r="1136">
      <c r="A1136" s="6" t="inlineStr">
        <is>
          <t>Milho</t>
        </is>
      </c>
      <c r="B1136" s="6" t="inlineStr">
        <is>
          <t>Teresina - PI</t>
        </is>
      </c>
      <c r="C1136" s="6" t="n">
        <v>-5.09194</v>
      </c>
      <c r="D1136" s="6" t="n">
        <v>-42.8034</v>
      </c>
      <c r="E1136" s="6" t="inlineStr">
        <is>
          <t>2024-07</t>
        </is>
      </c>
      <c r="F1136" s="6" t="n">
        <v>105221.406814893</v>
      </c>
      <c r="G1136" s="6" t="inlineStr">
        <is>
          <t>DOMESTICA</t>
        </is>
      </c>
      <c r="H1136" s="6" t="inlineStr">
        <is>
          <t>FIXO</t>
        </is>
      </c>
      <c r="I1136" s="11">
        <f>IF($H1136="AUTO_OFERTA_TOTAL_PRODUTO_PERIODO",SUMIFS(Oferta!$F:$F,Oferta!$A:$A,$A1136,Oferta!$E:$E,$E1136),$F1136)</f>
        <v/>
      </c>
      <c r="J1136" s="6" t="inlineStr">
        <is>
          <t>Informado</t>
        </is>
      </c>
      <c r="K1136" s="6" t="inlineStr">
        <is>
          <t>Demanda doméstica fixa informada pelo usuário.</t>
        </is>
      </c>
    </row>
    <row r="1137">
      <c r="A1137" s="6" t="inlineStr">
        <is>
          <t>Milho</t>
        </is>
      </c>
      <c r="B1137" s="6" t="inlineStr">
        <is>
          <t>Teresina - PI</t>
        </is>
      </c>
      <c r="C1137" s="6" t="n">
        <v>-5.09194</v>
      </c>
      <c r="D1137" s="6" t="n">
        <v>-42.8034</v>
      </c>
      <c r="E1137" s="6" t="inlineStr">
        <is>
          <t>2024-08</t>
        </is>
      </c>
      <c r="F1137" s="6" t="n">
        <v>105221.406814893</v>
      </c>
      <c r="G1137" s="6" t="inlineStr">
        <is>
          <t>DOMESTICA</t>
        </is>
      </c>
      <c r="H1137" s="6" t="inlineStr">
        <is>
          <t>FIXO</t>
        </is>
      </c>
      <c r="I1137" s="11">
        <f>IF($H1137="AUTO_OFERTA_TOTAL_PRODUTO_PERIODO",SUMIFS(Oferta!$F:$F,Oferta!$A:$A,$A1137,Oferta!$E:$E,$E1137),$F1137)</f>
        <v/>
      </c>
      <c r="J1137" s="6" t="inlineStr">
        <is>
          <t>Informado</t>
        </is>
      </c>
      <c r="K1137" s="6" t="inlineStr">
        <is>
          <t>Demanda doméstica fixa informada pelo usuário.</t>
        </is>
      </c>
    </row>
    <row r="1138">
      <c r="A1138" s="6" t="inlineStr">
        <is>
          <t>Milho</t>
        </is>
      </c>
      <c r="B1138" s="6" t="inlineStr">
        <is>
          <t>Teresina - PI</t>
        </is>
      </c>
      <c r="C1138" s="6" t="n">
        <v>-5.09194</v>
      </c>
      <c r="D1138" s="6" t="n">
        <v>-42.8034</v>
      </c>
      <c r="E1138" s="6" t="inlineStr">
        <is>
          <t>2024-09</t>
        </is>
      </c>
      <c r="F1138" s="6" t="n">
        <v>86618.72715701129</v>
      </c>
      <c r="G1138" s="6" t="inlineStr">
        <is>
          <t>DOMESTICA</t>
        </is>
      </c>
      <c r="H1138" s="6" t="inlineStr">
        <is>
          <t>FIXO</t>
        </is>
      </c>
      <c r="I1138" s="11">
        <f>IF($H1138="AUTO_OFERTA_TOTAL_PRODUTO_PERIODO",SUMIFS(Oferta!$F:$F,Oferta!$A:$A,$A1138,Oferta!$E:$E,$E1138),$F1138)</f>
        <v/>
      </c>
      <c r="J1138" s="6" t="inlineStr">
        <is>
          <t>Informado</t>
        </is>
      </c>
      <c r="K1138" s="6" t="inlineStr">
        <is>
          <t>Demanda doméstica fixa informada pelo usuário.</t>
        </is>
      </c>
    </row>
    <row r="1139">
      <c r="A1139" s="6" t="inlineStr">
        <is>
          <t>Milho</t>
        </is>
      </c>
      <c r="B1139" s="6" t="inlineStr">
        <is>
          <t>Teresina - PI</t>
        </is>
      </c>
      <c r="C1139" s="6" t="n">
        <v>-5.09194</v>
      </c>
      <c r="D1139" s="6" t="n">
        <v>-42.8034</v>
      </c>
      <c r="E1139" s="6" t="inlineStr">
        <is>
          <t>2024-10</t>
        </is>
      </c>
      <c r="F1139" s="6" t="n">
        <v>58714.7076701889</v>
      </c>
      <c r="G1139" s="6" t="inlineStr">
        <is>
          <t>DOMESTICA</t>
        </is>
      </c>
      <c r="H1139" s="6" t="inlineStr">
        <is>
          <t>FIXO</t>
        </is>
      </c>
      <c r="I1139" s="11">
        <f>IF($H1139="AUTO_OFERTA_TOTAL_PRODUTO_PERIODO",SUMIFS(Oferta!$F:$F,Oferta!$A:$A,$A1139,Oferta!$E:$E,$E1139),$F1139)</f>
        <v/>
      </c>
      <c r="J1139" s="6" t="inlineStr">
        <is>
          <t>Informado</t>
        </is>
      </c>
      <c r="K1139" s="6" t="inlineStr">
        <is>
          <t>Demanda doméstica fixa informada pelo usuário.</t>
        </is>
      </c>
    </row>
    <row r="1140">
      <c r="A1140" s="6" t="inlineStr">
        <is>
          <t>Milho</t>
        </is>
      </c>
      <c r="B1140" s="6" t="inlineStr">
        <is>
          <t>Teresina - PI</t>
        </is>
      </c>
      <c r="C1140" s="6" t="n">
        <v>-5.09194</v>
      </c>
      <c r="D1140" s="6" t="n">
        <v>-42.8034</v>
      </c>
      <c r="E1140" s="6" t="inlineStr">
        <is>
          <t>2024-11</t>
        </is>
      </c>
      <c r="F1140" s="6" t="n">
        <v>40112.0280123073</v>
      </c>
      <c r="G1140" s="6" t="inlineStr">
        <is>
          <t>DOMESTICA</t>
        </is>
      </c>
      <c r="H1140" s="6" t="inlineStr">
        <is>
          <t>FIXO</t>
        </is>
      </c>
      <c r="I1140" s="11">
        <f>IF($H1140="AUTO_OFERTA_TOTAL_PRODUTO_PERIODO",SUMIFS(Oferta!$F:$F,Oferta!$A:$A,$A1140,Oferta!$E:$E,$E1140),$F1140)</f>
        <v/>
      </c>
      <c r="J1140" s="6" t="inlineStr">
        <is>
          <t>Informado</t>
        </is>
      </c>
      <c r="K1140" s="6" t="inlineStr">
        <is>
          <t>Demanda doméstica fixa informada pelo usuário.</t>
        </is>
      </c>
    </row>
    <row r="1141">
      <c r="A1141" s="6" t="inlineStr">
        <is>
          <t>Milho</t>
        </is>
      </c>
      <c r="B1141" s="6" t="inlineStr">
        <is>
          <t>Teresina - PI</t>
        </is>
      </c>
      <c r="C1141" s="6" t="n">
        <v>-5.09194</v>
      </c>
      <c r="D1141" s="6" t="n">
        <v>-42.8034</v>
      </c>
      <c r="E1141" s="6" t="inlineStr">
        <is>
          <t>2024-12</t>
        </is>
      </c>
      <c r="F1141" s="6" t="n">
        <v>30810.6881833664</v>
      </c>
      <c r="G1141" s="6" t="inlineStr">
        <is>
          <t>DOMESTICA</t>
        </is>
      </c>
      <c r="H1141" s="6" t="inlineStr">
        <is>
          <t>FIXO</t>
        </is>
      </c>
      <c r="I1141" s="11">
        <f>IF($H1141="AUTO_OFERTA_TOTAL_PRODUTO_PERIODO",SUMIFS(Oferta!$F:$F,Oferta!$A:$A,$A1141,Oferta!$E:$E,$E1141),$F1141)</f>
        <v/>
      </c>
      <c r="J1141" s="6" t="inlineStr">
        <is>
          <t>Informado</t>
        </is>
      </c>
      <c r="K1141" s="6" t="inlineStr">
        <is>
          <t>Demanda doméstica fixa informada pelo usuário.</t>
        </is>
      </c>
    </row>
    <row r="1142">
      <c r="A1142" s="6" t="inlineStr">
        <is>
          <t>Milho</t>
        </is>
      </c>
      <c r="B1142" s="6" t="inlineStr">
        <is>
          <t>Aracaju - SE</t>
        </is>
      </c>
      <c r="C1142" s="6" t="n">
        <v>-10.9091</v>
      </c>
      <c r="D1142" s="6" t="n">
        <v>-37.0677</v>
      </c>
      <c r="E1142" s="6" t="inlineStr">
        <is>
          <t>2024-01</t>
        </is>
      </c>
      <c r="F1142" s="6" t="n">
        <v>54128.1736472304</v>
      </c>
      <c r="G1142" s="6" t="inlineStr">
        <is>
          <t>DOMESTICA</t>
        </is>
      </c>
      <c r="H1142" s="6" t="inlineStr">
        <is>
          <t>FIXO</t>
        </is>
      </c>
      <c r="I1142" s="11">
        <f>IF($H1142="AUTO_OFERTA_TOTAL_PRODUTO_PERIODO",SUMIFS(Oferta!$F:$F,Oferta!$A:$A,$A1142,Oferta!$E:$E,$E1142),$F1142)</f>
        <v/>
      </c>
      <c r="J1142" s="6" t="inlineStr">
        <is>
          <t>Informado</t>
        </is>
      </c>
      <c r="K1142" s="6" t="inlineStr">
        <is>
          <t>Demanda doméstica fixa informada pelo usuário.</t>
        </is>
      </c>
    </row>
    <row r="1143">
      <c r="A1143" s="6" t="inlineStr">
        <is>
          <t>Milho</t>
        </is>
      </c>
      <c r="B1143" s="6" t="inlineStr">
        <is>
          <t>Aracaju - SE</t>
        </is>
      </c>
      <c r="C1143" s="6" t="n">
        <v>-10.9091</v>
      </c>
      <c r="D1143" s="6" t="n">
        <v>-37.0677</v>
      </c>
      <c r="E1143" s="6" t="inlineStr">
        <is>
          <t>2024-02</t>
        </is>
      </c>
      <c r="F1143" s="6" t="n">
        <v>31921.743432982</v>
      </c>
      <c r="G1143" s="6" t="inlineStr">
        <is>
          <t>DOMESTICA</t>
        </is>
      </c>
      <c r="H1143" s="6" t="inlineStr">
        <is>
          <t>FIXO</t>
        </is>
      </c>
      <c r="I1143" s="11">
        <f>IF($H1143="AUTO_OFERTA_TOTAL_PRODUTO_PERIODO",SUMIFS(Oferta!$F:$F,Oferta!$A:$A,$A1143,Oferta!$E:$E,$E1143),$F1143)</f>
        <v/>
      </c>
      <c r="J1143" s="6" t="inlineStr">
        <is>
          <t>Informado</t>
        </is>
      </c>
      <c r="K1143" s="6" t="inlineStr">
        <is>
          <t>Demanda doméstica fixa informada pelo usuário.</t>
        </is>
      </c>
    </row>
    <row r="1144">
      <c r="A1144" s="6" t="inlineStr">
        <is>
          <t>Milho</t>
        </is>
      </c>
      <c r="B1144" s="6" t="inlineStr">
        <is>
          <t>Aracaju - SE</t>
        </is>
      </c>
      <c r="C1144" s="6" t="n">
        <v>-10.9091</v>
      </c>
      <c r="D1144" s="6" t="n">
        <v>-37.0677</v>
      </c>
      <c r="E1144" s="6" t="inlineStr">
        <is>
          <t>2024-03</t>
        </is>
      </c>
      <c r="F1144" s="6" t="n">
        <v>24519.6000282326</v>
      </c>
      <c r="G1144" s="6" t="inlineStr">
        <is>
          <t>DOMESTICA</t>
        </is>
      </c>
      <c r="H1144" s="6" t="inlineStr">
        <is>
          <t>FIXO</t>
        </is>
      </c>
      <c r="I1144" s="11">
        <f>IF($H1144="AUTO_OFERTA_TOTAL_PRODUTO_PERIODO",SUMIFS(Oferta!$F:$F,Oferta!$A:$A,$A1144,Oferta!$E:$E,$E1144),$F1144)</f>
        <v/>
      </c>
      <c r="J1144" s="6" t="inlineStr">
        <is>
          <t>Informado</t>
        </is>
      </c>
      <c r="K1144" s="6" t="inlineStr">
        <is>
          <t>Demanda doméstica fixa informada pelo usuário.</t>
        </is>
      </c>
    </row>
    <row r="1145">
      <c r="A1145" s="6" t="inlineStr">
        <is>
          <t>Milho</t>
        </is>
      </c>
      <c r="B1145" s="6" t="inlineStr">
        <is>
          <t>Aracaju - SE</t>
        </is>
      </c>
      <c r="C1145" s="6" t="n">
        <v>-10.9091</v>
      </c>
      <c r="D1145" s="6" t="n">
        <v>-37.0677</v>
      </c>
      <c r="E1145" s="6" t="inlineStr">
        <is>
          <t>2024-04</t>
        </is>
      </c>
      <c r="F1145" s="6" t="n">
        <v>24519.6000282326</v>
      </c>
      <c r="G1145" s="6" t="inlineStr">
        <is>
          <t>DOMESTICA</t>
        </is>
      </c>
      <c r="H1145" s="6" t="inlineStr">
        <is>
          <t>FIXO</t>
        </is>
      </c>
      <c r="I1145" s="11">
        <f>IF($H1145="AUTO_OFERTA_TOTAL_PRODUTO_PERIODO",SUMIFS(Oferta!$F:$F,Oferta!$A:$A,$A1145,Oferta!$E:$E,$E1145),$F1145)</f>
        <v/>
      </c>
      <c r="J1145" s="6" t="inlineStr">
        <is>
          <t>Informado</t>
        </is>
      </c>
      <c r="K1145" s="6" t="inlineStr">
        <is>
          <t>Demanda doméstica fixa informada pelo usuário.</t>
        </is>
      </c>
    </row>
    <row r="1146">
      <c r="A1146" s="6" t="inlineStr">
        <is>
          <t>Milho</t>
        </is>
      </c>
      <c r="B1146" s="6" t="inlineStr">
        <is>
          <t>Aracaju - SE</t>
        </is>
      </c>
      <c r="C1146" s="6" t="n">
        <v>-10.9091</v>
      </c>
      <c r="D1146" s="6" t="n">
        <v>-37.0677</v>
      </c>
      <c r="E1146" s="6" t="inlineStr">
        <is>
          <t>2024-05</t>
        </is>
      </c>
      <c r="F1146" s="6" t="n">
        <v>24519.6000282326</v>
      </c>
      <c r="G1146" s="6" t="inlineStr">
        <is>
          <t>DOMESTICA</t>
        </is>
      </c>
      <c r="H1146" s="6" t="inlineStr">
        <is>
          <t>FIXO</t>
        </is>
      </c>
      <c r="I1146" s="11">
        <f>IF($H1146="AUTO_OFERTA_TOTAL_PRODUTO_PERIODO",SUMIFS(Oferta!$F:$F,Oferta!$A:$A,$A1146,Oferta!$E:$E,$E1146),$F1146)</f>
        <v/>
      </c>
      <c r="J1146" s="6" t="inlineStr">
        <is>
          <t>Informado</t>
        </is>
      </c>
      <c r="K1146" s="6" t="inlineStr">
        <is>
          <t>Demanda doméstica fixa informada pelo usuário.</t>
        </is>
      </c>
    </row>
    <row r="1147">
      <c r="A1147" s="6" t="inlineStr">
        <is>
          <t>Milho</t>
        </is>
      </c>
      <c r="B1147" s="6" t="inlineStr">
        <is>
          <t>Aracaju - SE</t>
        </is>
      </c>
      <c r="C1147" s="6" t="n">
        <v>-10.9091</v>
      </c>
      <c r="D1147" s="6" t="n">
        <v>-37.0677</v>
      </c>
      <c r="E1147" s="6" t="inlineStr">
        <is>
          <t>2024-06</t>
        </is>
      </c>
      <c r="F1147" s="6" t="n">
        <v>24519.6000282326</v>
      </c>
      <c r="G1147" s="6" t="inlineStr">
        <is>
          <t>DOMESTICA</t>
        </is>
      </c>
      <c r="H1147" s="6" t="inlineStr">
        <is>
          <t>FIXO</t>
        </is>
      </c>
      <c r="I1147" s="11">
        <f>IF($H1147="AUTO_OFERTA_TOTAL_PRODUTO_PERIODO",SUMIFS(Oferta!$F:$F,Oferta!$A:$A,$A1147,Oferta!$E:$E,$E1147),$F1147)</f>
        <v/>
      </c>
      <c r="J1147" s="6" t="inlineStr">
        <is>
          <t>Informado</t>
        </is>
      </c>
      <c r="K1147" s="6" t="inlineStr">
        <is>
          <t>Demanda doméstica fixa informada pelo usuário.</t>
        </is>
      </c>
    </row>
    <row r="1148">
      <c r="A1148" s="6" t="inlineStr">
        <is>
          <t>Milho</t>
        </is>
      </c>
      <c r="B1148" s="6" t="inlineStr">
        <is>
          <t>Aracaju - SE</t>
        </is>
      </c>
      <c r="C1148" s="6" t="n">
        <v>-10.9091</v>
      </c>
      <c r="D1148" s="6" t="n">
        <v>-37.0677</v>
      </c>
      <c r="E1148" s="6" t="inlineStr">
        <is>
          <t>2024-07</t>
        </is>
      </c>
      <c r="F1148" s="6" t="n">
        <v>24519.6000282326</v>
      </c>
      <c r="G1148" s="6" t="inlineStr">
        <is>
          <t>DOMESTICA</t>
        </is>
      </c>
      <c r="H1148" s="6" t="inlineStr">
        <is>
          <t>FIXO</t>
        </is>
      </c>
      <c r="I1148" s="11">
        <f>IF($H1148="AUTO_OFERTA_TOTAL_PRODUTO_PERIODO",SUMIFS(Oferta!$F:$F,Oferta!$A:$A,$A1148,Oferta!$E:$E,$E1148),$F1148)</f>
        <v/>
      </c>
      <c r="J1148" s="6" t="inlineStr">
        <is>
          <t>Informado</t>
        </is>
      </c>
      <c r="K1148" s="6" t="inlineStr">
        <is>
          <t>Demanda doméstica fixa informada pelo usuário.</t>
        </is>
      </c>
    </row>
    <row r="1149">
      <c r="A1149" s="6" t="inlineStr">
        <is>
          <t>Milho</t>
        </is>
      </c>
      <c r="B1149" s="6" t="inlineStr">
        <is>
          <t>Aracaju - SE</t>
        </is>
      </c>
      <c r="C1149" s="6" t="n">
        <v>-10.9091</v>
      </c>
      <c r="D1149" s="6" t="n">
        <v>-37.0677</v>
      </c>
      <c r="E1149" s="6" t="inlineStr">
        <is>
          <t>2024-08</t>
        </is>
      </c>
      <c r="F1149" s="6" t="n">
        <v>24519.6000282326</v>
      </c>
      <c r="G1149" s="6" t="inlineStr">
        <is>
          <t>DOMESTICA</t>
        </is>
      </c>
      <c r="H1149" s="6" t="inlineStr">
        <is>
          <t>FIXO</t>
        </is>
      </c>
      <c r="I1149" s="11">
        <f>IF($H1149="AUTO_OFERTA_TOTAL_PRODUTO_PERIODO",SUMIFS(Oferta!$F:$F,Oferta!$A:$A,$A1149,Oferta!$E:$E,$E1149),$F1149)</f>
        <v/>
      </c>
      <c r="J1149" s="6" t="inlineStr">
        <is>
          <t>Informado</t>
        </is>
      </c>
      <c r="K1149" s="6" t="inlineStr">
        <is>
          <t>Demanda doméstica fixa informada pelo usuário.</t>
        </is>
      </c>
    </row>
    <row r="1150">
      <c r="A1150" s="6" t="inlineStr">
        <is>
          <t>Milho</t>
        </is>
      </c>
      <c r="B1150" s="6" t="inlineStr">
        <is>
          <t>Aracaju - SE</t>
        </is>
      </c>
      <c r="C1150" s="6" t="n">
        <v>-10.9091</v>
      </c>
      <c r="D1150" s="6" t="n">
        <v>-37.0677</v>
      </c>
      <c r="E1150" s="6" t="inlineStr">
        <is>
          <t>2024-09</t>
        </is>
      </c>
      <c r="F1150" s="6" t="n">
        <v>28220.6717306073</v>
      </c>
      <c r="G1150" s="6" t="inlineStr">
        <is>
          <t>DOMESTICA</t>
        </is>
      </c>
      <c r="H1150" s="6" t="inlineStr">
        <is>
          <t>FIXO</t>
        </is>
      </c>
      <c r="I1150" s="11">
        <f>IF($H1150="AUTO_OFERTA_TOTAL_PRODUTO_PERIODO",SUMIFS(Oferta!$F:$F,Oferta!$A:$A,$A1150,Oferta!$E:$E,$E1150),$F1150)</f>
        <v/>
      </c>
      <c r="J1150" s="6" t="inlineStr">
        <is>
          <t>Informado</t>
        </is>
      </c>
      <c r="K1150" s="6" t="inlineStr">
        <is>
          <t>Demanda doméstica fixa informada pelo usuário.</t>
        </is>
      </c>
    </row>
    <row r="1151">
      <c r="A1151" s="6" t="inlineStr">
        <is>
          <t>Milho</t>
        </is>
      </c>
      <c r="B1151" s="6" t="inlineStr">
        <is>
          <t>Aracaju - SE</t>
        </is>
      </c>
      <c r="C1151" s="6" t="n">
        <v>-10.9091</v>
      </c>
      <c r="D1151" s="6" t="n">
        <v>-37.0677</v>
      </c>
      <c r="E1151" s="6" t="inlineStr">
        <is>
          <t>2024-10</t>
        </is>
      </c>
      <c r="F1151" s="6" t="n">
        <v>35622.8151353568</v>
      </c>
      <c r="G1151" s="6" t="inlineStr">
        <is>
          <t>DOMESTICA</t>
        </is>
      </c>
      <c r="H1151" s="6" t="inlineStr">
        <is>
          <t>FIXO</t>
        </is>
      </c>
      <c r="I1151" s="11">
        <f>IF($H1151="AUTO_OFERTA_TOTAL_PRODUTO_PERIODO",SUMIFS(Oferta!$F:$F,Oferta!$A:$A,$A1151,Oferta!$E:$E,$E1151),$F1151)</f>
        <v/>
      </c>
      <c r="J1151" s="6" t="inlineStr">
        <is>
          <t>Informado</t>
        </is>
      </c>
      <c r="K1151" s="6" t="inlineStr">
        <is>
          <t>Demanda doméstica fixa informada pelo usuário.</t>
        </is>
      </c>
    </row>
    <row r="1152">
      <c r="A1152" s="6" t="inlineStr">
        <is>
          <t>Milho</t>
        </is>
      </c>
      <c r="B1152" s="6" t="inlineStr">
        <is>
          <t>Aracaju - SE</t>
        </is>
      </c>
      <c r="C1152" s="6" t="n">
        <v>-10.9091</v>
      </c>
      <c r="D1152" s="6" t="n">
        <v>-37.0677</v>
      </c>
      <c r="E1152" s="6" t="inlineStr">
        <is>
          <t>2024-11</t>
        </is>
      </c>
      <c r="F1152" s="6" t="n">
        <v>57829.2453496052</v>
      </c>
      <c r="G1152" s="6" t="inlineStr">
        <is>
          <t>DOMESTICA</t>
        </is>
      </c>
      <c r="H1152" s="6" t="inlineStr">
        <is>
          <t>FIXO</t>
        </is>
      </c>
      <c r="I1152" s="11">
        <f>IF($H1152="AUTO_OFERTA_TOTAL_PRODUTO_PERIODO",SUMIFS(Oferta!$F:$F,Oferta!$A:$A,$A1152,Oferta!$E:$E,$E1152),$F1152)</f>
        <v/>
      </c>
      <c r="J1152" s="6" t="inlineStr">
        <is>
          <t>Informado</t>
        </is>
      </c>
      <c r="K1152" s="6" t="inlineStr">
        <is>
          <t>Demanda doméstica fixa informada pelo usuário.</t>
        </is>
      </c>
    </row>
    <row r="1153">
      <c r="A1153" s="6" t="inlineStr">
        <is>
          <t>Milho</t>
        </is>
      </c>
      <c r="B1153" s="6" t="inlineStr">
        <is>
          <t>Aracaju - SE</t>
        </is>
      </c>
      <c r="C1153" s="6" t="n">
        <v>-10.9091</v>
      </c>
      <c r="D1153" s="6" t="n">
        <v>-37.0677</v>
      </c>
      <c r="E1153" s="6" t="inlineStr">
        <is>
          <t>2024-12</t>
        </is>
      </c>
      <c r="F1153" s="6" t="n">
        <v>61530.3170519799</v>
      </c>
      <c r="G1153" s="6" t="inlineStr">
        <is>
          <t>DOMESTICA</t>
        </is>
      </c>
      <c r="H1153" s="6" t="inlineStr">
        <is>
          <t>FIXO</t>
        </is>
      </c>
      <c r="I1153" s="11">
        <f>IF($H1153="AUTO_OFERTA_TOTAL_PRODUTO_PERIODO",SUMIFS(Oferta!$F:$F,Oferta!$A:$A,$A1153,Oferta!$E:$E,$E1153),$F1153)</f>
        <v/>
      </c>
      <c r="J1153" s="6" t="inlineStr">
        <is>
          <t>Informado</t>
        </is>
      </c>
      <c r="K1153" s="6" t="inlineStr">
        <is>
          <t>Demanda doméstica fixa informada pelo usuário.</t>
        </is>
      </c>
    </row>
    <row r="1154">
      <c r="A1154" s="6" t="inlineStr">
        <is>
          <t>Milho</t>
        </is>
      </c>
      <c r="B1154" s="6" t="inlineStr">
        <is>
          <t>Natal - RN</t>
        </is>
      </c>
      <c r="C1154" s="6" t="n">
        <v>-5.79357</v>
      </c>
      <c r="D1154" s="6" t="n">
        <v>-35.1986</v>
      </c>
      <c r="E1154" s="6" t="inlineStr">
        <is>
          <t>2024-01</t>
        </is>
      </c>
      <c r="F1154" s="6" t="n">
        <v>29958.3584233207</v>
      </c>
      <c r="G1154" s="6" t="inlineStr">
        <is>
          <t>DOMESTICA</t>
        </is>
      </c>
      <c r="H1154" s="6" t="inlineStr">
        <is>
          <t>FIXO</t>
        </is>
      </c>
      <c r="I1154" s="11">
        <f>IF($H1154="AUTO_OFERTA_TOTAL_PRODUTO_PERIODO",SUMIFS(Oferta!$F:$F,Oferta!$A:$A,$A1154,Oferta!$E:$E,$E1154),$F1154)</f>
        <v/>
      </c>
      <c r="J1154" s="6" t="inlineStr">
        <is>
          <t>Informado</t>
        </is>
      </c>
      <c r="K1154" s="6" t="inlineStr">
        <is>
          <t>Demanda doméstica fixa informada pelo usuário.</t>
        </is>
      </c>
    </row>
    <row r="1155">
      <c r="A1155" s="6" t="inlineStr">
        <is>
          <t>Milho</t>
        </is>
      </c>
      <c r="B1155" s="6" t="inlineStr">
        <is>
          <t>Natal - RN</t>
        </is>
      </c>
      <c r="C1155" s="6" t="n">
        <v>-5.79357</v>
      </c>
      <c r="D1155" s="6" t="n">
        <v>-35.1986</v>
      </c>
      <c r="E1155" s="6" t="inlineStr">
        <is>
          <t>2024-02</t>
        </is>
      </c>
      <c r="F1155" s="6" t="n">
        <v>29958.3584233207</v>
      </c>
      <c r="G1155" s="6" t="inlineStr">
        <is>
          <t>DOMESTICA</t>
        </is>
      </c>
      <c r="H1155" s="6" t="inlineStr">
        <is>
          <t>FIXO</t>
        </is>
      </c>
      <c r="I1155" s="11">
        <f>IF($H1155="AUTO_OFERTA_TOTAL_PRODUTO_PERIODO",SUMIFS(Oferta!$F:$F,Oferta!$A:$A,$A1155,Oferta!$E:$E,$E1155),$F1155)</f>
        <v/>
      </c>
      <c r="J1155" s="6" t="inlineStr">
        <is>
          <t>Informado</t>
        </is>
      </c>
      <c r="K1155" s="6" t="inlineStr">
        <is>
          <t>Demanda doméstica fixa informada pelo usuário.</t>
        </is>
      </c>
    </row>
    <row r="1156">
      <c r="A1156" s="6" t="inlineStr">
        <is>
          <t>Milho</t>
        </is>
      </c>
      <c r="B1156" s="6" t="inlineStr">
        <is>
          <t>Natal - RN</t>
        </is>
      </c>
      <c r="C1156" s="6" t="n">
        <v>-5.79357</v>
      </c>
      <c r="D1156" s="6" t="n">
        <v>-35.1986</v>
      </c>
      <c r="E1156" s="6" t="inlineStr">
        <is>
          <t>2024-03</t>
        </is>
      </c>
      <c r="F1156" s="6" t="n">
        <v>29958.3584233207</v>
      </c>
      <c r="G1156" s="6" t="inlineStr">
        <is>
          <t>DOMESTICA</t>
        </is>
      </c>
      <c r="H1156" s="6" t="inlineStr">
        <is>
          <t>FIXO</t>
        </is>
      </c>
      <c r="I1156" s="11">
        <f>IF($H1156="AUTO_OFERTA_TOTAL_PRODUTO_PERIODO",SUMIFS(Oferta!$F:$F,Oferta!$A:$A,$A1156,Oferta!$E:$E,$E1156),$F1156)</f>
        <v/>
      </c>
      <c r="J1156" s="6" t="inlineStr">
        <is>
          <t>Informado</t>
        </is>
      </c>
      <c r="K1156" s="6" t="inlineStr">
        <is>
          <t>Demanda doméstica fixa informada pelo usuário.</t>
        </is>
      </c>
    </row>
    <row r="1157">
      <c r="A1157" s="6" t="inlineStr">
        <is>
          <t>Milho</t>
        </is>
      </c>
      <c r="B1157" s="6" t="inlineStr">
        <is>
          <t>Natal - RN</t>
        </is>
      </c>
      <c r="C1157" s="6" t="n">
        <v>-5.79357</v>
      </c>
      <c r="D1157" s="6" t="n">
        <v>-35.1986</v>
      </c>
      <c r="E1157" s="6" t="inlineStr">
        <is>
          <t>2024-04</t>
        </is>
      </c>
      <c r="F1157" s="6" t="n">
        <v>29958.3584233207</v>
      </c>
      <c r="G1157" s="6" t="inlineStr">
        <is>
          <t>DOMESTICA</t>
        </is>
      </c>
      <c r="H1157" s="6" t="inlineStr">
        <is>
          <t>FIXO</t>
        </is>
      </c>
      <c r="I1157" s="11">
        <f>IF($H1157="AUTO_OFERTA_TOTAL_PRODUTO_PERIODO",SUMIFS(Oferta!$F:$F,Oferta!$A:$A,$A1157,Oferta!$E:$E,$E1157),$F1157)</f>
        <v/>
      </c>
      <c r="J1157" s="6" t="inlineStr">
        <is>
          <t>Informado</t>
        </is>
      </c>
      <c r="K1157" s="6" t="inlineStr">
        <is>
          <t>Demanda doméstica fixa informada pelo usuário.</t>
        </is>
      </c>
    </row>
    <row r="1158">
      <c r="A1158" s="6" t="inlineStr">
        <is>
          <t>Milho</t>
        </is>
      </c>
      <c r="B1158" s="6" t="inlineStr">
        <is>
          <t>Natal - RN</t>
        </is>
      </c>
      <c r="C1158" s="6" t="n">
        <v>-5.79357</v>
      </c>
      <c r="D1158" s="6" t="n">
        <v>-35.1986</v>
      </c>
      <c r="E1158" s="6" t="inlineStr">
        <is>
          <t>2024-05</t>
        </is>
      </c>
      <c r="F1158" s="6" t="n">
        <v>29958.3584233207</v>
      </c>
      <c r="G1158" s="6" t="inlineStr">
        <is>
          <t>DOMESTICA</t>
        </is>
      </c>
      <c r="H1158" s="6" t="inlineStr">
        <is>
          <t>FIXO</t>
        </is>
      </c>
      <c r="I1158" s="11">
        <f>IF($H1158="AUTO_OFERTA_TOTAL_PRODUTO_PERIODO",SUMIFS(Oferta!$F:$F,Oferta!$A:$A,$A1158,Oferta!$E:$E,$E1158),$F1158)</f>
        <v/>
      </c>
      <c r="J1158" s="6" t="inlineStr">
        <is>
          <t>Informado</t>
        </is>
      </c>
      <c r="K1158" s="6" t="inlineStr">
        <is>
          <t>Demanda doméstica fixa informada pelo usuário.</t>
        </is>
      </c>
    </row>
    <row r="1159">
      <c r="A1159" s="6" t="inlineStr">
        <is>
          <t>Milho</t>
        </is>
      </c>
      <c r="B1159" s="6" t="inlineStr">
        <is>
          <t>Natal - RN</t>
        </is>
      </c>
      <c r="C1159" s="6" t="n">
        <v>-5.79357</v>
      </c>
      <c r="D1159" s="6" t="n">
        <v>-35.1986</v>
      </c>
      <c r="E1159" s="6" t="inlineStr">
        <is>
          <t>2024-06</t>
        </is>
      </c>
      <c r="F1159" s="6" t="n">
        <v>39002.3911548892</v>
      </c>
      <c r="G1159" s="6" t="inlineStr">
        <is>
          <t>DOMESTICA</t>
        </is>
      </c>
      <c r="H1159" s="6" t="inlineStr">
        <is>
          <t>FIXO</t>
        </is>
      </c>
      <c r="I1159" s="11">
        <f>IF($H1159="AUTO_OFERTA_TOTAL_PRODUTO_PERIODO",SUMIFS(Oferta!$F:$F,Oferta!$A:$A,$A1159,Oferta!$E:$E,$E1159),$F1159)</f>
        <v/>
      </c>
      <c r="J1159" s="6" t="inlineStr">
        <is>
          <t>Informado</t>
        </is>
      </c>
      <c r="K1159" s="6" t="inlineStr">
        <is>
          <t>Demanda doméstica fixa informada pelo usuário.</t>
        </is>
      </c>
    </row>
    <row r="1160">
      <c r="A1160" s="6" t="inlineStr">
        <is>
          <t>Milho</t>
        </is>
      </c>
      <c r="B1160" s="6" t="inlineStr">
        <is>
          <t>Natal - RN</t>
        </is>
      </c>
      <c r="C1160" s="6" t="n">
        <v>-5.79357</v>
      </c>
      <c r="D1160" s="6" t="n">
        <v>-35.1986</v>
      </c>
      <c r="E1160" s="6" t="inlineStr">
        <is>
          <t>2024-07</t>
        </is>
      </c>
      <c r="F1160" s="6" t="n">
        <v>48046.4238864577</v>
      </c>
      <c r="G1160" s="6" t="inlineStr">
        <is>
          <t>DOMESTICA</t>
        </is>
      </c>
      <c r="H1160" s="6" t="inlineStr">
        <is>
          <t>FIXO</t>
        </is>
      </c>
      <c r="I1160" s="11">
        <f>IF($H1160="AUTO_OFERTA_TOTAL_PRODUTO_PERIODO",SUMIFS(Oferta!$F:$F,Oferta!$A:$A,$A1160,Oferta!$E:$E,$E1160),$F1160)</f>
        <v/>
      </c>
      <c r="J1160" s="6" t="inlineStr">
        <is>
          <t>Informado</t>
        </is>
      </c>
      <c r="K1160" s="6" t="inlineStr">
        <is>
          <t>Demanda doméstica fixa informada pelo usuário.</t>
        </is>
      </c>
    </row>
    <row r="1161">
      <c r="A1161" s="6" t="inlineStr">
        <is>
          <t>Milho</t>
        </is>
      </c>
      <c r="B1161" s="6" t="inlineStr">
        <is>
          <t>Natal - RN</t>
        </is>
      </c>
      <c r="C1161" s="6" t="n">
        <v>-5.79357</v>
      </c>
      <c r="D1161" s="6" t="n">
        <v>-35.1986</v>
      </c>
      <c r="E1161" s="6" t="inlineStr">
        <is>
          <t>2024-08</t>
        </is>
      </c>
      <c r="F1161" s="6" t="n">
        <v>66134.4893495947</v>
      </c>
      <c r="G1161" s="6" t="inlineStr">
        <is>
          <t>DOMESTICA</t>
        </is>
      </c>
      <c r="H1161" s="6" t="inlineStr">
        <is>
          <t>FIXO</t>
        </is>
      </c>
      <c r="I1161" s="11">
        <f>IF($H1161="AUTO_OFERTA_TOTAL_PRODUTO_PERIODO",SUMIFS(Oferta!$F:$F,Oferta!$A:$A,$A1161,Oferta!$E:$E,$E1161),$F1161)</f>
        <v/>
      </c>
      <c r="J1161" s="6" t="inlineStr">
        <is>
          <t>Informado</t>
        </is>
      </c>
      <c r="K1161" s="6" t="inlineStr">
        <is>
          <t>Demanda doméstica fixa informada pelo usuário.</t>
        </is>
      </c>
    </row>
    <row r="1162">
      <c r="A1162" s="6" t="inlineStr">
        <is>
          <t>Milho</t>
        </is>
      </c>
      <c r="B1162" s="6" t="inlineStr">
        <is>
          <t>Natal - RN</t>
        </is>
      </c>
      <c r="C1162" s="6" t="n">
        <v>-5.79357</v>
      </c>
      <c r="D1162" s="6" t="n">
        <v>-35.1986</v>
      </c>
      <c r="E1162" s="6" t="inlineStr">
        <is>
          <t>2024-09</t>
        </is>
      </c>
      <c r="F1162" s="6" t="n">
        <v>75178.5220811632</v>
      </c>
      <c r="G1162" s="6" t="inlineStr">
        <is>
          <t>DOMESTICA</t>
        </is>
      </c>
      <c r="H1162" s="6" t="inlineStr">
        <is>
          <t>FIXO</t>
        </is>
      </c>
      <c r="I1162" s="11">
        <f>IF($H1162="AUTO_OFERTA_TOTAL_PRODUTO_PERIODO",SUMIFS(Oferta!$F:$F,Oferta!$A:$A,$A1162,Oferta!$E:$E,$E1162),$F1162)</f>
        <v/>
      </c>
      <c r="J1162" s="6" t="inlineStr">
        <is>
          <t>Informado</t>
        </is>
      </c>
      <c r="K1162" s="6" t="inlineStr">
        <is>
          <t>Demanda doméstica fixa informada pelo usuário.</t>
        </is>
      </c>
    </row>
    <row r="1163">
      <c r="A1163" s="6" t="inlineStr">
        <is>
          <t>Milho</t>
        </is>
      </c>
      <c r="B1163" s="6" t="inlineStr">
        <is>
          <t>Natal - RN</t>
        </is>
      </c>
      <c r="C1163" s="6" t="n">
        <v>-5.79357</v>
      </c>
      <c r="D1163" s="6" t="n">
        <v>-35.1986</v>
      </c>
      <c r="E1163" s="6" t="inlineStr">
        <is>
          <t>2024-10</t>
        </is>
      </c>
      <c r="F1163" s="6" t="n">
        <v>75178.5220811632</v>
      </c>
      <c r="G1163" s="6" t="inlineStr">
        <is>
          <t>DOMESTICA</t>
        </is>
      </c>
      <c r="H1163" s="6" t="inlineStr">
        <is>
          <t>FIXO</t>
        </is>
      </c>
      <c r="I1163" s="11">
        <f>IF($H1163="AUTO_OFERTA_TOTAL_PRODUTO_PERIODO",SUMIFS(Oferta!$F:$F,Oferta!$A:$A,$A1163,Oferta!$E:$E,$E1163),$F1163)</f>
        <v/>
      </c>
      <c r="J1163" s="6" t="inlineStr">
        <is>
          <t>Informado</t>
        </is>
      </c>
      <c r="K1163" s="6" t="inlineStr">
        <is>
          <t>Demanda doméstica fixa informada pelo usuário.</t>
        </is>
      </c>
    </row>
    <row r="1164">
      <c r="A1164" s="6" t="inlineStr">
        <is>
          <t>Milho</t>
        </is>
      </c>
      <c r="B1164" s="6" t="inlineStr">
        <is>
          <t>Natal - RN</t>
        </is>
      </c>
      <c r="C1164" s="6" t="n">
        <v>-5.79357</v>
      </c>
      <c r="D1164" s="6" t="n">
        <v>-35.1986</v>
      </c>
      <c r="E1164" s="6" t="inlineStr">
        <is>
          <t>2024-11</t>
        </is>
      </c>
      <c r="F1164" s="6" t="n">
        <v>57090.4566180262</v>
      </c>
      <c r="G1164" s="6" t="inlineStr">
        <is>
          <t>DOMESTICA</t>
        </is>
      </c>
      <c r="H1164" s="6" t="inlineStr">
        <is>
          <t>FIXO</t>
        </is>
      </c>
      <c r="I1164" s="11">
        <f>IF($H1164="AUTO_OFERTA_TOTAL_PRODUTO_PERIODO",SUMIFS(Oferta!$F:$F,Oferta!$A:$A,$A1164,Oferta!$E:$E,$E1164),$F1164)</f>
        <v/>
      </c>
      <c r="J1164" s="6" t="inlineStr">
        <is>
          <t>Informado</t>
        </is>
      </c>
      <c r="K1164" s="6" t="inlineStr">
        <is>
          <t>Demanda doméstica fixa informada pelo usuário.</t>
        </is>
      </c>
    </row>
    <row r="1165">
      <c r="A1165" s="6" t="inlineStr">
        <is>
          <t>Milho</t>
        </is>
      </c>
      <c r="B1165" s="6" t="inlineStr">
        <is>
          <t>Natal - RN</t>
        </is>
      </c>
      <c r="C1165" s="6" t="n">
        <v>-5.79357</v>
      </c>
      <c r="D1165" s="6" t="n">
        <v>-35.1986</v>
      </c>
      <c r="E1165" s="6" t="inlineStr">
        <is>
          <t>2024-12</t>
        </is>
      </c>
      <c r="F1165" s="6" t="n">
        <v>39002.3911548892</v>
      </c>
      <c r="G1165" s="6" t="inlineStr">
        <is>
          <t>DOMESTICA</t>
        </is>
      </c>
      <c r="H1165" s="6" t="inlineStr">
        <is>
          <t>FIXO</t>
        </is>
      </c>
      <c r="I1165" s="11">
        <f>IF($H1165="AUTO_OFERTA_TOTAL_PRODUTO_PERIODO",SUMIFS(Oferta!$F:$F,Oferta!$A:$A,$A1165,Oferta!$E:$E,$E1165),$F1165)</f>
        <v/>
      </c>
      <c r="J1165" s="6" t="inlineStr">
        <is>
          <t>Informado</t>
        </is>
      </c>
      <c r="K1165" s="6" t="inlineStr">
        <is>
          <t>Demanda doméstica fixa informada pelo usuário.</t>
        </is>
      </c>
    </row>
    <row r="1166">
      <c r="A1166" s="6" t="inlineStr">
        <is>
          <t>Milho</t>
        </is>
      </c>
      <c r="B1166" s="6" t="inlineStr">
        <is>
          <t>Brasília - DF</t>
        </is>
      </c>
      <c r="C1166" s="6" t="n">
        <v>-15.7795</v>
      </c>
      <c r="D1166" s="6" t="n">
        <v>-47.9297</v>
      </c>
      <c r="E1166" s="6" t="inlineStr">
        <is>
          <t>2024-01</t>
        </is>
      </c>
      <c r="F1166" s="6" t="n">
        <v>26059.3490282995</v>
      </c>
      <c r="G1166" s="6" t="inlineStr">
        <is>
          <t>DOMESTICA</t>
        </is>
      </c>
      <c r="H1166" s="6" t="inlineStr">
        <is>
          <t>FIXO</t>
        </is>
      </c>
      <c r="I1166" s="11">
        <f>IF($H1166="AUTO_OFERTA_TOTAL_PRODUTO_PERIODO",SUMIFS(Oferta!$F:$F,Oferta!$A:$A,$A1166,Oferta!$E:$E,$E1166),$F1166)</f>
        <v/>
      </c>
      <c r="J1166" s="6" t="inlineStr">
        <is>
          <t>Informado</t>
        </is>
      </c>
      <c r="K1166" s="6" t="inlineStr">
        <is>
          <t>Demanda doméstica fixa informada pelo usuário.</t>
        </is>
      </c>
    </row>
    <row r="1167">
      <c r="A1167" s="6" t="inlineStr">
        <is>
          <t>Milho</t>
        </is>
      </c>
      <c r="B1167" s="6" t="inlineStr">
        <is>
          <t>Brasília - DF</t>
        </is>
      </c>
      <c r="C1167" s="6" t="n">
        <v>-15.7795</v>
      </c>
      <c r="D1167" s="6" t="n">
        <v>-47.9297</v>
      </c>
      <c r="E1167" s="6" t="inlineStr">
        <is>
          <t>2024-02</t>
        </is>
      </c>
      <c r="F1167" s="6" t="n">
        <v>26059.3490282995</v>
      </c>
      <c r="G1167" s="6" t="inlineStr">
        <is>
          <t>DOMESTICA</t>
        </is>
      </c>
      <c r="H1167" s="6" t="inlineStr">
        <is>
          <t>FIXO</t>
        </is>
      </c>
      <c r="I1167" s="11">
        <f>IF($H1167="AUTO_OFERTA_TOTAL_PRODUTO_PERIODO",SUMIFS(Oferta!$F:$F,Oferta!$A:$A,$A1167,Oferta!$E:$E,$E1167),$F1167)</f>
        <v/>
      </c>
      <c r="J1167" s="6" t="inlineStr">
        <is>
          <t>Informado</t>
        </is>
      </c>
      <c r="K1167" s="6" t="inlineStr">
        <is>
          <t>Demanda doméstica fixa informada pelo usuário.</t>
        </is>
      </c>
    </row>
    <row r="1168">
      <c r="A1168" s="6" t="inlineStr">
        <is>
          <t>Milho</t>
        </is>
      </c>
      <c r="B1168" s="6" t="inlineStr">
        <is>
          <t>Brasília - DF</t>
        </is>
      </c>
      <c r="C1168" s="6" t="n">
        <v>-15.7795</v>
      </c>
      <c r="D1168" s="6" t="n">
        <v>-47.9297</v>
      </c>
      <c r="E1168" s="6" t="inlineStr">
        <is>
          <t>2024-03</t>
        </is>
      </c>
      <c r="F1168" s="6" t="n">
        <v>29992.8356740805</v>
      </c>
      <c r="G1168" s="6" t="inlineStr">
        <is>
          <t>DOMESTICA</t>
        </is>
      </c>
      <c r="H1168" s="6" t="inlineStr">
        <is>
          <t>FIXO</t>
        </is>
      </c>
      <c r="I1168" s="11">
        <f>IF($H1168="AUTO_OFERTA_TOTAL_PRODUTO_PERIODO",SUMIFS(Oferta!$F:$F,Oferta!$A:$A,$A1168,Oferta!$E:$E,$E1168),$F1168)</f>
        <v/>
      </c>
      <c r="J1168" s="6" t="inlineStr">
        <is>
          <t>Informado</t>
        </is>
      </c>
      <c r="K1168" s="6" t="inlineStr">
        <is>
          <t>Demanda doméstica fixa informada pelo usuário.</t>
        </is>
      </c>
    </row>
    <row r="1169">
      <c r="A1169" s="6" t="inlineStr">
        <is>
          <t>Milho</t>
        </is>
      </c>
      <c r="B1169" s="6" t="inlineStr">
        <is>
          <t>Brasília - DF</t>
        </is>
      </c>
      <c r="C1169" s="6" t="n">
        <v>-15.7795</v>
      </c>
      <c r="D1169" s="6" t="n">
        <v>-47.9297</v>
      </c>
      <c r="E1169" s="6" t="inlineStr">
        <is>
          <t>2024-04</t>
        </is>
      </c>
      <c r="F1169" s="6" t="n">
        <v>37859.8089656427</v>
      </c>
      <c r="G1169" s="6" t="inlineStr">
        <is>
          <t>DOMESTICA</t>
        </is>
      </c>
      <c r="H1169" s="6" t="inlineStr">
        <is>
          <t>FIXO</t>
        </is>
      </c>
      <c r="I1169" s="11">
        <f>IF($H1169="AUTO_OFERTA_TOTAL_PRODUTO_PERIODO",SUMIFS(Oferta!$F:$F,Oferta!$A:$A,$A1169,Oferta!$E:$E,$E1169),$F1169)</f>
        <v/>
      </c>
      <c r="J1169" s="6" t="inlineStr">
        <is>
          <t>Informado</t>
        </is>
      </c>
      <c r="K1169" s="6" t="inlineStr">
        <is>
          <t>Demanda doméstica fixa informada pelo usuário.</t>
        </is>
      </c>
    </row>
    <row r="1170">
      <c r="A1170" s="6" t="inlineStr">
        <is>
          <t>Milho</t>
        </is>
      </c>
      <c r="B1170" s="6" t="inlineStr">
        <is>
          <t>Brasília - DF</t>
        </is>
      </c>
      <c r="C1170" s="6" t="n">
        <v>-15.7795</v>
      </c>
      <c r="D1170" s="6" t="n">
        <v>-47.9297</v>
      </c>
      <c r="E1170" s="6" t="inlineStr">
        <is>
          <t>2024-05</t>
        </is>
      </c>
      <c r="F1170" s="6" t="n">
        <v>61460.728840329</v>
      </c>
      <c r="G1170" s="6" t="inlineStr">
        <is>
          <t>DOMESTICA</t>
        </is>
      </c>
      <c r="H1170" s="6" t="inlineStr">
        <is>
          <t>FIXO</t>
        </is>
      </c>
      <c r="I1170" s="11">
        <f>IF($H1170="AUTO_OFERTA_TOTAL_PRODUTO_PERIODO",SUMIFS(Oferta!$F:$F,Oferta!$A:$A,$A1170,Oferta!$E:$E,$E1170),$F1170)</f>
        <v/>
      </c>
      <c r="J1170" s="6" t="inlineStr">
        <is>
          <t>Informado</t>
        </is>
      </c>
      <c r="K1170" s="6" t="inlineStr">
        <is>
          <t>Demanda doméstica fixa informada pelo usuário.</t>
        </is>
      </c>
    </row>
    <row r="1171">
      <c r="A1171" s="6" t="inlineStr">
        <is>
          <t>Milho</t>
        </is>
      </c>
      <c r="B1171" s="6" t="inlineStr">
        <is>
          <t>Brasília - DF</t>
        </is>
      </c>
      <c r="C1171" s="6" t="n">
        <v>-15.7795</v>
      </c>
      <c r="D1171" s="6" t="n">
        <v>-47.9297</v>
      </c>
      <c r="E1171" s="6" t="inlineStr">
        <is>
          <t>2024-06</t>
        </is>
      </c>
      <c r="F1171" s="6" t="n">
        <v>73261.1887776721</v>
      </c>
      <c r="G1171" s="6" t="inlineStr">
        <is>
          <t>DOMESTICA</t>
        </is>
      </c>
      <c r="H1171" s="6" t="inlineStr">
        <is>
          <t>FIXO</t>
        </is>
      </c>
      <c r="I1171" s="11">
        <f>IF($H1171="AUTO_OFERTA_TOTAL_PRODUTO_PERIODO",SUMIFS(Oferta!$F:$F,Oferta!$A:$A,$A1171,Oferta!$E:$E,$E1171),$F1171)</f>
        <v/>
      </c>
      <c r="J1171" s="6" t="inlineStr">
        <is>
          <t>Informado</t>
        </is>
      </c>
      <c r="K1171" s="6" t="inlineStr">
        <is>
          <t>Demanda doméstica fixa informada pelo usuário.</t>
        </is>
      </c>
    </row>
    <row r="1172">
      <c r="A1172" s="6" t="inlineStr">
        <is>
          <t>Milho</t>
        </is>
      </c>
      <c r="B1172" s="6" t="inlineStr">
        <is>
          <t>Brasília - DF</t>
        </is>
      </c>
      <c r="C1172" s="6" t="n">
        <v>-15.7795</v>
      </c>
      <c r="D1172" s="6" t="n">
        <v>-47.9297</v>
      </c>
      <c r="E1172" s="6" t="inlineStr">
        <is>
          <t>2024-07</t>
        </is>
      </c>
      <c r="F1172" s="6" t="n">
        <v>85061.6487150153</v>
      </c>
      <c r="G1172" s="6" t="inlineStr">
        <is>
          <t>DOMESTICA</t>
        </is>
      </c>
      <c r="H1172" s="6" t="inlineStr">
        <is>
          <t>FIXO</t>
        </is>
      </c>
      <c r="I1172" s="11">
        <f>IF($H1172="AUTO_OFERTA_TOTAL_PRODUTO_PERIODO",SUMIFS(Oferta!$F:$F,Oferta!$A:$A,$A1172,Oferta!$E:$E,$E1172),$F1172)</f>
        <v/>
      </c>
      <c r="J1172" s="6" t="inlineStr">
        <is>
          <t>Informado</t>
        </is>
      </c>
      <c r="K1172" s="6" t="inlineStr">
        <is>
          <t>Demanda doméstica fixa informada pelo usuário.</t>
        </is>
      </c>
    </row>
    <row r="1173">
      <c r="A1173" s="6" t="inlineStr">
        <is>
          <t>Milho</t>
        </is>
      </c>
      <c r="B1173" s="6" t="inlineStr">
        <is>
          <t>Brasília - DF</t>
        </is>
      </c>
      <c r="C1173" s="6" t="n">
        <v>-15.7795</v>
      </c>
      <c r="D1173" s="6" t="n">
        <v>-47.9297</v>
      </c>
      <c r="E1173" s="6" t="inlineStr">
        <is>
          <t>2024-08</t>
        </is>
      </c>
      <c r="F1173" s="6" t="n">
        <v>77194.6754234532</v>
      </c>
      <c r="G1173" s="6" t="inlineStr">
        <is>
          <t>DOMESTICA</t>
        </is>
      </c>
      <c r="H1173" s="6" t="inlineStr">
        <is>
          <t>FIXO</t>
        </is>
      </c>
      <c r="I1173" s="11">
        <f>IF($H1173="AUTO_OFERTA_TOTAL_PRODUTO_PERIODO",SUMIFS(Oferta!$F:$F,Oferta!$A:$A,$A1173,Oferta!$E:$E,$E1173),$F1173)</f>
        <v/>
      </c>
      <c r="J1173" s="6" t="inlineStr">
        <is>
          <t>Informado</t>
        </is>
      </c>
      <c r="K1173" s="6" t="inlineStr">
        <is>
          <t>Demanda doméstica fixa informada pelo usuário.</t>
        </is>
      </c>
    </row>
    <row r="1174">
      <c r="A1174" s="6" t="inlineStr">
        <is>
          <t>Milho</t>
        </is>
      </c>
      <c r="B1174" s="6" t="inlineStr">
        <is>
          <t>Brasília - DF</t>
        </is>
      </c>
      <c r="C1174" s="6" t="n">
        <v>-15.7795</v>
      </c>
      <c r="D1174" s="6" t="n">
        <v>-47.9297</v>
      </c>
      <c r="E1174" s="6" t="inlineStr">
        <is>
          <t>2024-09</t>
        </is>
      </c>
      <c r="F1174" s="6" t="n">
        <v>69327.7021318911</v>
      </c>
      <c r="G1174" s="6" t="inlineStr">
        <is>
          <t>DOMESTICA</t>
        </is>
      </c>
      <c r="H1174" s="6" t="inlineStr">
        <is>
          <t>FIXO</t>
        </is>
      </c>
      <c r="I1174" s="11">
        <f>IF($H1174="AUTO_OFERTA_TOTAL_PRODUTO_PERIODO",SUMIFS(Oferta!$F:$F,Oferta!$A:$A,$A1174,Oferta!$E:$E,$E1174),$F1174)</f>
        <v/>
      </c>
      <c r="J1174" s="6" t="inlineStr">
        <is>
          <t>Informado</t>
        </is>
      </c>
      <c r="K1174" s="6" t="inlineStr">
        <is>
          <t>Demanda doméstica fixa informada pelo usuário.</t>
        </is>
      </c>
    </row>
    <row r="1175">
      <c r="A1175" s="6" t="inlineStr">
        <is>
          <t>Milho</t>
        </is>
      </c>
      <c r="B1175" s="6" t="inlineStr">
        <is>
          <t>Brasília - DF</t>
        </is>
      </c>
      <c r="C1175" s="6" t="n">
        <v>-15.7795</v>
      </c>
      <c r="D1175" s="6" t="n">
        <v>-47.9297</v>
      </c>
      <c r="E1175" s="6" t="inlineStr">
        <is>
          <t>2024-10</t>
        </is>
      </c>
      <c r="F1175" s="6" t="n">
        <v>49660.2689029858</v>
      </c>
      <c r="G1175" s="6" t="inlineStr">
        <is>
          <t>DOMESTICA</t>
        </is>
      </c>
      <c r="H1175" s="6" t="inlineStr">
        <is>
          <t>FIXO</t>
        </is>
      </c>
      <c r="I1175" s="11">
        <f>IF($H1175="AUTO_OFERTA_TOTAL_PRODUTO_PERIODO",SUMIFS(Oferta!$F:$F,Oferta!$A:$A,$A1175,Oferta!$E:$E,$E1175),$F1175)</f>
        <v/>
      </c>
      <c r="J1175" s="6" t="inlineStr">
        <is>
          <t>Informado</t>
        </is>
      </c>
      <c r="K1175" s="6" t="inlineStr">
        <is>
          <t>Demanda doméstica fixa informada pelo usuário.</t>
        </is>
      </c>
    </row>
    <row r="1176">
      <c r="A1176" s="6" t="inlineStr">
        <is>
          <t>Milho</t>
        </is>
      </c>
      <c r="B1176" s="6" t="inlineStr">
        <is>
          <t>Brasília - DF</t>
        </is>
      </c>
      <c r="C1176" s="6" t="n">
        <v>-15.7795</v>
      </c>
      <c r="D1176" s="6" t="n">
        <v>-47.9297</v>
      </c>
      <c r="E1176" s="6" t="inlineStr">
        <is>
          <t>2024-11</t>
        </is>
      </c>
      <c r="F1176" s="6" t="n">
        <v>33926.3223198616</v>
      </c>
      <c r="G1176" s="6" t="inlineStr">
        <is>
          <t>DOMESTICA</t>
        </is>
      </c>
      <c r="H1176" s="6" t="inlineStr">
        <is>
          <t>FIXO</t>
        </is>
      </c>
      <c r="I1176" s="11">
        <f>IF($H1176="AUTO_OFERTA_TOTAL_PRODUTO_PERIODO",SUMIFS(Oferta!$F:$F,Oferta!$A:$A,$A1176,Oferta!$E:$E,$E1176),$F1176)</f>
        <v/>
      </c>
      <c r="J1176" s="6" t="inlineStr">
        <is>
          <t>Informado</t>
        </is>
      </c>
      <c r="K1176" s="6" t="inlineStr">
        <is>
          <t>Demanda doméstica fixa informada pelo usuário.</t>
        </is>
      </c>
    </row>
    <row r="1177">
      <c r="A1177" s="6" t="inlineStr">
        <is>
          <t>Milho</t>
        </is>
      </c>
      <c r="B1177" s="6" t="inlineStr">
        <is>
          <t>Brasília - DF</t>
        </is>
      </c>
      <c r="C1177" s="6" t="n">
        <v>-15.7795</v>
      </c>
      <c r="D1177" s="6" t="n">
        <v>-47.9297</v>
      </c>
      <c r="E1177" s="6" t="inlineStr">
        <is>
          <t>2024-12</t>
        </is>
      </c>
      <c r="F1177" s="6" t="n">
        <v>26059.3490282995</v>
      </c>
      <c r="G1177" s="6" t="inlineStr">
        <is>
          <t>DOMESTICA</t>
        </is>
      </c>
      <c r="H1177" s="6" t="inlineStr">
        <is>
          <t>FIXO</t>
        </is>
      </c>
      <c r="I1177" s="11">
        <f>IF($H1177="AUTO_OFERTA_TOTAL_PRODUTO_PERIODO",SUMIFS(Oferta!$F:$F,Oferta!$A:$A,$A1177,Oferta!$E:$E,$E1177),$F1177)</f>
        <v/>
      </c>
      <c r="J1177" s="6" t="inlineStr">
        <is>
          <t>Informado</t>
        </is>
      </c>
      <c r="K1177" s="6" t="inlineStr">
        <is>
          <t>Demanda doméstica fixa informada pelo usuário.</t>
        </is>
      </c>
    </row>
    <row r="1178">
      <c r="A1178" s="6" t="inlineStr">
        <is>
          <t>Milho</t>
        </is>
      </c>
      <c r="B1178" s="6" t="inlineStr">
        <is>
          <t>Goiânia - GO</t>
        </is>
      </c>
      <c r="C1178" s="6" t="n">
        <v>-16.6864</v>
      </c>
      <c r="D1178" s="6" t="n">
        <v>-49.2643</v>
      </c>
      <c r="E1178" s="6" t="inlineStr">
        <is>
          <t>2024-01</t>
        </is>
      </c>
      <c r="F1178" s="6" t="n">
        <v>205342.8642046279</v>
      </c>
      <c r="G1178" s="6" t="inlineStr">
        <is>
          <t>DOMESTICA</t>
        </is>
      </c>
      <c r="H1178" s="6" t="inlineStr">
        <is>
          <t>FIXO</t>
        </is>
      </c>
      <c r="I1178" s="11">
        <f>IF($H1178="AUTO_OFERTA_TOTAL_PRODUTO_PERIODO",SUMIFS(Oferta!$F:$F,Oferta!$A:$A,$A1178,Oferta!$E:$E,$E1178),$F1178)</f>
        <v/>
      </c>
      <c r="J1178" s="6" t="inlineStr">
        <is>
          <t>Informado</t>
        </is>
      </c>
      <c r="K1178" s="6" t="inlineStr">
        <is>
          <t>Demanda doméstica fixa informada pelo usuário.</t>
        </is>
      </c>
    </row>
    <row r="1179">
      <c r="A1179" s="6" t="inlineStr">
        <is>
          <t>Milho</t>
        </is>
      </c>
      <c r="B1179" s="6" t="inlineStr">
        <is>
          <t>Goiânia - GO</t>
        </is>
      </c>
      <c r="C1179" s="6" t="n">
        <v>-16.6864</v>
      </c>
      <c r="D1179" s="6" t="n">
        <v>-49.2643</v>
      </c>
      <c r="E1179" s="6" t="inlineStr">
        <is>
          <t>2024-02</t>
        </is>
      </c>
      <c r="F1179" s="6" t="n">
        <v>205342.8642046279</v>
      </c>
      <c r="G1179" s="6" t="inlineStr">
        <is>
          <t>DOMESTICA</t>
        </is>
      </c>
      <c r="H1179" s="6" t="inlineStr">
        <is>
          <t>FIXO</t>
        </is>
      </c>
      <c r="I1179" s="11">
        <f>IF($H1179="AUTO_OFERTA_TOTAL_PRODUTO_PERIODO",SUMIFS(Oferta!$F:$F,Oferta!$A:$A,$A1179,Oferta!$E:$E,$E1179),$F1179)</f>
        <v/>
      </c>
      <c r="J1179" s="6" t="inlineStr">
        <is>
          <t>Informado</t>
        </is>
      </c>
      <c r="K1179" s="6" t="inlineStr">
        <is>
          <t>Demanda doméstica fixa informada pelo usuário.</t>
        </is>
      </c>
    </row>
    <row r="1180">
      <c r="A1180" s="6" t="inlineStr">
        <is>
          <t>Milho</t>
        </is>
      </c>
      <c r="B1180" s="6" t="inlineStr">
        <is>
          <t>Goiânia - GO</t>
        </is>
      </c>
      <c r="C1180" s="6" t="n">
        <v>-16.6864</v>
      </c>
      <c r="D1180" s="6" t="n">
        <v>-49.2643</v>
      </c>
      <c r="E1180" s="6" t="inlineStr">
        <is>
          <t>2024-03</t>
        </is>
      </c>
      <c r="F1180" s="6" t="n">
        <v>236338.0135185339</v>
      </c>
      <c r="G1180" s="6" t="inlineStr">
        <is>
          <t>DOMESTICA</t>
        </is>
      </c>
      <c r="H1180" s="6" t="inlineStr">
        <is>
          <t>FIXO</t>
        </is>
      </c>
      <c r="I1180" s="11">
        <f>IF($H1180="AUTO_OFERTA_TOTAL_PRODUTO_PERIODO",SUMIFS(Oferta!$F:$F,Oferta!$A:$A,$A1180,Oferta!$E:$E,$E1180),$F1180)</f>
        <v/>
      </c>
      <c r="J1180" s="6" t="inlineStr">
        <is>
          <t>Informado</t>
        </is>
      </c>
      <c r="K1180" s="6" t="inlineStr">
        <is>
          <t>Demanda doméstica fixa informada pelo usuário.</t>
        </is>
      </c>
    </row>
    <row r="1181">
      <c r="A1181" s="6" t="inlineStr">
        <is>
          <t>Milho</t>
        </is>
      </c>
      <c r="B1181" s="6" t="inlineStr">
        <is>
          <t>Goiânia - GO</t>
        </is>
      </c>
      <c r="C1181" s="6" t="n">
        <v>-16.6864</v>
      </c>
      <c r="D1181" s="6" t="n">
        <v>-49.2643</v>
      </c>
      <c r="E1181" s="6" t="inlineStr">
        <is>
          <t>2024-04</t>
        </is>
      </c>
      <c r="F1181" s="6" t="n">
        <v>298328.3121463462</v>
      </c>
      <c r="G1181" s="6" t="inlineStr">
        <is>
          <t>DOMESTICA</t>
        </is>
      </c>
      <c r="H1181" s="6" t="inlineStr">
        <is>
          <t>FIXO</t>
        </is>
      </c>
      <c r="I1181" s="11">
        <f>IF($H1181="AUTO_OFERTA_TOTAL_PRODUTO_PERIODO",SUMIFS(Oferta!$F:$F,Oferta!$A:$A,$A1181,Oferta!$E:$E,$E1181),$F1181)</f>
        <v/>
      </c>
      <c r="J1181" s="6" t="inlineStr">
        <is>
          <t>Informado</t>
        </is>
      </c>
      <c r="K1181" s="6" t="inlineStr">
        <is>
          <t>Demanda doméstica fixa informada pelo usuário.</t>
        </is>
      </c>
    </row>
    <row r="1182">
      <c r="A1182" s="6" t="inlineStr">
        <is>
          <t>Milho</t>
        </is>
      </c>
      <c r="B1182" s="6" t="inlineStr">
        <is>
          <t>Goiânia - GO</t>
        </is>
      </c>
      <c r="C1182" s="6" t="n">
        <v>-16.6864</v>
      </c>
      <c r="D1182" s="6" t="n">
        <v>-49.2643</v>
      </c>
      <c r="E1182" s="6" t="inlineStr">
        <is>
          <t>2024-05</t>
        </is>
      </c>
      <c r="F1182" s="6" t="n">
        <v>484299.2080297827</v>
      </c>
      <c r="G1182" s="6" t="inlineStr">
        <is>
          <t>DOMESTICA</t>
        </is>
      </c>
      <c r="H1182" s="6" t="inlineStr">
        <is>
          <t>FIXO</t>
        </is>
      </c>
      <c r="I1182" s="11">
        <f>IF($H1182="AUTO_OFERTA_TOTAL_PRODUTO_PERIODO",SUMIFS(Oferta!$F:$F,Oferta!$A:$A,$A1182,Oferta!$E:$E,$E1182),$F1182)</f>
        <v/>
      </c>
      <c r="J1182" s="6" t="inlineStr">
        <is>
          <t>Informado</t>
        </is>
      </c>
      <c r="K1182" s="6" t="inlineStr">
        <is>
          <t>Demanda doméstica fixa informada pelo usuário.</t>
        </is>
      </c>
    </row>
    <row r="1183">
      <c r="A1183" s="6" t="inlineStr">
        <is>
          <t>Milho</t>
        </is>
      </c>
      <c r="B1183" s="6" t="inlineStr">
        <is>
          <t>Goiânia - GO</t>
        </is>
      </c>
      <c r="C1183" s="6" t="n">
        <v>-16.6864</v>
      </c>
      <c r="D1183" s="6" t="n">
        <v>-49.2643</v>
      </c>
      <c r="E1183" s="6" t="inlineStr">
        <is>
          <t>2024-06</t>
        </is>
      </c>
      <c r="F1183" s="6" t="n">
        <v>577284.655971501</v>
      </c>
      <c r="G1183" s="6" t="inlineStr">
        <is>
          <t>DOMESTICA</t>
        </is>
      </c>
      <c r="H1183" s="6" t="inlineStr">
        <is>
          <t>FIXO</t>
        </is>
      </c>
      <c r="I1183" s="11">
        <f>IF($H1183="AUTO_OFERTA_TOTAL_PRODUTO_PERIODO",SUMIFS(Oferta!$F:$F,Oferta!$A:$A,$A1183,Oferta!$E:$E,$E1183),$F1183)</f>
        <v/>
      </c>
      <c r="J1183" s="6" t="inlineStr">
        <is>
          <t>Informado</t>
        </is>
      </c>
      <c r="K1183" s="6" t="inlineStr">
        <is>
          <t>Demanda doméstica fixa informada pelo usuário.</t>
        </is>
      </c>
    </row>
    <row r="1184">
      <c r="A1184" s="6" t="inlineStr">
        <is>
          <t>Milho</t>
        </is>
      </c>
      <c r="B1184" s="6" t="inlineStr">
        <is>
          <t>Goiânia - GO</t>
        </is>
      </c>
      <c r="C1184" s="6" t="n">
        <v>-16.6864</v>
      </c>
      <c r="D1184" s="6" t="n">
        <v>-49.2643</v>
      </c>
      <c r="E1184" s="6" t="inlineStr">
        <is>
          <t>2024-07</t>
        </is>
      </c>
      <c r="F1184" s="6" t="n">
        <v>670270.1039132193</v>
      </c>
      <c r="G1184" s="6" t="inlineStr">
        <is>
          <t>DOMESTICA</t>
        </is>
      </c>
      <c r="H1184" s="6" t="inlineStr">
        <is>
          <t>FIXO</t>
        </is>
      </c>
      <c r="I1184" s="11">
        <f>IF($H1184="AUTO_OFERTA_TOTAL_PRODUTO_PERIODO",SUMIFS(Oferta!$F:$F,Oferta!$A:$A,$A1184,Oferta!$E:$E,$E1184),$F1184)</f>
        <v/>
      </c>
      <c r="J1184" s="6" t="inlineStr">
        <is>
          <t>Informado</t>
        </is>
      </c>
      <c r="K1184" s="6" t="inlineStr">
        <is>
          <t>Demanda doméstica fixa informada pelo usuário.</t>
        </is>
      </c>
    </row>
    <row r="1185">
      <c r="A1185" s="6" t="inlineStr">
        <is>
          <t>Milho</t>
        </is>
      </c>
      <c r="B1185" s="6" t="inlineStr">
        <is>
          <t>Goiânia - GO</t>
        </is>
      </c>
      <c r="C1185" s="6" t="n">
        <v>-16.6864</v>
      </c>
      <c r="D1185" s="6" t="n">
        <v>-49.2643</v>
      </c>
      <c r="E1185" s="6" t="inlineStr">
        <is>
          <t>2024-08</t>
        </is>
      </c>
      <c r="F1185" s="6" t="n">
        <v>608279.8052854071</v>
      </c>
      <c r="G1185" s="6" t="inlineStr">
        <is>
          <t>DOMESTICA</t>
        </is>
      </c>
      <c r="H1185" s="6" t="inlineStr">
        <is>
          <t>FIXO</t>
        </is>
      </c>
      <c r="I1185" s="11">
        <f>IF($H1185="AUTO_OFERTA_TOTAL_PRODUTO_PERIODO",SUMIFS(Oferta!$F:$F,Oferta!$A:$A,$A1185,Oferta!$E:$E,$E1185),$F1185)</f>
        <v/>
      </c>
      <c r="J1185" s="6" t="inlineStr">
        <is>
          <t>Informado</t>
        </is>
      </c>
      <c r="K1185" s="6" t="inlineStr">
        <is>
          <t>Demanda doméstica fixa informada pelo usuário.</t>
        </is>
      </c>
    </row>
    <row r="1186">
      <c r="A1186" s="6" t="inlineStr">
        <is>
          <t>Milho</t>
        </is>
      </c>
      <c r="B1186" s="6" t="inlineStr">
        <is>
          <t>Goiânia - GO</t>
        </is>
      </c>
      <c r="C1186" s="6" t="n">
        <v>-16.6864</v>
      </c>
      <c r="D1186" s="6" t="n">
        <v>-49.2643</v>
      </c>
      <c r="E1186" s="6" t="inlineStr">
        <is>
          <t>2024-09</t>
        </is>
      </c>
      <c r="F1186" s="6" t="n">
        <v>546289.5066575949</v>
      </c>
      <c r="G1186" s="6" t="inlineStr">
        <is>
          <t>DOMESTICA</t>
        </is>
      </c>
      <c r="H1186" s="6" t="inlineStr">
        <is>
          <t>FIXO</t>
        </is>
      </c>
      <c r="I1186" s="11">
        <f>IF($H1186="AUTO_OFERTA_TOTAL_PRODUTO_PERIODO",SUMIFS(Oferta!$F:$F,Oferta!$A:$A,$A1186,Oferta!$E:$E,$E1186),$F1186)</f>
        <v/>
      </c>
      <c r="J1186" s="6" t="inlineStr">
        <is>
          <t>Informado</t>
        </is>
      </c>
      <c r="K1186" s="6" t="inlineStr">
        <is>
          <t>Demanda doméstica fixa informada pelo usuário.</t>
        </is>
      </c>
    </row>
    <row r="1187">
      <c r="A1187" s="6" t="inlineStr">
        <is>
          <t>Milho</t>
        </is>
      </c>
      <c r="B1187" s="6" t="inlineStr">
        <is>
          <t>Goiânia - GO</t>
        </is>
      </c>
      <c r="C1187" s="6" t="n">
        <v>-16.6864</v>
      </c>
      <c r="D1187" s="6" t="n">
        <v>-49.2643</v>
      </c>
      <c r="E1187" s="6" t="inlineStr">
        <is>
          <t>2024-10</t>
        </is>
      </c>
      <c r="F1187" s="6" t="n">
        <v>422308.9094019705</v>
      </c>
      <c r="G1187" s="6" t="inlineStr">
        <is>
          <t>DOMESTICA</t>
        </is>
      </c>
      <c r="H1187" s="6" t="inlineStr">
        <is>
          <t>FIXO</t>
        </is>
      </c>
      <c r="I1187" s="11">
        <f>IF($H1187="AUTO_OFERTA_TOTAL_PRODUTO_PERIODO",SUMIFS(Oferta!$F:$F,Oferta!$A:$A,$A1187,Oferta!$E:$E,$E1187),$F1187)</f>
        <v/>
      </c>
      <c r="J1187" s="6" t="inlineStr">
        <is>
          <t>Informado</t>
        </is>
      </c>
      <c r="K1187" s="6" t="inlineStr">
        <is>
          <t>Demanda doméstica fixa informada pelo usuário.</t>
        </is>
      </c>
    </row>
    <row r="1188">
      <c r="A1188" s="6" t="inlineStr">
        <is>
          <t>Milho</t>
        </is>
      </c>
      <c r="B1188" s="6" t="inlineStr">
        <is>
          <t>Goiânia - GO</t>
        </is>
      </c>
      <c r="C1188" s="6" t="n">
        <v>-16.6864</v>
      </c>
      <c r="D1188" s="6" t="n">
        <v>-49.2643</v>
      </c>
      <c r="E1188" s="6" t="inlineStr">
        <is>
          <t>2024-11</t>
        </is>
      </c>
      <c r="F1188" s="6" t="n">
        <v>298328.3121463461</v>
      </c>
      <c r="G1188" s="6" t="inlineStr">
        <is>
          <t>DOMESTICA</t>
        </is>
      </c>
      <c r="H1188" s="6" t="inlineStr">
        <is>
          <t>FIXO</t>
        </is>
      </c>
      <c r="I1188" s="11">
        <f>IF($H1188="AUTO_OFERTA_TOTAL_PRODUTO_PERIODO",SUMIFS(Oferta!$F:$F,Oferta!$A:$A,$A1188,Oferta!$E:$E,$E1188),$F1188)</f>
        <v/>
      </c>
      <c r="J1188" s="6" t="inlineStr">
        <is>
          <t>Informado</t>
        </is>
      </c>
      <c r="K1188" s="6" t="inlineStr">
        <is>
          <t>Demanda doméstica fixa informada pelo usuário.</t>
        </is>
      </c>
    </row>
    <row r="1189">
      <c r="A1189" s="6" t="inlineStr">
        <is>
          <t>Milho</t>
        </is>
      </c>
      <c r="B1189" s="6" t="inlineStr">
        <is>
          <t>Goiânia - GO</t>
        </is>
      </c>
      <c r="C1189" s="6" t="n">
        <v>-16.6864</v>
      </c>
      <c r="D1189" s="6" t="n">
        <v>-49.2643</v>
      </c>
      <c r="E1189" s="6" t="inlineStr">
        <is>
          <t>2024-12</t>
        </is>
      </c>
      <c r="F1189" s="6" t="n">
        <v>236338.013518534</v>
      </c>
      <c r="G1189" s="6" t="inlineStr">
        <is>
          <t>DOMESTICA</t>
        </is>
      </c>
      <c r="H1189" s="6" t="inlineStr">
        <is>
          <t>FIXO</t>
        </is>
      </c>
      <c r="I1189" s="11">
        <f>IF($H1189="AUTO_OFERTA_TOTAL_PRODUTO_PERIODO",SUMIFS(Oferta!$F:$F,Oferta!$A:$A,$A1189,Oferta!$E:$E,$E1189),$F1189)</f>
        <v/>
      </c>
      <c r="J1189" s="6" t="inlineStr">
        <is>
          <t>Informado</t>
        </is>
      </c>
      <c r="K1189" s="6" t="inlineStr">
        <is>
          <t>Demanda doméstica fixa informada pelo usuário.</t>
        </is>
      </c>
    </row>
    <row r="1190">
      <c r="A1190" s="6" t="inlineStr">
        <is>
          <t>Milho</t>
        </is>
      </c>
      <c r="B1190" s="6" t="inlineStr">
        <is>
          <t>Cuiabá - MT</t>
        </is>
      </c>
      <c r="C1190" s="6" t="n">
        <v>-15.601</v>
      </c>
      <c r="D1190" s="6" t="n">
        <v>-56.0974</v>
      </c>
      <c r="E1190" s="6" t="inlineStr">
        <is>
          <t>2024-01</t>
        </is>
      </c>
      <c r="F1190" s="6" t="n">
        <v>263152.840089958</v>
      </c>
      <c r="G1190" s="6" t="inlineStr">
        <is>
          <t>DOMESTICA</t>
        </is>
      </c>
      <c r="H1190" s="6" t="inlineStr">
        <is>
          <t>FIXO</t>
        </is>
      </c>
      <c r="I1190" s="11">
        <f>IF($H1190="AUTO_OFERTA_TOTAL_PRODUTO_PERIODO",SUMIFS(Oferta!$F:$F,Oferta!$A:$A,$A1190,Oferta!$E:$E,$E1190),$F1190)</f>
        <v/>
      </c>
      <c r="J1190" s="6" t="inlineStr">
        <is>
          <t>Informado</t>
        </is>
      </c>
      <c r="K1190" s="6" t="inlineStr">
        <is>
          <t>Demanda doméstica fixa informada pelo usuário.</t>
        </is>
      </c>
    </row>
    <row r="1191">
      <c r="A1191" s="6" t="inlineStr">
        <is>
          <t>Milho</t>
        </is>
      </c>
      <c r="B1191" s="6" t="inlineStr">
        <is>
          <t>Cuiabá - MT</t>
        </is>
      </c>
      <c r="C1191" s="6" t="n">
        <v>-15.601</v>
      </c>
      <c r="D1191" s="6" t="n">
        <v>-56.0974</v>
      </c>
      <c r="E1191" s="6" t="inlineStr">
        <is>
          <t>2024-02</t>
        </is>
      </c>
      <c r="F1191" s="6" t="n">
        <v>263152.840089958</v>
      </c>
      <c r="G1191" s="6" t="inlineStr">
        <is>
          <t>DOMESTICA</t>
        </is>
      </c>
      <c r="H1191" s="6" t="inlineStr">
        <is>
          <t>FIXO</t>
        </is>
      </c>
      <c r="I1191" s="11">
        <f>IF($H1191="AUTO_OFERTA_TOTAL_PRODUTO_PERIODO",SUMIFS(Oferta!$F:$F,Oferta!$A:$A,$A1191,Oferta!$E:$E,$E1191),$F1191)</f>
        <v/>
      </c>
      <c r="J1191" s="6" t="inlineStr">
        <is>
          <t>Informado</t>
        </is>
      </c>
      <c r="K1191" s="6" t="inlineStr">
        <is>
          <t>Demanda doméstica fixa informada pelo usuário.</t>
        </is>
      </c>
    </row>
    <row r="1192">
      <c r="A1192" s="6" t="inlineStr">
        <is>
          <t>Milho</t>
        </is>
      </c>
      <c r="B1192" s="6" t="inlineStr">
        <is>
          <t>Cuiabá - MT</t>
        </is>
      </c>
      <c r="C1192" s="6" t="n">
        <v>-15.601</v>
      </c>
      <c r="D1192" s="6" t="n">
        <v>-56.0974</v>
      </c>
      <c r="E1192" s="6" t="inlineStr">
        <is>
          <t>2024-03</t>
        </is>
      </c>
      <c r="F1192" s="6" t="n">
        <v>342595.206909568</v>
      </c>
      <c r="G1192" s="6" t="inlineStr">
        <is>
          <t>DOMESTICA</t>
        </is>
      </c>
      <c r="H1192" s="6" t="inlineStr">
        <is>
          <t>FIXO</t>
        </is>
      </c>
      <c r="I1192" s="11">
        <f>IF($H1192="AUTO_OFERTA_TOTAL_PRODUTO_PERIODO",SUMIFS(Oferta!$F:$F,Oferta!$A:$A,$A1192,Oferta!$E:$E,$E1192),$F1192)</f>
        <v/>
      </c>
      <c r="J1192" s="6" t="inlineStr">
        <is>
          <t>Informado</t>
        </is>
      </c>
      <c r="K1192" s="6" t="inlineStr">
        <is>
          <t>Demanda doméstica fixa informada pelo usuário.</t>
        </is>
      </c>
    </row>
    <row r="1193">
      <c r="A1193" s="6" t="inlineStr">
        <is>
          <t>Milho</t>
        </is>
      </c>
      <c r="B1193" s="6" t="inlineStr">
        <is>
          <t>Cuiabá - MT</t>
        </is>
      </c>
      <c r="C1193" s="6" t="n">
        <v>-15.601</v>
      </c>
      <c r="D1193" s="6" t="n">
        <v>-56.0974</v>
      </c>
      <c r="E1193" s="6" t="inlineStr">
        <is>
          <t>2024-04</t>
        </is>
      </c>
      <c r="F1193" s="6" t="n">
        <v>501479.9405487879</v>
      </c>
      <c r="G1193" s="6" t="inlineStr">
        <is>
          <t>DOMESTICA</t>
        </is>
      </c>
      <c r="H1193" s="6" t="inlineStr">
        <is>
          <t>FIXO</t>
        </is>
      </c>
      <c r="I1193" s="11">
        <f>IF($H1193="AUTO_OFERTA_TOTAL_PRODUTO_PERIODO",SUMIFS(Oferta!$F:$F,Oferta!$A:$A,$A1193,Oferta!$E:$E,$E1193),$F1193)</f>
        <v/>
      </c>
      <c r="J1193" s="6" t="inlineStr">
        <is>
          <t>Informado</t>
        </is>
      </c>
      <c r="K1193" s="6" t="inlineStr">
        <is>
          <t>Demanda doméstica fixa informada pelo usuário.</t>
        </is>
      </c>
    </row>
    <row r="1194">
      <c r="A1194" s="6" t="inlineStr">
        <is>
          <t>Milho</t>
        </is>
      </c>
      <c r="B1194" s="6" t="inlineStr">
        <is>
          <t>Cuiabá - MT</t>
        </is>
      </c>
      <c r="C1194" s="6" t="n">
        <v>-15.601</v>
      </c>
      <c r="D1194" s="6" t="n">
        <v>-56.0974</v>
      </c>
      <c r="E1194" s="6" t="inlineStr">
        <is>
          <t>2024-05</t>
        </is>
      </c>
      <c r="F1194" s="6" t="n">
        <v>660364.6741880078</v>
      </c>
      <c r="G1194" s="6" t="inlineStr">
        <is>
          <t>DOMESTICA</t>
        </is>
      </c>
      <c r="H1194" s="6" t="inlineStr">
        <is>
          <t>FIXO</t>
        </is>
      </c>
      <c r="I1194" s="11">
        <f>IF($H1194="AUTO_OFERTA_TOTAL_PRODUTO_PERIODO",SUMIFS(Oferta!$F:$F,Oferta!$A:$A,$A1194,Oferta!$E:$E,$E1194),$F1194)</f>
        <v/>
      </c>
      <c r="J1194" s="6" t="inlineStr">
        <is>
          <t>Informado</t>
        </is>
      </c>
      <c r="K1194" s="6" t="inlineStr">
        <is>
          <t>Demanda doméstica fixa informada pelo usuário.</t>
        </is>
      </c>
    </row>
    <row r="1195">
      <c r="A1195" s="6" t="inlineStr">
        <is>
          <t>Milho</t>
        </is>
      </c>
      <c r="B1195" s="6" t="inlineStr">
        <is>
          <t>Cuiabá - MT</t>
        </is>
      </c>
      <c r="C1195" s="6" t="n">
        <v>-15.601</v>
      </c>
      <c r="D1195" s="6" t="n">
        <v>-56.0974</v>
      </c>
      <c r="E1195" s="6" t="inlineStr">
        <is>
          <t>2024-06</t>
        </is>
      </c>
      <c r="F1195" s="6" t="n">
        <v>739807.0410076177</v>
      </c>
      <c r="G1195" s="6" t="inlineStr">
        <is>
          <t>DOMESTICA</t>
        </is>
      </c>
      <c r="H1195" s="6" t="inlineStr">
        <is>
          <t>FIXO</t>
        </is>
      </c>
      <c r="I1195" s="11">
        <f>IF($H1195="AUTO_OFERTA_TOTAL_PRODUTO_PERIODO",SUMIFS(Oferta!$F:$F,Oferta!$A:$A,$A1195,Oferta!$E:$E,$E1195),$F1195)</f>
        <v/>
      </c>
      <c r="J1195" s="6" t="inlineStr">
        <is>
          <t>Informado</t>
        </is>
      </c>
      <c r="K1195" s="6" t="inlineStr">
        <is>
          <t>Demanda doméstica fixa informada pelo usuário.</t>
        </is>
      </c>
    </row>
    <row r="1196">
      <c r="A1196" s="6" t="inlineStr">
        <is>
          <t>Milho</t>
        </is>
      </c>
      <c r="B1196" s="6" t="inlineStr">
        <is>
          <t>Cuiabá - MT</t>
        </is>
      </c>
      <c r="C1196" s="6" t="n">
        <v>-15.601</v>
      </c>
      <c r="D1196" s="6" t="n">
        <v>-56.0974</v>
      </c>
      <c r="E1196" s="6" t="inlineStr">
        <is>
          <t>2024-07</t>
        </is>
      </c>
      <c r="F1196" s="6" t="n">
        <v>819249.4078272278</v>
      </c>
      <c r="G1196" s="6" t="inlineStr">
        <is>
          <t>DOMESTICA</t>
        </is>
      </c>
      <c r="H1196" s="6" t="inlineStr">
        <is>
          <t>FIXO</t>
        </is>
      </c>
      <c r="I1196" s="11">
        <f>IF($H1196="AUTO_OFERTA_TOTAL_PRODUTO_PERIODO",SUMIFS(Oferta!$F:$F,Oferta!$A:$A,$A1196,Oferta!$E:$E,$E1196),$F1196)</f>
        <v/>
      </c>
      <c r="J1196" s="6" t="inlineStr">
        <is>
          <t>Informado</t>
        </is>
      </c>
      <c r="K1196" s="6" t="inlineStr">
        <is>
          <t>Demanda doméstica fixa informada pelo usuário.</t>
        </is>
      </c>
    </row>
    <row r="1197">
      <c r="A1197" s="6" t="inlineStr">
        <is>
          <t>Milho</t>
        </is>
      </c>
      <c r="B1197" s="6" t="inlineStr">
        <is>
          <t>Cuiabá - MT</t>
        </is>
      </c>
      <c r="C1197" s="6" t="n">
        <v>-15.601</v>
      </c>
      <c r="D1197" s="6" t="n">
        <v>-56.0974</v>
      </c>
      <c r="E1197" s="6" t="inlineStr">
        <is>
          <t>2024-08</t>
        </is>
      </c>
      <c r="F1197" s="6" t="n">
        <v>819249.4078272278</v>
      </c>
      <c r="G1197" s="6" t="inlineStr">
        <is>
          <t>DOMESTICA</t>
        </is>
      </c>
      <c r="H1197" s="6" t="inlineStr">
        <is>
          <t>FIXO</t>
        </is>
      </c>
      <c r="I1197" s="11">
        <f>IF($H1197="AUTO_OFERTA_TOTAL_PRODUTO_PERIODO",SUMIFS(Oferta!$F:$F,Oferta!$A:$A,$A1197,Oferta!$E:$E,$E1197),$F1197)</f>
        <v/>
      </c>
      <c r="J1197" s="6" t="inlineStr">
        <is>
          <t>Informado</t>
        </is>
      </c>
      <c r="K1197" s="6" t="inlineStr">
        <is>
          <t>Demanda doméstica fixa informada pelo usuário.</t>
        </is>
      </c>
    </row>
    <row r="1198">
      <c r="A1198" s="6" t="inlineStr">
        <is>
          <t>Milho</t>
        </is>
      </c>
      <c r="B1198" s="6" t="inlineStr">
        <is>
          <t>Cuiabá - MT</t>
        </is>
      </c>
      <c r="C1198" s="6" t="n">
        <v>-15.601</v>
      </c>
      <c r="D1198" s="6" t="n">
        <v>-56.0974</v>
      </c>
      <c r="E1198" s="6" t="inlineStr">
        <is>
          <t>2024-09</t>
        </is>
      </c>
      <c r="F1198" s="6" t="n">
        <v>739807.0410076177</v>
      </c>
      <c r="G1198" s="6" t="inlineStr">
        <is>
          <t>DOMESTICA</t>
        </is>
      </c>
      <c r="H1198" s="6" t="inlineStr">
        <is>
          <t>FIXO</t>
        </is>
      </c>
      <c r="I1198" s="11">
        <f>IF($H1198="AUTO_OFERTA_TOTAL_PRODUTO_PERIODO",SUMIFS(Oferta!$F:$F,Oferta!$A:$A,$A1198,Oferta!$E:$E,$E1198),$F1198)</f>
        <v/>
      </c>
      <c r="J1198" s="6" t="inlineStr">
        <is>
          <t>Informado</t>
        </is>
      </c>
      <c r="K1198" s="6" t="inlineStr">
        <is>
          <t>Demanda doméstica fixa informada pelo usuário.</t>
        </is>
      </c>
    </row>
    <row r="1199">
      <c r="A1199" s="6" t="inlineStr">
        <is>
          <t>Milho</t>
        </is>
      </c>
      <c r="B1199" s="6" t="inlineStr">
        <is>
          <t>Cuiabá - MT</t>
        </is>
      </c>
      <c r="C1199" s="6" t="n">
        <v>-15.601</v>
      </c>
      <c r="D1199" s="6" t="n">
        <v>-56.0974</v>
      </c>
      <c r="E1199" s="6" t="inlineStr">
        <is>
          <t>2024-10</t>
        </is>
      </c>
      <c r="F1199" s="6" t="n">
        <v>541201.1239585929</v>
      </c>
      <c r="G1199" s="6" t="inlineStr">
        <is>
          <t>DOMESTICA</t>
        </is>
      </c>
      <c r="H1199" s="6" t="inlineStr">
        <is>
          <t>FIXO</t>
        </is>
      </c>
      <c r="I1199" s="11">
        <f>IF($H1199="AUTO_OFERTA_TOTAL_PRODUTO_PERIODO",SUMIFS(Oferta!$F:$F,Oferta!$A:$A,$A1199,Oferta!$E:$E,$E1199),$F1199)</f>
        <v/>
      </c>
      <c r="J1199" s="6" t="inlineStr">
        <is>
          <t>Informado</t>
        </is>
      </c>
      <c r="K1199" s="6" t="inlineStr">
        <is>
          <t>Demanda doméstica fixa informada pelo usuário.</t>
        </is>
      </c>
    </row>
    <row r="1200">
      <c r="A1200" s="6" t="inlineStr">
        <is>
          <t>Milho</t>
        </is>
      </c>
      <c r="B1200" s="6" t="inlineStr">
        <is>
          <t>Cuiabá - MT</t>
        </is>
      </c>
      <c r="C1200" s="6" t="n">
        <v>-15.601</v>
      </c>
      <c r="D1200" s="6" t="n">
        <v>-56.0974</v>
      </c>
      <c r="E1200" s="6" t="inlineStr">
        <is>
          <t>2024-11</t>
        </is>
      </c>
      <c r="F1200" s="6" t="n">
        <v>382316.3903193729</v>
      </c>
      <c r="G1200" s="6" t="inlineStr">
        <is>
          <t>DOMESTICA</t>
        </is>
      </c>
      <c r="H1200" s="6" t="inlineStr">
        <is>
          <t>FIXO</t>
        </is>
      </c>
      <c r="I1200" s="11">
        <f>IF($H1200="AUTO_OFERTA_TOTAL_PRODUTO_PERIODO",SUMIFS(Oferta!$F:$F,Oferta!$A:$A,$A1200,Oferta!$E:$E,$E1200),$F1200)</f>
        <v/>
      </c>
      <c r="J1200" s="6" t="inlineStr">
        <is>
          <t>Informado</t>
        </is>
      </c>
      <c r="K1200" s="6" t="inlineStr">
        <is>
          <t>Demanda doméstica fixa informada pelo usuário.</t>
        </is>
      </c>
    </row>
    <row r="1201">
      <c r="A1201" s="6" t="inlineStr">
        <is>
          <t>Milho</t>
        </is>
      </c>
      <c r="B1201" s="6" t="inlineStr">
        <is>
          <t>Cuiabá - MT</t>
        </is>
      </c>
      <c r="C1201" s="6" t="n">
        <v>-15.601</v>
      </c>
      <c r="D1201" s="6" t="n">
        <v>-56.0974</v>
      </c>
      <c r="E1201" s="6" t="inlineStr">
        <is>
          <t>2024-12</t>
        </is>
      </c>
      <c r="F1201" s="6" t="n">
        <v>302874.023499763</v>
      </c>
      <c r="G1201" s="6" t="inlineStr">
        <is>
          <t>DOMESTICA</t>
        </is>
      </c>
      <c r="H1201" s="6" t="inlineStr">
        <is>
          <t>FIXO</t>
        </is>
      </c>
      <c r="I1201" s="11">
        <f>IF($H1201="AUTO_OFERTA_TOTAL_PRODUTO_PERIODO",SUMIFS(Oferta!$F:$F,Oferta!$A:$A,$A1201,Oferta!$E:$E,$E1201),$F1201)</f>
        <v/>
      </c>
      <c r="J1201" s="6" t="inlineStr">
        <is>
          <t>Informado</t>
        </is>
      </c>
      <c r="K1201" s="6" t="inlineStr">
        <is>
          <t>Demanda doméstica fixa informada pelo usuário.</t>
        </is>
      </c>
    </row>
    <row r="1202">
      <c r="A1202" s="6" t="inlineStr">
        <is>
          <t>Milho</t>
        </is>
      </c>
      <c r="B1202" s="6" t="inlineStr">
        <is>
          <t>Campo Grande - MS</t>
        </is>
      </c>
      <c r="C1202" s="6" t="n">
        <v>-20.4486</v>
      </c>
      <c r="D1202" s="6" t="n">
        <v>-54.6295</v>
      </c>
      <c r="E1202" s="6" t="inlineStr">
        <is>
          <t>2024-01</t>
        </is>
      </c>
      <c r="F1202" s="6" t="n">
        <v>78152.7079168451</v>
      </c>
      <c r="G1202" s="6" t="inlineStr">
        <is>
          <t>DOMESTICA</t>
        </is>
      </c>
      <c r="H1202" s="6" t="inlineStr">
        <is>
          <t>FIXO</t>
        </is>
      </c>
      <c r="I1202" s="11">
        <f>IF($H1202="AUTO_OFERTA_TOTAL_PRODUTO_PERIODO",SUMIFS(Oferta!$F:$F,Oferta!$A:$A,$A1202,Oferta!$E:$E,$E1202),$F1202)</f>
        <v/>
      </c>
      <c r="J1202" s="6" t="inlineStr">
        <is>
          <t>Informado</t>
        </is>
      </c>
      <c r="K1202" s="6" t="inlineStr">
        <is>
          <t>Demanda doméstica fixa informada pelo usuário.</t>
        </is>
      </c>
    </row>
    <row r="1203">
      <c r="A1203" s="6" t="inlineStr">
        <is>
          <t>Milho</t>
        </is>
      </c>
      <c r="B1203" s="6" t="inlineStr">
        <is>
          <t>Campo Grande - MS</t>
        </is>
      </c>
      <c r="C1203" s="6" t="n">
        <v>-20.4486</v>
      </c>
      <c r="D1203" s="6" t="n">
        <v>-54.6295</v>
      </c>
      <c r="E1203" s="6" t="inlineStr">
        <is>
          <t>2024-02</t>
        </is>
      </c>
      <c r="F1203" s="6" t="n">
        <v>89949.34307410471</v>
      </c>
      <c r="G1203" s="6" t="inlineStr">
        <is>
          <t>DOMESTICA</t>
        </is>
      </c>
      <c r="H1203" s="6" t="inlineStr">
        <is>
          <t>FIXO</t>
        </is>
      </c>
      <c r="I1203" s="11">
        <f>IF($H1203="AUTO_OFERTA_TOTAL_PRODUTO_PERIODO",SUMIFS(Oferta!$F:$F,Oferta!$A:$A,$A1203,Oferta!$E:$E,$E1203),$F1203)</f>
        <v/>
      </c>
      <c r="J1203" s="6" t="inlineStr">
        <is>
          <t>Informado</t>
        </is>
      </c>
      <c r="K1203" s="6" t="inlineStr">
        <is>
          <t>Demanda doméstica fixa informada pelo usuário.</t>
        </is>
      </c>
    </row>
    <row r="1204">
      <c r="A1204" s="6" t="inlineStr">
        <is>
          <t>Milho</t>
        </is>
      </c>
      <c r="B1204" s="6" t="inlineStr">
        <is>
          <t>Campo Grande - MS</t>
        </is>
      </c>
      <c r="C1204" s="6" t="n">
        <v>-20.4486</v>
      </c>
      <c r="D1204" s="6" t="n">
        <v>-54.6295</v>
      </c>
      <c r="E1204" s="6" t="inlineStr">
        <is>
          <t>2024-03</t>
        </is>
      </c>
      <c r="F1204" s="6" t="n">
        <v>113542.613388624</v>
      </c>
      <c r="G1204" s="6" t="inlineStr">
        <is>
          <t>DOMESTICA</t>
        </is>
      </c>
      <c r="H1204" s="6" t="inlineStr">
        <is>
          <t>FIXO</t>
        </is>
      </c>
      <c r="I1204" s="11">
        <f>IF($H1204="AUTO_OFERTA_TOTAL_PRODUTO_PERIODO",SUMIFS(Oferta!$F:$F,Oferta!$A:$A,$A1204,Oferta!$E:$E,$E1204),$F1204)</f>
        <v/>
      </c>
      <c r="J1204" s="6" t="inlineStr">
        <is>
          <t>Informado</t>
        </is>
      </c>
      <c r="K1204" s="6" t="inlineStr">
        <is>
          <t>Demanda doméstica fixa informada pelo usuário.</t>
        </is>
      </c>
    </row>
    <row r="1205">
      <c r="A1205" s="6" t="inlineStr">
        <is>
          <t>Milho</t>
        </is>
      </c>
      <c r="B1205" s="6" t="inlineStr">
        <is>
          <t>Campo Grande - MS</t>
        </is>
      </c>
      <c r="C1205" s="6" t="n">
        <v>-20.4486</v>
      </c>
      <c r="D1205" s="6" t="n">
        <v>-54.6295</v>
      </c>
      <c r="E1205" s="6" t="inlineStr">
        <is>
          <t>2024-04</t>
        </is>
      </c>
      <c r="F1205" s="6" t="n">
        <v>184322.4243321818</v>
      </c>
      <c r="G1205" s="6" t="inlineStr">
        <is>
          <t>DOMESTICA</t>
        </is>
      </c>
      <c r="H1205" s="6" t="inlineStr">
        <is>
          <t>FIXO</t>
        </is>
      </c>
      <c r="I1205" s="11">
        <f>IF($H1205="AUTO_OFERTA_TOTAL_PRODUTO_PERIODO",SUMIFS(Oferta!$F:$F,Oferta!$A:$A,$A1205,Oferta!$E:$E,$E1205),$F1205)</f>
        <v/>
      </c>
      <c r="J1205" s="6" t="inlineStr">
        <is>
          <t>Informado</t>
        </is>
      </c>
      <c r="K1205" s="6" t="inlineStr">
        <is>
          <t>Demanda doméstica fixa informada pelo usuário.</t>
        </is>
      </c>
    </row>
    <row r="1206">
      <c r="A1206" s="6" t="inlineStr">
        <is>
          <t>Milho</t>
        </is>
      </c>
      <c r="B1206" s="6" t="inlineStr">
        <is>
          <t>Campo Grande - MS</t>
        </is>
      </c>
      <c r="C1206" s="6" t="n">
        <v>-20.4486</v>
      </c>
      <c r="D1206" s="6" t="n">
        <v>-54.6295</v>
      </c>
      <c r="E1206" s="6" t="inlineStr">
        <is>
          <t>2024-05</t>
        </is>
      </c>
      <c r="F1206" s="6" t="n">
        <v>219712.3298039607</v>
      </c>
      <c r="G1206" s="6" t="inlineStr">
        <is>
          <t>DOMESTICA</t>
        </is>
      </c>
      <c r="H1206" s="6" t="inlineStr">
        <is>
          <t>FIXO</t>
        </is>
      </c>
      <c r="I1206" s="11">
        <f>IF($H1206="AUTO_OFERTA_TOTAL_PRODUTO_PERIODO",SUMIFS(Oferta!$F:$F,Oferta!$A:$A,$A1206,Oferta!$E:$E,$E1206),$F1206)</f>
        <v/>
      </c>
      <c r="J1206" s="6" t="inlineStr">
        <is>
          <t>Informado</t>
        </is>
      </c>
      <c r="K1206" s="6" t="inlineStr">
        <is>
          <t>Demanda doméstica fixa informada pelo usuário.</t>
        </is>
      </c>
    </row>
    <row r="1207">
      <c r="A1207" s="6" t="inlineStr">
        <is>
          <t>Milho</t>
        </is>
      </c>
      <c r="B1207" s="6" t="inlineStr">
        <is>
          <t>Campo Grande - MS</t>
        </is>
      </c>
      <c r="C1207" s="6" t="n">
        <v>-20.4486</v>
      </c>
      <c r="D1207" s="6" t="n">
        <v>-54.6295</v>
      </c>
      <c r="E1207" s="6" t="inlineStr">
        <is>
          <t>2024-06</t>
        </is>
      </c>
      <c r="F1207" s="6" t="n">
        <v>231508.9649612204</v>
      </c>
      <c r="G1207" s="6" t="inlineStr">
        <is>
          <t>DOMESTICA</t>
        </is>
      </c>
      <c r="H1207" s="6" t="inlineStr">
        <is>
          <t>FIXO</t>
        </is>
      </c>
      <c r="I1207" s="11">
        <f>IF($H1207="AUTO_OFERTA_TOTAL_PRODUTO_PERIODO",SUMIFS(Oferta!$F:$F,Oferta!$A:$A,$A1207,Oferta!$E:$E,$E1207),$F1207)</f>
        <v/>
      </c>
      <c r="J1207" s="6" t="inlineStr">
        <is>
          <t>Informado</t>
        </is>
      </c>
      <c r="K1207" s="6" t="inlineStr">
        <is>
          <t>Demanda doméstica fixa informada pelo usuário.</t>
        </is>
      </c>
    </row>
    <row r="1208">
      <c r="A1208" s="6" t="inlineStr">
        <is>
          <t>Milho</t>
        </is>
      </c>
      <c r="B1208" s="6" t="inlineStr">
        <is>
          <t>Campo Grande - MS</t>
        </is>
      </c>
      <c r="C1208" s="6" t="n">
        <v>-20.4486</v>
      </c>
      <c r="D1208" s="6" t="n">
        <v>-54.6295</v>
      </c>
      <c r="E1208" s="6" t="inlineStr">
        <is>
          <t>2024-07</t>
        </is>
      </c>
      <c r="F1208" s="6" t="n">
        <v>184322.4243321818</v>
      </c>
      <c r="G1208" s="6" t="inlineStr">
        <is>
          <t>DOMESTICA</t>
        </is>
      </c>
      <c r="H1208" s="6" t="inlineStr">
        <is>
          <t>FIXO</t>
        </is>
      </c>
      <c r="I1208" s="11">
        <f>IF($H1208="AUTO_OFERTA_TOTAL_PRODUTO_PERIODO",SUMIFS(Oferta!$F:$F,Oferta!$A:$A,$A1208,Oferta!$E:$E,$E1208),$F1208)</f>
        <v/>
      </c>
      <c r="J1208" s="6" t="inlineStr">
        <is>
          <t>Informado</t>
        </is>
      </c>
      <c r="K1208" s="6" t="inlineStr">
        <is>
          <t>Demanda doméstica fixa informada pelo usuário.</t>
        </is>
      </c>
    </row>
    <row r="1209">
      <c r="A1209" s="6" t="inlineStr">
        <is>
          <t>Milho</t>
        </is>
      </c>
      <c r="B1209" s="6" t="inlineStr">
        <is>
          <t>Campo Grande - MS</t>
        </is>
      </c>
      <c r="C1209" s="6" t="n">
        <v>-20.4486</v>
      </c>
      <c r="D1209" s="6" t="n">
        <v>-54.6295</v>
      </c>
      <c r="E1209" s="6" t="inlineStr">
        <is>
          <t>2024-08</t>
        </is>
      </c>
      <c r="F1209" s="6" t="n">
        <v>207915.6946467011</v>
      </c>
      <c r="G1209" s="6" t="inlineStr">
        <is>
          <t>DOMESTICA</t>
        </is>
      </c>
      <c r="H1209" s="6" t="inlineStr">
        <is>
          <t>FIXO</t>
        </is>
      </c>
      <c r="I1209" s="11">
        <f>IF($H1209="AUTO_OFERTA_TOTAL_PRODUTO_PERIODO",SUMIFS(Oferta!$F:$F,Oferta!$A:$A,$A1209,Oferta!$E:$E,$E1209),$F1209)</f>
        <v/>
      </c>
      <c r="J1209" s="6" t="inlineStr">
        <is>
          <t>Informado</t>
        </is>
      </c>
      <c r="K1209" s="6" t="inlineStr">
        <is>
          <t>Demanda doméstica fixa informada pelo usuário.</t>
        </is>
      </c>
    </row>
    <row r="1210">
      <c r="A1210" s="6" t="inlineStr">
        <is>
          <t>Milho</t>
        </is>
      </c>
      <c r="B1210" s="6" t="inlineStr">
        <is>
          <t>Campo Grande - MS</t>
        </is>
      </c>
      <c r="C1210" s="6" t="n">
        <v>-20.4486</v>
      </c>
      <c r="D1210" s="6" t="n">
        <v>-54.6295</v>
      </c>
      <c r="E1210" s="6" t="inlineStr">
        <is>
          <t>2024-09</t>
        </is>
      </c>
      <c r="F1210" s="6" t="n">
        <v>196119.0594894415</v>
      </c>
      <c r="G1210" s="6" t="inlineStr">
        <is>
          <t>DOMESTICA</t>
        </is>
      </c>
      <c r="H1210" s="6" t="inlineStr">
        <is>
          <t>FIXO</t>
        </is>
      </c>
      <c r="I1210" s="11">
        <f>IF($H1210="AUTO_OFERTA_TOTAL_PRODUTO_PERIODO",SUMIFS(Oferta!$F:$F,Oferta!$A:$A,$A1210,Oferta!$E:$E,$E1210),$F1210)</f>
        <v/>
      </c>
      <c r="J1210" s="6" t="inlineStr">
        <is>
          <t>Informado</t>
        </is>
      </c>
      <c r="K1210" s="6" t="inlineStr">
        <is>
          <t>Demanda doméstica fixa informada pelo usuário.</t>
        </is>
      </c>
    </row>
    <row r="1211">
      <c r="A1211" s="6" t="inlineStr">
        <is>
          <t>Milho</t>
        </is>
      </c>
      <c r="B1211" s="6" t="inlineStr">
        <is>
          <t>Campo Grande - MS</t>
        </is>
      </c>
      <c r="C1211" s="6" t="n">
        <v>-20.4486</v>
      </c>
      <c r="D1211" s="6" t="n">
        <v>-54.6295</v>
      </c>
      <c r="E1211" s="6" t="inlineStr">
        <is>
          <t>2024-10</t>
        </is>
      </c>
      <c r="F1211" s="6" t="n">
        <v>196119.0594894415</v>
      </c>
      <c r="G1211" s="6" t="inlineStr">
        <is>
          <t>DOMESTICA</t>
        </is>
      </c>
      <c r="H1211" s="6" t="inlineStr">
        <is>
          <t>FIXO</t>
        </is>
      </c>
      <c r="I1211" s="11">
        <f>IF($H1211="AUTO_OFERTA_TOTAL_PRODUTO_PERIODO",SUMIFS(Oferta!$F:$F,Oferta!$A:$A,$A1211,Oferta!$E:$E,$E1211),$F1211)</f>
        <v/>
      </c>
      <c r="J1211" s="6" t="inlineStr">
        <is>
          <t>Informado</t>
        </is>
      </c>
      <c r="K1211" s="6" t="inlineStr">
        <is>
          <t>Demanda doméstica fixa informada pelo usuário.</t>
        </is>
      </c>
    </row>
    <row r="1212">
      <c r="A1212" s="6" t="inlineStr">
        <is>
          <t>Milho</t>
        </is>
      </c>
      <c r="B1212" s="6" t="inlineStr">
        <is>
          <t>Campo Grande - MS</t>
        </is>
      </c>
      <c r="C1212" s="6" t="n">
        <v>-20.4486</v>
      </c>
      <c r="D1212" s="6" t="n">
        <v>-54.6295</v>
      </c>
      <c r="E1212" s="6" t="inlineStr">
        <is>
          <t>2024-11</t>
        </is>
      </c>
      <c r="F1212" s="6" t="n">
        <v>125339.2485458836</v>
      </c>
      <c r="G1212" s="6" t="inlineStr">
        <is>
          <t>DOMESTICA</t>
        </is>
      </c>
      <c r="H1212" s="6" t="inlineStr">
        <is>
          <t>FIXO</t>
        </is>
      </c>
      <c r="I1212" s="11">
        <f>IF($H1212="AUTO_OFERTA_TOTAL_PRODUTO_PERIODO",SUMIFS(Oferta!$F:$F,Oferta!$A:$A,$A1212,Oferta!$E:$E,$E1212),$F1212)</f>
        <v/>
      </c>
      <c r="J1212" s="6" t="inlineStr">
        <is>
          <t>Informado</t>
        </is>
      </c>
      <c r="K1212" s="6" t="inlineStr">
        <is>
          <t>Demanda doméstica fixa informada pelo usuário.</t>
        </is>
      </c>
    </row>
    <row r="1213">
      <c r="A1213" s="6" t="inlineStr">
        <is>
          <t>Milho</t>
        </is>
      </c>
      <c r="B1213" s="6" t="inlineStr">
        <is>
          <t>Campo Grande - MS</t>
        </is>
      </c>
      <c r="C1213" s="6" t="n">
        <v>-20.4486</v>
      </c>
      <c r="D1213" s="6" t="n">
        <v>-54.6295</v>
      </c>
      <c r="E1213" s="6" t="inlineStr">
        <is>
          <t>2024-12</t>
        </is>
      </c>
      <c r="F1213" s="6" t="n">
        <v>101745.9782313644</v>
      </c>
      <c r="G1213" s="6" t="inlineStr">
        <is>
          <t>DOMESTICA</t>
        </is>
      </c>
      <c r="H1213" s="6" t="inlineStr">
        <is>
          <t>FIXO</t>
        </is>
      </c>
      <c r="I1213" s="11">
        <f>IF($H1213="AUTO_OFERTA_TOTAL_PRODUTO_PERIODO",SUMIFS(Oferta!$F:$F,Oferta!$A:$A,$A1213,Oferta!$E:$E,$E1213),$F1213)</f>
        <v/>
      </c>
      <c r="J1213" s="6" t="inlineStr">
        <is>
          <t>Informado</t>
        </is>
      </c>
      <c r="K1213" s="6" t="inlineStr">
        <is>
          <t>Demanda doméstica fixa informada pelo usuário.</t>
        </is>
      </c>
    </row>
    <row r="1214">
      <c r="A1214" s="6" t="inlineStr">
        <is>
          <t>Milho</t>
        </is>
      </c>
      <c r="B1214" s="6" t="inlineStr">
        <is>
          <t>Vitória - ES</t>
        </is>
      </c>
      <c r="C1214" s="6" t="n">
        <v>-20.3155</v>
      </c>
      <c r="D1214" s="6" t="n">
        <v>-40.3128</v>
      </c>
      <c r="E1214" s="6" t="inlineStr">
        <is>
          <t>2024-01</t>
        </is>
      </c>
      <c r="F1214" s="6" t="n">
        <v>67238.10297292849</v>
      </c>
      <c r="G1214" s="6" t="inlineStr">
        <is>
          <t>DOMESTICA</t>
        </is>
      </c>
      <c r="H1214" s="6" t="inlineStr">
        <is>
          <t>FIXO</t>
        </is>
      </c>
      <c r="I1214" s="11">
        <f>IF($H1214="AUTO_OFERTA_TOTAL_PRODUTO_PERIODO",SUMIFS(Oferta!$F:$F,Oferta!$A:$A,$A1214,Oferta!$E:$E,$E1214),$F1214)</f>
        <v/>
      </c>
      <c r="J1214" s="6" t="inlineStr">
        <is>
          <t>Informado</t>
        </is>
      </c>
      <c r="K1214" s="6" t="inlineStr">
        <is>
          <t>Demanda doméstica fixa informada pelo usuário.</t>
        </is>
      </c>
    </row>
    <row r="1215">
      <c r="A1215" s="6" t="inlineStr">
        <is>
          <t>Milho</t>
        </is>
      </c>
      <c r="B1215" s="6" t="inlineStr">
        <is>
          <t>Vitória - ES</t>
        </is>
      </c>
      <c r="C1215" s="6" t="n">
        <v>-20.3155</v>
      </c>
      <c r="D1215" s="6" t="n">
        <v>-40.3128</v>
      </c>
      <c r="E1215" s="6" t="inlineStr">
        <is>
          <t>2024-02</t>
        </is>
      </c>
      <c r="F1215" s="6" t="n">
        <v>77387.25059148369</v>
      </c>
      <c r="G1215" s="6" t="inlineStr">
        <is>
          <t>DOMESTICA</t>
        </is>
      </c>
      <c r="H1215" s="6" t="inlineStr">
        <is>
          <t>FIXO</t>
        </is>
      </c>
      <c r="I1215" s="11">
        <f>IF($H1215="AUTO_OFERTA_TOTAL_PRODUTO_PERIODO",SUMIFS(Oferta!$F:$F,Oferta!$A:$A,$A1215,Oferta!$E:$E,$E1215),$F1215)</f>
        <v/>
      </c>
      <c r="J1215" s="6" t="inlineStr">
        <is>
          <t>Informado</t>
        </is>
      </c>
      <c r="K1215" s="6" t="inlineStr">
        <is>
          <t>Demanda doméstica fixa informada pelo usuário.</t>
        </is>
      </c>
    </row>
    <row r="1216">
      <c r="A1216" s="6" t="inlineStr">
        <is>
          <t>Milho</t>
        </is>
      </c>
      <c r="B1216" s="6" t="inlineStr">
        <is>
          <t>Vitória - ES</t>
        </is>
      </c>
      <c r="C1216" s="6" t="n">
        <v>-20.3155</v>
      </c>
      <c r="D1216" s="6" t="n">
        <v>-40.3128</v>
      </c>
      <c r="E1216" s="6" t="inlineStr">
        <is>
          <t>2024-03</t>
        </is>
      </c>
      <c r="F1216" s="6" t="n">
        <v>97685.5458285942</v>
      </c>
      <c r="G1216" s="6" t="inlineStr">
        <is>
          <t>DOMESTICA</t>
        </is>
      </c>
      <c r="H1216" s="6" t="inlineStr">
        <is>
          <t>FIXO</t>
        </is>
      </c>
      <c r="I1216" s="11">
        <f>IF($H1216="AUTO_OFERTA_TOTAL_PRODUTO_PERIODO",SUMIFS(Oferta!$F:$F,Oferta!$A:$A,$A1216,Oferta!$E:$E,$E1216),$F1216)</f>
        <v/>
      </c>
      <c r="J1216" s="6" t="inlineStr">
        <is>
          <t>Informado</t>
        </is>
      </c>
      <c r="K1216" s="6" t="inlineStr">
        <is>
          <t>Demanda doméstica fixa informada pelo usuário.</t>
        </is>
      </c>
    </row>
    <row r="1217">
      <c r="A1217" s="6" t="inlineStr">
        <is>
          <t>Milho</t>
        </is>
      </c>
      <c r="B1217" s="6" t="inlineStr">
        <is>
          <t>Vitória - ES</t>
        </is>
      </c>
      <c r="C1217" s="6" t="n">
        <v>-20.3155</v>
      </c>
      <c r="D1217" s="6" t="n">
        <v>-40.3128</v>
      </c>
      <c r="E1217" s="6" t="inlineStr">
        <is>
          <t>2024-04</t>
        </is>
      </c>
      <c r="F1217" s="6" t="n">
        <v>158580.4315399256</v>
      </c>
      <c r="G1217" s="6" t="inlineStr">
        <is>
          <t>DOMESTICA</t>
        </is>
      </c>
      <c r="H1217" s="6" t="inlineStr">
        <is>
          <t>FIXO</t>
        </is>
      </c>
      <c r="I1217" s="11">
        <f>IF($H1217="AUTO_OFERTA_TOTAL_PRODUTO_PERIODO",SUMIFS(Oferta!$F:$F,Oferta!$A:$A,$A1217,Oferta!$E:$E,$E1217),$F1217)</f>
        <v/>
      </c>
      <c r="J1217" s="6" t="inlineStr">
        <is>
          <t>Informado</t>
        </is>
      </c>
      <c r="K1217" s="6" t="inlineStr">
        <is>
          <t>Demanda doméstica fixa informada pelo usuário.</t>
        </is>
      </c>
    </row>
    <row r="1218">
      <c r="A1218" s="6" t="inlineStr">
        <is>
          <t>Milho</t>
        </is>
      </c>
      <c r="B1218" s="6" t="inlineStr">
        <is>
          <t>Vitória - ES</t>
        </is>
      </c>
      <c r="C1218" s="6" t="n">
        <v>-20.3155</v>
      </c>
      <c r="D1218" s="6" t="n">
        <v>-40.3128</v>
      </c>
      <c r="E1218" s="6" t="inlineStr">
        <is>
          <t>2024-05</t>
        </is>
      </c>
      <c r="F1218" s="6" t="n">
        <v>168729.5791584809</v>
      </c>
      <c r="G1218" s="6" t="inlineStr">
        <is>
          <t>DOMESTICA</t>
        </is>
      </c>
      <c r="H1218" s="6" t="inlineStr">
        <is>
          <t>FIXO</t>
        </is>
      </c>
      <c r="I1218" s="11">
        <f>IF($H1218="AUTO_OFERTA_TOTAL_PRODUTO_PERIODO",SUMIFS(Oferta!$F:$F,Oferta!$A:$A,$A1218,Oferta!$E:$E,$E1218),$F1218)</f>
        <v/>
      </c>
      <c r="J1218" s="6" t="inlineStr">
        <is>
          <t>Informado</t>
        </is>
      </c>
      <c r="K1218" s="6" t="inlineStr">
        <is>
          <t>Demanda doméstica fixa informada pelo usuário.</t>
        </is>
      </c>
    </row>
    <row r="1219">
      <c r="A1219" s="6" t="inlineStr">
        <is>
          <t>Milho</t>
        </is>
      </c>
      <c r="B1219" s="6" t="inlineStr">
        <is>
          <t>Vitória - ES</t>
        </is>
      </c>
      <c r="C1219" s="6" t="n">
        <v>-20.3155</v>
      </c>
      <c r="D1219" s="6" t="n">
        <v>-40.3128</v>
      </c>
      <c r="E1219" s="6" t="inlineStr">
        <is>
          <t>2024-06</t>
        </is>
      </c>
      <c r="F1219" s="6" t="n">
        <v>158580.4315399256</v>
      </c>
      <c r="G1219" s="6" t="inlineStr">
        <is>
          <t>DOMESTICA</t>
        </is>
      </c>
      <c r="H1219" s="6" t="inlineStr">
        <is>
          <t>FIXO</t>
        </is>
      </c>
      <c r="I1219" s="11">
        <f>IF($H1219="AUTO_OFERTA_TOTAL_PRODUTO_PERIODO",SUMIFS(Oferta!$F:$F,Oferta!$A:$A,$A1219,Oferta!$E:$E,$E1219),$F1219)</f>
        <v/>
      </c>
      <c r="J1219" s="6" t="inlineStr">
        <is>
          <t>Informado</t>
        </is>
      </c>
      <c r="K1219" s="6" t="inlineStr">
        <is>
          <t>Demanda doméstica fixa informada pelo usuário.</t>
        </is>
      </c>
    </row>
    <row r="1220">
      <c r="A1220" s="6" t="inlineStr">
        <is>
          <t>Milho</t>
        </is>
      </c>
      <c r="B1220" s="6" t="inlineStr">
        <is>
          <t>Vitória - ES</t>
        </is>
      </c>
      <c r="C1220" s="6" t="n">
        <v>-20.3155</v>
      </c>
      <c r="D1220" s="6" t="n">
        <v>-40.3128</v>
      </c>
      <c r="E1220" s="6" t="inlineStr">
        <is>
          <t>2024-07</t>
        </is>
      </c>
      <c r="F1220" s="6" t="n">
        <v>117983.8410657047</v>
      </c>
      <c r="G1220" s="6" t="inlineStr">
        <is>
          <t>DOMESTICA</t>
        </is>
      </c>
      <c r="H1220" s="6" t="inlineStr">
        <is>
          <t>FIXO</t>
        </is>
      </c>
      <c r="I1220" s="11">
        <f>IF($H1220="AUTO_OFERTA_TOTAL_PRODUTO_PERIODO",SUMIFS(Oferta!$F:$F,Oferta!$A:$A,$A1220,Oferta!$E:$E,$E1220),$F1220)</f>
        <v/>
      </c>
      <c r="J1220" s="6" t="inlineStr">
        <is>
          <t>Informado</t>
        </is>
      </c>
      <c r="K1220" s="6" t="inlineStr">
        <is>
          <t>Demanda doméstica fixa informada pelo usuário.</t>
        </is>
      </c>
    </row>
    <row r="1221">
      <c r="A1221" s="6" t="inlineStr">
        <is>
          <t>Milho</t>
        </is>
      </c>
      <c r="B1221" s="6" t="inlineStr">
        <is>
          <t>Vitória - ES</t>
        </is>
      </c>
      <c r="C1221" s="6" t="n">
        <v>-20.3155</v>
      </c>
      <c r="D1221" s="6" t="n">
        <v>-40.3128</v>
      </c>
      <c r="E1221" s="6" t="inlineStr">
        <is>
          <t>2024-08</t>
        </is>
      </c>
      <c r="F1221" s="6" t="n">
        <v>158580.4315399256</v>
      </c>
      <c r="G1221" s="6" t="inlineStr">
        <is>
          <t>DOMESTICA</t>
        </is>
      </c>
      <c r="H1221" s="6" t="inlineStr">
        <is>
          <t>FIXO</t>
        </is>
      </c>
      <c r="I1221" s="11">
        <f>IF($H1221="AUTO_OFERTA_TOTAL_PRODUTO_PERIODO",SUMIFS(Oferta!$F:$F,Oferta!$A:$A,$A1221,Oferta!$E:$E,$E1221),$F1221)</f>
        <v/>
      </c>
      <c r="J1221" s="6" t="inlineStr">
        <is>
          <t>Informado</t>
        </is>
      </c>
      <c r="K1221" s="6" t="inlineStr">
        <is>
          <t>Demanda doméstica fixa informada pelo usuário.</t>
        </is>
      </c>
    </row>
    <row r="1222">
      <c r="A1222" s="6" t="inlineStr">
        <is>
          <t>Milho</t>
        </is>
      </c>
      <c r="B1222" s="6" t="inlineStr">
        <is>
          <t>Vitória - ES</t>
        </is>
      </c>
      <c r="C1222" s="6" t="n">
        <v>-20.3155</v>
      </c>
      <c r="D1222" s="6" t="n">
        <v>-40.3128</v>
      </c>
      <c r="E1222" s="6" t="inlineStr">
        <is>
          <t>2024-09</t>
        </is>
      </c>
      <c r="F1222" s="6" t="n">
        <v>168729.5791584809</v>
      </c>
      <c r="G1222" s="6" t="inlineStr">
        <is>
          <t>DOMESTICA</t>
        </is>
      </c>
      <c r="H1222" s="6" t="inlineStr">
        <is>
          <t>FIXO</t>
        </is>
      </c>
      <c r="I1222" s="11">
        <f>IF($H1222="AUTO_OFERTA_TOTAL_PRODUTO_PERIODO",SUMIFS(Oferta!$F:$F,Oferta!$A:$A,$A1222,Oferta!$E:$E,$E1222),$F1222)</f>
        <v/>
      </c>
      <c r="J1222" s="6" t="inlineStr">
        <is>
          <t>Informado</t>
        </is>
      </c>
      <c r="K1222" s="6" t="inlineStr">
        <is>
          <t>Demanda doméstica fixa informada pelo usuário.</t>
        </is>
      </c>
    </row>
    <row r="1223">
      <c r="A1223" s="6" t="inlineStr">
        <is>
          <t>Milho</t>
        </is>
      </c>
      <c r="B1223" s="6" t="inlineStr">
        <is>
          <t>Vitória - ES</t>
        </is>
      </c>
      <c r="C1223" s="6" t="n">
        <v>-20.3155</v>
      </c>
      <c r="D1223" s="6" t="n">
        <v>-40.3128</v>
      </c>
      <c r="E1223" s="6" t="inlineStr">
        <is>
          <t>2024-10</t>
        </is>
      </c>
      <c r="F1223" s="6" t="n">
        <v>158580.4315399256</v>
      </c>
      <c r="G1223" s="6" t="inlineStr">
        <is>
          <t>DOMESTICA</t>
        </is>
      </c>
      <c r="H1223" s="6" t="inlineStr">
        <is>
          <t>FIXO</t>
        </is>
      </c>
      <c r="I1223" s="11">
        <f>IF($H1223="AUTO_OFERTA_TOTAL_PRODUTO_PERIODO",SUMIFS(Oferta!$F:$F,Oferta!$A:$A,$A1223,Oferta!$E:$E,$E1223),$F1223)</f>
        <v/>
      </c>
      <c r="J1223" s="6" t="inlineStr">
        <is>
          <t>Informado</t>
        </is>
      </c>
      <c r="K1223" s="6" t="inlineStr">
        <is>
          <t>Demanda doméstica fixa informada pelo usuário.</t>
        </is>
      </c>
    </row>
    <row r="1224">
      <c r="A1224" s="6" t="inlineStr">
        <is>
          <t>Milho</t>
        </is>
      </c>
      <c r="B1224" s="6" t="inlineStr">
        <is>
          <t>Vitória - ES</t>
        </is>
      </c>
      <c r="C1224" s="6" t="n">
        <v>-20.3155</v>
      </c>
      <c r="D1224" s="6" t="n">
        <v>-40.3128</v>
      </c>
      <c r="E1224" s="6" t="inlineStr">
        <is>
          <t>2024-11</t>
        </is>
      </c>
      <c r="F1224" s="6" t="n">
        <v>97685.5458285942</v>
      </c>
      <c r="G1224" s="6" t="inlineStr">
        <is>
          <t>DOMESTICA</t>
        </is>
      </c>
      <c r="H1224" s="6" t="inlineStr">
        <is>
          <t>FIXO</t>
        </is>
      </c>
      <c r="I1224" s="11">
        <f>IF($H1224="AUTO_OFERTA_TOTAL_PRODUTO_PERIODO",SUMIFS(Oferta!$F:$F,Oferta!$A:$A,$A1224,Oferta!$E:$E,$E1224),$F1224)</f>
        <v/>
      </c>
      <c r="J1224" s="6" t="inlineStr">
        <is>
          <t>Informado</t>
        </is>
      </c>
      <c r="K1224" s="6" t="inlineStr">
        <is>
          <t>Demanda doméstica fixa informada pelo usuário.</t>
        </is>
      </c>
    </row>
    <row r="1225">
      <c r="A1225" s="6" t="inlineStr">
        <is>
          <t>Milho</t>
        </is>
      </c>
      <c r="B1225" s="6" t="inlineStr">
        <is>
          <t>Vitória - ES</t>
        </is>
      </c>
      <c r="C1225" s="6" t="n">
        <v>-20.3155</v>
      </c>
      <c r="D1225" s="6" t="n">
        <v>-40.3128</v>
      </c>
      <c r="E1225" s="6" t="inlineStr">
        <is>
          <t>2024-12</t>
        </is>
      </c>
      <c r="F1225" s="6" t="n">
        <v>77387.25059148369</v>
      </c>
      <c r="G1225" s="6" t="inlineStr">
        <is>
          <t>DOMESTICA</t>
        </is>
      </c>
      <c r="H1225" s="6" t="inlineStr">
        <is>
          <t>FIXO</t>
        </is>
      </c>
      <c r="I1225" s="11">
        <f>IF($H1225="AUTO_OFERTA_TOTAL_PRODUTO_PERIODO",SUMIFS(Oferta!$F:$F,Oferta!$A:$A,$A1225,Oferta!$E:$E,$E1225),$F1225)</f>
        <v/>
      </c>
      <c r="J1225" s="6" t="inlineStr">
        <is>
          <t>Informado</t>
        </is>
      </c>
      <c r="K1225" s="6" t="inlineStr">
        <is>
          <t>Demanda doméstica fixa informada pelo usuário.</t>
        </is>
      </c>
    </row>
    <row r="1226">
      <c r="A1226" s="6" t="inlineStr">
        <is>
          <t>Milho</t>
        </is>
      </c>
      <c r="B1226" s="6" t="inlineStr">
        <is>
          <t>Belo Horizonte - MG</t>
        </is>
      </c>
      <c r="C1226" s="6" t="n">
        <v>-19.9102</v>
      </c>
      <c r="D1226" s="6" t="n">
        <v>-43.9266</v>
      </c>
      <c r="E1226" s="6" t="inlineStr">
        <is>
          <t>2024-01</t>
        </is>
      </c>
      <c r="F1226" s="6" t="n">
        <v>412649.9776577258</v>
      </c>
      <c r="G1226" s="6" t="inlineStr">
        <is>
          <t>DOMESTICA</t>
        </is>
      </c>
      <c r="H1226" s="6" t="inlineStr">
        <is>
          <t>FIXO</t>
        </is>
      </c>
      <c r="I1226" s="11">
        <f>IF($H1226="AUTO_OFERTA_TOTAL_PRODUTO_PERIODO",SUMIFS(Oferta!$F:$F,Oferta!$A:$A,$A1226,Oferta!$E:$E,$E1226),$F1226)</f>
        <v/>
      </c>
      <c r="J1226" s="6" t="inlineStr">
        <is>
          <t>Informado</t>
        </is>
      </c>
      <c r="K1226" s="6" t="inlineStr">
        <is>
          <t>Demanda doméstica fixa informada pelo usuário.</t>
        </is>
      </c>
    </row>
    <row r="1227">
      <c r="A1227" s="6" t="inlineStr">
        <is>
          <t>Milho</t>
        </is>
      </c>
      <c r="B1227" s="6" t="inlineStr">
        <is>
          <t>Belo Horizonte - MG</t>
        </is>
      </c>
      <c r="C1227" s="6" t="n">
        <v>-19.9102</v>
      </c>
      <c r="D1227" s="6" t="n">
        <v>-43.9266</v>
      </c>
      <c r="E1227" s="6" t="inlineStr">
        <is>
          <t>2024-02</t>
        </is>
      </c>
      <c r="F1227" s="6" t="n">
        <v>412649.9776577258</v>
      </c>
      <c r="G1227" s="6" t="inlineStr">
        <is>
          <t>DOMESTICA</t>
        </is>
      </c>
      <c r="H1227" s="6" t="inlineStr">
        <is>
          <t>FIXO</t>
        </is>
      </c>
      <c r="I1227" s="11">
        <f>IF($H1227="AUTO_OFERTA_TOTAL_PRODUTO_PERIODO",SUMIFS(Oferta!$F:$F,Oferta!$A:$A,$A1227,Oferta!$E:$E,$E1227),$F1227)</f>
        <v/>
      </c>
      <c r="J1227" s="6" t="inlineStr">
        <is>
          <t>Informado</t>
        </is>
      </c>
      <c r="K1227" s="6" t="inlineStr">
        <is>
          <t>Demanda doméstica fixa informada pelo usuário.</t>
        </is>
      </c>
    </row>
    <row r="1228">
      <c r="A1228" s="6" t="inlineStr">
        <is>
          <t>Milho</t>
        </is>
      </c>
      <c r="B1228" s="6" t="inlineStr">
        <is>
          <t>Belo Horizonte - MG</t>
        </is>
      </c>
      <c r="C1228" s="6" t="n">
        <v>-19.9102</v>
      </c>
      <c r="D1228" s="6" t="n">
        <v>-43.9266</v>
      </c>
      <c r="E1228" s="6" t="inlineStr">
        <is>
          <t>2024-03</t>
        </is>
      </c>
      <c r="F1228" s="6" t="n">
        <v>474936.7667381372</v>
      </c>
      <c r="G1228" s="6" t="inlineStr">
        <is>
          <t>DOMESTICA</t>
        </is>
      </c>
      <c r="H1228" s="6" t="inlineStr">
        <is>
          <t>FIXO</t>
        </is>
      </c>
      <c r="I1228" s="11">
        <f>IF($H1228="AUTO_OFERTA_TOTAL_PRODUTO_PERIODO",SUMIFS(Oferta!$F:$F,Oferta!$A:$A,$A1228,Oferta!$E:$E,$E1228),$F1228)</f>
        <v/>
      </c>
      <c r="J1228" s="6" t="inlineStr">
        <is>
          <t>Informado</t>
        </is>
      </c>
      <c r="K1228" s="6" t="inlineStr">
        <is>
          <t>Demanda doméstica fixa informada pelo usuário.</t>
        </is>
      </c>
    </row>
    <row r="1229">
      <c r="A1229" s="6" t="inlineStr">
        <is>
          <t>Milho</t>
        </is>
      </c>
      <c r="B1229" s="6" t="inlineStr">
        <is>
          <t>Belo Horizonte - MG</t>
        </is>
      </c>
      <c r="C1229" s="6" t="n">
        <v>-19.9102</v>
      </c>
      <c r="D1229" s="6" t="n">
        <v>-43.9266</v>
      </c>
      <c r="E1229" s="6" t="inlineStr">
        <is>
          <t>2024-04</t>
        </is>
      </c>
      <c r="F1229" s="6" t="n">
        <v>599510.3448989602</v>
      </c>
      <c r="G1229" s="6" t="inlineStr">
        <is>
          <t>DOMESTICA</t>
        </is>
      </c>
      <c r="H1229" s="6" t="inlineStr">
        <is>
          <t>FIXO</t>
        </is>
      </c>
      <c r="I1229" s="11">
        <f>IF($H1229="AUTO_OFERTA_TOTAL_PRODUTO_PERIODO",SUMIFS(Oferta!$F:$F,Oferta!$A:$A,$A1229,Oferta!$E:$E,$E1229),$F1229)</f>
        <v/>
      </c>
      <c r="J1229" s="6" t="inlineStr">
        <is>
          <t>Informado</t>
        </is>
      </c>
      <c r="K1229" s="6" t="inlineStr">
        <is>
          <t>Demanda doméstica fixa informada pelo usuário.</t>
        </is>
      </c>
    </row>
    <row r="1230">
      <c r="A1230" s="6" t="inlineStr">
        <is>
          <t>Milho</t>
        </is>
      </c>
      <c r="B1230" s="6" t="inlineStr">
        <is>
          <t>Belo Horizonte - MG</t>
        </is>
      </c>
      <c r="C1230" s="6" t="n">
        <v>-19.9102</v>
      </c>
      <c r="D1230" s="6" t="n">
        <v>-43.9266</v>
      </c>
      <c r="E1230" s="6" t="inlineStr">
        <is>
          <t>2024-05</t>
        </is>
      </c>
      <c r="F1230" s="6" t="n">
        <v>848657.5012206058</v>
      </c>
      <c r="G1230" s="6" t="inlineStr">
        <is>
          <t>DOMESTICA</t>
        </is>
      </c>
      <c r="H1230" s="6" t="inlineStr">
        <is>
          <t>FIXO</t>
        </is>
      </c>
      <c r="I1230" s="11">
        <f>IF($H1230="AUTO_OFERTA_TOTAL_PRODUTO_PERIODO",SUMIFS(Oferta!$F:$F,Oferta!$A:$A,$A1230,Oferta!$E:$E,$E1230),$F1230)</f>
        <v/>
      </c>
      <c r="J1230" s="6" t="inlineStr">
        <is>
          <t>Informado</t>
        </is>
      </c>
      <c r="K1230" s="6" t="inlineStr">
        <is>
          <t>Demanda doméstica fixa informada pelo usuário.</t>
        </is>
      </c>
    </row>
    <row r="1231">
      <c r="A1231" s="6" t="inlineStr">
        <is>
          <t>Milho</t>
        </is>
      </c>
      <c r="B1231" s="6" t="inlineStr">
        <is>
          <t>Belo Horizonte - MG</t>
        </is>
      </c>
      <c r="C1231" s="6" t="n">
        <v>-19.9102</v>
      </c>
      <c r="D1231" s="6" t="n">
        <v>-43.9266</v>
      </c>
      <c r="E1231" s="6" t="inlineStr">
        <is>
          <t>2024-06</t>
        </is>
      </c>
      <c r="F1231" s="6" t="n">
        <v>1097804.657542251</v>
      </c>
      <c r="G1231" s="6" t="inlineStr">
        <is>
          <t>DOMESTICA</t>
        </is>
      </c>
      <c r="H1231" s="6" t="inlineStr">
        <is>
          <t>FIXO</t>
        </is>
      </c>
      <c r="I1231" s="11">
        <f>IF($H1231="AUTO_OFERTA_TOTAL_PRODUTO_PERIODO",SUMIFS(Oferta!$F:$F,Oferta!$A:$A,$A1231,Oferta!$E:$E,$E1231),$F1231)</f>
        <v/>
      </c>
      <c r="J1231" s="6" t="inlineStr">
        <is>
          <t>Informado</t>
        </is>
      </c>
      <c r="K1231" s="6" t="inlineStr">
        <is>
          <t>Demanda doméstica fixa informada pelo usuário.</t>
        </is>
      </c>
    </row>
    <row r="1232">
      <c r="A1232" s="6" t="inlineStr">
        <is>
          <t>Milho</t>
        </is>
      </c>
      <c r="B1232" s="6" t="inlineStr">
        <is>
          <t>Belo Horizonte - MG</t>
        </is>
      </c>
      <c r="C1232" s="6" t="n">
        <v>-19.9102</v>
      </c>
      <c r="D1232" s="6" t="n">
        <v>-43.9266</v>
      </c>
      <c r="E1232" s="6" t="inlineStr">
        <is>
          <t>2024-07</t>
        </is>
      </c>
      <c r="F1232" s="6" t="n">
        <v>1222378.235703075</v>
      </c>
      <c r="G1232" s="6" t="inlineStr">
        <is>
          <t>DOMESTICA</t>
        </is>
      </c>
      <c r="H1232" s="6" t="inlineStr">
        <is>
          <t>FIXO</t>
        </is>
      </c>
      <c r="I1232" s="11">
        <f>IF($H1232="AUTO_OFERTA_TOTAL_PRODUTO_PERIODO",SUMIFS(Oferta!$F:$F,Oferta!$A:$A,$A1232,Oferta!$E:$E,$E1232),$F1232)</f>
        <v/>
      </c>
      <c r="J1232" s="6" t="inlineStr">
        <is>
          <t>Informado</t>
        </is>
      </c>
      <c r="K1232" s="6" t="inlineStr">
        <is>
          <t>Demanda doméstica fixa informada pelo usuário.</t>
        </is>
      </c>
    </row>
    <row r="1233">
      <c r="A1233" s="6" t="inlineStr">
        <is>
          <t>Milho</t>
        </is>
      </c>
      <c r="B1233" s="6" t="inlineStr">
        <is>
          <t>Belo Horizonte - MG</t>
        </is>
      </c>
      <c r="C1233" s="6" t="n">
        <v>-19.9102</v>
      </c>
      <c r="D1233" s="6" t="n">
        <v>-43.9266</v>
      </c>
      <c r="E1233" s="6" t="inlineStr">
        <is>
          <t>2024-08</t>
        </is>
      </c>
      <c r="F1233" s="6" t="n">
        <v>1346951.813863897</v>
      </c>
      <c r="G1233" s="6" t="inlineStr">
        <is>
          <t>DOMESTICA</t>
        </is>
      </c>
      <c r="H1233" s="6" t="inlineStr">
        <is>
          <t>FIXO</t>
        </is>
      </c>
      <c r="I1233" s="11">
        <f>IF($H1233="AUTO_OFERTA_TOTAL_PRODUTO_PERIODO",SUMIFS(Oferta!$F:$F,Oferta!$A:$A,$A1233,Oferta!$E:$E,$E1233),$F1233)</f>
        <v/>
      </c>
      <c r="J1233" s="6" t="inlineStr">
        <is>
          <t>Informado</t>
        </is>
      </c>
      <c r="K1233" s="6" t="inlineStr">
        <is>
          <t>Demanda doméstica fixa informada pelo usuário.</t>
        </is>
      </c>
    </row>
    <row r="1234">
      <c r="A1234" s="6" t="inlineStr">
        <is>
          <t>Milho</t>
        </is>
      </c>
      <c r="B1234" s="6" t="inlineStr">
        <is>
          <t>Belo Horizonte - MG</t>
        </is>
      </c>
      <c r="C1234" s="6" t="n">
        <v>-19.9102</v>
      </c>
      <c r="D1234" s="6" t="n">
        <v>-43.9266</v>
      </c>
      <c r="E1234" s="6" t="inlineStr">
        <is>
          <t>2024-09</t>
        </is>
      </c>
      <c r="F1234" s="6" t="n">
        <v>1160091.446622663</v>
      </c>
      <c r="G1234" s="6" t="inlineStr">
        <is>
          <t>DOMESTICA</t>
        </is>
      </c>
      <c r="H1234" s="6" t="inlineStr">
        <is>
          <t>FIXO</t>
        </is>
      </c>
      <c r="I1234" s="11">
        <f>IF($H1234="AUTO_OFERTA_TOTAL_PRODUTO_PERIODO",SUMIFS(Oferta!$F:$F,Oferta!$A:$A,$A1234,Oferta!$E:$E,$E1234),$F1234)</f>
        <v/>
      </c>
      <c r="J1234" s="6" t="inlineStr">
        <is>
          <t>Informado</t>
        </is>
      </c>
      <c r="K1234" s="6" t="inlineStr">
        <is>
          <t>Demanda doméstica fixa informada pelo usuário.</t>
        </is>
      </c>
    </row>
    <row r="1235">
      <c r="A1235" s="6" t="inlineStr">
        <is>
          <t>Milho</t>
        </is>
      </c>
      <c r="B1235" s="6" t="inlineStr">
        <is>
          <t>Belo Horizonte - MG</t>
        </is>
      </c>
      <c r="C1235" s="6" t="n">
        <v>-19.9102</v>
      </c>
      <c r="D1235" s="6" t="n">
        <v>-43.9266</v>
      </c>
      <c r="E1235" s="6" t="inlineStr">
        <is>
          <t>2024-10</t>
        </is>
      </c>
      <c r="F1235" s="6" t="n">
        <v>973231.0793814288</v>
      </c>
      <c r="G1235" s="6" t="inlineStr">
        <is>
          <t>DOMESTICA</t>
        </is>
      </c>
      <c r="H1235" s="6" t="inlineStr">
        <is>
          <t>FIXO</t>
        </is>
      </c>
      <c r="I1235" s="11">
        <f>IF($H1235="AUTO_OFERTA_TOTAL_PRODUTO_PERIODO",SUMIFS(Oferta!$F:$F,Oferta!$A:$A,$A1235,Oferta!$E:$E,$E1235),$F1235)</f>
        <v/>
      </c>
      <c r="J1235" s="6" t="inlineStr">
        <is>
          <t>Informado</t>
        </is>
      </c>
      <c r="K1235" s="6" t="inlineStr">
        <is>
          <t>Demanda doméstica fixa informada pelo usuário.</t>
        </is>
      </c>
    </row>
    <row r="1236">
      <c r="A1236" s="6" t="inlineStr">
        <is>
          <t>Milho</t>
        </is>
      </c>
      <c r="B1236" s="6" t="inlineStr">
        <is>
          <t>Belo Horizonte - MG</t>
        </is>
      </c>
      <c r="C1236" s="6" t="n">
        <v>-19.9102</v>
      </c>
      <c r="D1236" s="6" t="n">
        <v>-43.9266</v>
      </c>
      <c r="E1236" s="6" t="inlineStr">
        <is>
          <t>2024-11</t>
        </is>
      </c>
      <c r="F1236" s="6" t="n">
        <v>599510.3448989601</v>
      </c>
      <c r="G1236" s="6" t="inlineStr">
        <is>
          <t>DOMESTICA</t>
        </is>
      </c>
      <c r="H1236" s="6" t="inlineStr">
        <is>
          <t>FIXO</t>
        </is>
      </c>
      <c r="I1236" s="11">
        <f>IF($H1236="AUTO_OFERTA_TOTAL_PRODUTO_PERIODO",SUMIFS(Oferta!$F:$F,Oferta!$A:$A,$A1236,Oferta!$E:$E,$E1236),$F1236)</f>
        <v/>
      </c>
      <c r="J1236" s="6" t="inlineStr">
        <is>
          <t>Informado</t>
        </is>
      </c>
      <c r="K1236" s="6" t="inlineStr">
        <is>
          <t>Demanda doméstica fixa informada pelo usuário.</t>
        </is>
      </c>
    </row>
    <row r="1237">
      <c r="A1237" s="6" t="inlineStr">
        <is>
          <t>Milho</t>
        </is>
      </c>
      <c r="B1237" s="6" t="inlineStr">
        <is>
          <t>Belo Horizonte - MG</t>
        </is>
      </c>
      <c r="C1237" s="6" t="n">
        <v>-19.9102</v>
      </c>
      <c r="D1237" s="6" t="n">
        <v>-43.9266</v>
      </c>
      <c r="E1237" s="6" t="inlineStr">
        <is>
          <t>2024-12</t>
        </is>
      </c>
      <c r="F1237" s="6" t="n">
        <v>474936.7667381372</v>
      </c>
      <c r="G1237" s="6" t="inlineStr">
        <is>
          <t>DOMESTICA</t>
        </is>
      </c>
      <c r="H1237" s="6" t="inlineStr">
        <is>
          <t>FIXO</t>
        </is>
      </c>
      <c r="I1237" s="11">
        <f>IF($H1237="AUTO_OFERTA_TOTAL_PRODUTO_PERIODO",SUMIFS(Oferta!$F:$F,Oferta!$A:$A,$A1237,Oferta!$E:$E,$E1237),$F1237)</f>
        <v/>
      </c>
      <c r="J1237" s="6" t="inlineStr">
        <is>
          <t>Informado</t>
        </is>
      </c>
      <c r="K1237" s="6" t="inlineStr">
        <is>
          <t>Demanda doméstica fixa informada pelo usuário.</t>
        </is>
      </c>
    </row>
    <row r="1238">
      <c r="A1238" s="6" t="inlineStr">
        <is>
          <t>Milho</t>
        </is>
      </c>
      <c r="B1238" s="6" t="inlineStr">
        <is>
          <t>Rio de Janeiro - RJ</t>
        </is>
      </c>
      <c r="C1238" s="6" t="n">
        <v>-22.9129</v>
      </c>
      <c r="D1238" s="6" t="n">
        <v>-43.2003</v>
      </c>
      <c r="E1238" s="6" t="inlineStr">
        <is>
          <t>2024-01</t>
        </is>
      </c>
      <c r="F1238" s="6" t="n">
        <v>119504.8739773388</v>
      </c>
      <c r="G1238" s="6" t="inlineStr">
        <is>
          <t>DOMESTICA</t>
        </is>
      </c>
      <c r="H1238" s="6" t="inlineStr">
        <is>
          <t>FIXO</t>
        </is>
      </c>
      <c r="I1238" s="11">
        <f>IF($H1238="AUTO_OFERTA_TOTAL_PRODUTO_PERIODO",SUMIFS(Oferta!$F:$F,Oferta!$A:$A,$A1238,Oferta!$E:$E,$E1238),$F1238)</f>
        <v/>
      </c>
      <c r="J1238" s="6" t="inlineStr">
        <is>
          <t>Informado</t>
        </is>
      </c>
      <c r="K1238" s="6" t="inlineStr">
        <is>
          <t>Demanda doméstica fixa informada pelo usuário.</t>
        </is>
      </c>
    </row>
    <row r="1239">
      <c r="A1239" s="6" t="inlineStr">
        <is>
          <t>Milho</t>
        </is>
      </c>
      <c r="B1239" s="6" t="inlineStr">
        <is>
          <t>Rio de Janeiro - RJ</t>
        </is>
      </c>
      <c r="C1239" s="6" t="n">
        <v>-22.9129</v>
      </c>
      <c r="D1239" s="6" t="n">
        <v>-43.2003</v>
      </c>
      <c r="E1239" s="6" t="inlineStr">
        <is>
          <t>2024-02</t>
        </is>
      </c>
      <c r="F1239" s="6" t="n">
        <v>119504.8739773388</v>
      </c>
      <c r="G1239" s="6" t="inlineStr">
        <is>
          <t>DOMESTICA</t>
        </is>
      </c>
      <c r="H1239" s="6" t="inlineStr">
        <is>
          <t>FIXO</t>
        </is>
      </c>
      <c r="I1239" s="11">
        <f>IF($H1239="AUTO_OFERTA_TOTAL_PRODUTO_PERIODO",SUMIFS(Oferta!$F:$F,Oferta!$A:$A,$A1239,Oferta!$E:$E,$E1239),$F1239)</f>
        <v/>
      </c>
      <c r="J1239" s="6" t="inlineStr">
        <is>
          <t>Informado</t>
        </is>
      </c>
      <c r="K1239" s="6" t="inlineStr">
        <is>
          <t>Demanda doméstica fixa informada pelo usuário.</t>
        </is>
      </c>
    </row>
    <row r="1240">
      <c r="A1240" s="6" t="inlineStr">
        <is>
          <t>Milho</t>
        </is>
      </c>
      <c r="B1240" s="6" t="inlineStr">
        <is>
          <t>Rio de Janeiro - RJ</t>
        </is>
      </c>
      <c r="C1240" s="6" t="n">
        <v>-22.9129</v>
      </c>
      <c r="D1240" s="6" t="n">
        <v>-43.2003</v>
      </c>
      <c r="E1240" s="6" t="inlineStr">
        <is>
          <t>2024-03</t>
        </is>
      </c>
      <c r="F1240" s="6" t="n">
        <v>155581.8170648373</v>
      </c>
      <c r="G1240" s="6" t="inlineStr">
        <is>
          <t>DOMESTICA</t>
        </is>
      </c>
      <c r="H1240" s="6" t="inlineStr">
        <is>
          <t>FIXO</t>
        </is>
      </c>
      <c r="I1240" s="11">
        <f>IF($H1240="AUTO_OFERTA_TOTAL_PRODUTO_PERIODO",SUMIFS(Oferta!$F:$F,Oferta!$A:$A,$A1240,Oferta!$E:$E,$E1240),$F1240)</f>
        <v/>
      </c>
      <c r="J1240" s="6" t="inlineStr">
        <is>
          <t>Informado</t>
        </is>
      </c>
      <c r="K1240" s="6" t="inlineStr">
        <is>
          <t>Demanda doméstica fixa informada pelo usuário.</t>
        </is>
      </c>
    </row>
    <row r="1241">
      <c r="A1241" s="6" t="inlineStr">
        <is>
          <t>Milho</t>
        </is>
      </c>
      <c r="B1241" s="6" t="inlineStr">
        <is>
          <t>Rio de Janeiro - RJ</t>
        </is>
      </c>
      <c r="C1241" s="6" t="n">
        <v>-22.9129</v>
      </c>
      <c r="D1241" s="6" t="n">
        <v>-43.2003</v>
      </c>
      <c r="E1241" s="6" t="inlineStr">
        <is>
          <t>2024-04</t>
        </is>
      </c>
      <c r="F1241" s="6" t="n">
        <v>227735.7032398343</v>
      </c>
      <c r="G1241" s="6" t="inlineStr">
        <is>
          <t>DOMESTICA</t>
        </is>
      </c>
      <c r="H1241" s="6" t="inlineStr">
        <is>
          <t>FIXO</t>
        </is>
      </c>
      <c r="I1241" s="11">
        <f>IF($H1241="AUTO_OFERTA_TOTAL_PRODUTO_PERIODO",SUMIFS(Oferta!$F:$F,Oferta!$A:$A,$A1241,Oferta!$E:$E,$E1241),$F1241)</f>
        <v/>
      </c>
      <c r="J1241" s="6" t="inlineStr">
        <is>
          <t>Informado</t>
        </is>
      </c>
      <c r="K1241" s="6" t="inlineStr">
        <is>
          <t>Demanda doméstica fixa informada pelo usuário.</t>
        </is>
      </c>
    </row>
    <row r="1242">
      <c r="A1242" s="6" t="inlineStr">
        <is>
          <t>Milho</t>
        </is>
      </c>
      <c r="B1242" s="6" t="inlineStr">
        <is>
          <t>Rio de Janeiro - RJ</t>
        </is>
      </c>
      <c r="C1242" s="6" t="n">
        <v>-22.9129</v>
      </c>
      <c r="D1242" s="6" t="n">
        <v>-43.2003</v>
      </c>
      <c r="E1242" s="6" t="inlineStr">
        <is>
          <t>2024-05</t>
        </is>
      </c>
      <c r="F1242" s="6" t="n">
        <v>299889.5894148313</v>
      </c>
      <c r="G1242" s="6" t="inlineStr">
        <is>
          <t>DOMESTICA</t>
        </is>
      </c>
      <c r="H1242" s="6" t="inlineStr">
        <is>
          <t>FIXO</t>
        </is>
      </c>
      <c r="I1242" s="11">
        <f>IF($H1242="AUTO_OFERTA_TOTAL_PRODUTO_PERIODO",SUMIFS(Oferta!$F:$F,Oferta!$A:$A,$A1242,Oferta!$E:$E,$E1242),$F1242)</f>
        <v/>
      </c>
      <c r="J1242" s="6" t="inlineStr">
        <is>
          <t>Informado</t>
        </is>
      </c>
      <c r="K1242" s="6" t="inlineStr">
        <is>
          <t>Demanda doméstica fixa informada pelo usuário.</t>
        </is>
      </c>
    </row>
    <row r="1243">
      <c r="A1243" s="6" t="inlineStr">
        <is>
          <t>Milho</t>
        </is>
      </c>
      <c r="B1243" s="6" t="inlineStr">
        <is>
          <t>Rio de Janeiro - RJ</t>
        </is>
      </c>
      <c r="C1243" s="6" t="n">
        <v>-22.9129</v>
      </c>
      <c r="D1243" s="6" t="n">
        <v>-43.2003</v>
      </c>
      <c r="E1243" s="6" t="inlineStr">
        <is>
          <t>2024-06</t>
        </is>
      </c>
      <c r="F1243" s="6" t="n">
        <v>299889.5894148313</v>
      </c>
      <c r="G1243" s="6" t="inlineStr">
        <is>
          <t>DOMESTICA</t>
        </is>
      </c>
      <c r="H1243" s="6" t="inlineStr">
        <is>
          <t>FIXO</t>
        </is>
      </c>
      <c r="I1243" s="11">
        <f>IF($H1243="AUTO_OFERTA_TOTAL_PRODUTO_PERIODO",SUMIFS(Oferta!$F:$F,Oferta!$A:$A,$A1243,Oferta!$E:$E,$E1243),$F1243)</f>
        <v/>
      </c>
      <c r="J1243" s="6" t="inlineStr">
        <is>
          <t>Informado</t>
        </is>
      </c>
      <c r="K1243" s="6" t="inlineStr">
        <is>
          <t>Demanda doméstica fixa informada pelo usuário.</t>
        </is>
      </c>
    </row>
    <row r="1244">
      <c r="A1244" s="6" t="inlineStr">
        <is>
          <t>Milho</t>
        </is>
      </c>
      <c r="B1244" s="6" t="inlineStr">
        <is>
          <t>Rio de Janeiro - RJ</t>
        </is>
      </c>
      <c r="C1244" s="6" t="n">
        <v>-22.9129</v>
      </c>
      <c r="D1244" s="6" t="n">
        <v>-43.2003</v>
      </c>
      <c r="E1244" s="6" t="inlineStr">
        <is>
          <t>2024-07</t>
        </is>
      </c>
      <c r="F1244" s="6" t="n">
        <v>263812.6463273328</v>
      </c>
      <c r="G1244" s="6" t="inlineStr">
        <is>
          <t>DOMESTICA</t>
        </is>
      </c>
      <c r="H1244" s="6" t="inlineStr">
        <is>
          <t>FIXO</t>
        </is>
      </c>
      <c r="I1244" s="11">
        <f>IF($H1244="AUTO_OFERTA_TOTAL_PRODUTO_PERIODO",SUMIFS(Oferta!$F:$F,Oferta!$A:$A,$A1244,Oferta!$E:$E,$E1244),$F1244)</f>
        <v/>
      </c>
      <c r="J1244" s="6" t="inlineStr">
        <is>
          <t>Informado</t>
        </is>
      </c>
      <c r="K1244" s="6" t="inlineStr">
        <is>
          <t>Demanda doméstica fixa informada pelo usuário.</t>
        </is>
      </c>
    </row>
    <row r="1245">
      <c r="A1245" s="6" t="inlineStr">
        <is>
          <t>Milho</t>
        </is>
      </c>
      <c r="B1245" s="6" t="inlineStr">
        <is>
          <t>Rio de Janeiro - RJ</t>
        </is>
      </c>
      <c r="C1245" s="6" t="n">
        <v>-22.9129</v>
      </c>
      <c r="D1245" s="6" t="n">
        <v>-43.2003</v>
      </c>
      <c r="E1245" s="6" t="inlineStr">
        <is>
          <t>2024-08</t>
        </is>
      </c>
      <c r="F1245" s="6" t="n">
        <v>299889.5894148313</v>
      </c>
      <c r="G1245" s="6" t="inlineStr">
        <is>
          <t>DOMESTICA</t>
        </is>
      </c>
      <c r="H1245" s="6" t="inlineStr">
        <is>
          <t>FIXO</t>
        </is>
      </c>
      <c r="I1245" s="11">
        <f>IF($H1245="AUTO_OFERTA_TOTAL_PRODUTO_PERIODO",SUMIFS(Oferta!$F:$F,Oferta!$A:$A,$A1245,Oferta!$E:$E,$E1245),$F1245)</f>
        <v/>
      </c>
      <c r="J1245" s="6" t="inlineStr">
        <is>
          <t>Informado</t>
        </is>
      </c>
      <c r="K1245" s="6" t="inlineStr">
        <is>
          <t>Demanda doméstica fixa informada pelo usuário.</t>
        </is>
      </c>
    </row>
    <row r="1246">
      <c r="A1246" s="6" t="inlineStr">
        <is>
          <t>Milho</t>
        </is>
      </c>
      <c r="B1246" s="6" t="inlineStr">
        <is>
          <t>Rio de Janeiro - RJ</t>
        </is>
      </c>
      <c r="C1246" s="6" t="n">
        <v>-22.9129</v>
      </c>
      <c r="D1246" s="6" t="n">
        <v>-43.2003</v>
      </c>
      <c r="E1246" s="6" t="inlineStr">
        <is>
          <t>2024-09</t>
        </is>
      </c>
      <c r="F1246" s="6" t="n">
        <v>299889.5894148313</v>
      </c>
      <c r="G1246" s="6" t="inlineStr">
        <is>
          <t>DOMESTICA</t>
        </is>
      </c>
      <c r="H1246" s="6" t="inlineStr">
        <is>
          <t>FIXO</t>
        </is>
      </c>
      <c r="I1246" s="11">
        <f>IF($H1246="AUTO_OFERTA_TOTAL_PRODUTO_PERIODO",SUMIFS(Oferta!$F:$F,Oferta!$A:$A,$A1246,Oferta!$E:$E,$E1246),$F1246)</f>
        <v/>
      </c>
      <c r="J1246" s="6" t="inlineStr">
        <is>
          <t>Informado</t>
        </is>
      </c>
      <c r="K1246" s="6" t="inlineStr">
        <is>
          <t>Demanda doméstica fixa informada pelo usuário.</t>
        </is>
      </c>
    </row>
    <row r="1247">
      <c r="A1247" s="6" t="inlineStr">
        <is>
          <t>Milho</t>
        </is>
      </c>
      <c r="B1247" s="6" t="inlineStr">
        <is>
          <t>Rio de Janeiro - RJ</t>
        </is>
      </c>
      <c r="C1247" s="6" t="n">
        <v>-22.9129</v>
      </c>
      <c r="D1247" s="6" t="n">
        <v>-43.2003</v>
      </c>
      <c r="E1247" s="6" t="inlineStr">
        <is>
          <t>2024-10</t>
        </is>
      </c>
      <c r="F1247" s="6" t="n">
        <v>263812.6463273328</v>
      </c>
      <c r="G1247" s="6" t="inlineStr">
        <is>
          <t>DOMESTICA</t>
        </is>
      </c>
      <c r="H1247" s="6" t="inlineStr">
        <is>
          <t>FIXO</t>
        </is>
      </c>
      <c r="I1247" s="11">
        <f>IF($H1247="AUTO_OFERTA_TOTAL_PRODUTO_PERIODO",SUMIFS(Oferta!$F:$F,Oferta!$A:$A,$A1247,Oferta!$E:$E,$E1247),$F1247)</f>
        <v/>
      </c>
      <c r="J1247" s="6" t="inlineStr">
        <is>
          <t>Informado</t>
        </is>
      </c>
      <c r="K1247" s="6" t="inlineStr">
        <is>
          <t>Demanda doméstica fixa informada pelo usuário.</t>
        </is>
      </c>
    </row>
    <row r="1248">
      <c r="A1248" s="6" t="inlineStr">
        <is>
          <t>Milho</t>
        </is>
      </c>
      <c r="B1248" s="6" t="inlineStr">
        <is>
          <t>Rio de Janeiro - RJ</t>
        </is>
      </c>
      <c r="C1248" s="6" t="n">
        <v>-22.9129</v>
      </c>
      <c r="D1248" s="6" t="n">
        <v>-43.2003</v>
      </c>
      <c r="E1248" s="6" t="inlineStr">
        <is>
          <t>2024-11</t>
        </is>
      </c>
      <c r="F1248" s="6" t="n">
        <v>155581.8170648373</v>
      </c>
      <c r="G1248" s="6" t="inlineStr">
        <is>
          <t>DOMESTICA</t>
        </is>
      </c>
      <c r="H1248" s="6" t="inlineStr">
        <is>
          <t>FIXO</t>
        </is>
      </c>
      <c r="I1248" s="11">
        <f>IF($H1248="AUTO_OFERTA_TOTAL_PRODUTO_PERIODO",SUMIFS(Oferta!$F:$F,Oferta!$A:$A,$A1248,Oferta!$E:$E,$E1248),$F1248)</f>
        <v/>
      </c>
      <c r="J1248" s="6" t="inlineStr">
        <is>
          <t>Informado</t>
        </is>
      </c>
      <c r="K1248" s="6" t="inlineStr">
        <is>
          <t>Demanda doméstica fixa informada pelo usuário.</t>
        </is>
      </c>
    </row>
    <row r="1249">
      <c r="A1249" s="6" t="inlineStr">
        <is>
          <t>Milho</t>
        </is>
      </c>
      <c r="B1249" s="6" t="inlineStr">
        <is>
          <t>Rio de Janeiro - RJ</t>
        </is>
      </c>
      <c r="C1249" s="6" t="n">
        <v>-22.9129</v>
      </c>
      <c r="D1249" s="6" t="n">
        <v>-43.2003</v>
      </c>
      <c r="E1249" s="6" t="inlineStr">
        <is>
          <t>2024-12</t>
        </is>
      </c>
      <c r="F1249" s="6" t="n">
        <v>119504.8739773388</v>
      </c>
      <c r="G1249" s="6" t="inlineStr">
        <is>
          <t>DOMESTICA</t>
        </is>
      </c>
      <c r="H1249" s="6" t="inlineStr">
        <is>
          <t>FIXO</t>
        </is>
      </c>
      <c r="I1249" s="11">
        <f>IF($H1249="AUTO_OFERTA_TOTAL_PRODUTO_PERIODO",SUMIFS(Oferta!$F:$F,Oferta!$A:$A,$A1249,Oferta!$E:$E,$E1249),$F1249)</f>
        <v/>
      </c>
      <c r="J1249" s="6" t="inlineStr">
        <is>
          <t>Informado</t>
        </is>
      </c>
      <c r="K1249" s="6" t="inlineStr">
        <is>
          <t>Demanda doméstica fixa informada pelo usuário.</t>
        </is>
      </c>
    </row>
    <row r="1250">
      <c r="A1250" s="6" t="inlineStr">
        <is>
          <t>Milho</t>
        </is>
      </c>
      <c r="B1250" s="6" t="inlineStr">
        <is>
          <t>São Paulo - SP</t>
        </is>
      </c>
      <c r="C1250" s="6" t="n">
        <v>-23.5329</v>
      </c>
      <c r="D1250" s="6" t="n">
        <v>-46.6395</v>
      </c>
      <c r="E1250" s="6" t="inlineStr">
        <is>
          <t>2024-01</t>
        </is>
      </c>
      <c r="F1250" s="6" t="n">
        <v>721062.9675699902</v>
      </c>
      <c r="G1250" s="6" t="inlineStr">
        <is>
          <t>DOMESTICA</t>
        </is>
      </c>
      <c r="H1250" s="6" t="inlineStr">
        <is>
          <t>FIXO</t>
        </is>
      </c>
      <c r="I1250" s="11">
        <f>IF($H1250="AUTO_OFERTA_TOTAL_PRODUTO_PERIODO",SUMIFS(Oferta!$F:$F,Oferta!$A:$A,$A1250,Oferta!$E:$E,$E1250),$F1250)</f>
        <v/>
      </c>
      <c r="J1250" s="6" t="inlineStr">
        <is>
          <t>Informado</t>
        </is>
      </c>
      <c r="K1250" s="6" t="inlineStr">
        <is>
          <t>Demanda doméstica fixa informada pelo usuário.</t>
        </is>
      </c>
    </row>
    <row r="1251">
      <c r="A1251" s="6" t="inlineStr">
        <is>
          <t>Milho</t>
        </is>
      </c>
      <c r="B1251" s="6" t="inlineStr">
        <is>
          <t>São Paulo - SP</t>
        </is>
      </c>
      <c r="C1251" s="6" t="n">
        <v>-23.5329</v>
      </c>
      <c r="D1251" s="6" t="n">
        <v>-46.6395</v>
      </c>
      <c r="E1251" s="6" t="inlineStr">
        <is>
          <t>2024-02</t>
        </is>
      </c>
      <c r="F1251" s="6" t="n">
        <v>938742.3540062136</v>
      </c>
      <c r="G1251" s="6" t="inlineStr">
        <is>
          <t>DOMESTICA</t>
        </is>
      </c>
      <c r="H1251" s="6" t="inlineStr">
        <is>
          <t>FIXO</t>
        </is>
      </c>
      <c r="I1251" s="11">
        <f>IF($H1251="AUTO_OFERTA_TOTAL_PRODUTO_PERIODO",SUMIFS(Oferta!$F:$F,Oferta!$A:$A,$A1251,Oferta!$E:$E,$E1251),$F1251)</f>
        <v/>
      </c>
      <c r="J1251" s="6" t="inlineStr">
        <is>
          <t>Informado</t>
        </is>
      </c>
      <c r="K1251" s="6" t="inlineStr">
        <is>
          <t>Demanda doméstica fixa informada pelo usuário.</t>
        </is>
      </c>
    </row>
    <row r="1252">
      <c r="A1252" s="6" t="inlineStr">
        <is>
          <t>Milho</t>
        </is>
      </c>
      <c r="B1252" s="6" t="inlineStr">
        <is>
          <t>São Paulo - SP</t>
        </is>
      </c>
      <c r="C1252" s="6" t="n">
        <v>-23.5329</v>
      </c>
      <c r="D1252" s="6" t="n">
        <v>-46.6395</v>
      </c>
      <c r="E1252" s="6" t="inlineStr">
        <is>
          <t>2024-03</t>
        </is>
      </c>
      <c r="F1252" s="6" t="n">
        <v>1156421.740442437</v>
      </c>
      <c r="G1252" s="6" t="inlineStr">
        <is>
          <t>DOMESTICA</t>
        </is>
      </c>
      <c r="H1252" s="6" t="inlineStr">
        <is>
          <t>FIXO</t>
        </is>
      </c>
      <c r="I1252" s="11">
        <f>IF($H1252="AUTO_OFERTA_TOTAL_PRODUTO_PERIODO",SUMIFS(Oferta!$F:$F,Oferta!$A:$A,$A1252,Oferta!$E:$E,$E1252),$F1252)</f>
        <v/>
      </c>
      <c r="J1252" s="6" t="inlineStr">
        <is>
          <t>Informado</t>
        </is>
      </c>
      <c r="K1252" s="6" t="inlineStr">
        <is>
          <t>Demanda doméstica fixa informada pelo usuário.</t>
        </is>
      </c>
    </row>
    <row r="1253">
      <c r="A1253" s="6" t="inlineStr">
        <is>
          <t>Milho</t>
        </is>
      </c>
      <c r="B1253" s="6" t="inlineStr">
        <is>
          <t>São Paulo - SP</t>
        </is>
      </c>
      <c r="C1253" s="6" t="n">
        <v>-23.5329</v>
      </c>
      <c r="D1253" s="6" t="n">
        <v>-46.6395</v>
      </c>
      <c r="E1253" s="6" t="inlineStr">
        <is>
          <t>2024-04</t>
        </is>
      </c>
      <c r="F1253" s="6" t="n">
        <v>1591780.513314884</v>
      </c>
      <c r="G1253" s="6" t="inlineStr">
        <is>
          <t>DOMESTICA</t>
        </is>
      </c>
      <c r="H1253" s="6" t="inlineStr">
        <is>
          <t>FIXO</t>
        </is>
      </c>
      <c r="I1253" s="11">
        <f>IF($H1253="AUTO_OFERTA_TOTAL_PRODUTO_PERIODO",SUMIFS(Oferta!$F:$F,Oferta!$A:$A,$A1253,Oferta!$E:$E,$E1253),$F1253)</f>
        <v/>
      </c>
      <c r="J1253" s="6" t="inlineStr">
        <is>
          <t>Informado</t>
        </is>
      </c>
      <c r="K1253" s="6" t="inlineStr">
        <is>
          <t>Demanda doméstica fixa informada pelo usuário.</t>
        </is>
      </c>
    </row>
    <row r="1254">
      <c r="A1254" s="6" t="inlineStr">
        <is>
          <t>Milho</t>
        </is>
      </c>
      <c r="B1254" s="6" t="inlineStr">
        <is>
          <t>São Paulo - SP</t>
        </is>
      </c>
      <c r="C1254" s="6" t="n">
        <v>-23.5329</v>
      </c>
      <c r="D1254" s="6" t="n">
        <v>-46.6395</v>
      </c>
      <c r="E1254" s="6" t="inlineStr">
        <is>
          <t>2024-05</t>
        </is>
      </c>
      <c r="F1254" s="6" t="n">
        <v>1809459.899751108</v>
      </c>
      <c r="G1254" s="6" t="inlineStr">
        <is>
          <t>DOMESTICA</t>
        </is>
      </c>
      <c r="H1254" s="6" t="inlineStr">
        <is>
          <t>FIXO</t>
        </is>
      </c>
      <c r="I1254" s="11">
        <f>IF($H1254="AUTO_OFERTA_TOTAL_PRODUTO_PERIODO",SUMIFS(Oferta!$F:$F,Oferta!$A:$A,$A1254,Oferta!$E:$E,$E1254),$F1254)</f>
        <v/>
      </c>
      <c r="J1254" s="6" t="inlineStr">
        <is>
          <t>Informado</t>
        </is>
      </c>
      <c r="K1254" s="6" t="inlineStr">
        <is>
          <t>Demanda doméstica fixa informada pelo usuário.</t>
        </is>
      </c>
    </row>
    <row r="1255">
      <c r="A1255" s="6" t="inlineStr">
        <is>
          <t>Milho</t>
        </is>
      </c>
      <c r="B1255" s="6" t="inlineStr">
        <is>
          <t>São Paulo - SP</t>
        </is>
      </c>
      <c r="C1255" s="6" t="n">
        <v>-23.5329</v>
      </c>
      <c r="D1255" s="6" t="n">
        <v>-46.6395</v>
      </c>
      <c r="E1255" s="6" t="inlineStr">
        <is>
          <t>2024-06</t>
        </is>
      </c>
      <c r="F1255" s="6" t="n">
        <v>2027139.286187331</v>
      </c>
      <c r="G1255" s="6" t="inlineStr">
        <is>
          <t>DOMESTICA</t>
        </is>
      </c>
      <c r="H1255" s="6" t="inlineStr">
        <is>
          <t>FIXO</t>
        </is>
      </c>
      <c r="I1255" s="11">
        <f>IF($H1255="AUTO_OFERTA_TOTAL_PRODUTO_PERIODO",SUMIFS(Oferta!$F:$F,Oferta!$A:$A,$A1255,Oferta!$E:$E,$E1255),$F1255)</f>
        <v/>
      </c>
      <c r="J1255" s="6" t="inlineStr">
        <is>
          <t>Informado</t>
        </is>
      </c>
      <c r="K1255" s="6" t="inlineStr">
        <is>
          <t>Demanda doméstica fixa informada pelo usuário.</t>
        </is>
      </c>
    </row>
    <row r="1256">
      <c r="A1256" s="6" t="inlineStr">
        <is>
          <t>Milho</t>
        </is>
      </c>
      <c r="B1256" s="6" t="inlineStr">
        <is>
          <t>São Paulo - SP</t>
        </is>
      </c>
      <c r="C1256" s="6" t="n">
        <v>-23.5329</v>
      </c>
      <c r="D1256" s="6" t="n">
        <v>-46.6395</v>
      </c>
      <c r="E1256" s="6" t="inlineStr">
        <is>
          <t>2024-07</t>
        </is>
      </c>
      <c r="F1256" s="6" t="n">
        <v>2027139.286187331</v>
      </c>
      <c r="G1256" s="6" t="inlineStr">
        <is>
          <t>DOMESTICA</t>
        </is>
      </c>
      <c r="H1256" s="6" t="inlineStr">
        <is>
          <t>FIXO</t>
        </is>
      </c>
      <c r="I1256" s="11">
        <f>IF($H1256="AUTO_OFERTA_TOTAL_PRODUTO_PERIODO",SUMIFS(Oferta!$F:$F,Oferta!$A:$A,$A1256,Oferta!$E:$E,$E1256),$F1256)</f>
        <v/>
      </c>
      <c r="J1256" s="6" t="inlineStr">
        <is>
          <t>Informado</t>
        </is>
      </c>
      <c r="K1256" s="6" t="inlineStr">
        <is>
          <t>Demanda doméstica fixa informada pelo usuário.</t>
        </is>
      </c>
    </row>
    <row r="1257">
      <c r="A1257" s="6" t="inlineStr">
        <is>
          <t>Milho</t>
        </is>
      </c>
      <c r="B1257" s="6" t="inlineStr">
        <is>
          <t>São Paulo - SP</t>
        </is>
      </c>
      <c r="C1257" s="6" t="n">
        <v>-23.5329</v>
      </c>
      <c r="D1257" s="6" t="n">
        <v>-46.6395</v>
      </c>
      <c r="E1257" s="6" t="inlineStr">
        <is>
          <t>2024-08</t>
        </is>
      </c>
      <c r="F1257" s="6" t="n">
        <v>2244818.672623554</v>
      </c>
      <c r="G1257" s="6" t="inlineStr">
        <is>
          <t>DOMESTICA</t>
        </is>
      </c>
      <c r="H1257" s="6" t="inlineStr">
        <is>
          <t>FIXO</t>
        </is>
      </c>
      <c r="I1257" s="11">
        <f>IF($H1257="AUTO_OFERTA_TOTAL_PRODUTO_PERIODO",SUMIFS(Oferta!$F:$F,Oferta!$A:$A,$A1257,Oferta!$E:$E,$E1257),$F1257)</f>
        <v/>
      </c>
      <c r="J1257" s="6" t="inlineStr">
        <is>
          <t>Informado</t>
        </is>
      </c>
      <c r="K1257" s="6" t="inlineStr">
        <is>
          <t>Demanda doméstica fixa informada pelo usuário.</t>
        </is>
      </c>
    </row>
    <row r="1258">
      <c r="A1258" s="6" t="inlineStr">
        <is>
          <t>Milho</t>
        </is>
      </c>
      <c r="B1258" s="6" t="inlineStr">
        <is>
          <t>São Paulo - SP</t>
        </is>
      </c>
      <c r="C1258" s="6" t="n">
        <v>-23.5329</v>
      </c>
      <c r="D1258" s="6" t="n">
        <v>-46.6395</v>
      </c>
      <c r="E1258" s="6" t="inlineStr">
        <is>
          <t>2024-09</t>
        </is>
      </c>
      <c r="F1258" s="6" t="n">
        <v>2244818.672623554</v>
      </c>
      <c r="G1258" s="6" t="inlineStr">
        <is>
          <t>DOMESTICA</t>
        </is>
      </c>
      <c r="H1258" s="6" t="inlineStr">
        <is>
          <t>FIXO</t>
        </is>
      </c>
      <c r="I1258" s="11">
        <f>IF($H1258="AUTO_OFERTA_TOTAL_PRODUTO_PERIODO",SUMIFS(Oferta!$F:$F,Oferta!$A:$A,$A1258,Oferta!$E:$E,$E1258),$F1258)</f>
        <v/>
      </c>
      <c r="J1258" s="6" t="inlineStr">
        <is>
          <t>Informado</t>
        </is>
      </c>
      <c r="K1258" s="6" t="inlineStr">
        <is>
          <t>Demanda doméstica fixa informada pelo usuário.</t>
        </is>
      </c>
    </row>
    <row r="1259">
      <c r="A1259" s="6" t="inlineStr">
        <is>
          <t>Milho</t>
        </is>
      </c>
      <c r="B1259" s="6" t="inlineStr">
        <is>
          <t>São Paulo - SP</t>
        </is>
      </c>
      <c r="C1259" s="6" t="n">
        <v>-23.5329</v>
      </c>
      <c r="D1259" s="6" t="n">
        <v>-46.6395</v>
      </c>
      <c r="E1259" s="6" t="inlineStr">
        <is>
          <t>2024-10</t>
        </is>
      </c>
      <c r="F1259" s="6" t="n">
        <v>2027139.286187331</v>
      </c>
      <c r="G1259" s="6" t="inlineStr">
        <is>
          <t>DOMESTICA</t>
        </is>
      </c>
      <c r="H1259" s="6" t="inlineStr">
        <is>
          <t>FIXO</t>
        </is>
      </c>
      <c r="I1259" s="11">
        <f>IF($H1259="AUTO_OFERTA_TOTAL_PRODUTO_PERIODO",SUMIFS(Oferta!$F:$F,Oferta!$A:$A,$A1259,Oferta!$E:$E,$E1259),$F1259)</f>
        <v/>
      </c>
      <c r="J1259" s="6" t="inlineStr">
        <is>
          <t>Informado</t>
        </is>
      </c>
      <c r="K1259" s="6" t="inlineStr">
        <is>
          <t>Demanda doméstica fixa informada pelo usuário.</t>
        </is>
      </c>
    </row>
    <row r="1260">
      <c r="A1260" s="6" t="inlineStr">
        <is>
          <t>Milho</t>
        </is>
      </c>
      <c r="B1260" s="6" t="inlineStr">
        <is>
          <t>São Paulo - SP</t>
        </is>
      </c>
      <c r="C1260" s="6" t="n">
        <v>-23.5329</v>
      </c>
      <c r="D1260" s="6" t="n">
        <v>-46.6395</v>
      </c>
      <c r="E1260" s="6" t="inlineStr">
        <is>
          <t>2024-11</t>
        </is>
      </c>
      <c r="F1260" s="6" t="n">
        <v>1374101.126878661</v>
      </c>
      <c r="G1260" s="6" t="inlineStr">
        <is>
          <t>DOMESTICA</t>
        </is>
      </c>
      <c r="H1260" s="6" t="inlineStr">
        <is>
          <t>FIXO</t>
        </is>
      </c>
      <c r="I1260" s="11">
        <f>IF($H1260="AUTO_OFERTA_TOTAL_PRODUTO_PERIODO",SUMIFS(Oferta!$F:$F,Oferta!$A:$A,$A1260,Oferta!$E:$E,$E1260),$F1260)</f>
        <v/>
      </c>
      <c r="J1260" s="6" t="inlineStr">
        <is>
          <t>Informado</t>
        </is>
      </c>
      <c r="K1260" s="6" t="inlineStr">
        <is>
          <t>Demanda doméstica fixa informada pelo usuário.</t>
        </is>
      </c>
    </row>
    <row r="1261">
      <c r="A1261" s="6" t="inlineStr">
        <is>
          <t>Milho</t>
        </is>
      </c>
      <c r="B1261" s="6" t="inlineStr">
        <is>
          <t>São Paulo - SP</t>
        </is>
      </c>
      <c r="C1261" s="6" t="n">
        <v>-23.5329</v>
      </c>
      <c r="D1261" s="6" t="n">
        <v>-46.6395</v>
      </c>
      <c r="E1261" s="6" t="inlineStr">
        <is>
          <t>2024-12</t>
        </is>
      </c>
      <c r="F1261" s="6" t="n">
        <v>938742.3540062136</v>
      </c>
      <c r="G1261" s="6" t="inlineStr">
        <is>
          <t>DOMESTICA</t>
        </is>
      </c>
      <c r="H1261" s="6" t="inlineStr">
        <is>
          <t>FIXO</t>
        </is>
      </c>
      <c r="I1261" s="11">
        <f>IF($H1261="AUTO_OFERTA_TOTAL_PRODUTO_PERIODO",SUMIFS(Oferta!$F:$F,Oferta!$A:$A,$A1261,Oferta!$E:$E,$E1261),$F1261)</f>
        <v/>
      </c>
      <c r="J1261" s="6" t="inlineStr">
        <is>
          <t>Informado</t>
        </is>
      </c>
      <c r="K1261" s="6" t="inlineStr">
        <is>
          <t>Demanda doméstica fixa informada pelo usuário.</t>
        </is>
      </c>
    </row>
    <row r="1262">
      <c r="A1262" s="6" t="inlineStr">
        <is>
          <t>Milho</t>
        </is>
      </c>
      <c r="B1262" s="6" t="inlineStr">
        <is>
          <t>Curitiba - PR</t>
        </is>
      </c>
      <c r="C1262" s="6" t="n">
        <v>-25.4195</v>
      </c>
      <c r="D1262" s="6" t="n">
        <v>-49.2646</v>
      </c>
      <c r="E1262" s="6" t="inlineStr">
        <is>
          <t>2024-01</t>
        </is>
      </c>
      <c r="F1262" s="6" t="n">
        <v>445755.5418598087</v>
      </c>
      <c r="G1262" s="6" t="inlineStr">
        <is>
          <t>DOMESTICA</t>
        </is>
      </c>
      <c r="H1262" s="6" t="inlineStr">
        <is>
          <t>FIXO</t>
        </is>
      </c>
      <c r="I1262" s="11">
        <f>IF($H1262="AUTO_OFERTA_TOTAL_PRODUTO_PERIODO",SUMIFS(Oferta!$F:$F,Oferta!$A:$A,$A1262,Oferta!$E:$E,$E1262),$F1262)</f>
        <v/>
      </c>
      <c r="J1262" s="6" t="inlineStr">
        <is>
          <t>Informado</t>
        </is>
      </c>
      <c r="K1262" s="6" t="inlineStr">
        <is>
          <t>Demanda doméstica fixa informada pelo usuário.</t>
        </is>
      </c>
    </row>
    <row r="1263">
      <c r="A1263" s="6" t="inlineStr">
        <is>
          <t>Milho</t>
        </is>
      </c>
      <c r="B1263" s="6" t="inlineStr">
        <is>
          <t>Curitiba - PR</t>
        </is>
      </c>
      <c r="C1263" s="6" t="n">
        <v>-25.4195</v>
      </c>
      <c r="D1263" s="6" t="n">
        <v>-49.2646</v>
      </c>
      <c r="E1263" s="6" t="inlineStr">
        <is>
          <t>2024-02</t>
        </is>
      </c>
      <c r="F1263" s="6" t="n">
        <v>497437.3438145692</v>
      </c>
      <c r="G1263" s="6" t="inlineStr">
        <is>
          <t>DOMESTICA</t>
        </is>
      </c>
      <c r="H1263" s="6" t="inlineStr">
        <is>
          <t>FIXO</t>
        </is>
      </c>
      <c r="I1263" s="11">
        <f>IF($H1263="AUTO_OFERTA_TOTAL_PRODUTO_PERIODO",SUMIFS(Oferta!$F:$F,Oferta!$A:$A,$A1263,Oferta!$E:$E,$E1263),$F1263)</f>
        <v/>
      </c>
      <c r="J1263" s="6" t="inlineStr">
        <is>
          <t>Informado</t>
        </is>
      </c>
      <c r="K1263" s="6" t="inlineStr">
        <is>
          <t>Demanda doméstica fixa informada pelo usuário.</t>
        </is>
      </c>
    </row>
    <row r="1264">
      <c r="A1264" s="6" t="inlineStr">
        <is>
          <t>Milho</t>
        </is>
      </c>
      <c r="B1264" s="6" t="inlineStr">
        <is>
          <t>Curitiba - PR</t>
        </is>
      </c>
      <c r="C1264" s="6" t="n">
        <v>-25.4195</v>
      </c>
      <c r="D1264" s="6" t="n">
        <v>-49.2646</v>
      </c>
      <c r="E1264" s="6" t="inlineStr">
        <is>
          <t>2024-03</t>
        </is>
      </c>
      <c r="F1264" s="6" t="n">
        <v>600800.9477240901</v>
      </c>
      <c r="G1264" s="6" t="inlineStr">
        <is>
          <t>DOMESTICA</t>
        </is>
      </c>
      <c r="H1264" s="6" t="inlineStr">
        <is>
          <t>FIXO</t>
        </is>
      </c>
      <c r="I1264" s="11">
        <f>IF($H1264="AUTO_OFERTA_TOTAL_PRODUTO_PERIODO",SUMIFS(Oferta!$F:$F,Oferta!$A:$A,$A1264,Oferta!$E:$E,$E1264),$F1264)</f>
        <v/>
      </c>
      <c r="J1264" s="6" t="inlineStr">
        <is>
          <t>Informado</t>
        </is>
      </c>
      <c r="K1264" s="6" t="inlineStr">
        <is>
          <t>Demanda doméstica fixa informada pelo usuário.</t>
        </is>
      </c>
    </row>
    <row r="1265">
      <c r="A1265" s="6" t="inlineStr">
        <is>
          <t>Milho</t>
        </is>
      </c>
      <c r="B1265" s="6" t="inlineStr">
        <is>
          <t>Curitiba - PR</t>
        </is>
      </c>
      <c r="C1265" s="6" t="n">
        <v>-25.4195</v>
      </c>
      <c r="D1265" s="6" t="n">
        <v>-49.2646</v>
      </c>
      <c r="E1265" s="6" t="inlineStr">
        <is>
          <t>2024-04</t>
        </is>
      </c>
      <c r="F1265" s="6" t="n">
        <v>755846.3535883712</v>
      </c>
      <c r="G1265" s="6" t="inlineStr">
        <is>
          <t>DOMESTICA</t>
        </is>
      </c>
      <c r="H1265" s="6" t="inlineStr">
        <is>
          <t>FIXO</t>
        </is>
      </c>
      <c r="I1265" s="11">
        <f>IF($H1265="AUTO_OFERTA_TOTAL_PRODUTO_PERIODO",SUMIFS(Oferta!$F:$F,Oferta!$A:$A,$A1265,Oferta!$E:$E,$E1265),$F1265)</f>
        <v/>
      </c>
      <c r="J1265" s="6" t="inlineStr">
        <is>
          <t>Informado</t>
        </is>
      </c>
      <c r="K1265" s="6" t="inlineStr">
        <is>
          <t>Demanda doméstica fixa informada pelo usuário.</t>
        </is>
      </c>
    </row>
    <row r="1266">
      <c r="A1266" s="6" t="inlineStr">
        <is>
          <t>Milho</t>
        </is>
      </c>
      <c r="B1266" s="6" t="inlineStr">
        <is>
          <t>Curitiba - PR</t>
        </is>
      </c>
      <c r="C1266" s="6" t="n">
        <v>-25.4195</v>
      </c>
      <c r="D1266" s="6" t="n">
        <v>-49.2646</v>
      </c>
      <c r="E1266" s="6" t="inlineStr">
        <is>
          <t>2024-05</t>
        </is>
      </c>
      <c r="F1266" s="6" t="n">
        <v>859209.9574978922</v>
      </c>
      <c r="G1266" s="6" t="inlineStr">
        <is>
          <t>DOMESTICA</t>
        </is>
      </c>
      <c r="H1266" s="6" t="inlineStr">
        <is>
          <t>FIXO</t>
        </is>
      </c>
      <c r="I1266" s="11">
        <f>IF($H1266="AUTO_OFERTA_TOTAL_PRODUTO_PERIODO",SUMIFS(Oferta!$F:$F,Oferta!$A:$A,$A1266,Oferta!$E:$E,$E1266),$F1266)</f>
        <v/>
      </c>
      <c r="J1266" s="6" t="inlineStr">
        <is>
          <t>Informado</t>
        </is>
      </c>
      <c r="K1266" s="6" t="inlineStr">
        <is>
          <t>Demanda doméstica fixa informada pelo usuário.</t>
        </is>
      </c>
    </row>
    <row r="1267">
      <c r="A1267" s="6" t="inlineStr">
        <is>
          <t>Milho</t>
        </is>
      </c>
      <c r="B1267" s="6" t="inlineStr">
        <is>
          <t>Curitiba - PR</t>
        </is>
      </c>
      <c r="C1267" s="6" t="n">
        <v>-25.4195</v>
      </c>
      <c r="D1267" s="6" t="n">
        <v>-49.2646</v>
      </c>
      <c r="E1267" s="6" t="inlineStr">
        <is>
          <t>2024-06</t>
        </is>
      </c>
      <c r="F1267" s="6" t="n">
        <v>910891.7594526528</v>
      </c>
      <c r="G1267" s="6" t="inlineStr">
        <is>
          <t>DOMESTICA</t>
        </is>
      </c>
      <c r="H1267" s="6" t="inlineStr">
        <is>
          <t>FIXO</t>
        </is>
      </c>
      <c r="I1267" s="11">
        <f>IF($H1267="AUTO_OFERTA_TOTAL_PRODUTO_PERIODO",SUMIFS(Oferta!$F:$F,Oferta!$A:$A,$A1267,Oferta!$E:$E,$E1267),$F1267)</f>
        <v/>
      </c>
      <c r="J1267" s="6" t="inlineStr">
        <is>
          <t>Informado</t>
        </is>
      </c>
      <c r="K1267" s="6" t="inlineStr">
        <is>
          <t>Demanda doméstica fixa informada pelo usuário.</t>
        </is>
      </c>
    </row>
    <row r="1268">
      <c r="A1268" s="6" t="inlineStr">
        <is>
          <t>Milho</t>
        </is>
      </c>
      <c r="B1268" s="6" t="inlineStr">
        <is>
          <t>Curitiba - PR</t>
        </is>
      </c>
      <c r="C1268" s="6" t="n">
        <v>-25.4195</v>
      </c>
      <c r="D1268" s="6" t="n">
        <v>-49.2646</v>
      </c>
      <c r="E1268" s="6" t="inlineStr">
        <is>
          <t>2024-07</t>
        </is>
      </c>
      <c r="F1268" s="6" t="n">
        <v>859209.9574978922</v>
      </c>
      <c r="G1268" s="6" t="inlineStr">
        <is>
          <t>DOMESTICA</t>
        </is>
      </c>
      <c r="H1268" s="6" t="inlineStr">
        <is>
          <t>FIXO</t>
        </is>
      </c>
      <c r="I1268" s="11">
        <f>IF($H1268="AUTO_OFERTA_TOTAL_PRODUTO_PERIODO",SUMIFS(Oferta!$F:$F,Oferta!$A:$A,$A1268,Oferta!$E:$E,$E1268),$F1268)</f>
        <v/>
      </c>
      <c r="J1268" s="6" t="inlineStr">
        <is>
          <t>Informado</t>
        </is>
      </c>
      <c r="K1268" s="6" t="inlineStr">
        <is>
          <t>Demanda doméstica fixa informada pelo usuário.</t>
        </is>
      </c>
    </row>
    <row r="1269">
      <c r="A1269" s="6" t="inlineStr">
        <is>
          <t>Milho</t>
        </is>
      </c>
      <c r="B1269" s="6" t="inlineStr">
        <is>
          <t>Curitiba - PR</t>
        </is>
      </c>
      <c r="C1269" s="6" t="n">
        <v>-25.4195</v>
      </c>
      <c r="D1269" s="6" t="n">
        <v>-49.2646</v>
      </c>
      <c r="E1269" s="6" t="inlineStr">
        <is>
          <t>2024-08</t>
        </is>
      </c>
      <c r="F1269" s="6" t="n">
        <v>755846.3535883712</v>
      </c>
      <c r="G1269" s="6" t="inlineStr">
        <is>
          <t>DOMESTICA</t>
        </is>
      </c>
      <c r="H1269" s="6" t="inlineStr">
        <is>
          <t>FIXO</t>
        </is>
      </c>
      <c r="I1269" s="11">
        <f>IF($H1269="AUTO_OFERTA_TOTAL_PRODUTO_PERIODO",SUMIFS(Oferta!$F:$F,Oferta!$A:$A,$A1269,Oferta!$E:$E,$E1269),$F1269)</f>
        <v/>
      </c>
      <c r="J1269" s="6" t="inlineStr">
        <is>
          <t>Informado</t>
        </is>
      </c>
      <c r="K1269" s="6" t="inlineStr">
        <is>
          <t>Demanda doméstica fixa informada pelo usuário.</t>
        </is>
      </c>
    </row>
    <row r="1270">
      <c r="A1270" s="6" t="inlineStr">
        <is>
          <t>Milho</t>
        </is>
      </c>
      <c r="B1270" s="6" t="inlineStr">
        <is>
          <t>Curitiba - PR</t>
        </is>
      </c>
      <c r="C1270" s="6" t="n">
        <v>-25.4195</v>
      </c>
      <c r="D1270" s="6" t="n">
        <v>-49.2646</v>
      </c>
      <c r="E1270" s="6" t="inlineStr">
        <is>
          <t>2024-09</t>
        </is>
      </c>
      <c r="F1270" s="6" t="n">
        <v>704164.5516336109</v>
      </c>
      <c r="G1270" s="6" t="inlineStr">
        <is>
          <t>DOMESTICA</t>
        </is>
      </c>
      <c r="H1270" s="6" t="inlineStr">
        <is>
          <t>FIXO</t>
        </is>
      </c>
      <c r="I1270" s="11">
        <f>IF($H1270="AUTO_OFERTA_TOTAL_PRODUTO_PERIODO",SUMIFS(Oferta!$F:$F,Oferta!$A:$A,$A1270,Oferta!$E:$E,$E1270),$F1270)</f>
        <v/>
      </c>
      <c r="J1270" s="6" t="inlineStr">
        <is>
          <t>Informado</t>
        </is>
      </c>
      <c r="K1270" s="6" t="inlineStr">
        <is>
          <t>Demanda doméstica fixa informada pelo usuário.</t>
        </is>
      </c>
    </row>
    <row r="1271">
      <c r="A1271" s="6" t="inlineStr">
        <is>
          <t>Milho</t>
        </is>
      </c>
      <c r="B1271" s="6" t="inlineStr">
        <is>
          <t>Curitiba - PR</t>
        </is>
      </c>
      <c r="C1271" s="6" t="n">
        <v>-25.4195</v>
      </c>
      <c r="D1271" s="6" t="n">
        <v>-49.2646</v>
      </c>
      <c r="E1271" s="6" t="inlineStr">
        <is>
          <t>2024-10</t>
        </is>
      </c>
      <c r="F1271" s="6" t="n">
        <v>859209.9574978922</v>
      </c>
      <c r="G1271" s="6" t="inlineStr">
        <is>
          <t>DOMESTICA</t>
        </is>
      </c>
      <c r="H1271" s="6" t="inlineStr">
        <is>
          <t>FIXO</t>
        </is>
      </c>
      <c r="I1271" s="11">
        <f>IF($H1271="AUTO_OFERTA_TOTAL_PRODUTO_PERIODO",SUMIFS(Oferta!$F:$F,Oferta!$A:$A,$A1271,Oferta!$E:$E,$E1271),$F1271)</f>
        <v/>
      </c>
      <c r="J1271" s="6" t="inlineStr">
        <is>
          <t>Informado</t>
        </is>
      </c>
      <c r="K1271" s="6" t="inlineStr">
        <is>
          <t>Demanda doméstica fixa informada pelo usuário.</t>
        </is>
      </c>
    </row>
    <row r="1272">
      <c r="A1272" s="6" t="inlineStr">
        <is>
          <t>Milho</t>
        </is>
      </c>
      <c r="B1272" s="6" t="inlineStr">
        <is>
          <t>Curitiba - PR</t>
        </is>
      </c>
      <c r="C1272" s="6" t="n">
        <v>-25.4195</v>
      </c>
      <c r="D1272" s="6" t="n">
        <v>-49.2646</v>
      </c>
      <c r="E1272" s="6" t="inlineStr">
        <is>
          <t>2024-11</t>
        </is>
      </c>
      <c r="F1272" s="6" t="n">
        <v>807528.1555431318</v>
      </c>
      <c r="G1272" s="6" t="inlineStr">
        <is>
          <t>DOMESTICA</t>
        </is>
      </c>
      <c r="H1272" s="6" t="inlineStr">
        <is>
          <t>FIXO</t>
        </is>
      </c>
      <c r="I1272" s="11">
        <f>IF($H1272="AUTO_OFERTA_TOTAL_PRODUTO_PERIODO",SUMIFS(Oferta!$F:$F,Oferta!$A:$A,$A1272,Oferta!$E:$E,$E1272),$F1272)</f>
        <v/>
      </c>
      <c r="J1272" s="6" t="inlineStr">
        <is>
          <t>Informado</t>
        </is>
      </c>
      <c r="K1272" s="6" t="inlineStr">
        <is>
          <t>Demanda doméstica fixa informada pelo usuário.</t>
        </is>
      </c>
    </row>
    <row r="1273">
      <c r="A1273" s="6" t="inlineStr">
        <is>
          <t>Milho</t>
        </is>
      </c>
      <c r="B1273" s="6" t="inlineStr">
        <is>
          <t>Curitiba - PR</t>
        </is>
      </c>
      <c r="C1273" s="6" t="n">
        <v>-25.4195</v>
      </c>
      <c r="D1273" s="6" t="n">
        <v>-49.2646</v>
      </c>
      <c r="E1273" s="6" t="inlineStr">
        <is>
          <t>2024-12</t>
        </is>
      </c>
      <c r="F1273" s="6" t="n">
        <v>704164.5516336109</v>
      </c>
      <c r="G1273" s="6" t="inlineStr">
        <is>
          <t>DOMESTICA</t>
        </is>
      </c>
      <c r="H1273" s="6" t="inlineStr">
        <is>
          <t>FIXO</t>
        </is>
      </c>
      <c r="I1273" s="11">
        <f>IF($H1273="AUTO_OFERTA_TOTAL_PRODUTO_PERIODO",SUMIFS(Oferta!$F:$F,Oferta!$A:$A,$A1273,Oferta!$E:$E,$E1273),$F1273)</f>
        <v/>
      </c>
      <c r="J1273" s="6" t="inlineStr">
        <is>
          <t>Informado</t>
        </is>
      </c>
      <c r="K1273" s="6" t="inlineStr">
        <is>
          <t>Demanda doméstica fixa informada pelo usuário.</t>
        </is>
      </c>
    </row>
    <row r="1274">
      <c r="A1274" s="6" t="inlineStr">
        <is>
          <t>Milho</t>
        </is>
      </c>
      <c r="B1274" s="6" t="inlineStr">
        <is>
          <t>Florianópolis - SC</t>
        </is>
      </c>
      <c r="C1274" s="6" t="n">
        <v>-27.5945</v>
      </c>
      <c r="D1274" s="6" t="n">
        <v>-48.5477</v>
      </c>
      <c r="E1274" s="6" t="inlineStr">
        <is>
          <t>2024-01</t>
        </is>
      </c>
      <c r="F1274" s="6" t="n">
        <v>190077.8279959347</v>
      </c>
      <c r="G1274" s="6" t="inlineStr">
        <is>
          <t>DOMESTICA</t>
        </is>
      </c>
      <c r="H1274" s="6" t="inlineStr">
        <is>
          <t>FIXO</t>
        </is>
      </c>
      <c r="I1274" s="11">
        <f>IF($H1274="AUTO_OFERTA_TOTAL_PRODUTO_PERIODO",SUMIFS(Oferta!$F:$F,Oferta!$A:$A,$A1274,Oferta!$E:$E,$E1274),$F1274)</f>
        <v/>
      </c>
      <c r="J1274" s="6" t="inlineStr">
        <is>
          <t>Informado</t>
        </is>
      </c>
      <c r="K1274" s="6" t="inlineStr">
        <is>
          <t>Demanda doméstica fixa informada pelo usuário.</t>
        </is>
      </c>
    </row>
    <row r="1275">
      <c r="A1275" s="6" t="inlineStr">
        <is>
          <t>Milho</t>
        </is>
      </c>
      <c r="B1275" s="6" t="inlineStr">
        <is>
          <t>Florianópolis - SC</t>
        </is>
      </c>
      <c r="C1275" s="6" t="n">
        <v>-27.5945</v>
      </c>
      <c r="D1275" s="6" t="n">
        <v>-48.5477</v>
      </c>
      <c r="E1275" s="6" t="inlineStr">
        <is>
          <t>2024-02</t>
        </is>
      </c>
      <c r="F1275" s="6" t="n">
        <v>239934.3074702783</v>
      </c>
      <c r="G1275" s="6" t="inlineStr">
        <is>
          <t>DOMESTICA</t>
        </is>
      </c>
      <c r="H1275" s="6" t="inlineStr">
        <is>
          <t>FIXO</t>
        </is>
      </c>
      <c r="I1275" s="11">
        <f>IF($H1275="AUTO_OFERTA_TOTAL_PRODUTO_PERIODO",SUMIFS(Oferta!$F:$F,Oferta!$A:$A,$A1275,Oferta!$E:$E,$E1275),$F1275)</f>
        <v/>
      </c>
      <c r="J1275" s="6" t="inlineStr">
        <is>
          <t>Informado</t>
        </is>
      </c>
      <c r="K1275" s="6" t="inlineStr">
        <is>
          <t>Demanda doméstica fixa informada pelo usuário.</t>
        </is>
      </c>
    </row>
    <row r="1276">
      <c r="A1276" s="6" t="inlineStr">
        <is>
          <t>Milho</t>
        </is>
      </c>
      <c r="B1276" s="6" t="inlineStr">
        <is>
          <t>Florianópolis - SC</t>
        </is>
      </c>
      <c r="C1276" s="6" t="n">
        <v>-27.5945</v>
      </c>
      <c r="D1276" s="6" t="n">
        <v>-48.5477</v>
      </c>
      <c r="E1276" s="6" t="inlineStr">
        <is>
          <t>2024-03</t>
        </is>
      </c>
      <c r="F1276" s="6" t="n">
        <v>289790.7869446219</v>
      </c>
      <c r="G1276" s="6" t="inlineStr">
        <is>
          <t>DOMESTICA</t>
        </is>
      </c>
      <c r="H1276" s="6" t="inlineStr">
        <is>
          <t>FIXO</t>
        </is>
      </c>
      <c r="I1276" s="11">
        <f>IF($H1276="AUTO_OFERTA_TOTAL_PRODUTO_PERIODO",SUMIFS(Oferta!$F:$F,Oferta!$A:$A,$A1276,Oferta!$E:$E,$E1276),$F1276)</f>
        <v/>
      </c>
      <c r="J1276" s="6" t="inlineStr">
        <is>
          <t>Informado</t>
        </is>
      </c>
      <c r="K1276" s="6" t="inlineStr">
        <is>
          <t>Demanda doméstica fixa informada pelo usuário.</t>
        </is>
      </c>
    </row>
    <row r="1277">
      <c r="A1277" s="6" t="inlineStr">
        <is>
          <t>Milho</t>
        </is>
      </c>
      <c r="B1277" s="6" t="inlineStr">
        <is>
          <t>Florianópolis - SC</t>
        </is>
      </c>
      <c r="C1277" s="6" t="n">
        <v>-27.5945</v>
      </c>
      <c r="D1277" s="6" t="n">
        <v>-48.5477</v>
      </c>
      <c r="E1277" s="6" t="inlineStr">
        <is>
          <t>2024-04</t>
        </is>
      </c>
      <c r="F1277" s="6" t="n">
        <v>414431.9856304807</v>
      </c>
      <c r="G1277" s="6" t="inlineStr">
        <is>
          <t>DOMESTICA</t>
        </is>
      </c>
      <c r="H1277" s="6" t="inlineStr">
        <is>
          <t>FIXO</t>
        </is>
      </c>
      <c r="I1277" s="11">
        <f>IF($H1277="AUTO_OFERTA_TOTAL_PRODUTO_PERIODO",SUMIFS(Oferta!$F:$F,Oferta!$A:$A,$A1277,Oferta!$E:$E,$E1277),$F1277)</f>
        <v/>
      </c>
      <c r="J1277" s="6" t="inlineStr">
        <is>
          <t>Informado</t>
        </is>
      </c>
      <c r="K1277" s="6" t="inlineStr">
        <is>
          <t>Demanda doméstica fixa informada pelo usuário.</t>
        </is>
      </c>
    </row>
    <row r="1278">
      <c r="A1278" s="6" t="inlineStr">
        <is>
          <t>Milho</t>
        </is>
      </c>
      <c r="B1278" s="6" t="inlineStr">
        <is>
          <t>Florianópolis - SC</t>
        </is>
      </c>
      <c r="C1278" s="6" t="n">
        <v>-27.5945</v>
      </c>
      <c r="D1278" s="6" t="n">
        <v>-48.5477</v>
      </c>
      <c r="E1278" s="6" t="inlineStr">
        <is>
          <t>2024-05</t>
        </is>
      </c>
      <c r="F1278" s="6" t="n">
        <v>514144.9445791679</v>
      </c>
      <c r="G1278" s="6" t="inlineStr">
        <is>
          <t>DOMESTICA</t>
        </is>
      </c>
      <c r="H1278" s="6" t="inlineStr">
        <is>
          <t>FIXO</t>
        </is>
      </c>
      <c r="I1278" s="11">
        <f>IF($H1278="AUTO_OFERTA_TOTAL_PRODUTO_PERIODO",SUMIFS(Oferta!$F:$F,Oferta!$A:$A,$A1278,Oferta!$E:$E,$E1278),$F1278)</f>
        <v/>
      </c>
      <c r="J1278" s="6" t="inlineStr">
        <is>
          <t>Informado</t>
        </is>
      </c>
      <c r="K1278" s="6" t="inlineStr">
        <is>
          <t>Demanda doméstica fixa informada pelo usuário.</t>
        </is>
      </c>
    </row>
    <row r="1279">
      <c r="A1279" s="6" t="inlineStr">
        <is>
          <t>Milho</t>
        </is>
      </c>
      <c r="B1279" s="6" t="inlineStr">
        <is>
          <t>Florianópolis - SC</t>
        </is>
      </c>
      <c r="C1279" s="6" t="n">
        <v>-27.5945</v>
      </c>
      <c r="D1279" s="6" t="n">
        <v>-48.5477</v>
      </c>
      <c r="E1279" s="6" t="inlineStr">
        <is>
          <t>2024-06</t>
        </is>
      </c>
      <c r="F1279" s="6" t="n">
        <v>564001.4240535113</v>
      </c>
      <c r="G1279" s="6" t="inlineStr">
        <is>
          <t>DOMESTICA</t>
        </is>
      </c>
      <c r="H1279" s="6" t="inlineStr">
        <is>
          <t>FIXO</t>
        </is>
      </c>
      <c r="I1279" s="11">
        <f>IF($H1279="AUTO_OFERTA_TOTAL_PRODUTO_PERIODO",SUMIFS(Oferta!$F:$F,Oferta!$A:$A,$A1279,Oferta!$E:$E,$E1279),$F1279)</f>
        <v/>
      </c>
      <c r="J1279" s="6" t="inlineStr">
        <is>
          <t>Informado</t>
        </is>
      </c>
      <c r="K1279" s="6" t="inlineStr">
        <is>
          <t>Demanda doméstica fixa informada pelo usuário.</t>
        </is>
      </c>
    </row>
    <row r="1280">
      <c r="A1280" s="6" t="inlineStr">
        <is>
          <t>Milho</t>
        </is>
      </c>
      <c r="B1280" s="6" t="inlineStr">
        <is>
          <t>Florianópolis - SC</t>
        </is>
      </c>
      <c r="C1280" s="6" t="n">
        <v>-27.5945</v>
      </c>
      <c r="D1280" s="6" t="n">
        <v>-48.5477</v>
      </c>
      <c r="E1280" s="6" t="inlineStr">
        <is>
          <t>2024-07</t>
        </is>
      </c>
      <c r="F1280" s="6" t="n">
        <v>613857.9035278549</v>
      </c>
      <c r="G1280" s="6" t="inlineStr">
        <is>
          <t>DOMESTICA</t>
        </is>
      </c>
      <c r="H1280" s="6" t="inlineStr">
        <is>
          <t>FIXO</t>
        </is>
      </c>
      <c r="I1280" s="11">
        <f>IF($H1280="AUTO_OFERTA_TOTAL_PRODUTO_PERIODO",SUMIFS(Oferta!$F:$F,Oferta!$A:$A,$A1280,Oferta!$E:$E,$E1280),$F1280)</f>
        <v/>
      </c>
      <c r="J1280" s="6" t="inlineStr">
        <is>
          <t>Informado</t>
        </is>
      </c>
      <c r="K1280" s="6" t="inlineStr">
        <is>
          <t>Demanda doméstica fixa informada pelo usuário.</t>
        </is>
      </c>
    </row>
    <row r="1281">
      <c r="A1281" s="6" t="inlineStr">
        <is>
          <t>Milho</t>
        </is>
      </c>
      <c r="B1281" s="6" t="inlineStr">
        <is>
          <t>Florianópolis - SC</t>
        </is>
      </c>
      <c r="C1281" s="6" t="n">
        <v>-27.5945</v>
      </c>
      <c r="D1281" s="6" t="n">
        <v>-48.5477</v>
      </c>
      <c r="E1281" s="6" t="inlineStr">
        <is>
          <t>2024-08</t>
        </is>
      </c>
      <c r="F1281" s="6" t="n">
        <v>514144.9445791679</v>
      </c>
      <c r="G1281" s="6" t="inlineStr">
        <is>
          <t>DOMESTICA</t>
        </is>
      </c>
      <c r="H1281" s="6" t="inlineStr">
        <is>
          <t>FIXO</t>
        </is>
      </c>
      <c r="I1281" s="11">
        <f>IF($H1281="AUTO_OFERTA_TOTAL_PRODUTO_PERIODO",SUMIFS(Oferta!$F:$F,Oferta!$A:$A,$A1281,Oferta!$E:$E,$E1281),$F1281)</f>
        <v/>
      </c>
      <c r="J1281" s="6" t="inlineStr">
        <is>
          <t>Informado</t>
        </is>
      </c>
      <c r="K1281" s="6" t="inlineStr">
        <is>
          <t>Demanda doméstica fixa informada pelo usuário.</t>
        </is>
      </c>
    </row>
    <row r="1282">
      <c r="A1282" s="6" t="inlineStr">
        <is>
          <t>Milho</t>
        </is>
      </c>
      <c r="B1282" s="6" t="inlineStr">
        <is>
          <t>Florianópolis - SC</t>
        </is>
      </c>
      <c r="C1282" s="6" t="n">
        <v>-27.5945</v>
      </c>
      <c r="D1282" s="6" t="n">
        <v>-48.5477</v>
      </c>
      <c r="E1282" s="6" t="inlineStr">
        <is>
          <t>2024-09</t>
        </is>
      </c>
      <c r="F1282" s="6" t="n">
        <v>439360.2253676525</v>
      </c>
      <c r="G1282" s="6" t="inlineStr">
        <is>
          <t>DOMESTICA</t>
        </is>
      </c>
      <c r="H1282" s="6" t="inlineStr">
        <is>
          <t>FIXO</t>
        </is>
      </c>
      <c r="I1282" s="11">
        <f>IF($H1282="AUTO_OFERTA_TOTAL_PRODUTO_PERIODO",SUMIFS(Oferta!$F:$F,Oferta!$A:$A,$A1282,Oferta!$E:$E,$E1282),$F1282)</f>
        <v/>
      </c>
      <c r="J1282" s="6" t="inlineStr">
        <is>
          <t>Informado</t>
        </is>
      </c>
      <c r="K1282" s="6" t="inlineStr">
        <is>
          <t>Demanda doméstica fixa informada pelo usuário.</t>
        </is>
      </c>
    </row>
    <row r="1283">
      <c r="A1283" s="6" t="inlineStr">
        <is>
          <t>Milho</t>
        </is>
      </c>
      <c r="B1283" s="6" t="inlineStr">
        <is>
          <t>Florianópolis - SC</t>
        </is>
      </c>
      <c r="C1283" s="6" t="n">
        <v>-27.5945</v>
      </c>
      <c r="D1283" s="6" t="n">
        <v>-48.5477</v>
      </c>
      <c r="E1283" s="6" t="inlineStr">
        <is>
          <t>2024-10</t>
        </is>
      </c>
      <c r="F1283" s="6" t="n">
        <v>239934.3074702783</v>
      </c>
      <c r="G1283" s="6" t="inlineStr">
        <is>
          <t>DOMESTICA</t>
        </is>
      </c>
      <c r="H1283" s="6" t="inlineStr">
        <is>
          <t>FIXO</t>
        </is>
      </c>
      <c r="I1283" s="11">
        <f>IF($H1283="AUTO_OFERTA_TOTAL_PRODUTO_PERIODO",SUMIFS(Oferta!$F:$F,Oferta!$A:$A,$A1283,Oferta!$E:$E,$E1283),$F1283)</f>
        <v/>
      </c>
      <c r="J1283" s="6" t="inlineStr">
        <is>
          <t>Informado</t>
        </is>
      </c>
      <c r="K1283" s="6" t="inlineStr">
        <is>
          <t>Demanda doméstica fixa informada pelo usuário.</t>
        </is>
      </c>
    </row>
    <row r="1284">
      <c r="A1284" s="6" t="inlineStr">
        <is>
          <t>Milho</t>
        </is>
      </c>
      <c r="B1284" s="6" t="inlineStr">
        <is>
          <t>Florianópolis - SC</t>
        </is>
      </c>
      <c r="C1284" s="6" t="n">
        <v>-27.5945</v>
      </c>
      <c r="D1284" s="6" t="n">
        <v>-48.5477</v>
      </c>
      <c r="E1284" s="6" t="inlineStr">
        <is>
          <t>2024-11</t>
        </is>
      </c>
      <c r="F1284" s="6" t="n">
        <v>190077.8279959348</v>
      </c>
      <c r="G1284" s="6" t="inlineStr">
        <is>
          <t>DOMESTICA</t>
        </is>
      </c>
      <c r="H1284" s="6" t="inlineStr">
        <is>
          <t>FIXO</t>
        </is>
      </c>
      <c r="I1284" s="11">
        <f>IF($H1284="AUTO_OFERTA_TOTAL_PRODUTO_PERIODO",SUMIFS(Oferta!$F:$F,Oferta!$A:$A,$A1284,Oferta!$E:$E,$E1284),$F1284)</f>
        <v/>
      </c>
      <c r="J1284" s="6" t="inlineStr">
        <is>
          <t>Informado</t>
        </is>
      </c>
      <c r="K1284" s="6" t="inlineStr">
        <is>
          <t>Demanda doméstica fixa informada pelo usuário.</t>
        </is>
      </c>
    </row>
    <row r="1285">
      <c r="A1285" s="6" t="inlineStr">
        <is>
          <t>Milho</t>
        </is>
      </c>
      <c r="B1285" s="6" t="inlineStr">
        <is>
          <t>Florianópolis - SC</t>
        </is>
      </c>
      <c r="C1285" s="6" t="n">
        <v>-27.5945</v>
      </c>
      <c r="D1285" s="6" t="n">
        <v>-48.5477</v>
      </c>
      <c r="E1285" s="6" t="inlineStr">
        <is>
          <t>2024-12</t>
        </is>
      </c>
      <c r="F1285" s="6" t="n">
        <v>165149.588258763</v>
      </c>
      <c r="G1285" s="6" t="inlineStr">
        <is>
          <t>DOMESTICA</t>
        </is>
      </c>
      <c r="H1285" s="6" t="inlineStr">
        <is>
          <t>FIXO</t>
        </is>
      </c>
      <c r="I1285" s="11">
        <f>IF($H1285="AUTO_OFERTA_TOTAL_PRODUTO_PERIODO",SUMIFS(Oferta!$F:$F,Oferta!$A:$A,$A1285,Oferta!$E:$E,$E1285),$F1285)</f>
        <v/>
      </c>
      <c r="J1285" s="6" t="inlineStr">
        <is>
          <t>Informado</t>
        </is>
      </c>
      <c r="K1285" s="6" t="inlineStr">
        <is>
          <t>Demanda doméstica fixa informada pelo usuário.</t>
        </is>
      </c>
    </row>
    <row r="1286">
      <c r="A1286" s="6" t="inlineStr">
        <is>
          <t>Milho</t>
        </is>
      </c>
      <c r="B1286" s="6" t="inlineStr">
        <is>
          <t>Porto Alegre - RS</t>
        </is>
      </c>
      <c r="C1286" s="6" t="n">
        <v>-30.0318</v>
      </c>
      <c r="D1286" s="6" t="n">
        <v>-51.2065</v>
      </c>
      <c r="E1286" s="6" t="inlineStr">
        <is>
          <t>2024-01</t>
        </is>
      </c>
      <c r="F1286" s="6" t="n">
        <v>480007.2523183709</v>
      </c>
      <c r="G1286" s="6" t="inlineStr">
        <is>
          <t>DOMESTICA</t>
        </is>
      </c>
      <c r="H1286" s="6" t="inlineStr">
        <is>
          <t>FIXO</t>
        </is>
      </c>
      <c r="I1286" s="11">
        <f>IF($H1286="AUTO_OFERTA_TOTAL_PRODUTO_PERIODO",SUMIFS(Oferta!$F:$F,Oferta!$A:$A,$A1286,Oferta!$E:$E,$E1286),$F1286)</f>
        <v/>
      </c>
      <c r="J1286" s="6" t="inlineStr">
        <is>
          <t>Informado</t>
        </is>
      </c>
      <c r="K1286" s="6" t="inlineStr">
        <is>
          <t>Demanda doméstica fixa informada pelo usuário.</t>
        </is>
      </c>
    </row>
    <row r="1287">
      <c r="A1287" s="6" t="inlineStr">
        <is>
          <t>Milho</t>
        </is>
      </c>
      <c r="B1287" s="6" t="inlineStr">
        <is>
          <t>Porto Alegre - RS</t>
        </is>
      </c>
      <c r="C1287" s="6" t="n">
        <v>-30.0318</v>
      </c>
      <c r="D1287" s="6" t="n">
        <v>-51.2065</v>
      </c>
      <c r="E1287" s="6" t="inlineStr">
        <is>
          <t>2024-02</t>
        </is>
      </c>
      <c r="F1287" s="6" t="n">
        <v>605910.7939100749</v>
      </c>
      <c r="G1287" s="6" t="inlineStr">
        <is>
          <t>DOMESTICA</t>
        </is>
      </c>
      <c r="H1287" s="6" t="inlineStr">
        <is>
          <t>FIXO</t>
        </is>
      </c>
      <c r="I1287" s="11">
        <f>IF($H1287="AUTO_OFERTA_TOTAL_PRODUTO_PERIODO",SUMIFS(Oferta!$F:$F,Oferta!$A:$A,$A1287,Oferta!$E:$E,$E1287),$F1287)</f>
        <v/>
      </c>
      <c r="J1287" s="6" t="inlineStr">
        <is>
          <t>Informado</t>
        </is>
      </c>
      <c r="K1287" s="6" t="inlineStr">
        <is>
          <t>Demanda doméstica fixa informada pelo usuário.</t>
        </is>
      </c>
    </row>
    <row r="1288">
      <c r="A1288" s="6" t="inlineStr">
        <is>
          <t>Milho</t>
        </is>
      </c>
      <c r="B1288" s="6" t="inlineStr">
        <is>
          <t>Porto Alegre - RS</t>
        </is>
      </c>
      <c r="C1288" s="6" t="n">
        <v>-30.0318</v>
      </c>
      <c r="D1288" s="6" t="n">
        <v>-51.2065</v>
      </c>
      <c r="E1288" s="6" t="inlineStr">
        <is>
          <t>2024-03</t>
        </is>
      </c>
      <c r="F1288" s="6" t="n">
        <v>731814.3355017788</v>
      </c>
      <c r="G1288" s="6" t="inlineStr">
        <is>
          <t>DOMESTICA</t>
        </is>
      </c>
      <c r="H1288" s="6" t="inlineStr">
        <is>
          <t>FIXO</t>
        </is>
      </c>
      <c r="I1288" s="11">
        <f>IF($H1288="AUTO_OFERTA_TOTAL_PRODUTO_PERIODO",SUMIFS(Oferta!$F:$F,Oferta!$A:$A,$A1288,Oferta!$E:$E,$E1288),$F1288)</f>
        <v/>
      </c>
      <c r="J1288" s="6" t="inlineStr">
        <is>
          <t>Informado</t>
        </is>
      </c>
      <c r="K1288" s="6" t="inlineStr">
        <is>
          <t>Demanda doméstica fixa informada pelo usuário.</t>
        </is>
      </c>
    </row>
    <row r="1289">
      <c r="A1289" s="6" t="inlineStr">
        <is>
          <t>Milho</t>
        </is>
      </c>
      <c r="B1289" s="6" t="inlineStr">
        <is>
          <t>Porto Alegre - RS</t>
        </is>
      </c>
      <c r="C1289" s="6" t="n">
        <v>-30.0318</v>
      </c>
      <c r="D1289" s="6" t="n">
        <v>-51.2065</v>
      </c>
      <c r="E1289" s="6" t="inlineStr">
        <is>
          <t>2024-04</t>
        </is>
      </c>
      <c r="F1289" s="6" t="n">
        <v>1046573.189481038</v>
      </c>
      <c r="G1289" s="6" t="inlineStr">
        <is>
          <t>DOMESTICA</t>
        </is>
      </c>
      <c r="H1289" s="6" t="inlineStr">
        <is>
          <t>FIXO</t>
        </is>
      </c>
      <c r="I1289" s="11">
        <f>IF($H1289="AUTO_OFERTA_TOTAL_PRODUTO_PERIODO",SUMIFS(Oferta!$F:$F,Oferta!$A:$A,$A1289,Oferta!$E:$E,$E1289),$F1289)</f>
        <v/>
      </c>
      <c r="J1289" s="6" t="inlineStr">
        <is>
          <t>Informado</t>
        </is>
      </c>
      <c r="K1289" s="6" t="inlineStr">
        <is>
          <t>Demanda doméstica fixa informada pelo usuário.</t>
        </is>
      </c>
    </row>
    <row r="1290">
      <c r="A1290" s="6" t="inlineStr">
        <is>
          <t>Milho</t>
        </is>
      </c>
      <c r="B1290" s="6" t="inlineStr">
        <is>
          <t>Porto Alegre - RS</t>
        </is>
      </c>
      <c r="C1290" s="6" t="n">
        <v>-30.0318</v>
      </c>
      <c r="D1290" s="6" t="n">
        <v>-51.2065</v>
      </c>
      <c r="E1290" s="6" t="inlineStr">
        <is>
          <t>2024-05</t>
        </is>
      </c>
      <c r="F1290" s="6" t="n">
        <v>1298380.272664446</v>
      </c>
      <c r="G1290" s="6" t="inlineStr">
        <is>
          <t>DOMESTICA</t>
        </is>
      </c>
      <c r="H1290" s="6" t="inlineStr">
        <is>
          <t>FIXO</t>
        </is>
      </c>
      <c r="I1290" s="11">
        <f>IF($H1290="AUTO_OFERTA_TOTAL_PRODUTO_PERIODO",SUMIFS(Oferta!$F:$F,Oferta!$A:$A,$A1290,Oferta!$E:$E,$E1290),$F1290)</f>
        <v/>
      </c>
      <c r="J1290" s="6" t="inlineStr">
        <is>
          <t>Informado</t>
        </is>
      </c>
      <c r="K1290" s="6" t="inlineStr">
        <is>
          <t>Demanda doméstica fixa informada pelo usuário.</t>
        </is>
      </c>
    </row>
    <row r="1291">
      <c r="A1291" s="6" t="inlineStr">
        <is>
          <t>Milho</t>
        </is>
      </c>
      <c r="B1291" s="6" t="inlineStr">
        <is>
          <t>Porto Alegre - RS</t>
        </is>
      </c>
      <c r="C1291" s="6" t="n">
        <v>-30.0318</v>
      </c>
      <c r="D1291" s="6" t="n">
        <v>-51.2065</v>
      </c>
      <c r="E1291" s="6" t="inlineStr">
        <is>
          <t>2024-06</t>
        </is>
      </c>
      <c r="F1291" s="6" t="n">
        <v>1298380.272664446</v>
      </c>
      <c r="G1291" s="6" t="inlineStr">
        <is>
          <t>DOMESTICA</t>
        </is>
      </c>
      <c r="H1291" s="6" t="inlineStr">
        <is>
          <t>FIXO</t>
        </is>
      </c>
      <c r="I1291" s="11">
        <f>IF($H1291="AUTO_OFERTA_TOTAL_PRODUTO_PERIODO",SUMIFS(Oferta!$F:$F,Oferta!$A:$A,$A1291,Oferta!$E:$E,$E1291),$F1291)</f>
        <v/>
      </c>
      <c r="J1291" s="6" t="inlineStr">
        <is>
          <t>Informado</t>
        </is>
      </c>
      <c r="K1291" s="6" t="inlineStr">
        <is>
          <t>Demanda doméstica fixa informada pelo usuário.</t>
        </is>
      </c>
    </row>
    <row r="1292">
      <c r="A1292" s="6" t="inlineStr">
        <is>
          <t>Milho</t>
        </is>
      </c>
      <c r="B1292" s="6" t="inlineStr">
        <is>
          <t>Porto Alegre - RS</t>
        </is>
      </c>
      <c r="C1292" s="6" t="n">
        <v>-30.0318</v>
      </c>
      <c r="D1292" s="6" t="n">
        <v>-51.2065</v>
      </c>
      <c r="E1292" s="6" t="inlineStr">
        <is>
          <t>2024-07</t>
        </is>
      </c>
      <c r="F1292" s="6" t="n">
        <v>1046573.189481038</v>
      </c>
      <c r="G1292" s="6" t="inlineStr">
        <is>
          <t>DOMESTICA</t>
        </is>
      </c>
      <c r="H1292" s="6" t="inlineStr">
        <is>
          <t>FIXO</t>
        </is>
      </c>
      <c r="I1292" s="11">
        <f>IF($H1292="AUTO_OFERTA_TOTAL_PRODUTO_PERIODO",SUMIFS(Oferta!$F:$F,Oferta!$A:$A,$A1292,Oferta!$E:$E,$E1292),$F1292)</f>
        <v/>
      </c>
      <c r="J1292" s="6" t="inlineStr">
        <is>
          <t>Informado</t>
        </is>
      </c>
      <c r="K1292" s="6" t="inlineStr">
        <is>
          <t>Demanda doméstica fixa informada pelo usuário.</t>
        </is>
      </c>
    </row>
    <row r="1293">
      <c r="A1293" s="6" t="inlineStr">
        <is>
          <t>Milho</t>
        </is>
      </c>
      <c r="B1293" s="6" t="inlineStr">
        <is>
          <t>Porto Alegre - RS</t>
        </is>
      </c>
      <c r="C1293" s="6" t="n">
        <v>-30.0318</v>
      </c>
      <c r="D1293" s="6" t="n">
        <v>-51.2065</v>
      </c>
      <c r="E1293" s="6" t="inlineStr">
        <is>
          <t>2024-08</t>
        </is>
      </c>
      <c r="F1293" s="6" t="n">
        <v>668862.5647059267</v>
      </c>
      <c r="G1293" s="6" t="inlineStr">
        <is>
          <t>DOMESTICA</t>
        </is>
      </c>
      <c r="H1293" s="6" t="inlineStr">
        <is>
          <t>FIXO</t>
        </is>
      </c>
      <c r="I1293" s="11">
        <f>IF($H1293="AUTO_OFERTA_TOTAL_PRODUTO_PERIODO",SUMIFS(Oferta!$F:$F,Oferta!$A:$A,$A1293,Oferta!$E:$E,$E1293),$F1293)</f>
        <v/>
      </c>
      <c r="J1293" s="6" t="inlineStr">
        <is>
          <t>Informado</t>
        </is>
      </c>
      <c r="K1293" s="6" t="inlineStr">
        <is>
          <t>Demanda doméstica fixa informada pelo usuário.</t>
        </is>
      </c>
    </row>
    <row r="1294">
      <c r="A1294" s="6" t="inlineStr">
        <is>
          <t>Milho</t>
        </is>
      </c>
      <c r="B1294" s="6" t="inlineStr">
        <is>
          <t>Porto Alegre - RS</t>
        </is>
      </c>
      <c r="C1294" s="6" t="n">
        <v>-30.0318</v>
      </c>
      <c r="D1294" s="6" t="n">
        <v>-51.2065</v>
      </c>
      <c r="E1294" s="6" t="inlineStr">
        <is>
          <t>2024-09</t>
        </is>
      </c>
      <c r="F1294" s="6" t="n">
        <v>542959.0231142229</v>
      </c>
      <c r="G1294" s="6" t="inlineStr">
        <is>
          <t>DOMESTICA</t>
        </is>
      </c>
      <c r="H1294" s="6" t="inlineStr">
        <is>
          <t>FIXO</t>
        </is>
      </c>
      <c r="I1294" s="11">
        <f>IF($H1294="AUTO_OFERTA_TOTAL_PRODUTO_PERIODO",SUMIFS(Oferta!$F:$F,Oferta!$A:$A,$A1294,Oferta!$E:$E,$E1294),$F1294)</f>
        <v/>
      </c>
      <c r="J1294" s="6" t="inlineStr">
        <is>
          <t>Informado</t>
        </is>
      </c>
      <c r="K1294" s="6" t="inlineStr">
        <is>
          <t>Demanda doméstica fixa informada pelo usuário.</t>
        </is>
      </c>
    </row>
    <row r="1295">
      <c r="A1295" s="6" t="inlineStr">
        <is>
          <t>Milho</t>
        </is>
      </c>
      <c r="B1295" s="6" t="inlineStr">
        <is>
          <t>Porto Alegre - RS</t>
        </is>
      </c>
      <c r="C1295" s="6" t="n">
        <v>-30.0318</v>
      </c>
      <c r="D1295" s="6" t="n">
        <v>-51.2065</v>
      </c>
      <c r="E1295" s="6" t="inlineStr">
        <is>
          <t>2024-10</t>
        </is>
      </c>
      <c r="F1295" s="6" t="n">
        <v>417055.4815225191</v>
      </c>
      <c r="G1295" s="6" t="inlineStr">
        <is>
          <t>DOMESTICA</t>
        </is>
      </c>
      <c r="H1295" s="6" t="inlineStr">
        <is>
          <t>FIXO</t>
        </is>
      </c>
      <c r="I1295" s="11">
        <f>IF($H1295="AUTO_OFERTA_TOTAL_PRODUTO_PERIODO",SUMIFS(Oferta!$F:$F,Oferta!$A:$A,$A1295,Oferta!$E:$E,$E1295),$F1295)</f>
        <v/>
      </c>
      <c r="J1295" s="6" t="inlineStr">
        <is>
          <t>Informado</t>
        </is>
      </c>
      <c r="K1295" s="6" t="inlineStr">
        <is>
          <t>Demanda doméstica fixa informada pelo usuário.</t>
        </is>
      </c>
    </row>
    <row r="1296">
      <c r="A1296" s="6" t="inlineStr">
        <is>
          <t>Milho</t>
        </is>
      </c>
      <c r="B1296" s="6" t="inlineStr">
        <is>
          <t>Porto Alegre - RS</t>
        </is>
      </c>
      <c r="C1296" s="6" t="n">
        <v>-30.0318</v>
      </c>
      <c r="D1296" s="6" t="n">
        <v>-51.2065</v>
      </c>
      <c r="E1296" s="6" t="inlineStr">
        <is>
          <t>2024-11</t>
        </is>
      </c>
      <c r="F1296" s="6" t="n">
        <v>417055.4815225191</v>
      </c>
      <c r="G1296" s="6" t="inlineStr">
        <is>
          <t>DOMESTICA</t>
        </is>
      </c>
      <c r="H1296" s="6" t="inlineStr">
        <is>
          <t>FIXO</t>
        </is>
      </c>
      <c r="I1296" s="11">
        <f>IF($H1296="AUTO_OFERTA_TOTAL_PRODUTO_PERIODO",SUMIFS(Oferta!$F:$F,Oferta!$A:$A,$A1296,Oferta!$E:$E,$E1296),$F1296)</f>
        <v/>
      </c>
      <c r="J1296" s="6" t="inlineStr">
        <is>
          <t>Informado</t>
        </is>
      </c>
      <c r="K1296" s="6" t="inlineStr">
        <is>
          <t>Demanda doméstica fixa informada pelo usuário.</t>
        </is>
      </c>
    </row>
    <row r="1297">
      <c r="A1297" s="6" t="inlineStr">
        <is>
          <t>Milho</t>
        </is>
      </c>
      <c r="B1297" s="6" t="inlineStr">
        <is>
          <t>Porto Alegre - RS</t>
        </is>
      </c>
      <c r="C1297" s="6" t="n">
        <v>-30.0318</v>
      </c>
      <c r="D1297" s="6" t="n">
        <v>-51.2065</v>
      </c>
      <c r="E1297" s="6" t="inlineStr">
        <is>
          <t>2024-12</t>
        </is>
      </c>
      <c r="F1297" s="6" t="n">
        <v>417055.4815225191</v>
      </c>
      <c r="G1297" s="6" t="inlineStr">
        <is>
          <t>DOMESTICA</t>
        </is>
      </c>
      <c r="H1297" s="6" t="inlineStr">
        <is>
          <t>FIXO</t>
        </is>
      </c>
      <c r="I1297" s="11">
        <f>IF($H1297="AUTO_OFERTA_TOTAL_PRODUTO_PERIODO",SUMIFS(Oferta!$F:$F,Oferta!$A:$A,$A1297,Oferta!$E:$E,$E1297),$F1297)</f>
        <v/>
      </c>
      <c r="J1297" s="6" t="inlineStr">
        <is>
          <t>Informado</t>
        </is>
      </c>
      <c r="K1297" s="6" t="inlineStr">
        <is>
          <t>Demanda doméstica fixa informada pelo usuário.</t>
        </is>
      </c>
    </row>
    <row r="1298">
      <c r="A1298" s="6" t="inlineStr">
        <is>
          <t>Milho</t>
        </is>
      </c>
      <c r="B1298" s="6" t="inlineStr">
        <is>
          <t>Rio Branco - AC</t>
        </is>
      </c>
      <c r="C1298" s="6" t="n">
        <v>-9.97499</v>
      </c>
      <c r="D1298" s="6" t="n">
        <v>-67.82429999999999</v>
      </c>
      <c r="E1298" s="6" t="inlineStr">
        <is>
          <t>2025-01</t>
        </is>
      </c>
      <c r="F1298" s="6" t="n">
        <v>8686.113838745399</v>
      </c>
      <c r="G1298" s="6" t="inlineStr">
        <is>
          <t>DOMESTICA</t>
        </is>
      </c>
      <c r="H1298" s="6" t="inlineStr">
        <is>
          <t>FIXO</t>
        </is>
      </c>
      <c r="I1298" s="11">
        <f>IF($H1298="AUTO_OFERTA_TOTAL_PRODUTO_PERIODO",SUMIFS(Oferta!$F:$F,Oferta!$A:$A,$A1298,Oferta!$E:$E,$E1298),$F1298)</f>
        <v/>
      </c>
      <c r="J1298" s="6" t="inlineStr">
        <is>
          <t>Informado</t>
        </is>
      </c>
      <c r="K1298" s="6" t="inlineStr">
        <is>
          <t>Demanda doméstica fixa informada pelo usuário.</t>
        </is>
      </c>
    </row>
    <row r="1299">
      <c r="A1299" s="6" t="inlineStr">
        <is>
          <t>Milho</t>
        </is>
      </c>
      <c r="B1299" s="6" t="inlineStr">
        <is>
          <t>Rio Branco - AC</t>
        </is>
      </c>
      <c r="C1299" s="6" t="n">
        <v>-9.97499</v>
      </c>
      <c r="D1299" s="6" t="n">
        <v>-67.82429999999999</v>
      </c>
      <c r="E1299" s="6" t="inlineStr">
        <is>
          <t>2025-02</t>
        </is>
      </c>
      <c r="F1299" s="6" t="n">
        <v>9997.2253615749</v>
      </c>
      <c r="G1299" s="6" t="inlineStr">
        <is>
          <t>DOMESTICA</t>
        </is>
      </c>
      <c r="H1299" s="6" t="inlineStr">
        <is>
          <t>FIXO</t>
        </is>
      </c>
      <c r="I1299" s="11">
        <f>IF($H1299="AUTO_OFERTA_TOTAL_PRODUTO_PERIODO",SUMIFS(Oferta!$F:$F,Oferta!$A:$A,$A1299,Oferta!$E:$E,$E1299),$F1299)</f>
        <v/>
      </c>
      <c r="J1299" s="6" t="inlineStr">
        <is>
          <t>Informado</t>
        </is>
      </c>
      <c r="K1299" s="6" t="inlineStr">
        <is>
          <t>Demanda doméstica fixa informada pelo usuário.</t>
        </is>
      </c>
    </row>
    <row r="1300">
      <c r="A1300" s="6" t="inlineStr">
        <is>
          <t>Milho</t>
        </is>
      </c>
      <c r="B1300" s="6" t="inlineStr">
        <is>
          <t>Rio Branco - AC</t>
        </is>
      </c>
      <c r="C1300" s="6" t="n">
        <v>-9.97499</v>
      </c>
      <c r="D1300" s="6" t="n">
        <v>-67.82429999999999</v>
      </c>
      <c r="E1300" s="6" t="inlineStr">
        <is>
          <t>2025-03</t>
        </is>
      </c>
      <c r="F1300" s="6" t="n">
        <v>12619.4484072339</v>
      </c>
      <c r="G1300" s="6" t="inlineStr">
        <is>
          <t>DOMESTICA</t>
        </is>
      </c>
      <c r="H1300" s="6" t="inlineStr">
        <is>
          <t>FIXO</t>
        </is>
      </c>
      <c r="I1300" s="11">
        <f>IF($H1300="AUTO_OFERTA_TOTAL_PRODUTO_PERIODO",SUMIFS(Oferta!$F:$F,Oferta!$A:$A,$A1300,Oferta!$E:$E,$E1300),$F1300)</f>
        <v/>
      </c>
      <c r="J1300" s="6" t="inlineStr">
        <is>
          <t>Informado</t>
        </is>
      </c>
      <c r="K1300" s="6" t="inlineStr">
        <is>
          <t>Demanda doméstica fixa informada pelo usuário.</t>
        </is>
      </c>
    </row>
    <row r="1301">
      <c r="A1301" s="6" t="inlineStr">
        <is>
          <t>Milho</t>
        </is>
      </c>
      <c r="B1301" s="6" t="inlineStr">
        <is>
          <t>Rio Branco - AC</t>
        </is>
      </c>
      <c r="C1301" s="6" t="n">
        <v>-9.97499</v>
      </c>
      <c r="D1301" s="6" t="n">
        <v>-67.82429999999999</v>
      </c>
      <c r="E1301" s="6" t="inlineStr">
        <is>
          <t>2025-04</t>
        </is>
      </c>
      <c r="F1301" s="6" t="n">
        <v>20486.1175442109</v>
      </c>
      <c r="G1301" s="6" t="inlineStr">
        <is>
          <t>DOMESTICA</t>
        </is>
      </c>
      <c r="H1301" s="6" t="inlineStr">
        <is>
          <t>FIXO</t>
        </is>
      </c>
      <c r="I1301" s="11">
        <f>IF($H1301="AUTO_OFERTA_TOTAL_PRODUTO_PERIODO",SUMIFS(Oferta!$F:$F,Oferta!$A:$A,$A1301,Oferta!$E:$E,$E1301),$F1301)</f>
        <v/>
      </c>
      <c r="J1301" s="6" t="inlineStr">
        <is>
          <t>Informado</t>
        </is>
      </c>
      <c r="K1301" s="6" t="inlineStr">
        <is>
          <t>Demanda doméstica fixa informada pelo usuário.</t>
        </is>
      </c>
    </row>
    <row r="1302">
      <c r="A1302" s="6" t="inlineStr">
        <is>
          <t>Milho</t>
        </is>
      </c>
      <c r="B1302" s="6" t="inlineStr">
        <is>
          <t>Rio Branco - AC</t>
        </is>
      </c>
      <c r="C1302" s="6" t="n">
        <v>-9.97499</v>
      </c>
      <c r="D1302" s="6" t="n">
        <v>-67.82429999999999</v>
      </c>
      <c r="E1302" s="6" t="inlineStr">
        <is>
          <t>2025-05</t>
        </is>
      </c>
      <c r="F1302" s="6" t="n">
        <v>21797.2290670404</v>
      </c>
      <c r="G1302" s="6" t="inlineStr">
        <is>
          <t>DOMESTICA</t>
        </is>
      </c>
      <c r="H1302" s="6" t="inlineStr">
        <is>
          <t>FIXO</t>
        </is>
      </c>
      <c r="I1302" s="11">
        <f>IF($H1302="AUTO_OFERTA_TOTAL_PRODUTO_PERIODO",SUMIFS(Oferta!$F:$F,Oferta!$A:$A,$A1302,Oferta!$E:$E,$E1302),$F1302)</f>
        <v/>
      </c>
      <c r="J1302" s="6" t="inlineStr">
        <is>
          <t>Informado</t>
        </is>
      </c>
      <c r="K1302" s="6" t="inlineStr">
        <is>
          <t>Demanda doméstica fixa informada pelo usuário.</t>
        </is>
      </c>
    </row>
    <row r="1303">
      <c r="A1303" s="6" t="inlineStr">
        <is>
          <t>Milho</t>
        </is>
      </c>
      <c r="B1303" s="6" t="inlineStr">
        <is>
          <t>Rio Branco - AC</t>
        </is>
      </c>
      <c r="C1303" s="6" t="n">
        <v>-9.97499</v>
      </c>
      <c r="D1303" s="6" t="n">
        <v>-67.82429999999999</v>
      </c>
      <c r="E1303" s="6" t="inlineStr">
        <is>
          <t>2025-06</t>
        </is>
      </c>
      <c r="F1303" s="6" t="n">
        <v>20486.1175442109</v>
      </c>
      <c r="G1303" s="6" t="inlineStr">
        <is>
          <t>DOMESTICA</t>
        </is>
      </c>
      <c r="H1303" s="6" t="inlineStr">
        <is>
          <t>FIXO</t>
        </is>
      </c>
      <c r="I1303" s="11">
        <f>IF($H1303="AUTO_OFERTA_TOTAL_PRODUTO_PERIODO",SUMIFS(Oferta!$F:$F,Oferta!$A:$A,$A1303,Oferta!$E:$E,$E1303),$F1303)</f>
        <v/>
      </c>
      <c r="J1303" s="6" t="inlineStr">
        <is>
          <t>Informado</t>
        </is>
      </c>
      <c r="K1303" s="6" t="inlineStr">
        <is>
          <t>Demanda doméstica fixa informada pelo usuário.</t>
        </is>
      </c>
    </row>
    <row r="1304">
      <c r="A1304" s="6" t="inlineStr">
        <is>
          <t>Milho</t>
        </is>
      </c>
      <c r="B1304" s="6" t="inlineStr">
        <is>
          <t>Rio Branco - AC</t>
        </is>
      </c>
      <c r="C1304" s="6" t="n">
        <v>-9.97499</v>
      </c>
      <c r="D1304" s="6" t="n">
        <v>-67.82429999999999</v>
      </c>
      <c r="E1304" s="6" t="inlineStr">
        <is>
          <t>2025-07</t>
        </is>
      </c>
      <c r="F1304" s="6" t="n">
        <v>12619.4484072339</v>
      </c>
      <c r="G1304" s="6" t="inlineStr">
        <is>
          <t>DOMESTICA</t>
        </is>
      </c>
      <c r="H1304" s="6" t="inlineStr">
        <is>
          <t>FIXO</t>
        </is>
      </c>
      <c r="I1304" s="11">
        <f>IF($H1304="AUTO_OFERTA_TOTAL_PRODUTO_PERIODO",SUMIFS(Oferta!$F:$F,Oferta!$A:$A,$A1304,Oferta!$E:$E,$E1304),$F1304)</f>
        <v/>
      </c>
      <c r="J1304" s="6" t="inlineStr">
        <is>
          <t>Informado</t>
        </is>
      </c>
      <c r="K1304" s="6" t="inlineStr">
        <is>
          <t>Demanda doméstica fixa informada pelo usuário.</t>
        </is>
      </c>
    </row>
    <row r="1305">
      <c r="A1305" s="6" t="inlineStr">
        <is>
          <t>Milho</t>
        </is>
      </c>
      <c r="B1305" s="6" t="inlineStr">
        <is>
          <t>Rio Branco - AC</t>
        </is>
      </c>
      <c r="C1305" s="6" t="n">
        <v>-9.97499</v>
      </c>
      <c r="D1305" s="6" t="n">
        <v>-67.82429999999999</v>
      </c>
      <c r="E1305" s="6" t="inlineStr">
        <is>
          <t>2025-08</t>
        </is>
      </c>
      <c r="F1305" s="6" t="n">
        <v>9997.2253615749</v>
      </c>
      <c r="G1305" s="6" t="inlineStr">
        <is>
          <t>DOMESTICA</t>
        </is>
      </c>
      <c r="H1305" s="6" t="inlineStr">
        <is>
          <t>FIXO</t>
        </is>
      </c>
      <c r="I1305" s="11">
        <f>IF($H1305="AUTO_OFERTA_TOTAL_PRODUTO_PERIODO",SUMIFS(Oferta!$F:$F,Oferta!$A:$A,$A1305,Oferta!$E:$E,$E1305),$F1305)</f>
        <v/>
      </c>
      <c r="J1305" s="6" t="inlineStr">
        <is>
          <t>Informado</t>
        </is>
      </c>
      <c r="K1305" s="6" t="inlineStr">
        <is>
          <t>Demanda doméstica fixa informada pelo usuário.</t>
        </is>
      </c>
    </row>
    <row r="1306">
      <c r="A1306" s="6" t="inlineStr">
        <is>
          <t>Milho</t>
        </is>
      </c>
      <c r="B1306" s="6" t="inlineStr">
        <is>
          <t>Rio Branco - AC</t>
        </is>
      </c>
      <c r="C1306" s="6" t="n">
        <v>-9.97499</v>
      </c>
      <c r="D1306" s="6" t="n">
        <v>-67.82429999999999</v>
      </c>
      <c r="E1306" s="6" t="inlineStr">
        <is>
          <t>2025-09</t>
        </is>
      </c>
      <c r="F1306" s="6" t="n">
        <v>8686.113838745399</v>
      </c>
      <c r="G1306" s="6" t="inlineStr">
        <is>
          <t>DOMESTICA</t>
        </is>
      </c>
      <c r="H1306" s="6" t="inlineStr">
        <is>
          <t>FIXO</t>
        </is>
      </c>
      <c r="I1306" s="11">
        <f>IF($H1306="AUTO_OFERTA_TOTAL_PRODUTO_PERIODO",SUMIFS(Oferta!$F:$F,Oferta!$A:$A,$A1306,Oferta!$E:$E,$E1306),$F1306)</f>
        <v/>
      </c>
      <c r="J1306" s="6" t="inlineStr">
        <is>
          <t>Informado</t>
        </is>
      </c>
      <c r="K1306" s="6" t="inlineStr">
        <is>
          <t>Demanda doméstica fixa informada pelo usuário.</t>
        </is>
      </c>
    </row>
    <row r="1307">
      <c r="A1307" s="6" t="inlineStr">
        <is>
          <t>Milho</t>
        </is>
      </c>
      <c r="B1307" s="6" t="inlineStr">
        <is>
          <t>Rio Branco - AC</t>
        </is>
      </c>
      <c r="C1307" s="6" t="n">
        <v>-9.97499</v>
      </c>
      <c r="D1307" s="6" t="n">
        <v>-67.82429999999999</v>
      </c>
      <c r="E1307" s="6" t="inlineStr">
        <is>
          <t>2025-10</t>
        </is>
      </c>
      <c r="F1307" s="6" t="n">
        <v>8686.113838745399</v>
      </c>
      <c r="G1307" s="6" t="inlineStr">
        <is>
          <t>DOMESTICA</t>
        </is>
      </c>
      <c r="H1307" s="6" t="inlineStr">
        <is>
          <t>FIXO</t>
        </is>
      </c>
      <c r="I1307" s="11">
        <f>IF($H1307="AUTO_OFERTA_TOTAL_PRODUTO_PERIODO",SUMIFS(Oferta!$F:$F,Oferta!$A:$A,$A1307,Oferta!$E:$E,$E1307),$F1307)</f>
        <v/>
      </c>
      <c r="J1307" s="6" t="inlineStr">
        <is>
          <t>Informado</t>
        </is>
      </c>
      <c r="K1307" s="6" t="inlineStr">
        <is>
          <t>Demanda doméstica fixa informada pelo usuário.</t>
        </is>
      </c>
    </row>
    <row r="1308">
      <c r="A1308" s="6" t="inlineStr">
        <is>
          <t>Milho</t>
        </is>
      </c>
      <c r="B1308" s="6" t="inlineStr">
        <is>
          <t>Rio Branco - AC</t>
        </is>
      </c>
      <c r="C1308" s="6" t="n">
        <v>-9.97499</v>
      </c>
      <c r="D1308" s="6" t="n">
        <v>-67.82429999999999</v>
      </c>
      <c r="E1308" s="6" t="inlineStr">
        <is>
          <t>2025-11</t>
        </is>
      </c>
      <c r="F1308" s="6" t="n">
        <v>8686.113838745399</v>
      </c>
      <c r="G1308" s="6" t="inlineStr">
        <is>
          <t>DOMESTICA</t>
        </is>
      </c>
      <c r="H1308" s="6" t="inlineStr">
        <is>
          <t>FIXO</t>
        </is>
      </c>
      <c r="I1308" s="11">
        <f>IF($H1308="AUTO_OFERTA_TOTAL_PRODUTO_PERIODO",SUMIFS(Oferta!$F:$F,Oferta!$A:$A,$A1308,Oferta!$E:$E,$E1308),$F1308)</f>
        <v/>
      </c>
      <c r="J1308" s="6" t="inlineStr">
        <is>
          <t>Informado</t>
        </is>
      </c>
      <c r="K1308" s="6" t="inlineStr">
        <is>
          <t>Demanda doméstica fixa informada pelo usuário.</t>
        </is>
      </c>
    </row>
    <row r="1309">
      <c r="A1309" s="6" t="inlineStr">
        <is>
          <t>Milho</t>
        </is>
      </c>
      <c r="B1309" s="6" t="inlineStr">
        <is>
          <t>Rio Branco - AC</t>
        </is>
      </c>
      <c r="C1309" s="6" t="n">
        <v>-9.97499</v>
      </c>
      <c r="D1309" s="6" t="n">
        <v>-67.82429999999999</v>
      </c>
      <c r="E1309" s="6" t="inlineStr">
        <is>
          <t>2025-12</t>
        </is>
      </c>
      <c r="F1309" s="6" t="n">
        <v>8686.113838745399</v>
      </c>
      <c r="G1309" s="6" t="inlineStr">
        <is>
          <t>DOMESTICA</t>
        </is>
      </c>
      <c r="H1309" s="6" t="inlineStr">
        <is>
          <t>FIXO</t>
        </is>
      </c>
      <c r="I1309" s="11">
        <f>IF($H1309="AUTO_OFERTA_TOTAL_PRODUTO_PERIODO",SUMIFS(Oferta!$F:$F,Oferta!$A:$A,$A1309,Oferta!$E:$E,$E1309),$F1309)</f>
        <v/>
      </c>
      <c r="J1309" s="6" t="inlineStr">
        <is>
          <t>Informado</t>
        </is>
      </c>
      <c r="K1309" s="6" t="inlineStr">
        <is>
          <t>Demanda doméstica fixa informada pelo usuário.</t>
        </is>
      </c>
    </row>
    <row r="1310">
      <c r="A1310" s="6" t="inlineStr">
        <is>
          <t>Milho</t>
        </is>
      </c>
      <c r="B1310" s="6" t="inlineStr">
        <is>
          <t>Macapá - AP</t>
        </is>
      </c>
      <c r="C1310" s="6" t="n">
        <v>0.034934</v>
      </c>
      <c r="D1310" s="6" t="n">
        <v>-51.0694</v>
      </c>
      <c r="E1310" s="6" t="inlineStr">
        <is>
          <t>2025-01</t>
        </is>
      </c>
      <c r="F1310" s="6" t="n">
        <v>5899.9817899663</v>
      </c>
      <c r="G1310" s="6" t="inlineStr">
        <is>
          <t>DOMESTICA</t>
        </is>
      </c>
      <c r="H1310" s="6" t="inlineStr">
        <is>
          <t>FIXO</t>
        </is>
      </c>
      <c r="I1310" s="11">
        <f>IF($H1310="AUTO_OFERTA_TOTAL_PRODUTO_PERIODO",SUMIFS(Oferta!$F:$F,Oferta!$A:$A,$A1310,Oferta!$E:$E,$E1310),$F1310)</f>
        <v/>
      </c>
      <c r="J1310" s="6" t="inlineStr">
        <is>
          <t>Informado</t>
        </is>
      </c>
      <c r="K1310" s="6" t="inlineStr">
        <is>
          <t>Demanda doméstica fixa informada pelo usuário.</t>
        </is>
      </c>
    </row>
    <row r="1311">
      <c r="A1311" s="6" t="inlineStr">
        <is>
          <t>Milho</t>
        </is>
      </c>
      <c r="B1311" s="6" t="inlineStr">
        <is>
          <t>Macapá - AP</t>
        </is>
      </c>
      <c r="C1311" s="6" t="n">
        <v>0.034934</v>
      </c>
      <c r="D1311" s="6" t="n">
        <v>-51.0694</v>
      </c>
      <c r="E1311" s="6" t="inlineStr">
        <is>
          <t>2025-02</t>
        </is>
      </c>
      <c r="F1311" s="6" t="n">
        <v>5899.9817899663</v>
      </c>
      <c r="G1311" s="6" t="inlineStr">
        <is>
          <t>DOMESTICA</t>
        </is>
      </c>
      <c r="H1311" s="6" t="inlineStr">
        <is>
          <t>FIXO</t>
        </is>
      </c>
      <c r="I1311" s="11">
        <f>IF($H1311="AUTO_OFERTA_TOTAL_PRODUTO_PERIODO",SUMIFS(Oferta!$F:$F,Oferta!$A:$A,$A1311,Oferta!$E:$E,$E1311),$F1311)</f>
        <v/>
      </c>
      <c r="J1311" s="6" t="inlineStr">
        <is>
          <t>Informado</t>
        </is>
      </c>
      <c r="K1311" s="6" t="inlineStr">
        <is>
          <t>Demanda doméstica fixa informada pelo usuário.</t>
        </is>
      </c>
    </row>
    <row r="1312">
      <c r="A1312" s="6" t="inlineStr">
        <is>
          <t>Milho</t>
        </is>
      </c>
      <c r="B1312" s="6" t="inlineStr">
        <is>
          <t>Macapá - AP</t>
        </is>
      </c>
      <c r="C1312" s="6" t="n">
        <v>0.034934</v>
      </c>
      <c r="D1312" s="6" t="n">
        <v>-51.0694</v>
      </c>
      <c r="E1312" s="6" t="inlineStr">
        <is>
          <t>2025-03</t>
        </is>
      </c>
      <c r="F1312" s="6" t="n">
        <v>5899.9817899663</v>
      </c>
      <c r="G1312" s="6" t="inlineStr">
        <is>
          <t>DOMESTICA</t>
        </is>
      </c>
      <c r="H1312" s="6" t="inlineStr">
        <is>
          <t>FIXO</t>
        </is>
      </c>
      <c r="I1312" s="11">
        <f>IF($H1312="AUTO_OFERTA_TOTAL_PRODUTO_PERIODO",SUMIFS(Oferta!$F:$F,Oferta!$A:$A,$A1312,Oferta!$E:$E,$E1312),$F1312)</f>
        <v/>
      </c>
      <c r="J1312" s="6" t="inlineStr">
        <is>
          <t>Informado</t>
        </is>
      </c>
      <c r="K1312" s="6" t="inlineStr">
        <is>
          <t>Demanda doméstica fixa informada pelo usuário.</t>
        </is>
      </c>
    </row>
    <row r="1313">
      <c r="A1313" s="6" t="inlineStr">
        <is>
          <t>Milho</t>
        </is>
      </c>
      <c r="B1313" s="6" t="inlineStr">
        <is>
          <t>Macapá - AP</t>
        </is>
      </c>
      <c r="C1313" s="6" t="n">
        <v>0.034934</v>
      </c>
      <c r="D1313" s="6" t="n">
        <v>-51.0694</v>
      </c>
      <c r="E1313" s="6" t="inlineStr">
        <is>
          <t>2025-04</t>
        </is>
      </c>
      <c r="F1313" s="6" t="n">
        <v>5899.9817899663</v>
      </c>
      <c r="G1313" s="6" t="inlineStr">
        <is>
          <t>DOMESTICA</t>
        </is>
      </c>
      <c r="H1313" s="6" t="inlineStr">
        <is>
          <t>FIXO</t>
        </is>
      </c>
      <c r="I1313" s="11">
        <f>IF($H1313="AUTO_OFERTA_TOTAL_PRODUTO_PERIODO",SUMIFS(Oferta!$F:$F,Oferta!$A:$A,$A1313,Oferta!$E:$E,$E1313),$F1313)</f>
        <v/>
      </c>
      <c r="J1313" s="6" t="inlineStr">
        <is>
          <t>Informado</t>
        </is>
      </c>
      <c r="K1313" s="6" t="inlineStr">
        <is>
          <t>Demanda doméstica fixa informada pelo usuário.</t>
        </is>
      </c>
    </row>
    <row r="1314">
      <c r="A1314" s="6" t="inlineStr">
        <is>
          <t>Milho</t>
        </is>
      </c>
      <c r="B1314" s="6" t="inlineStr">
        <is>
          <t>Macapá - AP</t>
        </is>
      </c>
      <c r="C1314" s="6" t="n">
        <v>0.034934</v>
      </c>
      <c r="D1314" s="6" t="n">
        <v>-51.0694</v>
      </c>
      <c r="E1314" s="6" t="inlineStr">
        <is>
          <t>2025-05</t>
        </is>
      </c>
      <c r="F1314" s="6" t="n">
        <v>6790.5450790178</v>
      </c>
      <c r="G1314" s="6" t="inlineStr">
        <is>
          <t>DOMESTICA</t>
        </is>
      </c>
      <c r="H1314" s="6" t="inlineStr">
        <is>
          <t>FIXO</t>
        </is>
      </c>
      <c r="I1314" s="11">
        <f>IF($H1314="AUTO_OFERTA_TOTAL_PRODUTO_PERIODO",SUMIFS(Oferta!$F:$F,Oferta!$A:$A,$A1314,Oferta!$E:$E,$E1314),$F1314)</f>
        <v/>
      </c>
      <c r="J1314" s="6" t="inlineStr">
        <is>
          <t>Informado</t>
        </is>
      </c>
      <c r="K1314" s="6" t="inlineStr">
        <is>
          <t>Demanda doméstica fixa informada pelo usuário.</t>
        </is>
      </c>
    </row>
    <row r="1315">
      <c r="A1315" s="6" t="inlineStr">
        <is>
          <t>Milho</t>
        </is>
      </c>
      <c r="B1315" s="6" t="inlineStr">
        <is>
          <t>Macapá - AP</t>
        </is>
      </c>
      <c r="C1315" s="6" t="n">
        <v>0.034934</v>
      </c>
      <c r="D1315" s="6" t="n">
        <v>-51.0694</v>
      </c>
      <c r="E1315" s="6" t="inlineStr">
        <is>
          <t>2025-06</t>
        </is>
      </c>
      <c r="F1315" s="6" t="n">
        <v>10352.7982352238</v>
      </c>
      <c r="G1315" s="6" t="inlineStr">
        <is>
          <t>DOMESTICA</t>
        </is>
      </c>
      <c r="H1315" s="6" t="inlineStr">
        <is>
          <t>FIXO</t>
        </is>
      </c>
      <c r="I1315" s="11">
        <f>IF($H1315="AUTO_OFERTA_TOTAL_PRODUTO_PERIODO",SUMIFS(Oferta!$F:$F,Oferta!$A:$A,$A1315,Oferta!$E:$E,$E1315),$F1315)</f>
        <v/>
      </c>
      <c r="J1315" s="6" t="inlineStr">
        <is>
          <t>Informado</t>
        </is>
      </c>
      <c r="K1315" s="6" t="inlineStr">
        <is>
          <t>Demanda doméstica fixa informada pelo usuário.</t>
        </is>
      </c>
    </row>
    <row r="1316">
      <c r="A1316" s="6" t="inlineStr">
        <is>
          <t>Milho</t>
        </is>
      </c>
      <c r="B1316" s="6" t="inlineStr">
        <is>
          <t>Macapá - AP</t>
        </is>
      </c>
      <c r="C1316" s="6" t="n">
        <v>0.034934</v>
      </c>
      <c r="D1316" s="6" t="n">
        <v>-51.0694</v>
      </c>
      <c r="E1316" s="6" t="inlineStr">
        <is>
          <t>2025-07</t>
        </is>
      </c>
      <c r="F1316" s="6" t="n">
        <v>13915.0513914299</v>
      </c>
      <c r="G1316" s="6" t="inlineStr">
        <is>
          <t>DOMESTICA</t>
        </is>
      </c>
      <c r="H1316" s="6" t="inlineStr">
        <is>
          <t>FIXO</t>
        </is>
      </c>
      <c r="I1316" s="11">
        <f>IF($H1316="AUTO_OFERTA_TOTAL_PRODUTO_PERIODO",SUMIFS(Oferta!$F:$F,Oferta!$A:$A,$A1316,Oferta!$E:$E,$E1316),$F1316)</f>
        <v/>
      </c>
      <c r="J1316" s="6" t="inlineStr">
        <is>
          <t>Informado</t>
        </is>
      </c>
      <c r="K1316" s="6" t="inlineStr">
        <is>
          <t>Demanda doméstica fixa informada pelo usuário.</t>
        </is>
      </c>
    </row>
    <row r="1317">
      <c r="A1317" s="6" t="inlineStr">
        <is>
          <t>Milho</t>
        </is>
      </c>
      <c r="B1317" s="6" t="inlineStr">
        <is>
          <t>Macapá - AP</t>
        </is>
      </c>
      <c r="C1317" s="6" t="n">
        <v>0.034934</v>
      </c>
      <c r="D1317" s="6" t="n">
        <v>-51.0694</v>
      </c>
      <c r="E1317" s="6" t="inlineStr">
        <is>
          <t>2025-08</t>
        </is>
      </c>
      <c r="F1317" s="6" t="n">
        <v>14805.6146804814</v>
      </c>
      <c r="G1317" s="6" t="inlineStr">
        <is>
          <t>DOMESTICA</t>
        </is>
      </c>
      <c r="H1317" s="6" t="inlineStr">
        <is>
          <t>FIXO</t>
        </is>
      </c>
      <c r="I1317" s="11">
        <f>IF($H1317="AUTO_OFERTA_TOTAL_PRODUTO_PERIODO",SUMIFS(Oferta!$F:$F,Oferta!$A:$A,$A1317,Oferta!$E:$E,$E1317),$F1317)</f>
        <v/>
      </c>
      <c r="J1317" s="6" t="inlineStr">
        <is>
          <t>Informado</t>
        </is>
      </c>
      <c r="K1317" s="6" t="inlineStr">
        <is>
          <t>Demanda doméstica fixa informada pelo usuário.</t>
        </is>
      </c>
    </row>
    <row r="1318">
      <c r="A1318" s="6" t="inlineStr">
        <is>
          <t>Milho</t>
        </is>
      </c>
      <c r="B1318" s="6" t="inlineStr">
        <is>
          <t>Macapá - AP</t>
        </is>
      </c>
      <c r="C1318" s="6" t="n">
        <v>0.034934</v>
      </c>
      <c r="D1318" s="6" t="n">
        <v>-51.0694</v>
      </c>
      <c r="E1318" s="6" t="inlineStr">
        <is>
          <t>2025-09</t>
        </is>
      </c>
      <c r="F1318" s="6" t="n">
        <v>12133.9248133269</v>
      </c>
      <c r="G1318" s="6" t="inlineStr">
        <is>
          <t>DOMESTICA</t>
        </is>
      </c>
      <c r="H1318" s="6" t="inlineStr">
        <is>
          <t>FIXO</t>
        </is>
      </c>
      <c r="I1318" s="11">
        <f>IF($H1318="AUTO_OFERTA_TOTAL_PRODUTO_PERIODO",SUMIFS(Oferta!$F:$F,Oferta!$A:$A,$A1318,Oferta!$E:$E,$E1318),$F1318)</f>
        <v/>
      </c>
      <c r="J1318" s="6" t="inlineStr">
        <is>
          <t>Informado</t>
        </is>
      </c>
      <c r="K1318" s="6" t="inlineStr">
        <is>
          <t>Demanda doméstica fixa informada pelo usuário.</t>
        </is>
      </c>
    </row>
    <row r="1319">
      <c r="A1319" s="6" t="inlineStr">
        <is>
          <t>Milho</t>
        </is>
      </c>
      <c r="B1319" s="6" t="inlineStr">
        <is>
          <t>Macapá - AP</t>
        </is>
      </c>
      <c r="C1319" s="6" t="n">
        <v>0.034934</v>
      </c>
      <c r="D1319" s="6" t="n">
        <v>-51.0694</v>
      </c>
      <c r="E1319" s="6" t="inlineStr">
        <is>
          <t>2025-10</t>
        </is>
      </c>
      <c r="F1319" s="6" t="n">
        <v>8571.6716571208</v>
      </c>
      <c r="G1319" s="6" t="inlineStr">
        <is>
          <t>DOMESTICA</t>
        </is>
      </c>
      <c r="H1319" s="6" t="inlineStr">
        <is>
          <t>FIXO</t>
        </is>
      </c>
      <c r="I1319" s="11">
        <f>IF($H1319="AUTO_OFERTA_TOTAL_PRODUTO_PERIODO",SUMIFS(Oferta!$F:$F,Oferta!$A:$A,$A1319,Oferta!$E:$E,$E1319),$F1319)</f>
        <v/>
      </c>
      <c r="J1319" s="6" t="inlineStr">
        <is>
          <t>Informado</t>
        </is>
      </c>
      <c r="K1319" s="6" t="inlineStr">
        <is>
          <t>Demanda doméstica fixa informada pelo usuário.</t>
        </is>
      </c>
    </row>
    <row r="1320">
      <c r="A1320" s="6" t="inlineStr">
        <is>
          <t>Milho</t>
        </is>
      </c>
      <c r="B1320" s="6" t="inlineStr">
        <is>
          <t>Macapá - AP</t>
        </is>
      </c>
      <c r="C1320" s="6" t="n">
        <v>0.034934</v>
      </c>
      <c r="D1320" s="6" t="n">
        <v>-51.0694</v>
      </c>
      <c r="E1320" s="6" t="inlineStr">
        <is>
          <t>2025-11</t>
        </is>
      </c>
      <c r="F1320" s="6" t="n">
        <v>6790.5450790178</v>
      </c>
      <c r="G1320" s="6" t="inlineStr">
        <is>
          <t>DOMESTICA</t>
        </is>
      </c>
      <c r="H1320" s="6" t="inlineStr">
        <is>
          <t>FIXO</t>
        </is>
      </c>
      <c r="I1320" s="11">
        <f>IF($H1320="AUTO_OFERTA_TOTAL_PRODUTO_PERIODO",SUMIFS(Oferta!$F:$F,Oferta!$A:$A,$A1320,Oferta!$E:$E,$E1320),$F1320)</f>
        <v/>
      </c>
      <c r="J1320" s="6" t="inlineStr">
        <is>
          <t>Informado</t>
        </is>
      </c>
      <c r="K1320" s="6" t="inlineStr">
        <is>
          <t>Demanda doméstica fixa informada pelo usuário.</t>
        </is>
      </c>
    </row>
    <row r="1321">
      <c r="A1321" s="6" t="inlineStr">
        <is>
          <t>Milho</t>
        </is>
      </c>
      <c r="B1321" s="6" t="inlineStr">
        <is>
          <t>Macapá - AP</t>
        </is>
      </c>
      <c r="C1321" s="6" t="n">
        <v>0.034934</v>
      </c>
      <c r="D1321" s="6" t="n">
        <v>-51.0694</v>
      </c>
      <c r="E1321" s="6" t="inlineStr">
        <is>
          <t>2025-12</t>
        </is>
      </c>
      <c r="F1321" s="6" t="n">
        <v>5899.9817899663</v>
      </c>
      <c r="G1321" s="6" t="inlineStr">
        <is>
          <t>DOMESTICA</t>
        </is>
      </c>
      <c r="H1321" s="6" t="inlineStr">
        <is>
          <t>FIXO</t>
        </is>
      </c>
      <c r="I1321" s="11">
        <f>IF($H1321="AUTO_OFERTA_TOTAL_PRODUTO_PERIODO",SUMIFS(Oferta!$F:$F,Oferta!$A:$A,$A1321,Oferta!$E:$E,$E1321),$F1321)</f>
        <v/>
      </c>
      <c r="J1321" s="6" t="inlineStr">
        <is>
          <t>Informado</t>
        </is>
      </c>
      <c r="K1321" s="6" t="inlineStr">
        <is>
          <t>Demanda doméstica fixa informada pelo usuário.</t>
        </is>
      </c>
    </row>
    <row r="1322">
      <c r="A1322" s="6" t="inlineStr">
        <is>
          <t>Milho</t>
        </is>
      </c>
      <c r="B1322" s="6" t="inlineStr">
        <is>
          <t>Manaus - AM</t>
        </is>
      </c>
      <c r="C1322" s="6" t="n">
        <v>-3.11866</v>
      </c>
      <c r="D1322" s="6" t="n">
        <v>-60.0212</v>
      </c>
      <c r="E1322" s="6" t="inlineStr">
        <is>
          <t>2025-01</t>
        </is>
      </c>
      <c r="F1322" s="6" t="n">
        <v>52125.768776833</v>
      </c>
      <c r="G1322" s="6" t="inlineStr">
        <is>
          <t>DOMESTICA</t>
        </is>
      </c>
      <c r="H1322" s="6" t="inlineStr">
        <is>
          <t>FIXO</t>
        </is>
      </c>
      <c r="I1322" s="11">
        <f>IF($H1322="AUTO_OFERTA_TOTAL_PRODUTO_PERIODO",SUMIFS(Oferta!$F:$F,Oferta!$A:$A,$A1322,Oferta!$E:$E,$E1322),$F1322)</f>
        <v/>
      </c>
      <c r="J1322" s="6" t="inlineStr">
        <is>
          <t>Informado</t>
        </is>
      </c>
      <c r="K1322" s="6" t="inlineStr">
        <is>
          <t>Demanda doméstica fixa informada pelo usuário.</t>
        </is>
      </c>
    </row>
    <row r="1323">
      <c r="A1323" s="6" t="inlineStr">
        <is>
          <t>Milho</t>
        </is>
      </c>
      <c r="B1323" s="6" t="inlineStr">
        <is>
          <t>Manaus - AM</t>
        </is>
      </c>
      <c r="C1323" s="6" t="n">
        <v>-3.11866</v>
      </c>
      <c r="D1323" s="6" t="n">
        <v>-60.0212</v>
      </c>
      <c r="E1323" s="6" t="inlineStr">
        <is>
          <t>2025-02</t>
        </is>
      </c>
      <c r="F1323" s="6" t="n">
        <v>52125.768776833</v>
      </c>
      <c r="G1323" s="6" t="inlineStr">
        <is>
          <t>DOMESTICA</t>
        </is>
      </c>
      <c r="H1323" s="6" t="inlineStr">
        <is>
          <t>FIXO</t>
        </is>
      </c>
      <c r="I1323" s="11">
        <f>IF($H1323="AUTO_OFERTA_TOTAL_PRODUTO_PERIODO",SUMIFS(Oferta!$F:$F,Oferta!$A:$A,$A1323,Oferta!$E:$E,$E1323),$F1323)</f>
        <v/>
      </c>
      <c r="J1323" s="6" t="inlineStr">
        <is>
          <t>Informado</t>
        </is>
      </c>
      <c r="K1323" s="6" t="inlineStr">
        <is>
          <t>Demanda doméstica fixa informada pelo usuário.</t>
        </is>
      </c>
    </row>
    <row r="1324">
      <c r="A1324" s="6" t="inlineStr">
        <is>
          <t>Milho</t>
        </is>
      </c>
      <c r="B1324" s="6" t="inlineStr">
        <is>
          <t>Manaus - AM</t>
        </is>
      </c>
      <c r="C1324" s="6" t="n">
        <v>-3.11866</v>
      </c>
      <c r="D1324" s="6" t="n">
        <v>-60.0212</v>
      </c>
      <c r="E1324" s="6" t="inlineStr">
        <is>
          <t>2025-03</t>
        </is>
      </c>
      <c r="F1324" s="6" t="n">
        <v>67861.84991700901</v>
      </c>
      <c r="G1324" s="6" t="inlineStr">
        <is>
          <t>DOMESTICA</t>
        </is>
      </c>
      <c r="H1324" s="6" t="inlineStr">
        <is>
          <t>FIXO</t>
        </is>
      </c>
      <c r="I1324" s="11">
        <f>IF($H1324="AUTO_OFERTA_TOTAL_PRODUTO_PERIODO",SUMIFS(Oferta!$F:$F,Oferta!$A:$A,$A1324,Oferta!$E:$E,$E1324),$F1324)</f>
        <v/>
      </c>
      <c r="J1324" s="6" t="inlineStr">
        <is>
          <t>Informado</t>
        </is>
      </c>
      <c r="K1324" s="6" t="inlineStr">
        <is>
          <t>Demanda doméstica fixa informada pelo usuário.</t>
        </is>
      </c>
    </row>
    <row r="1325">
      <c r="A1325" s="6" t="inlineStr">
        <is>
          <t>Milho</t>
        </is>
      </c>
      <c r="B1325" s="6" t="inlineStr">
        <is>
          <t>Manaus - AM</t>
        </is>
      </c>
      <c r="C1325" s="6" t="n">
        <v>-3.11866</v>
      </c>
      <c r="D1325" s="6" t="n">
        <v>-60.0212</v>
      </c>
      <c r="E1325" s="6" t="inlineStr">
        <is>
          <t>2025-04</t>
        </is>
      </c>
      <c r="F1325" s="6" t="n">
        <v>83597.93105718499</v>
      </c>
      <c r="G1325" s="6" t="inlineStr">
        <is>
          <t>DOMESTICA</t>
        </is>
      </c>
      <c r="H1325" s="6" t="inlineStr">
        <is>
          <t>FIXO</t>
        </is>
      </c>
      <c r="I1325" s="11">
        <f>IF($H1325="AUTO_OFERTA_TOTAL_PRODUTO_PERIODO",SUMIFS(Oferta!$F:$F,Oferta!$A:$A,$A1325,Oferta!$E:$E,$E1325),$F1325)</f>
        <v/>
      </c>
      <c r="J1325" s="6" t="inlineStr">
        <is>
          <t>Informado</t>
        </is>
      </c>
      <c r="K1325" s="6" t="inlineStr">
        <is>
          <t>Demanda doméstica fixa informada pelo usuário.</t>
        </is>
      </c>
    </row>
    <row r="1326">
      <c r="A1326" s="6" t="inlineStr">
        <is>
          <t>Milho</t>
        </is>
      </c>
      <c r="B1326" s="6" t="inlineStr">
        <is>
          <t>Manaus - AM</t>
        </is>
      </c>
      <c r="C1326" s="6" t="n">
        <v>-3.11866</v>
      </c>
      <c r="D1326" s="6" t="n">
        <v>-60.0212</v>
      </c>
      <c r="E1326" s="6" t="inlineStr">
        <is>
          <t>2025-05</t>
        </is>
      </c>
      <c r="F1326" s="6" t="n">
        <v>130806.1744777129</v>
      </c>
      <c r="G1326" s="6" t="inlineStr">
        <is>
          <t>DOMESTICA</t>
        </is>
      </c>
      <c r="H1326" s="6" t="inlineStr">
        <is>
          <t>FIXO</t>
        </is>
      </c>
      <c r="I1326" s="11">
        <f>IF($H1326="AUTO_OFERTA_TOTAL_PRODUTO_PERIODO",SUMIFS(Oferta!$F:$F,Oferta!$A:$A,$A1326,Oferta!$E:$E,$E1326),$F1326)</f>
        <v/>
      </c>
      <c r="J1326" s="6" t="inlineStr">
        <is>
          <t>Informado</t>
        </is>
      </c>
      <c r="K1326" s="6" t="inlineStr">
        <is>
          <t>Demanda doméstica fixa informada pelo usuário.</t>
        </is>
      </c>
    </row>
    <row r="1327">
      <c r="A1327" s="6" t="inlineStr">
        <is>
          <t>Milho</t>
        </is>
      </c>
      <c r="B1327" s="6" t="inlineStr">
        <is>
          <t>Manaus - AM</t>
        </is>
      </c>
      <c r="C1327" s="6" t="n">
        <v>-3.11866</v>
      </c>
      <c r="D1327" s="6" t="n">
        <v>-60.0212</v>
      </c>
      <c r="E1327" s="6" t="inlineStr">
        <is>
          <t>2025-06</t>
        </is>
      </c>
      <c r="F1327" s="6" t="n">
        <v>130806.1744777129</v>
      </c>
      <c r="G1327" s="6" t="inlineStr">
        <is>
          <t>DOMESTICA</t>
        </is>
      </c>
      <c r="H1327" s="6" t="inlineStr">
        <is>
          <t>FIXO</t>
        </is>
      </c>
      <c r="I1327" s="11">
        <f>IF($H1327="AUTO_OFERTA_TOTAL_PRODUTO_PERIODO",SUMIFS(Oferta!$F:$F,Oferta!$A:$A,$A1327,Oferta!$E:$E,$E1327),$F1327)</f>
        <v/>
      </c>
      <c r="J1327" s="6" t="inlineStr">
        <is>
          <t>Informado</t>
        </is>
      </c>
      <c r="K1327" s="6" t="inlineStr">
        <is>
          <t>Demanda doméstica fixa informada pelo usuário.</t>
        </is>
      </c>
    </row>
    <row r="1328">
      <c r="A1328" s="6" t="inlineStr">
        <is>
          <t>Milho</t>
        </is>
      </c>
      <c r="B1328" s="6" t="inlineStr">
        <is>
          <t>Manaus - AM</t>
        </is>
      </c>
      <c r="C1328" s="6" t="n">
        <v>-3.11866</v>
      </c>
      <c r="D1328" s="6" t="n">
        <v>-60.0212</v>
      </c>
      <c r="E1328" s="6" t="inlineStr">
        <is>
          <t>2025-07</t>
        </is>
      </c>
      <c r="F1328" s="6" t="n">
        <v>130806.1744777129</v>
      </c>
      <c r="G1328" s="6" t="inlineStr">
        <is>
          <t>DOMESTICA</t>
        </is>
      </c>
      <c r="H1328" s="6" t="inlineStr">
        <is>
          <t>FIXO</t>
        </is>
      </c>
      <c r="I1328" s="11">
        <f>IF($H1328="AUTO_OFERTA_TOTAL_PRODUTO_PERIODO",SUMIFS(Oferta!$F:$F,Oferta!$A:$A,$A1328,Oferta!$E:$E,$E1328),$F1328)</f>
        <v/>
      </c>
      <c r="J1328" s="6" t="inlineStr">
        <is>
          <t>Informado</t>
        </is>
      </c>
      <c r="K1328" s="6" t="inlineStr">
        <is>
          <t>Demanda doméstica fixa informada pelo usuário.</t>
        </is>
      </c>
    </row>
    <row r="1329">
      <c r="A1329" s="6" t="inlineStr">
        <is>
          <t>Milho</t>
        </is>
      </c>
      <c r="B1329" s="6" t="inlineStr">
        <is>
          <t>Manaus - AM</t>
        </is>
      </c>
      <c r="C1329" s="6" t="n">
        <v>-3.11866</v>
      </c>
      <c r="D1329" s="6" t="n">
        <v>-60.0212</v>
      </c>
      <c r="E1329" s="6" t="inlineStr">
        <is>
          <t>2025-08</t>
        </is>
      </c>
      <c r="F1329" s="6" t="n">
        <v>83597.93105718499</v>
      </c>
      <c r="G1329" s="6" t="inlineStr">
        <is>
          <t>DOMESTICA</t>
        </is>
      </c>
      <c r="H1329" s="6" t="inlineStr">
        <is>
          <t>FIXO</t>
        </is>
      </c>
      <c r="I1329" s="11">
        <f>IF($H1329="AUTO_OFERTA_TOTAL_PRODUTO_PERIODO",SUMIFS(Oferta!$F:$F,Oferta!$A:$A,$A1329,Oferta!$E:$E,$E1329),$F1329)</f>
        <v/>
      </c>
      <c r="J1329" s="6" t="inlineStr">
        <is>
          <t>Informado</t>
        </is>
      </c>
      <c r="K1329" s="6" t="inlineStr">
        <is>
          <t>Demanda doméstica fixa informada pelo usuário.</t>
        </is>
      </c>
    </row>
    <row r="1330">
      <c r="A1330" s="6" t="inlineStr">
        <is>
          <t>Milho</t>
        </is>
      </c>
      <c r="B1330" s="6" t="inlineStr">
        <is>
          <t>Manaus - AM</t>
        </is>
      </c>
      <c r="C1330" s="6" t="n">
        <v>-3.11866</v>
      </c>
      <c r="D1330" s="6" t="n">
        <v>-60.0212</v>
      </c>
      <c r="E1330" s="6" t="inlineStr">
        <is>
          <t>2025-09</t>
        </is>
      </c>
      <c r="F1330" s="6" t="n">
        <v>67861.84991700901</v>
      </c>
      <c r="G1330" s="6" t="inlineStr">
        <is>
          <t>DOMESTICA</t>
        </is>
      </c>
      <c r="H1330" s="6" t="inlineStr">
        <is>
          <t>FIXO</t>
        </is>
      </c>
      <c r="I1330" s="11">
        <f>IF($H1330="AUTO_OFERTA_TOTAL_PRODUTO_PERIODO",SUMIFS(Oferta!$F:$F,Oferta!$A:$A,$A1330,Oferta!$E:$E,$E1330),$F1330)</f>
        <v/>
      </c>
      <c r="J1330" s="6" t="inlineStr">
        <is>
          <t>Informado</t>
        </is>
      </c>
      <c r="K1330" s="6" t="inlineStr">
        <is>
          <t>Demanda doméstica fixa informada pelo usuário.</t>
        </is>
      </c>
    </row>
    <row r="1331">
      <c r="A1331" s="6" t="inlineStr">
        <is>
          <t>Milho</t>
        </is>
      </c>
      <c r="B1331" s="6" t="inlineStr">
        <is>
          <t>Manaus - AM</t>
        </is>
      </c>
      <c r="C1331" s="6" t="n">
        <v>-3.11866</v>
      </c>
      <c r="D1331" s="6" t="n">
        <v>-60.0212</v>
      </c>
      <c r="E1331" s="6" t="inlineStr">
        <is>
          <t>2025-10</t>
        </is>
      </c>
      <c r="F1331" s="6" t="n">
        <v>52125.768776833</v>
      </c>
      <c r="G1331" s="6" t="inlineStr">
        <is>
          <t>DOMESTICA</t>
        </is>
      </c>
      <c r="H1331" s="6" t="inlineStr">
        <is>
          <t>FIXO</t>
        </is>
      </c>
      <c r="I1331" s="11">
        <f>IF($H1331="AUTO_OFERTA_TOTAL_PRODUTO_PERIODO",SUMIFS(Oferta!$F:$F,Oferta!$A:$A,$A1331,Oferta!$E:$E,$E1331),$F1331)</f>
        <v/>
      </c>
      <c r="J1331" s="6" t="inlineStr">
        <is>
          <t>Informado</t>
        </is>
      </c>
      <c r="K1331" s="6" t="inlineStr">
        <is>
          <t>Demanda doméstica fixa informada pelo usuário.</t>
        </is>
      </c>
    </row>
    <row r="1332">
      <c r="A1332" s="6" t="inlineStr">
        <is>
          <t>Milho</t>
        </is>
      </c>
      <c r="B1332" s="6" t="inlineStr">
        <is>
          <t>Manaus - AM</t>
        </is>
      </c>
      <c r="C1332" s="6" t="n">
        <v>-3.11866</v>
      </c>
      <c r="D1332" s="6" t="n">
        <v>-60.0212</v>
      </c>
      <c r="E1332" s="6" t="inlineStr">
        <is>
          <t>2025-11</t>
        </is>
      </c>
      <c r="F1332" s="6" t="n">
        <v>52125.768776833</v>
      </c>
      <c r="G1332" s="6" t="inlineStr">
        <is>
          <t>DOMESTICA</t>
        </is>
      </c>
      <c r="H1332" s="6" t="inlineStr">
        <is>
          <t>FIXO</t>
        </is>
      </c>
      <c r="I1332" s="11">
        <f>IF($H1332="AUTO_OFERTA_TOTAL_PRODUTO_PERIODO",SUMIFS(Oferta!$F:$F,Oferta!$A:$A,$A1332,Oferta!$E:$E,$E1332),$F1332)</f>
        <v/>
      </c>
      <c r="J1332" s="6" t="inlineStr">
        <is>
          <t>Informado</t>
        </is>
      </c>
      <c r="K1332" s="6" t="inlineStr">
        <is>
          <t>Demanda doméstica fixa informada pelo usuário.</t>
        </is>
      </c>
    </row>
    <row r="1333">
      <c r="A1333" s="6" t="inlineStr">
        <is>
          <t>Milho</t>
        </is>
      </c>
      <c r="B1333" s="6" t="inlineStr">
        <is>
          <t>Manaus - AM</t>
        </is>
      </c>
      <c r="C1333" s="6" t="n">
        <v>-3.11866</v>
      </c>
      <c r="D1333" s="6" t="n">
        <v>-60.0212</v>
      </c>
      <c r="E1333" s="6" t="inlineStr">
        <is>
          <t>2025-12</t>
        </is>
      </c>
      <c r="F1333" s="6" t="n">
        <v>52125.768776833</v>
      </c>
      <c r="G1333" s="6" t="inlineStr">
        <is>
          <t>DOMESTICA</t>
        </is>
      </c>
      <c r="H1333" s="6" t="inlineStr">
        <is>
          <t>FIXO</t>
        </is>
      </c>
      <c r="I1333" s="11">
        <f>IF($H1333="AUTO_OFERTA_TOTAL_PRODUTO_PERIODO",SUMIFS(Oferta!$F:$F,Oferta!$A:$A,$A1333,Oferta!$E:$E,$E1333),$F1333)</f>
        <v/>
      </c>
      <c r="J1333" s="6" t="inlineStr">
        <is>
          <t>Informado</t>
        </is>
      </c>
      <c r="K1333" s="6" t="inlineStr">
        <is>
          <t>Demanda doméstica fixa informada pelo usuário.</t>
        </is>
      </c>
    </row>
    <row r="1334">
      <c r="A1334" s="6" t="inlineStr">
        <is>
          <t>Milho</t>
        </is>
      </c>
      <c r="B1334" s="6" t="inlineStr">
        <is>
          <t>Belém - PA</t>
        </is>
      </c>
      <c r="C1334" s="6" t="n">
        <v>-1.4554</v>
      </c>
      <c r="D1334" s="6" t="n">
        <v>-48.4898</v>
      </c>
      <c r="E1334" s="6" t="inlineStr">
        <is>
          <t>2025-01</t>
        </is>
      </c>
      <c r="F1334" s="6" t="n">
        <v>113750.0553378956</v>
      </c>
      <c r="G1334" s="6" t="inlineStr">
        <is>
          <t>DOMESTICA</t>
        </is>
      </c>
      <c r="H1334" s="6" t="inlineStr">
        <is>
          <t>FIXO</t>
        </is>
      </c>
      <c r="I1334" s="11">
        <f>IF($H1334="AUTO_OFERTA_TOTAL_PRODUTO_PERIODO",SUMIFS(Oferta!$F:$F,Oferta!$A:$A,$A1334,Oferta!$E:$E,$E1334),$F1334)</f>
        <v/>
      </c>
      <c r="J1334" s="6" t="inlineStr">
        <is>
          <t>Informado</t>
        </is>
      </c>
      <c r="K1334" s="6" t="inlineStr">
        <is>
          <t>Demanda doméstica fixa informada pelo usuário.</t>
        </is>
      </c>
    </row>
    <row r="1335">
      <c r="A1335" s="6" t="inlineStr">
        <is>
          <t>Milho</t>
        </is>
      </c>
      <c r="B1335" s="6" t="inlineStr">
        <is>
          <t>Belém - PA</t>
        </is>
      </c>
      <c r="C1335" s="6" t="n">
        <v>-1.4554</v>
      </c>
      <c r="D1335" s="6" t="n">
        <v>-48.4898</v>
      </c>
      <c r="E1335" s="6" t="inlineStr">
        <is>
          <t>2025-02</t>
        </is>
      </c>
      <c r="F1335" s="6" t="n">
        <v>92338.2802154682</v>
      </c>
      <c r="G1335" s="6" t="inlineStr">
        <is>
          <t>DOMESTICA</t>
        </is>
      </c>
      <c r="H1335" s="6" t="inlineStr">
        <is>
          <t>FIXO</t>
        </is>
      </c>
      <c r="I1335" s="11">
        <f>IF($H1335="AUTO_OFERTA_TOTAL_PRODUTO_PERIODO",SUMIFS(Oferta!$F:$F,Oferta!$A:$A,$A1335,Oferta!$E:$E,$E1335),$F1335)</f>
        <v/>
      </c>
      <c r="J1335" s="6" t="inlineStr">
        <is>
          <t>Informado</t>
        </is>
      </c>
      <c r="K1335" s="6" t="inlineStr">
        <is>
          <t>Demanda doméstica fixa informada pelo usuário.</t>
        </is>
      </c>
    </row>
    <row r="1336">
      <c r="A1336" s="6" t="inlineStr">
        <is>
          <t>Milho</t>
        </is>
      </c>
      <c r="B1336" s="6" t="inlineStr">
        <is>
          <t>Belém - PA</t>
        </is>
      </c>
      <c r="C1336" s="6" t="n">
        <v>-1.4554</v>
      </c>
      <c r="D1336" s="6" t="n">
        <v>-48.4898</v>
      </c>
      <c r="E1336" s="6" t="inlineStr">
        <is>
          <t>2025-03</t>
        </is>
      </c>
      <c r="F1336" s="6" t="n">
        <v>92338.2802154682</v>
      </c>
      <c r="G1336" s="6" t="inlineStr">
        <is>
          <t>DOMESTICA</t>
        </is>
      </c>
      <c r="H1336" s="6" t="inlineStr">
        <is>
          <t>FIXO</t>
        </is>
      </c>
      <c r="I1336" s="11">
        <f>IF($H1336="AUTO_OFERTA_TOTAL_PRODUTO_PERIODO",SUMIFS(Oferta!$F:$F,Oferta!$A:$A,$A1336,Oferta!$E:$E,$E1336),$F1336)</f>
        <v/>
      </c>
      <c r="J1336" s="6" t="inlineStr">
        <is>
          <t>Informado</t>
        </is>
      </c>
      <c r="K1336" s="6" t="inlineStr">
        <is>
          <t>Demanda doméstica fixa informada pelo usuário.</t>
        </is>
      </c>
    </row>
    <row r="1337">
      <c r="A1337" s="6" t="inlineStr">
        <is>
          <t>Milho</t>
        </is>
      </c>
      <c r="B1337" s="6" t="inlineStr">
        <is>
          <t>Belém - PA</t>
        </is>
      </c>
      <c r="C1337" s="6" t="n">
        <v>-1.4554</v>
      </c>
      <c r="D1337" s="6" t="n">
        <v>-48.4898</v>
      </c>
      <c r="E1337" s="6" t="inlineStr">
        <is>
          <t>2025-04</t>
        </is>
      </c>
      <c r="F1337" s="6" t="n">
        <v>113750.0553378956</v>
      </c>
      <c r="G1337" s="6" t="inlineStr">
        <is>
          <t>DOMESTICA</t>
        </is>
      </c>
      <c r="H1337" s="6" t="inlineStr">
        <is>
          <t>FIXO</t>
        </is>
      </c>
      <c r="I1337" s="11">
        <f>IF($H1337="AUTO_OFERTA_TOTAL_PRODUTO_PERIODO",SUMIFS(Oferta!$F:$F,Oferta!$A:$A,$A1337,Oferta!$E:$E,$E1337),$F1337)</f>
        <v/>
      </c>
      <c r="J1337" s="6" t="inlineStr">
        <is>
          <t>Informado</t>
        </is>
      </c>
      <c r="K1337" s="6" t="inlineStr">
        <is>
          <t>Demanda doméstica fixa informada pelo usuário.</t>
        </is>
      </c>
    </row>
    <row r="1338">
      <c r="A1338" s="6" t="inlineStr">
        <is>
          <t>Milho</t>
        </is>
      </c>
      <c r="B1338" s="6" t="inlineStr">
        <is>
          <t>Belém - PA</t>
        </is>
      </c>
      <c r="C1338" s="6" t="n">
        <v>-1.4554</v>
      </c>
      <c r="D1338" s="6" t="n">
        <v>-48.4898</v>
      </c>
      <c r="E1338" s="6" t="inlineStr">
        <is>
          <t>2025-05</t>
        </is>
      </c>
      <c r="F1338" s="6" t="n">
        <v>156573.6055827503</v>
      </c>
      <c r="G1338" s="6" t="inlineStr">
        <is>
          <t>DOMESTICA</t>
        </is>
      </c>
      <c r="H1338" s="6" t="inlineStr">
        <is>
          <t>FIXO</t>
        </is>
      </c>
      <c r="I1338" s="11">
        <f>IF($H1338="AUTO_OFERTA_TOTAL_PRODUTO_PERIODO",SUMIFS(Oferta!$F:$F,Oferta!$A:$A,$A1338,Oferta!$E:$E,$E1338),$F1338)</f>
        <v/>
      </c>
      <c r="J1338" s="6" t="inlineStr">
        <is>
          <t>Informado</t>
        </is>
      </c>
      <c r="K1338" s="6" t="inlineStr">
        <is>
          <t>Demanda doméstica fixa informada pelo usuário.</t>
        </is>
      </c>
    </row>
    <row r="1339">
      <c r="A1339" s="6" t="inlineStr">
        <is>
          <t>Milho</t>
        </is>
      </c>
      <c r="B1339" s="6" t="inlineStr">
        <is>
          <t>Belém - PA</t>
        </is>
      </c>
      <c r="C1339" s="6" t="n">
        <v>-1.4554</v>
      </c>
      <c r="D1339" s="6" t="n">
        <v>-48.4898</v>
      </c>
      <c r="E1339" s="6" t="inlineStr">
        <is>
          <t>2025-06</t>
        </is>
      </c>
      <c r="F1339" s="6" t="n">
        <v>242220.7060724599</v>
      </c>
      <c r="G1339" s="6" t="inlineStr">
        <is>
          <t>DOMESTICA</t>
        </is>
      </c>
      <c r="H1339" s="6" t="inlineStr">
        <is>
          <t>FIXO</t>
        </is>
      </c>
      <c r="I1339" s="11">
        <f>IF($H1339="AUTO_OFERTA_TOTAL_PRODUTO_PERIODO",SUMIFS(Oferta!$F:$F,Oferta!$A:$A,$A1339,Oferta!$E:$E,$E1339),$F1339)</f>
        <v/>
      </c>
      <c r="J1339" s="6" t="inlineStr">
        <is>
          <t>Informado</t>
        </is>
      </c>
      <c r="K1339" s="6" t="inlineStr">
        <is>
          <t>Demanda doméstica fixa informada pelo usuário.</t>
        </is>
      </c>
    </row>
    <row r="1340">
      <c r="A1340" s="6" t="inlineStr">
        <is>
          <t>Milho</t>
        </is>
      </c>
      <c r="B1340" s="6" t="inlineStr">
        <is>
          <t>Belém - PA</t>
        </is>
      </c>
      <c r="C1340" s="6" t="n">
        <v>-1.4554</v>
      </c>
      <c r="D1340" s="6" t="n">
        <v>-48.4898</v>
      </c>
      <c r="E1340" s="6" t="inlineStr">
        <is>
          <t>2025-07</t>
        </is>
      </c>
      <c r="F1340" s="6" t="n">
        <v>263632.4811948873</v>
      </c>
      <c r="G1340" s="6" t="inlineStr">
        <is>
          <t>DOMESTICA</t>
        </is>
      </c>
      <c r="H1340" s="6" t="inlineStr">
        <is>
          <t>FIXO</t>
        </is>
      </c>
      <c r="I1340" s="11">
        <f>IF($H1340="AUTO_OFERTA_TOTAL_PRODUTO_PERIODO",SUMIFS(Oferta!$F:$F,Oferta!$A:$A,$A1340,Oferta!$E:$E,$E1340),$F1340)</f>
        <v/>
      </c>
      <c r="J1340" s="6" t="inlineStr">
        <is>
          <t>Informado</t>
        </is>
      </c>
      <c r="K1340" s="6" t="inlineStr">
        <is>
          <t>Demanda doméstica fixa informada pelo usuário.</t>
        </is>
      </c>
    </row>
    <row r="1341">
      <c r="A1341" s="6" t="inlineStr">
        <is>
          <t>Milho</t>
        </is>
      </c>
      <c r="B1341" s="6" t="inlineStr">
        <is>
          <t>Belém - PA</t>
        </is>
      </c>
      <c r="C1341" s="6" t="n">
        <v>-1.4554</v>
      </c>
      <c r="D1341" s="6" t="n">
        <v>-48.4898</v>
      </c>
      <c r="E1341" s="6" t="inlineStr">
        <is>
          <t>2025-08</t>
        </is>
      </c>
      <c r="F1341" s="6" t="n">
        <v>242220.70607246</v>
      </c>
      <c r="G1341" s="6" t="inlineStr">
        <is>
          <t>DOMESTICA</t>
        </is>
      </c>
      <c r="H1341" s="6" t="inlineStr">
        <is>
          <t>FIXO</t>
        </is>
      </c>
      <c r="I1341" s="11">
        <f>IF($H1341="AUTO_OFERTA_TOTAL_PRODUTO_PERIODO",SUMIFS(Oferta!$F:$F,Oferta!$A:$A,$A1341,Oferta!$E:$E,$E1341),$F1341)</f>
        <v/>
      </c>
      <c r="J1341" s="6" t="inlineStr">
        <is>
          <t>Informado</t>
        </is>
      </c>
      <c r="K1341" s="6" t="inlineStr">
        <is>
          <t>Demanda doméstica fixa informada pelo usuário.</t>
        </is>
      </c>
    </row>
    <row r="1342">
      <c r="A1342" s="6" t="inlineStr">
        <is>
          <t>Milho</t>
        </is>
      </c>
      <c r="B1342" s="6" t="inlineStr">
        <is>
          <t>Belém - PA</t>
        </is>
      </c>
      <c r="C1342" s="6" t="n">
        <v>-1.4554</v>
      </c>
      <c r="D1342" s="6" t="n">
        <v>-48.4898</v>
      </c>
      <c r="E1342" s="6" t="inlineStr">
        <is>
          <t>2025-09</t>
        </is>
      </c>
      <c r="F1342" s="6" t="n">
        <v>156573.6055827503</v>
      </c>
      <c r="G1342" s="6" t="inlineStr">
        <is>
          <t>DOMESTICA</t>
        </is>
      </c>
      <c r="H1342" s="6" t="inlineStr">
        <is>
          <t>FIXO</t>
        </is>
      </c>
      <c r="I1342" s="11">
        <f>IF($H1342="AUTO_OFERTA_TOTAL_PRODUTO_PERIODO",SUMIFS(Oferta!$F:$F,Oferta!$A:$A,$A1342,Oferta!$E:$E,$E1342),$F1342)</f>
        <v/>
      </c>
      <c r="J1342" s="6" t="inlineStr">
        <is>
          <t>Informado</t>
        </is>
      </c>
      <c r="K1342" s="6" t="inlineStr">
        <is>
          <t>Demanda doméstica fixa informada pelo usuário.</t>
        </is>
      </c>
    </row>
    <row r="1343">
      <c r="A1343" s="6" t="inlineStr">
        <is>
          <t>Milho</t>
        </is>
      </c>
      <c r="B1343" s="6" t="inlineStr">
        <is>
          <t>Belém - PA</t>
        </is>
      </c>
      <c r="C1343" s="6" t="n">
        <v>-1.4554</v>
      </c>
      <c r="D1343" s="6" t="n">
        <v>-48.4898</v>
      </c>
      <c r="E1343" s="6" t="inlineStr">
        <is>
          <t>2025-10</t>
        </is>
      </c>
      <c r="F1343" s="6" t="n">
        <v>135161.830460323</v>
      </c>
      <c r="G1343" s="6" t="inlineStr">
        <is>
          <t>DOMESTICA</t>
        </is>
      </c>
      <c r="H1343" s="6" t="inlineStr">
        <is>
          <t>FIXO</t>
        </is>
      </c>
      <c r="I1343" s="11">
        <f>IF($H1343="AUTO_OFERTA_TOTAL_PRODUTO_PERIODO",SUMIFS(Oferta!$F:$F,Oferta!$A:$A,$A1343,Oferta!$E:$E,$E1343),$F1343)</f>
        <v/>
      </c>
      <c r="J1343" s="6" t="inlineStr">
        <is>
          <t>Informado</t>
        </is>
      </c>
      <c r="K1343" s="6" t="inlineStr">
        <is>
          <t>Demanda doméstica fixa informada pelo usuário.</t>
        </is>
      </c>
    </row>
    <row r="1344">
      <c r="A1344" s="6" t="inlineStr">
        <is>
          <t>Milho</t>
        </is>
      </c>
      <c r="B1344" s="6" t="inlineStr">
        <is>
          <t>Belém - PA</t>
        </is>
      </c>
      <c r="C1344" s="6" t="n">
        <v>-1.4554</v>
      </c>
      <c r="D1344" s="6" t="n">
        <v>-48.4898</v>
      </c>
      <c r="E1344" s="6" t="inlineStr">
        <is>
          <t>2025-11</t>
        </is>
      </c>
      <c r="F1344" s="6" t="n">
        <v>135161.830460323</v>
      </c>
      <c r="G1344" s="6" t="inlineStr">
        <is>
          <t>DOMESTICA</t>
        </is>
      </c>
      <c r="H1344" s="6" t="inlineStr">
        <is>
          <t>FIXO</t>
        </is>
      </c>
      <c r="I1344" s="11">
        <f>IF($H1344="AUTO_OFERTA_TOTAL_PRODUTO_PERIODO",SUMIFS(Oferta!$F:$F,Oferta!$A:$A,$A1344,Oferta!$E:$E,$E1344),$F1344)</f>
        <v/>
      </c>
      <c r="J1344" s="6" t="inlineStr">
        <is>
          <t>Informado</t>
        </is>
      </c>
      <c r="K1344" s="6" t="inlineStr">
        <is>
          <t>Demanda doméstica fixa informada pelo usuário.</t>
        </is>
      </c>
    </row>
    <row r="1345">
      <c r="A1345" s="6" t="inlineStr">
        <is>
          <t>Milho</t>
        </is>
      </c>
      <c r="B1345" s="6" t="inlineStr">
        <is>
          <t>Belém - PA</t>
        </is>
      </c>
      <c r="C1345" s="6" t="n">
        <v>-1.4554</v>
      </c>
      <c r="D1345" s="6" t="n">
        <v>-48.4898</v>
      </c>
      <c r="E1345" s="6" t="inlineStr">
        <is>
          <t>2025-12</t>
        </is>
      </c>
      <c r="F1345" s="6" t="n">
        <v>135161.830460323</v>
      </c>
      <c r="G1345" s="6" t="inlineStr">
        <is>
          <t>DOMESTICA</t>
        </is>
      </c>
      <c r="H1345" s="6" t="inlineStr">
        <is>
          <t>FIXO</t>
        </is>
      </c>
      <c r="I1345" s="11">
        <f>IF($H1345="AUTO_OFERTA_TOTAL_PRODUTO_PERIODO",SUMIFS(Oferta!$F:$F,Oferta!$A:$A,$A1345,Oferta!$E:$E,$E1345),$F1345)</f>
        <v/>
      </c>
      <c r="J1345" s="6" t="inlineStr">
        <is>
          <t>Informado</t>
        </is>
      </c>
      <c r="K1345" s="6" t="inlineStr">
        <is>
          <t>Demanda doméstica fixa informada pelo usuário.</t>
        </is>
      </c>
    </row>
    <row r="1346">
      <c r="A1346" s="6" t="inlineStr">
        <is>
          <t>Milho</t>
        </is>
      </c>
      <c r="B1346" s="6" t="inlineStr">
        <is>
          <t>Porto Velho - RO</t>
        </is>
      </c>
      <c r="C1346" s="6" t="n">
        <v>-8.760770000000001</v>
      </c>
      <c r="D1346" s="6" t="n">
        <v>-63.8999</v>
      </c>
      <c r="E1346" s="6" t="inlineStr">
        <is>
          <t>2025-01</t>
        </is>
      </c>
      <c r="F1346" s="6" t="n">
        <v>39779.704316583</v>
      </c>
      <c r="G1346" s="6" t="inlineStr">
        <is>
          <t>DOMESTICA</t>
        </is>
      </c>
      <c r="H1346" s="6" t="inlineStr">
        <is>
          <t>FIXO</t>
        </is>
      </c>
      <c r="I1346" s="11">
        <f>IF($H1346="AUTO_OFERTA_TOTAL_PRODUTO_PERIODO",SUMIFS(Oferta!$F:$F,Oferta!$A:$A,$A1346,Oferta!$E:$E,$E1346),$F1346)</f>
        <v/>
      </c>
      <c r="J1346" s="6" t="inlineStr">
        <is>
          <t>Informado</t>
        </is>
      </c>
      <c r="K1346" s="6" t="inlineStr">
        <is>
          <t>Demanda doméstica fixa informada pelo usuário.</t>
        </is>
      </c>
    </row>
    <row r="1347">
      <c r="A1347" s="6" t="inlineStr">
        <is>
          <t>Milho</t>
        </is>
      </c>
      <c r="B1347" s="6" t="inlineStr">
        <is>
          <t>Porto Velho - RO</t>
        </is>
      </c>
      <c r="C1347" s="6" t="n">
        <v>-8.760770000000001</v>
      </c>
      <c r="D1347" s="6" t="n">
        <v>-63.8999</v>
      </c>
      <c r="E1347" s="6" t="inlineStr">
        <is>
          <t>2025-02</t>
        </is>
      </c>
      <c r="F1347" s="6" t="n">
        <v>43912.6606092149</v>
      </c>
      <c r="G1347" s="6" t="inlineStr">
        <is>
          <t>DOMESTICA</t>
        </is>
      </c>
      <c r="H1347" s="6" t="inlineStr">
        <is>
          <t>FIXO</t>
        </is>
      </c>
      <c r="I1347" s="11">
        <f>IF($H1347="AUTO_OFERTA_TOTAL_PRODUTO_PERIODO",SUMIFS(Oferta!$F:$F,Oferta!$A:$A,$A1347,Oferta!$E:$E,$E1347),$F1347)</f>
        <v/>
      </c>
      <c r="J1347" s="6" t="inlineStr">
        <is>
          <t>Informado</t>
        </is>
      </c>
      <c r="K1347" s="6" t="inlineStr">
        <is>
          <t>Demanda doméstica fixa informada pelo usuário.</t>
        </is>
      </c>
    </row>
    <row r="1348">
      <c r="A1348" s="6" t="inlineStr">
        <is>
          <t>Milho</t>
        </is>
      </c>
      <c r="B1348" s="6" t="inlineStr">
        <is>
          <t>Porto Velho - RO</t>
        </is>
      </c>
      <c r="C1348" s="6" t="n">
        <v>-8.760770000000001</v>
      </c>
      <c r="D1348" s="6" t="n">
        <v>-63.8999</v>
      </c>
      <c r="E1348" s="6" t="inlineStr">
        <is>
          <t>2025-03</t>
        </is>
      </c>
      <c r="F1348" s="6" t="n">
        <v>68710.3983650069</v>
      </c>
      <c r="G1348" s="6" t="inlineStr">
        <is>
          <t>DOMESTICA</t>
        </is>
      </c>
      <c r="H1348" s="6" t="inlineStr">
        <is>
          <t>FIXO</t>
        </is>
      </c>
      <c r="I1348" s="11">
        <f>IF($H1348="AUTO_OFERTA_TOTAL_PRODUTO_PERIODO",SUMIFS(Oferta!$F:$F,Oferta!$A:$A,$A1348,Oferta!$E:$E,$E1348),$F1348)</f>
        <v/>
      </c>
      <c r="J1348" s="6" t="inlineStr">
        <is>
          <t>Informado</t>
        </is>
      </c>
      <c r="K1348" s="6" t="inlineStr">
        <is>
          <t>Demanda doméstica fixa informada pelo usuário.</t>
        </is>
      </c>
    </row>
    <row r="1349">
      <c r="A1349" s="6" t="inlineStr">
        <is>
          <t>Milho</t>
        </is>
      </c>
      <c r="B1349" s="6" t="inlineStr">
        <is>
          <t>Porto Velho - RO</t>
        </is>
      </c>
      <c r="C1349" s="6" t="n">
        <v>-8.760770000000001</v>
      </c>
      <c r="D1349" s="6" t="n">
        <v>-63.8999</v>
      </c>
      <c r="E1349" s="6" t="inlineStr">
        <is>
          <t>2025-04</t>
        </is>
      </c>
      <c r="F1349" s="6" t="n">
        <v>68710.3983650069</v>
      </c>
      <c r="G1349" s="6" t="inlineStr">
        <is>
          <t>DOMESTICA</t>
        </is>
      </c>
      <c r="H1349" s="6" t="inlineStr">
        <is>
          <t>FIXO</t>
        </is>
      </c>
      <c r="I1349" s="11">
        <f>IF($H1349="AUTO_OFERTA_TOTAL_PRODUTO_PERIODO",SUMIFS(Oferta!$F:$F,Oferta!$A:$A,$A1349,Oferta!$E:$E,$E1349),$F1349)</f>
        <v/>
      </c>
      <c r="J1349" s="6" t="inlineStr">
        <is>
          <t>Informado</t>
        </is>
      </c>
      <c r="K1349" s="6" t="inlineStr">
        <is>
          <t>Demanda doméstica fixa informada pelo usuário.</t>
        </is>
      </c>
    </row>
    <row r="1350">
      <c r="A1350" s="6" t="inlineStr">
        <is>
          <t>Milho</t>
        </is>
      </c>
      <c r="B1350" s="6" t="inlineStr">
        <is>
          <t>Porto Velho - RO</t>
        </is>
      </c>
      <c r="C1350" s="6" t="n">
        <v>-8.760770000000001</v>
      </c>
      <c r="D1350" s="6" t="n">
        <v>-63.8999</v>
      </c>
      <c r="E1350" s="6" t="inlineStr">
        <is>
          <t>2025-05</t>
        </is>
      </c>
      <c r="F1350" s="6" t="n">
        <v>68710.3983650069</v>
      </c>
      <c r="G1350" s="6" t="inlineStr">
        <is>
          <t>DOMESTICA</t>
        </is>
      </c>
      <c r="H1350" s="6" t="inlineStr">
        <is>
          <t>FIXO</t>
        </is>
      </c>
      <c r="I1350" s="11">
        <f>IF($H1350="AUTO_OFERTA_TOTAL_PRODUTO_PERIODO",SUMIFS(Oferta!$F:$F,Oferta!$A:$A,$A1350,Oferta!$E:$E,$E1350),$F1350)</f>
        <v/>
      </c>
      <c r="J1350" s="6" t="inlineStr">
        <is>
          <t>Informado</t>
        </is>
      </c>
      <c r="K1350" s="6" t="inlineStr">
        <is>
          <t>Demanda doméstica fixa informada pelo usuário.</t>
        </is>
      </c>
    </row>
    <row r="1351">
      <c r="A1351" s="6" t="inlineStr">
        <is>
          <t>Milho</t>
        </is>
      </c>
      <c r="B1351" s="6" t="inlineStr">
        <is>
          <t>Porto Velho - RO</t>
        </is>
      </c>
      <c r="C1351" s="6" t="n">
        <v>-8.760770000000001</v>
      </c>
      <c r="D1351" s="6" t="n">
        <v>-63.8999</v>
      </c>
      <c r="E1351" s="6" t="inlineStr">
        <is>
          <t>2025-06</t>
        </is>
      </c>
      <c r="F1351" s="6" t="n">
        <v>48045.616901847</v>
      </c>
      <c r="G1351" s="6" t="inlineStr">
        <is>
          <t>DOMESTICA</t>
        </is>
      </c>
      <c r="H1351" s="6" t="inlineStr">
        <is>
          <t>FIXO</t>
        </is>
      </c>
      <c r="I1351" s="11">
        <f>IF($H1351="AUTO_OFERTA_TOTAL_PRODUTO_PERIODO",SUMIFS(Oferta!$F:$F,Oferta!$A:$A,$A1351,Oferta!$E:$E,$E1351),$F1351)</f>
        <v/>
      </c>
      <c r="J1351" s="6" t="inlineStr">
        <is>
          <t>Informado</t>
        </is>
      </c>
      <c r="K1351" s="6" t="inlineStr">
        <is>
          <t>Demanda doméstica fixa informada pelo usuário.</t>
        </is>
      </c>
    </row>
    <row r="1352">
      <c r="A1352" s="6" t="inlineStr">
        <is>
          <t>Milho</t>
        </is>
      </c>
      <c r="B1352" s="6" t="inlineStr">
        <is>
          <t>Porto Velho - RO</t>
        </is>
      </c>
      <c r="C1352" s="6" t="n">
        <v>-8.760770000000001</v>
      </c>
      <c r="D1352" s="6" t="n">
        <v>-63.8999</v>
      </c>
      <c r="E1352" s="6" t="inlineStr">
        <is>
          <t>2025-07</t>
        </is>
      </c>
      <c r="F1352" s="6" t="n">
        <v>48045.616901847</v>
      </c>
      <c r="G1352" s="6" t="inlineStr">
        <is>
          <t>DOMESTICA</t>
        </is>
      </c>
      <c r="H1352" s="6" t="inlineStr">
        <is>
          <t>FIXO</t>
        </is>
      </c>
      <c r="I1352" s="11">
        <f>IF($H1352="AUTO_OFERTA_TOTAL_PRODUTO_PERIODO",SUMIFS(Oferta!$F:$F,Oferta!$A:$A,$A1352,Oferta!$E:$E,$E1352),$F1352)</f>
        <v/>
      </c>
      <c r="J1352" s="6" t="inlineStr">
        <is>
          <t>Informado</t>
        </is>
      </c>
      <c r="K1352" s="6" t="inlineStr">
        <is>
          <t>Demanda doméstica fixa informada pelo usuário.</t>
        </is>
      </c>
    </row>
    <row r="1353">
      <c r="A1353" s="6" t="inlineStr">
        <is>
          <t>Milho</t>
        </is>
      </c>
      <c r="B1353" s="6" t="inlineStr">
        <is>
          <t>Porto Velho - RO</t>
        </is>
      </c>
      <c r="C1353" s="6" t="n">
        <v>-8.760770000000001</v>
      </c>
      <c r="D1353" s="6" t="n">
        <v>-63.8999</v>
      </c>
      <c r="E1353" s="6" t="inlineStr">
        <is>
          <t>2025-08</t>
        </is>
      </c>
      <c r="F1353" s="6" t="n">
        <v>56311.5294871109</v>
      </c>
      <c r="G1353" s="6" t="inlineStr">
        <is>
          <t>DOMESTICA</t>
        </is>
      </c>
      <c r="H1353" s="6" t="inlineStr">
        <is>
          <t>FIXO</t>
        </is>
      </c>
      <c r="I1353" s="11">
        <f>IF($H1353="AUTO_OFERTA_TOTAL_PRODUTO_PERIODO",SUMIFS(Oferta!$F:$F,Oferta!$A:$A,$A1353,Oferta!$E:$E,$E1353),$F1353)</f>
        <v/>
      </c>
      <c r="J1353" s="6" t="inlineStr">
        <is>
          <t>Informado</t>
        </is>
      </c>
      <c r="K1353" s="6" t="inlineStr">
        <is>
          <t>Demanda doméstica fixa informada pelo usuário.</t>
        </is>
      </c>
    </row>
    <row r="1354">
      <c r="A1354" s="6" t="inlineStr">
        <is>
          <t>Milho</t>
        </is>
      </c>
      <c r="B1354" s="6" t="inlineStr">
        <is>
          <t>Porto Velho - RO</t>
        </is>
      </c>
      <c r="C1354" s="6" t="n">
        <v>-8.760770000000001</v>
      </c>
      <c r="D1354" s="6" t="n">
        <v>-63.8999</v>
      </c>
      <c r="E1354" s="6" t="inlineStr">
        <is>
          <t>2025-09</t>
        </is>
      </c>
      <c r="F1354" s="6" t="n">
        <v>68710.3983650069</v>
      </c>
      <c r="G1354" s="6" t="inlineStr">
        <is>
          <t>DOMESTICA</t>
        </is>
      </c>
      <c r="H1354" s="6" t="inlineStr">
        <is>
          <t>FIXO</t>
        </is>
      </c>
      <c r="I1354" s="11">
        <f>IF($H1354="AUTO_OFERTA_TOTAL_PRODUTO_PERIODO",SUMIFS(Oferta!$F:$F,Oferta!$A:$A,$A1354,Oferta!$E:$E,$E1354),$F1354)</f>
        <v/>
      </c>
      <c r="J1354" s="6" t="inlineStr">
        <is>
          <t>Informado</t>
        </is>
      </c>
      <c r="K1354" s="6" t="inlineStr">
        <is>
          <t>Demanda doméstica fixa informada pelo usuário.</t>
        </is>
      </c>
    </row>
    <row r="1355">
      <c r="A1355" s="6" t="inlineStr">
        <is>
          <t>Milho</t>
        </is>
      </c>
      <c r="B1355" s="6" t="inlineStr">
        <is>
          <t>Porto Velho - RO</t>
        </is>
      </c>
      <c r="C1355" s="6" t="n">
        <v>-8.760770000000001</v>
      </c>
      <c r="D1355" s="6" t="n">
        <v>-63.8999</v>
      </c>
      <c r="E1355" s="6" t="inlineStr">
        <is>
          <t>2025-10</t>
        </is>
      </c>
      <c r="F1355" s="6" t="n">
        <v>68710.3983650069</v>
      </c>
      <c r="G1355" s="6" t="inlineStr">
        <is>
          <t>DOMESTICA</t>
        </is>
      </c>
      <c r="H1355" s="6" t="inlineStr">
        <is>
          <t>FIXO</t>
        </is>
      </c>
      <c r="I1355" s="11">
        <f>IF($H1355="AUTO_OFERTA_TOTAL_PRODUTO_PERIODO",SUMIFS(Oferta!$F:$F,Oferta!$A:$A,$A1355,Oferta!$E:$E,$E1355),$F1355)</f>
        <v/>
      </c>
      <c r="J1355" s="6" t="inlineStr">
        <is>
          <t>Informado</t>
        </is>
      </c>
      <c r="K1355" s="6" t="inlineStr">
        <is>
          <t>Demanda doméstica fixa informada pelo usuário.</t>
        </is>
      </c>
    </row>
    <row r="1356">
      <c r="A1356" s="6" t="inlineStr">
        <is>
          <t>Milho</t>
        </is>
      </c>
      <c r="B1356" s="6" t="inlineStr">
        <is>
          <t>Porto Velho - RO</t>
        </is>
      </c>
      <c r="C1356" s="6" t="n">
        <v>-8.760770000000001</v>
      </c>
      <c r="D1356" s="6" t="n">
        <v>-63.8999</v>
      </c>
      <c r="E1356" s="6" t="inlineStr">
        <is>
          <t>2025-11</t>
        </is>
      </c>
      <c r="F1356" s="6" t="n">
        <v>56311.5294871109</v>
      </c>
      <c r="G1356" s="6" t="inlineStr">
        <is>
          <t>DOMESTICA</t>
        </is>
      </c>
      <c r="H1356" s="6" t="inlineStr">
        <is>
          <t>FIXO</t>
        </is>
      </c>
      <c r="I1356" s="11">
        <f>IF($H1356="AUTO_OFERTA_TOTAL_PRODUTO_PERIODO",SUMIFS(Oferta!$F:$F,Oferta!$A:$A,$A1356,Oferta!$E:$E,$E1356),$F1356)</f>
        <v/>
      </c>
      <c r="J1356" s="6" t="inlineStr">
        <is>
          <t>Informado</t>
        </is>
      </c>
      <c r="K1356" s="6" t="inlineStr">
        <is>
          <t>Demanda doméstica fixa informada pelo usuário.</t>
        </is>
      </c>
    </row>
    <row r="1357">
      <c r="A1357" s="6" t="inlineStr">
        <is>
          <t>Milho</t>
        </is>
      </c>
      <c r="B1357" s="6" t="inlineStr">
        <is>
          <t>Porto Velho - RO</t>
        </is>
      </c>
      <c r="C1357" s="6" t="n">
        <v>-8.760770000000001</v>
      </c>
      <c r="D1357" s="6" t="n">
        <v>-63.8999</v>
      </c>
      <c r="E1357" s="6" t="inlineStr">
        <is>
          <t>2025-12</t>
        </is>
      </c>
      <c r="F1357" s="6" t="n">
        <v>39779.704316583</v>
      </c>
      <c r="G1357" s="6" t="inlineStr">
        <is>
          <t>DOMESTICA</t>
        </is>
      </c>
      <c r="H1357" s="6" t="inlineStr">
        <is>
          <t>FIXO</t>
        </is>
      </c>
      <c r="I1357" s="11">
        <f>IF($H1357="AUTO_OFERTA_TOTAL_PRODUTO_PERIODO",SUMIFS(Oferta!$F:$F,Oferta!$A:$A,$A1357,Oferta!$E:$E,$E1357),$F1357)</f>
        <v/>
      </c>
      <c r="J1357" s="6" t="inlineStr">
        <is>
          <t>Informado</t>
        </is>
      </c>
      <c r="K1357" s="6" t="inlineStr">
        <is>
          <t>Demanda doméstica fixa informada pelo usuário.</t>
        </is>
      </c>
    </row>
    <row r="1358">
      <c r="A1358" s="6" t="inlineStr">
        <is>
          <t>Milho</t>
        </is>
      </c>
      <c r="B1358" s="6" t="inlineStr">
        <is>
          <t>Boa Vista - RR</t>
        </is>
      </c>
      <c r="C1358" s="6" t="n">
        <v>2.82384</v>
      </c>
      <c r="D1358" s="6" t="n">
        <v>-60.6753</v>
      </c>
      <c r="E1358" s="6" t="inlineStr">
        <is>
          <t>2025-01</t>
        </is>
      </c>
      <c r="F1358" s="6" t="n">
        <v>9215.467816218899</v>
      </c>
      <c r="G1358" s="6" t="inlineStr">
        <is>
          <t>DOMESTICA</t>
        </is>
      </c>
      <c r="H1358" s="6" t="inlineStr">
        <is>
          <t>FIXO</t>
        </is>
      </c>
      <c r="I1358" s="11">
        <f>IF($H1358="AUTO_OFERTA_TOTAL_PRODUTO_PERIODO",SUMIFS(Oferta!$F:$F,Oferta!$A:$A,$A1358,Oferta!$E:$E,$E1358),$F1358)</f>
        <v/>
      </c>
      <c r="J1358" s="6" t="inlineStr">
        <is>
          <t>Informado</t>
        </is>
      </c>
      <c r="K1358" s="6" t="inlineStr">
        <is>
          <t>Demanda doméstica fixa informada pelo usuário.</t>
        </is>
      </c>
    </row>
    <row r="1359">
      <c r="A1359" s="6" t="inlineStr">
        <is>
          <t>Milho</t>
        </is>
      </c>
      <c r="B1359" s="6" t="inlineStr">
        <is>
          <t>Boa Vista - RR</t>
        </is>
      </c>
      <c r="C1359" s="6" t="n">
        <v>2.82384</v>
      </c>
      <c r="D1359" s="6" t="n">
        <v>-60.6753</v>
      </c>
      <c r="E1359" s="6" t="inlineStr">
        <is>
          <t>2025-02</t>
        </is>
      </c>
      <c r="F1359" s="6" t="n">
        <v>5889.584694576</v>
      </c>
      <c r="G1359" s="6" t="inlineStr">
        <is>
          <t>DOMESTICA</t>
        </is>
      </c>
      <c r="H1359" s="6" t="inlineStr">
        <is>
          <t>FIXO</t>
        </is>
      </c>
      <c r="I1359" s="11">
        <f>IF($H1359="AUTO_OFERTA_TOTAL_PRODUTO_PERIODO",SUMIFS(Oferta!$F:$F,Oferta!$A:$A,$A1359,Oferta!$E:$E,$E1359),$F1359)</f>
        <v/>
      </c>
      <c r="J1359" s="6" t="inlineStr">
        <is>
          <t>Informado</t>
        </is>
      </c>
      <c r="K1359" s="6" t="inlineStr">
        <is>
          <t>Demanda doméstica fixa informada pelo usuário.</t>
        </is>
      </c>
    </row>
    <row r="1360">
      <c r="A1360" s="6" t="inlineStr">
        <is>
          <t>Milho</t>
        </is>
      </c>
      <c r="B1360" s="6" t="inlineStr">
        <is>
          <t>Boa Vista - RR</t>
        </is>
      </c>
      <c r="C1360" s="6" t="n">
        <v>2.82384</v>
      </c>
      <c r="D1360" s="6" t="n">
        <v>-60.6753</v>
      </c>
      <c r="E1360" s="6" t="inlineStr">
        <is>
          <t>2025-03</t>
        </is>
      </c>
      <c r="F1360" s="6" t="n">
        <v>4780.9569873617</v>
      </c>
      <c r="G1360" s="6" t="inlineStr">
        <is>
          <t>DOMESTICA</t>
        </is>
      </c>
      <c r="H1360" s="6" t="inlineStr">
        <is>
          <t>FIXO</t>
        </is>
      </c>
      <c r="I1360" s="11">
        <f>IF($H1360="AUTO_OFERTA_TOTAL_PRODUTO_PERIODO",SUMIFS(Oferta!$F:$F,Oferta!$A:$A,$A1360,Oferta!$E:$E,$E1360),$F1360)</f>
        <v/>
      </c>
      <c r="J1360" s="6" t="inlineStr">
        <is>
          <t>Informado</t>
        </is>
      </c>
      <c r="K1360" s="6" t="inlineStr">
        <is>
          <t>Demanda doméstica fixa informada pelo usuário.</t>
        </is>
      </c>
    </row>
    <row r="1361">
      <c r="A1361" s="6" t="inlineStr">
        <is>
          <t>Milho</t>
        </is>
      </c>
      <c r="B1361" s="6" t="inlineStr">
        <is>
          <t>Boa Vista - RR</t>
        </is>
      </c>
      <c r="C1361" s="6" t="n">
        <v>2.82384</v>
      </c>
      <c r="D1361" s="6" t="n">
        <v>-60.6753</v>
      </c>
      <c r="E1361" s="6" t="inlineStr">
        <is>
          <t>2025-04</t>
        </is>
      </c>
      <c r="F1361" s="6" t="n">
        <v>3672.3292801474</v>
      </c>
      <c r="G1361" s="6" t="inlineStr">
        <is>
          <t>DOMESTICA</t>
        </is>
      </c>
      <c r="H1361" s="6" t="inlineStr">
        <is>
          <t>FIXO</t>
        </is>
      </c>
      <c r="I1361" s="11">
        <f>IF($H1361="AUTO_OFERTA_TOTAL_PRODUTO_PERIODO",SUMIFS(Oferta!$F:$F,Oferta!$A:$A,$A1361,Oferta!$E:$E,$E1361),$F1361)</f>
        <v/>
      </c>
      <c r="J1361" s="6" t="inlineStr">
        <is>
          <t>Informado</t>
        </is>
      </c>
      <c r="K1361" s="6" t="inlineStr">
        <is>
          <t>Demanda doméstica fixa informada pelo usuário.</t>
        </is>
      </c>
    </row>
    <row r="1362">
      <c r="A1362" s="6" t="inlineStr">
        <is>
          <t>Milho</t>
        </is>
      </c>
      <c r="B1362" s="6" t="inlineStr">
        <is>
          <t>Boa Vista - RR</t>
        </is>
      </c>
      <c r="C1362" s="6" t="n">
        <v>2.82384</v>
      </c>
      <c r="D1362" s="6" t="n">
        <v>-60.6753</v>
      </c>
      <c r="E1362" s="6" t="inlineStr">
        <is>
          <t>2025-05</t>
        </is>
      </c>
      <c r="F1362" s="6" t="n">
        <v>3672.3292801474</v>
      </c>
      <c r="G1362" s="6" t="inlineStr">
        <is>
          <t>DOMESTICA</t>
        </is>
      </c>
      <c r="H1362" s="6" t="inlineStr">
        <is>
          <t>FIXO</t>
        </is>
      </c>
      <c r="I1362" s="11">
        <f>IF($H1362="AUTO_OFERTA_TOTAL_PRODUTO_PERIODO",SUMIFS(Oferta!$F:$F,Oferta!$A:$A,$A1362,Oferta!$E:$E,$E1362),$F1362)</f>
        <v/>
      </c>
      <c r="J1362" s="6" t="inlineStr">
        <is>
          <t>Informado</t>
        </is>
      </c>
      <c r="K1362" s="6" t="inlineStr">
        <is>
          <t>Demanda doméstica fixa informada pelo usuário.</t>
        </is>
      </c>
    </row>
    <row r="1363">
      <c r="A1363" s="6" t="inlineStr">
        <is>
          <t>Milho</t>
        </is>
      </c>
      <c r="B1363" s="6" t="inlineStr">
        <is>
          <t>Boa Vista - RR</t>
        </is>
      </c>
      <c r="C1363" s="6" t="n">
        <v>2.82384</v>
      </c>
      <c r="D1363" s="6" t="n">
        <v>-60.6753</v>
      </c>
      <c r="E1363" s="6" t="inlineStr">
        <is>
          <t>2025-06</t>
        </is>
      </c>
      <c r="F1363" s="6" t="n">
        <v>3672.3292801474</v>
      </c>
      <c r="G1363" s="6" t="inlineStr">
        <is>
          <t>DOMESTICA</t>
        </is>
      </c>
      <c r="H1363" s="6" t="inlineStr">
        <is>
          <t>FIXO</t>
        </is>
      </c>
      <c r="I1363" s="11">
        <f>IF($H1363="AUTO_OFERTA_TOTAL_PRODUTO_PERIODO",SUMIFS(Oferta!$F:$F,Oferta!$A:$A,$A1363,Oferta!$E:$E,$E1363),$F1363)</f>
        <v/>
      </c>
      <c r="J1363" s="6" t="inlineStr">
        <is>
          <t>Informado</t>
        </is>
      </c>
      <c r="K1363" s="6" t="inlineStr">
        <is>
          <t>Demanda doméstica fixa informada pelo usuário.</t>
        </is>
      </c>
    </row>
    <row r="1364">
      <c r="A1364" s="6" t="inlineStr">
        <is>
          <t>Milho</t>
        </is>
      </c>
      <c r="B1364" s="6" t="inlineStr">
        <is>
          <t>Boa Vista - RR</t>
        </is>
      </c>
      <c r="C1364" s="6" t="n">
        <v>2.82384</v>
      </c>
      <c r="D1364" s="6" t="n">
        <v>-60.6753</v>
      </c>
      <c r="E1364" s="6" t="inlineStr">
        <is>
          <t>2025-07</t>
        </is>
      </c>
      <c r="F1364" s="6" t="n">
        <v>3672.3292801474</v>
      </c>
      <c r="G1364" s="6" t="inlineStr">
        <is>
          <t>DOMESTICA</t>
        </is>
      </c>
      <c r="H1364" s="6" t="inlineStr">
        <is>
          <t>FIXO</t>
        </is>
      </c>
      <c r="I1364" s="11">
        <f>IF($H1364="AUTO_OFERTA_TOTAL_PRODUTO_PERIODO",SUMIFS(Oferta!$F:$F,Oferta!$A:$A,$A1364,Oferta!$E:$E,$E1364),$F1364)</f>
        <v/>
      </c>
      <c r="J1364" s="6" t="inlineStr">
        <is>
          <t>Informado</t>
        </is>
      </c>
      <c r="K1364" s="6" t="inlineStr">
        <is>
          <t>Demanda doméstica fixa informada pelo usuário.</t>
        </is>
      </c>
    </row>
    <row r="1365">
      <c r="A1365" s="6" t="inlineStr">
        <is>
          <t>Milho</t>
        </is>
      </c>
      <c r="B1365" s="6" t="inlineStr">
        <is>
          <t>Boa Vista - RR</t>
        </is>
      </c>
      <c r="C1365" s="6" t="n">
        <v>2.82384</v>
      </c>
      <c r="D1365" s="6" t="n">
        <v>-60.6753</v>
      </c>
      <c r="E1365" s="6" t="inlineStr">
        <is>
          <t>2025-08</t>
        </is>
      </c>
      <c r="F1365" s="6" t="n">
        <v>3672.3292801474</v>
      </c>
      <c r="G1365" s="6" t="inlineStr">
        <is>
          <t>DOMESTICA</t>
        </is>
      </c>
      <c r="H1365" s="6" t="inlineStr">
        <is>
          <t>FIXO</t>
        </is>
      </c>
      <c r="I1365" s="11">
        <f>IF($H1365="AUTO_OFERTA_TOTAL_PRODUTO_PERIODO",SUMIFS(Oferta!$F:$F,Oferta!$A:$A,$A1365,Oferta!$E:$E,$E1365),$F1365)</f>
        <v/>
      </c>
      <c r="J1365" s="6" t="inlineStr">
        <is>
          <t>Informado</t>
        </is>
      </c>
      <c r="K1365" s="6" t="inlineStr">
        <is>
          <t>Demanda doméstica fixa informada pelo usuário.</t>
        </is>
      </c>
    </row>
    <row r="1366">
      <c r="A1366" s="6" t="inlineStr">
        <is>
          <t>Milho</t>
        </is>
      </c>
      <c r="B1366" s="6" t="inlineStr">
        <is>
          <t>Boa Vista - RR</t>
        </is>
      </c>
      <c r="C1366" s="6" t="n">
        <v>2.82384</v>
      </c>
      <c r="D1366" s="6" t="n">
        <v>-60.6753</v>
      </c>
      <c r="E1366" s="6" t="inlineStr">
        <is>
          <t>2025-09</t>
        </is>
      </c>
      <c r="F1366" s="6" t="n">
        <v>4780.9569873617</v>
      </c>
      <c r="G1366" s="6" t="inlineStr">
        <is>
          <t>DOMESTICA</t>
        </is>
      </c>
      <c r="H1366" s="6" t="inlineStr">
        <is>
          <t>FIXO</t>
        </is>
      </c>
      <c r="I1366" s="11">
        <f>IF($H1366="AUTO_OFERTA_TOTAL_PRODUTO_PERIODO",SUMIFS(Oferta!$F:$F,Oferta!$A:$A,$A1366,Oferta!$E:$E,$E1366),$F1366)</f>
        <v/>
      </c>
      <c r="J1366" s="6" t="inlineStr">
        <is>
          <t>Informado</t>
        </is>
      </c>
      <c r="K1366" s="6" t="inlineStr">
        <is>
          <t>Demanda doméstica fixa informada pelo usuário.</t>
        </is>
      </c>
    </row>
    <row r="1367">
      <c r="A1367" s="6" t="inlineStr">
        <is>
          <t>Milho</t>
        </is>
      </c>
      <c r="B1367" s="6" t="inlineStr">
        <is>
          <t>Boa Vista - RR</t>
        </is>
      </c>
      <c r="C1367" s="6" t="n">
        <v>2.82384</v>
      </c>
      <c r="D1367" s="6" t="n">
        <v>-60.6753</v>
      </c>
      <c r="E1367" s="6" t="inlineStr">
        <is>
          <t>2025-10</t>
        </is>
      </c>
      <c r="F1367" s="6" t="n">
        <v>5889.584694576</v>
      </c>
      <c r="G1367" s="6" t="inlineStr">
        <is>
          <t>DOMESTICA</t>
        </is>
      </c>
      <c r="H1367" s="6" t="inlineStr">
        <is>
          <t>FIXO</t>
        </is>
      </c>
      <c r="I1367" s="11">
        <f>IF($H1367="AUTO_OFERTA_TOTAL_PRODUTO_PERIODO",SUMIFS(Oferta!$F:$F,Oferta!$A:$A,$A1367,Oferta!$E:$E,$E1367),$F1367)</f>
        <v/>
      </c>
      <c r="J1367" s="6" t="inlineStr">
        <is>
          <t>Informado</t>
        </is>
      </c>
      <c r="K1367" s="6" t="inlineStr">
        <is>
          <t>Demanda doméstica fixa informada pelo usuário.</t>
        </is>
      </c>
    </row>
    <row r="1368">
      <c r="A1368" s="6" t="inlineStr">
        <is>
          <t>Milho</t>
        </is>
      </c>
      <c r="B1368" s="6" t="inlineStr">
        <is>
          <t>Boa Vista - RR</t>
        </is>
      </c>
      <c r="C1368" s="6" t="n">
        <v>2.82384</v>
      </c>
      <c r="D1368" s="6" t="n">
        <v>-60.6753</v>
      </c>
      <c r="E1368" s="6" t="inlineStr">
        <is>
          <t>2025-11</t>
        </is>
      </c>
      <c r="F1368" s="6" t="n">
        <v>9215.467816218899</v>
      </c>
      <c r="G1368" s="6" t="inlineStr">
        <is>
          <t>DOMESTICA</t>
        </is>
      </c>
      <c r="H1368" s="6" t="inlineStr">
        <is>
          <t>FIXO</t>
        </is>
      </c>
      <c r="I1368" s="11">
        <f>IF($H1368="AUTO_OFERTA_TOTAL_PRODUTO_PERIODO",SUMIFS(Oferta!$F:$F,Oferta!$A:$A,$A1368,Oferta!$E:$E,$E1368),$F1368)</f>
        <v/>
      </c>
      <c r="J1368" s="6" t="inlineStr">
        <is>
          <t>Informado</t>
        </is>
      </c>
      <c r="K1368" s="6" t="inlineStr">
        <is>
          <t>Demanda doméstica fixa informada pelo usuário.</t>
        </is>
      </c>
    </row>
    <row r="1369">
      <c r="A1369" s="6" t="inlineStr">
        <is>
          <t>Milho</t>
        </is>
      </c>
      <c r="B1369" s="6" t="inlineStr">
        <is>
          <t>Boa Vista - RR</t>
        </is>
      </c>
      <c r="C1369" s="6" t="n">
        <v>2.82384</v>
      </c>
      <c r="D1369" s="6" t="n">
        <v>-60.6753</v>
      </c>
      <c r="E1369" s="6" t="inlineStr">
        <is>
          <t>2025-12</t>
        </is>
      </c>
      <c r="F1369" s="6" t="n">
        <v>9215.467816218899</v>
      </c>
      <c r="G1369" s="6" t="inlineStr">
        <is>
          <t>DOMESTICA</t>
        </is>
      </c>
      <c r="H1369" s="6" t="inlineStr">
        <is>
          <t>FIXO</t>
        </is>
      </c>
      <c r="I1369" s="11">
        <f>IF($H1369="AUTO_OFERTA_TOTAL_PRODUTO_PERIODO",SUMIFS(Oferta!$F:$F,Oferta!$A:$A,$A1369,Oferta!$E:$E,$E1369),$F1369)</f>
        <v/>
      </c>
      <c r="J1369" s="6" t="inlineStr">
        <is>
          <t>Informado</t>
        </is>
      </c>
      <c r="K1369" s="6" t="inlineStr">
        <is>
          <t>Demanda doméstica fixa informada pelo usuário.</t>
        </is>
      </c>
    </row>
    <row r="1370">
      <c r="A1370" s="6" t="inlineStr">
        <is>
          <t>Milho</t>
        </is>
      </c>
      <c r="B1370" s="6" t="inlineStr">
        <is>
          <t>Palmas - TO</t>
        </is>
      </c>
      <c r="C1370" s="6" t="n">
        <v>-10.24</v>
      </c>
      <c r="D1370" s="6" t="n">
        <v>-48.3558</v>
      </c>
      <c r="E1370" s="6" t="inlineStr">
        <is>
          <t>2025-01</t>
        </is>
      </c>
      <c r="F1370" s="6" t="n">
        <v>24561.054170392</v>
      </c>
      <c r="G1370" s="6" t="inlineStr">
        <is>
          <t>DOMESTICA</t>
        </is>
      </c>
      <c r="H1370" s="6" t="inlineStr">
        <is>
          <t>FIXO</t>
        </is>
      </c>
      <c r="I1370" s="11">
        <f>IF($H1370="AUTO_OFERTA_TOTAL_PRODUTO_PERIODO",SUMIFS(Oferta!$F:$F,Oferta!$A:$A,$A1370,Oferta!$E:$E,$E1370),$F1370)</f>
        <v/>
      </c>
      <c r="J1370" s="6" t="inlineStr">
        <is>
          <t>Informado</t>
        </is>
      </c>
      <c r="K1370" s="6" t="inlineStr">
        <is>
          <t>Demanda doméstica fixa informada pelo usuário.</t>
        </is>
      </c>
    </row>
    <row r="1371">
      <c r="A1371" s="6" t="inlineStr">
        <is>
          <t>Milho</t>
        </is>
      </c>
      <c r="B1371" s="6" t="inlineStr">
        <is>
          <t>Palmas - TO</t>
        </is>
      </c>
      <c r="C1371" s="6" t="n">
        <v>-10.24</v>
      </c>
      <c r="D1371" s="6" t="n">
        <v>-48.3558</v>
      </c>
      <c r="E1371" s="6" t="inlineStr">
        <is>
          <t>2025-02</t>
        </is>
      </c>
      <c r="F1371" s="6" t="n">
        <v>24561.054170392</v>
      </c>
      <c r="G1371" s="6" t="inlineStr">
        <is>
          <t>DOMESTICA</t>
        </is>
      </c>
      <c r="H1371" s="6" t="inlineStr">
        <is>
          <t>FIXO</t>
        </is>
      </c>
      <c r="I1371" s="11">
        <f>IF($H1371="AUTO_OFERTA_TOTAL_PRODUTO_PERIODO",SUMIFS(Oferta!$F:$F,Oferta!$A:$A,$A1371,Oferta!$E:$E,$E1371),$F1371)</f>
        <v/>
      </c>
      <c r="J1371" s="6" t="inlineStr">
        <is>
          <t>Informado</t>
        </is>
      </c>
      <c r="K1371" s="6" t="inlineStr">
        <is>
          <t>Demanda doméstica fixa informada pelo usuário.</t>
        </is>
      </c>
    </row>
    <row r="1372">
      <c r="A1372" s="6" t="inlineStr">
        <is>
          <t>Milho</t>
        </is>
      </c>
      <c r="B1372" s="6" t="inlineStr">
        <is>
          <t>Palmas - TO</t>
        </is>
      </c>
      <c r="C1372" s="6" t="n">
        <v>-10.24</v>
      </c>
      <c r="D1372" s="6" t="n">
        <v>-48.3558</v>
      </c>
      <c r="E1372" s="6" t="inlineStr">
        <is>
          <t>2025-03</t>
        </is>
      </c>
      <c r="F1372" s="6" t="n">
        <v>28268.3831017719</v>
      </c>
      <c r="G1372" s="6" t="inlineStr">
        <is>
          <t>DOMESTICA</t>
        </is>
      </c>
      <c r="H1372" s="6" t="inlineStr">
        <is>
          <t>FIXO</t>
        </is>
      </c>
      <c r="I1372" s="11">
        <f>IF($H1372="AUTO_OFERTA_TOTAL_PRODUTO_PERIODO",SUMIFS(Oferta!$F:$F,Oferta!$A:$A,$A1372,Oferta!$E:$E,$E1372),$F1372)</f>
        <v/>
      </c>
      <c r="J1372" s="6" t="inlineStr">
        <is>
          <t>Informado</t>
        </is>
      </c>
      <c r="K1372" s="6" t="inlineStr">
        <is>
          <t>Demanda doméstica fixa informada pelo usuário.</t>
        </is>
      </c>
    </row>
    <row r="1373">
      <c r="A1373" s="6" t="inlineStr">
        <is>
          <t>Milho</t>
        </is>
      </c>
      <c r="B1373" s="6" t="inlineStr">
        <is>
          <t>Palmas - TO</t>
        </is>
      </c>
      <c r="C1373" s="6" t="n">
        <v>-10.24</v>
      </c>
      <c r="D1373" s="6" t="n">
        <v>-48.3558</v>
      </c>
      <c r="E1373" s="6" t="inlineStr">
        <is>
          <t>2025-04</t>
        </is>
      </c>
      <c r="F1373" s="6" t="n">
        <v>35683.0409645317</v>
      </c>
      <c r="G1373" s="6" t="inlineStr">
        <is>
          <t>DOMESTICA</t>
        </is>
      </c>
      <c r="H1373" s="6" t="inlineStr">
        <is>
          <t>FIXO</t>
        </is>
      </c>
      <c r="I1373" s="11">
        <f>IF($H1373="AUTO_OFERTA_TOTAL_PRODUTO_PERIODO",SUMIFS(Oferta!$F:$F,Oferta!$A:$A,$A1373,Oferta!$E:$E,$E1373),$F1373)</f>
        <v/>
      </c>
      <c r="J1373" s="6" t="inlineStr">
        <is>
          <t>Informado</t>
        </is>
      </c>
      <c r="K1373" s="6" t="inlineStr">
        <is>
          <t>Demanda doméstica fixa informada pelo usuário.</t>
        </is>
      </c>
    </row>
    <row r="1374">
      <c r="A1374" s="6" t="inlineStr">
        <is>
          <t>Milho</t>
        </is>
      </c>
      <c r="B1374" s="6" t="inlineStr">
        <is>
          <t>Palmas - TO</t>
        </is>
      </c>
      <c r="C1374" s="6" t="n">
        <v>-10.24</v>
      </c>
      <c r="D1374" s="6" t="n">
        <v>-48.3558</v>
      </c>
      <c r="E1374" s="6" t="inlineStr">
        <is>
          <t>2025-05</t>
        </is>
      </c>
      <c r="F1374" s="6" t="n">
        <v>50512.3566900514</v>
      </c>
      <c r="G1374" s="6" t="inlineStr">
        <is>
          <t>DOMESTICA</t>
        </is>
      </c>
      <c r="H1374" s="6" t="inlineStr">
        <is>
          <t>FIXO</t>
        </is>
      </c>
      <c r="I1374" s="11">
        <f>IF($H1374="AUTO_OFERTA_TOTAL_PRODUTO_PERIODO",SUMIFS(Oferta!$F:$F,Oferta!$A:$A,$A1374,Oferta!$E:$E,$E1374),$F1374)</f>
        <v/>
      </c>
      <c r="J1374" s="6" t="inlineStr">
        <is>
          <t>Informado</t>
        </is>
      </c>
      <c r="K1374" s="6" t="inlineStr">
        <is>
          <t>Demanda doméstica fixa informada pelo usuário.</t>
        </is>
      </c>
    </row>
    <row r="1375">
      <c r="A1375" s="6" t="inlineStr">
        <is>
          <t>Milho</t>
        </is>
      </c>
      <c r="B1375" s="6" t="inlineStr">
        <is>
          <t>Palmas - TO</t>
        </is>
      </c>
      <c r="C1375" s="6" t="n">
        <v>-10.24</v>
      </c>
      <c r="D1375" s="6" t="n">
        <v>-48.3558</v>
      </c>
      <c r="E1375" s="6" t="inlineStr">
        <is>
          <t>2025-06</t>
        </is>
      </c>
      <c r="F1375" s="6" t="n">
        <v>69049.001346951</v>
      </c>
      <c r="G1375" s="6" t="inlineStr">
        <is>
          <t>DOMESTICA</t>
        </is>
      </c>
      <c r="H1375" s="6" t="inlineStr">
        <is>
          <t>FIXO</t>
        </is>
      </c>
      <c r="I1375" s="11">
        <f>IF($H1375="AUTO_OFERTA_TOTAL_PRODUTO_PERIODO",SUMIFS(Oferta!$F:$F,Oferta!$A:$A,$A1375,Oferta!$E:$E,$E1375),$F1375)</f>
        <v/>
      </c>
      <c r="J1375" s="6" t="inlineStr">
        <is>
          <t>Informado</t>
        </is>
      </c>
      <c r="K1375" s="6" t="inlineStr">
        <is>
          <t>Demanda doméstica fixa informada pelo usuário.</t>
        </is>
      </c>
    </row>
    <row r="1376">
      <c r="A1376" s="6" t="inlineStr">
        <is>
          <t>Milho</t>
        </is>
      </c>
      <c r="B1376" s="6" t="inlineStr">
        <is>
          <t>Palmas - TO</t>
        </is>
      </c>
      <c r="C1376" s="6" t="n">
        <v>-10.24</v>
      </c>
      <c r="D1376" s="6" t="n">
        <v>-48.3558</v>
      </c>
      <c r="E1376" s="6" t="inlineStr">
        <is>
          <t>2025-07</t>
        </is>
      </c>
      <c r="F1376" s="6" t="n">
        <v>76463.6592097109</v>
      </c>
      <c r="G1376" s="6" t="inlineStr">
        <is>
          <t>DOMESTICA</t>
        </is>
      </c>
      <c r="H1376" s="6" t="inlineStr">
        <is>
          <t>FIXO</t>
        </is>
      </c>
      <c r="I1376" s="11">
        <f>IF($H1376="AUTO_OFERTA_TOTAL_PRODUTO_PERIODO",SUMIFS(Oferta!$F:$F,Oferta!$A:$A,$A1376,Oferta!$E:$E,$E1376),$F1376)</f>
        <v/>
      </c>
      <c r="J1376" s="6" t="inlineStr">
        <is>
          <t>Informado</t>
        </is>
      </c>
      <c r="K1376" s="6" t="inlineStr">
        <is>
          <t>Demanda doméstica fixa informada pelo usuário.</t>
        </is>
      </c>
    </row>
    <row r="1377">
      <c r="A1377" s="6" t="inlineStr">
        <is>
          <t>Milho</t>
        </is>
      </c>
      <c r="B1377" s="6" t="inlineStr">
        <is>
          <t>Palmas - TO</t>
        </is>
      </c>
      <c r="C1377" s="6" t="n">
        <v>-10.24</v>
      </c>
      <c r="D1377" s="6" t="n">
        <v>-48.3558</v>
      </c>
      <c r="E1377" s="6" t="inlineStr">
        <is>
          <t>2025-08</t>
        </is>
      </c>
      <c r="F1377" s="6" t="n">
        <v>83878.3170724707</v>
      </c>
      <c r="G1377" s="6" t="inlineStr">
        <is>
          <t>DOMESTICA</t>
        </is>
      </c>
      <c r="H1377" s="6" t="inlineStr">
        <is>
          <t>FIXO</t>
        </is>
      </c>
      <c r="I1377" s="11">
        <f>IF($H1377="AUTO_OFERTA_TOTAL_PRODUTO_PERIODO",SUMIFS(Oferta!$F:$F,Oferta!$A:$A,$A1377,Oferta!$E:$E,$E1377),$F1377)</f>
        <v/>
      </c>
      <c r="J1377" s="6" t="inlineStr">
        <is>
          <t>Informado</t>
        </is>
      </c>
      <c r="K1377" s="6" t="inlineStr">
        <is>
          <t>Demanda doméstica fixa informada pelo usuário.</t>
        </is>
      </c>
    </row>
    <row r="1378">
      <c r="A1378" s="6" t="inlineStr">
        <is>
          <t>Milho</t>
        </is>
      </c>
      <c r="B1378" s="6" t="inlineStr">
        <is>
          <t>Palmas - TO</t>
        </is>
      </c>
      <c r="C1378" s="6" t="n">
        <v>-10.24</v>
      </c>
      <c r="D1378" s="6" t="n">
        <v>-48.3558</v>
      </c>
      <c r="E1378" s="6" t="inlineStr">
        <is>
          <t>2025-09</t>
        </is>
      </c>
      <c r="F1378" s="6" t="n">
        <v>69049.001346951</v>
      </c>
      <c r="G1378" s="6" t="inlineStr">
        <is>
          <t>DOMESTICA</t>
        </is>
      </c>
      <c r="H1378" s="6" t="inlineStr">
        <is>
          <t>FIXO</t>
        </is>
      </c>
      <c r="I1378" s="11">
        <f>IF($H1378="AUTO_OFERTA_TOTAL_PRODUTO_PERIODO",SUMIFS(Oferta!$F:$F,Oferta!$A:$A,$A1378,Oferta!$E:$E,$E1378),$F1378)</f>
        <v/>
      </c>
      <c r="J1378" s="6" t="inlineStr">
        <is>
          <t>Informado</t>
        </is>
      </c>
      <c r="K1378" s="6" t="inlineStr">
        <is>
          <t>Demanda doméstica fixa informada pelo usuário.</t>
        </is>
      </c>
    </row>
    <row r="1379">
      <c r="A1379" s="6" t="inlineStr">
        <is>
          <t>Milho</t>
        </is>
      </c>
      <c r="B1379" s="6" t="inlineStr">
        <is>
          <t>Palmas - TO</t>
        </is>
      </c>
      <c r="C1379" s="6" t="n">
        <v>-10.24</v>
      </c>
      <c r="D1379" s="6" t="n">
        <v>-48.3558</v>
      </c>
      <c r="E1379" s="6" t="inlineStr">
        <is>
          <t>2025-10</t>
        </is>
      </c>
      <c r="F1379" s="6" t="n">
        <v>61634.3434841912</v>
      </c>
      <c r="G1379" s="6" t="inlineStr">
        <is>
          <t>DOMESTICA</t>
        </is>
      </c>
      <c r="H1379" s="6" t="inlineStr">
        <is>
          <t>FIXO</t>
        </is>
      </c>
      <c r="I1379" s="11">
        <f>IF($H1379="AUTO_OFERTA_TOTAL_PRODUTO_PERIODO",SUMIFS(Oferta!$F:$F,Oferta!$A:$A,$A1379,Oferta!$E:$E,$E1379),$F1379)</f>
        <v/>
      </c>
      <c r="J1379" s="6" t="inlineStr">
        <is>
          <t>Informado</t>
        </is>
      </c>
      <c r="K1379" s="6" t="inlineStr">
        <is>
          <t>Demanda doméstica fixa informada pelo usuário.</t>
        </is>
      </c>
    </row>
    <row r="1380">
      <c r="A1380" s="6" t="inlineStr">
        <is>
          <t>Milho</t>
        </is>
      </c>
      <c r="B1380" s="6" t="inlineStr">
        <is>
          <t>Palmas - TO</t>
        </is>
      </c>
      <c r="C1380" s="6" t="n">
        <v>-10.24</v>
      </c>
      <c r="D1380" s="6" t="n">
        <v>-48.3558</v>
      </c>
      <c r="E1380" s="6" t="inlineStr">
        <is>
          <t>2025-11</t>
        </is>
      </c>
      <c r="F1380" s="6" t="n">
        <v>39390.3698959117</v>
      </c>
      <c r="G1380" s="6" t="inlineStr">
        <is>
          <t>DOMESTICA</t>
        </is>
      </c>
      <c r="H1380" s="6" t="inlineStr">
        <is>
          <t>FIXO</t>
        </is>
      </c>
      <c r="I1380" s="11">
        <f>IF($H1380="AUTO_OFERTA_TOTAL_PRODUTO_PERIODO",SUMIFS(Oferta!$F:$F,Oferta!$A:$A,$A1380,Oferta!$E:$E,$E1380),$F1380)</f>
        <v/>
      </c>
      <c r="J1380" s="6" t="inlineStr">
        <is>
          <t>Informado</t>
        </is>
      </c>
      <c r="K1380" s="6" t="inlineStr">
        <is>
          <t>Demanda doméstica fixa informada pelo usuário.</t>
        </is>
      </c>
    </row>
    <row r="1381">
      <c r="A1381" s="6" t="inlineStr">
        <is>
          <t>Milho</t>
        </is>
      </c>
      <c r="B1381" s="6" t="inlineStr">
        <is>
          <t>Palmas - TO</t>
        </is>
      </c>
      <c r="C1381" s="6" t="n">
        <v>-10.24</v>
      </c>
      <c r="D1381" s="6" t="n">
        <v>-48.3558</v>
      </c>
      <c r="E1381" s="6" t="inlineStr">
        <is>
          <t>2025-12</t>
        </is>
      </c>
      <c r="F1381" s="6" t="n">
        <v>31975.7120331518</v>
      </c>
      <c r="G1381" s="6" t="inlineStr">
        <is>
          <t>DOMESTICA</t>
        </is>
      </c>
      <c r="H1381" s="6" t="inlineStr">
        <is>
          <t>FIXO</t>
        </is>
      </c>
      <c r="I1381" s="11">
        <f>IF($H1381="AUTO_OFERTA_TOTAL_PRODUTO_PERIODO",SUMIFS(Oferta!$F:$F,Oferta!$A:$A,$A1381,Oferta!$E:$E,$E1381),$F1381)</f>
        <v/>
      </c>
      <c r="J1381" s="6" t="inlineStr">
        <is>
          <t>Informado</t>
        </is>
      </c>
      <c r="K1381" s="6" t="inlineStr">
        <is>
          <t>Demanda doméstica fixa informada pelo usuário.</t>
        </is>
      </c>
    </row>
    <row r="1382">
      <c r="A1382" s="6" t="inlineStr">
        <is>
          <t>Milho</t>
        </is>
      </c>
      <c r="B1382" s="6" t="inlineStr">
        <is>
          <t>Maceió - AL</t>
        </is>
      </c>
      <c r="C1382" s="6" t="n">
        <v>-9.665990000000001</v>
      </c>
      <c r="D1382" s="6" t="n">
        <v>-35.735</v>
      </c>
      <c r="E1382" s="6" t="inlineStr">
        <is>
          <t>2025-01</t>
        </is>
      </c>
      <c r="F1382" s="6" t="n">
        <v>90072.7848326774</v>
      </c>
      <c r="G1382" s="6" t="inlineStr">
        <is>
          <t>DOMESTICA</t>
        </is>
      </c>
      <c r="H1382" s="6" t="inlineStr">
        <is>
          <t>FIXO</t>
        </is>
      </c>
      <c r="I1382" s="11">
        <f>IF($H1382="AUTO_OFERTA_TOTAL_PRODUTO_PERIODO",SUMIFS(Oferta!$F:$F,Oferta!$A:$A,$A1382,Oferta!$E:$E,$E1382),$F1382)</f>
        <v/>
      </c>
      <c r="J1382" s="6" t="inlineStr">
        <is>
          <t>Informado</t>
        </is>
      </c>
      <c r="K1382" s="6" t="inlineStr">
        <is>
          <t>Demanda doméstica fixa informada pelo usuário.</t>
        </is>
      </c>
    </row>
    <row r="1383">
      <c r="A1383" s="6" t="inlineStr">
        <is>
          <t>Milho</t>
        </is>
      </c>
      <c r="B1383" s="6" t="inlineStr">
        <is>
          <t>Maceió - AL</t>
        </is>
      </c>
      <c r="C1383" s="6" t="n">
        <v>-9.665990000000001</v>
      </c>
      <c r="D1383" s="6" t="n">
        <v>-35.735</v>
      </c>
      <c r="E1383" s="6" t="inlineStr">
        <is>
          <t>2025-02</t>
        </is>
      </c>
      <c r="F1383" s="6" t="n">
        <v>55484.8354569293</v>
      </c>
      <c r="G1383" s="6" t="inlineStr">
        <is>
          <t>DOMESTICA</t>
        </is>
      </c>
      <c r="H1383" s="6" t="inlineStr">
        <is>
          <t>FIXO</t>
        </is>
      </c>
      <c r="I1383" s="11">
        <f>IF($H1383="AUTO_OFERTA_TOTAL_PRODUTO_PERIODO",SUMIFS(Oferta!$F:$F,Oferta!$A:$A,$A1383,Oferta!$E:$E,$E1383),$F1383)</f>
        <v/>
      </c>
      <c r="J1383" s="6" t="inlineStr">
        <is>
          <t>Informado</t>
        </is>
      </c>
      <c r="K1383" s="6" t="inlineStr">
        <is>
          <t>Demanda doméstica fixa informada pelo usuário.</t>
        </is>
      </c>
    </row>
    <row r="1384">
      <c r="A1384" s="6" t="inlineStr">
        <is>
          <t>Milho</t>
        </is>
      </c>
      <c r="B1384" s="6" t="inlineStr">
        <is>
          <t>Maceió - AL</t>
        </is>
      </c>
      <c r="C1384" s="6" t="n">
        <v>-9.665990000000001</v>
      </c>
      <c r="D1384" s="6" t="n">
        <v>-35.735</v>
      </c>
      <c r="E1384" s="6" t="inlineStr">
        <is>
          <t>2025-03</t>
        </is>
      </c>
      <c r="F1384" s="6" t="n">
        <v>43955.5189983466</v>
      </c>
      <c r="G1384" s="6" t="inlineStr">
        <is>
          <t>DOMESTICA</t>
        </is>
      </c>
      <c r="H1384" s="6" t="inlineStr">
        <is>
          <t>FIXO</t>
        </is>
      </c>
      <c r="I1384" s="11">
        <f>IF($H1384="AUTO_OFERTA_TOTAL_PRODUTO_PERIODO",SUMIFS(Oferta!$F:$F,Oferta!$A:$A,$A1384,Oferta!$E:$E,$E1384),$F1384)</f>
        <v/>
      </c>
      <c r="J1384" s="6" t="inlineStr">
        <is>
          <t>Informado</t>
        </is>
      </c>
      <c r="K1384" s="6" t="inlineStr">
        <is>
          <t>Demanda doméstica fixa informada pelo usuário.</t>
        </is>
      </c>
    </row>
    <row r="1385">
      <c r="A1385" s="6" t="inlineStr">
        <is>
          <t>Milho</t>
        </is>
      </c>
      <c r="B1385" s="6" t="inlineStr">
        <is>
          <t>Maceió - AL</t>
        </is>
      </c>
      <c r="C1385" s="6" t="n">
        <v>-9.665990000000001</v>
      </c>
      <c r="D1385" s="6" t="n">
        <v>-35.735</v>
      </c>
      <c r="E1385" s="6" t="inlineStr">
        <is>
          <t>2025-04</t>
        </is>
      </c>
      <c r="F1385" s="6" t="n">
        <v>38190.8607690552</v>
      </c>
      <c r="G1385" s="6" t="inlineStr">
        <is>
          <t>DOMESTICA</t>
        </is>
      </c>
      <c r="H1385" s="6" t="inlineStr">
        <is>
          <t>FIXO</t>
        </is>
      </c>
      <c r="I1385" s="11">
        <f>IF($H1385="AUTO_OFERTA_TOTAL_PRODUTO_PERIODO",SUMIFS(Oferta!$F:$F,Oferta!$A:$A,$A1385,Oferta!$E:$E,$E1385),$F1385)</f>
        <v/>
      </c>
      <c r="J1385" s="6" t="inlineStr">
        <is>
          <t>Informado</t>
        </is>
      </c>
      <c r="K1385" s="6" t="inlineStr">
        <is>
          <t>Demanda doméstica fixa informada pelo usuário.</t>
        </is>
      </c>
    </row>
    <row r="1386">
      <c r="A1386" s="6" t="inlineStr">
        <is>
          <t>Milho</t>
        </is>
      </c>
      <c r="B1386" s="6" t="inlineStr">
        <is>
          <t>Maceió - AL</t>
        </is>
      </c>
      <c r="C1386" s="6" t="n">
        <v>-9.665990000000001</v>
      </c>
      <c r="D1386" s="6" t="n">
        <v>-35.735</v>
      </c>
      <c r="E1386" s="6" t="inlineStr">
        <is>
          <t>2025-05</t>
        </is>
      </c>
      <c r="F1386" s="6" t="n">
        <v>38190.8607690552</v>
      </c>
      <c r="G1386" s="6" t="inlineStr">
        <is>
          <t>DOMESTICA</t>
        </is>
      </c>
      <c r="H1386" s="6" t="inlineStr">
        <is>
          <t>FIXO</t>
        </is>
      </c>
      <c r="I1386" s="11">
        <f>IF($H1386="AUTO_OFERTA_TOTAL_PRODUTO_PERIODO",SUMIFS(Oferta!$F:$F,Oferta!$A:$A,$A1386,Oferta!$E:$E,$E1386),$F1386)</f>
        <v/>
      </c>
      <c r="J1386" s="6" t="inlineStr">
        <is>
          <t>Informado</t>
        </is>
      </c>
      <c r="K1386" s="6" t="inlineStr">
        <is>
          <t>Demanda doméstica fixa informada pelo usuário.</t>
        </is>
      </c>
    </row>
    <row r="1387">
      <c r="A1387" s="6" t="inlineStr">
        <is>
          <t>Milho</t>
        </is>
      </c>
      <c r="B1387" s="6" t="inlineStr">
        <is>
          <t>Maceió - AL</t>
        </is>
      </c>
      <c r="C1387" s="6" t="n">
        <v>-9.665990000000001</v>
      </c>
      <c r="D1387" s="6" t="n">
        <v>-35.735</v>
      </c>
      <c r="E1387" s="6" t="inlineStr">
        <is>
          <t>2025-06</t>
        </is>
      </c>
      <c r="F1387" s="6" t="n">
        <v>38190.8607690552</v>
      </c>
      <c r="G1387" s="6" t="inlineStr">
        <is>
          <t>DOMESTICA</t>
        </is>
      </c>
      <c r="H1387" s="6" t="inlineStr">
        <is>
          <t>FIXO</t>
        </is>
      </c>
      <c r="I1387" s="11">
        <f>IF($H1387="AUTO_OFERTA_TOTAL_PRODUTO_PERIODO",SUMIFS(Oferta!$F:$F,Oferta!$A:$A,$A1387,Oferta!$E:$E,$E1387),$F1387)</f>
        <v/>
      </c>
      <c r="J1387" s="6" t="inlineStr">
        <is>
          <t>Informado</t>
        </is>
      </c>
      <c r="K1387" s="6" t="inlineStr">
        <is>
          <t>Demanda doméstica fixa informada pelo usuário.</t>
        </is>
      </c>
    </row>
    <row r="1388">
      <c r="A1388" s="6" t="inlineStr">
        <is>
          <t>Milho</t>
        </is>
      </c>
      <c r="B1388" s="6" t="inlineStr">
        <is>
          <t>Maceió - AL</t>
        </is>
      </c>
      <c r="C1388" s="6" t="n">
        <v>-9.665990000000001</v>
      </c>
      <c r="D1388" s="6" t="n">
        <v>-35.735</v>
      </c>
      <c r="E1388" s="6" t="inlineStr">
        <is>
          <t>2025-07</t>
        </is>
      </c>
      <c r="F1388" s="6" t="n">
        <v>38190.8607690552</v>
      </c>
      <c r="G1388" s="6" t="inlineStr">
        <is>
          <t>DOMESTICA</t>
        </is>
      </c>
      <c r="H1388" s="6" t="inlineStr">
        <is>
          <t>FIXO</t>
        </is>
      </c>
      <c r="I1388" s="11">
        <f>IF($H1388="AUTO_OFERTA_TOTAL_PRODUTO_PERIODO",SUMIFS(Oferta!$F:$F,Oferta!$A:$A,$A1388,Oferta!$E:$E,$E1388),$F1388)</f>
        <v/>
      </c>
      <c r="J1388" s="6" t="inlineStr">
        <is>
          <t>Informado</t>
        </is>
      </c>
      <c r="K1388" s="6" t="inlineStr">
        <is>
          <t>Demanda doméstica fixa informada pelo usuário.</t>
        </is>
      </c>
    </row>
    <row r="1389">
      <c r="A1389" s="6" t="inlineStr">
        <is>
          <t>Milho</t>
        </is>
      </c>
      <c r="B1389" s="6" t="inlineStr">
        <is>
          <t>Maceió - AL</t>
        </is>
      </c>
      <c r="C1389" s="6" t="n">
        <v>-9.665990000000001</v>
      </c>
      <c r="D1389" s="6" t="n">
        <v>-35.735</v>
      </c>
      <c r="E1389" s="6" t="inlineStr">
        <is>
          <t>2025-08</t>
        </is>
      </c>
      <c r="F1389" s="6" t="n">
        <v>38190.8607690552</v>
      </c>
      <c r="G1389" s="6" t="inlineStr">
        <is>
          <t>DOMESTICA</t>
        </is>
      </c>
      <c r="H1389" s="6" t="inlineStr">
        <is>
          <t>FIXO</t>
        </is>
      </c>
      <c r="I1389" s="11">
        <f>IF($H1389="AUTO_OFERTA_TOTAL_PRODUTO_PERIODO",SUMIFS(Oferta!$F:$F,Oferta!$A:$A,$A1389,Oferta!$E:$E,$E1389),$F1389)</f>
        <v/>
      </c>
      <c r="J1389" s="6" t="inlineStr">
        <is>
          <t>Informado</t>
        </is>
      </c>
      <c r="K1389" s="6" t="inlineStr">
        <is>
          <t>Demanda doméstica fixa informada pelo usuário.</t>
        </is>
      </c>
    </row>
    <row r="1390">
      <c r="A1390" s="6" t="inlineStr">
        <is>
          <t>Milho</t>
        </is>
      </c>
      <c r="B1390" s="6" t="inlineStr">
        <is>
          <t>Maceió - AL</t>
        </is>
      </c>
      <c r="C1390" s="6" t="n">
        <v>-9.665990000000001</v>
      </c>
      <c r="D1390" s="6" t="n">
        <v>-35.735</v>
      </c>
      <c r="E1390" s="6" t="inlineStr">
        <is>
          <t>2025-09</t>
        </is>
      </c>
      <c r="F1390" s="6" t="n">
        <v>49720.1772276379</v>
      </c>
      <c r="G1390" s="6" t="inlineStr">
        <is>
          <t>DOMESTICA</t>
        </is>
      </c>
      <c r="H1390" s="6" t="inlineStr">
        <is>
          <t>FIXO</t>
        </is>
      </c>
      <c r="I1390" s="11">
        <f>IF($H1390="AUTO_OFERTA_TOTAL_PRODUTO_PERIODO",SUMIFS(Oferta!$F:$F,Oferta!$A:$A,$A1390,Oferta!$E:$E,$E1390),$F1390)</f>
        <v/>
      </c>
      <c r="J1390" s="6" t="inlineStr">
        <is>
          <t>Informado</t>
        </is>
      </c>
      <c r="K1390" s="6" t="inlineStr">
        <is>
          <t>Demanda doméstica fixa informada pelo usuário.</t>
        </is>
      </c>
    </row>
    <row r="1391">
      <c r="A1391" s="6" t="inlineStr">
        <is>
          <t>Milho</t>
        </is>
      </c>
      <c r="B1391" s="6" t="inlineStr">
        <is>
          <t>Maceió - AL</t>
        </is>
      </c>
      <c r="C1391" s="6" t="n">
        <v>-9.665990000000001</v>
      </c>
      <c r="D1391" s="6" t="n">
        <v>-35.735</v>
      </c>
      <c r="E1391" s="6" t="inlineStr">
        <is>
          <t>2025-10</t>
        </is>
      </c>
      <c r="F1391" s="6" t="n">
        <v>61249.4936862206</v>
      </c>
      <c r="G1391" s="6" t="inlineStr">
        <is>
          <t>DOMESTICA</t>
        </is>
      </c>
      <c r="H1391" s="6" t="inlineStr">
        <is>
          <t>FIXO</t>
        </is>
      </c>
      <c r="I1391" s="11">
        <f>IF($H1391="AUTO_OFERTA_TOTAL_PRODUTO_PERIODO",SUMIFS(Oferta!$F:$F,Oferta!$A:$A,$A1391,Oferta!$E:$E,$E1391),$F1391)</f>
        <v/>
      </c>
      <c r="J1391" s="6" t="inlineStr">
        <is>
          <t>Informado</t>
        </is>
      </c>
      <c r="K1391" s="6" t="inlineStr">
        <is>
          <t>Demanda doméstica fixa informada pelo usuário.</t>
        </is>
      </c>
    </row>
    <row r="1392">
      <c r="A1392" s="6" t="inlineStr">
        <is>
          <t>Milho</t>
        </is>
      </c>
      <c r="B1392" s="6" t="inlineStr">
        <is>
          <t>Maceió - AL</t>
        </is>
      </c>
      <c r="C1392" s="6" t="n">
        <v>-9.665990000000001</v>
      </c>
      <c r="D1392" s="6" t="n">
        <v>-35.735</v>
      </c>
      <c r="E1392" s="6" t="inlineStr">
        <is>
          <t>2025-11</t>
        </is>
      </c>
      <c r="F1392" s="6" t="n">
        <v>95837.44306196881</v>
      </c>
      <c r="G1392" s="6" t="inlineStr">
        <is>
          <t>DOMESTICA</t>
        </is>
      </c>
      <c r="H1392" s="6" t="inlineStr">
        <is>
          <t>FIXO</t>
        </is>
      </c>
      <c r="I1392" s="11">
        <f>IF($H1392="AUTO_OFERTA_TOTAL_PRODUTO_PERIODO",SUMIFS(Oferta!$F:$F,Oferta!$A:$A,$A1392,Oferta!$E:$E,$E1392),$F1392)</f>
        <v/>
      </c>
      <c r="J1392" s="6" t="inlineStr">
        <is>
          <t>Informado</t>
        </is>
      </c>
      <c r="K1392" s="6" t="inlineStr">
        <is>
          <t>Demanda doméstica fixa informada pelo usuário.</t>
        </is>
      </c>
    </row>
    <row r="1393">
      <c r="A1393" s="6" t="inlineStr">
        <is>
          <t>Milho</t>
        </is>
      </c>
      <c r="B1393" s="6" t="inlineStr">
        <is>
          <t>Maceió - AL</t>
        </is>
      </c>
      <c r="C1393" s="6" t="n">
        <v>-9.665990000000001</v>
      </c>
      <c r="D1393" s="6" t="n">
        <v>-35.735</v>
      </c>
      <c r="E1393" s="6" t="inlineStr">
        <is>
          <t>2025-12</t>
        </is>
      </c>
      <c r="F1393" s="6" t="n">
        <v>95837.44306196881</v>
      </c>
      <c r="G1393" s="6" t="inlineStr">
        <is>
          <t>DOMESTICA</t>
        </is>
      </c>
      <c r="H1393" s="6" t="inlineStr">
        <is>
          <t>FIXO</t>
        </is>
      </c>
      <c r="I1393" s="11">
        <f>IF($H1393="AUTO_OFERTA_TOTAL_PRODUTO_PERIODO",SUMIFS(Oferta!$F:$F,Oferta!$A:$A,$A1393,Oferta!$E:$E,$E1393),$F1393)</f>
        <v/>
      </c>
      <c r="J1393" s="6" t="inlineStr">
        <is>
          <t>Informado</t>
        </is>
      </c>
      <c r="K1393" s="6" t="inlineStr">
        <is>
          <t>Demanda doméstica fixa informada pelo usuário.</t>
        </is>
      </c>
    </row>
    <row r="1394">
      <c r="A1394" s="6" t="inlineStr">
        <is>
          <t>Milho</t>
        </is>
      </c>
      <c r="B1394" s="6" t="inlineStr">
        <is>
          <t>Salvador - BA</t>
        </is>
      </c>
      <c r="C1394" s="6" t="n">
        <v>-12.9718</v>
      </c>
      <c r="D1394" s="6" t="n">
        <v>-38.5011</v>
      </c>
      <c r="E1394" s="6" t="inlineStr">
        <is>
          <t>2025-01</t>
        </is>
      </c>
      <c r="F1394" s="6" t="n">
        <v>385222.4153093054</v>
      </c>
      <c r="G1394" s="6" t="inlineStr">
        <is>
          <t>DOMESTICA</t>
        </is>
      </c>
      <c r="H1394" s="6" t="inlineStr">
        <is>
          <t>FIXO</t>
        </is>
      </c>
      <c r="I1394" s="11">
        <f>IF($H1394="AUTO_OFERTA_TOTAL_PRODUTO_PERIODO",SUMIFS(Oferta!$F:$F,Oferta!$A:$A,$A1394,Oferta!$E:$E,$E1394),$F1394)</f>
        <v/>
      </c>
      <c r="J1394" s="6" t="inlineStr">
        <is>
          <t>Informado</t>
        </is>
      </c>
      <c r="K1394" s="6" t="inlineStr">
        <is>
          <t>Demanda doméstica fixa informada pelo usuário.</t>
        </is>
      </c>
    </row>
    <row r="1395">
      <c r="A1395" s="6" t="inlineStr">
        <is>
          <t>Milho</t>
        </is>
      </c>
      <c r="B1395" s="6" t="inlineStr">
        <is>
          <t>Salvador - BA</t>
        </is>
      </c>
      <c r="C1395" s="6" t="n">
        <v>-12.9718</v>
      </c>
      <c r="D1395" s="6" t="n">
        <v>-38.5011</v>
      </c>
      <c r="E1395" s="6" t="inlineStr">
        <is>
          <t>2025-02</t>
        </is>
      </c>
      <c r="F1395" s="6" t="n">
        <v>227182.4500542058</v>
      </c>
      <c r="G1395" s="6" t="inlineStr">
        <is>
          <t>DOMESTICA</t>
        </is>
      </c>
      <c r="H1395" s="6" t="inlineStr">
        <is>
          <t>FIXO</t>
        </is>
      </c>
      <c r="I1395" s="11">
        <f>IF($H1395="AUTO_OFERTA_TOTAL_PRODUTO_PERIODO",SUMIFS(Oferta!$F:$F,Oferta!$A:$A,$A1395,Oferta!$E:$E,$E1395),$F1395)</f>
        <v/>
      </c>
      <c r="J1395" s="6" t="inlineStr">
        <is>
          <t>Informado</t>
        </is>
      </c>
      <c r="K1395" s="6" t="inlineStr">
        <is>
          <t>Demanda doméstica fixa informada pelo usuário.</t>
        </is>
      </c>
    </row>
    <row r="1396">
      <c r="A1396" s="6" t="inlineStr">
        <is>
          <t>Milho</t>
        </is>
      </c>
      <c r="B1396" s="6" t="inlineStr">
        <is>
          <t>Salvador - BA</t>
        </is>
      </c>
      <c r="C1396" s="6" t="n">
        <v>-12.9718</v>
      </c>
      <c r="D1396" s="6" t="n">
        <v>-38.5011</v>
      </c>
      <c r="E1396" s="6" t="inlineStr">
        <is>
          <t>2025-03</t>
        </is>
      </c>
      <c r="F1396" s="6" t="n">
        <v>200842.4558450225</v>
      </c>
      <c r="G1396" s="6" t="inlineStr">
        <is>
          <t>DOMESTICA</t>
        </is>
      </c>
      <c r="H1396" s="6" t="inlineStr">
        <is>
          <t>FIXO</t>
        </is>
      </c>
      <c r="I1396" s="11">
        <f>IF($H1396="AUTO_OFERTA_TOTAL_PRODUTO_PERIODO",SUMIFS(Oferta!$F:$F,Oferta!$A:$A,$A1396,Oferta!$E:$E,$E1396),$F1396)</f>
        <v/>
      </c>
      <c r="J1396" s="6" t="inlineStr">
        <is>
          <t>Informado</t>
        </is>
      </c>
      <c r="K1396" s="6" t="inlineStr">
        <is>
          <t>Demanda doméstica fixa informada pelo usuário.</t>
        </is>
      </c>
    </row>
    <row r="1397">
      <c r="A1397" s="6" t="inlineStr">
        <is>
          <t>Milho</t>
        </is>
      </c>
      <c r="B1397" s="6" t="inlineStr">
        <is>
          <t>Salvador - BA</t>
        </is>
      </c>
      <c r="C1397" s="6" t="n">
        <v>-12.9718</v>
      </c>
      <c r="D1397" s="6" t="n">
        <v>-38.5011</v>
      </c>
      <c r="E1397" s="6" t="inlineStr">
        <is>
          <t>2025-04</t>
        </is>
      </c>
      <c r="F1397" s="6" t="n">
        <v>253522.4442633891</v>
      </c>
      <c r="G1397" s="6" t="inlineStr">
        <is>
          <t>DOMESTICA</t>
        </is>
      </c>
      <c r="H1397" s="6" t="inlineStr">
        <is>
          <t>FIXO</t>
        </is>
      </c>
      <c r="I1397" s="11">
        <f>IF($H1397="AUTO_OFERTA_TOTAL_PRODUTO_PERIODO",SUMIFS(Oferta!$F:$F,Oferta!$A:$A,$A1397,Oferta!$E:$E,$E1397),$F1397)</f>
        <v/>
      </c>
      <c r="J1397" s="6" t="inlineStr">
        <is>
          <t>Informado</t>
        </is>
      </c>
      <c r="K1397" s="6" t="inlineStr">
        <is>
          <t>Demanda doméstica fixa informada pelo usuário.</t>
        </is>
      </c>
    </row>
    <row r="1398">
      <c r="A1398" s="6" t="inlineStr">
        <is>
          <t>Milho</t>
        </is>
      </c>
      <c r="B1398" s="6" t="inlineStr">
        <is>
          <t>Salvador - BA</t>
        </is>
      </c>
      <c r="C1398" s="6" t="n">
        <v>-12.9718</v>
      </c>
      <c r="D1398" s="6" t="n">
        <v>-38.5011</v>
      </c>
      <c r="E1398" s="6" t="inlineStr">
        <is>
          <t>2025-05</t>
        </is>
      </c>
      <c r="F1398" s="6" t="n">
        <v>358882.4211001222</v>
      </c>
      <c r="G1398" s="6" t="inlineStr">
        <is>
          <t>DOMESTICA</t>
        </is>
      </c>
      <c r="H1398" s="6" t="inlineStr">
        <is>
          <t>FIXO</t>
        </is>
      </c>
      <c r="I1398" s="11">
        <f>IF($H1398="AUTO_OFERTA_TOTAL_PRODUTO_PERIODO",SUMIFS(Oferta!$F:$F,Oferta!$A:$A,$A1398,Oferta!$E:$E,$E1398),$F1398)</f>
        <v/>
      </c>
      <c r="J1398" s="6" t="inlineStr">
        <is>
          <t>Informado</t>
        </is>
      </c>
      <c r="K1398" s="6" t="inlineStr">
        <is>
          <t>Demanda doméstica fixa informada pelo usuário.</t>
        </is>
      </c>
    </row>
    <row r="1399">
      <c r="A1399" s="6" t="inlineStr">
        <is>
          <t>Milho</t>
        </is>
      </c>
      <c r="B1399" s="6" t="inlineStr">
        <is>
          <t>Salvador - BA</t>
        </is>
      </c>
      <c r="C1399" s="6" t="n">
        <v>-12.9718</v>
      </c>
      <c r="D1399" s="6" t="n">
        <v>-38.5011</v>
      </c>
      <c r="E1399" s="6" t="inlineStr">
        <is>
          <t>2025-06</t>
        </is>
      </c>
      <c r="F1399" s="6" t="n">
        <v>490582.3921460386</v>
      </c>
      <c r="G1399" s="6" t="inlineStr">
        <is>
          <t>DOMESTICA</t>
        </is>
      </c>
      <c r="H1399" s="6" t="inlineStr">
        <is>
          <t>FIXO</t>
        </is>
      </c>
      <c r="I1399" s="11">
        <f>IF($H1399="AUTO_OFERTA_TOTAL_PRODUTO_PERIODO",SUMIFS(Oferta!$F:$F,Oferta!$A:$A,$A1399,Oferta!$E:$E,$E1399),$F1399)</f>
        <v/>
      </c>
      <c r="J1399" s="6" t="inlineStr">
        <is>
          <t>Informado</t>
        </is>
      </c>
      <c r="K1399" s="6" t="inlineStr">
        <is>
          <t>Demanda doméstica fixa informada pelo usuário.</t>
        </is>
      </c>
    </row>
    <row r="1400">
      <c r="A1400" s="6" t="inlineStr">
        <is>
          <t>Milho</t>
        </is>
      </c>
      <c r="B1400" s="6" t="inlineStr">
        <is>
          <t>Salvador - BA</t>
        </is>
      </c>
      <c r="C1400" s="6" t="n">
        <v>-12.9718</v>
      </c>
      <c r="D1400" s="6" t="n">
        <v>-38.5011</v>
      </c>
      <c r="E1400" s="6" t="inlineStr">
        <is>
          <t>2025-07</t>
        </is>
      </c>
      <c r="F1400" s="6" t="n">
        <v>490582.3921460386</v>
      </c>
      <c r="G1400" s="6" t="inlineStr">
        <is>
          <t>DOMESTICA</t>
        </is>
      </c>
      <c r="H1400" s="6" t="inlineStr">
        <is>
          <t>FIXO</t>
        </is>
      </c>
      <c r="I1400" s="11">
        <f>IF($H1400="AUTO_OFERTA_TOTAL_PRODUTO_PERIODO",SUMIFS(Oferta!$F:$F,Oferta!$A:$A,$A1400,Oferta!$E:$E,$E1400),$F1400)</f>
        <v/>
      </c>
      <c r="J1400" s="6" t="inlineStr">
        <is>
          <t>Informado</t>
        </is>
      </c>
      <c r="K1400" s="6" t="inlineStr">
        <is>
          <t>Demanda doméstica fixa informada pelo usuário.</t>
        </is>
      </c>
    </row>
    <row r="1401">
      <c r="A1401" s="6" t="inlineStr">
        <is>
          <t>Milho</t>
        </is>
      </c>
      <c r="B1401" s="6" t="inlineStr">
        <is>
          <t>Salvador - BA</t>
        </is>
      </c>
      <c r="C1401" s="6" t="n">
        <v>-12.9718</v>
      </c>
      <c r="D1401" s="6" t="n">
        <v>-38.5011</v>
      </c>
      <c r="E1401" s="6" t="inlineStr">
        <is>
          <t>2025-08</t>
        </is>
      </c>
      <c r="F1401" s="6" t="n">
        <v>385222.4153093054</v>
      </c>
      <c r="G1401" s="6" t="inlineStr">
        <is>
          <t>DOMESTICA</t>
        </is>
      </c>
      <c r="H1401" s="6" t="inlineStr">
        <is>
          <t>FIXO</t>
        </is>
      </c>
      <c r="I1401" s="11">
        <f>IF($H1401="AUTO_OFERTA_TOTAL_PRODUTO_PERIODO",SUMIFS(Oferta!$F:$F,Oferta!$A:$A,$A1401,Oferta!$E:$E,$E1401),$F1401)</f>
        <v/>
      </c>
      <c r="J1401" s="6" t="inlineStr">
        <is>
          <t>Informado</t>
        </is>
      </c>
      <c r="K1401" s="6" t="inlineStr">
        <is>
          <t>Demanda doméstica fixa informada pelo usuário.</t>
        </is>
      </c>
    </row>
    <row r="1402">
      <c r="A1402" s="6" t="inlineStr">
        <is>
          <t>Milho</t>
        </is>
      </c>
      <c r="B1402" s="6" t="inlineStr">
        <is>
          <t>Salvador - BA</t>
        </is>
      </c>
      <c r="C1402" s="6" t="n">
        <v>-12.9718</v>
      </c>
      <c r="D1402" s="6" t="n">
        <v>-38.5011</v>
      </c>
      <c r="E1402" s="6" t="inlineStr">
        <is>
          <t>2025-09</t>
        </is>
      </c>
      <c r="F1402" s="6" t="n">
        <v>253522.444263389</v>
      </c>
      <c r="G1402" s="6" t="inlineStr">
        <is>
          <t>DOMESTICA</t>
        </is>
      </c>
      <c r="H1402" s="6" t="inlineStr">
        <is>
          <t>FIXO</t>
        </is>
      </c>
      <c r="I1402" s="11">
        <f>IF($H1402="AUTO_OFERTA_TOTAL_PRODUTO_PERIODO",SUMIFS(Oferta!$F:$F,Oferta!$A:$A,$A1402,Oferta!$E:$E,$E1402),$F1402)</f>
        <v/>
      </c>
      <c r="J1402" s="6" t="inlineStr">
        <is>
          <t>Informado</t>
        </is>
      </c>
      <c r="K1402" s="6" t="inlineStr">
        <is>
          <t>Demanda doméstica fixa informada pelo usuário.</t>
        </is>
      </c>
    </row>
    <row r="1403">
      <c r="A1403" s="6" t="inlineStr">
        <is>
          <t>Milho</t>
        </is>
      </c>
      <c r="B1403" s="6" t="inlineStr">
        <is>
          <t>Salvador - BA</t>
        </is>
      </c>
      <c r="C1403" s="6" t="n">
        <v>-12.9718</v>
      </c>
      <c r="D1403" s="6" t="n">
        <v>-38.5011</v>
      </c>
      <c r="E1403" s="6" t="inlineStr">
        <is>
          <t>2025-10</t>
        </is>
      </c>
      <c r="F1403" s="6" t="n">
        <v>253522.4442633891</v>
      </c>
      <c r="G1403" s="6" t="inlineStr">
        <is>
          <t>DOMESTICA</t>
        </is>
      </c>
      <c r="H1403" s="6" t="inlineStr">
        <is>
          <t>FIXO</t>
        </is>
      </c>
      <c r="I1403" s="11">
        <f>IF($H1403="AUTO_OFERTA_TOTAL_PRODUTO_PERIODO",SUMIFS(Oferta!$F:$F,Oferta!$A:$A,$A1403,Oferta!$E:$E,$E1403),$F1403)</f>
        <v/>
      </c>
      <c r="J1403" s="6" t="inlineStr">
        <is>
          <t>Informado</t>
        </is>
      </c>
      <c r="K1403" s="6" t="inlineStr">
        <is>
          <t>Demanda doméstica fixa informada pelo usuário.</t>
        </is>
      </c>
    </row>
    <row r="1404">
      <c r="A1404" s="6" t="inlineStr">
        <is>
          <t>Milho</t>
        </is>
      </c>
      <c r="B1404" s="6" t="inlineStr">
        <is>
          <t>Salvador - BA</t>
        </is>
      </c>
      <c r="C1404" s="6" t="n">
        <v>-12.9718</v>
      </c>
      <c r="D1404" s="6" t="n">
        <v>-38.5011</v>
      </c>
      <c r="E1404" s="6" t="inlineStr">
        <is>
          <t>2025-11</t>
        </is>
      </c>
      <c r="F1404" s="6" t="n">
        <v>411562.4095184887</v>
      </c>
      <c r="G1404" s="6" t="inlineStr">
        <is>
          <t>DOMESTICA</t>
        </is>
      </c>
      <c r="H1404" s="6" t="inlineStr">
        <is>
          <t>FIXO</t>
        </is>
      </c>
      <c r="I1404" s="11">
        <f>IF($H1404="AUTO_OFERTA_TOTAL_PRODUTO_PERIODO",SUMIFS(Oferta!$F:$F,Oferta!$A:$A,$A1404,Oferta!$E:$E,$E1404),$F1404)</f>
        <v/>
      </c>
      <c r="J1404" s="6" t="inlineStr">
        <is>
          <t>Informado</t>
        </is>
      </c>
      <c r="K1404" s="6" t="inlineStr">
        <is>
          <t>Demanda doméstica fixa informada pelo usuário.</t>
        </is>
      </c>
    </row>
    <row r="1405">
      <c r="A1405" s="6" t="inlineStr">
        <is>
          <t>Milho</t>
        </is>
      </c>
      <c r="B1405" s="6" t="inlineStr">
        <is>
          <t>Salvador - BA</t>
        </is>
      </c>
      <c r="C1405" s="6" t="n">
        <v>-12.9718</v>
      </c>
      <c r="D1405" s="6" t="n">
        <v>-38.5011</v>
      </c>
      <c r="E1405" s="6" t="inlineStr">
        <is>
          <t>2025-12</t>
        </is>
      </c>
      <c r="F1405" s="6" t="n">
        <v>437902.403727672</v>
      </c>
      <c r="G1405" s="6" t="inlineStr">
        <is>
          <t>DOMESTICA</t>
        </is>
      </c>
      <c r="H1405" s="6" t="inlineStr">
        <is>
          <t>FIXO</t>
        </is>
      </c>
      <c r="I1405" s="11">
        <f>IF($H1405="AUTO_OFERTA_TOTAL_PRODUTO_PERIODO",SUMIFS(Oferta!$F:$F,Oferta!$A:$A,$A1405,Oferta!$E:$E,$E1405),$F1405)</f>
        <v/>
      </c>
      <c r="J1405" s="6" t="inlineStr">
        <is>
          <t>Informado</t>
        </is>
      </c>
      <c r="K1405" s="6" t="inlineStr">
        <is>
          <t>Demanda doméstica fixa informada pelo usuário.</t>
        </is>
      </c>
    </row>
    <row r="1406">
      <c r="A1406" s="6" t="inlineStr">
        <is>
          <t>Milho</t>
        </is>
      </c>
      <c r="B1406" s="6" t="inlineStr">
        <is>
          <t>Fortaleza - CE</t>
        </is>
      </c>
      <c r="C1406" s="6" t="n">
        <v>-3.71664</v>
      </c>
      <c r="D1406" s="6" t="n">
        <v>-38.5423</v>
      </c>
      <c r="E1406" s="6" t="inlineStr">
        <is>
          <t>2025-01</t>
        </is>
      </c>
      <c r="F1406" s="6" t="n">
        <v>86197.9376839578</v>
      </c>
      <c r="G1406" s="6" t="inlineStr">
        <is>
          <t>DOMESTICA</t>
        </is>
      </c>
      <c r="H1406" s="6" t="inlineStr">
        <is>
          <t>FIXO</t>
        </is>
      </c>
      <c r="I1406" s="11">
        <f>IF($H1406="AUTO_OFERTA_TOTAL_PRODUTO_PERIODO",SUMIFS(Oferta!$F:$F,Oferta!$A:$A,$A1406,Oferta!$E:$E,$E1406),$F1406)</f>
        <v/>
      </c>
      <c r="J1406" s="6" t="inlineStr">
        <is>
          <t>Informado</t>
        </is>
      </c>
      <c r="K1406" s="6" t="inlineStr">
        <is>
          <t>Demanda doméstica fixa informada pelo usuário.</t>
        </is>
      </c>
    </row>
    <row r="1407">
      <c r="A1407" s="6" t="inlineStr">
        <is>
          <t>Milho</t>
        </is>
      </c>
      <c r="B1407" s="6" t="inlineStr">
        <is>
          <t>Fortaleza - CE</t>
        </is>
      </c>
      <c r="C1407" s="6" t="n">
        <v>-3.71664</v>
      </c>
      <c r="D1407" s="6" t="n">
        <v>-38.5423</v>
      </c>
      <c r="E1407" s="6" t="inlineStr">
        <is>
          <t>2025-02</t>
        </is>
      </c>
      <c r="F1407" s="6" t="n">
        <v>86197.9376839578</v>
      </c>
      <c r="G1407" s="6" t="inlineStr">
        <is>
          <t>DOMESTICA</t>
        </is>
      </c>
      <c r="H1407" s="6" t="inlineStr">
        <is>
          <t>FIXO</t>
        </is>
      </c>
      <c r="I1407" s="11">
        <f>IF($H1407="AUTO_OFERTA_TOTAL_PRODUTO_PERIODO",SUMIFS(Oferta!$F:$F,Oferta!$A:$A,$A1407,Oferta!$E:$E,$E1407),$F1407)</f>
        <v/>
      </c>
      <c r="J1407" s="6" t="inlineStr">
        <is>
          <t>Informado</t>
        </is>
      </c>
      <c r="K1407" s="6" t="inlineStr">
        <is>
          <t>Demanda doméstica fixa informada pelo usuário.</t>
        </is>
      </c>
    </row>
    <row r="1408">
      <c r="A1408" s="6" t="inlineStr">
        <is>
          <t>Milho</t>
        </is>
      </c>
      <c r="B1408" s="6" t="inlineStr">
        <is>
          <t>Fortaleza - CE</t>
        </is>
      </c>
      <c r="C1408" s="6" t="n">
        <v>-3.71664</v>
      </c>
      <c r="D1408" s="6" t="n">
        <v>-38.5423</v>
      </c>
      <c r="E1408" s="6" t="inlineStr">
        <is>
          <t>2025-03</t>
        </is>
      </c>
      <c r="F1408" s="6" t="n">
        <v>86197.9376839578</v>
      </c>
      <c r="G1408" s="6" t="inlineStr">
        <is>
          <t>DOMESTICA</t>
        </is>
      </c>
      <c r="H1408" s="6" t="inlineStr">
        <is>
          <t>FIXO</t>
        </is>
      </c>
      <c r="I1408" s="11">
        <f>IF($H1408="AUTO_OFERTA_TOTAL_PRODUTO_PERIODO",SUMIFS(Oferta!$F:$F,Oferta!$A:$A,$A1408,Oferta!$E:$E,$E1408),$F1408)</f>
        <v/>
      </c>
      <c r="J1408" s="6" t="inlineStr">
        <is>
          <t>Informado</t>
        </is>
      </c>
      <c r="K1408" s="6" t="inlineStr">
        <is>
          <t>Demanda doméstica fixa informada pelo usuário.</t>
        </is>
      </c>
    </row>
    <row r="1409">
      <c r="A1409" s="6" t="inlineStr">
        <is>
          <t>Milho</t>
        </is>
      </c>
      <c r="B1409" s="6" t="inlineStr">
        <is>
          <t>Fortaleza - CE</t>
        </is>
      </c>
      <c r="C1409" s="6" t="n">
        <v>-3.71664</v>
      </c>
      <c r="D1409" s="6" t="n">
        <v>-38.5423</v>
      </c>
      <c r="E1409" s="6" t="inlineStr">
        <is>
          <t>2025-04</t>
        </is>
      </c>
      <c r="F1409" s="6" t="n">
        <v>86197.9376839578</v>
      </c>
      <c r="G1409" s="6" t="inlineStr">
        <is>
          <t>DOMESTICA</t>
        </is>
      </c>
      <c r="H1409" s="6" t="inlineStr">
        <is>
          <t>FIXO</t>
        </is>
      </c>
      <c r="I1409" s="11">
        <f>IF($H1409="AUTO_OFERTA_TOTAL_PRODUTO_PERIODO",SUMIFS(Oferta!$F:$F,Oferta!$A:$A,$A1409,Oferta!$E:$E,$E1409),$F1409)</f>
        <v/>
      </c>
      <c r="J1409" s="6" t="inlineStr">
        <is>
          <t>Informado</t>
        </is>
      </c>
      <c r="K1409" s="6" t="inlineStr">
        <is>
          <t>Demanda doméstica fixa informada pelo usuário.</t>
        </is>
      </c>
    </row>
    <row r="1410">
      <c r="A1410" s="6" t="inlineStr">
        <is>
          <t>Milho</t>
        </is>
      </c>
      <c r="B1410" s="6" t="inlineStr">
        <is>
          <t>Fortaleza - CE</t>
        </is>
      </c>
      <c r="C1410" s="6" t="n">
        <v>-3.71664</v>
      </c>
      <c r="D1410" s="6" t="n">
        <v>-38.5423</v>
      </c>
      <c r="E1410" s="6" t="inlineStr">
        <is>
          <t>2025-05</t>
        </is>
      </c>
      <c r="F1410" s="6" t="n">
        <v>86197.9376839578</v>
      </c>
      <c r="G1410" s="6" t="inlineStr">
        <is>
          <t>DOMESTICA</t>
        </is>
      </c>
      <c r="H1410" s="6" t="inlineStr">
        <is>
          <t>FIXO</t>
        </is>
      </c>
      <c r="I1410" s="11">
        <f>IF($H1410="AUTO_OFERTA_TOTAL_PRODUTO_PERIODO",SUMIFS(Oferta!$F:$F,Oferta!$A:$A,$A1410,Oferta!$E:$E,$E1410),$F1410)</f>
        <v/>
      </c>
      <c r="J1410" s="6" t="inlineStr">
        <is>
          <t>Informado</t>
        </is>
      </c>
      <c r="K1410" s="6" t="inlineStr">
        <is>
          <t>Demanda doméstica fixa informada pelo usuário.</t>
        </is>
      </c>
    </row>
    <row r="1411">
      <c r="A1411" s="6" t="inlineStr">
        <is>
          <t>Milho</t>
        </is>
      </c>
      <c r="B1411" s="6" t="inlineStr">
        <is>
          <t>Fortaleza - CE</t>
        </is>
      </c>
      <c r="C1411" s="6" t="n">
        <v>-3.71664</v>
      </c>
      <c r="D1411" s="6" t="n">
        <v>-38.5423</v>
      </c>
      <c r="E1411" s="6" t="inlineStr">
        <is>
          <t>2025-06</t>
        </is>
      </c>
      <c r="F1411" s="6" t="n">
        <v>112219.9566074167</v>
      </c>
      <c r="G1411" s="6" t="inlineStr">
        <is>
          <t>DOMESTICA</t>
        </is>
      </c>
      <c r="H1411" s="6" t="inlineStr">
        <is>
          <t>FIXO</t>
        </is>
      </c>
      <c r="I1411" s="11">
        <f>IF($H1411="AUTO_OFERTA_TOTAL_PRODUTO_PERIODO",SUMIFS(Oferta!$F:$F,Oferta!$A:$A,$A1411,Oferta!$E:$E,$E1411),$F1411)</f>
        <v/>
      </c>
      <c r="J1411" s="6" t="inlineStr">
        <is>
          <t>Informado</t>
        </is>
      </c>
      <c r="K1411" s="6" t="inlineStr">
        <is>
          <t>Demanda doméstica fixa informada pelo usuário.</t>
        </is>
      </c>
    </row>
    <row r="1412">
      <c r="A1412" s="6" t="inlineStr">
        <is>
          <t>Milho</t>
        </is>
      </c>
      <c r="B1412" s="6" t="inlineStr">
        <is>
          <t>Fortaleza - CE</t>
        </is>
      </c>
      <c r="C1412" s="6" t="n">
        <v>-3.71664</v>
      </c>
      <c r="D1412" s="6" t="n">
        <v>-38.5423</v>
      </c>
      <c r="E1412" s="6" t="inlineStr">
        <is>
          <t>2025-07</t>
        </is>
      </c>
      <c r="F1412" s="6" t="n">
        <v>138241.9755308757</v>
      </c>
      <c r="G1412" s="6" t="inlineStr">
        <is>
          <t>DOMESTICA</t>
        </is>
      </c>
      <c r="H1412" s="6" t="inlineStr">
        <is>
          <t>FIXO</t>
        </is>
      </c>
      <c r="I1412" s="11">
        <f>IF($H1412="AUTO_OFERTA_TOTAL_PRODUTO_PERIODO",SUMIFS(Oferta!$F:$F,Oferta!$A:$A,$A1412,Oferta!$E:$E,$E1412),$F1412)</f>
        <v/>
      </c>
      <c r="J1412" s="6" t="inlineStr">
        <is>
          <t>Informado</t>
        </is>
      </c>
      <c r="K1412" s="6" t="inlineStr">
        <is>
          <t>Demanda doméstica fixa informada pelo usuário.</t>
        </is>
      </c>
    </row>
    <row r="1413">
      <c r="A1413" s="6" t="inlineStr">
        <is>
          <t>Milho</t>
        </is>
      </c>
      <c r="B1413" s="6" t="inlineStr">
        <is>
          <t>Fortaleza - CE</t>
        </is>
      </c>
      <c r="C1413" s="6" t="n">
        <v>-3.71664</v>
      </c>
      <c r="D1413" s="6" t="n">
        <v>-38.5423</v>
      </c>
      <c r="E1413" s="6" t="inlineStr">
        <is>
          <t>2025-08</t>
        </is>
      </c>
      <c r="F1413" s="6" t="n">
        <v>216308.0323012526</v>
      </c>
      <c r="G1413" s="6" t="inlineStr">
        <is>
          <t>DOMESTICA</t>
        </is>
      </c>
      <c r="H1413" s="6" t="inlineStr">
        <is>
          <t>FIXO</t>
        </is>
      </c>
      <c r="I1413" s="11">
        <f>IF($H1413="AUTO_OFERTA_TOTAL_PRODUTO_PERIODO",SUMIFS(Oferta!$F:$F,Oferta!$A:$A,$A1413,Oferta!$E:$E,$E1413),$F1413)</f>
        <v/>
      </c>
      <c r="J1413" s="6" t="inlineStr">
        <is>
          <t>Informado</t>
        </is>
      </c>
      <c r="K1413" s="6" t="inlineStr">
        <is>
          <t>Demanda doméstica fixa informada pelo usuário.</t>
        </is>
      </c>
    </row>
    <row r="1414">
      <c r="A1414" s="6" t="inlineStr">
        <is>
          <t>Milho</t>
        </is>
      </c>
      <c r="B1414" s="6" t="inlineStr">
        <is>
          <t>Fortaleza - CE</t>
        </is>
      </c>
      <c r="C1414" s="6" t="n">
        <v>-3.71664</v>
      </c>
      <c r="D1414" s="6" t="n">
        <v>-38.5423</v>
      </c>
      <c r="E1414" s="6" t="inlineStr">
        <is>
          <t>2025-09</t>
        </is>
      </c>
      <c r="F1414" s="6" t="n">
        <v>216308.0323012526</v>
      </c>
      <c r="G1414" s="6" t="inlineStr">
        <is>
          <t>DOMESTICA</t>
        </is>
      </c>
      <c r="H1414" s="6" t="inlineStr">
        <is>
          <t>FIXO</t>
        </is>
      </c>
      <c r="I1414" s="11">
        <f>IF($H1414="AUTO_OFERTA_TOTAL_PRODUTO_PERIODO",SUMIFS(Oferta!$F:$F,Oferta!$A:$A,$A1414,Oferta!$E:$E,$E1414),$F1414)</f>
        <v/>
      </c>
      <c r="J1414" s="6" t="inlineStr">
        <is>
          <t>Informado</t>
        </is>
      </c>
      <c r="K1414" s="6" t="inlineStr">
        <is>
          <t>Demanda doméstica fixa informada pelo usuário.</t>
        </is>
      </c>
    </row>
    <row r="1415">
      <c r="A1415" s="6" t="inlineStr">
        <is>
          <t>Milho</t>
        </is>
      </c>
      <c r="B1415" s="6" t="inlineStr">
        <is>
          <t>Fortaleza - CE</t>
        </is>
      </c>
      <c r="C1415" s="6" t="n">
        <v>-3.71664</v>
      </c>
      <c r="D1415" s="6" t="n">
        <v>-38.5423</v>
      </c>
      <c r="E1415" s="6" t="inlineStr">
        <is>
          <t>2025-10</t>
        </is>
      </c>
      <c r="F1415" s="6" t="n">
        <v>203297.0228395231</v>
      </c>
      <c r="G1415" s="6" t="inlineStr">
        <is>
          <t>DOMESTICA</t>
        </is>
      </c>
      <c r="H1415" s="6" t="inlineStr">
        <is>
          <t>FIXO</t>
        </is>
      </c>
      <c r="I1415" s="11">
        <f>IF($H1415="AUTO_OFERTA_TOTAL_PRODUTO_PERIODO",SUMIFS(Oferta!$F:$F,Oferta!$A:$A,$A1415,Oferta!$E:$E,$E1415),$F1415)</f>
        <v/>
      </c>
      <c r="J1415" s="6" t="inlineStr">
        <is>
          <t>Informado</t>
        </is>
      </c>
      <c r="K1415" s="6" t="inlineStr">
        <is>
          <t>Demanda doméstica fixa informada pelo usuário.</t>
        </is>
      </c>
    </row>
    <row r="1416">
      <c r="A1416" s="6" t="inlineStr">
        <is>
          <t>Milho</t>
        </is>
      </c>
      <c r="B1416" s="6" t="inlineStr">
        <is>
          <t>Fortaleza - CE</t>
        </is>
      </c>
      <c r="C1416" s="6" t="n">
        <v>-3.71664</v>
      </c>
      <c r="D1416" s="6" t="n">
        <v>-38.5423</v>
      </c>
      <c r="E1416" s="6" t="inlineStr">
        <is>
          <t>2025-11</t>
        </is>
      </c>
      <c r="F1416" s="6" t="n">
        <v>125230.9660691462</v>
      </c>
      <c r="G1416" s="6" t="inlineStr">
        <is>
          <t>DOMESTICA</t>
        </is>
      </c>
      <c r="H1416" s="6" t="inlineStr">
        <is>
          <t>FIXO</t>
        </is>
      </c>
      <c r="I1416" s="11">
        <f>IF($H1416="AUTO_OFERTA_TOTAL_PRODUTO_PERIODO",SUMIFS(Oferta!$F:$F,Oferta!$A:$A,$A1416,Oferta!$E:$E,$E1416),$F1416)</f>
        <v/>
      </c>
      <c r="J1416" s="6" t="inlineStr">
        <is>
          <t>Informado</t>
        </is>
      </c>
      <c r="K1416" s="6" t="inlineStr">
        <is>
          <t>Demanda doméstica fixa informada pelo usuário.</t>
        </is>
      </c>
    </row>
    <row r="1417">
      <c r="A1417" s="6" t="inlineStr">
        <is>
          <t>Milho</t>
        </is>
      </c>
      <c r="B1417" s="6" t="inlineStr">
        <is>
          <t>Fortaleza - CE</t>
        </is>
      </c>
      <c r="C1417" s="6" t="n">
        <v>-3.71664</v>
      </c>
      <c r="D1417" s="6" t="n">
        <v>-38.5423</v>
      </c>
      <c r="E1417" s="6" t="inlineStr">
        <is>
          <t>2025-12</t>
        </is>
      </c>
      <c r="F1417" s="6" t="n">
        <v>99208.9471456873</v>
      </c>
      <c r="G1417" s="6" t="inlineStr">
        <is>
          <t>DOMESTICA</t>
        </is>
      </c>
      <c r="H1417" s="6" t="inlineStr">
        <is>
          <t>FIXO</t>
        </is>
      </c>
      <c r="I1417" s="11">
        <f>IF($H1417="AUTO_OFERTA_TOTAL_PRODUTO_PERIODO",SUMIFS(Oferta!$F:$F,Oferta!$A:$A,$A1417,Oferta!$E:$E,$E1417),$F1417)</f>
        <v/>
      </c>
      <c r="J1417" s="6" t="inlineStr">
        <is>
          <t>Informado</t>
        </is>
      </c>
      <c r="K1417" s="6" t="inlineStr">
        <is>
          <t>Demanda doméstica fixa informada pelo usuário.</t>
        </is>
      </c>
    </row>
    <row r="1418">
      <c r="A1418" s="6" t="inlineStr">
        <is>
          <t>Milho</t>
        </is>
      </c>
      <c r="B1418" s="6" t="inlineStr">
        <is>
          <t>São Luís - MA</t>
        </is>
      </c>
      <c r="C1418" s="6" t="n">
        <v>-2.53874</v>
      </c>
      <c r="D1418" s="6" t="n">
        <v>-44.2825</v>
      </c>
      <c r="E1418" s="6" t="inlineStr">
        <is>
          <t>2025-01</t>
        </is>
      </c>
      <c r="F1418" s="6" t="n">
        <v>57857.3651132889</v>
      </c>
      <c r="G1418" s="6" t="inlineStr">
        <is>
          <t>DOMESTICA</t>
        </is>
      </c>
      <c r="H1418" s="6" t="inlineStr">
        <is>
          <t>FIXO</t>
        </is>
      </c>
      <c r="I1418" s="11">
        <f>IF($H1418="AUTO_OFERTA_TOTAL_PRODUTO_PERIODO",SUMIFS(Oferta!$F:$F,Oferta!$A:$A,$A1418,Oferta!$E:$E,$E1418),$F1418)</f>
        <v/>
      </c>
      <c r="J1418" s="6" t="inlineStr">
        <is>
          <t>Informado</t>
        </is>
      </c>
      <c r="K1418" s="6" t="inlineStr">
        <is>
          <t>Demanda doméstica fixa informada pelo usuário.</t>
        </is>
      </c>
    </row>
    <row r="1419">
      <c r="A1419" s="6" t="inlineStr">
        <is>
          <t>Milho</t>
        </is>
      </c>
      <c r="B1419" s="6" t="inlineStr">
        <is>
          <t>São Luís - MA</t>
        </is>
      </c>
      <c r="C1419" s="6" t="n">
        <v>-2.53874</v>
      </c>
      <c r="D1419" s="6" t="n">
        <v>-44.2825</v>
      </c>
      <c r="E1419" s="6" t="inlineStr">
        <is>
          <t>2025-02</t>
        </is>
      </c>
      <c r="F1419" s="6" t="n">
        <v>57857.3651132889</v>
      </c>
      <c r="G1419" s="6" t="inlineStr">
        <is>
          <t>DOMESTICA</t>
        </is>
      </c>
      <c r="H1419" s="6" t="inlineStr">
        <is>
          <t>FIXO</t>
        </is>
      </c>
      <c r="I1419" s="11">
        <f>IF($H1419="AUTO_OFERTA_TOTAL_PRODUTO_PERIODO",SUMIFS(Oferta!$F:$F,Oferta!$A:$A,$A1419,Oferta!$E:$E,$E1419),$F1419)</f>
        <v/>
      </c>
      <c r="J1419" s="6" t="inlineStr">
        <is>
          <t>Informado</t>
        </is>
      </c>
      <c r="K1419" s="6" t="inlineStr">
        <is>
          <t>Demanda doméstica fixa informada pelo usuário.</t>
        </is>
      </c>
    </row>
    <row r="1420">
      <c r="A1420" s="6" t="inlineStr">
        <is>
          <t>Milho</t>
        </is>
      </c>
      <c r="B1420" s="6" t="inlineStr">
        <is>
          <t>São Luís - MA</t>
        </is>
      </c>
      <c r="C1420" s="6" t="n">
        <v>-2.53874</v>
      </c>
      <c r="D1420" s="6" t="n">
        <v>-44.2825</v>
      </c>
      <c r="E1420" s="6" t="inlineStr">
        <is>
          <t>2025-03</t>
        </is>
      </c>
      <c r="F1420" s="6" t="n">
        <v>66590.5523002004</v>
      </c>
      <c r="G1420" s="6" t="inlineStr">
        <is>
          <t>DOMESTICA</t>
        </is>
      </c>
      <c r="H1420" s="6" t="inlineStr">
        <is>
          <t>FIXO</t>
        </is>
      </c>
      <c r="I1420" s="11">
        <f>IF($H1420="AUTO_OFERTA_TOTAL_PRODUTO_PERIODO",SUMIFS(Oferta!$F:$F,Oferta!$A:$A,$A1420,Oferta!$E:$E,$E1420),$F1420)</f>
        <v/>
      </c>
      <c r="J1420" s="6" t="inlineStr">
        <is>
          <t>Informado</t>
        </is>
      </c>
      <c r="K1420" s="6" t="inlineStr">
        <is>
          <t>Demanda doméstica fixa informada pelo usuário.</t>
        </is>
      </c>
    </row>
    <row r="1421">
      <c r="A1421" s="6" t="inlineStr">
        <is>
          <t>Milho</t>
        </is>
      </c>
      <c r="B1421" s="6" t="inlineStr">
        <is>
          <t>São Luís - MA</t>
        </is>
      </c>
      <c r="C1421" s="6" t="n">
        <v>-2.53874</v>
      </c>
      <c r="D1421" s="6" t="n">
        <v>-44.2825</v>
      </c>
      <c r="E1421" s="6" t="inlineStr">
        <is>
          <t>2025-04</t>
        </is>
      </c>
      <c r="F1421" s="6" t="n">
        <v>84056.9266740234</v>
      </c>
      <c r="G1421" s="6" t="inlineStr">
        <is>
          <t>DOMESTICA</t>
        </is>
      </c>
      <c r="H1421" s="6" t="inlineStr">
        <is>
          <t>FIXO</t>
        </is>
      </c>
      <c r="I1421" s="11">
        <f>IF($H1421="AUTO_OFERTA_TOTAL_PRODUTO_PERIODO",SUMIFS(Oferta!$F:$F,Oferta!$A:$A,$A1421,Oferta!$E:$E,$E1421),$F1421)</f>
        <v/>
      </c>
      <c r="J1421" s="6" t="inlineStr">
        <is>
          <t>Informado</t>
        </is>
      </c>
      <c r="K1421" s="6" t="inlineStr">
        <is>
          <t>Demanda doméstica fixa informada pelo usuário.</t>
        </is>
      </c>
    </row>
    <row r="1422">
      <c r="A1422" s="6" t="inlineStr">
        <is>
          <t>Milho</t>
        </is>
      </c>
      <c r="B1422" s="6" t="inlineStr">
        <is>
          <t>São Luís - MA</t>
        </is>
      </c>
      <c r="C1422" s="6" t="n">
        <v>-2.53874</v>
      </c>
      <c r="D1422" s="6" t="n">
        <v>-44.2825</v>
      </c>
      <c r="E1422" s="6" t="inlineStr">
        <is>
          <t>2025-05</t>
        </is>
      </c>
      <c r="F1422" s="6" t="n">
        <v>136456.0497954926</v>
      </c>
      <c r="G1422" s="6" t="inlineStr">
        <is>
          <t>DOMESTICA</t>
        </is>
      </c>
      <c r="H1422" s="6" t="inlineStr">
        <is>
          <t>FIXO</t>
        </is>
      </c>
      <c r="I1422" s="11">
        <f>IF($H1422="AUTO_OFERTA_TOTAL_PRODUTO_PERIODO",SUMIFS(Oferta!$F:$F,Oferta!$A:$A,$A1422,Oferta!$E:$E,$E1422),$F1422)</f>
        <v/>
      </c>
      <c r="J1422" s="6" t="inlineStr">
        <is>
          <t>Informado</t>
        </is>
      </c>
      <c r="K1422" s="6" t="inlineStr">
        <is>
          <t>Demanda doméstica fixa informada pelo usuário.</t>
        </is>
      </c>
    </row>
    <row r="1423">
      <c r="A1423" s="6" t="inlineStr">
        <is>
          <t>Milho</t>
        </is>
      </c>
      <c r="B1423" s="6" t="inlineStr">
        <is>
          <t>São Luís - MA</t>
        </is>
      </c>
      <c r="C1423" s="6" t="n">
        <v>-2.53874</v>
      </c>
      <c r="D1423" s="6" t="n">
        <v>-44.2825</v>
      </c>
      <c r="E1423" s="6" t="inlineStr">
        <is>
          <t>2025-06</t>
        </is>
      </c>
      <c r="F1423" s="6" t="n">
        <v>162655.6113562272</v>
      </c>
      <c r="G1423" s="6" t="inlineStr">
        <is>
          <t>DOMESTICA</t>
        </is>
      </c>
      <c r="H1423" s="6" t="inlineStr">
        <is>
          <t>FIXO</t>
        </is>
      </c>
      <c r="I1423" s="11">
        <f>IF($H1423="AUTO_OFERTA_TOTAL_PRODUTO_PERIODO",SUMIFS(Oferta!$F:$F,Oferta!$A:$A,$A1423,Oferta!$E:$E,$E1423),$F1423)</f>
        <v/>
      </c>
      <c r="J1423" s="6" t="inlineStr">
        <is>
          <t>Informado</t>
        </is>
      </c>
      <c r="K1423" s="6" t="inlineStr">
        <is>
          <t>Demanda doméstica fixa informada pelo usuário.</t>
        </is>
      </c>
    </row>
    <row r="1424">
      <c r="A1424" s="6" t="inlineStr">
        <is>
          <t>Milho</t>
        </is>
      </c>
      <c r="B1424" s="6" t="inlineStr">
        <is>
          <t>São Luís - MA</t>
        </is>
      </c>
      <c r="C1424" s="6" t="n">
        <v>-2.53874</v>
      </c>
      <c r="D1424" s="6" t="n">
        <v>-44.2825</v>
      </c>
      <c r="E1424" s="6" t="inlineStr">
        <is>
          <t>2025-07</t>
        </is>
      </c>
      <c r="F1424" s="6" t="n">
        <v>197588.3601038732</v>
      </c>
      <c r="G1424" s="6" t="inlineStr">
        <is>
          <t>DOMESTICA</t>
        </is>
      </c>
      <c r="H1424" s="6" t="inlineStr">
        <is>
          <t>FIXO</t>
        </is>
      </c>
      <c r="I1424" s="11">
        <f>IF($H1424="AUTO_OFERTA_TOTAL_PRODUTO_PERIODO",SUMIFS(Oferta!$F:$F,Oferta!$A:$A,$A1424,Oferta!$E:$E,$E1424),$F1424)</f>
        <v/>
      </c>
      <c r="J1424" s="6" t="inlineStr">
        <is>
          <t>Informado</t>
        </is>
      </c>
      <c r="K1424" s="6" t="inlineStr">
        <is>
          <t>Demanda doméstica fixa informada pelo usuário.</t>
        </is>
      </c>
    </row>
    <row r="1425">
      <c r="A1425" s="6" t="inlineStr">
        <is>
          <t>Milho</t>
        </is>
      </c>
      <c r="B1425" s="6" t="inlineStr">
        <is>
          <t>São Luís - MA</t>
        </is>
      </c>
      <c r="C1425" s="6" t="n">
        <v>-2.53874</v>
      </c>
      <c r="D1425" s="6" t="n">
        <v>-44.2825</v>
      </c>
      <c r="E1425" s="6" t="inlineStr">
        <is>
          <t>2025-08</t>
        </is>
      </c>
      <c r="F1425" s="6" t="n">
        <v>180121.9857300502</v>
      </c>
      <c r="G1425" s="6" t="inlineStr">
        <is>
          <t>DOMESTICA</t>
        </is>
      </c>
      <c r="H1425" s="6" t="inlineStr">
        <is>
          <t>FIXO</t>
        </is>
      </c>
      <c r="I1425" s="11">
        <f>IF($H1425="AUTO_OFERTA_TOTAL_PRODUTO_PERIODO",SUMIFS(Oferta!$F:$F,Oferta!$A:$A,$A1425,Oferta!$E:$E,$E1425),$F1425)</f>
        <v/>
      </c>
      <c r="J1425" s="6" t="inlineStr">
        <is>
          <t>Informado</t>
        </is>
      </c>
      <c r="K1425" s="6" t="inlineStr">
        <is>
          <t>Demanda doméstica fixa informada pelo usuário.</t>
        </is>
      </c>
    </row>
    <row r="1426">
      <c r="A1426" s="6" t="inlineStr">
        <is>
          <t>Milho</t>
        </is>
      </c>
      <c r="B1426" s="6" t="inlineStr">
        <is>
          <t>São Luís - MA</t>
        </is>
      </c>
      <c r="C1426" s="6" t="n">
        <v>-2.53874</v>
      </c>
      <c r="D1426" s="6" t="n">
        <v>-44.2825</v>
      </c>
      <c r="E1426" s="6" t="inlineStr">
        <is>
          <t>2025-09</t>
        </is>
      </c>
      <c r="F1426" s="6" t="n">
        <v>162655.6113562272</v>
      </c>
      <c r="G1426" s="6" t="inlineStr">
        <is>
          <t>DOMESTICA</t>
        </is>
      </c>
      <c r="H1426" s="6" t="inlineStr">
        <is>
          <t>FIXO</t>
        </is>
      </c>
      <c r="I1426" s="11">
        <f>IF($H1426="AUTO_OFERTA_TOTAL_PRODUTO_PERIODO",SUMIFS(Oferta!$F:$F,Oferta!$A:$A,$A1426,Oferta!$E:$E,$E1426),$F1426)</f>
        <v/>
      </c>
      <c r="J1426" s="6" t="inlineStr">
        <is>
          <t>Informado</t>
        </is>
      </c>
      <c r="K1426" s="6" t="inlineStr">
        <is>
          <t>Demanda doméstica fixa informada pelo usuário.</t>
        </is>
      </c>
    </row>
    <row r="1427">
      <c r="A1427" s="6" t="inlineStr">
        <is>
          <t>Milho</t>
        </is>
      </c>
      <c r="B1427" s="6" t="inlineStr">
        <is>
          <t>São Luís - MA</t>
        </is>
      </c>
      <c r="C1427" s="6" t="n">
        <v>-2.53874</v>
      </c>
      <c r="D1427" s="6" t="n">
        <v>-44.2825</v>
      </c>
      <c r="E1427" s="6" t="inlineStr">
        <is>
          <t>2025-10</t>
        </is>
      </c>
      <c r="F1427" s="6" t="n">
        <v>110256.488234758</v>
      </c>
      <c r="G1427" s="6" t="inlineStr">
        <is>
          <t>DOMESTICA</t>
        </is>
      </c>
      <c r="H1427" s="6" t="inlineStr">
        <is>
          <t>FIXO</t>
        </is>
      </c>
      <c r="I1427" s="11">
        <f>IF($H1427="AUTO_OFERTA_TOTAL_PRODUTO_PERIODO",SUMIFS(Oferta!$F:$F,Oferta!$A:$A,$A1427,Oferta!$E:$E,$E1427),$F1427)</f>
        <v/>
      </c>
      <c r="J1427" s="6" t="inlineStr">
        <is>
          <t>Informado</t>
        </is>
      </c>
      <c r="K1427" s="6" t="inlineStr">
        <is>
          <t>Demanda doméstica fixa informada pelo usuário.</t>
        </is>
      </c>
    </row>
    <row r="1428">
      <c r="A1428" s="6" t="inlineStr">
        <is>
          <t>Milho</t>
        </is>
      </c>
      <c r="B1428" s="6" t="inlineStr">
        <is>
          <t>São Luís - MA</t>
        </is>
      </c>
      <c r="C1428" s="6" t="n">
        <v>-2.53874</v>
      </c>
      <c r="D1428" s="6" t="n">
        <v>-44.2825</v>
      </c>
      <c r="E1428" s="6" t="inlineStr">
        <is>
          <t>2025-11</t>
        </is>
      </c>
      <c r="F1428" s="6" t="n">
        <v>75323.7394871119</v>
      </c>
      <c r="G1428" s="6" t="inlineStr">
        <is>
          <t>DOMESTICA</t>
        </is>
      </c>
      <c r="H1428" s="6" t="inlineStr">
        <is>
          <t>FIXO</t>
        </is>
      </c>
      <c r="I1428" s="11">
        <f>IF($H1428="AUTO_OFERTA_TOTAL_PRODUTO_PERIODO",SUMIFS(Oferta!$F:$F,Oferta!$A:$A,$A1428,Oferta!$E:$E,$E1428),$F1428)</f>
        <v/>
      </c>
      <c r="J1428" s="6" t="inlineStr">
        <is>
          <t>Informado</t>
        </is>
      </c>
      <c r="K1428" s="6" t="inlineStr">
        <is>
          <t>Demanda doméstica fixa informada pelo usuário.</t>
        </is>
      </c>
    </row>
    <row r="1429">
      <c r="A1429" s="6" t="inlineStr">
        <is>
          <t>Milho</t>
        </is>
      </c>
      <c r="B1429" s="6" t="inlineStr">
        <is>
          <t>São Luís - MA</t>
        </is>
      </c>
      <c r="C1429" s="6" t="n">
        <v>-2.53874</v>
      </c>
      <c r="D1429" s="6" t="n">
        <v>-44.2825</v>
      </c>
      <c r="E1429" s="6" t="inlineStr">
        <is>
          <t>2025-12</t>
        </is>
      </c>
      <c r="F1429" s="6" t="n">
        <v>57857.3651132889</v>
      </c>
      <c r="G1429" s="6" t="inlineStr">
        <is>
          <t>DOMESTICA</t>
        </is>
      </c>
      <c r="H1429" s="6" t="inlineStr">
        <is>
          <t>FIXO</t>
        </is>
      </c>
      <c r="I1429" s="11">
        <f>IF($H1429="AUTO_OFERTA_TOTAL_PRODUTO_PERIODO",SUMIFS(Oferta!$F:$F,Oferta!$A:$A,$A1429,Oferta!$E:$E,$E1429),$F1429)</f>
        <v/>
      </c>
      <c r="J1429" s="6" t="inlineStr">
        <is>
          <t>Informado</t>
        </is>
      </c>
      <c r="K1429" s="6" t="inlineStr">
        <is>
          <t>Demanda doméstica fixa informada pelo usuário.</t>
        </is>
      </c>
    </row>
    <row r="1430">
      <c r="A1430" s="6" t="inlineStr">
        <is>
          <t>Milho</t>
        </is>
      </c>
      <c r="B1430" s="6" t="inlineStr">
        <is>
          <t>João Pessoa - PB</t>
        </is>
      </c>
      <c r="C1430" s="6" t="n">
        <v>-7.11509</v>
      </c>
      <c r="D1430" s="6" t="n">
        <v>-34.8641</v>
      </c>
      <c r="E1430" s="6" t="inlineStr">
        <is>
          <t>2025-01</t>
        </is>
      </c>
      <c r="F1430" s="6" t="n">
        <v>48492.6078650409</v>
      </c>
      <c r="G1430" s="6" t="inlineStr">
        <is>
          <t>DOMESTICA</t>
        </is>
      </c>
      <c r="H1430" s="6" t="inlineStr">
        <is>
          <t>FIXO</t>
        </is>
      </c>
      <c r="I1430" s="11">
        <f>IF($H1430="AUTO_OFERTA_TOTAL_PRODUTO_PERIODO",SUMIFS(Oferta!$F:$F,Oferta!$A:$A,$A1430,Oferta!$E:$E,$E1430),$F1430)</f>
        <v/>
      </c>
      <c r="J1430" s="6" t="inlineStr">
        <is>
          <t>Informado</t>
        </is>
      </c>
      <c r="K1430" s="6" t="inlineStr">
        <is>
          <t>Demanda doméstica fixa informada pelo usuário.</t>
        </is>
      </c>
    </row>
    <row r="1431">
      <c r="A1431" s="6" t="inlineStr">
        <is>
          <t>Milho</t>
        </is>
      </c>
      <c r="B1431" s="6" t="inlineStr">
        <is>
          <t>João Pessoa - PB</t>
        </is>
      </c>
      <c r="C1431" s="6" t="n">
        <v>-7.11509</v>
      </c>
      <c r="D1431" s="6" t="n">
        <v>-34.8641</v>
      </c>
      <c r="E1431" s="6" t="inlineStr">
        <is>
          <t>2025-02</t>
        </is>
      </c>
      <c r="F1431" s="6" t="n">
        <v>38416.2218151623</v>
      </c>
      <c r="G1431" s="6" t="inlineStr">
        <is>
          <t>DOMESTICA</t>
        </is>
      </c>
      <c r="H1431" s="6" t="inlineStr">
        <is>
          <t>FIXO</t>
        </is>
      </c>
      <c r="I1431" s="11">
        <f>IF($H1431="AUTO_OFERTA_TOTAL_PRODUTO_PERIODO",SUMIFS(Oferta!$F:$F,Oferta!$A:$A,$A1431,Oferta!$E:$E,$E1431),$F1431)</f>
        <v/>
      </c>
      <c r="J1431" s="6" t="inlineStr">
        <is>
          <t>Informado</t>
        </is>
      </c>
      <c r="K1431" s="6" t="inlineStr">
        <is>
          <t>Demanda doméstica fixa informada pelo usuário.</t>
        </is>
      </c>
    </row>
    <row r="1432">
      <c r="A1432" s="6" t="inlineStr">
        <is>
          <t>Milho</t>
        </is>
      </c>
      <c r="B1432" s="6" t="inlineStr">
        <is>
          <t>João Pessoa - PB</t>
        </is>
      </c>
      <c r="C1432" s="6" t="n">
        <v>-7.11509</v>
      </c>
      <c r="D1432" s="6" t="n">
        <v>-34.8641</v>
      </c>
      <c r="E1432" s="6" t="inlineStr">
        <is>
          <t>2025-03</t>
        </is>
      </c>
      <c r="F1432" s="6" t="n">
        <v>33378.028790223</v>
      </c>
      <c r="G1432" s="6" t="inlineStr">
        <is>
          <t>DOMESTICA</t>
        </is>
      </c>
      <c r="H1432" s="6" t="inlineStr">
        <is>
          <t>FIXO</t>
        </is>
      </c>
      <c r="I1432" s="11">
        <f>IF($H1432="AUTO_OFERTA_TOTAL_PRODUTO_PERIODO",SUMIFS(Oferta!$F:$F,Oferta!$A:$A,$A1432,Oferta!$E:$E,$E1432),$F1432)</f>
        <v/>
      </c>
      <c r="J1432" s="6" t="inlineStr">
        <is>
          <t>Informado</t>
        </is>
      </c>
      <c r="K1432" s="6" t="inlineStr">
        <is>
          <t>Demanda doméstica fixa informada pelo usuário.</t>
        </is>
      </c>
    </row>
    <row r="1433">
      <c r="A1433" s="6" t="inlineStr">
        <is>
          <t>Milho</t>
        </is>
      </c>
      <c r="B1433" s="6" t="inlineStr">
        <is>
          <t>João Pessoa - PB</t>
        </is>
      </c>
      <c r="C1433" s="6" t="n">
        <v>-7.11509</v>
      </c>
      <c r="D1433" s="6" t="n">
        <v>-34.8641</v>
      </c>
      <c r="E1433" s="6" t="inlineStr">
        <is>
          <t>2025-04</t>
        </is>
      </c>
      <c r="F1433" s="6" t="n">
        <v>33378.028790223</v>
      </c>
      <c r="G1433" s="6" t="inlineStr">
        <is>
          <t>DOMESTICA</t>
        </is>
      </c>
      <c r="H1433" s="6" t="inlineStr">
        <is>
          <t>FIXO</t>
        </is>
      </c>
      <c r="I1433" s="11">
        <f>IF($H1433="AUTO_OFERTA_TOTAL_PRODUTO_PERIODO",SUMIFS(Oferta!$F:$F,Oferta!$A:$A,$A1433,Oferta!$E:$E,$E1433),$F1433)</f>
        <v/>
      </c>
      <c r="J1433" s="6" t="inlineStr">
        <is>
          <t>Informado</t>
        </is>
      </c>
      <c r="K1433" s="6" t="inlineStr">
        <is>
          <t>Demanda doméstica fixa informada pelo usuário.</t>
        </is>
      </c>
    </row>
    <row r="1434">
      <c r="A1434" s="6" t="inlineStr">
        <is>
          <t>Milho</t>
        </is>
      </c>
      <c r="B1434" s="6" t="inlineStr">
        <is>
          <t>João Pessoa - PB</t>
        </is>
      </c>
      <c r="C1434" s="6" t="n">
        <v>-7.11509</v>
      </c>
      <c r="D1434" s="6" t="n">
        <v>-34.8641</v>
      </c>
      <c r="E1434" s="6" t="inlineStr">
        <is>
          <t>2025-05</t>
        </is>
      </c>
      <c r="F1434" s="6" t="n">
        <v>33378.028790223</v>
      </c>
      <c r="G1434" s="6" t="inlineStr">
        <is>
          <t>DOMESTICA</t>
        </is>
      </c>
      <c r="H1434" s="6" t="inlineStr">
        <is>
          <t>FIXO</t>
        </is>
      </c>
      <c r="I1434" s="11">
        <f>IF($H1434="AUTO_OFERTA_TOTAL_PRODUTO_PERIODO",SUMIFS(Oferta!$F:$F,Oferta!$A:$A,$A1434,Oferta!$E:$E,$E1434),$F1434)</f>
        <v/>
      </c>
      <c r="J1434" s="6" t="inlineStr">
        <is>
          <t>Informado</t>
        </is>
      </c>
      <c r="K1434" s="6" t="inlineStr">
        <is>
          <t>Demanda doméstica fixa informada pelo usuário.</t>
        </is>
      </c>
    </row>
    <row r="1435">
      <c r="A1435" s="6" t="inlineStr">
        <is>
          <t>Milho</t>
        </is>
      </c>
      <c r="B1435" s="6" t="inlineStr">
        <is>
          <t>João Pessoa - PB</t>
        </is>
      </c>
      <c r="C1435" s="6" t="n">
        <v>-7.11509</v>
      </c>
      <c r="D1435" s="6" t="n">
        <v>-34.8641</v>
      </c>
      <c r="E1435" s="6" t="inlineStr">
        <is>
          <t>2025-06</t>
        </is>
      </c>
      <c r="F1435" s="6" t="n">
        <v>43454.4148401016</v>
      </c>
      <c r="G1435" s="6" t="inlineStr">
        <is>
          <t>DOMESTICA</t>
        </is>
      </c>
      <c r="H1435" s="6" t="inlineStr">
        <is>
          <t>FIXO</t>
        </is>
      </c>
      <c r="I1435" s="11">
        <f>IF($H1435="AUTO_OFERTA_TOTAL_PRODUTO_PERIODO",SUMIFS(Oferta!$F:$F,Oferta!$A:$A,$A1435,Oferta!$E:$E,$E1435),$F1435)</f>
        <v/>
      </c>
      <c r="J1435" s="6" t="inlineStr">
        <is>
          <t>Informado</t>
        </is>
      </c>
      <c r="K1435" s="6" t="inlineStr">
        <is>
          <t>Demanda doméstica fixa informada pelo usuário.</t>
        </is>
      </c>
    </row>
    <row r="1436">
      <c r="A1436" s="6" t="inlineStr">
        <is>
          <t>Milho</t>
        </is>
      </c>
      <c r="B1436" s="6" t="inlineStr">
        <is>
          <t>João Pessoa - PB</t>
        </is>
      </c>
      <c r="C1436" s="6" t="n">
        <v>-7.11509</v>
      </c>
      <c r="D1436" s="6" t="n">
        <v>-34.8641</v>
      </c>
      <c r="E1436" s="6" t="inlineStr">
        <is>
          <t>2025-07</t>
        </is>
      </c>
      <c r="F1436" s="6" t="n">
        <v>53530.8008899802</v>
      </c>
      <c r="G1436" s="6" t="inlineStr">
        <is>
          <t>DOMESTICA</t>
        </is>
      </c>
      <c r="H1436" s="6" t="inlineStr">
        <is>
          <t>FIXO</t>
        </is>
      </c>
      <c r="I1436" s="11">
        <f>IF($H1436="AUTO_OFERTA_TOTAL_PRODUTO_PERIODO",SUMIFS(Oferta!$F:$F,Oferta!$A:$A,$A1436,Oferta!$E:$E,$E1436),$F1436)</f>
        <v/>
      </c>
      <c r="J1436" s="6" t="inlineStr">
        <is>
          <t>Informado</t>
        </is>
      </c>
      <c r="K1436" s="6" t="inlineStr">
        <is>
          <t>Demanda doméstica fixa informada pelo usuário.</t>
        </is>
      </c>
    </row>
    <row r="1437">
      <c r="A1437" s="6" t="inlineStr">
        <is>
          <t>Milho</t>
        </is>
      </c>
      <c r="B1437" s="6" t="inlineStr">
        <is>
          <t>João Pessoa - PB</t>
        </is>
      </c>
      <c r="C1437" s="6" t="n">
        <v>-7.11509</v>
      </c>
      <c r="D1437" s="6" t="n">
        <v>-34.8641</v>
      </c>
      <c r="E1437" s="6" t="inlineStr">
        <is>
          <t>2025-08</t>
        </is>
      </c>
      <c r="F1437" s="6" t="n">
        <v>73683.5729897375</v>
      </c>
      <c r="G1437" s="6" t="inlineStr">
        <is>
          <t>DOMESTICA</t>
        </is>
      </c>
      <c r="H1437" s="6" t="inlineStr">
        <is>
          <t>FIXO</t>
        </is>
      </c>
      <c r="I1437" s="11">
        <f>IF($H1437="AUTO_OFERTA_TOTAL_PRODUTO_PERIODO",SUMIFS(Oferta!$F:$F,Oferta!$A:$A,$A1437,Oferta!$E:$E,$E1437),$F1437)</f>
        <v/>
      </c>
      <c r="J1437" s="6" t="inlineStr">
        <is>
          <t>Informado</t>
        </is>
      </c>
      <c r="K1437" s="6" t="inlineStr">
        <is>
          <t>Demanda doméstica fixa informada pelo usuário.</t>
        </is>
      </c>
    </row>
    <row r="1438">
      <c r="A1438" s="6" t="inlineStr">
        <is>
          <t>Milho</t>
        </is>
      </c>
      <c r="B1438" s="6" t="inlineStr">
        <is>
          <t>João Pessoa - PB</t>
        </is>
      </c>
      <c r="C1438" s="6" t="n">
        <v>-7.11509</v>
      </c>
      <c r="D1438" s="6" t="n">
        <v>-34.8641</v>
      </c>
      <c r="E1438" s="6" t="inlineStr">
        <is>
          <t>2025-09</t>
        </is>
      </c>
      <c r="F1438" s="6" t="n">
        <v>83759.95903961609</v>
      </c>
      <c r="G1438" s="6" t="inlineStr">
        <is>
          <t>DOMESTICA</t>
        </is>
      </c>
      <c r="H1438" s="6" t="inlineStr">
        <is>
          <t>FIXO</t>
        </is>
      </c>
      <c r="I1438" s="11">
        <f>IF($H1438="AUTO_OFERTA_TOTAL_PRODUTO_PERIODO",SUMIFS(Oferta!$F:$F,Oferta!$A:$A,$A1438,Oferta!$E:$E,$E1438),$F1438)</f>
        <v/>
      </c>
      <c r="J1438" s="6" t="inlineStr">
        <is>
          <t>Informado</t>
        </is>
      </c>
      <c r="K1438" s="6" t="inlineStr">
        <is>
          <t>Demanda doméstica fixa informada pelo usuário.</t>
        </is>
      </c>
    </row>
    <row r="1439">
      <c r="A1439" s="6" t="inlineStr">
        <is>
          <t>Milho</t>
        </is>
      </c>
      <c r="B1439" s="6" t="inlineStr">
        <is>
          <t>João Pessoa - PB</t>
        </is>
      </c>
      <c r="C1439" s="6" t="n">
        <v>-7.11509</v>
      </c>
      <c r="D1439" s="6" t="n">
        <v>-34.8641</v>
      </c>
      <c r="E1439" s="6" t="inlineStr">
        <is>
          <t>2025-10</t>
        </is>
      </c>
      <c r="F1439" s="6" t="n">
        <v>83759.95903961609</v>
      </c>
      <c r="G1439" s="6" t="inlineStr">
        <is>
          <t>DOMESTICA</t>
        </is>
      </c>
      <c r="H1439" s="6" t="inlineStr">
        <is>
          <t>FIXO</t>
        </is>
      </c>
      <c r="I1439" s="11">
        <f>IF($H1439="AUTO_OFERTA_TOTAL_PRODUTO_PERIODO",SUMIFS(Oferta!$F:$F,Oferta!$A:$A,$A1439,Oferta!$E:$E,$E1439),$F1439)</f>
        <v/>
      </c>
      <c r="J1439" s="6" t="inlineStr">
        <is>
          <t>Informado</t>
        </is>
      </c>
      <c r="K1439" s="6" t="inlineStr">
        <is>
          <t>Demanda doméstica fixa informada pelo usuário.</t>
        </is>
      </c>
    </row>
    <row r="1440">
      <c r="A1440" s="6" t="inlineStr">
        <is>
          <t>Milho</t>
        </is>
      </c>
      <c r="B1440" s="6" t="inlineStr">
        <is>
          <t>João Pessoa - PB</t>
        </is>
      </c>
      <c r="C1440" s="6" t="n">
        <v>-7.11509</v>
      </c>
      <c r="D1440" s="6" t="n">
        <v>-34.8641</v>
      </c>
      <c r="E1440" s="6" t="inlineStr">
        <is>
          <t>2025-11</t>
        </is>
      </c>
      <c r="F1440" s="6" t="n">
        <v>73683.5729897375</v>
      </c>
      <c r="G1440" s="6" t="inlineStr">
        <is>
          <t>DOMESTICA</t>
        </is>
      </c>
      <c r="H1440" s="6" t="inlineStr">
        <is>
          <t>FIXO</t>
        </is>
      </c>
      <c r="I1440" s="11">
        <f>IF($H1440="AUTO_OFERTA_TOTAL_PRODUTO_PERIODO",SUMIFS(Oferta!$F:$F,Oferta!$A:$A,$A1440,Oferta!$E:$E,$E1440),$F1440)</f>
        <v/>
      </c>
      <c r="J1440" s="6" t="inlineStr">
        <is>
          <t>Informado</t>
        </is>
      </c>
      <c r="K1440" s="6" t="inlineStr">
        <is>
          <t>Demanda doméstica fixa informada pelo usuário.</t>
        </is>
      </c>
    </row>
    <row r="1441">
      <c r="A1441" s="6" t="inlineStr">
        <is>
          <t>Milho</t>
        </is>
      </c>
      <c r="B1441" s="6" t="inlineStr">
        <is>
          <t>João Pessoa - PB</t>
        </is>
      </c>
      <c r="C1441" s="6" t="n">
        <v>-7.11509</v>
      </c>
      <c r="D1441" s="6" t="n">
        <v>-34.8641</v>
      </c>
      <c r="E1441" s="6" t="inlineStr">
        <is>
          <t>2025-12</t>
        </is>
      </c>
      <c r="F1441" s="6" t="n">
        <v>58568.9939149195</v>
      </c>
      <c r="G1441" s="6" t="inlineStr">
        <is>
          <t>DOMESTICA</t>
        </is>
      </c>
      <c r="H1441" s="6" t="inlineStr">
        <is>
          <t>FIXO</t>
        </is>
      </c>
      <c r="I1441" s="11">
        <f>IF($H1441="AUTO_OFERTA_TOTAL_PRODUTO_PERIODO",SUMIFS(Oferta!$F:$F,Oferta!$A:$A,$A1441,Oferta!$E:$E,$E1441),$F1441)</f>
        <v/>
      </c>
      <c r="J1441" s="6" t="inlineStr">
        <is>
          <t>Informado</t>
        </is>
      </c>
      <c r="K1441" s="6" t="inlineStr">
        <is>
          <t>Demanda doméstica fixa informada pelo usuário.</t>
        </is>
      </c>
    </row>
    <row r="1442">
      <c r="A1442" s="6" t="inlineStr">
        <is>
          <t>Milho</t>
        </is>
      </c>
      <c r="B1442" s="6" t="inlineStr">
        <is>
          <t>Recife - PE</t>
        </is>
      </c>
      <c r="C1442" s="6" t="n">
        <v>-8.046659999999999</v>
      </c>
      <c r="D1442" s="6" t="n">
        <v>-34.8771</v>
      </c>
      <c r="E1442" s="6" t="inlineStr">
        <is>
          <t>2025-01</t>
        </is>
      </c>
      <c r="F1442" s="6" t="n">
        <v>132537.4693649476</v>
      </c>
      <c r="G1442" s="6" t="inlineStr">
        <is>
          <t>DOMESTICA</t>
        </is>
      </c>
      <c r="H1442" s="6" t="inlineStr">
        <is>
          <t>FIXO</t>
        </is>
      </c>
      <c r="I1442" s="11">
        <f>IF($H1442="AUTO_OFERTA_TOTAL_PRODUTO_PERIODO",SUMIFS(Oferta!$F:$F,Oferta!$A:$A,$A1442,Oferta!$E:$E,$E1442),$F1442)</f>
        <v/>
      </c>
      <c r="J1442" s="6" t="inlineStr">
        <is>
          <t>Informado</t>
        </is>
      </c>
      <c r="K1442" s="6" t="inlineStr">
        <is>
          <t>Demanda doméstica fixa informada pelo usuário.</t>
        </is>
      </c>
    </row>
    <row r="1443">
      <c r="A1443" s="6" t="inlineStr">
        <is>
          <t>Milho</t>
        </is>
      </c>
      <c r="B1443" s="6" t="inlineStr">
        <is>
          <t>Recife - PE</t>
        </is>
      </c>
      <c r="C1443" s="6" t="n">
        <v>-8.046659999999999</v>
      </c>
      <c r="D1443" s="6" t="n">
        <v>-34.8771</v>
      </c>
      <c r="E1443" s="6" t="inlineStr">
        <is>
          <t>2025-02</t>
        </is>
      </c>
      <c r="F1443" s="6" t="n">
        <v>107589.239837428</v>
      </c>
      <c r="G1443" s="6" t="inlineStr">
        <is>
          <t>DOMESTICA</t>
        </is>
      </c>
      <c r="H1443" s="6" t="inlineStr">
        <is>
          <t>FIXO</t>
        </is>
      </c>
      <c r="I1443" s="11">
        <f>IF($H1443="AUTO_OFERTA_TOTAL_PRODUTO_PERIODO",SUMIFS(Oferta!$F:$F,Oferta!$A:$A,$A1443,Oferta!$E:$E,$E1443),$F1443)</f>
        <v/>
      </c>
      <c r="J1443" s="6" t="inlineStr">
        <is>
          <t>Informado</t>
        </is>
      </c>
      <c r="K1443" s="6" t="inlineStr">
        <is>
          <t>Demanda doméstica fixa informada pelo usuário.</t>
        </is>
      </c>
    </row>
    <row r="1444">
      <c r="A1444" s="6" t="inlineStr">
        <is>
          <t>Milho</t>
        </is>
      </c>
      <c r="B1444" s="6" t="inlineStr">
        <is>
          <t>Recife - PE</t>
        </is>
      </c>
      <c r="C1444" s="6" t="n">
        <v>-8.046659999999999</v>
      </c>
      <c r="D1444" s="6" t="n">
        <v>-34.8771</v>
      </c>
      <c r="E1444" s="6" t="inlineStr">
        <is>
          <t>2025-03</t>
        </is>
      </c>
      <c r="F1444" s="6" t="n">
        <v>82641.0103099085</v>
      </c>
      <c r="G1444" s="6" t="inlineStr">
        <is>
          <t>DOMESTICA</t>
        </is>
      </c>
      <c r="H1444" s="6" t="inlineStr">
        <is>
          <t>FIXO</t>
        </is>
      </c>
      <c r="I1444" s="11">
        <f>IF($H1444="AUTO_OFERTA_TOTAL_PRODUTO_PERIODO",SUMIFS(Oferta!$F:$F,Oferta!$A:$A,$A1444,Oferta!$E:$E,$E1444),$F1444)</f>
        <v/>
      </c>
      <c r="J1444" s="6" t="inlineStr">
        <is>
          <t>Informado</t>
        </is>
      </c>
      <c r="K1444" s="6" t="inlineStr">
        <is>
          <t>Demanda doméstica fixa informada pelo usuário.</t>
        </is>
      </c>
    </row>
    <row r="1445">
      <c r="A1445" s="6" t="inlineStr">
        <is>
          <t>Milho</t>
        </is>
      </c>
      <c r="B1445" s="6" t="inlineStr">
        <is>
          <t>Recife - PE</t>
        </is>
      </c>
      <c r="C1445" s="6" t="n">
        <v>-8.046659999999999</v>
      </c>
      <c r="D1445" s="6" t="n">
        <v>-34.8771</v>
      </c>
      <c r="E1445" s="6" t="inlineStr">
        <is>
          <t>2025-04</t>
        </is>
      </c>
      <c r="F1445" s="6" t="n">
        <v>82641.0103099085</v>
      </c>
      <c r="G1445" s="6" t="inlineStr">
        <is>
          <t>DOMESTICA</t>
        </is>
      </c>
      <c r="H1445" s="6" t="inlineStr">
        <is>
          <t>FIXO</t>
        </is>
      </c>
      <c r="I1445" s="11">
        <f>IF($H1445="AUTO_OFERTA_TOTAL_PRODUTO_PERIODO",SUMIFS(Oferta!$F:$F,Oferta!$A:$A,$A1445,Oferta!$E:$E,$E1445),$F1445)</f>
        <v/>
      </c>
      <c r="J1445" s="6" t="inlineStr">
        <is>
          <t>Informado</t>
        </is>
      </c>
      <c r="K1445" s="6" t="inlineStr">
        <is>
          <t>Demanda doméstica fixa informada pelo usuário.</t>
        </is>
      </c>
    </row>
    <row r="1446">
      <c r="A1446" s="6" t="inlineStr">
        <is>
          <t>Milho</t>
        </is>
      </c>
      <c r="B1446" s="6" t="inlineStr">
        <is>
          <t>Recife - PE</t>
        </is>
      </c>
      <c r="C1446" s="6" t="n">
        <v>-8.046659999999999</v>
      </c>
      <c r="D1446" s="6" t="n">
        <v>-34.8771</v>
      </c>
      <c r="E1446" s="6" t="inlineStr">
        <is>
          <t>2025-05</t>
        </is>
      </c>
      <c r="F1446" s="6" t="n">
        <v>107589.239837428</v>
      </c>
      <c r="G1446" s="6" t="inlineStr">
        <is>
          <t>DOMESTICA</t>
        </is>
      </c>
      <c r="H1446" s="6" t="inlineStr">
        <is>
          <t>FIXO</t>
        </is>
      </c>
      <c r="I1446" s="11">
        <f>IF($H1446="AUTO_OFERTA_TOTAL_PRODUTO_PERIODO",SUMIFS(Oferta!$F:$F,Oferta!$A:$A,$A1446,Oferta!$E:$E,$E1446),$F1446)</f>
        <v/>
      </c>
      <c r="J1446" s="6" t="inlineStr">
        <is>
          <t>Informado</t>
        </is>
      </c>
      <c r="K1446" s="6" t="inlineStr">
        <is>
          <t>Demanda doméstica fixa informada pelo usuário.</t>
        </is>
      </c>
    </row>
    <row r="1447">
      <c r="A1447" s="6" t="inlineStr">
        <is>
          <t>Milho</t>
        </is>
      </c>
      <c r="B1447" s="6" t="inlineStr">
        <is>
          <t>Recife - PE</t>
        </is>
      </c>
      <c r="C1447" s="6" t="n">
        <v>-8.046659999999999</v>
      </c>
      <c r="D1447" s="6" t="n">
        <v>-34.8771</v>
      </c>
      <c r="E1447" s="6" t="inlineStr">
        <is>
          <t>2025-06</t>
        </is>
      </c>
      <c r="F1447" s="6" t="n">
        <v>207382.1579475062</v>
      </c>
      <c r="G1447" s="6" t="inlineStr">
        <is>
          <t>DOMESTICA</t>
        </is>
      </c>
      <c r="H1447" s="6" t="inlineStr">
        <is>
          <t>FIXO</t>
        </is>
      </c>
      <c r="I1447" s="11">
        <f>IF($H1447="AUTO_OFERTA_TOTAL_PRODUTO_PERIODO",SUMIFS(Oferta!$F:$F,Oferta!$A:$A,$A1447,Oferta!$E:$E,$E1447),$F1447)</f>
        <v/>
      </c>
      <c r="J1447" s="6" t="inlineStr">
        <is>
          <t>Informado</t>
        </is>
      </c>
      <c r="K1447" s="6" t="inlineStr">
        <is>
          <t>Demanda doméstica fixa informada pelo usuário.</t>
        </is>
      </c>
    </row>
    <row r="1448">
      <c r="A1448" s="6" t="inlineStr">
        <is>
          <t>Milho</t>
        </is>
      </c>
      <c r="B1448" s="6" t="inlineStr">
        <is>
          <t>Recife - PE</t>
        </is>
      </c>
      <c r="C1448" s="6" t="n">
        <v>-8.046659999999999</v>
      </c>
      <c r="D1448" s="6" t="n">
        <v>-34.8771</v>
      </c>
      <c r="E1448" s="6" t="inlineStr">
        <is>
          <t>2025-07</t>
        </is>
      </c>
      <c r="F1448" s="6" t="n">
        <v>257278.6170025453</v>
      </c>
      <c r="G1448" s="6" t="inlineStr">
        <is>
          <t>DOMESTICA</t>
        </is>
      </c>
      <c r="H1448" s="6" t="inlineStr">
        <is>
          <t>FIXO</t>
        </is>
      </c>
      <c r="I1448" s="11">
        <f>IF($H1448="AUTO_OFERTA_TOTAL_PRODUTO_PERIODO",SUMIFS(Oferta!$F:$F,Oferta!$A:$A,$A1448,Oferta!$E:$E,$E1448),$F1448)</f>
        <v/>
      </c>
      <c r="J1448" s="6" t="inlineStr">
        <is>
          <t>Informado</t>
        </is>
      </c>
      <c r="K1448" s="6" t="inlineStr">
        <is>
          <t>Demanda doméstica fixa informada pelo usuário.</t>
        </is>
      </c>
    </row>
    <row r="1449">
      <c r="A1449" s="6" t="inlineStr">
        <is>
          <t>Milho</t>
        </is>
      </c>
      <c r="B1449" s="6" t="inlineStr">
        <is>
          <t>Recife - PE</t>
        </is>
      </c>
      <c r="C1449" s="6" t="n">
        <v>-8.046659999999999</v>
      </c>
      <c r="D1449" s="6" t="n">
        <v>-34.8771</v>
      </c>
      <c r="E1449" s="6" t="inlineStr">
        <is>
          <t>2025-08</t>
        </is>
      </c>
      <c r="F1449" s="6" t="n">
        <v>257278.6170025453</v>
      </c>
      <c r="G1449" s="6" t="inlineStr">
        <is>
          <t>DOMESTICA</t>
        </is>
      </c>
      <c r="H1449" s="6" t="inlineStr">
        <is>
          <t>FIXO</t>
        </is>
      </c>
      <c r="I1449" s="11">
        <f>IF($H1449="AUTO_OFERTA_TOTAL_PRODUTO_PERIODO",SUMIFS(Oferta!$F:$F,Oferta!$A:$A,$A1449,Oferta!$E:$E,$E1449),$F1449)</f>
        <v/>
      </c>
      <c r="J1449" s="6" t="inlineStr">
        <is>
          <t>Informado</t>
        </is>
      </c>
      <c r="K1449" s="6" t="inlineStr">
        <is>
          <t>Demanda doméstica fixa informada pelo usuário.</t>
        </is>
      </c>
    </row>
    <row r="1450">
      <c r="A1450" s="6" t="inlineStr">
        <is>
          <t>Milho</t>
        </is>
      </c>
      <c r="B1450" s="6" t="inlineStr">
        <is>
          <t>Recife - PE</t>
        </is>
      </c>
      <c r="C1450" s="6" t="n">
        <v>-8.046659999999999</v>
      </c>
      <c r="D1450" s="6" t="n">
        <v>-34.8771</v>
      </c>
      <c r="E1450" s="6" t="inlineStr">
        <is>
          <t>2025-09</t>
        </is>
      </c>
      <c r="F1450" s="6" t="n">
        <v>232330.3874750258</v>
      </c>
      <c r="G1450" s="6" t="inlineStr">
        <is>
          <t>DOMESTICA</t>
        </is>
      </c>
      <c r="H1450" s="6" t="inlineStr">
        <is>
          <t>FIXO</t>
        </is>
      </c>
      <c r="I1450" s="11">
        <f>IF($H1450="AUTO_OFERTA_TOTAL_PRODUTO_PERIODO",SUMIFS(Oferta!$F:$F,Oferta!$A:$A,$A1450,Oferta!$E:$E,$E1450),$F1450)</f>
        <v/>
      </c>
      <c r="J1450" s="6" t="inlineStr">
        <is>
          <t>Informado</t>
        </is>
      </c>
      <c r="K1450" s="6" t="inlineStr">
        <is>
          <t>Demanda doméstica fixa informada pelo usuário.</t>
        </is>
      </c>
    </row>
    <row r="1451">
      <c r="A1451" s="6" t="inlineStr">
        <is>
          <t>Milho</t>
        </is>
      </c>
      <c r="B1451" s="6" t="inlineStr">
        <is>
          <t>Recife - PE</t>
        </is>
      </c>
      <c r="C1451" s="6" t="n">
        <v>-8.046659999999999</v>
      </c>
      <c r="D1451" s="6" t="n">
        <v>-34.8771</v>
      </c>
      <c r="E1451" s="6" t="inlineStr">
        <is>
          <t>2025-10</t>
        </is>
      </c>
      <c r="F1451" s="6" t="n">
        <v>207382.1579475062</v>
      </c>
      <c r="G1451" s="6" t="inlineStr">
        <is>
          <t>DOMESTICA</t>
        </is>
      </c>
      <c r="H1451" s="6" t="inlineStr">
        <is>
          <t>FIXO</t>
        </is>
      </c>
      <c r="I1451" s="11">
        <f>IF($H1451="AUTO_OFERTA_TOTAL_PRODUTO_PERIODO",SUMIFS(Oferta!$F:$F,Oferta!$A:$A,$A1451,Oferta!$E:$E,$E1451),$F1451)</f>
        <v/>
      </c>
      <c r="J1451" s="6" t="inlineStr">
        <is>
          <t>Informado</t>
        </is>
      </c>
      <c r="K1451" s="6" t="inlineStr">
        <is>
          <t>Demanda doméstica fixa informada pelo usuário.</t>
        </is>
      </c>
    </row>
    <row r="1452">
      <c r="A1452" s="6" t="inlineStr">
        <is>
          <t>Milho</t>
        </is>
      </c>
      <c r="B1452" s="6" t="inlineStr">
        <is>
          <t>Recife - PE</t>
        </is>
      </c>
      <c r="C1452" s="6" t="n">
        <v>-8.046659999999999</v>
      </c>
      <c r="D1452" s="6" t="n">
        <v>-34.8771</v>
      </c>
      <c r="E1452" s="6" t="inlineStr">
        <is>
          <t>2025-11</t>
        </is>
      </c>
      <c r="F1452" s="6" t="n">
        <v>207382.1579475062</v>
      </c>
      <c r="G1452" s="6" t="inlineStr">
        <is>
          <t>DOMESTICA</t>
        </is>
      </c>
      <c r="H1452" s="6" t="inlineStr">
        <is>
          <t>FIXO</t>
        </is>
      </c>
      <c r="I1452" s="11">
        <f>IF($H1452="AUTO_OFERTA_TOTAL_PRODUTO_PERIODO",SUMIFS(Oferta!$F:$F,Oferta!$A:$A,$A1452,Oferta!$E:$E,$E1452),$F1452)</f>
        <v/>
      </c>
      <c r="J1452" s="6" t="inlineStr">
        <is>
          <t>Informado</t>
        </is>
      </c>
      <c r="K1452" s="6" t="inlineStr">
        <is>
          <t>Demanda doméstica fixa informada pelo usuário.</t>
        </is>
      </c>
    </row>
    <row r="1453">
      <c r="A1453" s="6" t="inlineStr">
        <is>
          <t>Milho</t>
        </is>
      </c>
      <c r="B1453" s="6" t="inlineStr">
        <is>
          <t>Recife - PE</t>
        </is>
      </c>
      <c r="C1453" s="6" t="n">
        <v>-8.046659999999999</v>
      </c>
      <c r="D1453" s="6" t="n">
        <v>-34.8771</v>
      </c>
      <c r="E1453" s="6" t="inlineStr">
        <is>
          <t>2025-12</t>
        </is>
      </c>
      <c r="F1453" s="6" t="n">
        <v>157485.6988924672</v>
      </c>
      <c r="G1453" s="6" t="inlineStr">
        <is>
          <t>DOMESTICA</t>
        </is>
      </c>
      <c r="H1453" s="6" t="inlineStr">
        <is>
          <t>FIXO</t>
        </is>
      </c>
      <c r="I1453" s="11">
        <f>IF($H1453="AUTO_OFERTA_TOTAL_PRODUTO_PERIODO",SUMIFS(Oferta!$F:$F,Oferta!$A:$A,$A1453,Oferta!$E:$E,$E1453),$F1453)</f>
        <v/>
      </c>
      <c r="J1453" s="6" t="inlineStr">
        <is>
          <t>Informado</t>
        </is>
      </c>
      <c r="K1453" s="6" t="inlineStr">
        <is>
          <t>Demanda doméstica fixa informada pelo usuário.</t>
        </is>
      </c>
    </row>
    <row r="1454">
      <c r="A1454" s="6" t="inlineStr">
        <is>
          <t>Milho</t>
        </is>
      </c>
      <c r="B1454" s="6" t="inlineStr">
        <is>
          <t>Teresina - PI</t>
        </is>
      </c>
      <c r="C1454" s="6" t="n">
        <v>-5.09194</v>
      </c>
      <c r="D1454" s="6" t="n">
        <v>-42.8034</v>
      </c>
      <c r="E1454" s="6" t="inlineStr">
        <is>
          <t>2025-01</t>
        </is>
      </c>
      <c r="F1454" s="6" t="n">
        <v>33217.7460718843</v>
      </c>
      <c r="G1454" s="6" t="inlineStr">
        <is>
          <t>DOMESTICA</t>
        </is>
      </c>
      <c r="H1454" s="6" t="inlineStr">
        <is>
          <t>FIXO</t>
        </is>
      </c>
      <c r="I1454" s="11">
        <f>IF($H1454="AUTO_OFERTA_TOTAL_PRODUTO_PERIODO",SUMIFS(Oferta!$F:$F,Oferta!$A:$A,$A1454,Oferta!$E:$E,$E1454),$F1454)</f>
        <v/>
      </c>
      <c r="J1454" s="6" t="inlineStr">
        <is>
          <t>Informado</t>
        </is>
      </c>
      <c r="K1454" s="6" t="inlineStr">
        <is>
          <t>Demanda doméstica fixa informada pelo usuário.</t>
        </is>
      </c>
    </row>
    <row r="1455">
      <c r="A1455" s="6" t="inlineStr">
        <is>
          <t>Milho</t>
        </is>
      </c>
      <c r="B1455" s="6" t="inlineStr">
        <is>
          <t>Teresina - PI</t>
        </is>
      </c>
      <c r="C1455" s="6" t="n">
        <v>-5.09194</v>
      </c>
      <c r="D1455" s="6" t="n">
        <v>-42.8034</v>
      </c>
      <c r="E1455" s="6" t="inlineStr">
        <is>
          <t>2025-02</t>
        </is>
      </c>
      <c r="F1455" s="6" t="n">
        <v>33217.7460718843</v>
      </c>
      <c r="G1455" s="6" t="inlineStr">
        <is>
          <t>DOMESTICA</t>
        </is>
      </c>
      <c r="H1455" s="6" t="inlineStr">
        <is>
          <t>FIXO</t>
        </is>
      </c>
      <c r="I1455" s="11">
        <f>IF($H1455="AUTO_OFERTA_TOTAL_PRODUTO_PERIODO",SUMIFS(Oferta!$F:$F,Oferta!$A:$A,$A1455,Oferta!$E:$E,$E1455),$F1455)</f>
        <v/>
      </c>
      <c r="J1455" s="6" t="inlineStr">
        <is>
          <t>Informado</t>
        </is>
      </c>
      <c r="K1455" s="6" t="inlineStr">
        <is>
          <t>Demanda doméstica fixa informada pelo usuário.</t>
        </is>
      </c>
    </row>
    <row r="1456">
      <c r="A1456" s="6" t="inlineStr">
        <is>
          <t>Milho</t>
        </is>
      </c>
      <c r="B1456" s="6" t="inlineStr">
        <is>
          <t>Teresina - PI</t>
        </is>
      </c>
      <c r="C1456" s="6" t="n">
        <v>-5.09194</v>
      </c>
      <c r="D1456" s="6" t="n">
        <v>-42.8034</v>
      </c>
      <c r="E1456" s="6" t="inlineStr">
        <is>
          <t>2025-03</t>
        </is>
      </c>
      <c r="F1456" s="6" t="n">
        <v>38231.7454789611</v>
      </c>
      <c r="G1456" s="6" t="inlineStr">
        <is>
          <t>DOMESTICA</t>
        </is>
      </c>
      <c r="H1456" s="6" t="inlineStr">
        <is>
          <t>FIXO</t>
        </is>
      </c>
      <c r="I1456" s="11">
        <f>IF($H1456="AUTO_OFERTA_TOTAL_PRODUTO_PERIODO",SUMIFS(Oferta!$F:$F,Oferta!$A:$A,$A1456,Oferta!$E:$E,$E1456),$F1456)</f>
        <v/>
      </c>
      <c r="J1456" s="6" t="inlineStr">
        <is>
          <t>Informado</t>
        </is>
      </c>
      <c r="K1456" s="6" t="inlineStr">
        <is>
          <t>Demanda doméstica fixa informada pelo usuário.</t>
        </is>
      </c>
    </row>
    <row r="1457">
      <c r="A1457" s="6" t="inlineStr">
        <is>
          <t>Milho</t>
        </is>
      </c>
      <c r="B1457" s="6" t="inlineStr">
        <is>
          <t>Teresina - PI</t>
        </is>
      </c>
      <c r="C1457" s="6" t="n">
        <v>-5.09194</v>
      </c>
      <c r="D1457" s="6" t="n">
        <v>-42.8034</v>
      </c>
      <c r="E1457" s="6" t="inlineStr">
        <is>
          <t>2025-04</t>
        </is>
      </c>
      <c r="F1457" s="6" t="n">
        <v>48259.7442931149</v>
      </c>
      <c r="G1457" s="6" t="inlineStr">
        <is>
          <t>DOMESTICA</t>
        </is>
      </c>
      <c r="H1457" s="6" t="inlineStr">
        <is>
          <t>FIXO</t>
        </is>
      </c>
      <c r="I1457" s="11">
        <f>IF($H1457="AUTO_OFERTA_TOTAL_PRODUTO_PERIODO",SUMIFS(Oferta!$F:$F,Oferta!$A:$A,$A1457,Oferta!$E:$E,$E1457),$F1457)</f>
        <v/>
      </c>
      <c r="J1457" s="6" t="inlineStr">
        <is>
          <t>Informado</t>
        </is>
      </c>
      <c r="K1457" s="6" t="inlineStr">
        <is>
          <t>Demanda doméstica fixa informada pelo usuário.</t>
        </is>
      </c>
    </row>
    <row r="1458">
      <c r="A1458" s="6" t="inlineStr">
        <is>
          <t>Milho</t>
        </is>
      </c>
      <c r="B1458" s="6" t="inlineStr">
        <is>
          <t>Teresina - PI</t>
        </is>
      </c>
      <c r="C1458" s="6" t="n">
        <v>-5.09194</v>
      </c>
      <c r="D1458" s="6" t="n">
        <v>-42.8034</v>
      </c>
      <c r="E1458" s="6" t="inlineStr">
        <is>
          <t>2025-05</t>
        </is>
      </c>
      <c r="F1458" s="6" t="n">
        <v>68315.7419214223</v>
      </c>
      <c r="G1458" s="6" t="inlineStr">
        <is>
          <t>DOMESTICA</t>
        </is>
      </c>
      <c r="H1458" s="6" t="inlineStr">
        <is>
          <t>FIXO</t>
        </is>
      </c>
      <c r="I1458" s="11">
        <f>IF($H1458="AUTO_OFERTA_TOTAL_PRODUTO_PERIODO",SUMIFS(Oferta!$F:$F,Oferta!$A:$A,$A1458,Oferta!$E:$E,$E1458),$F1458)</f>
        <v/>
      </c>
      <c r="J1458" s="6" t="inlineStr">
        <is>
          <t>Informado</t>
        </is>
      </c>
      <c r="K1458" s="6" t="inlineStr">
        <is>
          <t>Demanda doméstica fixa informada pelo usuário.</t>
        </is>
      </c>
    </row>
    <row r="1459">
      <c r="A1459" s="6" t="inlineStr">
        <is>
          <t>Milho</t>
        </is>
      </c>
      <c r="B1459" s="6" t="inlineStr">
        <is>
          <t>Teresina - PI</t>
        </is>
      </c>
      <c r="C1459" s="6" t="n">
        <v>-5.09194</v>
      </c>
      <c r="D1459" s="6" t="n">
        <v>-42.8034</v>
      </c>
      <c r="E1459" s="6" t="inlineStr">
        <is>
          <t>2025-06</t>
        </is>
      </c>
      <c r="F1459" s="6" t="n">
        <v>93385.7389568067</v>
      </c>
      <c r="G1459" s="6" t="inlineStr">
        <is>
          <t>DOMESTICA</t>
        </is>
      </c>
      <c r="H1459" s="6" t="inlineStr">
        <is>
          <t>FIXO</t>
        </is>
      </c>
      <c r="I1459" s="11">
        <f>IF($H1459="AUTO_OFERTA_TOTAL_PRODUTO_PERIODO",SUMIFS(Oferta!$F:$F,Oferta!$A:$A,$A1459,Oferta!$E:$E,$E1459),$F1459)</f>
        <v/>
      </c>
      <c r="J1459" s="6" t="inlineStr">
        <is>
          <t>Informado</t>
        </is>
      </c>
      <c r="K1459" s="6" t="inlineStr">
        <is>
          <t>Demanda doméstica fixa informada pelo usuário.</t>
        </is>
      </c>
    </row>
    <row r="1460">
      <c r="A1460" s="6" t="inlineStr">
        <is>
          <t>Milho</t>
        </is>
      </c>
      <c r="B1460" s="6" t="inlineStr">
        <is>
          <t>Teresina - PI</t>
        </is>
      </c>
      <c r="C1460" s="6" t="n">
        <v>-5.09194</v>
      </c>
      <c r="D1460" s="6" t="n">
        <v>-42.8034</v>
      </c>
      <c r="E1460" s="6" t="inlineStr">
        <is>
          <t>2025-07</t>
        </is>
      </c>
      <c r="F1460" s="6" t="n">
        <v>113441.7365851142</v>
      </c>
      <c r="G1460" s="6" t="inlineStr">
        <is>
          <t>DOMESTICA</t>
        </is>
      </c>
      <c r="H1460" s="6" t="inlineStr">
        <is>
          <t>FIXO</t>
        </is>
      </c>
      <c r="I1460" s="11">
        <f>IF($H1460="AUTO_OFERTA_TOTAL_PRODUTO_PERIODO",SUMIFS(Oferta!$F:$F,Oferta!$A:$A,$A1460,Oferta!$E:$E,$E1460),$F1460)</f>
        <v/>
      </c>
      <c r="J1460" s="6" t="inlineStr">
        <is>
          <t>Informado</t>
        </is>
      </c>
      <c r="K1460" s="6" t="inlineStr">
        <is>
          <t>Demanda doméstica fixa informada pelo usuário.</t>
        </is>
      </c>
    </row>
    <row r="1461">
      <c r="A1461" s="6" t="inlineStr">
        <is>
          <t>Milho</t>
        </is>
      </c>
      <c r="B1461" s="6" t="inlineStr">
        <is>
          <t>Teresina - PI</t>
        </is>
      </c>
      <c r="C1461" s="6" t="n">
        <v>-5.09194</v>
      </c>
      <c r="D1461" s="6" t="n">
        <v>-42.8034</v>
      </c>
      <c r="E1461" s="6" t="inlineStr">
        <is>
          <t>2025-08</t>
        </is>
      </c>
      <c r="F1461" s="6" t="n">
        <v>113441.7365851142</v>
      </c>
      <c r="G1461" s="6" t="inlineStr">
        <is>
          <t>DOMESTICA</t>
        </is>
      </c>
      <c r="H1461" s="6" t="inlineStr">
        <is>
          <t>FIXO</t>
        </is>
      </c>
      <c r="I1461" s="11">
        <f>IF($H1461="AUTO_OFERTA_TOTAL_PRODUTO_PERIODO",SUMIFS(Oferta!$F:$F,Oferta!$A:$A,$A1461,Oferta!$E:$E,$E1461),$F1461)</f>
        <v/>
      </c>
      <c r="J1461" s="6" t="inlineStr">
        <is>
          <t>Informado</t>
        </is>
      </c>
      <c r="K1461" s="6" t="inlineStr">
        <is>
          <t>Demanda doméstica fixa informada pelo usuário.</t>
        </is>
      </c>
    </row>
    <row r="1462">
      <c r="A1462" s="6" t="inlineStr">
        <is>
          <t>Milho</t>
        </is>
      </c>
      <c r="B1462" s="6" t="inlineStr">
        <is>
          <t>Teresina - PI</t>
        </is>
      </c>
      <c r="C1462" s="6" t="n">
        <v>-5.09194</v>
      </c>
      <c r="D1462" s="6" t="n">
        <v>-42.8034</v>
      </c>
      <c r="E1462" s="6" t="inlineStr">
        <is>
          <t>2025-09</t>
        </is>
      </c>
      <c r="F1462" s="6" t="n">
        <v>93385.7389568067</v>
      </c>
      <c r="G1462" s="6" t="inlineStr">
        <is>
          <t>DOMESTICA</t>
        </is>
      </c>
      <c r="H1462" s="6" t="inlineStr">
        <is>
          <t>FIXO</t>
        </is>
      </c>
      <c r="I1462" s="11">
        <f>IF($H1462="AUTO_OFERTA_TOTAL_PRODUTO_PERIODO",SUMIFS(Oferta!$F:$F,Oferta!$A:$A,$A1462,Oferta!$E:$E,$E1462),$F1462)</f>
        <v/>
      </c>
      <c r="J1462" s="6" t="inlineStr">
        <is>
          <t>Informado</t>
        </is>
      </c>
      <c r="K1462" s="6" t="inlineStr">
        <is>
          <t>Demanda doméstica fixa informada pelo usuário.</t>
        </is>
      </c>
    </row>
    <row r="1463">
      <c r="A1463" s="6" t="inlineStr">
        <is>
          <t>Milho</t>
        </is>
      </c>
      <c r="B1463" s="6" t="inlineStr">
        <is>
          <t>Teresina - PI</t>
        </is>
      </c>
      <c r="C1463" s="6" t="n">
        <v>-5.09194</v>
      </c>
      <c r="D1463" s="6" t="n">
        <v>-42.8034</v>
      </c>
      <c r="E1463" s="6" t="inlineStr">
        <is>
          <t>2025-10</t>
        </is>
      </c>
      <c r="F1463" s="6" t="n">
        <v>63301.7425143455</v>
      </c>
      <c r="G1463" s="6" t="inlineStr">
        <is>
          <t>DOMESTICA</t>
        </is>
      </c>
      <c r="H1463" s="6" t="inlineStr">
        <is>
          <t>FIXO</t>
        </is>
      </c>
      <c r="I1463" s="11">
        <f>IF($H1463="AUTO_OFERTA_TOTAL_PRODUTO_PERIODO",SUMIFS(Oferta!$F:$F,Oferta!$A:$A,$A1463,Oferta!$E:$E,$E1463),$F1463)</f>
        <v/>
      </c>
      <c r="J1463" s="6" t="inlineStr">
        <is>
          <t>Informado</t>
        </is>
      </c>
      <c r="K1463" s="6" t="inlineStr">
        <is>
          <t>Demanda doméstica fixa informada pelo usuário.</t>
        </is>
      </c>
    </row>
    <row r="1464">
      <c r="A1464" s="6" t="inlineStr">
        <is>
          <t>Milho</t>
        </is>
      </c>
      <c r="B1464" s="6" t="inlineStr">
        <is>
          <t>Teresina - PI</t>
        </is>
      </c>
      <c r="C1464" s="6" t="n">
        <v>-5.09194</v>
      </c>
      <c r="D1464" s="6" t="n">
        <v>-42.8034</v>
      </c>
      <c r="E1464" s="6" t="inlineStr">
        <is>
          <t>2025-11</t>
        </is>
      </c>
      <c r="F1464" s="6" t="n">
        <v>43245.744886038</v>
      </c>
      <c r="G1464" s="6" t="inlineStr">
        <is>
          <t>DOMESTICA</t>
        </is>
      </c>
      <c r="H1464" s="6" t="inlineStr">
        <is>
          <t>FIXO</t>
        </is>
      </c>
      <c r="I1464" s="11">
        <f>IF($H1464="AUTO_OFERTA_TOTAL_PRODUTO_PERIODO",SUMIFS(Oferta!$F:$F,Oferta!$A:$A,$A1464,Oferta!$E:$E,$E1464),$F1464)</f>
        <v/>
      </c>
      <c r="J1464" s="6" t="inlineStr">
        <is>
          <t>Informado</t>
        </is>
      </c>
      <c r="K1464" s="6" t="inlineStr">
        <is>
          <t>Demanda doméstica fixa informada pelo usuário.</t>
        </is>
      </c>
    </row>
    <row r="1465">
      <c r="A1465" s="6" t="inlineStr">
        <is>
          <t>Milho</t>
        </is>
      </c>
      <c r="B1465" s="6" t="inlineStr">
        <is>
          <t>Teresina - PI</t>
        </is>
      </c>
      <c r="C1465" s="6" t="n">
        <v>-5.09194</v>
      </c>
      <c r="D1465" s="6" t="n">
        <v>-42.8034</v>
      </c>
      <c r="E1465" s="6" t="inlineStr">
        <is>
          <t>2025-12</t>
        </is>
      </c>
      <c r="F1465" s="6" t="n">
        <v>33217.7460718843</v>
      </c>
      <c r="G1465" s="6" t="inlineStr">
        <is>
          <t>DOMESTICA</t>
        </is>
      </c>
      <c r="H1465" s="6" t="inlineStr">
        <is>
          <t>FIXO</t>
        </is>
      </c>
      <c r="I1465" s="11">
        <f>IF($H1465="AUTO_OFERTA_TOTAL_PRODUTO_PERIODO",SUMIFS(Oferta!$F:$F,Oferta!$A:$A,$A1465,Oferta!$E:$E,$E1465),$F1465)</f>
        <v/>
      </c>
      <c r="J1465" s="6" t="inlineStr">
        <is>
          <t>Informado</t>
        </is>
      </c>
      <c r="K1465" s="6" t="inlineStr">
        <is>
          <t>Demanda doméstica fixa informada pelo usuário.</t>
        </is>
      </c>
    </row>
    <row r="1466">
      <c r="A1466" s="6" t="inlineStr">
        <is>
          <t>Milho</t>
        </is>
      </c>
      <c r="B1466" s="6" t="inlineStr">
        <is>
          <t>Aracaju - SE</t>
        </is>
      </c>
      <c r="C1466" s="6" t="n">
        <v>-10.9091</v>
      </c>
      <c r="D1466" s="6" t="n">
        <v>-37.0677</v>
      </c>
      <c r="E1466" s="6" t="inlineStr">
        <is>
          <t>2025-01</t>
        </is>
      </c>
      <c r="F1466" s="6" t="n">
        <v>58356.8895588395</v>
      </c>
      <c r="G1466" s="6" t="inlineStr">
        <is>
          <t>DOMESTICA</t>
        </is>
      </c>
      <c r="H1466" s="6" t="inlineStr">
        <is>
          <t>FIXO</t>
        </is>
      </c>
      <c r="I1466" s="11">
        <f>IF($H1466="AUTO_OFERTA_TOTAL_PRODUTO_PERIODO",SUMIFS(Oferta!$F:$F,Oferta!$A:$A,$A1466,Oferta!$E:$E,$E1466),$F1466)</f>
        <v/>
      </c>
      <c r="J1466" s="6" t="inlineStr">
        <is>
          <t>Informado</t>
        </is>
      </c>
      <c r="K1466" s="6" t="inlineStr">
        <is>
          <t>Demanda doméstica fixa informada pelo usuário.</t>
        </is>
      </c>
    </row>
    <row r="1467">
      <c r="A1467" s="6" t="inlineStr">
        <is>
          <t>Milho</t>
        </is>
      </c>
      <c r="B1467" s="6" t="inlineStr">
        <is>
          <t>Aracaju - SE</t>
        </is>
      </c>
      <c r="C1467" s="6" t="n">
        <v>-10.9091</v>
      </c>
      <c r="D1467" s="6" t="n">
        <v>-37.0677</v>
      </c>
      <c r="E1467" s="6" t="inlineStr">
        <is>
          <t>2025-02</t>
        </is>
      </c>
      <c r="F1467" s="6" t="n">
        <v>34415.6015347002</v>
      </c>
      <c r="G1467" s="6" t="inlineStr">
        <is>
          <t>DOMESTICA</t>
        </is>
      </c>
      <c r="H1467" s="6" t="inlineStr">
        <is>
          <t>FIXO</t>
        </is>
      </c>
      <c r="I1467" s="11">
        <f>IF($H1467="AUTO_OFERTA_TOTAL_PRODUTO_PERIODO",SUMIFS(Oferta!$F:$F,Oferta!$A:$A,$A1467,Oferta!$E:$E,$E1467),$F1467)</f>
        <v/>
      </c>
      <c r="J1467" s="6" t="inlineStr">
        <is>
          <t>Informado</t>
        </is>
      </c>
      <c r="K1467" s="6" t="inlineStr">
        <is>
          <t>Demanda doméstica fixa informada pelo usuário.</t>
        </is>
      </c>
    </row>
    <row r="1468">
      <c r="A1468" s="6" t="inlineStr">
        <is>
          <t>Milho</t>
        </is>
      </c>
      <c r="B1468" s="6" t="inlineStr">
        <is>
          <t>Aracaju - SE</t>
        </is>
      </c>
      <c r="C1468" s="6" t="n">
        <v>-10.9091</v>
      </c>
      <c r="D1468" s="6" t="n">
        <v>-37.0677</v>
      </c>
      <c r="E1468" s="6" t="inlineStr">
        <is>
          <t>2025-03</t>
        </is>
      </c>
      <c r="F1468" s="6" t="n">
        <v>26435.1721933205</v>
      </c>
      <c r="G1468" s="6" t="inlineStr">
        <is>
          <t>DOMESTICA</t>
        </is>
      </c>
      <c r="H1468" s="6" t="inlineStr">
        <is>
          <t>FIXO</t>
        </is>
      </c>
      <c r="I1468" s="11">
        <f>IF($H1468="AUTO_OFERTA_TOTAL_PRODUTO_PERIODO",SUMIFS(Oferta!$F:$F,Oferta!$A:$A,$A1468,Oferta!$E:$E,$E1468),$F1468)</f>
        <v/>
      </c>
      <c r="J1468" s="6" t="inlineStr">
        <is>
          <t>Informado</t>
        </is>
      </c>
      <c r="K1468" s="6" t="inlineStr">
        <is>
          <t>Demanda doméstica fixa informada pelo usuário.</t>
        </is>
      </c>
    </row>
    <row r="1469">
      <c r="A1469" s="6" t="inlineStr">
        <is>
          <t>Milho</t>
        </is>
      </c>
      <c r="B1469" s="6" t="inlineStr">
        <is>
          <t>Aracaju - SE</t>
        </is>
      </c>
      <c r="C1469" s="6" t="n">
        <v>-10.9091</v>
      </c>
      <c r="D1469" s="6" t="n">
        <v>-37.0677</v>
      </c>
      <c r="E1469" s="6" t="inlineStr">
        <is>
          <t>2025-04</t>
        </is>
      </c>
      <c r="F1469" s="6" t="n">
        <v>26435.1721933205</v>
      </c>
      <c r="G1469" s="6" t="inlineStr">
        <is>
          <t>DOMESTICA</t>
        </is>
      </c>
      <c r="H1469" s="6" t="inlineStr">
        <is>
          <t>FIXO</t>
        </is>
      </c>
      <c r="I1469" s="11">
        <f>IF($H1469="AUTO_OFERTA_TOTAL_PRODUTO_PERIODO",SUMIFS(Oferta!$F:$F,Oferta!$A:$A,$A1469,Oferta!$E:$E,$E1469),$F1469)</f>
        <v/>
      </c>
      <c r="J1469" s="6" t="inlineStr">
        <is>
          <t>Informado</t>
        </is>
      </c>
      <c r="K1469" s="6" t="inlineStr">
        <is>
          <t>Demanda doméstica fixa informada pelo usuário.</t>
        </is>
      </c>
    </row>
    <row r="1470">
      <c r="A1470" s="6" t="inlineStr">
        <is>
          <t>Milho</t>
        </is>
      </c>
      <c r="B1470" s="6" t="inlineStr">
        <is>
          <t>Aracaju - SE</t>
        </is>
      </c>
      <c r="C1470" s="6" t="n">
        <v>-10.9091</v>
      </c>
      <c r="D1470" s="6" t="n">
        <v>-37.0677</v>
      </c>
      <c r="E1470" s="6" t="inlineStr">
        <is>
          <t>2025-05</t>
        </is>
      </c>
      <c r="F1470" s="6" t="n">
        <v>26435.1721933205</v>
      </c>
      <c r="G1470" s="6" t="inlineStr">
        <is>
          <t>DOMESTICA</t>
        </is>
      </c>
      <c r="H1470" s="6" t="inlineStr">
        <is>
          <t>FIXO</t>
        </is>
      </c>
      <c r="I1470" s="11">
        <f>IF($H1470="AUTO_OFERTA_TOTAL_PRODUTO_PERIODO",SUMIFS(Oferta!$F:$F,Oferta!$A:$A,$A1470,Oferta!$E:$E,$E1470),$F1470)</f>
        <v/>
      </c>
      <c r="J1470" s="6" t="inlineStr">
        <is>
          <t>Informado</t>
        </is>
      </c>
      <c r="K1470" s="6" t="inlineStr">
        <is>
          <t>Demanda doméstica fixa informada pelo usuário.</t>
        </is>
      </c>
    </row>
    <row r="1471">
      <c r="A1471" s="6" t="inlineStr">
        <is>
          <t>Milho</t>
        </is>
      </c>
      <c r="B1471" s="6" t="inlineStr">
        <is>
          <t>Aracaju - SE</t>
        </is>
      </c>
      <c r="C1471" s="6" t="n">
        <v>-10.9091</v>
      </c>
      <c r="D1471" s="6" t="n">
        <v>-37.0677</v>
      </c>
      <c r="E1471" s="6" t="inlineStr">
        <is>
          <t>2025-06</t>
        </is>
      </c>
      <c r="F1471" s="6" t="n">
        <v>26435.1721933205</v>
      </c>
      <c r="G1471" s="6" t="inlineStr">
        <is>
          <t>DOMESTICA</t>
        </is>
      </c>
      <c r="H1471" s="6" t="inlineStr">
        <is>
          <t>FIXO</t>
        </is>
      </c>
      <c r="I1471" s="11">
        <f>IF($H1471="AUTO_OFERTA_TOTAL_PRODUTO_PERIODO",SUMIFS(Oferta!$F:$F,Oferta!$A:$A,$A1471,Oferta!$E:$E,$E1471),$F1471)</f>
        <v/>
      </c>
      <c r="J1471" s="6" t="inlineStr">
        <is>
          <t>Informado</t>
        </is>
      </c>
      <c r="K1471" s="6" t="inlineStr">
        <is>
          <t>Demanda doméstica fixa informada pelo usuário.</t>
        </is>
      </c>
    </row>
    <row r="1472">
      <c r="A1472" s="6" t="inlineStr">
        <is>
          <t>Milho</t>
        </is>
      </c>
      <c r="B1472" s="6" t="inlineStr">
        <is>
          <t>Aracaju - SE</t>
        </is>
      </c>
      <c r="C1472" s="6" t="n">
        <v>-10.9091</v>
      </c>
      <c r="D1472" s="6" t="n">
        <v>-37.0677</v>
      </c>
      <c r="E1472" s="6" t="inlineStr">
        <is>
          <t>2025-07</t>
        </is>
      </c>
      <c r="F1472" s="6" t="n">
        <v>26435.1721933205</v>
      </c>
      <c r="G1472" s="6" t="inlineStr">
        <is>
          <t>DOMESTICA</t>
        </is>
      </c>
      <c r="H1472" s="6" t="inlineStr">
        <is>
          <t>FIXO</t>
        </is>
      </c>
      <c r="I1472" s="11">
        <f>IF($H1472="AUTO_OFERTA_TOTAL_PRODUTO_PERIODO",SUMIFS(Oferta!$F:$F,Oferta!$A:$A,$A1472,Oferta!$E:$E,$E1472),$F1472)</f>
        <v/>
      </c>
      <c r="J1472" s="6" t="inlineStr">
        <is>
          <t>Informado</t>
        </is>
      </c>
      <c r="K1472" s="6" t="inlineStr">
        <is>
          <t>Demanda doméstica fixa informada pelo usuário.</t>
        </is>
      </c>
    </row>
    <row r="1473">
      <c r="A1473" s="6" t="inlineStr">
        <is>
          <t>Milho</t>
        </is>
      </c>
      <c r="B1473" s="6" t="inlineStr">
        <is>
          <t>Aracaju - SE</t>
        </is>
      </c>
      <c r="C1473" s="6" t="n">
        <v>-10.9091</v>
      </c>
      <c r="D1473" s="6" t="n">
        <v>-37.0677</v>
      </c>
      <c r="E1473" s="6" t="inlineStr">
        <is>
          <t>2025-08</t>
        </is>
      </c>
      <c r="F1473" s="6" t="n">
        <v>26435.1721933205</v>
      </c>
      <c r="G1473" s="6" t="inlineStr">
        <is>
          <t>DOMESTICA</t>
        </is>
      </c>
      <c r="H1473" s="6" t="inlineStr">
        <is>
          <t>FIXO</t>
        </is>
      </c>
      <c r="I1473" s="11">
        <f>IF($H1473="AUTO_OFERTA_TOTAL_PRODUTO_PERIODO",SUMIFS(Oferta!$F:$F,Oferta!$A:$A,$A1473,Oferta!$E:$E,$E1473),$F1473)</f>
        <v/>
      </c>
      <c r="J1473" s="6" t="inlineStr">
        <is>
          <t>Informado</t>
        </is>
      </c>
      <c r="K1473" s="6" t="inlineStr">
        <is>
          <t>Demanda doméstica fixa informada pelo usuário.</t>
        </is>
      </c>
    </row>
    <row r="1474">
      <c r="A1474" s="6" t="inlineStr">
        <is>
          <t>Milho</t>
        </is>
      </c>
      <c r="B1474" s="6" t="inlineStr">
        <is>
          <t>Aracaju - SE</t>
        </is>
      </c>
      <c r="C1474" s="6" t="n">
        <v>-10.9091</v>
      </c>
      <c r="D1474" s="6" t="n">
        <v>-37.0677</v>
      </c>
      <c r="E1474" s="6" t="inlineStr">
        <is>
          <t>2025-09</t>
        </is>
      </c>
      <c r="F1474" s="6" t="n">
        <v>30425.3868640103</v>
      </c>
      <c r="G1474" s="6" t="inlineStr">
        <is>
          <t>DOMESTICA</t>
        </is>
      </c>
      <c r="H1474" s="6" t="inlineStr">
        <is>
          <t>FIXO</t>
        </is>
      </c>
      <c r="I1474" s="11">
        <f>IF($H1474="AUTO_OFERTA_TOTAL_PRODUTO_PERIODO",SUMIFS(Oferta!$F:$F,Oferta!$A:$A,$A1474,Oferta!$E:$E,$E1474),$F1474)</f>
        <v/>
      </c>
      <c r="J1474" s="6" t="inlineStr">
        <is>
          <t>Informado</t>
        </is>
      </c>
      <c r="K1474" s="6" t="inlineStr">
        <is>
          <t>Demanda doméstica fixa informada pelo usuário.</t>
        </is>
      </c>
    </row>
    <row r="1475">
      <c r="A1475" s="6" t="inlineStr">
        <is>
          <t>Milho</t>
        </is>
      </c>
      <c r="B1475" s="6" t="inlineStr">
        <is>
          <t>Aracaju - SE</t>
        </is>
      </c>
      <c r="C1475" s="6" t="n">
        <v>-10.9091</v>
      </c>
      <c r="D1475" s="6" t="n">
        <v>-37.0677</v>
      </c>
      <c r="E1475" s="6" t="inlineStr">
        <is>
          <t>2025-10</t>
        </is>
      </c>
      <c r="F1475" s="6" t="n">
        <v>38405.8162053901</v>
      </c>
      <c r="G1475" s="6" t="inlineStr">
        <is>
          <t>DOMESTICA</t>
        </is>
      </c>
      <c r="H1475" s="6" t="inlineStr">
        <is>
          <t>FIXO</t>
        </is>
      </c>
      <c r="I1475" s="11">
        <f>IF($H1475="AUTO_OFERTA_TOTAL_PRODUTO_PERIODO",SUMIFS(Oferta!$F:$F,Oferta!$A:$A,$A1475,Oferta!$E:$E,$E1475),$F1475)</f>
        <v/>
      </c>
      <c r="J1475" s="6" t="inlineStr">
        <is>
          <t>Informado</t>
        </is>
      </c>
      <c r="K1475" s="6" t="inlineStr">
        <is>
          <t>Demanda doméstica fixa informada pelo usuário.</t>
        </is>
      </c>
    </row>
    <row r="1476">
      <c r="A1476" s="6" t="inlineStr">
        <is>
          <t>Milho</t>
        </is>
      </c>
      <c r="B1476" s="6" t="inlineStr">
        <is>
          <t>Aracaju - SE</t>
        </is>
      </c>
      <c r="C1476" s="6" t="n">
        <v>-10.9091</v>
      </c>
      <c r="D1476" s="6" t="n">
        <v>-37.0677</v>
      </c>
      <c r="E1476" s="6" t="inlineStr">
        <is>
          <t>2025-11</t>
        </is>
      </c>
      <c r="F1476" s="6" t="n">
        <v>62347.1042295294</v>
      </c>
      <c r="G1476" s="6" t="inlineStr">
        <is>
          <t>DOMESTICA</t>
        </is>
      </c>
      <c r="H1476" s="6" t="inlineStr">
        <is>
          <t>FIXO</t>
        </is>
      </c>
      <c r="I1476" s="11">
        <f>IF($H1476="AUTO_OFERTA_TOTAL_PRODUTO_PERIODO",SUMIFS(Oferta!$F:$F,Oferta!$A:$A,$A1476,Oferta!$E:$E,$E1476),$F1476)</f>
        <v/>
      </c>
      <c r="J1476" s="6" t="inlineStr">
        <is>
          <t>Informado</t>
        </is>
      </c>
      <c r="K1476" s="6" t="inlineStr">
        <is>
          <t>Demanda doméstica fixa informada pelo usuário.</t>
        </is>
      </c>
    </row>
    <row r="1477">
      <c r="A1477" s="6" t="inlineStr">
        <is>
          <t>Milho</t>
        </is>
      </c>
      <c r="B1477" s="6" t="inlineStr">
        <is>
          <t>Aracaju - SE</t>
        </is>
      </c>
      <c r="C1477" s="6" t="n">
        <v>-10.9091</v>
      </c>
      <c r="D1477" s="6" t="n">
        <v>-37.0677</v>
      </c>
      <c r="E1477" s="6" t="inlineStr">
        <is>
          <t>2025-12</t>
        </is>
      </c>
      <c r="F1477" s="6" t="n">
        <v>66337.3189002193</v>
      </c>
      <c r="G1477" s="6" t="inlineStr">
        <is>
          <t>DOMESTICA</t>
        </is>
      </c>
      <c r="H1477" s="6" t="inlineStr">
        <is>
          <t>FIXO</t>
        </is>
      </c>
      <c r="I1477" s="11">
        <f>IF($H1477="AUTO_OFERTA_TOTAL_PRODUTO_PERIODO",SUMIFS(Oferta!$F:$F,Oferta!$A:$A,$A1477,Oferta!$E:$E,$E1477),$F1477)</f>
        <v/>
      </c>
      <c r="J1477" s="6" t="inlineStr">
        <is>
          <t>Informado</t>
        </is>
      </c>
      <c r="K1477" s="6" t="inlineStr">
        <is>
          <t>Demanda doméstica fixa informada pelo usuário.</t>
        </is>
      </c>
    </row>
    <row r="1478">
      <c r="A1478" s="6" t="inlineStr">
        <is>
          <t>Milho</t>
        </is>
      </c>
      <c r="B1478" s="6" t="inlineStr">
        <is>
          <t>Natal - RN</t>
        </is>
      </c>
      <c r="C1478" s="6" t="n">
        <v>-5.79357</v>
      </c>
      <c r="D1478" s="6" t="n">
        <v>-35.1986</v>
      </c>
      <c r="E1478" s="6" t="inlineStr">
        <is>
          <t>2025-01</t>
        </is>
      </c>
      <c r="F1478" s="6" t="n">
        <v>32298.8287997282</v>
      </c>
      <c r="G1478" s="6" t="inlineStr">
        <is>
          <t>DOMESTICA</t>
        </is>
      </c>
      <c r="H1478" s="6" t="inlineStr">
        <is>
          <t>FIXO</t>
        </is>
      </c>
      <c r="I1478" s="11">
        <f>IF($H1478="AUTO_OFERTA_TOTAL_PRODUTO_PERIODO",SUMIFS(Oferta!$F:$F,Oferta!$A:$A,$A1478,Oferta!$E:$E,$E1478),$F1478)</f>
        <v/>
      </c>
      <c r="J1478" s="6" t="inlineStr">
        <is>
          <t>Informado</t>
        </is>
      </c>
      <c r="K1478" s="6" t="inlineStr">
        <is>
          <t>Demanda doméstica fixa informada pelo usuário.</t>
        </is>
      </c>
    </row>
    <row r="1479">
      <c r="A1479" s="6" t="inlineStr">
        <is>
          <t>Milho</t>
        </is>
      </c>
      <c r="B1479" s="6" t="inlineStr">
        <is>
          <t>Natal - RN</t>
        </is>
      </c>
      <c r="C1479" s="6" t="n">
        <v>-5.79357</v>
      </c>
      <c r="D1479" s="6" t="n">
        <v>-35.1986</v>
      </c>
      <c r="E1479" s="6" t="inlineStr">
        <is>
          <t>2025-02</t>
        </is>
      </c>
      <c r="F1479" s="6" t="n">
        <v>32298.8287997282</v>
      </c>
      <c r="G1479" s="6" t="inlineStr">
        <is>
          <t>DOMESTICA</t>
        </is>
      </c>
      <c r="H1479" s="6" t="inlineStr">
        <is>
          <t>FIXO</t>
        </is>
      </c>
      <c r="I1479" s="11">
        <f>IF($H1479="AUTO_OFERTA_TOTAL_PRODUTO_PERIODO",SUMIFS(Oferta!$F:$F,Oferta!$A:$A,$A1479,Oferta!$E:$E,$E1479),$F1479)</f>
        <v/>
      </c>
      <c r="J1479" s="6" t="inlineStr">
        <is>
          <t>Informado</t>
        </is>
      </c>
      <c r="K1479" s="6" t="inlineStr">
        <is>
          <t>Demanda doméstica fixa informada pelo usuário.</t>
        </is>
      </c>
    </row>
    <row r="1480">
      <c r="A1480" s="6" t="inlineStr">
        <is>
          <t>Milho</t>
        </is>
      </c>
      <c r="B1480" s="6" t="inlineStr">
        <is>
          <t>Natal - RN</t>
        </is>
      </c>
      <c r="C1480" s="6" t="n">
        <v>-5.79357</v>
      </c>
      <c r="D1480" s="6" t="n">
        <v>-35.1986</v>
      </c>
      <c r="E1480" s="6" t="inlineStr">
        <is>
          <t>2025-03</t>
        </is>
      </c>
      <c r="F1480" s="6" t="n">
        <v>32298.8287997282</v>
      </c>
      <c r="G1480" s="6" t="inlineStr">
        <is>
          <t>DOMESTICA</t>
        </is>
      </c>
      <c r="H1480" s="6" t="inlineStr">
        <is>
          <t>FIXO</t>
        </is>
      </c>
      <c r="I1480" s="11">
        <f>IF($H1480="AUTO_OFERTA_TOTAL_PRODUTO_PERIODO",SUMIFS(Oferta!$F:$F,Oferta!$A:$A,$A1480,Oferta!$E:$E,$E1480),$F1480)</f>
        <v/>
      </c>
      <c r="J1480" s="6" t="inlineStr">
        <is>
          <t>Informado</t>
        </is>
      </c>
      <c r="K1480" s="6" t="inlineStr">
        <is>
          <t>Demanda doméstica fixa informada pelo usuário.</t>
        </is>
      </c>
    </row>
    <row r="1481">
      <c r="A1481" s="6" t="inlineStr">
        <is>
          <t>Milho</t>
        </is>
      </c>
      <c r="B1481" s="6" t="inlineStr">
        <is>
          <t>Natal - RN</t>
        </is>
      </c>
      <c r="C1481" s="6" t="n">
        <v>-5.79357</v>
      </c>
      <c r="D1481" s="6" t="n">
        <v>-35.1986</v>
      </c>
      <c r="E1481" s="6" t="inlineStr">
        <is>
          <t>2025-04</t>
        </is>
      </c>
      <c r="F1481" s="6" t="n">
        <v>32298.8287997282</v>
      </c>
      <c r="G1481" s="6" t="inlineStr">
        <is>
          <t>DOMESTICA</t>
        </is>
      </c>
      <c r="H1481" s="6" t="inlineStr">
        <is>
          <t>FIXO</t>
        </is>
      </c>
      <c r="I1481" s="11">
        <f>IF($H1481="AUTO_OFERTA_TOTAL_PRODUTO_PERIODO",SUMIFS(Oferta!$F:$F,Oferta!$A:$A,$A1481,Oferta!$E:$E,$E1481),$F1481)</f>
        <v/>
      </c>
      <c r="J1481" s="6" t="inlineStr">
        <is>
          <t>Informado</t>
        </is>
      </c>
      <c r="K1481" s="6" t="inlineStr">
        <is>
          <t>Demanda doméstica fixa informada pelo usuário.</t>
        </is>
      </c>
    </row>
    <row r="1482">
      <c r="A1482" s="6" t="inlineStr">
        <is>
          <t>Milho</t>
        </is>
      </c>
      <c r="B1482" s="6" t="inlineStr">
        <is>
          <t>Natal - RN</t>
        </is>
      </c>
      <c r="C1482" s="6" t="n">
        <v>-5.79357</v>
      </c>
      <c r="D1482" s="6" t="n">
        <v>-35.1986</v>
      </c>
      <c r="E1482" s="6" t="inlineStr">
        <is>
          <t>2025-05</t>
        </is>
      </c>
      <c r="F1482" s="6" t="n">
        <v>32298.8287997282</v>
      </c>
      <c r="G1482" s="6" t="inlineStr">
        <is>
          <t>DOMESTICA</t>
        </is>
      </c>
      <c r="H1482" s="6" t="inlineStr">
        <is>
          <t>FIXO</t>
        </is>
      </c>
      <c r="I1482" s="11">
        <f>IF($H1482="AUTO_OFERTA_TOTAL_PRODUTO_PERIODO",SUMIFS(Oferta!$F:$F,Oferta!$A:$A,$A1482,Oferta!$E:$E,$E1482),$F1482)</f>
        <v/>
      </c>
      <c r="J1482" s="6" t="inlineStr">
        <is>
          <t>Informado</t>
        </is>
      </c>
      <c r="K1482" s="6" t="inlineStr">
        <is>
          <t>Demanda doméstica fixa informada pelo usuário.</t>
        </is>
      </c>
    </row>
    <row r="1483">
      <c r="A1483" s="6" t="inlineStr">
        <is>
          <t>Milho</t>
        </is>
      </c>
      <c r="B1483" s="6" t="inlineStr">
        <is>
          <t>Natal - RN</t>
        </is>
      </c>
      <c r="C1483" s="6" t="n">
        <v>-5.79357</v>
      </c>
      <c r="D1483" s="6" t="n">
        <v>-35.1986</v>
      </c>
      <c r="E1483" s="6" t="inlineStr">
        <is>
          <t>2025-06</t>
        </is>
      </c>
      <c r="F1483" s="6" t="n">
        <v>42049.4186260612</v>
      </c>
      <c r="G1483" s="6" t="inlineStr">
        <is>
          <t>DOMESTICA</t>
        </is>
      </c>
      <c r="H1483" s="6" t="inlineStr">
        <is>
          <t>FIXO</t>
        </is>
      </c>
      <c r="I1483" s="11">
        <f>IF($H1483="AUTO_OFERTA_TOTAL_PRODUTO_PERIODO",SUMIFS(Oferta!$F:$F,Oferta!$A:$A,$A1483,Oferta!$E:$E,$E1483),$F1483)</f>
        <v/>
      </c>
      <c r="J1483" s="6" t="inlineStr">
        <is>
          <t>Informado</t>
        </is>
      </c>
      <c r="K1483" s="6" t="inlineStr">
        <is>
          <t>Demanda doméstica fixa informada pelo usuário.</t>
        </is>
      </c>
    </row>
    <row r="1484">
      <c r="A1484" s="6" t="inlineStr">
        <is>
          <t>Milho</t>
        </is>
      </c>
      <c r="B1484" s="6" t="inlineStr">
        <is>
          <t>Natal - RN</t>
        </is>
      </c>
      <c r="C1484" s="6" t="n">
        <v>-5.79357</v>
      </c>
      <c r="D1484" s="6" t="n">
        <v>-35.1986</v>
      </c>
      <c r="E1484" s="6" t="inlineStr">
        <is>
          <t>2025-07</t>
        </is>
      </c>
      <c r="F1484" s="6" t="n">
        <v>51800.0084523943</v>
      </c>
      <c r="G1484" s="6" t="inlineStr">
        <is>
          <t>DOMESTICA</t>
        </is>
      </c>
      <c r="H1484" s="6" t="inlineStr">
        <is>
          <t>FIXO</t>
        </is>
      </c>
      <c r="I1484" s="11">
        <f>IF($H1484="AUTO_OFERTA_TOTAL_PRODUTO_PERIODO",SUMIFS(Oferta!$F:$F,Oferta!$A:$A,$A1484,Oferta!$E:$E,$E1484),$F1484)</f>
        <v/>
      </c>
      <c r="J1484" s="6" t="inlineStr">
        <is>
          <t>Informado</t>
        </is>
      </c>
      <c r="K1484" s="6" t="inlineStr">
        <is>
          <t>Demanda doméstica fixa informada pelo usuário.</t>
        </is>
      </c>
    </row>
    <row r="1485">
      <c r="A1485" s="6" t="inlineStr">
        <is>
          <t>Milho</t>
        </is>
      </c>
      <c r="B1485" s="6" t="inlineStr">
        <is>
          <t>Natal - RN</t>
        </is>
      </c>
      <c r="C1485" s="6" t="n">
        <v>-5.79357</v>
      </c>
      <c r="D1485" s="6" t="n">
        <v>-35.1986</v>
      </c>
      <c r="E1485" s="6" t="inlineStr">
        <is>
          <t>2025-08</t>
        </is>
      </c>
      <c r="F1485" s="6" t="n">
        <v>71301.1881050604</v>
      </c>
      <c r="G1485" s="6" t="inlineStr">
        <is>
          <t>DOMESTICA</t>
        </is>
      </c>
      <c r="H1485" s="6" t="inlineStr">
        <is>
          <t>FIXO</t>
        </is>
      </c>
      <c r="I1485" s="11">
        <f>IF($H1485="AUTO_OFERTA_TOTAL_PRODUTO_PERIODO",SUMIFS(Oferta!$F:$F,Oferta!$A:$A,$A1485,Oferta!$E:$E,$E1485),$F1485)</f>
        <v/>
      </c>
      <c r="J1485" s="6" t="inlineStr">
        <is>
          <t>Informado</t>
        </is>
      </c>
      <c r="K1485" s="6" t="inlineStr">
        <is>
          <t>Demanda doméstica fixa informada pelo usuário.</t>
        </is>
      </c>
    </row>
    <row r="1486">
      <c r="A1486" s="6" t="inlineStr">
        <is>
          <t>Milho</t>
        </is>
      </c>
      <c r="B1486" s="6" t="inlineStr">
        <is>
          <t>Natal - RN</t>
        </is>
      </c>
      <c r="C1486" s="6" t="n">
        <v>-5.79357</v>
      </c>
      <c r="D1486" s="6" t="n">
        <v>-35.1986</v>
      </c>
      <c r="E1486" s="6" t="inlineStr">
        <is>
          <t>2025-09</t>
        </is>
      </c>
      <c r="F1486" s="6" t="n">
        <v>81051.7779313934</v>
      </c>
      <c r="G1486" s="6" t="inlineStr">
        <is>
          <t>DOMESTICA</t>
        </is>
      </c>
      <c r="H1486" s="6" t="inlineStr">
        <is>
          <t>FIXO</t>
        </is>
      </c>
      <c r="I1486" s="11">
        <f>IF($H1486="AUTO_OFERTA_TOTAL_PRODUTO_PERIODO",SUMIFS(Oferta!$F:$F,Oferta!$A:$A,$A1486,Oferta!$E:$E,$E1486),$F1486)</f>
        <v/>
      </c>
      <c r="J1486" s="6" t="inlineStr">
        <is>
          <t>Informado</t>
        </is>
      </c>
      <c r="K1486" s="6" t="inlineStr">
        <is>
          <t>Demanda doméstica fixa informada pelo usuário.</t>
        </is>
      </c>
    </row>
    <row r="1487">
      <c r="A1487" s="6" t="inlineStr">
        <is>
          <t>Milho</t>
        </is>
      </c>
      <c r="B1487" s="6" t="inlineStr">
        <is>
          <t>Natal - RN</t>
        </is>
      </c>
      <c r="C1487" s="6" t="n">
        <v>-5.79357</v>
      </c>
      <c r="D1487" s="6" t="n">
        <v>-35.1986</v>
      </c>
      <c r="E1487" s="6" t="inlineStr">
        <is>
          <t>2025-10</t>
        </is>
      </c>
      <c r="F1487" s="6" t="n">
        <v>81051.7779313934</v>
      </c>
      <c r="G1487" s="6" t="inlineStr">
        <is>
          <t>DOMESTICA</t>
        </is>
      </c>
      <c r="H1487" s="6" t="inlineStr">
        <is>
          <t>FIXO</t>
        </is>
      </c>
      <c r="I1487" s="11">
        <f>IF($H1487="AUTO_OFERTA_TOTAL_PRODUTO_PERIODO",SUMIFS(Oferta!$F:$F,Oferta!$A:$A,$A1487,Oferta!$E:$E,$E1487),$F1487)</f>
        <v/>
      </c>
      <c r="J1487" s="6" t="inlineStr">
        <is>
          <t>Informado</t>
        </is>
      </c>
      <c r="K1487" s="6" t="inlineStr">
        <is>
          <t>Demanda doméstica fixa informada pelo usuário.</t>
        </is>
      </c>
    </row>
    <row r="1488">
      <c r="A1488" s="6" t="inlineStr">
        <is>
          <t>Milho</t>
        </is>
      </c>
      <c r="B1488" s="6" t="inlineStr">
        <is>
          <t>Natal - RN</t>
        </is>
      </c>
      <c r="C1488" s="6" t="n">
        <v>-5.79357</v>
      </c>
      <c r="D1488" s="6" t="n">
        <v>-35.1986</v>
      </c>
      <c r="E1488" s="6" t="inlineStr">
        <is>
          <t>2025-11</t>
        </is>
      </c>
      <c r="F1488" s="6" t="n">
        <v>61550.5982787274</v>
      </c>
      <c r="G1488" s="6" t="inlineStr">
        <is>
          <t>DOMESTICA</t>
        </is>
      </c>
      <c r="H1488" s="6" t="inlineStr">
        <is>
          <t>FIXO</t>
        </is>
      </c>
      <c r="I1488" s="11">
        <f>IF($H1488="AUTO_OFERTA_TOTAL_PRODUTO_PERIODO",SUMIFS(Oferta!$F:$F,Oferta!$A:$A,$A1488,Oferta!$E:$E,$E1488),$F1488)</f>
        <v/>
      </c>
      <c r="J1488" s="6" t="inlineStr">
        <is>
          <t>Informado</t>
        </is>
      </c>
      <c r="K1488" s="6" t="inlineStr">
        <is>
          <t>Demanda doméstica fixa informada pelo usuário.</t>
        </is>
      </c>
    </row>
    <row r="1489">
      <c r="A1489" s="6" t="inlineStr">
        <is>
          <t>Milho</t>
        </is>
      </c>
      <c r="B1489" s="6" t="inlineStr">
        <is>
          <t>Natal - RN</t>
        </is>
      </c>
      <c r="C1489" s="6" t="n">
        <v>-5.79357</v>
      </c>
      <c r="D1489" s="6" t="n">
        <v>-35.1986</v>
      </c>
      <c r="E1489" s="6" t="inlineStr">
        <is>
          <t>2025-12</t>
        </is>
      </c>
      <c r="F1489" s="6" t="n">
        <v>42049.4186260612</v>
      </c>
      <c r="G1489" s="6" t="inlineStr">
        <is>
          <t>DOMESTICA</t>
        </is>
      </c>
      <c r="H1489" s="6" t="inlineStr">
        <is>
          <t>FIXO</t>
        </is>
      </c>
      <c r="I1489" s="11">
        <f>IF($H1489="AUTO_OFERTA_TOTAL_PRODUTO_PERIODO",SUMIFS(Oferta!$F:$F,Oferta!$A:$A,$A1489,Oferta!$E:$E,$E1489),$F1489)</f>
        <v/>
      </c>
      <c r="J1489" s="6" t="inlineStr">
        <is>
          <t>Informado</t>
        </is>
      </c>
      <c r="K1489" s="6" t="inlineStr">
        <is>
          <t>Demanda doméstica fixa informada pelo usuário.</t>
        </is>
      </c>
    </row>
    <row r="1490">
      <c r="A1490" s="6" t="inlineStr">
        <is>
          <t>Milho</t>
        </is>
      </c>
      <c r="B1490" s="6" t="inlineStr">
        <is>
          <t>Brasília - DF</t>
        </is>
      </c>
      <c r="C1490" s="6" t="n">
        <v>-15.7795</v>
      </c>
      <c r="D1490" s="6" t="n">
        <v>-47.9297</v>
      </c>
      <c r="E1490" s="6" t="inlineStr">
        <is>
          <t>2025-01</t>
        </is>
      </c>
      <c r="F1490" s="6" t="n">
        <v>28095.2127284187</v>
      </c>
      <c r="G1490" s="6" t="inlineStr">
        <is>
          <t>DOMESTICA</t>
        </is>
      </c>
      <c r="H1490" s="6" t="inlineStr">
        <is>
          <t>FIXO</t>
        </is>
      </c>
      <c r="I1490" s="11">
        <f>IF($H1490="AUTO_OFERTA_TOTAL_PRODUTO_PERIODO",SUMIFS(Oferta!$F:$F,Oferta!$A:$A,$A1490,Oferta!$E:$E,$E1490),$F1490)</f>
        <v/>
      </c>
      <c r="J1490" s="6" t="inlineStr">
        <is>
          <t>Informado</t>
        </is>
      </c>
      <c r="K1490" s="6" t="inlineStr">
        <is>
          <t>Demanda doméstica fixa informada pelo usuário.</t>
        </is>
      </c>
    </row>
    <row r="1491">
      <c r="A1491" s="6" t="inlineStr">
        <is>
          <t>Milho</t>
        </is>
      </c>
      <c r="B1491" s="6" t="inlineStr">
        <is>
          <t>Brasília - DF</t>
        </is>
      </c>
      <c r="C1491" s="6" t="n">
        <v>-15.7795</v>
      </c>
      <c r="D1491" s="6" t="n">
        <v>-47.9297</v>
      </c>
      <c r="E1491" s="6" t="inlineStr">
        <is>
          <t>2025-02</t>
        </is>
      </c>
      <c r="F1491" s="6" t="n">
        <v>28095.2127284187</v>
      </c>
      <c r="G1491" s="6" t="inlineStr">
        <is>
          <t>DOMESTICA</t>
        </is>
      </c>
      <c r="H1491" s="6" t="inlineStr">
        <is>
          <t>FIXO</t>
        </is>
      </c>
      <c r="I1491" s="11">
        <f>IF($H1491="AUTO_OFERTA_TOTAL_PRODUTO_PERIODO",SUMIFS(Oferta!$F:$F,Oferta!$A:$A,$A1491,Oferta!$E:$E,$E1491),$F1491)</f>
        <v/>
      </c>
      <c r="J1491" s="6" t="inlineStr">
        <is>
          <t>Informado</t>
        </is>
      </c>
      <c r="K1491" s="6" t="inlineStr">
        <is>
          <t>Demanda doméstica fixa informada pelo usuário.</t>
        </is>
      </c>
    </row>
    <row r="1492">
      <c r="A1492" s="6" t="inlineStr">
        <is>
          <t>Milho</t>
        </is>
      </c>
      <c r="B1492" s="6" t="inlineStr">
        <is>
          <t>Brasília - DF</t>
        </is>
      </c>
      <c r="C1492" s="6" t="n">
        <v>-15.7795</v>
      </c>
      <c r="D1492" s="6" t="n">
        <v>-47.9297</v>
      </c>
      <c r="E1492" s="6" t="inlineStr">
        <is>
          <t>2025-03</t>
        </is>
      </c>
      <c r="F1492" s="6" t="n">
        <v>32335.9995553498</v>
      </c>
      <c r="G1492" s="6" t="inlineStr">
        <is>
          <t>DOMESTICA</t>
        </is>
      </c>
      <c r="H1492" s="6" t="inlineStr">
        <is>
          <t>FIXO</t>
        </is>
      </c>
      <c r="I1492" s="11">
        <f>IF($H1492="AUTO_OFERTA_TOTAL_PRODUTO_PERIODO",SUMIFS(Oferta!$F:$F,Oferta!$A:$A,$A1492,Oferta!$E:$E,$E1492),$F1492)</f>
        <v/>
      </c>
      <c r="J1492" s="6" t="inlineStr">
        <is>
          <t>Informado</t>
        </is>
      </c>
      <c r="K1492" s="6" t="inlineStr">
        <is>
          <t>Demanda doméstica fixa informada pelo usuário.</t>
        </is>
      </c>
    </row>
    <row r="1493">
      <c r="A1493" s="6" t="inlineStr">
        <is>
          <t>Milho</t>
        </is>
      </c>
      <c r="B1493" s="6" t="inlineStr">
        <is>
          <t>Brasília - DF</t>
        </is>
      </c>
      <c r="C1493" s="6" t="n">
        <v>-15.7795</v>
      </c>
      <c r="D1493" s="6" t="n">
        <v>-47.9297</v>
      </c>
      <c r="E1493" s="6" t="inlineStr">
        <is>
          <t>2025-04</t>
        </is>
      </c>
      <c r="F1493" s="6" t="n">
        <v>40817.5732092121</v>
      </c>
      <c r="G1493" s="6" t="inlineStr">
        <is>
          <t>DOMESTICA</t>
        </is>
      </c>
      <c r="H1493" s="6" t="inlineStr">
        <is>
          <t>FIXO</t>
        </is>
      </c>
      <c r="I1493" s="11">
        <f>IF($H1493="AUTO_OFERTA_TOTAL_PRODUTO_PERIODO",SUMIFS(Oferta!$F:$F,Oferta!$A:$A,$A1493,Oferta!$E:$E,$E1493),$F1493)</f>
        <v/>
      </c>
      <c r="J1493" s="6" t="inlineStr">
        <is>
          <t>Informado</t>
        </is>
      </c>
      <c r="K1493" s="6" t="inlineStr">
        <is>
          <t>Demanda doméstica fixa informada pelo usuário.</t>
        </is>
      </c>
    </row>
    <row r="1494">
      <c r="A1494" s="6" t="inlineStr">
        <is>
          <t>Milho</t>
        </is>
      </c>
      <c r="B1494" s="6" t="inlineStr">
        <is>
          <t>Brasília - DF</t>
        </is>
      </c>
      <c r="C1494" s="6" t="n">
        <v>-15.7795</v>
      </c>
      <c r="D1494" s="6" t="n">
        <v>-47.9297</v>
      </c>
      <c r="E1494" s="6" t="inlineStr">
        <is>
          <t>2025-05</t>
        </is>
      </c>
      <c r="F1494" s="6" t="n">
        <v>66262.29417079881</v>
      </c>
      <c r="G1494" s="6" t="inlineStr">
        <is>
          <t>DOMESTICA</t>
        </is>
      </c>
      <c r="H1494" s="6" t="inlineStr">
        <is>
          <t>FIXO</t>
        </is>
      </c>
      <c r="I1494" s="11">
        <f>IF($H1494="AUTO_OFERTA_TOTAL_PRODUTO_PERIODO",SUMIFS(Oferta!$F:$F,Oferta!$A:$A,$A1494,Oferta!$E:$E,$E1494),$F1494)</f>
        <v/>
      </c>
      <c r="J1494" s="6" t="inlineStr">
        <is>
          <t>Informado</t>
        </is>
      </c>
      <c r="K1494" s="6" t="inlineStr">
        <is>
          <t>Demanda doméstica fixa informada pelo usuário.</t>
        </is>
      </c>
    </row>
    <row r="1495">
      <c r="A1495" s="6" t="inlineStr">
        <is>
          <t>Milho</t>
        </is>
      </c>
      <c r="B1495" s="6" t="inlineStr">
        <is>
          <t>Brasília - DF</t>
        </is>
      </c>
      <c r="C1495" s="6" t="n">
        <v>-15.7795</v>
      </c>
      <c r="D1495" s="6" t="n">
        <v>-47.9297</v>
      </c>
      <c r="E1495" s="6" t="inlineStr">
        <is>
          <t>2025-06</t>
        </is>
      </c>
      <c r="F1495" s="6" t="n">
        <v>78984.65465159219</v>
      </c>
      <c r="G1495" s="6" t="inlineStr">
        <is>
          <t>DOMESTICA</t>
        </is>
      </c>
      <c r="H1495" s="6" t="inlineStr">
        <is>
          <t>FIXO</t>
        </is>
      </c>
      <c r="I1495" s="11">
        <f>IF($H1495="AUTO_OFERTA_TOTAL_PRODUTO_PERIODO",SUMIFS(Oferta!$F:$F,Oferta!$A:$A,$A1495,Oferta!$E:$E,$E1495),$F1495)</f>
        <v/>
      </c>
      <c r="J1495" s="6" t="inlineStr">
        <is>
          <t>Informado</t>
        </is>
      </c>
      <c r="K1495" s="6" t="inlineStr">
        <is>
          <t>Demanda doméstica fixa informada pelo usuário.</t>
        </is>
      </c>
    </row>
    <row r="1496">
      <c r="A1496" s="6" t="inlineStr">
        <is>
          <t>Milho</t>
        </is>
      </c>
      <c r="B1496" s="6" t="inlineStr">
        <is>
          <t>Brasília - DF</t>
        </is>
      </c>
      <c r="C1496" s="6" t="n">
        <v>-15.7795</v>
      </c>
      <c r="D1496" s="6" t="n">
        <v>-47.9297</v>
      </c>
      <c r="E1496" s="6" t="inlineStr">
        <is>
          <t>2025-07</t>
        </is>
      </c>
      <c r="F1496" s="6" t="n">
        <v>91707.0151323855</v>
      </c>
      <c r="G1496" s="6" t="inlineStr">
        <is>
          <t>DOMESTICA</t>
        </is>
      </c>
      <c r="H1496" s="6" t="inlineStr">
        <is>
          <t>FIXO</t>
        </is>
      </c>
      <c r="I1496" s="11">
        <f>IF($H1496="AUTO_OFERTA_TOTAL_PRODUTO_PERIODO",SUMIFS(Oferta!$F:$F,Oferta!$A:$A,$A1496,Oferta!$E:$E,$E1496),$F1496)</f>
        <v/>
      </c>
      <c r="J1496" s="6" t="inlineStr">
        <is>
          <t>Informado</t>
        </is>
      </c>
      <c r="K1496" s="6" t="inlineStr">
        <is>
          <t>Demanda doméstica fixa informada pelo usuário.</t>
        </is>
      </c>
    </row>
    <row r="1497">
      <c r="A1497" s="6" t="inlineStr">
        <is>
          <t>Milho</t>
        </is>
      </c>
      <c r="B1497" s="6" t="inlineStr">
        <is>
          <t>Brasília - DF</t>
        </is>
      </c>
      <c r="C1497" s="6" t="n">
        <v>-15.7795</v>
      </c>
      <c r="D1497" s="6" t="n">
        <v>-47.9297</v>
      </c>
      <c r="E1497" s="6" t="inlineStr">
        <is>
          <t>2025-08</t>
        </is>
      </c>
      <c r="F1497" s="6" t="n">
        <v>83225.44147852329</v>
      </c>
      <c r="G1497" s="6" t="inlineStr">
        <is>
          <t>DOMESTICA</t>
        </is>
      </c>
      <c r="H1497" s="6" t="inlineStr">
        <is>
          <t>FIXO</t>
        </is>
      </c>
      <c r="I1497" s="11">
        <f>IF($H1497="AUTO_OFERTA_TOTAL_PRODUTO_PERIODO",SUMIFS(Oferta!$F:$F,Oferta!$A:$A,$A1497,Oferta!$E:$E,$E1497),$F1497)</f>
        <v/>
      </c>
      <c r="J1497" s="6" t="inlineStr">
        <is>
          <t>Informado</t>
        </is>
      </c>
      <c r="K1497" s="6" t="inlineStr">
        <is>
          <t>Demanda doméstica fixa informada pelo usuário.</t>
        </is>
      </c>
    </row>
    <row r="1498">
      <c r="A1498" s="6" t="inlineStr">
        <is>
          <t>Milho</t>
        </is>
      </c>
      <c r="B1498" s="6" t="inlineStr">
        <is>
          <t>Brasília - DF</t>
        </is>
      </c>
      <c r="C1498" s="6" t="n">
        <v>-15.7795</v>
      </c>
      <c r="D1498" s="6" t="n">
        <v>-47.9297</v>
      </c>
      <c r="E1498" s="6" t="inlineStr">
        <is>
          <t>2025-09</t>
        </is>
      </c>
      <c r="F1498" s="6" t="n">
        <v>74743.86782466109</v>
      </c>
      <c r="G1498" s="6" t="inlineStr">
        <is>
          <t>DOMESTICA</t>
        </is>
      </c>
      <c r="H1498" s="6" t="inlineStr">
        <is>
          <t>FIXO</t>
        </is>
      </c>
      <c r="I1498" s="11">
        <f>IF($H1498="AUTO_OFERTA_TOTAL_PRODUTO_PERIODO",SUMIFS(Oferta!$F:$F,Oferta!$A:$A,$A1498,Oferta!$E:$E,$E1498),$F1498)</f>
        <v/>
      </c>
      <c r="J1498" s="6" t="inlineStr">
        <is>
          <t>Informado</t>
        </is>
      </c>
      <c r="K1498" s="6" t="inlineStr">
        <is>
          <t>Demanda doméstica fixa informada pelo usuário.</t>
        </is>
      </c>
    </row>
    <row r="1499">
      <c r="A1499" s="6" t="inlineStr">
        <is>
          <t>Milho</t>
        </is>
      </c>
      <c r="B1499" s="6" t="inlineStr">
        <is>
          <t>Brasília - DF</t>
        </is>
      </c>
      <c r="C1499" s="6" t="n">
        <v>-15.7795</v>
      </c>
      <c r="D1499" s="6" t="n">
        <v>-47.9297</v>
      </c>
      <c r="E1499" s="6" t="inlineStr">
        <is>
          <t>2025-10</t>
        </is>
      </c>
      <c r="F1499" s="6" t="n">
        <v>53539.9336900054</v>
      </c>
      <c r="G1499" s="6" t="inlineStr">
        <is>
          <t>DOMESTICA</t>
        </is>
      </c>
      <c r="H1499" s="6" t="inlineStr">
        <is>
          <t>FIXO</t>
        </is>
      </c>
      <c r="I1499" s="11">
        <f>IF($H1499="AUTO_OFERTA_TOTAL_PRODUTO_PERIODO",SUMIFS(Oferta!$F:$F,Oferta!$A:$A,$A1499,Oferta!$E:$E,$E1499),$F1499)</f>
        <v/>
      </c>
      <c r="J1499" s="6" t="inlineStr">
        <is>
          <t>Informado</t>
        </is>
      </c>
      <c r="K1499" s="6" t="inlineStr">
        <is>
          <t>Demanda doméstica fixa informada pelo usuário.</t>
        </is>
      </c>
    </row>
    <row r="1500">
      <c r="A1500" s="6" t="inlineStr">
        <is>
          <t>Milho</t>
        </is>
      </c>
      <c r="B1500" s="6" t="inlineStr">
        <is>
          <t>Brasília - DF</t>
        </is>
      </c>
      <c r="C1500" s="6" t="n">
        <v>-15.7795</v>
      </c>
      <c r="D1500" s="6" t="n">
        <v>-47.9297</v>
      </c>
      <c r="E1500" s="6" t="inlineStr">
        <is>
          <t>2025-11</t>
        </is>
      </c>
      <c r="F1500" s="6" t="n">
        <v>36576.7863822809</v>
      </c>
      <c r="G1500" s="6" t="inlineStr">
        <is>
          <t>DOMESTICA</t>
        </is>
      </c>
      <c r="H1500" s="6" t="inlineStr">
        <is>
          <t>FIXO</t>
        </is>
      </c>
      <c r="I1500" s="11">
        <f>IF($H1500="AUTO_OFERTA_TOTAL_PRODUTO_PERIODO",SUMIFS(Oferta!$F:$F,Oferta!$A:$A,$A1500,Oferta!$E:$E,$E1500),$F1500)</f>
        <v/>
      </c>
      <c r="J1500" s="6" t="inlineStr">
        <is>
          <t>Informado</t>
        </is>
      </c>
      <c r="K1500" s="6" t="inlineStr">
        <is>
          <t>Demanda doméstica fixa informada pelo usuário.</t>
        </is>
      </c>
    </row>
    <row r="1501">
      <c r="A1501" s="6" t="inlineStr">
        <is>
          <t>Milho</t>
        </is>
      </c>
      <c r="B1501" s="6" t="inlineStr">
        <is>
          <t>Brasília - DF</t>
        </is>
      </c>
      <c r="C1501" s="6" t="n">
        <v>-15.7795</v>
      </c>
      <c r="D1501" s="6" t="n">
        <v>-47.9297</v>
      </c>
      <c r="E1501" s="6" t="inlineStr">
        <is>
          <t>2025-12</t>
        </is>
      </c>
      <c r="F1501" s="6" t="n">
        <v>28095.2127284187</v>
      </c>
      <c r="G1501" s="6" t="inlineStr">
        <is>
          <t>DOMESTICA</t>
        </is>
      </c>
      <c r="H1501" s="6" t="inlineStr">
        <is>
          <t>FIXO</t>
        </is>
      </c>
      <c r="I1501" s="11">
        <f>IF($H1501="AUTO_OFERTA_TOTAL_PRODUTO_PERIODO",SUMIFS(Oferta!$F:$F,Oferta!$A:$A,$A1501,Oferta!$E:$E,$E1501),$F1501)</f>
        <v/>
      </c>
      <c r="J1501" s="6" t="inlineStr">
        <is>
          <t>Informado</t>
        </is>
      </c>
      <c r="K1501" s="6" t="inlineStr">
        <is>
          <t>Demanda doméstica fixa informada pelo usuário.</t>
        </is>
      </c>
    </row>
    <row r="1502">
      <c r="A1502" s="6" t="inlineStr">
        <is>
          <t>Milho</t>
        </is>
      </c>
      <c r="B1502" s="6" t="inlineStr">
        <is>
          <t>Goiânia - GO</t>
        </is>
      </c>
      <c r="C1502" s="6" t="n">
        <v>-16.6864</v>
      </c>
      <c r="D1502" s="6" t="n">
        <v>-49.2643</v>
      </c>
      <c r="E1502" s="6" t="inlineStr">
        <is>
          <t>2025-01</t>
        </is>
      </c>
      <c r="F1502" s="6" t="n">
        <v>221385.0946862382</v>
      </c>
      <c r="G1502" s="6" t="inlineStr">
        <is>
          <t>DOMESTICA</t>
        </is>
      </c>
      <c r="H1502" s="6" t="inlineStr">
        <is>
          <t>FIXO</t>
        </is>
      </c>
      <c r="I1502" s="11">
        <f>IF($H1502="AUTO_OFERTA_TOTAL_PRODUTO_PERIODO",SUMIFS(Oferta!$F:$F,Oferta!$A:$A,$A1502,Oferta!$E:$E,$E1502),$F1502)</f>
        <v/>
      </c>
      <c r="J1502" s="6" t="inlineStr">
        <is>
          <t>Informado</t>
        </is>
      </c>
      <c r="K1502" s="6" t="inlineStr">
        <is>
          <t>Demanda doméstica fixa informada pelo usuário.</t>
        </is>
      </c>
    </row>
    <row r="1503">
      <c r="A1503" s="6" t="inlineStr">
        <is>
          <t>Milho</t>
        </is>
      </c>
      <c r="B1503" s="6" t="inlineStr">
        <is>
          <t>Goiânia - GO</t>
        </is>
      </c>
      <c r="C1503" s="6" t="n">
        <v>-16.6864</v>
      </c>
      <c r="D1503" s="6" t="n">
        <v>-49.2643</v>
      </c>
      <c r="E1503" s="6" t="inlineStr">
        <is>
          <t>2025-02</t>
        </is>
      </c>
      <c r="F1503" s="6" t="n">
        <v>221385.0946862382</v>
      </c>
      <c r="G1503" s="6" t="inlineStr">
        <is>
          <t>DOMESTICA</t>
        </is>
      </c>
      <c r="H1503" s="6" t="inlineStr">
        <is>
          <t>FIXO</t>
        </is>
      </c>
      <c r="I1503" s="11">
        <f>IF($H1503="AUTO_OFERTA_TOTAL_PRODUTO_PERIODO",SUMIFS(Oferta!$F:$F,Oferta!$A:$A,$A1503,Oferta!$E:$E,$E1503),$F1503)</f>
        <v/>
      </c>
      <c r="J1503" s="6" t="inlineStr">
        <is>
          <t>Informado</t>
        </is>
      </c>
      <c r="K1503" s="6" t="inlineStr">
        <is>
          <t>Demanda doméstica fixa informada pelo usuário.</t>
        </is>
      </c>
    </row>
    <row r="1504">
      <c r="A1504" s="6" t="inlineStr">
        <is>
          <t>Milho</t>
        </is>
      </c>
      <c r="B1504" s="6" t="inlineStr">
        <is>
          <t>Goiânia - GO</t>
        </is>
      </c>
      <c r="C1504" s="6" t="n">
        <v>-16.6864</v>
      </c>
      <c r="D1504" s="6" t="n">
        <v>-49.2643</v>
      </c>
      <c r="E1504" s="6" t="inlineStr">
        <is>
          <t>2025-03</t>
        </is>
      </c>
      <c r="F1504" s="6" t="n">
        <v>254801.7127520855</v>
      </c>
      <c r="G1504" s="6" t="inlineStr">
        <is>
          <t>DOMESTICA</t>
        </is>
      </c>
      <c r="H1504" s="6" t="inlineStr">
        <is>
          <t>FIXO</t>
        </is>
      </c>
      <c r="I1504" s="11">
        <f>IF($H1504="AUTO_OFERTA_TOTAL_PRODUTO_PERIODO",SUMIFS(Oferta!$F:$F,Oferta!$A:$A,$A1504,Oferta!$E:$E,$E1504),$F1504)</f>
        <v/>
      </c>
      <c r="J1504" s="6" t="inlineStr">
        <is>
          <t>Informado</t>
        </is>
      </c>
      <c r="K1504" s="6" t="inlineStr">
        <is>
          <t>Demanda doméstica fixa informada pelo usuário.</t>
        </is>
      </c>
    </row>
    <row r="1505">
      <c r="A1505" s="6" t="inlineStr">
        <is>
          <t>Milho</t>
        </is>
      </c>
      <c r="B1505" s="6" t="inlineStr">
        <is>
          <t>Goiânia - GO</t>
        </is>
      </c>
      <c r="C1505" s="6" t="n">
        <v>-16.6864</v>
      </c>
      <c r="D1505" s="6" t="n">
        <v>-49.2643</v>
      </c>
      <c r="E1505" s="6" t="inlineStr">
        <is>
          <t>2025-04</t>
        </is>
      </c>
      <c r="F1505" s="6" t="n">
        <v>321634.9488837801</v>
      </c>
      <c r="G1505" s="6" t="inlineStr">
        <is>
          <t>DOMESTICA</t>
        </is>
      </c>
      <c r="H1505" s="6" t="inlineStr">
        <is>
          <t>FIXO</t>
        </is>
      </c>
      <c r="I1505" s="11">
        <f>IF($H1505="AUTO_OFERTA_TOTAL_PRODUTO_PERIODO",SUMIFS(Oferta!$F:$F,Oferta!$A:$A,$A1505,Oferta!$E:$E,$E1505),$F1505)</f>
        <v/>
      </c>
      <c r="J1505" s="6" t="inlineStr">
        <is>
          <t>Informado</t>
        </is>
      </c>
      <c r="K1505" s="6" t="inlineStr">
        <is>
          <t>Demanda doméstica fixa informada pelo usuário.</t>
        </is>
      </c>
    </row>
    <row r="1506">
      <c r="A1506" s="6" t="inlineStr">
        <is>
          <t>Milho</t>
        </is>
      </c>
      <c r="B1506" s="6" t="inlineStr">
        <is>
          <t>Goiânia - GO</t>
        </is>
      </c>
      <c r="C1506" s="6" t="n">
        <v>-16.6864</v>
      </c>
      <c r="D1506" s="6" t="n">
        <v>-49.2643</v>
      </c>
      <c r="E1506" s="6" t="inlineStr">
        <is>
          <t>2025-05</t>
        </is>
      </c>
      <c r="F1506" s="6" t="n">
        <v>522134.6572788637</v>
      </c>
      <c r="G1506" s="6" t="inlineStr">
        <is>
          <t>DOMESTICA</t>
        </is>
      </c>
      <c r="H1506" s="6" t="inlineStr">
        <is>
          <t>FIXO</t>
        </is>
      </c>
      <c r="I1506" s="11">
        <f>IF($H1506="AUTO_OFERTA_TOTAL_PRODUTO_PERIODO",SUMIFS(Oferta!$F:$F,Oferta!$A:$A,$A1506,Oferta!$E:$E,$E1506),$F1506)</f>
        <v/>
      </c>
      <c r="J1506" s="6" t="inlineStr">
        <is>
          <t>Informado</t>
        </is>
      </c>
      <c r="K1506" s="6" t="inlineStr">
        <is>
          <t>Demanda doméstica fixa informada pelo usuário.</t>
        </is>
      </c>
    </row>
    <row r="1507">
      <c r="A1507" s="6" t="inlineStr">
        <is>
          <t>Milho</t>
        </is>
      </c>
      <c r="B1507" s="6" t="inlineStr">
        <is>
          <t>Goiânia - GO</t>
        </is>
      </c>
      <c r="C1507" s="6" t="n">
        <v>-16.6864</v>
      </c>
      <c r="D1507" s="6" t="n">
        <v>-49.2643</v>
      </c>
      <c r="E1507" s="6" t="inlineStr">
        <is>
          <t>2025-06</t>
        </is>
      </c>
      <c r="F1507" s="6" t="n">
        <v>622384.5114764055</v>
      </c>
      <c r="G1507" s="6" t="inlineStr">
        <is>
          <t>DOMESTICA</t>
        </is>
      </c>
      <c r="H1507" s="6" t="inlineStr">
        <is>
          <t>FIXO</t>
        </is>
      </c>
      <c r="I1507" s="11">
        <f>IF($H1507="AUTO_OFERTA_TOTAL_PRODUTO_PERIODO",SUMIFS(Oferta!$F:$F,Oferta!$A:$A,$A1507,Oferta!$E:$E,$E1507),$F1507)</f>
        <v/>
      </c>
      <c r="J1507" s="6" t="inlineStr">
        <is>
          <t>Informado</t>
        </is>
      </c>
      <c r="K1507" s="6" t="inlineStr">
        <is>
          <t>Demanda doméstica fixa informada pelo usuário.</t>
        </is>
      </c>
    </row>
    <row r="1508">
      <c r="A1508" s="6" t="inlineStr">
        <is>
          <t>Milho</t>
        </is>
      </c>
      <c r="B1508" s="6" t="inlineStr">
        <is>
          <t>Goiânia - GO</t>
        </is>
      </c>
      <c r="C1508" s="6" t="n">
        <v>-16.6864</v>
      </c>
      <c r="D1508" s="6" t="n">
        <v>-49.2643</v>
      </c>
      <c r="E1508" s="6" t="inlineStr">
        <is>
          <t>2025-07</t>
        </is>
      </c>
      <c r="F1508" s="6" t="n">
        <v>722634.3656739474</v>
      </c>
      <c r="G1508" s="6" t="inlineStr">
        <is>
          <t>DOMESTICA</t>
        </is>
      </c>
      <c r="H1508" s="6" t="inlineStr">
        <is>
          <t>FIXO</t>
        </is>
      </c>
      <c r="I1508" s="11">
        <f>IF($H1508="AUTO_OFERTA_TOTAL_PRODUTO_PERIODO",SUMIFS(Oferta!$F:$F,Oferta!$A:$A,$A1508,Oferta!$E:$E,$E1508),$F1508)</f>
        <v/>
      </c>
      <c r="J1508" s="6" t="inlineStr">
        <is>
          <t>Informado</t>
        </is>
      </c>
      <c r="K1508" s="6" t="inlineStr">
        <is>
          <t>Demanda doméstica fixa informada pelo usuário.</t>
        </is>
      </c>
    </row>
    <row r="1509">
      <c r="A1509" s="6" t="inlineStr">
        <is>
          <t>Milho</t>
        </is>
      </c>
      <c r="B1509" s="6" t="inlineStr">
        <is>
          <t>Goiânia - GO</t>
        </is>
      </c>
      <c r="C1509" s="6" t="n">
        <v>-16.6864</v>
      </c>
      <c r="D1509" s="6" t="n">
        <v>-49.2643</v>
      </c>
      <c r="E1509" s="6" t="inlineStr">
        <is>
          <t>2025-08</t>
        </is>
      </c>
      <c r="F1509" s="6" t="n">
        <v>655801.1295422529</v>
      </c>
      <c r="G1509" s="6" t="inlineStr">
        <is>
          <t>DOMESTICA</t>
        </is>
      </c>
      <c r="H1509" s="6" t="inlineStr">
        <is>
          <t>FIXO</t>
        </is>
      </c>
      <c r="I1509" s="11">
        <f>IF($H1509="AUTO_OFERTA_TOTAL_PRODUTO_PERIODO",SUMIFS(Oferta!$F:$F,Oferta!$A:$A,$A1509,Oferta!$E:$E,$E1509),$F1509)</f>
        <v/>
      </c>
      <c r="J1509" s="6" t="inlineStr">
        <is>
          <t>Informado</t>
        </is>
      </c>
      <c r="K1509" s="6" t="inlineStr">
        <is>
          <t>Demanda doméstica fixa informada pelo usuário.</t>
        </is>
      </c>
    </row>
    <row r="1510">
      <c r="A1510" s="6" t="inlineStr">
        <is>
          <t>Milho</t>
        </is>
      </c>
      <c r="B1510" s="6" t="inlineStr">
        <is>
          <t>Goiânia - GO</t>
        </is>
      </c>
      <c r="C1510" s="6" t="n">
        <v>-16.6864</v>
      </c>
      <c r="D1510" s="6" t="n">
        <v>-49.2643</v>
      </c>
      <c r="E1510" s="6" t="inlineStr">
        <is>
          <t>2025-09</t>
        </is>
      </c>
      <c r="F1510" s="6" t="n">
        <v>588967.8934105582</v>
      </c>
      <c r="G1510" s="6" t="inlineStr">
        <is>
          <t>DOMESTICA</t>
        </is>
      </c>
      <c r="H1510" s="6" t="inlineStr">
        <is>
          <t>FIXO</t>
        </is>
      </c>
      <c r="I1510" s="11">
        <f>IF($H1510="AUTO_OFERTA_TOTAL_PRODUTO_PERIODO",SUMIFS(Oferta!$F:$F,Oferta!$A:$A,$A1510,Oferta!$E:$E,$E1510),$F1510)</f>
        <v/>
      </c>
      <c r="J1510" s="6" t="inlineStr">
        <is>
          <t>Informado</t>
        </is>
      </c>
      <c r="K1510" s="6" t="inlineStr">
        <is>
          <t>Demanda doméstica fixa informada pelo usuário.</t>
        </is>
      </c>
    </row>
    <row r="1511">
      <c r="A1511" s="6" t="inlineStr">
        <is>
          <t>Milho</t>
        </is>
      </c>
      <c r="B1511" s="6" t="inlineStr">
        <is>
          <t>Goiânia - GO</t>
        </is>
      </c>
      <c r="C1511" s="6" t="n">
        <v>-16.6864</v>
      </c>
      <c r="D1511" s="6" t="n">
        <v>-49.2643</v>
      </c>
      <c r="E1511" s="6" t="inlineStr">
        <is>
          <t>2025-10</t>
        </is>
      </c>
      <c r="F1511" s="6" t="n">
        <v>455301.4211471691</v>
      </c>
      <c r="G1511" s="6" t="inlineStr">
        <is>
          <t>DOMESTICA</t>
        </is>
      </c>
      <c r="H1511" s="6" t="inlineStr">
        <is>
          <t>FIXO</t>
        </is>
      </c>
      <c r="I1511" s="11">
        <f>IF($H1511="AUTO_OFERTA_TOTAL_PRODUTO_PERIODO",SUMIFS(Oferta!$F:$F,Oferta!$A:$A,$A1511,Oferta!$E:$E,$E1511),$F1511)</f>
        <v/>
      </c>
      <c r="J1511" s="6" t="inlineStr">
        <is>
          <t>Informado</t>
        </is>
      </c>
      <c r="K1511" s="6" t="inlineStr">
        <is>
          <t>Demanda doméstica fixa informada pelo usuário.</t>
        </is>
      </c>
    </row>
    <row r="1512">
      <c r="A1512" s="6" t="inlineStr">
        <is>
          <t>Milho</t>
        </is>
      </c>
      <c r="B1512" s="6" t="inlineStr">
        <is>
          <t>Goiânia - GO</t>
        </is>
      </c>
      <c r="C1512" s="6" t="n">
        <v>-16.6864</v>
      </c>
      <c r="D1512" s="6" t="n">
        <v>-49.2643</v>
      </c>
      <c r="E1512" s="6" t="inlineStr">
        <is>
          <t>2025-11</t>
        </is>
      </c>
      <c r="F1512" s="6" t="n">
        <v>321634.94888378</v>
      </c>
      <c r="G1512" s="6" t="inlineStr">
        <is>
          <t>DOMESTICA</t>
        </is>
      </c>
      <c r="H1512" s="6" t="inlineStr">
        <is>
          <t>FIXO</t>
        </is>
      </c>
      <c r="I1512" s="11">
        <f>IF($H1512="AUTO_OFERTA_TOTAL_PRODUTO_PERIODO",SUMIFS(Oferta!$F:$F,Oferta!$A:$A,$A1512,Oferta!$E:$E,$E1512),$F1512)</f>
        <v/>
      </c>
      <c r="J1512" s="6" t="inlineStr">
        <is>
          <t>Informado</t>
        </is>
      </c>
      <c r="K1512" s="6" t="inlineStr">
        <is>
          <t>Demanda doméstica fixa informada pelo usuário.</t>
        </is>
      </c>
    </row>
    <row r="1513">
      <c r="A1513" s="6" t="inlineStr">
        <is>
          <t>Milho</t>
        </is>
      </c>
      <c r="B1513" s="6" t="inlineStr">
        <is>
          <t>Goiânia - GO</t>
        </is>
      </c>
      <c r="C1513" s="6" t="n">
        <v>-16.6864</v>
      </c>
      <c r="D1513" s="6" t="n">
        <v>-49.2643</v>
      </c>
      <c r="E1513" s="6" t="inlineStr">
        <is>
          <t>2025-12</t>
        </is>
      </c>
      <c r="F1513" s="6" t="n">
        <v>254801.7127520855</v>
      </c>
      <c r="G1513" s="6" t="inlineStr">
        <is>
          <t>DOMESTICA</t>
        </is>
      </c>
      <c r="H1513" s="6" t="inlineStr">
        <is>
          <t>FIXO</t>
        </is>
      </c>
      <c r="I1513" s="11">
        <f>IF($H1513="AUTO_OFERTA_TOTAL_PRODUTO_PERIODO",SUMIFS(Oferta!$F:$F,Oferta!$A:$A,$A1513,Oferta!$E:$E,$E1513),$F1513)</f>
        <v/>
      </c>
      <c r="J1513" s="6" t="inlineStr">
        <is>
          <t>Informado</t>
        </is>
      </c>
      <c r="K1513" s="6" t="inlineStr">
        <is>
          <t>Demanda doméstica fixa informada pelo usuário.</t>
        </is>
      </c>
    </row>
    <row r="1514">
      <c r="A1514" s="6" t="inlineStr">
        <is>
          <t>Milho</t>
        </is>
      </c>
      <c r="B1514" s="6" t="inlineStr">
        <is>
          <t>Cuiabá - MT</t>
        </is>
      </c>
      <c r="C1514" s="6" t="n">
        <v>-15.601</v>
      </c>
      <c r="D1514" s="6" t="n">
        <v>-56.0974</v>
      </c>
      <c r="E1514" s="6" t="inlineStr">
        <is>
          <t>2025-01</t>
        </is>
      </c>
      <c r="F1514" s="6" t="n">
        <v>283711.424041561</v>
      </c>
      <c r="G1514" s="6" t="inlineStr">
        <is>
          <t>DOMESTICA</t>
        </is>
      </c>
      <c r="H1514" s="6" t="inlineStr">
        <is>
          <t>FIXO</t>
        </is>
      </c>
      <c r="I1514" s="11">
        <f>IF($H1514="AUTO_OFERTA_TOTAL_PRODUTO_PERIODO",SUMIFS(Oferta!$F:$F,Oferta!$A:$A,$A1514,Oferta!$E:$E,$E1514),$F1514)</f>
        <v/>
      </c>
      <c r="J1514" s="6" t="inlineStr">
        <is>
          <t>Informado</t>
        </is>
      </c>
      <c r="K1514" s="6" t="inlineStr">
        <is>
          <t>Demanda doméstica fixa informada pelo usuário.</t>
        </is>
      </c>
    </row>
    <row r="1515">
      <c r="A1515" s="6" t="inlineStr">
        <is>
          <t>Milho</t>
        </is>
      </c>
      <c r="B1515" s="6" t="inlineStr">
        <is>
          <t>Cuiabá - MT</t>
        </is>
      </c>
      <c r="C1515" s="6" t="n">
        <v>-15.601</v>
      </c>
      <c r="D1515" s="6" t="n">
        <v>-56.0974</v>
      </c>
      <c r="E1515" s="6" t="inlineStr">
        <is>
          <t>2025-02</t>
        </is>
      </c>
      <c r="F1515" s="6" t="n">
        <v>283711.424041561</v>
      </c>
      <c r="G1515" s="6" t="inlineStr">
        <is>
          <t>DOMESTICA</t>
        </is>
      </c>
      <c r="H1515" s="6" t="inlineStr">
        <is>
          <t>FIXO</t>
        </is>
      </c>
      <c r="I1515" s="11">
        <f>IF($H1515="AUTO_OFERTA_TOTAL_PRODUTO_PERIODO",SUMIFS(Oferta!$F:$F,Oferta!$A:$A,$A1515,Oferta!$E:$E,$E1515),$F1515)</f>
        <v/>
      </c>
      <c r="J1515" s="6" t="inlineStr">
        <is>
          <t>Informado</t>
        </is>
      </c>
      <c r="K1515" s="6" t="inlineStr">
        <is>
          <t>Demanda doméstica fixa informada pelo usuário.</t>
        </is>
      </c>
    </row>
    <row r="1516">
      <c r="A1516" s="6" t="inlineStr">
        <is>
          <t>Milho</t>
        </is>
      </c>
      <c r="B1516" s="6" t="inlineStr">
        <is>
          <t>Cuiabá - MT</t>
        </is>
      </c>
      <c r="C1516" s="6" t="n">
        <v>-15.601</v>
      </c>
      <c r="D1516" s="6" t="n">
        <v>-56.0974</v>
      </c>
      <c r="E1516" s="6" t="inlineStr">
        <is>
          <t>2025-03</t>
        </is>
      </c>
      <c r="F1516" s="6" t="n">
        <v>369360.1558276927</v>
      </c>
      <c r="G1516" s="6" t="inlineStr">
        <is>
          <t>DOMESTICA</t>
        </is>
      </c>
      <c r="H1516" s="6" t="inlineStr">
        <is>
          <t>FIXO</t>
        </is>
      </c>
      <c r="I1516" s="11">
        <f>IF($H1516="AUTO_OFERTA_TOTAL_PRODUTO_PERIODO",SUMIFS(Oferta!$F:$F,Oferta!$A:$A,$A1516,Oferta!$E:$E,$E1516),$F1516)</f>
        <v/>
      </c>
      <c r="J1516" s="6" t="inlineStr">
        <is>
          <t>Informado</t>
        </is>
      </c>
      <c r="K1516" s="6" t="inlineStr">
        <is>
          <t>Demanda doméstica fixa informada pelo usuário.</t>
        </is>
      </c>
    </row>
    <row r="1517">
      <c r="A1517" s="6" t="inlineStr">
        <is>
          <t>Milho</t>
        </is>
      </c>
      <c r="B1517" s="6" t="inlineStr">
        <is>
          <t>Cuiabá - MT</t>
        </is>
      </c>
      <c r="C1517" s="6" t="n">
        <v>-15.601</v>
      </c>
      <c r="D1517" s="6" t="n">
        <v>-56.0974</v>
      </c>
      <c r="E1517" s="6" t="inlineStr">
        <is>
          <t>2025-04</t>
        </is>
      </c>
      <c r="F1517" s="6" t="n">
        <v>540657.6193999558</v>
      </c>
      <c r="G1517" s="6" t="inlineStr">
        <is>
          <t>DOMESTICA</t>
        </is>
      </c>
      <c r="H1517" s="6" t="inlineStr">
        <is>
          <t>FIXO</t>
        </is>
      </c>
      <c r="I1517" s="11">
        <f>IF($H1517="AUTO_OFERTA_TOTAL_PRODUTO_PERIODO",SUMIFS(Oferta!$F:$F,Oferta!$A:$A,$A1517,Oferta!$E:$E,$E1517),$F1517)</f>
        <v/>
      </c>
      <c r="J1517" s="6" t="inlineStr">
        <is>
          <t>Informado</t>
        </is>
      </c>
      <c r="K1517" s="6" t="inlineStr">
        <is>
          <t>Demanda doméstica fixa informada pelo usuário.</t>
        </is>
      </c>
    </row>
    <row r="1518">
      <c r="A1518" s="6" t="inlineStr">
        <is>
          <t>Milho</t>
        </is>
      </c>
      <c r="B1518" s="6" t="inlineStr">
        <is>
          <t>Cuiabá - MT</t>
        </is>
      </c>
      <c r="C1518" s="6" t="n">
        <v>-15.601</v>
      </c>
      <c r="D1518" s="6" t="n">
        <v>-56.0974</v>
      </c>
      <c r="E1518" s="6" t="inlineStr">
        <is>
          <t>2025-05</t>
        </is>
      </c>
      <c r="F1518" s="6" t="n">
        <v>711955.0829722191</v>
      </c>
      <c r="G1518" s="6" t="inlineStr">
        <is>
          <t>DOMESTICA</t>
        </is>
      </c>
      <c r="H1518" s="6" t="inlineStr">
        <is>
          <t>FIXO</t>
        </is>
      </c>
      <c r="I1518" s="11">
        <f>IF($H1518="AUTO_OFERTA_TOTAL_PRODUTO_PERIODO",SUMIFS(Oferta!$F:$F,Oferta!$A:$A,$A1518,Oferta!$E:$E,$E1518),$F1518)</f>
        <v/>
      </c>
      <c r="J1518" s="6" t="inlineStr">
        <is>
          <t>Informado</t>
        </is>
      </c>
      <c r="K1518" s="6" t="inlineStr">
        <is>
          <t>Demanda doméstica fixa informada pelo usuário.</t>
        </is>
      </c>
    </row>
    <row r="1519">
      <c r="A1519" s="6" t="inlineStr">
        <is>
          <t>Milho</t>
        </is>
      </c>
      <c r="B1519" s="6" t="inlineStr">
        <is>
          <t>Cuiabá - MT</t>
        </is>
      </c>
      <c r="C1519" s="6" t="n">
        <v>-15.601</v>
      </c>
      <c r="D1519" s="6" t="n">
        <v>-56.0974</v>
      </c>
      <c r="E1519" s="6" t="inlineStr">
        <is>
          <t>2025-06</t>
        </is>
      </c>
      <c r="F1519" s="6" t="n">
        <v>797603.8147583507</v>
      </c>
      <c r="G1519" s="6" t="inlineStr">
        <is>
          <t>DOMESTICA</t>
        </is>
      </c>
      <c r="H1519" s="6" t="inlineStr">
        <is>
          <t>FIXO</t>
        </is>
      </c>
      <c r="I1519" s="11">
        <f>IF($H1519="AUTO_OFERTA_TOTAL_PRODUTO_PERIODO",SUMIFS(Oferta!$F:$F,Oferta!$A:$A,$A1519,Oferta!$E:$E,$E1519),$F1519)</f>
        <v/>
      </c>
      <c r="J1519" s="6" t="inlineStr">
        <is>
          <t>Informado</t>
        </is>
      </c>
      <c r="K1519" s="6" t="inlineStr">
        <is>
          <t>Demanda doméstica fixa informada pelo usuário.</t>
        </is>
      </c>
    </row>
    <row r="1520">
      <c r="A1520" s="6" t="inlineStr">
        <is>
          <t>Milho</t>
        </is>
      </c>
      <c r="B1520" s="6" t="inlineStr">
        <is>
          <t>Cuiabá - MT</t>
        </is>
      </c>
      <c r="C1520" s="6" t="n">
        <v>-15.601</v>
      </c>
      <c r="D1520" s="6" t="n">
        <v>-56.0974</v>
      </c>
      <c r="E1520" s="6" t="inlineStr">
        <is>
          <t>2025-07</t>
        </is>
      </c>
      <c r="F1520" s="6" t="n">
        <v>883252.5465444825</v>
      </c>
      <c r="G1520" s="6" t="inlineStr">
        <is>
          <t>DOMESTICA</t>
        </is>
      </c>
      <c r="H1520" s="6" t="inlineStr">
        <is>
          <t>FIXO</t>
        </is>
      </c>
      <c r="I1520" s="11">
        <f>IF($H1520="AUTO_OFERTA_TOTAL_PRODUTO_PERIODO",SUMIFS(Oferta!$F:$F,Oferta!$A:$A,$A1520,Oferta!$E:$E,$E1520),$F1520)</f>
        <v/>
      </c>
      <c r="J1520" s="6" t="inlineStr">
        <is>
          <t>Informado</t>
        </is>
      </c>
      <c r="K1520" s="6" t="inlineStr">
        <is>
          <t>Demanda doméstica fixa informada pelo usuário.</t>
        </is>
      </c>
    </row>
    <row r="1521">
      <c r="A1521" s="6" t="inlineStr">
        <is>
          <t>Milho</t>
        </is>
      </c>
      <c r="B1521" s="6" t="inlineStr">
        <is>
          <t>Cuiabá - MT</t>
        </is>
      </c>
      <c r="C1521" s="6" t="n">
        <v>-15.601</v>
      </c>
      <c r="D1521" s="6" t="n">
        <v>-56.0974</v>
      </c>
      <c r="E1521" s="6" t="inlineStr">
        <is>
          <t>2025-08</t>
        </is>
      </c>
      <c r="F1521" s="6" t="n">
        <v>883252.5465444825</v>
      </c>
      <c r="G1521" s="6" t="inlineStr">
        <is>
          <t>DOMESTICA</t>
        </is>
      </c>
      <c r="H1521" s="6" t="inlineStr">
        <is>
          <t>FIXO</t>
        </is>
      </c>
      <c r="I1521" s="11">
        <f>IF($H1521="AUTO_OFERTA_TOTAL_PRODUTO_PERIODO",SUMIFS(Oferta!$F:$F,Oferta!$A:$A,$A1521,Oferta!$E:$E,$E1521),$F1521)</f>
        <v/>
      </c>
      <c r="J1521" s="6" t="inlineStr">
        <is>
          <t>Informado</t>
        </is>
      </c>
      <c r="K1521" s="6" t="inlineStr">
        <is>
          <t>Demanda doméstica fixa informada pelo usuário.</t>
        </is>
      </c>
    </row>
    <row r="1522">
      <c r="A1522" s="6" t="inlineStr">
        <is>
          <t>Milho</t>
        </is>
      </c>
      <c r="B1522" s="6" t="inlineStr">
        <is>
          <t>Cuiabá - MT</t>
        </is>
      </c>
      <c r="C1522" s="6" t="n">
        <v>-15.601</v>
      </c>
      <c r="D1522" s="6" t="n">
        <v>-56.0974</v>
      </c>
      <c r="E1522" s="6" t="inlineStr">
        <is>
          <t>2025-09</t>
        </is>
      </c>
      <c r="F1522" s="6" t="n">
        <v>797603.8147583507</v>
      </c>
      <c r="G1522" s="6" t="inlineStr">
        <is>
          <t>DOMESTICA</t>
        </is>
      </c>
      <c r="H1522" s="6" t="inlineStr">
        <is>
          <t>FIXO</t>
        </is>
      </c>
      <c r="I1522" s="11">
        <f>IF($H1522="AUTO_OFERTA_TOTAL_PRODUTO_PERIODO",SUMIFS(Oferta!$F:$F,Oferta!$A:$A,$A1522,Oferta!$E:$E,$E1522),$F1522)</f>
        <v/>
      </c>
      <c r="J1522" s="6" t="inlineStr">
        <is>
          <t>Informado</t>
        </is>
      </c>
      <c r="K1522" s="6" t="inlineStr">
        <is>
          <t>Demanda doméstica fixa informada pelo usuário.</t>
        </is>
      </c>
    </row>
    <row r="1523">
      <c r="A1523" s="6" t="inlineStr">
        <is>
          <t>Milho</t>
        </is>
      </c>
      <c r="B1523" s="6" t="inlineStr">
        <is>
          <t>Cuiabá - MT</t>
        </is>
      </c>
      <c r="C1523" s="6" t="n">
        <v>-15.601</v>
      </c>
      <c r="D1523" s="6" t="n">
        <v>-56.0974</v>
      </c>
      <c r="E1523" s="6" t="inlineStr">
        <is>
          <t>2025-10</t>
        </is>
      </c>
      <c r="F1523" s="6" t="n">
        <v>583481.9852930217</v>
      </c>
      <c r="G1523" s="6" t="inlineStr">
        <is>
          <t>DOMESTICA</t>
        </is>
      </c>
      <c r="H1523" s="6" t="inlineStr">
        <is>
          <t>FIXO</t>
        </is>
      </c>
      <c r="I1523" s="11">
        <f>IF($H1523="AUTO_OFERTA_TOTAL_PRODUTO_PERIODO",SUMIFS(Oferta!$F:$F,Oferta!$A:$A,$A1523,Oferta!$E:$E,$E1523),$F1523)</f>
        <v/>
      </c>
      <c r="J1523" s="6" t="inlineStr">
        <is>
          <t>Informado</t>
        </is>
      </c>
      <c r="K1523" s="6" t="inlineStr">
        <is>
          <t>Demanda doméstica fixa informada pelo usuário.</t>
        </is>
      </c>
    </row>
    <row r="1524">
      <c r="A1524" s="6" t="inlineStr">
        <is>
          <t>Milho</t>
        </is>
      </c>
      <c r="B1524" s="6" t="inlineStr">
        <is>
          <t>Cuiabá - MT</t>
        </is>
      </c>
      <c r="C1524" s="6" t="n">
        <v>-15.601</v>
      </c>
      <c r="D1524" s="6" t="n">
        <v>-56.0974</v>
      </c>
      <c r="E1524" s="6" t="inlineStr">
        <is>
          <t>2025-11</t>
        </is>
      </c>
      <c r="F1524" s="6" t="n">
        <v>412184.5217207584</v>
      </c>
      <c r="G1524" s="6" t="inlineStr">
        <is>
          <t>DOMESTICA</t>
        </is>
      </c>
      <c r="H1524" s="6" t="inlineStr">
        <is>
          <t>FIXO</t>
        </is>
      </c>
      <c r="I1524" s="11">
        <f>IF($H1524="AUTO_OFERTA_TOTAL_PRODUTO_PERIODO",SUMIFS(Oferta!$F:$F,Oferta!$A:$A,$A1524,Oferta!$E:$E,$E1524),$F1524)</f>
        <v/>
      </c>
      <c r="J1524" s="6" t="inlineStr">
        <is>
          <t>Informado</t>
        </is>
      </c>
      <c r="K1524" s="6" t="inlineStr">
        <is>
          <t>Demanda doméstica fixa informada pelo usuário.</t>
        </is>
      </c>
    </row>
    <row r="1525">
      <c r="A1525" s="6" t="inlineStr">
        <is>
          <t>Milho</t>
        </is>
      </c>
      <c r="B1525" s="6" t="inlineStr">
        <is>
          <t>Cuiabá - MT</t>
        </is>
      </c>
      <c r="C1525" s="6" t="n">
        <v>-15.601</v>
      </c>
      <c r="D1525" s="6" t="n">
        <v>-56.0974</v>
      </c>
      <c r="E1525" s="6" t="inlineStr">
        <is>
          <t>2025-12</t>
        </is>
      </c>
      <c r="F1525" s="6" t="n">
        <v>326535.7899346268</v>
      </c>
      <c r="G1525" s="6" t="inlineStr">
        <is>
          <t>DOMESTICA</t>
        </is>
      </c>
      <c r="H1525" s="6" t="inlineStr">
        <is>
          <t>FIXO</t>
        </is>
      </c>
      <c r="I1525" s="11">
        <f>IF($H1525="AUTO_OFERTA_TOTAL_PRODUTO_PERIODO",SUMIFS(Oferta!$F:$F,Oferta!$A:$A,$A1525,Oferta!$E:$E,$E1525),$F1525)</f>
        <v/>
      </c>
      <c r="J1525" s="6" t="inlineStr">
        <is>
          <t>Informado</t>
        </is>
      </c>
      <c r="K1525" s="6" t="inlineStr">
        <is>
          <t>Demanda doméstica fixa informada pelo usuário.</t>
        </is>
      </c>
    </row>
    <row r="1526">
      <c r="A1526" s="6" t="inlineStr">
        <is>
          <t>Milho</t>
        </is>
      </c>
      <c r="B1526" s="6" t="inlineStr">
        <is>
          <t>Campo Grande - MS</t>
        </is>
      </c>
      <c r="C1526" s="6" t="n">
        <v>-20.4486</v>
      </c>
      <c r="D1526" s="6" t="n">
        <v>-54.6295</v>
      </c>
      <c r="E1526" s="6" t="inlineStr">
        <is>
          <t>2025-01</t>
        </is>
      </c>
      <c r="F1526" s="6" t="n">
        <v>84258.31941700719</v>
      </c>
      <c r="G1526" s="6" t="inlineStr">
        <is>
          <t>DOMESTICA</t>
        </is>
      </c>
      <c r="H1526" s="6" t="inlineStr">
        <is>
          <t>FIXO</t>
        </is>
      </c>
      <c r="I1526" s="11">
        <f>IF($H1526="AUTO_OFERTA_TOTAL_PRODUTO_PERIODO",SUMIFS(Oferta!$F:$F,Oferta!$A:$A,$A1526,Oferta!$E:$E,$E1526),$F1526)</f>
        <v/>
      </c>
      <c r="J1526" s="6" t="inlineStr">
        <is>
          <t>Informado</t>
        </is>
      </c>
      <c r="K1526" s="6" t="inlineStr">
        <is>
          <t>Demanda doméstica fixa informada pelo usuário.</t>
        </is>
      </c>
    </row>
    <row r="1527">
      <c r="A1527" s="6" t="inlineStr">
        <is>
          <t>Milho</t>
        </is>
      </c>
      <c r="B1527" s="6" t="inlineStr">
        <is>
          <t>Campo Grande - MS</t>
        </is>
      </c>
      <c r="C1527" s="6" t="n">
        <v>-20.4486</v>
      </c>
      <c r="D1527" s="6" t="n">
        <v>-54.6295</v>
      </c>
      <c r="E1527" s="6" t="inlineStr">
        <is>
          <t>2025-02</t>
        </is>
      </c>
      <c r="F1527" s="6" t="n">
        <v>96976.5563101404</v>
      </c>
      <c r="G1527" s="6" t="inlineStr">
        <is>
          <t>DOMESTICA</t>
        </is>
      </c>
      <c r="H1527" s="6" t="inlineStr">
        <is>
          <t>FIXO</t>
        </is>
      </c>
      <c r="I1527" s="11">
        <f>IF($H1527="AUTO_OFERTA_TOTAL_PRODUTO_PERIODO",SUMIFS(Oferta!$F:$F,Oferta!$A:$A,$A1527,Oferta!$E:$E,$E1527),$F1527)</f>
        <v/>
      </c>
      <c r="J1527" s="6" t="inlineStr">
        <is>
          <t>Informado</t>
        </is>
      </c>
      <c r="K1527" s="6" t="inlineStr">
        <is>
          <t>Demanda doméstica fixa informada pelo usuário.</t>
        </is>
      </c>
    </row>
    <row r="1528">
      <c r="A1528" s="6" t="inlineStr">
        <is>
          <t>Milho</t>
        </is>
      </c>
      <c r="B1528" s="6" t="inlineStr">
        <is>
          <t>Campo Grande - MS</t>
        </is>
      </c>
      <c r="C1528" s="6" t="n">
        <v>-20.4486</v>
      </c>
      <c r="D1528" s="6" t="n">
        <v>-54.6295</v>
      </c>
      <c r="E1528" s="6" t="inlineStr">
        <is>
          <t>2025-03</t>
        </is>
      </c>
      <c r="F1528" s="6" t="n">
        <v>122413.0300964067</v>
      </c>
      <c r="G1528" s="6" t="inlineStr">
        <is>
          <t>DOMESTICA</t>
        </is>
      </c>
      <c r="H1528" s="6" t="inlineStr">
        <is>
          <t>FIXO</t>
        </is>
      </c>
      <c r="I1528" s="11">
        <f>IF($H1528="AUTO_OFERTA_TOTAL_PRODUTO_PERIODO",SUMIFS(Oferta!$F:$F,Oferta!$A:$A,$A1528,Oferta!$E:$E,$E1528),$F1528)</f>
        <v/>
      </c>
      <c r="J1528" s="6" t="inlineStr">
        <is>
          <t>Informado</t>
        </is>
      </c>
      <c r="K1528" s="6" t="inlineStr">
        <is>
          <t>Demanda doméstica fixa informada pelo usuário.</t>
        </is>
      </c>
    </row>
    <row r="1529">
      <c r="A1529" s="6" t="inlineStr">
        <is>
          <t>Milho</t>
        </is>
      </c>
      <c r="B1529" s="6" t="inlineStr">
        <is>
          <t>Campo Grande - MS</t>
        </is>
      </c>
      <c r="C1529" s="6" t="n">
        <v>-20.4486</v>
      </c>
      <c r="D1529" s="6" t="n">
        <v>-54.6295</v>
      </c>
      <c r="E1529" s="6" t="inlineStr">
        <is>
          <t>2025-04</t>
        </is>
      </c>
      <c r="F1529" s="6" t="n">
        <v>198722.4514552057</v>
      </c>
      <c r="G1529" s="6" t="inlineStr">
        <is>
          <t>DOMESTICA</t>
        </is>
      </c>
      <c r="H1529" s="6" t="inlineStr">
        <is>
          <t>FIXO</t>
        </is>
      </c>
      <c r="I1529" s="11">
        <f>IF($H1529="AUTO_OFERTA_TOTAL_PRODUTO_PERIODO",SUMIFS(Oferta!$F:$F,Oferta!$A:$A,$A1529,Oferta!$E:$E,$E1529),$F1529)</f>
        <v/>
      </c>
      <c r="J1529" s="6" t="inlineStr">
        <is>
          <t>Informado</t>
        </is>
      </c>
      <c r="K1529" s="6" t="inlineStr">
        <is>
          <t>Demanda doméstica fixa informada pelo usuário.</t>
        </is>
      </c>
    </row>
    <row r="1530">
      <c r="A1530" s="6" t="inlineStr">
        <is>
          <t>Milho</t>
        </is>
      </c>
      <c r="B1530" s="6" t="inlineStr">
        <is>
          <t>Campo Grande - MS</t>
        </is>
      </c>
      <c r="C1530" s="6" t="n">
        <v>-20.4486</v>
      </c>
      <c r="D1530" s="6" t="n">
        <v>-54.6295</v>
      </c>
      <c r="E1530" s="6" t="inlineStr">
        <is>
          <t>2025-05</t>
        </is>
      </c>
      <c r="F1530" s="6" t="n">
        <v>236877.1621346051</v>
      </c>
      <c r="G1530" s="6" t="inlineStr">
        <is>
          <t>DOMESTICA</t>
        </is>
      </c>
      <c r="H1530" s="6" t="inlineStr">
        <is>
          <t>FIXO</t>
        </is>
      </c>
      <c r="I1530" s="11">
        <f>IF($H1530="AUTO_OFERTA_TOTAL_PRODUTO_PERIODO",SUMIFS(Oferta!$F:$F,Oferta!$A:$A,$A1530,Oferta!$E:$E,$E1530),$F1530)</f>
        <v/>
      </c>
      <c r="J1530" s="6" t="inlineStr">
        <is>
          <t>Informado</t>
        </is>
      </c>
      <c r="K1530" s="6" t="inlineStr">
        <is>
          <t>Demanda doméstica fixa informada pelo usuário.</t>
        </is>
      </c>
    </row>
    <row r="1531">
      <c r="A1531" s="6" t="inlineStr">
        <is>
          <t>Milho</t>
        </is>
      </c>
      <c r="B1531" s="6" t="inlineStr">
        <is>
          <t>Campo Grande - MS</t>
        </is>
      </c>
      <c r="C1531" s="6" t="n">
        <v>-20.4486</v>
      </c>
      <c r="D1531" s="6" t="n">
        <v>-54.6295</v>
      </c>
      <c r="E1531" s="6" t="inlineStr">
        <is>
          <t>2025-06</t>
        </is>
      </c>
      <c r="F1531" s="6" t="n">
        <v>249595.3990277384</v>
      </c>
      <c r="G1531" s="6" t="inlineStr">
        <is>
          <t>DOMESTICA</t>
        </is>
      </c>
      <c r="H1531" s="6" t="inlineStr">
        <is>
          <t>FIXO</t>
        </is>
      </c>
      <c r="I1531" s="11">
        <f>IF($H1531="AUTO_OFERTA_TOTAL_PRODUTO_PERIODO",SUMIFS(Oferta!$F:$F,Oferta!$A:$A,$A1531,Oferta!$E:$E,$E1531),$F1531)</f>
        <v/>
      </c>
      <c r="J1531" s="6" t="inlineStr">
        <is>
          <t>Informado</t>
        </is>
      </c>
      <c r="K1531" s="6" t="inlineStr">
        <is>
          <t>Demanda doméstica fixa informada pelo usuário.</t>
        </is>
      </c>
    </row>
    <row r="1532">
      <c r="A1532" s="6" t="inlineStr">
        <is>
          <t>Milho</t>
        </is>
      </c>
      <c r="B1532" s="6" t="inlineStr">
        <is>
          <t>Campo Grande - MS</t>
        </is>
      </c>
      <c r="C1532" s="6" t="n">
        <v>-20.4486</v>
      </c>
      <c r="D1532" s="6" t="n">
        <v>-54.6295</v>
      </c>
      <c r="E1532" s="6" t="inlineStr">
        <is>
          <t>2025-07</t>
        </is>
      </c>
      <c r="F1532" s="6" t="n">
        <v>198722.4514552057</v>
      </c>
      <c r="G1532" s="6" t="inlineStr">
        <is>
          <t>DOMESTICA</t>
        </is>
      </c>
      <c r="H1532" s="6" t="inlineStr">
        <is>
          <t>FIXO</t>
        </is>
      </c>
      <c r="I1532" s="11">
        <f>IF($H1532="AUTO_OFERTA_TOTAL_PRODUTO_PERIODO",SUMIFS(Oferta!$F:$F,Oferta!$A:$A,$A1532,Oferta!$E:$E,$E1532),$F1532)</f>
        <v/>
      </c>
      <c r="J1532" s="6" t="inlineStr">
        <is>
          <t>Informado</t>
        </is>
      </c>
      <c r="K1532" s="6" t="inlineStr">
        <is>
          <t>Demanda doméstica fixa informada pelo usuário.</t>
        </is>
      </c>
    </row>
    <row r="1533">
      <c r="A1533" s="6" t="inlineStr">
        <is>
          <t>Milho</t>
        </is>
      </c>
      <c r="B1533" s="6" t="inlineStr">
        <is>
          <t>Campo Grande - MS</t>
        </is>
      </c>
      <c r="C1533" s="6" t="n">
        <v>-20.4486</v>
      </c>
      <c r="D1533" s="6" t="n">
        <v>-54.6295</v>
      </c>
      <c r="E1533" s="6" t="inlineStr">
        <is>
          <t>2025-08</t>
        </is>
      </c>
      <c r="F1533" s="6" t="n">
        <v>224158.925241472</v>
      </c>
      <c r="G1533" s="6" t="inlineStr">
        <is>
          <t>DOMESTICA</t>
        </is>
      </c>
      <c r="H1533" s="6" t="inlineStr">
        <is>
          <t>FIXO</t>
        </is>
      </c>
      <c r="I1533" s="11">
        <f>IF($H1533="AUTO_OFERTA_TOTAL_PRODUTO_PERIODO",SUMIFS(Oferta!$F:$F,Oferta!$A:$A,$A1533,Oferta!$E:$E,$E1533),$F1533)</f>
        <v/>
      </c>
      <c r="J1533" s="6" t="inlineStr">
        <is>
          <t>Informado</t>
        </is>
      </c>
      <c r="K1533" s="6" t="inlineStr">
        <is>
          <t>Demanda doméstica fixa informada pelo usuário.</t>
        </is>
      </c>
    </row>
    <row r="1534">
      <c r="A1534" s="6" t="inlineStr">
        <is>
          <t>Milho</t>
        </is>
      </c>
      <c r="B1534" s="6" t="inlineStr">
        <is>
          <t>Campo Grande - MS</t>
        </is>
      </c>
      <c r="C1534" s="6" t="n">
        <v>-20.4486</v>
      </c>
      <c r="D1534" s="6" t="n">
        <v>-54.6295</v>
      </c>
      <c r="E1534" s="6" t="inlineStr">
        <is>
          <t>2025-09</t>
        </is>
      </c>
      <c r="F1534" s="6" t="n">
        <v>211440.6883483388</v>
      </c>
      <c r="G1534" s="6" t="inlineStr">
        <is>
          <t>DOMESTICA</t>
        </is>
      </c>
      <c r="H1534" s="6" t="inlineStr">
        <is>
          <t>FIXO</t>
        </is>
      </c>
      <c r="I1534" s="11">
        <f>IF($H1534="AUTO_OFERTA_TOTAL_PRODUTO_PERIODO",SUMIFS(Oferta!$F:$F,Oferta!$A:$A,$A1534,Oferta!$E:$E,$E1534),$F1534)</f>
        <v/>
      </c>
      <c r="J1534" s="6" t="inlineStr">
        <is>
          <t>Informado</t>
        </is>
      </c>
      <c r="K1534" s="6" t="inlineStr">
        <is>
          <t>Demanda doméstica fixa informada pelo usuário.</t>
        </is>
      </c>
    </row>
    <row r="1535">
      <c r="A1535" s="6" t="inlineStr">
        <is>
          <t>Milho</t>
        </is>
      </c>
      <c r="B1535" s="6" t="inlineStr">
        <is>
          <t>Campo Grande - MS</t>
        </is>
      </c>
      <c r="C1535" s="6" t="n">
        <v>-20.4486</v>
      </c>
      <c r="D1535" s="6" t="n">
        <v>-54.6295</v>
      </c>
      <c r="E1535" s="6" t="inlineStr">
        <is>
          <t>2025-10</t>
        </is>
      </c>
      <c r="F1535" s="6" t="n">
        <v>211440.6883483388</v>
      </c>
      <c r="G1535" s="6" t="inlineStr">
        <is>
          <t>DOMESTICA</t>
        </is>
      </c>
      <c r="H1535" s="6" t="inlineStr">
        <is>
          <t>FIXO</t>
        </is>
      </c>
      <c r="I1535" s="11">
        <f>IF($H1535="AUTO_OFERTA_TOTAL_PRODUTO_PERIODO",SUMIFS(Oferta!$F:$F,Oferta!$A:$A,$A1535,Oferta!$E:$E,$E1535),$F1535)</f>
        <v/>
      </c>
      <c r="J1535" s="6" t="inlineStr">
        <is>
          <t>Informado</t>
        </is>
      </c>
      <c r="K1535" s="6" t="inlineStr">
        <is>
          <t>Demanda doméstica fixa informada pelo usuário.</t>
        </is>
      </c>
    </row>
    <row r="1536">
      <c r="A1536" s="6" t="inlineStr">
        <is>
          <t>Milho</t>
        </is>
      </c>
      <c r="B1536" s="6" t="inlineStr">
        <is>
          <t>Campo Grande - MS</t>
        </is>
      </c>
      <c r="C1536" s="6" t="n">
        <v>-20.4486</v>
      </c>
      <c r="D1536" s="6" t="n">
        <v>-54.6295</v>
      </c>
      <c r="E1536" s="6" t="inlineStr">
        <is>
          <t>2025-11</t>
        </is>
      </c>
      <c r="F1536" s="6" t="n">
        <v>135131.2669895398</v>
      </c>
      <c r="G1536" s="6" t="inlineStr">
        <is>
          <t>DOMESTICA</t>
        </is>
      </c>
      <c r="H1536" s="6" t="inlineStr">
        <is>
          <t>FIXO</t>
        </is>
      </c>
      <c r="I1536" s="11">
        <f>IF($H1536="AUTO_OFERTA_TOTAL_PRODUTO_PERIODO",SUMIFS(Oferta!$F:$F,Oferta!$A:$A,$A1536,Oferta!$E:$E,$E1536),$F1536)</f>
        <v/>
      </c>
      <c r="J1536" s="6" t="inlineStr">
        <is>
          <t>Informado</t>
        </is>
      </c>
      <c r="K1536" s="6" t="inlineStr">
        <is>
          <t>Demanda doméstica fixa informada pelo usuário.</t>
        </is>
      </c>
    </row>
    <row r="1537">
      <c r="A1537" s="6" t="inlineStr">
        <is>
          <t>Milho</t>
        </is>
      </c>
      <c r="B1537" s="6" t="inlineStr">
        <is>
          <t>Campo Grande - MS</t>
        </is>
      </c>
      <c r="C1537" s="6" t="n">
        <v>-20.4486</v>
      </c>
      <c r="D1537" s="6" t="n">
        <v>-54.6295</v>
      </c>
      <c r="E1537" s="6" t="inlineStr">
        <is>
          <t>2025-12</t>
        </is>
      </c>
      <c r="F1537" s="6" t="n">
        <v>109694.7932032735</v>
      </c>
      <c r="G1537" s="6" t="inlineStr">
        <is>
          <t>DOMESTICA</t>
        </is>
      </c>
      <c r="H1537" s="6" t="inlineStr">
        <is>
          <t>FIXO</t>
        </is>
      </c>
      <c r="I1537" s="11">
        <f>IF($H1537="AUTO_OFERTA_TOTAL_PRODUTO_PERIODO",SUMIFS(Oferta!$F:$F,Oferta!$A:$A,$A1537,Oferta!$E:$E,$E1537),$F1537)</f>
        <v/>
      </c>
      <c r="J1537" s="6" t="inlineStr">
        <is>
          <t>Informado</t>
        </is>
      </c>
      <c r="K1537" s="6" t="inlineStr">
        <is>
          <t>Demanda doméstica fixa informada pelo usuário.</t>
        </is>
      </c>
    </row>
    <row r="1538">
      <c r="A1538" s="6" t="inlineStr">
        <is>
          <t>Milho</t>
        </is>
      </c>
      <c r="B1538" s="6" t="inlineStr">
        <is>
          <t>Vitória - ES</t>
        </is>
      </c>
      <c r="C1538" s="6" t="n">
        <v>-20.3155</v>
      </c>
      <c r="D1538" s="6" t="n">
        <v>-40.3128</v>
      </c>
      <c r="E1538" s="6" t="inlineStr">
        <is>
          <t>2025-01</t>
        </is>
      </c>
      <c r="F1538" s="6" t="n">
        <v>72491.0205710929</v>
      </c>
      <c r="G1538" s="6" t="inlineStr">
        <is>
          <t>DOMESTICA</t>
        </is>
      </c>
      <c r="H1538" s="6" t="inlineStr">
        <is>
          <t>FIXO</t>
        </is>
      </c>
      <c r="I1538" s="11">
        <f>IF($H1538="AUTO_OFERTA_TOTAL_PRODUTO_PERIODO",SUMIFS(Oferta!$F:$F,Oferta!$A:$A,$A1538,Oferta!$E:$E,$E1538),$F1538)</f>
        <v/>
      </c>
      <c r="J1538" s="6" t="inlineStr">
        <is>
          <t>Informado</t>
        </is>
      </c>
      <c r="K1538" s="6" t="inlineStr">
        <is>
          <t>Demanda doméstica fixa informada pelo usuário.</t>
        </is>
      </c>
    </row>
    <row r="1539">
      <c r="A1539" s="6" t="inlineStr">
        <is>
          <t>Milho</t>
        </is>
      </c>
      <c r="B1539" s="6" t="inlineStr">
        <is>
          <t>Vitória - ES</t>
        </is>
      </c>
      <c r="C1539" s="6" t="n">
        <v>-20.3155</v>
      </c>
      <c r="D1539" s="6" t="n">
        <v>-40.3128</v>
      </c>
      <c r="E1539" s="6" t="inlineStr">
        <is>
          <t>2025-02</t>
        </is>
      </c>
      <c r="F1539" s="6" t="n">
        <v>83433.0614120125</v>
      </c>
      <c r="G1539" s="6" t="inlineStr">
        <is>
          <t>DOMESTICA</t>
        </is>
      </c>
      <c r="H1539" s="6" t="inlineStr">
        <is>
          <t>FIXO</t>
        </is>
      </c>
      <c r="I1539" s="11">
        <f>IF($H1539="AUTO_OFERTA_TOTAL_PRODUTO_PERIODO",SUMIFS(Oferta!$F:$F,Oferta!$A:$A,$A1539,Oferta!$E:$E,$E1539),$F1539)</f>
        <v/>
      </c>
      <c r="J1539" s="6" t="inlineStr">
        <is>
          <t>Informado</t>
        </is>
      </c>
      <c r="K1539" s="6" t="inlineStr">
        <is>
          <t>Demanda doméstica fixa informada pelo usuário.</t>
        </is>
      </c>
    </row>
    <row r="1540">
      <c r="A1540" s="6" t="inlineStr">
        <is>
          <t>Milho</t>
        </is>
      </c>
      <c r="B1540" s="6" t="inlineStr">
        <is>
          <t>Vitória - ES</t>
        </is>
      </c>
      <c r="C1540" s="6" t="n">
        <v>-20.3155</v>
      </c>
      <c r="D1540" s="6" t="n">
        <v>-40.3128</v>
      </c>
      <c r="E1540" s="6" t="inlineStr">
        <is>
          <t>2025-03</t>
        </is>
      </c>
      <c r="F1540" s="6" t="n">
        <v>105317.1430938519</v>
      </c>
      <c r="G1540" s="6" t="inlineStr">
        <is>
          <t>DOMESTICA</t>
        </is>
      </c>
      <c r="H1540" s="6" t="inlineStr">
        <is>
          <t>FIXO</t>
        </is>
      </c>
      <c r="I1540" s="11">
        <f>IF($H1540="AUTO_OFERTA_TOTAL_PRODUTO_PERIODO",SUMIFS(Oferta!$F:$F,Oferta!$A:$A,$A1540,Oferta!$E:$E,$E1540),$F1540)</f>
        <v/>
      </c>
      <c r="J1540" s="6" t="inlineStr">
        <is>
          <t>Informado</t>
        </is>
      </c>
      <c r="K1540" s="6" t="inlineStr">
        <is>
          <t>Demanda doméstica fixa informada pelo usuário.</t>
        </is>
      </c>
    </row>
    <row r="1541">
      <c r="A1541" s="6" t="inlineStr">
        <is>
          <t>Milho</t>
        </is>
      </c>
      <c r="B1541" s="6" t="inlineStr">
        <is>
          <t>Vitória - ES</t>
        </is>
      </c>
      <c r="C1541" s="6" t="n">
        <v>-20.3155</v>
      </c>
      <c r="D1541" s="6" t="n">
        <v>-40.3128</v>
      </c>
      <c r="E1541" s="6" t="inlineStr">
        <is>
          <t>2025-04</t>
        </is>
      </c>
      <c r="F1541" s="6" t="n">
        <v>170969.3881393699</v>
      </c>
      <c r="G1541" s="6" t="inlineStr">
        <is>
          <t>DOMESTICA</t>
        </is>
      </c>
      <c r="H1541" s="6" t="inlineStr">
        <is>
          <t>FIXO</t>
        </is>
      </c>
      <c r="I1541" s="11">
        <f>IF($H1541="AUTO_OFERTA_TOTAL_PRODUTO_PERIODO",SUMIFS(Oferta!$F:$F,Oferta!$A:$A,$A1541,Oferta!$E:$E,$E1541),$F1541)</f>
        <v/>
      </c>
      <c r="J1541" s="6" t="inlineStr">
        <is>
          <t>Informado</t>
        </is>
      </c>
      <c r="K1541" s="6" t="inlineStr">
        <is>
          <t>Demanda doméstica fixa informada pelo usuário.</t>
        </is>
      </c>
    </row>
    <row r="1542">
      <c r="A1542" s="6" t="inlineStr">
        <is>
          <t>Milho</t>
        </is>
      </c>
      <c r="B1542" s="6" t="inlineStr">
        <is>
          <t>Vitória - ES</t>
        </is>
      </c>
      <c r="C1542" s="6" t="n">
        <v>-20.3155</v>
      </c>
      <c r="D1542" s="6" t="n">
        <v>-40.3128</v>
      </c>
      <c r="E1542" s="6" t="inlineStr">
        <is>
          <t>2025-05</t>
        </is>
      </c>
      <c r="F1542" s="6" t="n">
        <v>181911.4289802896</v>
      </c>
      <c r="G1542" s="6" t="inlineStr">
        <is>
          <t>DOMESTICA</t>
        </is>
      </c>
      <c r="H1542" s="6" t="inlineStr">
        <is>
          <t>FIXO</t>
        </is>
      </c>
      <c r="I1542" s="11">
        <f>IF($H1542="AUTO_OFERTA_TOTAL_PRODUTO_PERIODO",SUMIFS(Oferta!$F:$F,Oferta!$A:$A,$A1542,Oferta!$E:$E,$E1542),$F1542)</f>
        <v/>
      </c>
      <c r="J1542" s="6" t="inlineStr">
        <is>
          <t>Informado</t>
        </is>
      </c>
      <c r="K1542" s="6" t="inlineStr">
        <is>
          <t>Demanda doméstica fixa informada pelo usuário.</t>
        </is>
      </c>
    </row>
    <row r="1543">
      <c r="A1543" s="6" t="inlineStr">
        <is>
          <t>Milho</t>
        </is>
      </c>
      <c r="B1543" s="6" t="inlineStr">
        <is>
          <t>Vitória - ES</t>
        </is>
      </c>
      <c r="C1543" s="6" t="n">
        <v>-20.3155</v>
      </c>
      <c r="D1543" s="6" t="n">
        <v>-40.3128</v>
      </c>
      <c r="E1543" s="6" t="inlineStr">
        <is>
          <t>2025-06</t>
        </is>
      </c>
      <c r="F1543" s="6" t="n">
        <v>170969.3881393699</v>
      </c>
      <c r="G1543" s="6" t="inlineStr">
        <is>
          <t>DOMESTICA</t>
        </is>
      </c>
      <c r="H1543" s="6" t="inlineStr">
        <is>
          <t>FIXO</t>
        </is>
      </c>
      <c r="I1543" s="11">
        <f>IF($H1543="AUTO_OFERTA_TOTAL_PRODUTO_PERIODO",SUMIFS(Oferta!$F:$F,Oferta!$A:$A,$A1543,Oferta!$E:$E,$E1543),$F1543)</f>
        <v/>
      </c>
      <c r="J1543" s="6" t="inlineStr">
        <is>
          <t>Informado</t>
        </is>
      </c>
      <c r="K1543" s="6" t="inlineStr">
        <is>
          <t>Demanda doméstica fixa informada pelo usuário.</t>
        </is>
      </c>
    </row>
    <row r="1544">
      <c r="A1544" s="6" t="inlineStr">
        <is>
          <t>Milho</t>
        </is>
      </c>
      <c r="B1544" s="6" t="inlineStr">
        <is>
          <t>Vitória - ES</t>
        </is>
      </c>
      <c r="C1544" s="6" t="n">
        <v>-20.3155</v>
      </c>
      <c r="D1544" s="6" t="n">
        <v>-40.3128</v>
      </c>
      <c r="E1544" s="6" t="inlineStr">
        <is>
          <t>2025-07</t>
        </is>
      </c>
      <c r="F1544" s="6" t="n">
        <v>127201.2247756912</v>
      </c>
      <c r="G1544" s="6" t="inlineStr">
        <is>
          <t>DOMESTICA</t>
        </is>
      </c>
      <c r="H1544" s="6" t="inlineStr">
        <is>
          <t>FIXO</t>
        </is>
      </c>
      <c r="I1544" s="11">
        <f>IF($H1544="AUTO_OFERTA_TOTAL_PRODUTO_PERIODO",SUMIFS(Oferta!$F:$F,Oferta!$A:$A,$A1544,Oferta!$E:$E,$E1544),$F1544)</f>
        <v/>
      </c>
      <c r="J1544" s="6" t="inlineStr">
        <is>
          <t>Informado</t>
        </is>
      </c>
      <c r="K1544" s="6" t="inlineStr">
        <is>
          <t>Demanda doméstica fixa informada pelo usuário.</t>
        </is>
      </c>
    </row>
    <row r="1545">
      <c r="A1545" s="6" t="inlineStr">
        <is>
          <t>Milho</t>
        </is>
      </c>
      <c r="B1545" s="6" t="inlineStr">
        <is>
          <t>Vitória - ES</t>
        </is>
      </c>
      <c r="C1545" s="6" t="n">
        <v>-20.3155</v>
      </c>
      <c r="D1545" s="6" t="n">
        <v>-40.3128</v>
      </c>
      <c r="E1545" s="6" t="inlineStr">
        <is>
          <t>2025-08</t>
        </is>
      </c>
      <c r="F1545" s="6" t="n">
        <v>170969.3881393699</v>
      </c>
      <c r="G1545" s="6" t="inlineStr">
        <is>
          <t>DOMESTICA</t>
        </is>
      </c>
      <c r="H1545" s="6" t="inlineStr">
        <is>
          <t>FIXO</t>
        </is>
      </c>
      <c r="I1545" s="11">
        <f>IF($H1545="AUTO_OFERTA_TOTAL_PRODUTO_PERIODO",SUMIFS(Oferta!$F:$F,Oferta!$A:$A,$A1545,Oferta!$E:$E,$E1545),$F1545)</f>
        <v/>
      </c>
      <c r="J1545" s="6" t="inlineStr">
        <is>
          <t>Informado</t>
        </is>
      </c>
      <c r="K1545" s="6" t="inlineStr">
        <is>
          <t>Demanda doméstica fixa informada pelo usuário.</t>
        </is>
      </c>
    </row>
    <row r="1546">
      <c r="A1546" s="6" t="inlineStr">
        <is>
          <t>Milho</t>
        </is>
      </c>
      <c r="B1546" s="6" t="inlineStr">
        <is>
          <t>Vitória - ES</t>
        </is>
      </c>
      <c r="C1546" s="6" t="n">
        <v>-20.3155</v>
      </c>
      <c r="D1546" s="6" t="n">
        <v>-40.3128</v>
      </c>
      <c r="E1546" s="6" t="inlineStr">
        <is>
          <t>2025-09</t>
        </is>
      </c>
      <c r="F1546" s="6" t="n">
        <v>181911.4289802896</v>
      </c>
      <c r="G1546" s="6" t="inlineStr">
        <is>
          <t>DOMESTICA</t>
        </is>
      </c>
      <c r="H1546" s="6" t="inlineStr">
        <is>
          <t>FIXO</t>
        </is>
      </c>
      <c r="I1546" s="11">
        <f>IF($H1546="AUTO_OFERTA_TOTAL_PRODUTO_PERIODO",SUMIFS(Oferta!$F:$F,Oferta!$A:$A,$A1546,Oferta!$E:$E,$E1546),$F1546)</f>
        <v/>
      </c>
      <c r="J1546" s="6" t="inlineStr">
        <is>
          <t>Informado</t>
        </is>
      </c>
      <c r="K1546" s="6" t="inlineStr">
        <is>
          <t>Demanda doméstica fixa informada pelo usuário.</t>
        </is>
      </c>
    </row>
    <row r="1547">
      <c r="A1547" s="6" t="inlineStr">
        <is>
          <t>Milho</t>
        </is>
      </c>
      <c r="B1547" s="6" t="inlineStr">
        <is>
          <t>Vitória - ES</t>
        </is>
      </c>
      <c r="C1547" s="6" t="n">
        <v>-20.3155</v>
      </c>
      <c r="D1547" s="6" t="n">
        <v>-40.3128</v>
      </c>
      <c r="E1547" s="6" t="inlineStr">
        <is>
          <t>2025-10</t>
        </is>
      </c>
      <c r="F1547" s="6" t="n">
        <v>170969.3881393699</v>
      </c>
      <c r="G1547" s="6" t="inlineStr">
        <is>
          <t>DOMESTICA</t>
        </is>
      </c>
      <c r="H1547" s="6" t="inlineStr">
        <is>
          <t>FIXO</t>
        </is>
      </c>
      <c r="I1547" s="11">
        <f>IF($H1547="AUTO_OFERTA_TOTAL_PRODUTO_PERIODO",SUMIFS(Oferta!$F:$F,Oferta!$A:$A,$A1547,Oferta!$E:$E,$E1547),$F1547)</f>
        <v/>
      </c>
      <c r="J1547" s="6" t="inlineStr">
        <is>
          <t>Informado</t>
        </is>
      </c>
      <c r="K1547" s="6" t="inlineStr">
        <is>
          <t>Demanda doméstica fixa informada pelo usuário.</t>
        </is>
      </c>
    </row>
    <row r="1548">
      <c r="A1548" s="6" t="inlineStr">
        <is>
          <t>Milho</t>
        </is>
      </c>
      <c r="B1548" s="6" t="inlineStr">
        <is>
          <t>Vitória - ES</t>
        </is>
      </c>
      <c r="C1548" s="6" t="n">
        <v>-20.3155</v>
      </c>
      <c r="D1548" s="6" t="n">
        <v>-40.3128</v>
      </c>
      <c r="E1548" s="6" t="inlineStr">
        <is>
          <t>2025-11</t>
        </is>
      </c>
      <c r="F1548" s="6" t="n">
        <v>105317.1430938519</v>
      </c>
      <c r="G1548" s="6" t="inlineStr">
        <is>
          <t>DOMESTICA</t>
        </is>
      </c>
      <c r="H1548" s="6" t="inlineStr">
        <is>
          <t>FIXO</t>
        </is>
      </c>
      <c r="I1548" s="11">
        <f>IF($H1548="AUTO_OFERTA_TOTAL_PRODUTO_PERIODO",SUMIFS(Oferta!$F:$F,Oferta!$A:$A,$A1548,Oferta!$E:$E,$E1548),$F1548)</f>
        <v/>
      </c>
      <c r="J1548" s="6" t="inlineStr">
        <is>
          <t>Informado</t>
        </is>
      </c>
      <c r="K1548" s="6" t="inlineStr">
        <is>
          <t>Demanda doméstica fixa informada pelo usuário.</t>
        </is>
      </c>
    </row>
    <row r="1549">
      <c r="A1549" s="6" t="inlineStr">
        <is>
          <t>Milho</t>
        </is>
      </c>
      <c r="B1549" s="6" t="inlineStr">
        <is>
          <t>Vitória - ES</t>
        </is>
      </c>
      <c r="C1549" s="6" t="n">
        <v>-20.3155</v>
      </c>
      <c r="D1549" s="6" t="n">
        <v>-40.3128</v>
      </c>
      <c r="E1549" s="6" t="inlineStr">
        <is>
          <t>2025-12</t>
        </is>
      </c>
      <c r="F1549" s="6" t="n">
        <v>83433.0614120125</v>
      </c>
      <c r="G1549" s="6" t="inlineStr">
        <is>
          <t>DOMESTICA</t>
        </is>
      </c>
      <c r="H1549" s="6" t="inlineStr">
        <is>
          <t>FIXO</t>
        </is>
      </c>
      <c r="I1549" s="11">
        <f>IF($H1549="AUTO_OFERTA_TOTAL_PRODUTO_PERIODO",SUMIFS(Oferta!$F:$F,Oferta!$A:$A,$A1549,Oferta!$E:$E,$E1549),$F1549)</f>
        <v/>
      </c>
      <c r="J1549" s="6" t="inlineStr">
        <is>
          <t>Informado</t>
        </is>
      </c>
      <c r="K1549" s="6" t="inlineStr">
        <is>
          <t>Demanda doméstica fixa informada pelo usuário.</t>
        </is>
      </c>
    </row>
    <row r="1550">
      <c r="A1550" s="6" t="inlineStr">
        <is>
          <t>Milho</t>
        </is>
      </c>
      <c r="B1550" s="6" t="inlineStr">
        <is>
          <t>Belo Horizonte - MG</t>
        </is>
      </c>
      <c r="C1550" s="6" t="n">
        <v>-19.9102</v>
      </c>
      <c r="D1550" s="6" t="n">
        <v>-43.9266</v>
      </c>
      <c r="E1550" s="6" t="inlineStr">
        <is>
          <t>2025-01</t>
        </is>
      </c>
      <c r="F1550" s="6" t="n">
        <v>444887.8938641532</v>
      </c>
      <c r="G1550" s="6" t="inlineStr">
        <is>
          <t>DOMESTICA</t>
        </is>
      </c>
      <c r="H1550" s="6" t="inlineStr">
        <is>
          <t>FIXO</t>
        </is>
      </c>
      <c r="I1550" s="11">
        <f>IF($H1550="AUTO_OFERTA_TOTAL_PRODUTO_PERIODO",SUMIFS(Oferta!$F:$F,Oferta!$A:$A,$A1550,Oferta!$E:$E,$E1550),$F1550)</f>
        <v/>
      </c>
      <c r="J1550" s="6" t="inlineStr">
        <is>
          <t>Informado</t>
        </is>
      </c>
      <c r="K1550" s="6" t="inlineStr">
        <is>
          <t>Demanda doméstica fixa informada pelo usuário.</t>
        </is>
      </c>
    </row>
    <row r="1551">
      <c r="A1551" s="6" t="inlineStr">
        <is>
          <t>Milho</t>
        </is>
      </c>
      <c r="B1551" s="6" t="inlineStr">
        <is>
          <t>Belo Horizonte - MG</t>
        </is>
      </c>
      <c r="C1551" s="6" t="n">
        <v>-19.9102</v>
      </c>
      <c r="D1551" s="6" t="n">
        <v>-43.9266</v>
      </c>
      <c r="E1551" s="6" t="inlineStr">
        <is>
          <t>2025-02</t>
        </is>
      </c>
      <c r="F1551" s="6" t="n">
        <v>444887.8938641532</v>
      </c>
      <c r="G1551" s="6" t="inlineStr">
        <is>
          <t>DOMESTICA</t>
        </is>
      </c>
      <c r="H1551" s="6" t="inlineStr">
        <is>
          <t>FIXO</t>
        </is>
      </c>
      <c r="I1551" s="11">
        <f>IF($H1551="AUTO_OFERTA_TOTAL_PRODUTO_PERIODO",SUMIFS(Oferta!$F:$F,Oferta!$A:$A,$A1551,Oferta!$E:$E,$E1551),$F1551)</f>
        <v/>
      </c>
      <c r="J1551" s="6" t="inlineStr">
        <is>
          <t>Informado</t>
        </is>
      </c>
      <c r="K1551" s="6" t="inlineStr">
        <is>
          <t>Demanda doméstica fixa informada pelo usuário.</t>
        </is>
      </c>
    </row>
    <row r="1552">
      <c r="A1552" s="6" t="inlineStr">
        <is>
          <t>Milho</t>
        </is>
      </c>
      <c r="B1552" s="6" t="inlineStr">
        <is>
          <t>Belo Horizonte - MG</t>
        </is>
      </c>
      <c r="C1552" s="6" t="n">
        <v>-19.9102</v>
      </c>
      <c r="D1552" s="6" t="n">
        <v>-43.9266</v>
      </c>
      <c r="E1552" s="6" t="inlineStr">
        <is>
          <t>2025-03</t>
        </is>
      </c>
      <c r="F1552" s="6" t="n">
        <v>512040.7835040253</v>
      </c>
      <c r="G1552" s="6" t="inlineStr">
        <is>
          <t>DOMESTICA</t>
        </is>
      </c>
      <c r="H1552" s="6" t="inlineStr">
        <is>
          <t>FIXO</t>
        </is>
      </c>
      <c r="I1552" s="11">
        <f>IF($H1552="AUTO_OFERTA_TOTAL_PRODUTO_PERIODO",SUMIFS(Oferta!$F:$F,Oferta!$A:$A,$A1552,Oferta!$E:$E,$E1552),$F1552)</f>
        <v/>
      </c>
      <c r="J1552" s="6" t="inlineStr">
        <is>
          <t>Informado</t>
        </is>
      </c>
      <c r="K1552" s="6" t="inlineStr">
        <is>
          <t>Demanda doméstica fixa informada pelo usuário.</t>
        </is>
      </c>
    </row>
    <row r="1553">
      <c r="A1553" s="6" t="inlineStr">
        <is>
          <t>Milho</t>
        </is>
      </c>
      <c r="B1553" s="6" t="inlineStr">
        <is>
          <t>Belo Horizonte - MG</t>
        </is>
      </c>
      <c r="C1553" s="6" t="n">
        <v>-19.9102</v>
      </c>
      <c r="D1553" s="6" t="n">
        <v>-43.9266</v>
      </c>
      <c r="E1553" s="6" t="inlineStr">
        <is>
          <t>2025-04</t>
        </is>
      </c>
      <c r="F1553" s="6" t="n">
        <v>646346.5627837698</v>
      </c>
      <c r="G1553" s="6" t="inlineStr">
        <is>
          <t>DOMESTICA</t>
        </is>
      </c>
      <c r="H1553" s="6" t="inlineStr">
        <is>
          <t>FIXO</t>
        </is>
      </c>
      <c r="I1553" s="11">
        <f>IF($H1553="AUTO_OFERTA_TOTAL_PRODUTO_PERIODO",SUMIFS(Oferta!$F:$F,Oferta!$A:$A,$A1553,Oferta!$E:$E,$E1553),$F1553)</f>
        <v/>
      </c>
      <c r="J1553" s="6" t="inlineStr">
        <is>
          <t>Informado</t>
        </is>
      </c>
      <c r="K1553" s="6" t="inlineStr">
        <is>
          <t>Demanda doméstica fixa informada pelo usuário.</t>
        </is>
      </c>
    </row>
    <row r="1554">
      <c r="A1554" s="6" t="inlineStr">
        <is>
          <t>Milho</t>
        </is>
      </c>
      <c r="B1554" s="6" t="inlineStr">
        <is>
          <t>Belo Horizonte - MG</t>
        </is>
      </c>
      <c r="C1554" s="6" t="n">
        <v>-19.9102</v>
      </c>
      <c r="D1554" s="6" t="n">
        <v>-43.9266</v>
      </c>
      <c r="E1554" s="6" t="inlineStr">
        <is>
          <t>2025-05</t>
        </is>
      </c>
      <c r="F1554" s="6" t="n">
        <v>914958.1213432584</v>
      </c>
      <c r="G1554" s="6" t="inlineStr">
        <is>
          <t>DOMESTICA</t>
        </is>
      </c>
      <c r="H1554" s="6" t="inlineStr">
        <is>
          <t>FIXO</t>
        </is>
      </c>
      <c r="I1554" s="11">
        <f>IF($H1554="AUTO_OFERTA_TOTAL_PRODUTO_PERIODO",SUMIFS(Oferta!$F:$F,Oferta!$A:$A,$A1554,Oferta!$E:$E,$E1554),$F1554)</f>
        <v/>
      </c>
      <c r="J1554" s="6" t="inlineStr">
        <is>
          <t>Informado</t>
        </is>
      </c>
      <c r="K1554" s="6" t="inlineStr">
        <is>
          <t>Demanda doméstica fixa informada pelo usuário.</t>
        </is>
      </c>
    </row>
    <row r="1555">
      <c r="A1555" s="6" t="inlineStr">
        <is>
          <t>Milho</t>
        </is>
      </c>
      <c r="B1555" s="6" t="inlineStr">
        <is>
          <t>Belo Horizonte - MG</t>
        </is>
      </c>
      <c r="C1555" s="6" t="n">
        <v>-19.9102</v>
      </c>
      <c r="D1555" s="6" t="n">
        <v>-43.9266</v>
      </c>
      <c r="E1555" s="6" t="inlineStr">
        <is>
          <t>2025-06</t>
        </is>
      </c>
      <c r="F1555" s="6" t="n">
        <v>1183569.679902747</v>
      </c>
      <c r="G1555" s="6" t="inlineStr">
        <is>
          <t>DOMESTICA</t>
        </is>
      </c>
      <c r="H1555" s="6" t="inlineStr">
        <is>
          <t>FIXO</t>
        </is>
      </c>
      <c r="I1555" s="11">
        <f>IF($H1555="AUTO_OFERTA_TOTAL_PRODUTO_PERIODO",SUMIFS(Oferta!$F:$F,Oferta!$A:$A,$A1555,Oferta!$E:$E,$E1555),$F1555)</f>
        <v/>
      </c>
      <c r="J1555" s="6" t="inlineStr">
        <is>
          <t>Informado</t>
        </is>
      </c>
      <c r="K1555" s="6" t="inlineStr">
        <is>
          <t>Demanda doméstica fixa informada pelo usuário.</t>
        </is>
      </c>
    </row>
    <row r="1556">
      <c r="A1556" s="6" t="inlineStr">
        <is>
          <t>Milho</t>
        </is>
      </c>
      <c r="B1556" s="6" t="inlineStr">
        <is>
          <t>Belo Horizonte - MG</t>
        </is>
      </c>
      <c r="C1556" s="6" t="n">
        <v>-19.9102</v>
      </c>
      <c r="D1556" s="6" t="n">
        <v>-43.9266</v>
      </c>
      <c r="E1556" s="6" t="inlineStr">
        <is>
          <t>2025-07</t>
        </is>
      </c>
      <c r="F1556" s="6" t="n">
        <v>1317875.459182492</v>
      </c>
      <c r="G1556" s="6" t="inlineStr">
        <is>
          <t>DOMESTICA</t>
        </is>
      </c>
      <c r="H1556" s="6" t="inlineStr">
        <is>
          <t>FIXO</t>
        </is>
      </c>
      <c r="I1556" s="11">
        <f>IF($H1556="AUTO_OFERTA_TOTAL_PRODUTO_PERIODO",SUMIFS(Oferta!$F:$F,Oferta!$A:$A,$A1556,Oferta!$E:$E,$E1556),$F1556)</f>
        <v/>
      </c>
      <c r="J1556" s="6" t="inlineStr">
        <is>
          <t>Informado</t>
        </is>
      </c>
      <c r="K1556" s="6" t="inlineStr">
        <is>
          <t>Demanda doméstica fixa informada pelo usuário.</t>
        </is>
      </c>
    </row>
    <row r="1557">
      <c r="A1557" s="6" t="inlineStr">
        <is>
          <t>Milho</t>
        </is>
      </c>
      <c r="B1557" s="6" t="inlineStr">
        <is>
          <t>Belo Horizonte - MG</t>
        </is>
      </c>
      <c r="C1557" s="6" t="n">
        <v>-19.9102</v>
      </c>
      <c r="D1557" s="6" t="n">
        <v>-43.9266</v>
      </c>
      <c r="E1557" s="6" t="inlineStr">
        <is>
          <t>2025-08</t>
        </is>
      </c>
      <c r="F1557" s="6" t="n">
        <v>1452181.238462236</v>
      </c>
      <c r="G1557" s="6" t="inlineStr">
        <is>
          <t>DOMESTICA</t>
        </is>
      </c>
      <c r="H1557" s="6" t="inlineStr">
        <is>
          <t>FIXO</t>
        </is>
      </c>
      <c r="I1557" s="11">
        <f>IF($H1557="AUTO_OFERTA_TOTAL_PRODUTO_PERIODO",SUMIFS(Oferta!$F:$F,Oferta!$A:$A,$A1557,Oferta!$E:$E,$E1557),$F1557)</f>
        <v/>
      </c>
      <c r="J1557" s="6" t="inlineStr">
        <is>
          <t>Informado</t>
        </is>
      </c>
      <c r="K1557" s="6" t="inlineStr">
        <is>
          <t>Demanda doméstica fixa informada pelo usuário.</t>
        </is>
      </c>
    </row>
    <row r="1558">
      <c r="A1558" s="6" t="inlineStr">
        <is>
          <t>Milho</t>
        </is>
      </c>
      <c r="B1558" s="6" t="inlineStr">
        <is>
          <t>Belo Horizonte - MG</t>
        </is>
      </c>
      <c r="C1558" s="6" t="n">
        <v>-19.9102</v>
      </c>
      <c r="D1558" s="6" t="n">
        <v>-43.9266</v>
      </c>
      <c r="E1558" s="6" t="inlineStr">
        <is>
          <t>2025-09</t>
        </is>
      </c>
      <c r="F1558" s="6" t="n">
        <v>1250722.569542619</v>
      </c>
      <c r="G1558" s="6" t="inlineStr">
        <is>
          <t>DOMESTICA</t>
        </is>
      </c>
      <c r="H1558" s="6" t="inlineStr">
        <is>
          <t>FIXO</t>
        </is>
      </c>
      <c r="I1558" s="11">
        <f>IF($H1558="AUTO_OFERTA_TOTAL_PRODUTO_PERIODO",SUMIFS(Oferta!$F:$F,Oferta!$A:$A,$A1558,Oferta!$E:$E,$E1558),$F1558)</f>
        <v/>
      </c>
      <c r="J1558" s="6" t="inlineStr">
        <is>
          <t>Informado</t>
        </is>
      </c>
      <c r="K1558" s="6" t="inlineStr">
        <is>
          <t>Demanda doméstica fixa informada pelo usuário.</t>
        </is>
      </c>
    </row>
    <row r="1559">
      <c r="A1559" s="6" t="inlineStr">
        <is>
          <t>Milho</t>
        </is>
      </c>
      <c r="B1559" s="6" t="inlineStr">
        <is>
          <t>Belo Horizonte - MG</t>
        </is>
      </c>
      <c r="C1559" s="6" t="n">
        <v>-19.9102</v>
      </c>
      <c r="D1559" s="6" t="n">
        <v>-43.9266</v>
      </c>
      <c r="E1559" s="6" t="inlineStr">
        <is>
          <t>2025-10</t>
        </is>
      </c>
      <c r="F1559" s="6" t="n">
        <v>1049263.900623003</v>
      </c>
      <c r="G1559" s="6" t="inlineStr">
        <is>
          <t>DOMESTICA</t>
        </is>
      </c>
      <c r="H1559" s="6" t="inlineStr">
        <is>
          <t>FIXO</t>
        </is>
      </c>
      <c r="I1559" s="11">
        <f>IF($H1559="AUTO_OFERTA_TOTAL_PRODUTO_PERIODO",SUMIFS(Oferta!$F:$F,Oferta!$A:$A,$A1559,Oferta!$E:$E,$E1559),$F1559)</f>
        <v/>
      </c>
      <c r="J1559" s="6" t="inlineStr">
        <is>
          <t>Informado</t>
        </is>
      </c>
      <c r="K1559" s="6" t="inlineStr">
        <is>
          <t>Demanda doméstica fixa informada pelo usuário.</t>
        </is>
      </c>
    </row>
    <row r="1560">
      <c r="A1560" s="6" t="inlineStr">
        <is>
          <t>Milho</t>
        </is>
      </c>
      <c r="B1560" s="6" t="inlineStr">
        <is>
          <t>Belo Horizonte - MG</t>
        </is>
      </c>
      <c r="C1560" s="6" t="n">
        <v>-19.9102</v>
      </c>
      <c r="D1560" s="6" t="n">
        <v>-43.9266</v>
      </c>
      <c r="E1560" s="6" t="inlineStr">
        <is>
          <t>2025-11</t>
        </is>
      </c>
      <c r="F1560" s="6" t="n">
        <v>646346.5627837697</v>
      </c>
      <c r="G1560" s="6" t="inlineStr">
        <is>
          <t>DOMESTICA</t>
        </is>
      </c>
      <c r="H1560" s="6" t="inlineStr">
        <is>
          <t>FIXO</t>
        </is>
      </c>
      <c r="I1560" s="11">
        <f>IF($H1560="AUTO_OFERTA_TOTAL_PRODUTO_PERIODO",SUMIFS(Oferta!$F:$F,Oferta!$A:$A,$A1560,Oferta!$E:$E,$E1560),$F1560)</f>
        <v/>
      </c>
      <c r="J1560" s="6" t="inlineStr">
        <is>
          <t>Informado</t>
        </is>
      </c>
      <c r="K1560" s="6" t="inlineStr">
        <is>
          <t>Demanda doméstica fixa informada pelo usuário.</t>
        </is>
      </c>
    </row>
    <row r="1561">
      <c r="A1561" s="6" t="inlineStr">
        <is>
          <t>Milho</t>
        </is>
      </c>
      <c r="B1561" s="6" t="inlineStr">
        <is>
          <t>Belo Horizonte - MG</t>
        </is>
      </c>
      <c r="C1561" s="6" t="n">
        <v>-19.9102</v>
      </c>
      <c r="D1561" s="6" t="n">
        <v>-43.9266</v>
      </c>
      <c r="E1561" s="6" t="inlineStr">
        <is>
          <t>2025-12</t>
        </is>
      </c>
      <c r="F1561" s="6" t="n">
        <v>512040.7835040254</v>
      </c>
      <c r="G1561" s="6" t="inlineStr">
        <is>
          <t>DOMESTICA</t>
        </is>
      </c>
      <c r="H1561" s="6" t="inlineStr">
        <is>
          <t>FIXO</t>
        </is>
      </c>
      <c r="I1561" s="11">
        <f>IF($H1561="AUTO_OFERTA_TOTAL_PRODUTO_PERIODO",SUMIFS(Oferta!$F:$F,Oferta!$A:$A,$A1561,Oferta!$E:$E,$E1561),$F1561)</f>
        <v/>
      </c>
      <c r="J1561" s="6" t="inlineStr">
        <is>
          <t>Informado</t>
        </is>
      </c>
      <c r="K1561" s="6" t="inlineStr">
        <is>
          <t>Demanda doméstica fixa informada pelo usuário.</t>
        </is>
      </c>
    </row>
    <row r="1562">
      <c r="A1562" s="6" t="inlineStr">
        <is>
          <t>Milho</t>
        </is>
      </c>
      <c r="B1562" s="6" t="inlineStr">
        <is>
          <t>Rio de Janeiro - RJ</t>
        </is>
      </c>
      <c r="C1562" s="6" t="n">
        <v>-22.9129</v>
      </c>
      <c r="D1562" s="6" t="n">
        <v>-43.2003</v>
      </c>
      <c r="E1562" s="6" t="inlineStr">
        <is>
          <t>2025-01</t>
        </is>
      </c>
      <c r="F1562" s="6" t="n">
        <v>128841.0870444256</v>
      </c>
      <c r="G1562" s="6" t="inlineStr">
        <is>
          <t>DOMESTICA</t>
        </is>
      </c>
      <c r="H1562" s="6" t="inlineStr">
        <is>
          <t>FIXO</t>
        </is>
      </c>
      <c r="I1562" s="11">
        <f>IF($H1562="AUTO_OFERTA_TOTAL_PRODUTO_PERIODO",SUMIFS(Oferta!$F:$F,Oferta!$A:$A,$A1562,Oferta!$E:$E,$E1562),$F1562)</f>
        <v/>
      </c>
      <c r="J1562" s="6" t="inlineStr">
        <is>
          <t>Informado</t>
        </is>
      </c>
      <c r="K1562" s="6" t="inlineStr">
        <is>
          <t>Demanda doméstica fixa informada pelo usuário.</t>
        </is>
      </c>
    </row>
    <row r="1563">
      <c r="A1563" s="6" t="inlineStr">
        <is>
          <t>Milho</t>
        </is>
      </c>
      <c r="B1563" s="6" t="inlineStr">
        <is>
          <t>Rio de Janeiro - RJ</t>
        </is>
      </c>
      <c r="C1563" s="6" t="n">
        <v>-22.9129</v>
      </c>
      <c r="D1563" s="6" t="n">
        <v>-43.2003</v>
      </c>
      <c r="E1563" s="6" t="inlineStr">
        <is>
          <t>2025-02</t>
        </is>
      </c>
      <c r="F1563" s="6" t="n">
        <v>128841.0870444256</v>
      </c>
      <c r="G1563" s="6" t="inlineStr">
        <is>
          <t>DOMESTICA</t>
        </is>
      </c>
      <c r="H1563" s="6" t="inlineStr">
        <is>
          <t>FIXO</t>
        </is>
      </c>
      <c r="I1563" s="11">
        <f>IF($H1563="AUTO_OFERTA_TOTAL_PRODUTO_PERIODO",SUMIFS(Oferta!$F:$F,Oferta!$A:$A,$A1563,Oferta!$E:$E,$E1563),$F1563)</f>
        <v/>
      </c>
      <c r="J1563" s="6" t="inlineStr">
        <is>
          <t>Informado</t>
        </is>
      </c>
      <c r="K1563" s="6" t="inlineStr">
        <is>
          <t>Demanda doméstica fixa informada pelo usuário.</t>
        </is>
      </c>
    </row>
    <row r="1564">
      <c r="A1564" s="6" t="inlineStr">
        <is>
          <t>Milho</t>
        </is>
      </c>
      <c r="B1564" s="6" t="inlineStr">
        <is>
          <t>Rio de Janeiro - RJ</t>
        </is>
      </c>
      <c r="C1564" s="6" t="n">
        <v>-22.9129</v>
      </c>
      <c r="D1564" s="6" t="n">
        <v>-43.2003</v>
      </c>
      <c r="E1564" s="6" t="inlineStr">
        <is>
          <t>2025-03</t>
        </is>
      </c>
      <c r="F1564" s="6" t="n">
        <v>167736.5095484031</v>
      </c>
      <c r="G1564" s="6" t="inlineStr">
        <is>
          <t>DOMESTICA</t>
        </is>
      </c>
      <c r="H1564" s="6" t="inlineStr">
        <is>
          <t>FIXO</t>
        </is>
      </c>
      <c r="I1564" s="11">
        <f>IF($H1564="AUTO_OFERTA_TOTAL_PRODUTO_PERIODO",SUMIFS(Oferta!$F:$F,Oferta!$A:$A,$A1564,Oferta!$E:$E,$E1564),$F1564)</f>
        <v/>
      </c>
      <c r="J1564" s="6" t="inlineStr">
        <is>
          <t>Informado</t>
        </is>
      </c>
      <c r="K1564" s="6" t="inlineStr">
        <is>
          <t>Demanda doméstica fixa informada pelo usuário.</t>
        </is>
      </c>
    </row>
    <row r="1565">
      <c r="A1565" s="6" t="inlineStr">
        <is>
          <t>Milho</t>
        </is>
      </c>
      <c r="B1565" s="6" t="inlineStr">
        <is>
          <t>Rio de Janeiro - RJ</t>
        </is>
      </c>
      <c r="C1565" s="6" t="n">
        <v>-22.9129</v>
      </c>
      <c r="D1565" s="6" t="n">
        <v>-43.2003</v>
      </c>
      <c r="E1565" s="6" t="inlineStr">
        <is>
          <t>2025-04</t>
        </is>
      </c>
      <c r="F1565" s="6" t="n">
        <v>245527.3545563581</v>
      </c>
      <c r="G1565" s="6" t="inlineStr">
        <is>
          <t>DOMESTICA</t>
        </is>
      </c>
      <c r="H1565" s="6" t="inlineStr">
        <is>
          <t>FIXO</t>
        </is>
      </c>
      <c r="I1565" s="11">
        <f>IF($H1565="AUTO_OFERTA_TOTAL_PRODUTO_PERIODO",SUMIFS(Oferta!$F:$F,Oferta!$A:$A,$A1565,Oferta!$E:$E,$E1565),$F1565)</f>
        <v/>
      </c>
      <c r="J1565" s="6" t="inlineStr">
        <is>
          <t>Informado</t>
        </is>
      </c>
      <c r="K1565" s="6" t="inlineStr">
        <is>
          <t>Demanda doméstica fixa informada pelo usuário.</t>
        </is>
      </c>
    </row>
    <row r="1566">
      <c r="A1566" s="6" t="inlineStr">
        <is>
          <t>Milho</t>
        </is>
      </c>
      <c r="B1566" s="6" t="inlineStr">
        <is>
          <t>Rio de Janeiro - RJ</t>
        </is>
      </c>
      <c r="C1566" s="6" t="n">
        <v>-22.9129</v>
      </c>
      <c r="D1566" s="6" t="n">
        <v>-43.2003</v>
      </c>
      <c r="E1566" s="6" t="inlineStr">
        <is>
          <t>2025-05</t>
        </is>
      </c>
      <c r="F1566" s="6" t="n">
        <v>323318.1995643132</v>
      </c>
      <c r="G1566" s="6" t="inlineStr">
        <is>
          <t>DOMESTICA</t>
        </is>
      </c>
      <c r="H1566" s="6" t="inlineStr">
        <is>
          <t>FIXO</t>
        </is>
      </c>
      <c r="I1566" s="11">
        <f>IF($H1566="AUTO_OFERTA_TOTAL_PRODUTO_PERIODO",SUMIFS(Oferta!$F:$F,Oferta!$A:$A,$A1566,Oferta!$E:$E,$E1566),$F1566)</f>
        <v/>
      </c>
      <c r="J1566" s="6" t="inlineStr">
        <is>
          <t>Informado</t>
        </is>
      </c>
      <c r="K1566" s="6" t="inlineStr">
        <is>
          <t>Demanda doméstica fixa informada pelo usuário.</t>
        </is>
      </c>
    </row>
    <row r="1567">
      <c r="A1567" s="6" t="inlineStr">
        <is>
          <t>Milho</t>
        </is>
      </c>
      <c r="B1567" s="6" t="inlineStr">
        <is>
          <t>Rio de Janeiro - RJ</t>
        </is>
      </c>
      <c r="C1567" s="6" t="n">
        <v>-22.9129</v>
      </c>
      <c r="D1567" s="6" t="n">
        <v>-43.2003</v>
      </c>
      <c r="E1567" s="6" t="inlineStr">
        <is>
          <t>2025-06</t>
        </is>
      </c>
      <c r="F1567" s="6" t="n">
        <v>323318.1995643132</v>
      </c>
      <c r="G1567" s="6" t="inlineStr">
        <is>
          <t>DOMESTICA</t>
        </is>
      </c>
      <c r="H1567" s="6" t="inlineStr">
        <is>
          <t>FIXO</t>
        </is>
      </c>
      <c r="I1567" s="11">
        <f>IF($H1567="AUTO_OFERTA_TOTAL_PRODUTO_PERIODO",SUMIFS(Oferta!$F:$F,Oferta!$A:$A,$A1567,Oferta!$E:$E,$E1567),$F1567)</f>
        <v/>
      </c>
      <c r="J1567" s="6" t="inlineStr">
        <is>
          <t>Informado</t>
        </is>
      </c>
      <c r="K1567" s="6" t="inlineStr">
        <is>
          <t>Demanda doméstica fixa informada pelo usuário.</t>
        </is>
      </c>
    </row>
    <row r="1568">
      <c r="A1568" s="6" t="inlineStr">
        <is>
          <t>Milho</t>
        </is>
      </c>
      <c r="B1568" s="6" t="inlineStr">
        <is>
          <t>Rio de Janeiro - RJ</t>
        </is>
      </c>
      <c r="C1568" s="6" t="n">
        <v>-22.9129</v>
      </c>
      <c r="D1568" s="6" t="n">
        <v>-43.2003</v>
      </c>
      <c r="E1568" s="6" t="inlineStr">
        <is>
          <t>2025-07</t>
        </is>
      </c>
      <c r="F1568" s="6" t="n">
        <v>284422.7770603356</v>
      </c>
      <c r="G1568" s="6" t="inlineStr">
        <is>
          <t>DOMESTICA</t>
        </is>
      </c>
      <c r="H1568" s="6" t="inlineStr">
        <is>
          <t>FIXO</t>
        </is>
      </c>
      <c r="I1568" s="11">
        <f>IF($H1568="AUTO_OFERTA_TOTAL_PRODUTO_PERIODO",SUMIFS(Oferta!$F:$F,Oferta!$A:$A,$A1568,Oferta!$E:$E,$E1568),$F1568)</f>
        <v/>
      </c>
      <c r="J1568" s="6" t="inlineStr">
        <is>
          <t>Informado</t>
        </is>
      </c>
      <c r="K1568" s="6" t="inlineStr">
        <is>
          <t>Demanda doméstica fixa informada pelo usuário.</t>
        </is>
      </c>
    </row>
    <row r="1569">
      <c r="A1569" s="6" t="inlineStr">
        <is>
          <t>Milho</t>
        </is>
      </c>
      <c r="B1569" s="6" t="inlineStr">
        <is>
          <t>Rio de Janeiro - RJ</t>
        </is>
      </c>
      <c r="C1569" s="6" t="n">
        <v>-22.9129</v>
      </c>
      <c r="D1569" s="6" t="n">
        <v>-43.2003</v>
      </c>
      <c r="E1569" s="6" t="inlineStr">
        <is>
          <t>2025-08</t>
        </is>
      </c>
      <c r="F1569" s="6" t="n">
        <v>323318.1995643132</v>
      </c>
      <c r="G1569" s="6" t="inlineStr">
        <is>
          <t>DOMESTICA</t>
        </is>
      </c>
      <c r="H1569" s="6" t="inlineStr">
        <is>
          <t>FIXO</t>
        </is>
      </c>
      <c r="I1569" s="11">
        <f>IF($H1569="AUTO_OFERTA_TOTAL_PRODUTO_PERIODO",SUMIFS(Oferta!$F:$F,Oferta!$A:$A,$A1569,Oferta!$E:$E,$E1569),$F1569)</f>
        <v/>
      </c>
      <c r="J1569" s="6" t="inlineStr">
        <is>
          <t>Informado</t>
        </is>
      </c>
      <c r="K1569" s="6" t="inlineStr">
        <is>
          <t>Demanda doméstica fixa informada pelo usuário.</t>
        </is>
      </c>
    </row>
    <row r="1570">
      <c r="A1570" s="6" t="inlineStr">
        <is>
          <t>Milho</t>
        </is>
      </c>
      <c r="B1570" s="6" t="inlineStr">
        <is>
          <t>Rio de Janeiro - RJ</t>
        </is>
      </c>
      <c r="C1570" s="6" t="n">
        <v>-22.9129</v>
      </c>
      <c r="D1570" s="6" t="n">
        <v>-43.2003</v>
      </c>
      <c r="E1570" s="6" t="inlineStr">
        <is>
          <t>2025-09</t>
        </is>
      </c>
      <c r="F1570" s="6" t="n">
        <v>323318.1995643132</v>
      </c>
      <c r="G1570" s="6" t="inlineStr">
        <is>
          <t>DOMESTICA</t>
        </is>
      </c>
      <c r="H1570" s="6" t="inlineStr">
        <is>
          <t>FIXO</t>
        </is>
      </c>
      <c r="I1570" s="11">
        <f>IF($H1570="AUTO_OFERTA_TOTAL_PRODUTO_PERIODO",SUMIFS(Oferta!$F:$F,Oferta!$A:$A,$A1570,Oferta!$E:$E,$E1570),$F1570)</f>
        <v/>
      </c>
      <c r="J1570" s="6" t="inlineStr">
        <is>
          <t>Informado</t>
        </is>
      </c>
      <c r="K1570" s="6" t="inlineStr">
        <is>
          <t>Demanda doméstica fixa informada pelo usuário.</t>
        </is>
      </c>
    </row>
    <row r="1571">
      <c r="A1571" s="6" t="inlineStr">
        <is>
          <t>Milho</t>
        </is>
      </c>
      <c r="B1571" s="6" t="inlineStr">
        <is>
          <t>Rio de Janeiro - RJ</t>
        </is>
      </c>
      <c r="C1571" s="6" t="n">
        <v>-22.9129</v>
      </c>
      <c r="D1571" s="6" t="n">
        <v>-43.2003</v>
      </c>
      <c r="E1571" s="6" t="inlineStr">
        <is>
          <t>2025-10</t>
        </is>
      </c>
      <c r="F1571" s="6" t="n">
        <v>284422.7770603356</v>
      </c>
      <c r="G1571" s="6" t="inlineStr">
        <is>
          <t>DOMESTICA</t>
        </is>
      </c>
      <c r="H1571" s="6" t="inlineStr">
        <is>
          <t>FIXO</t>
        </is>
      </c>
      <c r="I1571" s="11">
        <f>IF($H1571="AUTO_OFERTA_TOTAL_PRODUTO_PERIODO",SUMIFS(Oferta!$F:$F,Oferta!$A:$A,$A1571,Oferta!$E:$E,$E1571),$F1571)</f>
        <v/>
      </c>
      <c r="J1571" s="6" t="inlineStr">
        <is>
          <t>Informado</t>
        </is>
      </c>
      <c r="K1571" s="6" t="inlineStr">
        <is>
          <t>Demanda doméstica fixa informada pelo usuário.</t>
        </is>
      </c>
    </row>
    <row r="1572">
      <c r="A1572" s="6" t="inlineStr">
        <is>
          <t>Milho</t>
        </is>
      </c>
      <c r="B1572" s="6" t="inlineStr">
        <is>
          <t>Rio de Janeiro - RJ</t>
        </is>
      </c>
      <c r="C1572" s="6" t="n">
        <v>-22.9129</v>
      </c>
      <c r="D1572" s="6" t="n">
        <v>-43.2003</v>
      </c>
      <c r="E1572" s="6" t="inlineStr">
        <is>
          <t>2025-11</t>
        </is>
      </c>
      <c r="F1572" s="6" t="n">
        <v>167736.5095484031</v>
      </c>
      <c r="G1572" s="6" t="inlineStr">
        <is>
          <t>DOMESTICA</t>
        </is>
      </c>
      <c r="H1572" s="6" t="inlineStr">
        <is>
          <t>FIXO</t>
        </is>
      </c>
      <c r="I1572" s="11">
        <f>IF($H1572="AUTO_OFERTA_TOTAL_PRODUTO_PERIODO",SUMIFS(Oferta!$F:$F,Oferta!$A:$A,$A1572,Oferta!$E:$E,$E1572),$F1572)</f>
        <v/>
      </c>
      <c r="J1572" s="6" t="inlineStr">
        <is>
          <t>Informado</t>
        </is>
      </c>
      <c r="K1572" s="6" t="inlineStr">
        <is>
          <t>Demanda doméstica fixa informada pelo usuário.</t>
        </is>
      </c>
    </row>
    <row r="1573">
      <c r="A1573" s="6" t="inlineStr">
        <is>
          <t>Milho</t>
        </is>
      </c>
      <c r="B1573" s="6" t="inlineStr">
        <is>
          <t>Rio de Janeiro - RJ</t>
        </is>
      </c>
      <c r="C1573" s="6" t="n">
        <v>-22.9129</v>
      </c>
      <c r="D1573" s="6" t="n">
        <v>-43.2003</v>
      </c>
      <c r="E1573" s="6" t="inlineStr">
        <is>
          <t>2025-12</t>
        </is>
      </c>
      <c r="F1573" s="6" t="n">
        <v>128841.0870444256</v>
      </c>
      <c r="G1573" s="6" t="inlineStr">
        <is>
          <t>DOMESTICA</t>
        </is>
      </c>
      <c r="H1573" s="6" t="inlineStr">
        <is>
          <t>FIXO</t>
        </is>
      </c>
      <c r="I1573" s="11">
        <f>IF($H1573="AUTO_OFERTA_TOTAL_PRODUTO_PERIODO",SUMIFS(Oferta!$F:$F,Oferta!$A:$A,$A1573,Oferta!$E:$E,$E1573),$F1573)</f>
        <v/>
      </c>
      <c r="J1573" s="6" t="inlineStr">
        <is>
          <t>Informado</t>
        </is>
      </c>
      <c r="K1573" s="6" t="inlineStr">
        <is>
          <t>Demanda doméstica fixa informada pelo usuário.</t>
        </is>
      </c>
    </row>
    <row r="1574">
      <c r="A1574" s="6" t="inlineStr">
        <is>
          <t>Milho</t>
        </is>
      </c>
      <c r="B1574" s="6" t="inlineStr">
        <is>
          <t>São Paulo - SP</t>
        </is>
      </c>
      <c r="C1574" s="6" t="n">
        <v>-23.5329</v>
      </c>
      <c r="D1574" s="6" t="n">
        <v>-46.6395</v>
      </c>
      <c r="E1574" s="6" t="inlineStr">
        <is>
          <t>2025-01</t>
        </is>
      </c>
      <c r="F1574" s="6" t="n">
        <v>777395.3770857381</v>
      </c>
      <c r="G1574" s="6" t="inlineStr">
        <is>
          <t>DOMESTICA</t>
        </is>
      </c>
      <c r="H1574" s="6" t="inlineStr">
        <is>
          <t>FIXO</t>
        </is>
      </c>
      <c r="I1574" s="11">
        <f>IF($H1574="AUTO_OFERTA_TOTAL_PRODUTO_PERIODO",SUMIFS(Oferta!$F:$F,Oferta!$A:$A,$A1574,Oferta!$E:$E,$E1574),$F1574)</f>
        <v/>
      </c>
      <c r="J1574" s="6" t="inlineStr">
        <is>
          <t>Informado</t>
        </is>
      </c>
      <c r="K1574" s="6" t="inlineStr">
        <is>
          <t>Demanda doméstica fixa informada pelo usuário.</t>
        </is>
      </c>
    </row>
    <row r="1575">
      <c r="A1575" s="6" t="inlineStr">
        <is>
          <t>Milho</t>
        </is>
      </c>
      <c r="B1575" s="6" t="inlineStr">
        <is>
          <t>São Paulo - SP</t>
        </is>
      </c>
      <c r="C1575" s="6" t="n">
        <v>-23.5329</v>
      </c>
      <c r="D1575" s="6" t="n">
        <v>-46.6395</v>
      </c>
      <c r="E1575" s="6" t="inlineStr">
        <is>
          <t>2025-02</t>
        </is>
      </c>
      <c r="F1575" s="6" t="n">
        <v>1012080.77394181</v>
      </c>
      <c r="G1575" s="6" t="inlineStr">
        <is>
          <t>DOMESTICA</t>
        </is>
      </c>
      <c r="H1575" s="6" t="inlineStr">
        <is>
          <t>FIXO</t>
        </is>
      </c>
      <c r="I1575" s="11">
        <f>IF($H1575="AUTO_OFERTA_TOTAL_PRODUTO_PERIODO",SUMIFS(Oferta!$F:$F,Oferta!$A:$A,$A1575,Oferta!$E:$E,$E1575),$F1575)</f>
        <v/>
      </c>
      <c r="J1575" s="6" t="inlineStr">
        <is>
          <t>Informado</t>
        </is>
      </c>
      <c r="K1575" s="6" t="inlineStr">
        <is>
          <t>Demanda doméstica fixa informada pelo usuário.</t>
        </is>
      </c>
    </row>
    <row r="1576">
      <c r="A1576" s="6" t="inlineStr">
        <is>
          <t>Milho</t>
        </is>
      </c>
      <c r="B1576" s="6" t="inlineStr">
        <is>
          <t>São Paulo - SP</t>
        </is>
      </c>
      <c r="C1576" s="6" t="n">
        <v>-23.5329</v>
      </c>
      <c r="D1576" s="6" t="n">
        <v>-46.6395</v>
      </c>
      <c r="E1576" s="6" t="inlineStr">
        <is>
          <t>2025-03</t>
        </is>
      </c>
      <c r="F1576" s="6" t="n">
        <v>1246766.170797882</v>
      </c>
      <c r="G1576" s="6" t="inlineStr">
        <is>
          <t>DOMESTICA</t>
        </is>
      </c>
      <c r="H1576" s="6" t="inlineStr">
        <is>
          <t>FIXO</t>
        </is>
      </c>
      <c r="I1576" s="11">
        <f>IF($H1576="AUTO_OFERTA_TOTAL_PRODUTO_PERIODO",SUMIFS(Oferta!$F:$F,Oferta!$A:$A,$A1576,Oferta!$E:$E,$E1576),$F1576)</f>
        <v/>
      </c>
      <c r="J1576" s="6" t="inlineStr">
        <is>
          <t>Informado</t>
        </is>
      </c>
      <c r="K1576" s="6" t="inlineStr">
        <is>
          <t>Demanda doméstica fixa informada pelo usuário.</t>
        </is>
      </c>
    </row>
    <row r="1577">
      <c r="A1577" s="6" t="inlineStr">
        <is>
          <t>Milho</t>
        </is>
      </c>
      <c r="B1577" s="6" t="inlineStr">
        <is>
          <t>São Paulo - SP</t>
        </is>
      </c>
      <c r="C1577" s="6" t="n">
        <v>-23.5329</v>
      </c>
      <c r="D1577" s="6" t="n">
        <v>-46.6395</v>
      </c>
      <c r="E1577" s="6" t="inlineStr">
        <is>
          <t>2025-04</t>
        </is>
      </c>
      <c r="F1577" s="6" t="n">
        <v>1716136.964510025</v>
      </c>
      <c r="G1577" s="6" t="inlineStr">
        <is>
          <t>DOMESTICA</t>
        </is>
      </c>
      <c r="H1577" s="6" t="inlineStr">
        <is>
          <t>FIXO</t>
        </is>
      </c>
      <c r="I1577" s="11">
        <f>IF($H1577="AUTO_OFERTA_TOTAL_PRODUTO_PERIODO",SUMIFS(Oferta!$F:$F,Oferta!$A:$A,$A1577,Oferta!$E:$E,$E1577),$F1577)</f>
        <v/>
      </c>
      <c r="J1577" s="6" t="inlineStr">
        <is>
          <t>Informado</t>
        </is>
      </c>
      <c r="K1577" s="6" t="inlineStr">
        <is>
          <t>Demanda doméstica fixa informada pelo usuário.</t>
        </is>
      </c>
    </row>
    <row r="1578">
      <c r="A1578" s="6" t="inlineStr">
        <is>
          <t>Milho</t>
        </is>
      </c>
      <c r="B1578" s="6" t="inlineStr">
        <is>
          <t>São Paulo - SP</t>
        </is>
      </c>
      <c r="C1578" s="6" t="n">
        <v>-23.5329</v>
      </c>
      <c r="D1578" s="6" t="n">
        <v>-46.6395</v>
      </c>
      <c r="E1578" s="6" t="inlineStr">
        <is>
          <t>2025-05</t>
        </is>
      </c>
      <c r="F1578" s="6" t="n">
        <v>1950822.361366098</v>
      </c>
      <c r="G1578" s="6" t="inlineStr">
        <is>
          <t>DOMESTICA</t>
        </is>
      </c>
      <c r="H1578" s="6" t="inlineStr">
        <is>
          <t>FIXO</t>
        </is>
      </c>
      <c r="I1578" s="11">
        <f>IF($H1578="AUTO_OFERTA_TOTAL_PRODUTO_PERIODO",SUMIFS(Oferta!$F:$F,Oferta!$A:$A,$A1578,Oferta!$E:$E,$E1578),$F1578)</f>
        <v/>
      </c>
      <c r="J1578" s="6" t="inlineStr">
        <is>
          <t>Informado</t>
        </is>
      </c>
      <c r="K1578" s="6" t="inlineStr">
        <is>
          <t>Demanda doméstica fixa informada pelo usuário.</t>
        </is>
      </c>
    </row>
    <row r="1579">
      <c r="A1579" s="6" t="inlineStr">
        <is>
          <t>Milho</t>
        </is>
      </c>
      <c r="B1579" s="6" t="inlineStr">
        <is>
          <t>São Paulo - SP</t>
        </is>
      </c>
      <c r="C1579" s="6" t="n">
        <v>-23.5329</v>
      </c>
      <c r="D1579" s="6" t="n">
        <v>-46.6395</v>
      </c>
      <c r="E1579" s="6" t="inlineStr">
        <is>
          <t>2025-06</t>
        </is>
      </c>
      <c r="F1579" s="6" t="n">
        <v>2185507.758222169</v>
      </c>
      <c r="G1579" s="6" t="inlineStr">
        <is>
          <t>DOMESTICA</t>
        </is>
      </c>
      <c r="H1579" s="6" t="inlineStr">
        <is>
          <t>FIXO</t>
        </is>
      </c>
      <c r="I1579" s="11">
        <f>IF($H1579="AUTO_OFERTA_TOTAL_PRODUTO_PERIODO",SUMIFS(Oferta!$F:$F,Oferta!$A:$A,$A1579,Oferta!$E:$E,$E1579),$F1579)</f>
        <v/>
      </c>
      <c r="J1579" s="6" t="inlineStr">
        <is>
          <t>Informado</t>
        </is>
      </c>
      <c r="K1579" s="6" t="inlineStr">
        <is>
          <t>Demanda doméstica fixa informada pelo usuário.</t>
        </is>
      </c>
    </row>
    <row r="1580">
      <c r="A1580" s="6" t="inlineStr">
        <is>
          <t>Milho</t>
        </is>
      </c>
      <c r="B1580" s="6" t="inlineStr">
        <is>
          <t>São Paulo - SP</t>
        </is>
      </c>
      <c r="C1580" s="6" t="n">
        <v>-23.5329</v>
      </c>
      <c r="D1580" s="6" t="n">
        <v>-46.6395</v>
      </c>
      <c r="E1580" s="6" t="inlineStr">
        <is>
          <t>2025-07</t>
        </is>
      </c>
      <c r="F1580" s="6" t="n">
        <v>2185507.758222169</v>
      </c>
      <c r="G1580" s="6" t="inlineStr">
        <is>
          <t>DOMESTICA</t>
        </is>
      </c>
      <c r="H1580" s="6" t="inlineStr">
        <is>
          <t>FIXO</t>
        </is>
      </c>
      <c r="I1580" s="11">
        <f>IF($H1580="AUTO_OFERTA_TOTAL_PRODUTO_PERIODO",SUMIFS(Oferta!$F:$F,Oferta!$A:$A,$A1580,Oferta!$E:$E,$E1580),$F1580)</f>
        <v/>
      </c>
      <c r="J1580" s="6" t="inlineStr">
        <is>
          <t>Informado</t>
        </is>
      </c>
      <c r="K1580" s="6" t="inlineStr">
        <is>
          <t>Demanda doméstica fixa informada pelo usuário.</t>
        </is>
      </c>
    </row>
    <row r="1581">
      <c r="A1581" s="6" t="inlineStr">
        <is>
          <t>Milho</t>
        </is>
      </c>
      <c r="B1581" s="6" t="inlineStr">
        <is>
          <t>São Paulo - SP</t>
        </is>
      </c>
      <c r="C1581" s="6" t="n">
        <v>-23.5329</v>
      </c>
      <c r="D1581" s="6" t="n">
        <v>-46.6395</v>
      </c>
      <c r="E1581" s="6" t="inlineStr">
        <is>
          <t>2025-08</t>
        </is>
      </c>
      <c r="F1581" s="6" t="n">
        <v>2420193.155078241</v>
      </c>
      <c r="G1581" s="6" t="inlineStr">
        <is>
          <t>DOMESTICA</t>
        </is>
      </c>
      <c r="H1581" s="6" t="inlineStr">
        <is>
          <t>FIXO</t>
        </is>
      </c>
      <c r="I1581" s="11">
        <f>IF($H1581="AUTO_OFERTA_TOTAL_PRODUTO_PERIODO",SUMIFS(Oferta!$F:$F,Oferta!$A:$A,$A1581,Oferta!$E:$E,$E1581),$F1581)</f>
        <v/>
      </c>
      <c r="J1581" s="6" t="inlineStr">
        <is>
          <t>Informado</t>
        </is>
      </c>
      <c r="K1581" s="6" t="inlineStr">
        <is>
          <t>Demanda doméstica fixa informada pelo usuário.</t>
        </is>
      </c>
    </row>
    <row r="1582">
      <c r="A1582" s="6" t="inlineStr">
        <is>
          <t>Milho</t>
        </is>
      </c>
      <c r="B1582" s="6" t="inlineStr">
        <is>
          <t>São Paulo - SP</t>
        </is>
      </c>
      <c r="C1582" s="6" t="n">
        <v>-23.5329</v>
      </c>
      <c r="D1582" s="6" t="n">
        <v>-46.6395</v>
      </c>
      <c r="E1582" s="6" t="inlineStr">
        <is>
          <t>2025-09</t>
        </is>
      </c>
      <c r="F1582" s="6" t="n">
        <v>2420193.155078241</v>
      </c>
      <c r="G1582" s="6" t="inlineStr">
        <is>
          <t>DOMESTICA</t>
        </is>
      </c>
      <c r="H1582" s="6" t="inlineStr">
        <is>
          <t>FIXO</t>
        </is>
      </c>
      <c r="I1582" s="11">
        <f>IF($H1582="AUTO_OFERTA_TOTAL_PRODUTO_PERIODO",SUMIFS(Oferta!$F:$F,Oferta!$A:$A,$A1582,Oferta!$E:$E,$E1582),$F1582)</f>
        <v/>
      </c>
      <c r="J1582" s="6" t="inlineStr">
        <is>
          <t>Informado</t>
        </is>
      </c>
      <c r="K1582" s="6" t="inlineStr">
        <is>
          <t>Demanda doméstica fixa informada pelo usuário.</t>
        </is>
      </c>
    </row>
    <row r="1583">
      <c r="A1583" s="6" t="inlineStr">
        <is>
          <t>Milho</t>
        </is>
      </c>
      <c r="B1583" s="6" t="inlineStr">
        <is>
          <t>São Paulo - SP</t>
        </is>
      </c>
      <c r="C1583" s="6" t="n">
        <v>-23.5329</v>
      </c>
      <c r="D1583" s="6" t="n">
        <v>-46.6395</v>
      </c>
      <c r="E1583" s="6" t="inlineStr">
        <is>
          <t>2025-10</t>
        </is>
      </c>
      <c r="F1583" s="6" t="n">
        <v>2185507.758222169</v>
      </c>
      <c r="G1583" s="6" t="inlineStr">
        <is>
          <t>DOMESTICA</t>
        </is>
      </c>
      <c r="H1583" s="6" t="inlineStr">
        <is>
          <t>FIXO</t>
        </is>
      </c>
      <c r="I1583" s="11">
        <f>IF($H1583="AUTO_OFERTA_TOTAL_PRODUTO_PERIODO",SUMIFS(Oferta!$F:$F,Oferta!$A:$A,$A1583,Oferta!$E:$E,$E1583),$F1583)</f>
        <v/>
      </c>
      <c r="J1583" s="6" t="inlineStr">
        <is>
          <t>Informado</t>
        </is>
      </c>
      <c r="K1583" s="6" t="inlineStr">
        <is>
          <t>Demanda doméstica fixa informada pelo usuário.</t>
        </is>
      </c>
    </row>
    <row r="1584">
      <c r="A1584" s="6" t="inlineStr">
        <is>
          <t>Milho</t>
        </is>
      </c>
      <c r="B1584" s="6" t="inlineStr">
        <is>
          <t>São Paulo - SP</t>
        </is>
      </c>
      <c r="C1584" s="6" t="n">
        <v>-23.5329</v>
      </c>
      <c r="D1584" s="6" t="n">
        <v>-46.6395</v>
      </c>
      <c r="E1584" s="6" t="inlineStr">
        <is>
          <t>2025-11</t>
        </is>
      </c>
      <c r="F1584" s="6" t="n">
        <v>1481451.567653954</v>
      </c>
      <c r="G1584" s="6" t="inlineStr">
        <is>
          <t>DOMESTICA</t>
        </is>
      </c>
      <c r="H1584" s="6" t="inlineStr">
        <is>
          <t>FIXO</t>
        </is>
      </c>
      <c r="I1584" s="11">
        <f>IF($H1584="AUTO_OFERTA_TOTAL_PRODUTO_PERIODO",SUMIFS(Oferta!$F:$F,Oferta!$A:$A,$A1584,Oferta!$E:$E,$E1584),$F1584)</f>
        <v/>
      </c>
      <c r="J1584" s="6" t="inlineStr">
        <is>
          <t>Informado</t>
        </is>
      </c>
      <c r="K1584" s="6" t="inlineStr">
        <is>
          <t>Demanda doméstica fixa informada pelo usuário.</t>
        </is>
      </c>
    </row>
    <row r="1585">
      <c r="A1585" s="6" t="inlineStr">
        <is>
          <t>Milho</t>
        </is>
      </c>
      <c r="B1585" s="6" t="inlineStr">
        <is>
          <t>São Paulo - SP</t>
        </is>
      </c>
      <c r="C1585" s="6" t="n">
        <v>-23.5329</v>
      </c>
      <c r="D1585" s="6" t="n">
        <v>-46.6395</v>
      </c>
      <c r="E1585" s="6" t="inlineStr">
        <is>
          <t>2025-12</t>
        </is>
      </c>
      <c r="F1585" s="6" t="n">
        <v>1012080.77394181</v>
      </c>
      <c r="G1585" s="6" t="inlineStr">
        <is>
          <t>DOMESTICA</t>
        </is>
      </c>
      <c r="H1585" s="6" t="inlineStr">
        <is>
          <t>FIXO</t>
        </is>
      </c>
      <c r="I1585" s="11">
        <f>IF($H1585="AUTO_OFERTA_TOTAL_PRODUTO_PERIODO",SUMIFS(Oferta!$F:$F,Oferta!$A:$A,$A1585,Oferta!$E:$E,$E1585),$F1585)</f>
        <v/>
      </c>
      <c r="J1585" s="6" t="inlineStr">
        <is>
          <t>Informado</t>
        </is>
      </c>
      <c r="K1585" s="6" t="inlineStr">
        <is>
          <t>Demanda doméstica fixa informada pelo usuário.</t>
        </is>
      </c>
    </row>
    <row r="1586">
      <c r="A1586" s="6" t="inlineStr">
        <is>
          <t>Milho</t>
        </is>
      </c>
      <c r="B1586" s="6" t="inlineStr">
        <is>
          <t>Curitiba - PR</t>
        </is>
      </c>
      <c r="C1586" s="6" t="n">
        <v>-25.4195</v>
      </c>
      <c r="D1586" s="6" t="n">
        <v>-49.2646</v>
      </c>
      <c r="E1586" s="6" t="inlineStr">
        <is>
          <t>2025-01</t>
        </is>
      </c>
      <c r="F1586" s="6" t="n">
        <v>480579.8011233015</v>
      </c>
      <c r="G1586" s="6" t="inlineStr">
        <is>
          <t>DOMESTICA</t>
        </is>
      </c>
      <c r="H1586" s="6" t="inlineStr">
        <is>
          <t>FIXO</t>
        </is>
      </c>
      <c r="I1586" s="11">
        <f>IF($H1586="AUTO_OFERTA_TOTAL_PRODUTO_PERIODO",SUMIFS(Oferta!$F:$F,Oferta!$A:$A,$A1586,Oferta!$E:$E,$E1586),$F1586)</f>
        <v/>
      </c>
      <c r="J1586" s="6" t="inlineStr">
        <is>
          <t>Informado</t>
        </is>
      </c>
      <c r="K1586" s="6" t="inlineStr">
        <is>
          <t>Demanda doméstica fixa informada pelo usuário.</t>
        </is>
      </c>
    </row>
    <row r="1587">
      <c r="A1587" s="6" t="inlineStr">
        <is>
          <t>Milho</t>
        </is>
      </c>
      <c r="B1587" s="6" t="inlineStr">
        <is>
          <t>Curitiba - PR</t>
        </is>
      </c>
      <c r="C1587" s="6" t="n">
        <v>-25.4195</v>
      </c>
      <c r="D1587" s="6" t="n">
        <v>-49.2646</v>
      </c>
      <c r="E1587" s="6" t="inlineStr">
        <is>
          <t>2025-02</t>
        </is>
      </c>
      <c r="F1587" s="6" t="n">
        <v>536299.1983549887</v>
      </c>
      <c r="G1587" s="6" t="inlineStr">
        <is>
          <t>DOMESTICA</t>
        </is>
      </c>
      <c r="H1587" s="6" t="inlineStr">
        <is>
          <t>FIXO</t>
        </is>
      </c>
      <c r="I1587" s="11">
        <f>IF($H1587="AUTO_OFERTA_TOTAL_PRODUTO_PERIODO",SUMIFS(Oferta!$F:$F,Oferta!$A:$A,$A1587,Oferta!$E:$E,$E1587),$F1587)</f>
        <v/>
      </c>
      <c r="J1587" s="6" t="inlineStr">
        <is>
          <t>Informado</t>
        </is>
      </c>
      <c r="K1587" s="6" t="inlineStr">
        <is>
          <t>Demanda doméstica fixa informada pelo usuário.</t>
        </is>
      </c>
    </row>
    <row r="1588">
      <c r="A1588" s="6" t="inlineStr">
        <is>
          <t>Milho</t>
        </is>
      </c>
      <c r="B1588" s="6" t="inlineStr">
        <is>
          <t>Curitiba - PR</t>
        </is>
      </c>
      <c r="C1588" s="6" t="n">
        <v>-25.4195</v>
      </c>
      <c r="D1588" s="6" t="n">
        <v>-49.2646</v>
      </c>
      <c r="E1588" s="6" t="inlineStr">
        <is>
          <t>2025-03</t>
        </is>
      </c>
      <c r="F1588" s="6" t="n">
        <v>647737.992818363</v>
      </c>
      <c r="G1588" s="6" t="inlineStr">
        <is>
          <t>DOMESTICA</t>
        </is>
      </c>
      <c r="H1588" s="6" t="inlineStr">
        <is>
          <t>FIXO</t>
        </is>
      </c>
      <c r="I1588" s="11">
        <f>IF($H1588="AUTO_OFERTA_TOTAL_PRODUTO_PERIODO",SUMIFS(Oferta!$F:$F,Oferta!$A:$A,$A1588,Oferta!$E:$E,$E1588),$F1588)</f>
        <v/>
      </c>
      <c r="J1588" s="6" t="inlineStr">
        <is>
          <t>Informado</t>
        </is>
      </c>
      <c r="K1588" s="6" t="inlineStr">
        <is>
          <t>Demanda doméstica fixa informada pelo usuário.</t>
        </is>
      </c>
    </row>
    <row r="1589">
      <c r="A1589" s="6" t="inlineStr">
        <is>
          <t>Milho</t>
        </is>
      </c>
      <c r="B1589" s="6" t="inlineStr">
        <is>
          <t>Curitiba - PR</t>
        </is>
      </c>
      <c r="C1589" s="6" t="n">
        <v>-25.4195</v>
      </c>
      <c r="D1589" s="6" t="n">
        <v>-49.2646</v>
      </c>
      <c r="E1589" s="6" t="inlineStr">
        <is>
          <t>2025-04</t>
        </is>
      </c>
      <c r="F1589" s="6" t="n">
        <v>814896.1845134242</v>
      </c>
      <c r="G1589" s="6" t="inlineStr">
        <is>
          <t>DOMESTICA</t>
        </is>
      </c>
      <c r="H1589" s="6" t="inlineStr">
        <is>
          <t>FIXO</t>
        </is>
      </c>
      <c r="I1589" s="11">
        <f>IF($H1589="AUTO_OFERTA_TOTAL_PRODUTO_PERIODO",SUMIFS(Oferta!$F:$F,Oferta!$A:$A,$A1589,Oferta!$E:$E,$E1589),$F1589)</f>
        <v/>
      </c>
      <c r="J1589" s="6" t="inlineStr">
        <is>
          <t>Informado</t>
        </is>
      </c>
      <c r="K1589" s="6" t="inlineStr">
        <is>
          <t>Demanda doméstica fixa informada pelo usuário.</t>
        </is>
      </c>
    </row>
    <row r="1590">
      <c r="A1590" s="6" t="inlineStr">
        <is>
          <t>Milho</t>
        </is>
      </c>
      <c r="B1590" s="6" t="inlineStr">
        <is>
          <t>Curitiba - PR</t>
        </is>
      </c>
      <c r="C1590" s="6" t="n">
        <v>-25.4195</v>
      </c>
      <c r="D1590" s="6" t="n">
        <v>-49.2646</v>
      </c>
      <c r="E1590" s="6" t="inlineStr">
        <is>
          <t>2025-05</t>
        </is>
      </c>
      <c r="F1590" s="6" t="n">
        <v>926334.9789767986</v>
      </c>
      <c r="G1590" s="6" t="inlineStr">
        <is>
          <t>DOMESTICA</t>
        </is>
      </c>
      <c r="H1590" s="6" t="inlineStr">
        <is>
          <t>FIXO</t>
        </is>
      </c>
      <c r="I1590" s="11">
        <f>IF($H1590="AUTO_OFERTA_TOTAL_PRODUTO_PERIODO",SUMIFS(Oferta!$F:$F,Oferta!$A:$A,$A1590,Oferta!$E:$E,$E1590),$F1590)</f>
        <v/>
      </c>
      <c r="J1590" s="6" t="inlineStr">
        <is>
          <t>Informado</t>
        </is>
      </c>
      <c r="K1590" s="6" t="inlineStr">
        <is>
          <t>Demanda doméstica fixa informada pelo usuário.</t>
        </is>
      </c>
    </row>
    <row r="1591">
      <c r="A1591" s="6" t="inlineStr">
        <is>
          <t>Milho</t>
        </is>
      </c>
      <c r="B1591" s="6" t="inlineStr">
        <is>
          <t>Curitiba - PR</t>
        </is>
      </c>
      <c r="C1591" s="6" t="n">
        <v>-25.4195</v>
      </c>
      <c r="D1591" s="6" t="n">
        <v>-49.2646</v>
      </c>
      <c r="E1591" s="6" t="inlineStr">
        <is>
          <t>2025-06</t>
        </is>
      </c>
      <c r="F1591" s="6" t="n">
        <v>982054.3762084858</v>
      </c>
      <c r="G1591" s="6" t="inlineStr">
        <is>
          <t>DOMESTICA</t>
        </is>
      </c>
      <c r="H1591" s="6" t="inlineStr">
        <is>
          <t>FIXO</t>
        </is>
      </c>
      <c r="I1591" s="11">
        <f>IF($H1591="AUTO_OFERTA_TOTAL_PRODUTO_PERIODO",SUMIFS(Oferta!$F:$F,Oferta!$A:$A,$A1591,Oferta!$E:$E,$E1591),$F1591)</f>
        <v/>
      </c>
      <c r="J1591" s="6" t="inlineStr">
        <is>
          <t>Informado</t>
        </is>
      </c>
      <c r="K1591" s="6" t="inlineStr">
        <is>
          <t>Demanda doméstica fixa informada pelo usuário.</t>
        </is>
      </c>
    </row>
    <row r="1592">
      <c r="A1592" s="6" t="inlineStr">
        <is>
          <t>Milho</t>
        </is>
      </c>
      <c r="B1592" s="6" t="inlineStr">
        <is>
          <t>Curitiba - PR</t>
        </is>
      </c>
      <c r="C1592" s="6" t="n">
        <v>-25.4195</v>
      </c>
      <c r="D1592" s="6" t="n">
        <v>-49.2646</v>
      </c>
      <c r="E1592" s="6" t="inlineStr">
        <is>
          <t>2025-07</t>
        </is>
      </c>
      <c r="F1592" s="6" t="n">
        <v>926334.9789767986</v>
      </c>
      <c r="G1592" s="6" t="inlineStr">
        <is>
          <t>DOMESTICA</t>
        </is>
      </c>
      <c r="H1592" s="6" t="inlineStr">
        <is>
          <t>FIXO</t>
        </is>
      </c>
      <c r="I1592" s="11">
        <f>IF($H1592="AUTO_OFERTA_TOTAL_PRODUTO_PERIODO",SUMIFS(Oferta!$F:$F,Oferta!$A:$A,$A1592,Oferta!$E:$E,$E1592),$F1592)</f>
        <v/>
      </c>
      <c r="J1592" s="6" t="inlineStr">
        <is>
          <t>Informado</t>
        </is>
      </c>
      <c r="K1592" s="6" t="inlineStr">
        <is>
          <t>Demanda doméstica fixa informada pelo usuário.</t>
        </is>
      </c>
    </row>
    <row r="1593">
      <c r="A1593" s="6" t="inlineStr">
        <is>
          <t>Milho</t>
        </is>
      </c>
      <c r="B1593" s="6" t="inlineStr">
        <is>
          <t>Curitiba - PR</t>
        </is>
      </c>
      <c r="C1593" s="6" t="n">
        <v>-25.4195</v>
      </c>
      <c r="D1593" s="6" t="n">
        <v>-49.2646</v>
      </c>
      <c r="E1593" s="6" t="inlineStr">
        <is>
          <t>2025-08</t>
        </is>
      </c>
      <c r="F1593" s="6" t="n">
        <v>814896.1845134242</v>
      </c>
      <c r="G1593" s="6" t="inlineStr">
        <is>
          <t>DOMESTICA</t>
        </is>
      </c>
      <c r="H1593" s="6" t="inlineStr">
        <is>
          <t>FIXO</t>
        </is>
      </c>
      <c r="I1593" s="11">
        <f>IF($H1593="AUTO_OFERTA_TOTAL_PRODUTO_PERIODO",SUMIFS(Oferta!$F:$F,Oferta!$A:$A,$A1593,Oferta!$E:$E,$E1593),$F1593)</f>
        <v/>
      </c>
      <c r="J1593" s="6" t="inlineStr">
        <is>
          <t>Informado</t>
        </is>
      </c>
      <c r="K1593" s="6" t="inlineStr">
        <is>
          <t>Demanda doméstica fixa informada pelo usuário.</t>
        </is>
      </c>
    </row>
    <row r="1594">
      <c r="A1594" s="6" t="inlineStr">
        <is>
          <t>Milho</t>
        </is>
      </c>
      <c r="B1594" s="6" t="inlineStr">
        <is>
          <t>Curitiba - PR</t>
        </is>
      </c>
      <c r="C1594" s="6" t="n">
        <v>-25.4195</v>
      </c>
      <c r="D1594" s="6" t="n">
        <v>-49.2646</v>
      </c>
      <c r="E1594" s="6" t="inlineStr">
        <is>
          <t>2025-09</t>
        </is>
      </c>
      <c r="F1594" s="6" t="n">
        <v>759176.7872817372</v>
      </c>
      <c r="G1594" s="6" t="inlineStr">
        <is>
          <t>DOMESTICA</t>
        </is>
      </c>
      <c r="H1594" s="6" t="inlineStr">
        <is>
          <t>FIXO</t>
        </is>
      </c>
      <c r="I1594" s="11">
        <f>IF($H1594="AUTO_OFERTA_TOTAL_PRODUTO_PERIODO",SUMIFS(Oferta!$F:$F,Oferta!$A:$A,$A1594,Oferta!$E:$E,$E1594),$F1594)</f>
        <v/>
      </c>
      <c r="J1594" s="6" t="inlineStr">
        <is>
          <t>Informado</t>
        </is>
      </c>
      <c r="K1594" s="6" t="inlineStr">
        <is>
          <t>Demanda doméstica fixa informada pelo usuário.</t>
        </is>
      </c>
    </row>
    <row r="1595">
      <c r="A1595" s="6" t="inlineStr">
        <is>
          <t>Milho</t>
        </is>
      </c>
      <c r="B1595" s="6" t="inlineStr">
        <is>
          <t>Curitiba - PR</t>
        </is>
      </c>
      <c r="C1595" s="6" t="n">
        <v>-25.4195</v>
      </c>
      <c r="D1595" s="6" t="n">
        <v>-49.2646</v>
      </c>
      <c r="E1595" s="6" t="inlineStr">
        <is>
          <t>2025-10</t>
        </is>
      </c>
      <c r="F1595" s="6" t="n">
        <v>926334.9789767986</v>
      </c>
      <c r="G1595" s="6" t="inlineStr">
        <is>
          <t>DOMESTICA</t>
        </is>
      </c>
      <c r="H1595" s="6" t="inlineStr">
        <is>
          <t>FIXO</t>
        </is>
      </c>
      <c r="I1595" s="11">
        <f>IF($H1595="AUTO_OFERTA_TOTAL_PRODUTO_PERIODO",SUMIFS(Oferta!$F:$F,Oferta!$A:$A,$A1595,Oferta!$E:$E,$E1595),$F1595)</f>
        <v/>
      </c>
      <c r="J1595" s="6" t="inlineStr">
        <is>
          <t>Informado</t>
        </is>
      </c>
      <c r="K1595" s="6" t="inlineStr">
        <is>
          <t>Demanda doméstica fixa informada pelo usuário.</t>
        </is>
      </c>
    </row>
    <row r="1596">
      <c r="A1596" s="6" t="inlineStr">
        <is>
          <t>Milho</t>
        </is>
      </c>
      <c r="B1596" s="6" t="inlineStr">
        <is>
          <t>Curitiba - PR</t>
        </is>
      </c>
      <c r="C1596" s="6" t="n">
        <v>-25.4195</v>
      </c>
      <c r="D1596" s="6" t="n">
        <v>-49.2646</v>
      </c>
      <c r="E1596" s="6" t="inlineStr">
        <is>
          <t>2025-11</t>
        </is>
      </c>
      <c r="F1596" s="6" t="n">
        <v>870615.5817451114</v>
      </c>
      <c r="G1596" s="6" t="inlineStr">
        <is>
          <t>DOMESTICA</t>
        </is>
      </c>
      <c r="H1596" s="6" t="inlineStr">
        <is>
          <t>FIXO</t>
        </is>
      </c>
      <c r="I1596" s="11">
        <f>IF($H1596="AUTO_OFERTA_TOTAL_PRODUTO_PERIODO",SUMIFS(Oferta!$F:$F,Oferta!$A:$A,$A1596,Oferta!$E:$E,$E1596),$F1596)</f>
        <v/>
      </c>
      <c r="J1596" s="6" t="inlineStr">
        <is>
          <t>Informado</t>
        </is>
      </c>
      <c r="K1596" s="6" t="inlineStr">
        <is>
          <t>Demanda doméstica fixa informada pelo usuário.</t>
        </is>
      </c>
    </row>
    <row r="1597">
      <c r="A1597" s="6" t="inlineStr">
        <is>
          <t>Milho</t>
        </is>
      </c>
      <c r="B1597" s="6" t="inlineStr">
        <is>
          <t>Curitiba - PR</t>
        </is>
      </c>
      <c r="C1597" s="6" t="n">
        <v>-25.4195</v>
      </c>
      <c r="D1597" s="6" t="n">
        <v>-49.2646</v>
      </c>
      <c r="E1597" s="6" t="inlineStr">
        <is>
          <t>2025-12</t>
        </is>
      </c>
      <c r="F1597" s="6" t="n">
        <v>759176.7872817372</v>
      </c>
      <c r="G1597" s="6" t="inlineStr">
        <is>
          <t>DOMESTICA</t>
        </is>
      </c>
      <c r="H1597" s="6" t="inlineStr">
        <is>
          <t>FIXO</t>
        </is>
      </c>
      <c r="I1597" s="11">
        <f>IF($H1597="AUTO_OFERTA_TOTAL_PRODUTO_PERIODO",SUMIFS(Oferta!$F:$F,Oferta!$A:$A,$A1597,Oferta!$E:$E,$E1597),$F1597)</f>
        <v/>
      </c>
      <c r="J1597" s="6" t="inlineStr">
        <is>
          <t>Informado</t>
        </is>
      </c>
      <c r="K1597" s="6" t="inlineStr">
        <is>
          <t>Demanda doméstica fixa informada pelo usuário.</t>
        </is>
      </c>
    </row>
    <row r="1598">
      <c r="A1598" s="6" t="inlineStr">
        <is>
          <t>Milho</t>
        </is>
      </c>
      <c r="B1598" s="6" t="inlineStr">
        <is>
          <t>Florianópolis - SC</t>
        </is>
      </c>
      <c r="C1598" s="6" t="n">
        <v>-27.5945</v>
      </c>
      <c r="D1598" s="6" t="n">
        <v>-48.5477</v>
      </c>
      <c r="E1598" s="6" t="inlineStr">
        <is>
          <t>2025-01</t>
        </is>
      </c>
      <c r="F1598" s="6" t="n">
        <v>204927.4909631173</v>
      </c>
      <c r="G1598" s="6" t="inlineStr">
        <is>
          <t>DOMESTICA</t>
        </is>
      </c>
      <c r="H1598" s="6" t="inlineStr">
        <is>
          <t>FIXO</t>
        </is>
      </c>
      <c r="I1598" s="11">
        <f>IF($H1598="AUTO_OFERTA_TOTAL_PRODUTO_PERIODO",SUMIFS(Oferta!$F:$F,Oferta!$A:$A,$A1598,Oferta!$E:$E,$E1598),$F1598)</f>
        <v/>
      </c>
      <c r="J1598" s="6" t="inlineStr">
        <is>
          <t>Informado</t>
        </is>
      </c>
      <c r="K1598" s="6" t="inlineStr">
        <is>
          <t>Demanda doméstica fixa informada pelo usuário.</t>
        </is>
      </c>
    </row>
    <row r="1599">
      <c r="A1599" s="6" t="inlineStr">
        <is>
          <t>Milho</t>
        </is>
      </c>
      <c r="B1599" s="6" t="inlineStr">
        <is>
          <t>Florianópolis - SC</t>
        </is>
      </c>
      <c r="C1599" s="6" t="n">
        <v>-27.5945</v>
      </c>
      <c r="D1599" s="6" t="n">
        <v>-48.5477</v>
      </c>
      <c r="E1599" s="6" t="inlineStr">
        <is>
          <t>2025-02</t>
        </is>
      </c>
      <c r="F1599" s="6" t="n">
        <v>258678.9640026236</v>
      </c>
      <c r="G1599" s="6" t="inlineStr">
        <is>
          <t>DOMESTICA</t>
        </is>
      </c>
      <c r="H1599" s="6" t="inlineStr">
        <is>
          <t>FIXO</t>
        </is>
      </c>
      <c r="I1599" s="11">
        <f>IF($H1599="AUTO_OFERTA_TOTAL_PRODUTO_PERIODO",SUMIFS(Oferta!$F:$F,Oferta!$A:$A,$A1599,Oferta!$E:$E,$E1599),$F1599)</f>
        <v/>
      </c>
      <c r="J1599" s="6" t="inlineStr">
        <is>
          <t>Informado</t>
        </is>
      </c>
      <c r="K1599" s="6" t="inlineStr">
        <is>
          <t>Demanda doméstica fixa informada pelo usuário.</t>
        </is>
      </c>
    </row>
    <row r="1600">
      <c r="A1600" s="6" t="inlineStr">
        <is>
          <t>Milho</t>
        </is>
      </c>
      <c r="B1600" s="6" t="inlineStr">
        <is>
          <t>Florianópolis - SC</t>
        </is>
      </c>
      <c r="C1600" s="6" t="n">
        <v>-27.5945</v>
      </c>
      <c r="D1600" s="6" t="n">
        <v>-48.5477</v>
      </c>
      <c r="E1600" s="6" t="inlineStr">
        <is>
          <t>2025-03</t>
        </is>
      </c>
      <c r="F1600" s="6" t="n">
        <v>312430.4370421298</v>
      </c>
      <c r="G1600" s="6" t="inlineStr">
        <is>
          <t>DOMESTICA</t>
        </is>
      </c>
      <c r="H1600" s="6" t="inlineStr">
        <is>
          <t>FIXO</t>
        </is>
      </c>
      <c r="I1600" s="11">
        <f>IF($H1600="AUTO_OFERTA_TOTAL_PRODUTO_PERIODO",SUMIFS(Oferta!$F:$F,Oferta!$A:$A,$A1600,Oferta!$E:$E,$E1600),$F1600)</f>
        <v/>
      </c>
      <c r="J1600" s="6" t="inlineStr">
        <is>
          <t>Informado</t>
        </is>
      </c>
      <c r="K1600" s="6" t="inlineStr">
        <is>
          <t>Demanda doméstica fixa informada pelo usuário.</t>
        </is>
      </c>
    </row>
    <row r="1601">
      <c r="A1601" s="6" t="inlineStr">
        <is>
          <t>Milho</t>
        </is>
      </c>
      <c r="B1601" s="6" t="inlineStr">
        <is>
          <t>Florianópolis - SC</t>
        </is>
      </c>
      <c r="C1601" s="6" t="n">
        <v>-27.5945</v>
      </c>
      <c r="D1601" s="6" t="n">
        <v>-48.5477</v>
      </c>
      <c r="E1601" s="6" t="inlineStr">
        <is>
          <t>2025-04</t>
        </is>
      </c>
      <c r="F1601" s="6" t="n">
        <v>446809.1196408952</v>
      </c>
      <c r="G1601" s="6" t="inlineStr">
        <is>
          <t>DOMESTICA</t>
        </is>
      </c>
      <c r="H1601" s="6" t="inlineStr">
        <is>
          <t>FIXO</t>
        </is>
      </c>
      <c r="I1601" s="11">
        <f>IF($H1601="AUTO_OFERTA_TOTAL_PRODUTO_PERIODO",SUMIFS(Oferta!$F:$F,Oferta!$A:$A,$A1601,Oferta!$E:$E,$E1601),$F1601)</f>
        <v/>
      </c>
      <c r="J1601" s="6" t="inlineStr">
        <is>
          <t>Informado</t>
        </is>
      </c>
      <c r="K1601" s="6" t="inlineStr">
        <is>
          <t>Demanda doméstica fixa informada pelo usuário.</t>
        </is>
      </c>
    </row>
    <row r="1602">
      <c r="A1602" s="6" t="inlineStr">
        <is>
          <t>Milho</t>
        </is>
      </c>
      <c r="B1602" s="6" t="inlineStr">
        <is>
          <t>Florianópolis - SC</t>
        </is>
      </c>
      <c r="C1602" s="6" t="n">
        <v>-27.5945</v>
      </c>
      <c r="D1602" s="6" t="n">
        <v>-48.5477</v>
      </c>
      <c r="E1602" s="6" t="inlineStr">
        <is>
          <t>2025-05</t>
        </is>
      </c>
      <c r="F1602" s="6" t="n">
        <v>554312.0657199076</v>
      </c>
      <c r="G1602" s="6" t="inlineStr">
        <is>
          <t>DOMESTICA</t>
        </is>
      </c>
      <c r="H1602" s="6" t="inlineStr">
        <is>
          <t>FIXO</t>
        </is>
      </c>
      <c r="I1602" s="11">
        <f>IF($H1602="AUTO_OFERTA_TOTAL_PRODUTO_PERIODO",SUMIFS(Oferta!$F:$F,Oferta!$A:$A,$A1602,Oferta!$E:$E,$E1602),$F1602)</f>
        <v/>
      </c>
      <c r="J1602" s="6" t="inlineStr">
        <is>
          <t>Informado</t>
        </is>
      </c>
      <c r="K1602" s="6" t="inlineStr">
        <is>
          <t>Demanda doméstica fixa informada pelo usuário.</t>
        </is>
      </c>
    </row>
    <row r="1603">
      <c r="A1603" s="6" t="inlineStr">
        <is>
          <t>Milho</t>
        </is>
      </c>
      <c r="B1603" s="6" t="inlineStr">
        <is>
          <t>Florianópolis - SC</t>
        </is>
      </c>
      <c r="C1603" s="6" t="n">
        <v>-27.5945</v>
      </c>
      <c r="D1603" s="6" t="n">
        <v>-48.5477</v>
      </c>
      <c r="E1603" s="6" t="inlineStr">
        <is>
          <t>2025-06</t>
        </is>
      </c>
      <c r="F1603" s="6" t="n">
        <v>608063.5387594138</v>
      </c>
      <c r="G1603" s="6" t="inlineStr">
        <is>
          <t>DOMESTICA</t>
        </is>
      </c>
      <c r="H1603" s="6" t="inlineStr">
        <is>
          <t>FIXO</t>
        </is>
      </c>
      <c r="I1603" s="11">
        <f>IF($H1603="AUTO_OFERTA_TOTAL_PRODUTO_PERIODO",SUMIFS(Oferta!$F:$F,Oferta!$A:$A,$A1603,Oferta!$E:$E,$E1603),$F1603)</f>
        <v/>
      </c>
      <c r="J1603" s="6" t="inlineStr">
        <is>
          <t>Informado</t>
        </is>
      </c>
      <c r="K1603" s="6" t="inlineStr">
        <is>
          <t>Demanda doméstica fixa informada pelo usuário.</t>
        </is>
      </c>
    </row>
    <row r="1604">
      <c r="A1604" s="6" t="inlineStr">
        <is>
          <t>Milho</t>
        </is>
      </c>
      <c r="B1604" s="6" t="inlineStr">
        <is>
          <t>Florianópolis - SC</t>
        </is>
      </c>
      <c r="C1604" s="6" t="n">
        <v>-27.5945</v>
      </c>
      <c r="D1604" s="6" t="n">
        <v>-48.5477</v>
      </c>
      <c r="E1604" s="6" t="inlineStr">
        <is>
          <t>2025-07</t>
        </is>
      </c>
      <c r="F1604" s="6" t="n">
        <v>661815.01179892</v>
      </c>
      <c r="G1604" s="6" t="inlineStr">
        <is>
          <t>DOMESTICA</t>
        </is>
      </c>
      <c r="H1604" s="6" t="inlineStr">
        <is>
          <t>FIXO</t>
        </is>
      </c>
      <c r="I1604" s="11">
        <f>IF($H1604="AUTO_OFERTA_TOTAL_PRODUTO_PERIODO",SUMIFS(Oferta!$F:$F,Oferta!$A:$A,$A1604,Oferta!$E:$E,$E1604),$F1604)</f>
        <v/>
      </c>
      <c r="J1604" s="6" t="inlineStr">
        <is>
          <t>Informado</t>
        </is>
      </c>
      <c r="K1604" s="6" t="inlineStr">
        <is>
          <t>Demanda doméstica fixa informada pelo usuário.</t>
        </is>
      </c>
    </row>
    <row r="1605">
      <c r="A1605" s="6" t="inlineStr">
        <is>
          <t>Milho</t>
        </is>
      </c>
      <c r="B1605" s="6" t="inlineStr">
        <is>
          <t>Florianópolis - SC</t>
        </is>
      </c>
      <c r="C1605" s="6" t="n">
        <v>-27.5945</v>
      </c>
      <c r="D1605" s="6" t="n">
        <v>-48.5477</v>
      </c>
      <c r="E1605" s="6" t="inlineStr">
        <is>
          <t>2025-08</t>
        </is>
      </c>
      <c r="F1605" s="6" t="n">
        <v>554312.0657199076</v>
      </c>
      <c r="G1605" s="6" t="inlineStr">
        <is>
          <t>DOMESTICA</t>
        </is>
      </c>
      <c r="H1605" s="6" t="inlineStr">
        <is>
          <t>FIXO</t>
        </is>
      </c>
      <c r="I1605" s="11">
        <f>IF($H1605="AUTO_OFERTA_TOTAL_PRODUTO_PERIODO",SUMIFS(Oferta!$F:$F,Oferta!$A:$A,$A1605,Oferta!$E:$E,$E1605),$F1605)</f>
        <v/>
      </c>
      <c r="J1605" s="6" t="inlineStr">
        <is>
          <t>Informado</t>
        </is>
      </c>
      <c r="K1605" s="6" t="inlineStr">
        <is>
          <t>Demanda doméstica fixa informada pelo usuário.</t>
        </is>
      </c>
    </row>
    <row r="1606">
      <c r="A1606" s="6" t="inlineStr">
        <is>
          <t>Milho</t>
        </is>
      </c>
      <c r="B1606" s="6" t="inlineStr">
        <is>
          <t>Florianópolis - SC</t>
        </is>
      </c>
      <c r="C1606" s="6" t="n">
        <v>-27.5945</v>
      </c>
      <c r="D1606" s="6" t="n">
        <v>-48.5477</v>
      </c>
      <c r="E1606" s="6" t="inlineStr">
        <is>
          <t>2025-09</t>
        </is>
      </c>
      <c r="F1606" s="6" t="n">
        <v>473684.8561606484</v>
      </c>
      <c r="G1606" s="6" t="inlineStr">
        <is>
          <t>DOMESTICA</t>
        </is>
      </c>
      <c r="H1606" s="6" t="inlineStr">
        <is>
          <t>FIXO</t>
        </is>
      </c>
      <c r="I1606" s="11">
        <f>IF($H1606="AUTO_OFERTA_TOTAL_PRODUTO_PERIODO",SUMIFS(Oferta!$F:$F,Oferta!$A:$A,$A1606,Oferta!$E:$E,$E1606),$F1606)</f>
        <v/>
      </c>
      <c r="J1606" s="6" t="inlineStr">
        <is>
          <t>Informado</t>
        </is>
      </c>
      <c r="K1606" s="6" t="inlineStr">
        <is>
          <t>Demanda doméstica fixa informada pelo usuário.</t>
        </is>
      </c>
    </row>
    <row r="1607">
      <c r="A1607" s="6" t="inlineStr">
        <is>
          <t>Milho</t>
        </is>
      </c>
      <c r="B1607" s="6" t="inlineStr">
        <is>
          <t>Florianópolis - SC</t>
        </is>
      </c>
      <c r="C1607" s="6" t="n">
        <v>-27.5945</v>
      </c>
      <c r="D1607" s="6" t="n">
        <v>-48.5477</v>
      </c>
      <c r="E1607" s="6" t="inlineStr">
        <is>
          <t>2025-10</t>
        </is>
      </c>
      <c r="F1607" s="6" t="n">
        <v>258678.9640026235</v>
      </c>
      <c r="G1607" s="6" t="inlineStr">
        <is>
          <t>DOMESTICA</t>
        </is>
      </c>
      <c r="H1607" s="6" t="inlineStr">
        <is>
          <t>FIXO</t>
        </is>
      </c>
      <c r="I1607" s="11">
        <f>IF($H1607="AUTO_OFERTA_TOTAL_PRODUTO_PERIODO",SUMIFS(Oferta!$F:$F,Oferta!$A:$A,$A1607,Oferta!$E:$E,$E1607),$F1607)</f>
        <v/>
      </c>
      <c r="J1607" s="6" t="inlineStr">
        <is>
          <t>Informado</t>
        </is>
      </c>
      <c r="K1607" s="6" t="inlineStr">
        <is>
          <t>Demanda doméstica fixa informada pelo usuário.</t>
        </is>
      </c>
    </row>
    <row r="1608">
      <c r="A1608" s="6" t="inlineStr">
        <is>
          <t>Milho</t>
        </is>
      </c>
      <c r="B1608" s="6" t="inlineStr">
        <is>
          <t>Florianópolis - SC</t>
        </is>
      </c>
      <c r="C1608" s="6" t="n">
        <v>-27.5945</v>
      </c>
      <c r="D1608" s="6" t="n">
        <v>-48.5477</v>
      </c>
      <c r="E1608" s="6" t="inlineStr">
        <is>
          <t>2025-11</t>
        </is>
      </c>
      <c r="F1608" s="6" t="n">
        <v>204927.4909631174</v>
      </c>
      <c r="G1608" s="6" t="inlineStr">
        <is>
          <t>DOMESTICA</t>
        </is>
      </c>
      <c r="H1608" s="6" t="inlineStr">
        <is>
          <t>FIXO</t>
        </is>
      </c>
      <c r="I1608" s="11">
        <f>IF($H1608="AUTO_OFERTA_TOTAL_PRODUTO_PERIODO",SUMIFS(Oferta!$F:$F,Oferta!$A:$A,$A1608,Oferta!$E:$E,$E1608),$F1608)</f>
        <v/>
      </c>
      <c r="J1608" s="6" t="inlineStr">
        <is>
          <t>Informado</t>
        </is>
      </c>
      <c r="K1608" s="6" t="inlineStr">
        <is>
          <t>Demanda doméstica fixa informada pelo usuário.</t>
        </is>
      </c>
    </row>
    <row r="1609">
      <c r="A1609" s="6" t="inlineStr">
        <is>
          <t>Milho</t>
        </is>
      </c>
      <c r="B1609" s="6" t="inlineStr">
        <is>
          <t>Florianópolis - SC</t>
        </is>
      </c>
      <c r="C1609" s="6" t="n">
        <v>-27.5945</v>
      </c>
      <c r="D1609" s="6" t="n">
        <v>-48.5477</v>
      </c>
      <c r="E1609" s="6" t="inlineStr">
        <is>
          <t>2025-12</t>
        </is>
      </c>
      <c r="F1609" s="6" t="n">
        <v>178051.7544433643</v>
      </c>
      <c r="G1609" s="6" t="inlineStr">
        <is>
          <t>DOMESTICA</t>
        </is>
      </c>
      <c r="H1609" s="6" t="inlineStr">
        <is>
          <t>FIXO</t>
        </is>
      </c>
      <c r="I1609" s="11">
        <f>IF($H1609="AUTO_OFERTA_TOTAL_PRODUTO_PERIODO",SUMIFS(Oferta!$F:$F,Oferta!$A:$A,$A1609,Oferta!$E:$E,$E1609),$F1609)</f>
        <v/>
      </c>
      <c r="J1609" s="6" t="inlineStr">
        <is>
          <t>Informado</t>
        </is>
      </c>
      <c r="K1609" s="6" t="inlineStr">
        <is>
          <t>Demanda doméstica fixa informada pelo usuário.</t>
        </is>
      </c>
    </row>
    <row r="1610">
      <c r="A1610" s="6" t="inlineStr">
        <is>
          <t>Milho</t>
        </is>
      </c>
      <c r="B1610" s="6" t="inlineStr">
        <is>
          <t>Porto Alegre - RS</t>
        </is>
      </c>
      <c r="C1610" s="6" t="n">
        <v>-30.0318</v>
      </c>
      <c r="D1610" s="6" t="n">
        <v>-51.2065</v>
      </c>
      <c r="E1610" s="6" t="inlineStr">
        <is>
          <t>2025-01</t>
        </is>
      </c>
      <c r="F1610" s="6" t="n">
        <v>517507.3963061466</v>
      </c>
      <c r="G1610" s="6" t="inlineStr">
        <is>
          <t>DOMESTICA</t>
        </is>
      </c>
      <c r="H1610" s="6" t="inlineStr">
        <is>
          <t>FIXO</t>
        </is>
      </c>
      <c r="I1610" s="11">
        <f>IF($H1610="AUTO_OFERTA_TOTAL_PRODUTO_PERIODO",SUMIFS(Oferta!$F:$F,Oferta!$A:$A,$A1610,Oferta!$E:$E,$E1610),$F1610)</f>
        <v/>
      </c>
      <c r="J1610" s="6" t="inlineStr">
        <is>
          <t>Informado</t>
        </is>
      </c>
      <c r="K1610" s="6" t="inlineStr">
        <is>
          <t>Demanda doméstica fixa informada pelo usuário.</t>
        </is>
      </c>
    </row>
    <row r="1611">
      <c r="A1611" s="6" t="inlineStr">
        <is>
          <t>Milho</t>
        </is>
      </c>
      <c r="B1611" s="6" t="inlineStr">
        <is>
          <t>Porto Alegre - RS</t>
        </is>
      </c>
      <c r="C1611" s="6" t="n">
        <v>-30.0318</v>
      </c>
      <c r="D1611" s="6" t="n">
        <v>-51.2065</v>
      </c>
      <c r="E1611" s="6" t="inlineStr">
        <is>
          <t>2025-02</t>
        </is>
      </c>
      <c r="F1611" s="6" t="n">
        <v>653247.0412389064</v>
      </c>
      <c r="G1611" s="6" t="inlineStr">
        <is>
          <t>DOMESTICA</t>
        </is>
      </c>
      <c r="H1611" s="6" t="inlineStr">
        <is>
          <t>FIXO</t>
        </is>
      </c>
      <c r="I1611" s="11">
        <f>IF($H1611="AUTO_OFERTA_TOTAL_PRODUTO_PERIODO",SUMIFS(Oferta!$F:$F,Oferta!$A:$A,$A1611,Oferta!$E:$E,$E1611),$F1611)</f>
        <v/>
      </c>
      <c r="J1611" s="6" t="inlineStr">
        <is>
          <t>Informado</t>
        </is>
      </c>
      <c r="K1611" s="6" t="inlineStr">
        <is>
          <t>Demanda doméstica fixa informada pelo usuário.</t>
        </is>
      </c>
    </row>
    <row r="1612">
      <c r="A1612" s="6" t="inlineStr">
        <is>
          <t>Milho</t>
        </is>
      </c>
      <c r="B1612" s="6" t="inlineStr">
        <is>
          <t>Porto Alegre - RS</t>
        </is>
      </c>
      <c r="C1612" s="6" t="n">
        <v>-30.0318</v>
      </c>
      <c r="D1612" s="6" t="n">
        <v>-51.2065</v>
      </c>
      <c r="E1612" s="6" t="inlineStr">
        <is>
          <t>2025-03</t>
        </is>
      </c>
      <c r="F1612" s="6" t="n">
        <v>788986.6861716663</v>
      </c>
      <c r="G1612" s="6" t="inlineStr">
        <is>
          <t>DOMESTICA</t>
        </is>
      </c>
      <c r="H1612" s="6" t="inlineStr">
        <is>
          <t>FIXO</t>
        </is>
      </c>
      <c r="I1612" s="11">
        <f>IF($H1612="AUTO_OFERTA_TOTAL_PRODUTO_PERIODO",SUMIFS(Oferta!$F:$F,Oferta!$A:$A,$A1612,Oferta!$E:$E,$E1612),$F1612)</f>
        <v/>
      </c>
      <c r="J1612" s="6" t="inlineStr">
        <is>
          <t>Informado</t>
        </is>
      </c>
      <c r="K1612" s="6" t="inlineStr">
        <is>
          <t>Demanda doméstica fixa informada pelo usuário.</t>
        </is>
      </c>
    </row>
    <row r="1613">
      <c r="A1613" s="6" t="inlineStr">
        <is>
          <t>Milho</t>
        </is>
      </c>
      <c r="B1613" s="6" t="inlineStr">
        <is>
          <t>Porto Alegre - RS</t>
        </is>
      </c>
      <c r="C1613" s="6" t="n">
        <v>-30.0318</v>
      </c>
      <c r="D1613" s="6" t="n">
        <v>-51.2065</v>
      </c>
      <c r="E1613" s="6" t="inlineStr">
        <is>
          <t>2025-04</t>
        </is>
      </c>
      <c r="F1613" s="6" t="n">
        <v>1128335.798503566</v>
      </c>
      <c r="G1613" s="6" t="inlineStr">
        <is>
          <t>DOMESTICA</t>
        </is>
      </c>
      <c r="H1613" s="6" t="inlineStr">
        <is>
          <t>FIXO</t>
        </is>
      </c>
      <c r="I1613" s="11">
        <f>IF($H1613="AUTO_OFERTA_TOTAL_PRODUTO_PERIODO",SUMIFS(Oferta!$F:$F,Oferta!$A:$A,$A1613,Oferta!$E:$E,$E1613),$F1613)</f>
        <v/>
      </c>
      <c r="J1613" s="6" t="inlineStr">
        <is>
          <t>Informado</t>
        </is>
      </c>
      <c r="K1613" s="6" t="inlineStr">
        <is>
          <t>Demanda doméstica fixa informada pelo usuário.</t>
        </is>
      </c>
    </row>
    <row r="1614">
      <c r="A1614" s="6" t="inlineStr">
        <is>
          <t>Milho</t>
        </is>
      </c>
      <c r="B1614" s="6" t="inlineStr">
        <is>
          <t>Porto Alegre - RS</t>
        </is>
      </c>
      <c r="C1614" s="6" t="n">
        <v>-30.0318</v>
      </c>
      <c r="D1614" s="6" t="n">
        <v>-51.2065</v>
      </c>
      <c r="E1614" s="6" t="inlineStr">
        <is>
          <t>2025-05</t>
        </is>
      </c>
      <c r="F1614" s="6" t="n">
        <v>1399815.088369085</v>
      </c>
      <c r="G1614" s="6" t="inlineStr">
        <is>
          <t>DOMESTICA</t>
        </is>
      </c>
      <c r="H1614" s="6" t="inlineStr">
        <is>
          <t>FIXO</t>
        </is>
      </c>
      <c r="I1614" s="11">
        <f>IF($H1614="AUTO_OFERTA_TOTAL_PRODUTO_PERIODO",SUMIFS(Oferta!$F:$F,Oferta!$A:$A,$A1614,Oferta!$E:$E,$E1614),$F1614)</f>
        <v/>
      </c>
      <c r="J1614" s="6" t="inlineStr">
        <is>
          <t>Informado</t>
        </is>
      </c>
      <c r="K1614" s="6" t="inlineStr">
        <is>
          <t>Demanda doméstica fixa informada pelo usuário.</t>
        </is>
      </c>
    </row>
    <row r="1615">
      <c r="A1615" s="6" t="inlineStr">
        <is>
          <t>Milho</t>
        </is>
      </c>
      <c r="B1615" s="6" t="inlineStr">
        <is>
          <t>Porto Alegre - RS</t>
        </is>
      </c>
      <c r="C1615" s="6" t="n">
        <v>-30.0318</v>
      </c>
      <c r="D1615" s="6" t="n">
        <v>-51.2065</v>
      </c>
      <c r="E1615" s="6" t="inlineStr">
        <is>
          <t>2025-06</t>
        </is>
      </c>
      <c r="F1615" s="6" t="n">
        <v>1399815.088369085</v>
      </c>
      <c r="G1615" s="6" t="inlineStr">
        <is>
          <t>DOMESTICA</t>
        </is>
      </c>
      <c r="H1615" s="6" t="inlineStr">
        <is>
          <t>FIXO</t>
        </is>
      </c>
      <c r="I1615" s="11">
        <f>IF($H1615="AUTO_OFERTA_TOTAL_PRODUTO_PERIODO",SUMIFS(Oferta!$F:$F,Oferta!$A:$A,$A1615,Oferta!$E:$E,$E1615),$F1615)</f>
        <v/>
      </c>
      <c r="J1615" s="6" t="inlineStr">
        <is>
          <t>Informado</t>
        </is>
      </c>
      <c r="K1615" s="6" t="inlineStr">
        <is>
          <t>Demanda doméstica fixa informada pelo usuário.</t>
        </is>
      </c>
    </row>
    <row r="1616">
      <c r="A1616" s="6" t="inlineStr">
        <is>
          <t>Milho</t>
        </is>
      </c>
      <c r="B1616" s="6" t="inlineStr">
        <is>
          <t>Porto Alegre - RS</t>
        </is>
      </c>
      <c r="C1616" s="6" t="n">
        <v>-30.0318</v>
      </c>
      <c r="D1616" s="6" t="n">
        <v>-51.2065</v>
      </c>
      <c r="E1616" s="6" t="inlineStr">
        <is>
          <t>2025-07</t>
        </is>
      </c>
      <c r="F1616" s="6" t="n">
        <v>1128335.798503566</v>
      </c>
      <c r="G1616" s="6" t="inlineStr">
        <is>
          <t>DOMESTICA</t>
        </is>
      </c>
      <c r="H1616" s="6" t="inlineStr">
        <is>
          <t>FIXO</t>
        </is>
      </c>
      <c r="I1616" s="11">
        <f>IF($H1616="AUTO_OFERTA_TOTAL_PRODUTO_PERIODO",SUMIFS(Oferta!$F:$F,Oferta!$A:$A,$A1616,Oferta!$E:$E,$E1616),$F1616)</f>
        <v/>
      </c>
      <c r="J1616" s="6" t="inlineStr">
        <is>
          <t>Informado</t>
        </is>
      </c>
      <c r="K1616" s="6" t="inlineStr">
        <is>
          <t>Demanda doméstica fixa informada pelo usuário.</t>
        </is>
      </c>
    </row>
    <row r="1617">
      <c r="A1617" s="6" t="inlineStr">
        <is>
          <t>Milho</t>
        </is>
      </c>
      <c r="B1617" s="6" t="inlineStr">
        <is>
          <t>Porto Alegre - RS</t>
        </is>
      </c>
      <c r="C1617" s="6" t="n">
        <v>-30.0318</v>
      </c>
      <c r="D1617" s="6" t="n">
        <v>-51.2065</v>
      </c>
      <c r="E1617" s="6" t="inlineStr">
        <is>
          <t>2025-08</t>
        </is>
      </c>
      <c r="F1617" s="6" t="n">
        <v>721116.8637052863</v>
      </c>
      <c r="G1617" s="6" t="inlineStr">
        <is>
          <t>DOMESTICA</t>
        </is>
      </c>
      <c r="H1617" s="6" t="inlineStr">
        <is>
          <t>FIXO</t>
        </is>
      </c>
      <c r="I1617" s="11">
        <f>IF($H1617="AUTO_OFERTA_TOTAL_PRODUTO_PERIODO",SUMIFS(Oferta!$F:$F,Oferta!$A:$A,$A1617,Oferta!$E:$E,$E1617),$F1617)</f>
        <v/>
      </c>
      <c r="J1617" s="6" t="inlineStr">
        <is>
          <t>Informado</t>
        </is>
      </c>
      <c r="K1617" s="6" t="inlineStr">
        <is>
          <t>Demanda doméstica fixa informada pelo usuário.</t>
        </is>
      </c>
    </row>
    <row r="1618">
      <c r="A1618" s="6" t="inlineStr">
        <is>
          <t>Milho</t>
        </is>
      </c>
      <c r="B1618" s="6" t="inlineStr">
        <is>
          <t>Porto Alegre - RS</t>
        </is>
      </c>
      <c r="C1618" s="6" t="n">
        <v>-30.0318</v>
      </c>
      <c r="D1618" s="6" t="n">
        <v>-51.2065</v>
      </c>
      <c r="E1618" s="6" t="inlineStr">
        <is>
          <t>2025-09</t>
        </is>
      </c>
      <c r="F1618" s="6" t="n">
        <v>585377.2187725265</v>
      </c>
      <c r="G1618" s="6" t="inlineStr">
        <is>
          <t>DOMESTICA</t>
        </is>
      </c>
      <c r="H1618" s="6" t="inlineStr">
        <is>
          <t>FIXO</t>
        </is>
      </c>
      <c r="I1618" s="11">
        <f>IF($H1618="AUTO_OFERTA_TOTAL_PRODUTO_PERIODO",SUMIFS(Oferta!$F:$F,Oferta!$A:$A,$A1618,Oferta!$E:$E,$E1618),$F1618)</f>
        <v/>
      </c>
      <c r="J1618" s="6" t="inlineStr">
        <is>
          <t>Informado</t>
        </is>
      </c>
      <c r="K1618" s="6" t="inlineStr">
        <is>
          <t>Demanda doméstica fixa informada pelo usuário.</t>
        </is>
      </c>
    </row>
    <row r="1619">
      <c r="A1619" s="6" t="inlineStr">
        <is>
          <t>Milho</t>
        </is>
      </c>
      <c r="B1619" s="6" t="inlineStr">
        <is>
          <t>Porto Alegre - RS</t>
        </is>
      </c>
      <c r="C1619" s="6" t="n">
        <v>-30.0318</v>
      </c>
      <c r="D1619" s="6" t="n">
        <v>-51.2065</v>
      </c>
      <c r="E1619" s="6" t="inlineStr">
        <is>
          <t>2025-10</t>
        </is>
      </c>
      <c r="F1619" s="6" t="n">
        <v>449637.5738397668</v>
      </c>
      <c r="G1619" s="6" t="inlineStr">
        <is>
          <t>DOMESTICA</t>
        </is>
      </c>
      <c r="H1619" s="6" t="inlineStr">
        <is>
          <t>FIXO</t>
        </is>
      </c>
      <c r="I1619" s="11">
        <f>IF($H1619="AUTO_OFERTA_TOTAL_PRODUTO_PERIODO",SUMIFS(Oferta!$F:$F,Oferta!$A:$A,$A1619,Oferta!$E:$E,$E1619),$F1619)</f>
        <v/>
      </c>
      <c r="J1619" s="6" t="inlineStr">
        <is>
          <t>Informado</t>
        </is>
      </c>
      <c r="K1619" s="6" t="inlineStr">
        <is>
          <t>Demanda doméstica fixa informada pelo usuário.</t>
        </is>
      </c>
    </row>
    <row r="1620">
      <c r="A1620" s="6" t="inlineStr">
        <is>
          <t>Milho</t>
        </is>
      </c>
      <c r="B1620" s="6" t="inlineStr">
        <is>
          <t>Porto Alegre - RS</t>
        </is>
      </c>
      <c r="C1620" s="6" t="n">
        <v>-30.0318</v>
      </c>
      <c r="D1620" s="6" t="n">
        <v>-51.2065</v>
      </c>
      <c r="E1620" s="6" t="inlineStr">
        <is>
          <t>2025-11</t>
        </is>
      </c>
      <c r="F1620" s="6" t="n">
        <v>449637.5738397668</v>
      </c>
      <c r="G1620" s="6" t="inlineStr">
        <is>
          <t>DOMESTICA</t>
        </is>
      </c>
      <c r="H1620" s="6" t="inlineStr">
        <is>
          <t>FIXO</t>
        </is>
      </c>
      <c r="I1620" s="11">
        <f>IF($H1620="AUTO_OFERTA_TOTAL_PRODUTO_PERIODO",SUMIFS(Oferta!$F:$F,Oferta!$A:$A,$A1620,Oferta!$E:$E,$E1620),$F1620)</f>
        <v/>
      </c>
      <c r="J1620" s="6" t="inlineStr">
        <is>
          <t>Informado</t>
        </is>
      </c>
      <c r="K1620" s="6" t="inlineStr">
        <is>
          <t>Demanda doméstica fixa informada pelo usuário.</t>
        </is>
      </c>
    </row>
    <row r="1621">
      <c r="A1621" s="6" t="inlineStr">
        <is>
          <t>Milho</t>
        </is>
      </c>
      <c r="B1621" s="6" t="inlineStr">
        <is>
          <t>Porto Alegre - RS</t>
        </is>
      </c>
      <c r="C1621" s="6" t="n">
        <v>-30.0318</v>
      </c>
      <c r="D1621" s="6" t="n">
        <v>-51.2065</v>
      </c>
      <c r="E1621" s="6" t="inlineStr">
        <is>
          <t>2025-12</t>
        </is>
      </c>
      <c r="F1621" s="6" t="n">
        <v>449637.5738397668</v>
      </c>
      <c r="G1621" s="6" t="inlineStr">
        <is>
          <t>DOMESTICA</t>
        </is>
      </c>
      <c r="H1621" s="6" t="inlineStr">
        <is>
          <t>FIXO</t>
        </is>
      </c>
      <c r="I1621" s="11">
        <f>IF($H1621="AUTO_OFERTA_TOTAL_PRODUTO_PERIODO",SUMIFS(Oferta!$F:$F,Oferta!$A:$A,$A1621,Oferta!$E:$E,$E1621),$F1621)</f>
        <v/>
      </c>
      <c r="J1621" s="6" t="inlineStr">
        <is>
          <t>Informado</t>
        </is>
      </c>
      <c r="K1621" s="6" t="inlineStr">
        <is>
          <t>Demanda doméstica fixa informada pelo usuário.</t>
        </is>
      </c>
    </row>
    <row r="1622">
      <c r="A1622" s="6" t="inlineStr">
        <is>
          <t>Soja</t>
        </is>
      </c>
      <c r="B1622" s="6" t="inlineStr">
        <is>
          <t>Rio Branco - AC</t>
        </is>
      </c>
      <c r="C1622" s="6" t="n">
        <v>-9.97499</v>
      </c>
      <c r="D1622" s="6" t="n">
        <v>-67.82429999999999</v>
      </c>
      <c r="E1622" s="6" t="inlineStr">
        <is>
          <t>2021-01</t>
        </is>
      </c>
      <c r="F1622" s="6" t="n">
        <v>7074.2178779554</v>
      </c>
      <c r="G1622" s="6" t="inlineStr">
        <is>
          <t>DOMESTICA</t>
        </is>
      </c>
      <c r="H1622" s="6" t="inlineStr">
        <is>
          <t>FIXO</t>
        </is>
      </c>
      <c r="I1622" s="11">
        <f>IF($H1622="AUTO_OFERTA_TOTAL_PRODUTO_PERIODO",SUMIFS(Oferta!$F:$F,Oferta!$A:$A,$A1622,Oferta!$E:$E,$E1622),$F1622)</f>
        <v/>
      </c>
      <c r="J1622" s="6" t="inlineStr">
        <is>
          <t>Informado</t>
        </is>
      </c>
      <c r="K1622" s="6" t="inlineStr">
        <is>
          <t>Demanda doméstica fixa informada pelo usuário.</t>
        </is>
      </c>
    </row>
    <row r="1623">
      <c r="A1623" s="6" t="inlineStr">
        <is>
          <t>Soja</t>
        </is>
      </c>
      <c r="B1623" s="6" t="inlineStr">
        <is>
          <t>Rio Branco - AC</t>
        </is>
      </c>
      <c r="C1623" s="6" t="n">
        <v>-9.97499</v>
      </c>
      <c r="D1623" s="6" t="n">
        <v>-67.82429999999999</v>
      </c>
      <c r="E1623" s="6" t="inlineStr">
        <is>
          <t>2021-02</t>
        </is>
      </c>
      <c r="F1623" s="6" t="n">
        <v>7074.2178779554</v>
      </c>
      <c r="G1623" s="6" t="inlineStr">
        <is>
          <t>DOMESTICA</t>
        </is>
      </c>
      <c r="H1623" s="6" t="inlineStr">
        <is>
          <t>FIXO</t>
        </is>
      </c>
      <c r="I1623" s="11">
        <f>IF($H1623="AUTO_OFERTA_TOTAL_PRODUTO_PERIODO",SUMIFS(Oferta!$F:$F,Oferta!$A:$A,$A1623,Oferta!$E:$E,$E1623),$F1623)</f>
        <v/>
      </c>
      <c r="J1623" s="6" t="inlineStr">
        <is>
          <t>Informado</t>
        </is>
      </c>
      <c r="K1623" s="6" t="inlineStr">
        <is>
          <t>Demanda doméstica fixa informada pelo usuário.</t>
        </is>
      </c>
    </row>
    <row r="1624">
      <c r="A1624" s="6" t="inlineStr">
        <is>
          <t>Soja</t>
        </is>
      </c>
      <c r="B1624" s="6" t="inlineStr">
        <is>
          <t>Rio Branco - AC</t>
        </is>
      </c>
      <c r="C1624" s="6" t="n">
        <v>-9.97499</v>
      </c>
      <c r="D1624" s="6" t="n">
        <v>-67.82429999999999</v>
      </c>
      <c r="E1624" s="6" t="inlineStr">
        <is>
          <t>2021-03</t>
        </is>
      </c>
      <c r="F1624" s="6" t="n">
        <v>7074.2178779554</v>
      </c>
      <c r="G1624" s="6" t="inlineStr">
        <is>
          <t>DOMESTICA</t>
        </is>
      </c>
      <c r="H1624" s="6" t="inlineStr">
        <is>
          <t>FIXO</t>
        </is>
      </c>
      <c r="I1624" s="11">
        <f>IF($H1624="AUTO_OFERTA_TOTAL_PRODUTO_PERIODO",SUMIFS(Oferta!$F:$F,Oferta!$A:$A,$A1624,Oferta!$E:$E,$E1624),$F1624)</f>
        <v/>
      </c>
      <c r="J1624" s="6" t="inlineStr">
        <is>
          <t>Informado</t>
        </is>
      </c>
      <c r="K1624" s="6" t="inlineStr">
        <is>
          <t>Demanda doméstica fixa informada pelo usuário.</t>
        </is>
      </c>
    </row>
    <row r="1625">
      <c r="A1625" s="6" t="inlineStr">
        <is>
          <t>Soja</t>
        </is>
      </c>
      <c r="B1625" s="6" t="inlineStr">
        <is>
          <t>Rio Branco - AC</t>
        </is>
      </c>
      <c r="C1625" s="6" t="n">
        <v>-9.97499</v>
      </c>
      <c r="D1625" s="6" t="n">
        <v>-67.82429999999999</v>
      </c>
      <c r="E1625" s="6" t="inlineStr">
        <is>
          <t>2021-04</t>
        </is>
      </c>
      <c r="F1625" s="6" t="n">
        <v>7074.2178779554</v>
      </c>
      <c r="G1625" s="6" t="inlineStr">
        <is>
          <t>DOMESTICA</t>
        </is>
      </c>
      <c r="H1625" s="6" t="inlineStr">
        <is>
          <t>FIXO</t>
        </is>
      </c>
      <c r="I1625" s="11">
        <f>IF($H1625="AUTO_OFERTA_TOTAL_PRODUTO_PERIODO",SUMIFS(Oferta!$F:$F,Oferta!$A:$A,$A1625,Oferta!$E:$E,$E1625),$F1625)</f>
        <v/>
      </c>
      <c r="J1625" s="6" t="inlineStr">
        <is>
          <t>Informado</t>
        </is>
      </c>
      <c r="K1625" s="6" t="inlineStr">
        <is>
          <t>Demanda doméstica fixa informada pelo usuário.</t>
        </is>
      </c>
    </row>
    <row r="1626">
      <c r="A1626" s="6" t="inlineStr">
        <is>
          <t>Soja</t>
        </is>
      </c>
      <c r="B1626" s="6" t="inlineStr">
        <is>
          <t>Rio Branco - AC</t>
        </is>
      </c>
      <c r="C1626" s="6" t="n">
        <v>-9.97499</v>
      </c>
      <c r="D1626" s="6" t="n">
        <v>-67.82429999999999</v>
      </c>
      <c r="E1626" s="6" t="inlineStr">
        <is>
          <t>2021-05</t>
        </is>
      </c>
      <c r="F1626" s="6" t="n">
        <v>7074.2178779554</v>
      </c>
      <c r="G1626" s="6" t="inlineStr">
        <is>
          <t>DOMESTICA</t>
        </is>
      </c>
      <c r="H1626" s="6" t="inlineStr">
        <is>
          <t>FIXO</t>
        </is>
      </c>
      <c r="I1626" s="11">
        <f>IF($H1626="AUTO_OFERTA_TOTAL_PRODUTO_PERIODO",SUMIFS(Oferta!$F:$F,Oferta!$A:$A,$A1626,Oferta!$E:$E,$E1626),$F1626)</f>
        <v/>
      </c>
      <c r="J1626" s="6" t="inlineStr">
        <is>
          <t>Informado</t>
        </is>
      </c>
      <c r="K1626" s="6" t="inlineStr">
        <is>
          <t>Demanda doméstica fixa informada pelo usuário.</t>
        </is>
      </c>
    </row>
    <row r="1627">
      <c r="A1627" s="6" t="inlineStr">
        <is>
          <t>Soja</t>
        </is>
      </c>
      <c r="B1627" s="6" t="inlineStr">
        <is>
          <t>Rio Branco - AC</t>
        </is>
      </c>
      <c r="C1627" s="6" t="n">
        <v>-9.97499</v>
      </c>
      <c r="D1627" s="6" t="n">
        <v>-67.82429999999999</v>
      </c>
      <c r="E1627" s="6" t="inlineStr">
        <is>
          <t>2021-06</t>
        </is>
      </c>
      <c r="F1627" s="6" t="n">
        <v>7074.2178779554</v>
      </c>
      <c r="G1627" s="6" t="inlineStr">
        <is>
          <t>DOMESTICA</t>
        </is>
      </c>
      <c r="H1627" s="6" t="inlineStr">
        <is>
          <t>FIXO</t>
        </is>
      </c>
      <c r="I1627" s="11">
        <f>IF($H1627="AUTO_OFERTA_TOTAL_PRODUTO_PERIODO",SUMIFS(Oferta!$F:$F,Oferta!$A:$A,$A1627,Oferta!$E:$E,$E1627),$F1627)</f>
        <v/>
      </c>
      <c r="J1627" s="6" t="inlineStr">
        <is>
          <t>Informado</t>
        </is>
      </c>
      <c r="K1627" s="6" t="inlineStr">
        <is>
          <t>Demanda doméstica fixa informada pelo usuário.</t>
        </is>
      </c>
    </row>
    <row r="1628">
      <c r="A1628" s="6" t="inlineStr">
        <is>
          <t>Soja</t>
        </is>
      </c>
      <c r="B1628" s="6" t="inlineStr">
        <is>
          <t>Rio Branco - AC</t>
        </is>
      </c>
      <c r="C1628" s="6" t="n">
        <v>-9.97499</v>
      </c>
      <c r="D1628" s="6" t="n">
        <v>-67.82429999999999</v>
      </c>
      <c r="E1628" s="6" t="inlineStr">
        <is>
          <t>2021-07</t>
        </is>
      </c>
      <c r="F1628" s="6" t="n">
        <v>7074.2178779554</v>
      </c>
      <c r="G1628" s="6" t="inlineStr">
        <is>
          <t>DOMESTICA</t>
        </is>
      </c>
      <c r="H1628" s="6" t="inlineStr">
        <is>
          <t>FIXO</t>
        </is>
      </c>
      <c r="I1628" s="11">
        <f>IF($H1628="AUTO_OFERTA_TOTAL_PRODUTO_PERIODO",SUMIFS(Oferta!$F:$F,Oferta!$A:$A,$A1628,Oferta!$E:$E,$E1628),$F1628)</f>
        <v/>
      </c>
      <c r="J1628" s="6" t="inlineStr">
        <is>
          <t>Informado</t>
        </is>
      </c>
      <c r="K1628" s="6" t="inlineStr">
        <is>
          <t>Demanda doméstica fixa informada pelo usuário.</t>
        </is>
      </c>
    </row>
    <row r="1629">
      <c r="A1629" s="6" t="inlineStr">
        <is>
          <t>Soja</t>
        </is>
      </c>
      <c r="B1629" s="6" t="inlineStr">
        <is>
          <t>Rio Branco - AC</t>
        </is>
      </c>
      <c r="C1629" s="6" t="n">
        <v>-9.97499</v>
      </c>
      <c r="D1629" s="6" t="n">
        <v>-67.82429999999999</v>
      </c>
      <c r="E1629" s="6" t="inlineStr">
        <is>
          <t>2021-08</t>
        </is>
      </c>
      <c r="F1629" s="6" t="n">
        <v>7074.2178779554</v>
      </c>
      <c r="G1629" s="6" t="inlineStr">
        <is>
          <t>DOMESTICA</t>
        </is>
      </c>
      <c r="H1629" s="6" t="inlineStr">
        <is>
          <t>FIXO</t>
        </is>
      </c>
      <c r="I1629" s="11">
        <f>IF($H1629="AUTO_OFERTA_TOTAL_PRODUTO_PERIODO",SUMIFS(Oferta!$F:$F,Oferta!$A:$A,$A1629,Oferta!$E:$E,$E1629),$F1629)</f>
        <v/>
      </c>
      <c r="J1629" s="6" t="inlineStr">
        <is>
          <t>Informado</t>
        </is>
      </c>
      <c r="K1629" s="6" t="inlineStr">
        <is>
          <t>Demanda doméstica fixa informada pelo usuário.</t>
        </is>
      </c>
    </row>
    <row r="1630">
      <c r="A1630" s="6" t="inlineStr">
        <is>
          <t>Soja</t>
        </is>
      </c>
      <c r="B1630" s="6" t="inlineStr">
        <is>
          <t>Rio Branco - AC</t>
        </is>
      </c>
      <c r="C1630" s="6" t="n">
        <v>-9.97499</v>
      </c>
      <c r="D1630" s="6" t="n">
        <v>-67.82429999999999</v>
      </c>
      <c r="E1630" s="6" t="inlineStr">
        <is>
          <t>2021-09</t>
        </is>
      </c>
      <c r="F1630" s="6" t="n">
        <v>7074.2178779554</v>
      </c>
      <c r="G1630" s="6" t="inlineStr">
        <is>
          <t>DOMESTICA</t>
        </is>
      </c>
      <c r="H1630" s="6" t="inlineStr">
        <is>
          <t>FIXO</t>
        </is>
      </c>
      <c r="I1630" s="11">
        <f>IF($H1630="AUTO_OFERTA_TOTAL_PRODUTO_PERIODO",SUMIFS(Oferta!$F:$F,Oferta!$A:$A,$A1630,Oferta!$E:$E,$E1630),$F1630)</f>
        <v/>
      </c>
      <c r="J1630" s="6" t="inlineStr">
        <is>
          <t>Informado</t>
        </is>
      </c>
      <c r="K1630" s="6" t="inlineStr">
        <is>
          <t>Demanda doméstica fixa informada pelo usuário.</t>
        </is>
      </c>
    </row>
    <row r="1631">
      <c r="A1631" s="6" t="inlineStr">
        <is>
          <t>Soja</t>
        </is>
      </c>
      <c r="B1631" s="6" t="inlineStr">
        <is>
          <t>Rio Branco - AC</t>
        </is>
      </c>
      <c r="C1631" s="6" t="n">
        <v>-9.97499</v>
      </c>
      <c r="D1631" s="6" t="n">
        <v>-67.82429999999999</v>
      </c>
      <c r="E1631" s="6" t="inlineStr">
        <is>
          <t>2021-10</t>
        </is>
      </c>
      <c r="F1631" s="6" t="n">
        <v>7074.2178779554</v>
      </c>
      <c r="G1631" s="6" t="inlineStr">
        <is>
          <t>DOMESTICA</t>
        </is>
      </c>
      <c r="H1631" s="6" t="inlineStr">
        <is>
          <t>FIXO</t>
        </is>
      </c>
      <c r="I1631" s="11">
        <f>IF($H1631="AUTO_OFERTA_TOTAL_PRODUTO_PERIODO",SUMIFS(Oferta!$F:$F,Oferta!$A:$A,$A1631,Oferta!$E:$E,$E1631),$F1631)</f>
        <v/>
      </c>
      <c r="J1631" s="6" t="inlineStr">
        <is>
          <t>Informado</t>
        </is>
      </c>
      <c r="K1631" s="6" t="inlineStr">
        <is>
          <t>Demanda doméstica fixa informada pelo usuário.</t>
        </is>
      </c>
    </row>
    <row r="1632">
      <c r="A1632" s="6" t="inlineStr">
        <is>
          <t>Soja</t>
        </is>
      </c>
      <c r="B1632" s="6" t="inlineStr">
        <is>
          <t>Rio Branco - AC</t>
        </is>
      </c>
      <c r="C1632" s="6" t="n">
        <v>-9.97499</v>
      </c>
      <c r="D1632" s="6" t="n">
        <v>-67.82429999999999</v>
      </c>
      <c r="E1632" s="6" t="inlineStr">
        <is>
          <t>2021-11</t>
        </is>
      </c>
      <c r="F1632" s="6" t="n">
        <v>7074.2178779554</v>
      </c>
      <c r="G1632" s="6" t="inlineStr">
        <is>
          <t>DOMESTICA</t>
        </is>
      </c>
      <c r="H1632" s="6" t="inlineStr">
        <is>
          <t>FIXO</t>
        </is>
      </c>
      <c r="I1632" s="11">
        <f>IF($H1632="AUTO_OFERTA_TOTAL_PRODUTO_PERIODO",SUMIFS(Oferta!$F:$F,Oferta!$A:$A,$A1632,Oferta!$E:$E,$E1632),$F1632)</f>
        <v/>
      </c>
      <c r="J1632" s="6" t="inlineStr">
        <is>
          <t>Informado</t>
        </is>
      </c>
      <c r="K1632" s="6" t="inlineStr">
        <is>
          <t>Demanda doméstica fixa informada pelo usuário.</t>
        </is>
      </c>
    </row>
    <row r="1633">
      <c r="A1633" s="6" t="inlineStr">
        <is>
          <t>Soja</t>
        </is>
      </c>
      <c r="B1633" s="6" t="inlineStr">
        <is>
          <t>Rio Branco - AC</t>
        </is>
      </c>
      <c r="C1633" s="6" t="n">
        <v>-9.97499</v>
      </c>
      <c r="D1633" s="6" t="n">
        <v>-67.82429999999999</v>
      </c>
      <c r="E1633" s="6" t="inlineStr">
        <is>
          <t>2021-12</t>
        </is>
      </c>
      <c r="F1633" s="6" t="n">
        <v>7074.2178779554</v>
      </c>
      <c r="G1633" s="6" t="inlineStr">
        <is>
          <t>DOMESTICA</t>
        </is>
      </c>
      <c r="H1633" s="6" t="inlineStr">
        <is>
          <t>FIXO</t>
        </is>
      </c>
      <c r="I1633" s="11">
        <f>IF($H1633="AUTO_OFERTA_TOTAL_PRODUTO_PERIODO",SUMIFS(Oferta!$F:$F,Oferta!$A:$A,$A1633,Oferta!$E:$E,$E1633),$F1633)</f>
        <v/>
      </c>
      <c r="J1633" s="6" t="inlineStr">
        <is>
          <t>Informado</t>
        </is>
      </c>
      <c r="K1633" s="6" t="inlineStr">
        <is>
          <t>Demanda doméstica fixa informada pelo usuário.</t>
        </is>
      </c>
    </row>
    <row r="1634">
      <c r="A1634" s="6" t="inlineStr">
        <is>
          <t>Soja</t>
        </is>
      </c>
      <c r="B1634" s="6" t="inlineStr">
        <is>
          <t>Macapá - AP</t>
        </is>
      </c>
      <c r="C1634" s="6" t="n">
        <v>0.034934</v>
      </c>
      <c r="D1634" s="6" t="n">
        <v>-51.0694</v>
      </c>
      <c r="E1634" s="6" t="inlineStr">
        <is>
          <t>2021-01</t>
        </is>
      </c>
      <c r="F1634" s="6" t="n">
        <v>4805.112784962</v>
      </c>
      <c r="G1634" s="6" t="inlineStr">
        <is>
          <t>DOMESTICA</t>
        </is>
      </c>
      <c r="H1634" s="6" t="inlineStr">
        <is>
          <t>FIXO</t>
        </is>
      </c>
      <c r="I1634" s="11">
        <f>IF($H1634="AUTO_OFERTA_TOTAL_PRODUTO_PERIODO",SUMIFS(Oferta!$F:$F,Oferta!$A:$A,$A1634,Oferta!$E:$E,$E1634),$F1634)</f>
        <v/>
      </c>
      <c r="J1634" s="6" t="inlineStr">
        <is>
          <t>Informado</t>
        </is>
      </c>
      <c r="K1634" s="6" t="inlineStr">
        <is>
          <t>Demanda doméstica fixa informada pelo usuário.</t>
        </is>
      </c>
    </row>
    <row r="1635">
      <c r="A1635" s="6" t="inlineStr">
        <is>
          <t>Soja</t>
        </is>
      </c>
      <c r="B1635" s="6" t="inlineStr">
        <is>
          <t>Macapá - AP</t>
        </is>
      </c>
      <c r="C1635" s="6" t="n">
        <v>0.034934</v>
      </c>
      <c r="D1635" s="6" t="n">
        <v>-51.0694</v>
      </c>
      <c r="E1635" s="6" t="inlineStr">
        <is>
          <t>2021-02</t>
        </is>
      </c>
      <c r="F1635" s="6" t="n">
        <v>4805.112784962</v>
      </c>
      <c r="G1635" s="6" t="inlineStr">
        <is>
          <t>DOMESTICA</t>
        </is>
      </c>
      <c r="H1635" s="6" t="inlineStr">
        <is>
          <t>FIXO</t>
        </is>
      </c>
      <c r="I1635" s="11">
        <f>IF($H1635="AUTO_OFERTA_TOTAL_PRODUTO_PERIODO",SUMIFS(Oferta!$F:$F,Oferta!$A:$A,$A1635,Oferta!$E:$E,$E1635),$F1635)</f>
        <v/>
      </c>
      <c r="J1635" s="6" t="inlineStr">
        <is>
          <t>Informado</t>
        </is>
      </c>
      <c r="K1635" s="6" t="inlineStr">
        <is>
          <t>Demanda doméstica fixa informada pelo usuário.</t>
        </is>
      </c>
    </row>
    <row r="1636">
      <c r="A1636" s="6" t="inlineStr">
        <is>
          <t>Soja</t>
        </is>
      </c>
      <c r="B1636" s="6" t="inlineStr">
        <is>
          <t>Macapá - AP</t>
        </is>
      </c>
      <c r="C1636" s="6" t="n">
        <v>0.034934</v>
      </c>
      <c r="D1636" s="6" t="n">
        <v>-51.0694</v>
      </c>
      <c r="E1636" s="6" t="inlineStr">
        <is>
          <t>2021-03</t>
        </is>
      </c>
      <c r="F1636" s="6" t="n">
        <v>4805.112784962</v>
      </c>
      <c r="G1636" s="6" t="inlineStr">
        <is>
          <t>DOMESTICA</t>
        </is>
      </c>
      <c r="H1636" s="6" t="inlineStr">
        <is>
          <t>FIXO</t>
        </is>
      </c>
      <c r="I1636" s="11">
        <f>IF($H1636="AUTO_OFERTA_TOTAL_PRODUTO_PERIODO",SUMIFS(Oferta!$F:$F,Oferta!$A:$A,$A1636,Oferta!$E:$E,$E1636),$F1636)</f>
        <v/>
      </c>
      <c r="J1636" s="6" t="inlineStr">
        <is>
          <t>Informado</t>
        </is>
      </c>
      <c r="K1636" s="6" t="inlineStr">
        <is>
          <t>Demanda doméstica fixa informada pelo usuário.</t>
        </is>
      </c>
    </row>
    <row r="1637">
      <c r="A1637" s="6" t="inlineStr">
        <is>
          <t>Soja</t>
        </is>
      </c>
      <c r="B1637" s="6" t="inlineStr">
        <is>
          <t>Macapá - AP</t>
        </is>
      </c>
      <c r="C1637" s="6" t="n">
        <v>0.034934</v>
      </c>
      <c r="D1637" s="6" t="n">
        <v>-51.0694</v>
      </c>
      <c r="E1637" s="6" t="inlineStr">
        <is>
          <t>2021-04</t>
        </is>
      </c>
      <c r="F1637" s="6" t="n">
        <v>4805.112784962</v>
      </c>
      <c r="G1637" s="6" t="inlineStr">
        <is>
          <t>DOMESTICA</t>
        </is>
      </c>
      <c r="H1637" s="6" t="inlineStr">
        <is>
          <t>FIXO</t>
        </is>
      </c>
      <c r="I1637" s="11">
        <f>IF($H1637="AUTO_OFERTA_TOTAL_PRODUTO_PERIODO",SUMIFS(Oferta!$F:$F,Oferta!$A:$A,$A1637,Oferta!$E:$E,$E1637),$F1637)</f>
        <v/>
      </c>
      <c r="J1637" s="6" t="inlineStr">
        <is>
          <t>Informado</t>
        </is>
      </c>
      <c r="K1637" s="6" t="inlineStr">
        <is>
          <t>Demanda doméstica fixa informada pelo usuário.</t>
        </is>
      </c>
    </row>
    <row r="1638">
      <c r="A1638" s="6" t="inlineStr">
        <is>
          <t>Soja</t>
        </is>
      </c>
      <c r="B1638" s="6" t="inlineStr">
        <is>
          <t>Macapá - AP</t>
        </is>
      </c>
      <c r="C1638" s="6" t="n">
        <v>0.034934</v>
      </c>
      <c r="D1638" s="6" t="n">
        <v>-51.0694</v>
      </c>
      <c r="E1638" s="6" t="inlineStr">
        <is>
          <t>2021-05</t>
        </is>
      </c>
      <c r="F1638" s="6" t="n">
        <v>4805.112784962</v>
      </c>
      <c r="G1638" s="6" t="inlineStr">
        <is>
          <t>DOMESTICA</t>
        </is>
      </c>
      <c r="H1638" s="6" t="inlineStr">
        <is>
          <t>FIXO</t>
        </is>
      </c>
      <c r="I1638" s="11">
        <f>IF($H1638="AUTO_OFERTA_TOTAL_PRODUTO_PERIODO",SUMIFS(Oferta!$F:$F,Oferta!$A:$A,$A1638,Oferta!$E:$E,$E1638),$F1638)</f>
        <v/>
      </c>
      <c r="J1638" s="6" t="inlineStr">
        <is>
          <t>Informado</t>
        </is>
      </c>
      <c r="K1638" s="6" t="inlineStr">
        <is>
          <t>Demanda doméstica fixa informada pelo usuário.</t>
        </is>
      </c>
    </row>
    <row r="1639">
      <c r="A1639" s="6" t="inlineStr">
        <is>
          <t>Soja</t>
        </is>
      </c>
      <c r="B1639" s="6" t="inlineStr">
        <is>
          <t>Macapá - AP</t>
        </is>
      </c>
      <c r="C1639" s="6" t="n">
        <v>0.034934</v>
      </c>
      <c r="D1639" s="6" t="n">
        <v>-51.0694</v>
      </c>
      <c r="E1639" s="6" t="inlineStr">
        <is>
          <t>2021-06</t>
        </is>
      </c>
      <c r="F1639" s="6" t="n">
        <v>4805.112784962</v>
      </c>
      <c r="G1639" s="6" t="inlineStr">
        <is>
          <t>DOMESTICA</t>
        </is>
      </c>
      <c r="H1639" s="6" t="inlineStr">
        <is>
          <t>FIXO</t>
        </is>
      </c>
      <c r="I1639" s="11">
        <f>IF($H1639="AUTO_OFERTA_TOTAL_PRODUTO_PERIODO",SUMIFS(Oferta!$F:$F,Oferta!$A:$A,$A1639,Oferta!$E:$E,$E1639),$F1639)</f>
        <v/>
      </c>
      <c r="J1639" s="6" t="inlineStr">
        <is>
          <t>Informado</t>
        </is>
      </c>
      <c r="K1639" s="6" t="inlineStr">
        <is>
          <t>Demanda doméstica fixa informada pelo usuário.</t>
        </is>
      </c>
    </row>
    <row r="1640">
      <c r="A1640" s="6" t="inlineStr">
        <is>
          <t>Soja</t>
        </is>
      </c>
      <c r="B1640" s="6" t="inlineStr">
        <is>
          <t>Macapá - AP</t>
        </is>
      </c>
      <c r="C1640" s="6" t="n">
        <v>0.034934</v>
      </c>
      <c r="D1640" s="6" t="n">
        <v>-51.0694</v>
      </c>
      <c r="E1640" s="6" t="inlineStr">
        <is>
          <t>2021-07</t>
        </is>
      </c>
      <c r="F1640" s="6" t="n">
        <v>4805.112784962</v>
      </c>
      <c r="G1640" s="6" t="inlineStr">
        <is>
          <t>DOMESTICA</t>
        </is>
      </c>
      <c r="H1640" s="6" t="inlineStr">
        <is>
          <t>FIXO</t>
        </is>
      </c>
      <c r="I1640" s="11">
        <f>IF($H1640="AUTO_OFERTA_TOTAL_PRODUTO_PERIODO",SUMIFS(Oferta!$F:$F,Oferta!$A:$A,$A1640,Oferta!$E:$E,$E1640),$F1640)</f>
        <v/>
      </c>
      <c r="J1640" s="6" t="inlineStr">
        <is>
          <t>Informado</t>
        </is>
      </c>
      <c r="K1640" s="6" t="inlineStr">
        <is>
          <t>Demanda doméstica fixa informada pelo usuário.</t>
        </is>
      </c>
    </row>
    <row r="1641">
      <c r="A1641" s="6" t="inlineStr">
        <is>
          <t>Soja</t>
        </is>
      </c>
      <c r="B1641" s="6" t="inlineStr">
        <is>
          <t>Macapá - AP</t>
        </is>
      </c>
      <c r="C1641" s="6" t="n">
        <v>0.034934</v>
      </c>
      <c r="D1641" s="6" t="n">
        <v>-51.0694</v>
      </c>
      <c r="E1641" s="6" t="inlineStr">
        <is>
          <t>2021-08</t>
        </is>
      </c>
      <c r="F1641" s="6" t="n">
        <v>4805.112784962</v>
      </c>
      <c r="G1641" s="6" t="inlineStr">
        <is>
          <t>DOMESTICA</t>
        </is>
      </c>
      <c r="H1641" s="6" t="inlineStr">
        <is>
          <t>FIXO</t>
        </is>
      </c>
      <c r="I1641" s="11">
        <f>IF($H1641="AUTO_OFERTA_TOTAL_PRODUTO_PERIODO",SUMIFS(Oferta!$F:$F,Oferta!$A:$A,$A1641,Oferta!$E:$E,$E1641),$F1641)</f>
        <v/>
      </c>
      <c r="J1641" s="6" t="inlineStr">
        <is>
          <t>Informado</t>
        </is>
      </c>
      <c r="K1641" s="6" t="inlineStr">
        <is>
          <t>Demanda doméstica fixa informada pelo usuário.</t>
        </is>
      </c>
    </row>
    <row r="1642">
      <c r="A1642" s="6" t="inlineStr">
        <is>
          <t>Soja</t>
        </is>
      </c>
      <c r="B1642" s="6" t="inlineStr">
        <is>
          <t>Macapá - AP</t>
        </is>
      </c>
      <c r="C1642" s="6" t="n">
        <v>0.034934</v>
      </c>
      <c r="D1642" s="6" t="n">
        <v>-51.0694</v>
      </c>
      <c r="E1642" s="6" t="inlineStr">
        <is>
          <t>2021-09</t>
        </is>
      </c>
      <c r="F1642" s="6" t="n">
        <v>4805.112784962</v>
      </c>
      <c r="G1642" s="6" t="inlineStr">
        <is>
          <t>DOMESTICA</t>
        </is>
      </c>
      <c r="H1642" s="6" t="inlineStr">
        <is>
          <t>FIXO</t>
        </is>
      </c>
      <c r="I1642" s="11">
        <f>IF($H1642="AUTO_OFERTA_TOTAL_PRODUTO_PERIODO",SUMIFS(Oferta!$F:$F,Oferta!$A:$A,$A1642,Oferta!$E:$E,$E1642),$F1642)</f>
        <v/>
      </c>
      <c r="J1642" s="6" t="inlineStr">
        <is>
          <t>Informado</t>
        </is>
      </c>
      <c r="K1642" s="6" t="inlineStr">
        <is>
          <t>Demanda doméstica fixa informada pelo usuário.</t>
        </is>
      </c>
    </row>
    <row r="1643">
      <c r="A1643" s="6" t="inlineStr">
        <is>
          <t>Soja</t>
        </is>
      </c>
      <c r="B1643" s="6" t="inlineStr">
        <is>
          <t>Macapá - AP</t>
        </is>
      </c>
      <c r="C1643" s="6" t="n">
        <v>0.034934</v>
      </c>
      <c r="D1643" s="6" t="n">
        <v>-51.0694</v>
      </c>
      <c r="E1643" s="6" t="inlineStr">
        <is>
          <t>2021-10</t>
        </is>
      </c>
      <c r="F1643" s="6" t="n">
        <v>4805.112784962</v>
      </c>
      <c r="G1643" s="6" t="inlineStr">
        <is>
          <t>DOMESTICA</t>
        </is>
      </c>
      <c r="H1643" s="6" t="inlineStr">
        <is>
          <t>FIXO</t>
        </is>
      </c>
      <c r="I1643" s="11">
        <f>IF($H1643="AUTO_OFERTA_TOTAL_PRODUTO_PERIODO",SUMIFS(Oferta!$F:$F,Oferta!$A:$A,$A1643,Oferta!$E:$E,$E1643),$F1643)</f>
        <v/>
      </c>
      <c r="J1643" s="6" t="inlineStr">
        <is>
          <t>Informado</t>
        </is>
      </c>
      <c r="K1643" s="6" t="inlineStr">
        <is>
          <t>Demanda doméstica fixa informada pelo usuário.</t>
        </is>
      </c>
    </row>
    <row r="1644">
      <c r="A1644" s="6" t="inlineStr">
        <is>
          <t>Soja</t>
        </is>
      </c>
      <c r="B1644" s="6" t="inlineStr">
        <is>
          <t>Macapá - AP</t>
        </is>
      </c>
      <c r="C1644" s="6" t="n">
        <v>0.034934</v>
      </c>
      <c r="D1644" s="6" t="n">
        <v>-51.0694</v>
      </c>
      <c r="E1644" s="6" t="inlineStr">
        <is>
          <t>2021-11</t>
        </is>
      </c>
      <c r="F1644" s="6" t="n">
        <v>4805.112784962</v>
      </c>
      <c r="G1644" s="6" t="inlineStr">
        <is>
          <t>DOMESTICA</t>
        </is>
      </c>
      <c r="H1644" s="6" t="inlineStr">
        <is>
          <t>FIXO</t>
        </is>
      </c>
      <c r="I1644" s="11">
        <f>IF($H1644="AUTO_OFERTA_TOTAL_PRODUTO_PERIODO",SUMIFS(Oferta!$F:$F,Oferta!$A:$A,$A1644,Oferta!$E:$E,$E1644),$F1644)</f>
        <v/>
      </c>
      <c r="J1644" s="6" t="inlineStr">
        <is>
          <t>Informado</t>
        </is>
      </c>
      <c r="K1644" s="6" t="inlineStr">
        <is>
          <t>Demanda doméstica fixa informada pelo usuário.</t>
        </is>
      </c>
    </row>
    <row r="1645">
      <c r="A1645" s="6" t="inlineStr">
        <is>
          <t>Soja</t>
        </is>
      </c>
      <c r="B1645" s="6" t="inlineStr">
        <is>
          <t>Macapá - AP</t>
        </is>
      </c>
      <c r="C1645" s="6" t="n">
        <v>0.034934</v>
      </c>
      <c r="D1645" s="6" t="n">
        <v>-51.0694</v>
      </c>
      <c r="E1645" s="6" t="inlineStr">
        <is>
          <t>2021-12</t>
        </is>
      </c>
      <c r="F1645" s="6" t="n">
        <v>4805.112784962</v>
      </c>
      <c r="G1645" s="6" t="inlineStr">
        <is>
          <t>DOMESTICA</t>
        </is>
      </c>
      <c r="H1645" s="6" t="inlineStr">
        <is>
          <t>FIXO</t>
        </is>
      </c>
      <c r="I1645" s="11">
        <f>IF($H1645="AUTO_OFERTA_TOTAL_PRODUTO_PERIODO",SUMIFS(Oferta!$F:$F,Oferta!$A:$A,$A1645,Oferta!$E:$E,$E1645),$F1645)</f>
        <v/>
      </c>
      <c r="J1645" s="6" t="inlineStr">
        <is>
          <t>Informado</t>
        </is>
      </c>
      <c r="K1645" s="6" t="inlineStr">
        <is>
          <t>Demanda doméstica fixa informada pelo usuário.</t>
        </is>
      </c>
    </row>
    <row r="1646">
      <c r="A1646" s="6" t="inlineStr">
        <is>
          <t>Soja</t>
        </is>
      </c>
      <c r="B1646" s="6" t="inlineStr">
        <is>
          <t>Manaus - AM</t>
        </is>
      </c>
      <c r="C1646" s="6" t="n">
        <v>-3.11866</v>
      </c>
      <c r="D1646" s="6" t="n">
        <v>-60.0212</v>
      </c>
      <c r="E1646" s="6" t="inlineStr">
        <is>
          <t>2021-01</t>
        </is>
      </c>
      <c r="F1646" s="6" t="n">
        <v>31767.0610761041</v>
      </c>
      <c r="G1646" s="6" t="inlineStr">
        <is>
          <t>DOMESTICA</t>
        </is>
      </c>
      <c r="H1646" s="6" t="inlineStr">
        <is>
          <t>FIXO</t>
        </is>
      </c>
      <c r="I1646" s="11">
        <f>IF($H1646="AUTO_OFERTA_TOTAL_PRODUTO_PERIODO",SUMIFS(Oferta!$F:$F,Oferta!$A:$A,$A1646,Oferta!$E:$E,$E1646),$F1646)</f>
        <v/>
      </c>
      <c r="J1646" s="6" t="inlineStr">
        <is>
          <t>Informado</t>
        </is>
      </c>
      <c r="K1646" s="6" t="inlineStr">
        <is>
          <t>Demanda doméstica fixa informada pelo usuário.</t>
        </is>
      </c>
    </row>
    <row r="1647">
      <c r="A1647" s="6" t="inlineStr">
        <is>
          <t>Soja</t>
        </is>
      </c>
      <c r="B1647" s="6" t="inlineStr">
        <is>
          <t>Manaus - AM</t>
        </is>
      </c>
      <c r="C1647" s="6" t="n">
        <v>-3.11866</v>
      </c>
      <c r="D1647" s="6" t="n">
        <v>-60.0212</v>
      </c>
      <c r="E1647" s="6" t="inlineStr">
        <is>
          <t>2021-02</t>
        </is>
      </c>
      <c r="F1647" s="6" t="n">
        <v>61232.1612046645</v>
      </c>
      <c r="G1647" s="6" t="inlineStr">
        <is>
          <t>DOMESTICA</t>
        </is>
      </c>
      <c r="H1647" s="6" t="inlineStr">
        <is>
          <t>FIXO</t>
        </is>
      </c>
      <c r="I1647" s="11">
        <f>IF($H1647="AUTO_OFERTA_TOTAL_PRODUTO_PERIODO",SUMIFS(Oferta!$F:$F,Oferta!$A:$A,$A1647,Oferta!$E:$E,$E1647),$F1647)</f>
        <v/>
      </c>
      <c r="J1647" s="6" t="inlineStr">
        <is>
          <t>Informado</t>
        </is>
      </c>
      <c r="K1647" s="6" t="inlineStr">
        <is>
          <t>Demanda doméstica fixa informada pelo usuário.</t>
        </is>
      </c>
    </row>
    <row r="1648">
      <c r="A1648" s="6" t="inlineStr">
        <is>
          <t>Soja</t>
        </is>
      </c>
      <c r="B1648" s="6" t="inlineStr">
        <is>
          <t>Manaus - AM</t>
        </is>
      </c>
      <c r="C1648" s="6" t="n">
        <v>-3.11866</v>
      </c>
      <c r="D1648" s="6" t="n">
        <v>-60.0212</v>
      </c>
      <c r="E1648" s="6" t="inlineStr">
        <is>
          <t>2021-03</t>
        </is>
      </c>
      <c r="F1648" s="6" t="n">
        <v>90697.2613332249</v>
      </c>
      <c r="G1648" s="6" t="inlineStr">
        <is>
          <t>DOMESTICA</t>
        </is>
      </c>
      <c r="H1648" s="6" t="inlineStr">
        <is>
          <t>FIXO</t>
        </is>
      </c>
      <c r="I1648" s="11">
        <f>IF($H1648="AUTO_OFERTA_TOTAL_PRODUTO_PERIODO",SUMIFS(Oferta!$F:$F,Oferta!$A:$A,$A1648,Oferta!$E:$E,$E1648),$F1648)</f>
        <v/>
      </c>
      <c r="J1648" s="6" t="inlineStr">
        <is>
          <t>Informado</t>
        </is>
      </c>
      <c r="K1648" s="6" t="inlineStr">
        <is>
          <t>Demanda doméstica fixa informada pelo usuário.</t>
        </is>
      </c>
    </row>
    <row r="1649">
      <c r="A1649" s="6" t="inlineStr">
        <is>
          <t>Soja</t>
        </is>
      </c>
      <c r="B1649" s="6" t="inlineStr">
        <is>
          <t>Manaus - AM</t>
        </is>
      </c>
      <c r="C1649" s="6" t="n">
        <v>-3.11866</v>
      </c>
      <c r="D1649" s="6" t="n">
        <v>-60.0212</v>
      </c>
      <c r="E1649" s="6" t="inlineStr">
        <is>
          <t>2021-04</t>
        </is>
      </c>
      <c r="F1649" s="6" t="n">
        <v>98063.536365365</v>
      </c>
      <c r="G1649" s="6" t="inlineStr">
        <is>
          <t>DOMESTICA</t>
        </is>
      </c>
      <c r="H1649" s="6" t="inlineStr">
        <is>
          <t>FIXO</t>
        </is>
      </c>
      <c r="I1649" s="11">
        <f>IF($H1649="AUTO_OFERTA_TOTAL_PRODUTO_PERIODO",SUMIFS(Oferta!$F:$F,Oferta!$A:$A,$A1649,Oferta!$E:$E,$E1649),$F1649)</f>
        <v/>
      </c>
      <c r="J1649" s="6" t="inlineStr">
        <is>
          <t>Informado</t>
        </is>
      </c>
      <c r="K1649" s="6" t="inlineStr">
        <is>
          <t>Demanda doméstica fixa informada pelo usuário.</t>
        </is>
      </c>
    </row>
    <row r="1650">
      <c r="A1650" s="6" t="inlineStr">
        <is>
          <t>Soja</t>
        </is>
      </c>
      <c r="B1650" s="6" t="inlineStr">
        <is>
          <t>Manaus - AM</t>
        </is>
      </c>
      <c r="C1650" s="6" t="n">
        <v>-3.11866</v>
      </c>
      <c r="D1650" s="6" t="n">
        <v>-60.0212</v>
      </c>
      <c r="E1650" s="6" t="inlineStr">
        <is>
          <t>2021-05</t>
        </is>
      </c>
      <c r="F1650" s="6" t="n">
        <v>68598.4362368046</v>
      </c>
      <c r="G1650" s="6" t="inlineStr">
        <is>
          <t>DOMESTICA</t>
        </is>
      </c>
      <c r="H1650" s="6" t="inlineStr">
        <is>
          <t>FIXO</t>
        </is>
      </c>
      <c r="I1650" s="11">
        <f>IF($H1650="AUTO_OFERTA_TOTAL_PRODUTO_PERIODO",SUMIFS(Oferta!$F:$F,Oferta!$A:$A,$A1650,Oferta!$E:$E,$E1650),$F1650)</f>
        <v/>
      </c>
      <c r="J1650" s="6" t="inlineStr">
        <is>
          <t>Informado</t>
        </is>
      </c>
      <c r="K1650" s="6" t="inlineStr">
        <is>
          <t>Demanda doméstica fixa informada pelo usuário.</t>
        </is>
      </c>
    </row>
    <row r="1651">
      <c r="A1651" s="6" t="inlineStr">
        <is>
          <t>Soja</t>
        </is>
      </c>
      <c r="B1651" s="6" t="inlineStr">
        <is>
          <t>Manaus - AM</t>
        </is>
      </c>
      <c r="C1651" s="6" t="n">
        <v>-3.11866</v>
      </c>
      <c r="D1651" s="6" t="n">
        <v>-60.0212</v>
      </c>
      <c r="E1651" s="6" t="inlineStr">
        <is>
          <t>2021-06</t>
        </is>
      </c>
      <c r="F1651" s="6" t="n">
        <v>39133.3361082442</v>
      </c>
      <c r="G1651" s="6" t="inlineStr">
        <is>
          <t>DOMESTICA</t>
        </is>
      </c>
      <c r="H1651" s="6" t="inlineStr">
        <is>
          <t>FIXO</t>
        </is>
      </c>
      <c r="I1651" s="11">
        <f>IF($H1651="AUTO_OFERTA_TOTAL_PRODUTO_PERIODO",SUMIFS(Oferta!$F:$F,Oferta!$A:$A,$A1651,Oferta!$E:$E,$E1651),$F1651)</f>
        <v/>
      </c>
      <c r="J1651" s="6" t="inlineStr">
        <is>
          <t>Informado</t>
        </is>
      </c>
      <c r="K1651" s="6" t="inlineStr">
        <is>
          <t>Demanda doméstica fixa informada pelo usuário.</t>
        </is>
      </c>
    </row>
    <row r="1652">
      <c r="A1652" s="6" t="inlineStr">
        <is>
          <t>Soja</t>
        </is>
      </c>
      <c r="B1652" s="6" t="inlineStr">
        <is>
          <t>Manaus - AM</t>
        </is>
      </c>
      <c r="C1652" s="6" t="n">
        <v>-3.11866</v>
      </c>
      <c r="D1652" s="6" t="n">
        <v>-60.0212</v>
      </c>
      <c r="E1652" s="6" t="inlineStr">
        <is>
          <t>2021-07</t>
        </is>
      </c>
      <c r="F1652" s="6" t="n">
        <v>24400.7860439641</v>
      </c>
      <c r="G1652" s="6" t="inlineStr">
        <is>
          <t>DOMESTICA</t>
        </is>
      </c>
      <c r="H1652" s="6" t="inlineStr">
        <is>
          <t>FIXO</t>
        </is>
      </c>
      <c r="I1652" s="11">
        <f>IF($H1652="AUTO_OFERTA_TOTAL_PRODUTO_PERIODO",SUMIFS(Oferta!$F:$F,Oferta!$A:$A,$A1652,Oferta!$E:$E,$E1652),$F1652)</f>
        <v/>
      </c>
      <c r="J1652" s="6" t="inlineStr">
        <is>
          <t>Informado</t>
        </is>
      </c>
      <c r="K1652" s="6" t="inlineStr">
        <is>
          <t>Demanda doméstica fixa informada pelo usuário.</t>
        </is>
      </c>
    </row>
    <row r="1653">
      <c r="A1653" s="6" t="inlineStr">
        <is>
          <t>Soja</t>
        </is>
      </c>
      <c r="B1653" s="6" t="inlineStr">
        <is>
          <t>Manaus - AM</t>
        </is>
      </c>
      <c r="C1653" s="6" t="n">
        <v>-3.11866</v>
      </c>
      <c r="D1653" s="6" t="n">
        <v>-60.0212</v>
      </c>
      <c r="E1653" s="6" t="inlineStr">
        <is>
          <t>2021-08</t>
        </is>
      </c>
      <c r="F1653" s="6" t="n">
        <v>24400.7860439641</v>
      </c>
      <c r="G1653" s="6" t="inlineStr">
        <is>
          <t>DOMESTICA</t>
        </is>
      </c>
      <c r="H1653" s="6" t="inlineStr">
        <is>
          <t>FIXO</t>
        </is>
      </c>
      <c r="I1653" s="11">
        <f>IF($H1653="AUTO_OFERTA_TOTAL_PRODUTO_PERIODO",SUMIFS(Oferta!$F:$F,Oferta!$A:$A,$A1653,Oferta!$E:$E,$E1653),$F1653)</f>
        <v/>
      </c>
      <c r="J1653" s="6" t="inlineStr">
        <is>
          <t>Informado</t>
        </is>
      </c>
      <c r="K1653" s="6" t="inlineStr">
        <is>
          <t>Demanda doméstica fixa informada pelo usuário.</t>
        </is>
      </c>
    </row>
    <row r="1654">
      <c r="A1654" s="6" t="inlineStr">
        <is>
          <t>Soja</t>
        </is>
      </c>
      <c r="B1654" s="6" t="inlineStr">
        <is>
          <t>Manaus - AM</t>
        </is>
      </c>
      <c r="C1654" s="6" t="n">
        <v>-3.11866</v>
      </c>
      <c r="D1654" s="6" t="n">
        <v>-60.0212</v>
      </c>
      <c r="E1654" s="6" t="inlineStr">
        <is>
          <t>2021-09</t>
        </is>
      </c>
      <c r="F1654" s="6" t="n">
        <v>24400.7860439641</v>
      </c>
      <c r="G1654" s="6" t="inlineStr">
        <is>
          <t>DOMESTICA</t>
        </is>
      </c>
      <c r="H1654" s="6" t="inlineStr">
        <is>
          <t>FIXO</t>
        </is>
      </c>
      <c r="I1654" s="11">
        <f>IF($H1654="AUTO_OFERTA_TOTAL_PRODUTO_PERIODO",SUMIFS(Oferta!$F:$F,Oferta!$A:$A,$A1654,Oferta!$E:$E,$E1654),$F1654)</f>
        <v/>
      </c>
      <c r="J1654" s="6" t="inlineStr">
        <is>
          <t>Informado</t>
        </is>
      </c>
      <c r="K1654" s="6" t="inlineStr">
        <is>
          <t>Demanda doméstica fixa informada pelo usuário.</t>
        </is>
      </c>
    </row>
    <row r="1655">
      <c r="A1655" s="6" t="inlineStr">
        <is>
          <t>Soja</t>
        </is>
      </c>
      <c r="B1655" s="6" t="inlineStr">
        <is>
          <t>Manaus - AM</t>
        </is>
      </c>
      <c r="C1655" s="6" t="n">
        <v>-3.11866</v>
      </c>
      <c r="D1655" s="6" t="n">
        <v>-60.0212</v>
      </c>
      <c r="E1655" s="6" t="inlineStr">
        <is>
          <t>2021-10</t>
        </is>
      </c>
      <c r="F1655" s="6" t="n">
        <v>24400.7860439641</v>
      </c>
      <c r="G1655" s="6" t="inlineStr">
        <is>
          <t>DOMESTICA</t>
        </is>
      </c>
      <c r="H1655" s="6" t="inlineStr">
        <is>
          <t>FIXO</t>
        </is>
      </c>
      <c r="I1655" s="11">
        <f>IF($H1655="AUTO_OFERTA_TOTAL_PRODUTO_PERIODO",SUMIFS(Oferta!$F:$F,Oferta!$A:$A,$A1655,Oferta!$E:$E,$E1655),$F1655)</f>
        <v/>
      </c>
      <c r="J1655" s="6" t="inlineStr">
        <is>
          <t>Informado</t>
        </is>
      </c>
      <c r="K1655" s="6" t="inlineStr">
        <is>
          <t>Demanda doméstica fixa informada pelo usuário.</t>
        </is>
      </c>
    </row>
    <row r="1656">
      <c r="A1656" s="6" t="inlineStr">
        <is>
          <t>Soja</t>
        </is>
      </c>
      <c r="B1656" s="6" t="inlineStr">
        <is>
          <t>Manaus - AM</t>
        </is>
      </c>
      <c r="C1656" s="6" t="n">
        <v>-3.11866</v>
      </c>
      <c r="D1656" s="6" t="n">
        <v>-60.0212</v>
      </c>
      <c r="E1656" s="6" t="inlineStr">
        <is>
          <t>2021-11</t>
        </is>
      </c>
      <c r="F1656" s="6" t="n">
        <v>24400.7860439641</v>
      </c>
      <c r="G1656" s="6" t="inlineStr">
        <is>
          <t>DOMESTICA</t>
        </is>
      </c>
      <c r="H1656" s="6" t="inlineStr">
        <is>
          <t>FIXO</t>
        </is>
      </c>
      <c r="I1656" s="11">
        <f>IF($H1656="AUTO_OFERTA_TOTAL_PRODUTO_PERIODO",SUMIFS(Oferta!$F:$F,Oferta!$A:$A,$A1656,Oferta!$E:$E,$E1656),$F1656)</f>
        <v/>
      </c>
      <c r="J1656" s="6" t="inlineStr">
        <is>
          <t>Informado</t>
        </is>
      </c>
      <c r="K1656" s="6" t="inlineStr">
        <is>
          <t>Demanda doméstica fixa informada pelo usuário.</t>
        </is>
      </c>
    </row>
    <row r="1657">
      <c r="A1657" s="6" t="inlineStr">
        <is>
          <t>Soja</t>
        </is>
      </c>
      <c r="B1657" s="6" t="inlineStr">
        <is>
          <t>Manaus - AM</t>
        </is>
      </c>
      <c r="C1657" s="6" t="n">
        <v>-3.11866</v>
      </c>
      <c r="D1657" s="6" t="n">
        <v>-60.0212</v>
      </c>
      <c r="E1657" s="6" t="inlineStr">
        <is>
          <t>2021-12</t>
        </is>
      </c>
      <c r="F1657" s="6" t="n">
        <v>24400.7860439641</v>
      </c>
      <c r="G1657" s="6" t="inlineStr">
        <is>
          <t>DOMESTICA</t>
        </is>
      </c>
      <c r="H1657" s="6" t="inlineStr">
        <is>
          <t>FIXO</t>
        </is>
      </c>
      <c r="I1657" s="11">
        <f>IF($H1657="AUTO_OFERTA_TOTAL_PRODUTO_PERIODO",SUMIFS(Oferta!$F:$F,Oferta!$A:$A,$A1657,Oferta!$E:$E,$E1657),$F1657)</f>
        <v/>
      </c>
      <c r="J1657" s="6" t="inlineStr">
        <is>
          <t>Informado</t>
        </is>
      </c>
      <c r="K1657" s="6" t="inlineStr">
        <is>
          <t>Demanda doméstica fixa informada pelo usuário.</t>
        </is>
      </c>
    </row>
    <row r="1658">
      <c r="A1658" s="6" t="inlineStr">
        <is>
          <t>Soja</t>
        </is>
      </c>
      <c r="B1658" s="6" t="inlineStr">
        <is>
          <t>Belém - PA</t>
        </is>
      </c>
      <c r="C1658" s="6" t="n">
        <v>-1.4554</v>
      </c>
      <c r="D1658" s="6" t="n">
        <v>-48.4898</v>
      </c>
      <c r="E1658" s="6" t="inlineStr">
        <is>
          <t>2021-01</t>
        </is>
      </c>
      <c r="F1658" s="6" t="n">
        <v>50020.6732425239</v>
      </c>
      <c r="G1658" s="6" t="inlineStr">
        <is>
          <t>DOMESTICA</t>
        </is>
      </c>
      <c r="H1658" s="6" t="inlineStr">
        <is>
          <t>FIXO</t>
        </is>
      </c>
      <c r="I1658" s="11">
        <f>IF($H1658="AUTO_OFERTA_TOTAL_PRODUTO_PERIODO",SUMIFS(Oferta!$F:$F,Oferta!$A:$A,$A1658,Oferta!$E:$E,$E1658),$F1658)</f>
        <v/>
      </c>
      <c r="J1658" s="6" t="inlineStr">
        <is>
          <t>Informado</t>
        </is>
      </c>
      <c r="K1658" s="6" t="inlineStr">
        <is>
          <t>Demanda doméstica fixa informada pelo usuário.</t>
        </is>
      </c>
    </row>
    <row r="1659">
      <c r="A1659" s="6" t="inlineStr">
        <is>
          <t>Soja</t>
        </is>
      </c>
      <c r="B1659" s="6" t="inlineStr">
        <is>
          <t>Belém - PA</t>
        </is>
      </c>
      <c r="C1659" s="6" t="n">
        <v>-1.4554</v>
      </c>
      <c r="D1659" s="6" t="n">
        <v>-48.4898</v>
      </c>
      <c r="E1659" s="6" t="inlineStr">
        <is>
          <t>2021-02</t>
        </is>
      </c>
      <c r="F1659" s="6" t="n">
        <v>50020.6732425239</v>
      </c>
      <c r="G1659" s="6" t="inlineStr">
        <is>
          <t>DOMESTICA</t>
        </is>
      </c>
      <c r="H1659" s="6" t="inlineStr">
        <is>
          <t>FIXO</t>
        </is>
      </c>
      <c r="I1659" s="11">
        <f>IF($H1659="AUTO_OFERTA_TOTAL_PRODUTO_PERIODO",SUMIFS(Oferta!$F:$F,Oferta!$A:$A,$A1659,Oferta!$E:$E,$E1659),$F1659)</f>
        <v/>
      </c>
      <c r="J1659" s="6" t="inlineStr">
        <is>
          <t>Informado</t>
        </is>
      </c>
      <c r="K1659" s="6" t="inlineStr">
        <is>
          <t>Demanda doméstica fixa informada pelo usuário.</t>
        </is>
      </c>
    </row>
    <row r="1660">
      <c r="A1660" s="6" t="inlineStr">
        <is>
          <t>Soja</t>
        </is>
      </c>
      <c r="B1660" s="6" t="inlineStr">
        <is>
          <t>Belém - PA</t>
        </is>
      </c>
      <c r="C1660" s="6" t="n">
        <v>-1.4554</v>
      </c>
      <c r="D1660" s="6" t="n">
        <v>-48.4898</v>
      </c>
      <c r="E1660" s="6" t="inlineStr">
        <is>
          <t>2021-03</t>
        </is>
      </c>
      <c r="F1660" s="6" t="n">
        <v>50020.6732425239</v>
      </c>
      <c r="G1660" s="6" t="inlineStr">
        <is>
          <t>DOMESTICA</t>
        </is>
      </c>
      <c r="H1660" s="6" t="inlineStr">
        <is>
          <t>FIXO</t>
        </is>
      </c>
      <c r="I1660" s="11">
        <f>IF($H1660="AUTO_OFERTA_TOTAL_PRODUTO_PERIODO",SUMIFS(Oferta!$F:$F,Oferta!$A:$A,$A1660,Oferta!$E:$E,$E1660),$F1660)</f>
        <v/>
      </c>
      <c r="J1660" s="6" t="inlineStr">
        <is>
          <t>Informado</t>
        </is>
      </c>
      <c r="K1660" s="6" t="inlineStr">
        <is>
          <t>Demanda doméstica fixa informada pelo usuário.</t>
        </is>
      </c>
    </row>
    <row r="1661">
      <c r="A1661" s="6" t="inlineStr">
        <is>
          <t>Soja</t>
        </is>
      </c>
      <c r="B1661" s="6" t="inlineStr">
        <is>
          <t>Belém - PA</t>
        </is>
      </c>
      <c r="C1661" s="6" t="n">
        <v>-1.4554</v>
      </c>
      <c r="D1661" s="6" t="n">
        <v>-48.4898</v>
      </c>
      <c r="E1661" s="6" t="inlineStr">
        <is>
          <t>2021-04</t>
        </is>
      </c>
      <c r="F1661" s="6" t="n">
        <v>50020.6732425239</v>
      </c>
      <c r="G1661" s="6" t="inlineStr">
        <is>
          <t>DOMESTICA</t>
        </is>
      </c>
      <c r="H1661" s="6" t="inlineStr">
        <is>
          <t>FIXO</t>
        </is>
      </c>
      <c r="I1661" s="11">
        <f>IF($H1661="AUTO_OFERTA_TOTAL_PRODUTO_PERIODO",SUMIFS(Oferta!$F:$F,Oferta!$A:$A,$A1661,Oferta!$E:$E,$E1661),$F1661)</f>
        <v/>
      </c>
      <c r="J1661" s="6" t="inlineStr">
        <is>
          <t>Informado</t>
        </is>
      </c>
      <c r="K1661" s="6" t="inlineStr">
        <is>
          <t>Demanda doméstica fixa informada pelo usuário.</t>
        </is>
      </c>
    </row>
    <row r="1662">
      <c r="A1662" s="6" t="inlineStr">
        <is>
          <t>Soja</t>
        </is>
      </c>
      <c r="B1662" s="6" t="inlineStr">
        <is>
          <t>Belém - PA</t>
        </is>
      </c>
      <c r="C1662" s="6" t="n">
        <v>-1.4554</v>
      </c>
      <c r="D1662" s="6" t="n">
        <v>-48.4898</v>
      </c>
      <c r="E1662" s="6" t="inlineStr">
        <is>
          <t>2021-05</t>
        </is>
      </c>
      <c r="F1662" s="6" t="n">
        <v>50020.6732425239</v>
      </c>
      <c r="G1662" s="6" t="inlineStr">
        <is>
          <t>DOMESTICA</t>
        </is>
      </c>
      <c r="H1662" s="6" t="inlineStr">
        <is>
          <t>FIXO</t>
        </is>
      </c>
      <c r="I1662" s="11">
        <f>IF($H1662="AUTO_OFERTA_TOTAL_PRODUTO_PERIODO",SUMIFS(Oferta!$F:$F,Oferta!$A:$A,$A1662,Oferta!$E:$E,$E1662),$F1662)</f>
        <v/>
      </c>
      <c r="J1662" s="6" t="inlineStr">
        <is>
          <t>Informado</t>
        </is>
      </c>
      <c r="K1662" s="6" t="inlineStr">
        <is>
          <t>Demanda doméstica fixa informada pelo usuário.</t>
        </is>
      </c>
    </row>
    <row r="1663">
      <c r="A1663" s="6" t="inlineStr">
        <is>
          <t>Soja</t>
        </is>
      </c>
      <c r="B1663" s="6" t="inlineStr">
        <is>
          <t>Belém - PA</t>
        </is>
      </c>
      <c r="C1663" s="6" t="n">
        <v>-1.4554</v>
      </c>
      <c r="D1663" s="6" t="n">
        <v>-48.4898</v>
      </c>
      <c r="E1663" s="6" t="inlineStr">
        <is>
          <t>2021-06</t>
        </is>
      </c>
      <c r="F1663" s="6" t="n">
        <v>50020.6732425239</v>
      </c>
      <c r="G1663" s="6" t="inlineStr">
        <is>
          <t>DOMESTICA</t>
        </is>
      </c>
      <c r="H1663" s="6" t="inlineStr">
        <is>
          <t>FIXO</t>
        </is>
      </c>
      <c r="I1663" s="11">
        <f>IF($H1663="AUTO_OFERTA_TOTAL_PRODUTO_PERIODO",SUMIFS(Oferta!$F:$F,Oferta!$A:$A,$A1663,Oferta!$E:$E,$E1663),$F1663)</f>
        <v/>
      </c>
      <c r="J1663" s="6" t="inlineStr">
        <is>
          <t>Informado</t>
        </is>
      </c>
      <c r="K1663" s="6" t="inlineStr">
        <is>
          <t>Demanda doméstica fixa informada pelo usuário.</t>
        </is>
      </c>
    </row>
    <row r="1664">
      <c r="A1664" s="6" t="inlineStr">
        <is>
          <t>Soja</t>
        </is>
      </c>
      <c r="B1664" s="6" t="inlineStr">
        <is>
          <t>Belém - PA</t>
        </is>
      </c>
      <c r="C1664" s="6" t="n">
        <v>-1.4554</v>
      </c>
      <c r="D1664" s="6" t="n">
        <v>-48.4898</v>
      </c>
      <c r="E1664" s="6" t="inlineStr">
        <is>
          <t>2021-07</t>
        </is>
      </c>
      <c r="F1664" s="6" t="n">
        <v>80221.83444555719</v>
      </c>
      <c r="G1664" s="6" t="inlineStr">
        <is>
          <t>DOMESTICA</t>
        </is>
      </c>
      <c r="H1664" s="6" t="inlineStr">
        <is>
          <t>FIXO</t>
        </is>
      </c>
      <c r="I1664" s="11">
        <f>IF($H1664="AUTO_OFERTA_TOTAL_PRODUTO_PERIODO",SUMIFS(Oferta!$F:$F,Oferta!$A:$A,$A1664,Oferta!$E:$E,$E1664),$F1664)</f>
        <v/>
      </c>
      <c r="J1664" s="6" t="inlineStr">
        <is>
          <t>Informado</t>
        </is>
      </c>
      <c r="K1664" s="6" t="inlineStr">
        <is>
          <t>Demanda doméstica fixa informada pelo usuário.</t>
        </is>
      </c>
    </row>
    <row r="1665">
      <c r="A1665" s="6" t="inlineStr">
        <is>
          <t>Soja</t>
        </is>
      </c>
      <c r="B1665" s="6" t="inlineStr">
        <is>
          <t>Belém - PA</t>
        </is>
      </c>
      <c r="C1665" s="6" t="n">
        <v>-1.4554</v>
      </c>
      <c r="D1665" s="6" t="n">
        <v>-48.4898</v>
      </c>
      <c r="E1665" s="6" t="inlineStr">
        <is>
          <t>2021-08</t>
        </is>
      </c>
      <c r="F1665" s="6" t="n">
        <v>170825.3180546572</v>
      </c>
      <c r="G1665" s="6" t="inlineStr">
        <is>
          <t>DOMESTICA</t>
        </is>
      </c>
      <c r="H1665" s="6" t="inlineStr">
        <is>
          <t>FIXO</t>
        </is>
      </c>
      <c r="I1665" s="11">
        <f>IF($H1665="AUTO_OFERTA_TOTAL_PRODUTO_PERIODO",SUMIFS(Oferta!$F:$F,Oferta!$A:$A,$A1665,Oferta!$E:$E,$E1665),$F1665)</f>
        <v/>
      </c>
      <c r="J1665" s="6" t="inlineStr">
        <is>
          <t>Informado</t>
        </is>
      </c>
      <c r="K1665" s="6" t="inlineStr">
        <is>
          <t>Demanda doméstica fixa informada pelo usuário.</t>
        </is>
      </c>
    </row>
    <row r="1666">
      <c r="A1666" s="6" t="inlineStr">
        <is>
          <t>Soja</t>
        </is>
      </c>
      <c r="B1666" s="6" t="inlineStr">
        <is>
          <t>Belém - PA</t>
        </is>
      </c>
      <c r="C1666" s="6" t="n">
        <v>-1.4554</v>
      </c>
      <c r="D1666" s="6" t="n">
        <v>-48.4898</v>
      </c>
      <c r="E1666" s="6" t="inlineStr">
        <is>
          <t>2021-09</t>
        </is>
      </c>
      <c r="F1666" s="6" t="n">
        <v>201026.4792576905</v>
      </c>
      <c r="G1666" s="6" t="inlineStr">
        <is>
          <t>DOMESTICA</t>
        </is>
      </c>
      <c r="H1666" s="6" t="inlineStr">
        <is>
          <t>FIXO</t>
        </is>
      </c>
      <c r="I1666" s="11">
        <f>IF($H1666="AUTO_OFERTA_TOTAL_PRODUTO_PERIODO",SUMIFS(Oferta!$F:$F,Oferta!$A:$A,$A1666,Oferta!$E:$E,$E1666),$F1666)</f>
        <v/>
      </c>
      <c r="J1666" s="6" t="inlineStr">
        <is>
          <t>Informado</t>
        </is>
      </c>
      <c r="K1666" s="6" t="inlineStr">
        <is>
          <t>Demanda doméstica fixa informada pelo usuário.</t>
        </is>
      </c>
    </row>
    <row r="1667">
      <c r="A1667" s="6" t="inlineStr">
        <is>
          <t>Soja</t>
        </is>
      </c>
      <c r="B1667" s="6" t="inlineStr">
        <is>
          <t>Belém - PA</t>
        </is>
      </c>
      <c r="C1667" s="6" t="n">
        <v>-1.4554</v>
      </c>
      <c r="D1667" s="6" t="n">
        <v>-48.4898</v>
      </c>
      <c r="E1667" s="6" t="inlineStr">
        <is>
          <t>2021-10</t>
        </is>
      </c>
      <c r="F1667" s="6" t="n">
        <v>170825.3180546572</v>
      </c>
      <c r="G1667" s="6" t="inlineStr">
        <is>
          <t>DOMESTICA</t>
        </is>
      </c>
      <c r="H1667" s="6" t="inlineStr">
        <is>
          <t>FIXO</t>
        </is>
      </c>
      <c r="I1667" s="11">
        <f>IF($H1667="AUTO_OFERTA_TOTAL_PRODUTO_PERIODO",SUMIFS(Oferta!$F:$F,Oferta!$A:$A,$A1667,Oferta!$E:$E,$E1667),$F1667)</f>
        <v/>
      </c>
      <c r="J1667" s="6" t="inlineStr">
        <is>
          <t>Informado</t>
        </is>
      </c>
      <c r="K1667" s="6" t="inlineStr">
        <is>
          <t>Demanda doméstica fixa informada pelo usuário.</t>
        </is>
      </c>
    </row>
    <row r="1668">
      <c r="A1668" s="6" t="inlineStr">
        <is>
          <t>Soja</t>
        </is>
      </c>
      <c r="B1668" s="6" t="inlineStr">
        <is>
          <t>Belém - PA</t>
        </is>
      </c>
      <c r="C1668" s="6" t="n">
        <v>-1.4554</v>
      </c>
      <c r="D1668" s="6" t="n">
        <v>-48.4898</v>
      </c>
      <c r="E1668" s="6" t="inlineStr">
        <is>
          <t>2021-11</t>
        </is>
      </c>
      <c r="F1668" s="6" t="n">
        <v>80221.83444555719</v>
      </c>
      <c r="G1668" s="6" t="inlineStr">
        <is>
          <t>DOMESTICA</t>
        </is>
      </c>
      <c r="H1668" s="6" t="inlineStr">
        <is>
          <t>FIXO</t>
        </is>
      </c>
      <c r="I1668" s="11">
        <f>IF($H1668="AUTO_OFERTA_TOTAL_PRODUTO_PERIODO",SUMIFS(Oferta!$F:$F,Oferta!$A:$A,$A1668,Oferta!$E:$E,$E1668),$F1668)</f>
        <v/>
      </c>
      <c r="J1668" s="6" t="inlineStr">
        <is>
          <t>Informado</t>
        </is>
      </c>
      <c r="K1668" s="6" t="inlineStr">
        <is>
          <t>Demanda doméstica fixa informada pelo usuário.</t>
        </is>
      </c>
    </row>
    <row r="1669">
      <c r="A1669" s="6" t="inlineStr">
        <is>
          <t>Soja</t>
        </is>
      </c>
      <c r="B1669" s="6" t="inlineStr">
        <is>
          <t>Belém - PA</t>
        </is>
      </c>
      <c r="C1669" s="6" t="n">
        <v>-1.4554</v>
      </c>
      <c r="D1669" s="6" t="n">
        <v>-48.4898</v>
      </c>
      <c r="E1669" s="6" t="inlineStr">
        <is>
          <t>2021-12</t>
        </is>
      </c>
      <c r="F1669" s="6" t="n">
        <v>50020.6732425239</v>
      </c>
      <c r="G1669" s="6" t="inlineStr">
        <is>
          <t>DOMESTICA</t>
        </is>
      </c>
      <c r="H1669" s="6" t="inlineStr">
        <is>
          <t>FIXO</t>
        </is>
      </c>
      <c r="I1669" s="11">
        <f>IF($H1669="AUTO_OFERTA_TOTAL_PRODUTO_PERIODO",SUMIFS(Oferta!$F:$F,Oferta!$A:$A,$A1669,Oferta!$E:$E,$E1669),$F1669)</f>
        <v/>
      </c>
      <c r="J1669" s="6" t="inlineStr">
        <is>
          <t>Informado</t>
        </is>
      </c>
      <c r="K1669" s="6" t="inlineStr">
        <is>
          <t>Demanda doméstica fixa informada pelo usuário.</t>
        </is>
      </c>
    </row>
    <row r="1670">
      <c r="A1670" s="6" t="inlineStr">
        <is>
          <t>Soja</t>
        </is>
      </c>
      <c r="B1670" s="6" t="inlineStr">
        <is>
          <t>Porto Velho - RO</t>
        </is>
      </c>
      <c r="C1670" s="6" t="n">
        <v>-8.760770000000001</v>
      </c>
      <c r="D1670" s="6" t="n">
        <v>-63.8999</v>
      </c>
      <c r="E1670" s="6" t="inlineStr">
        <is>
          <t>2021-01</t>
        </is>
      </c>
      <c r="F1670" s="6" t="n">
        <v>18798.4155387089</v>
      </c>
      <c r="G1670" s="6" t="inlineStr">
        <is>
          <t>DOMESTICA</t>
        </is>
      </c>
      <c r="H1670" s="6" t="inlineStr">
        <is>
          <t>FIXO</t>
        </is>
      </c>
      <c r="I1670" s="11">
        <f>IF($H1670="AUTO_OFERTA_TOTAL_PRODUTO_PERIODO",SUMIFS(Oferta!$F:$F,Oferta!$A:$A,$A1670,Oferta!$E:$E,$E1670),$F1670)</f>
        <v/>
      </c>
      <c r="J1670" s="6" t="inlineStr">
        <is>
          <t>Informado</t>
        </is>
      </c>
      <c r="K1670" s="6" t="inlineStr">
        <is>
          <t>Demanda doméstica fixa informada pelo usuário.</t>
        </is>
      </c>
    </row>
    <row r="1671">
      <c r="A1671" s="6" t="inlineStr">
        <is>
          <t>Soja</t>
        </is>
      </c>
      <c r="B1671" s="6" t="inlineStr">
        <is>
          <t>Porto Velho - RO</t>
        </is>
      </c>
      <c r="C1671" s="6" t="n">
        <v>-8.760770000000001</v>
      </c>
      <c r="D1671" s="6" t="n">
        <v>-63.8999</v>
      </c>
      <c r="E1671" s="6" t="inlineStr">
        <is>
          <t>2021-02</t>
        </is>
      </c>
      <c r="F1671" s="6" t="n">
        <v>18798.4155387089</v>
      </c>
      <c r="G1671" s="6" t="inlineStr">
        <is>
          <t>DOMESTICA</t>
        </is>
      </c>
      <c r="H1671" s="6" t="inlineStr">
        <is>
          <t>FIXO</t>
        </is>
      </c>
      <c r="I1671" s="11">
        <f>IF($H1671="AUTO_OFERTA_TOTAL_PRODUTO_PERIODO",SUMIFS(Oferta!$F:$F,Oferta!$A:$A,$A1671,Oferta!$E:$E,$E1671),$F1671)</f>
        <v/>
      </c>
      <c r="J1671" s="6" t="inlineStr">
        <is>
          <t>Informado</t>
        </is>
      </c>
      <c r="K1671" s="6" t="inlineStr">
        <is>
          <t>Demanda doméstica fixa informada pelo usuário.</t>
        </is>
      </c>
    </row>
    <row r="1672">
      <c r="A1672" s="6" t="inlineStr">
        <is>
          <t>Soja</t>
        </is>
      </c>
      <c r="B1672" s="6" t="inlineStr">
        <is>
          <t>Porto Velho - RO</t>
        </is>
      </c>
      <c r="C1672" s="6" t="n">
        <v>-8.760770000000001</v>
      </c>
      <c r="D1672" s="6" t="n">
        <v>-63.8999</v>
      </c>
      <c r="E1672" s="6" t="inlineStr">
        <is>
          <t>2021-03</t>
        </is>
      </c>
      <c r="F1672" s="6" t="n">
        <v>24473.4089088852</v>
      </c>
      <c r="G1672" s="6" t="inlineStr">
        <is>
          <t>DOMESTICA</t>
        </is>
      </c>
      <c r="H1672" s="6" t="inlineStr">
        <is>
          <t>FIXO</t>
        </is>
      </c>
      <c r="I1672" s="11">
        <f>IF($H1672="AUTO_OFERTA_TOTAL_PRODUTO_PERIODO",SUMIFS(Oferta!$F:$F,Oferta!$A:$A,$A1672,Oferta!$E:$E,$E1672),$F1672)</f>
        <v/>
      </c>
      <c r="J1672" s="6" t="inlineStr">
        <is>
          <t>Informado</t>
        </is>
      </c>
      <c r="K1672" s="6" t="inlineStr">
        <is>
          <t>Demanda doméstica fixa informada pelo usuário.</t>
        </is>
      </c>
    </row>
    <row r="1673">
      <c r="A1673" s="6" t="inlineStr">
        <is>
          <t>Soja</t>
        </is>
      </c>
      <c r="B1673" s="6" t="inlineStr">
        <is>
          <t>Porto Velho - RO</t>
        </is>
      </c>
      <c r="C1673" s="6" t="n">
        <v>-8.760770000000001</v>
      </c>
      <c r="D1673" s="6" t="n">
        <v>-63.8999</v>
      </c>
      <c r="E1673" s="6" t="inlineStr">
        <is>
          <t>2021-04</t>
        </is>
      </c>
      <c r="F1673" s="6" t="n">
        <v>58523.3691299427</v>
      </c>
      <c r="G1673" s="6" t="inlineStr">
        <is>
          <t>DOMESTICA</t>
        </is>
      </c>
      <c r="H1673" s="6" t="inlineStr">
        <is>
          <t>FIXO</t>
        </is>
      </c>
      <c r="I1673" s="11">
        <f>IF($H1673="AUTO_OFERTA_TOTAL_PRODUTO_PERIODO",SUMIFS(Oferta!$F:$F,Oferta!$A:$A,$A1673,Oferta!$E:$E,$E1673),$F1673)</f>
        <v/>
      </c>
      <c r="J1673" s="6" t="inlineStr">
        <is>
          <t>Informado</t>
        </is>
      </c>
      <c r="K1673" s="6" t="inlineStr">
        <is>
          <t>Demanda doméstica fixa informada pelo usuário.</t>
        </is>
      </c>
    </row>
    <row r="1674">
      <c r="A1674" s="6" t="inlineStr">
        <is>
          <t>Soja</t>
        </is>
      </c>
      <c r="B1674" s="6" t="inlineStr">
        <is>
          <t>Porto Velho - RO</t>
        </is>
      </c>
      <c r="C1674" s="6" t="n">
        <v>-8.760770000000001</v>
      </c>
      <c r="D1674" s="6" t="n">
        <v>-63.8999</v>
      </c>
      <c r="E1674" s="6" t="inlineStr">
        <is>
          <t>2021-05</t>
        </is>
      </c>
      <c r="F1674" s="6" t="n">
        <v>69873.3558702953</v>
      </c>
      <c r="G1674" s="6" t="inlineStr">
        <is>
          <t>DOMESTICA</t>
        </is>
      </c>
      <c r="H1674" s="6" t="inlineStr">
        <is>
          <t>FIXO</t>
        </is>
      </c>
      <c r="I1674" s="11">
        <f>IF($H1674="AUTO_OFERTA_TOTAL_PRODUTO_PERIODO",SUMIFS(Oferta!$F:$F,Oferta!$A:$A,$A1674,Oferta!$E:$E,$E1674),$F1674)</f>
        <v/>
      </c>
      <c r="J1674" s="6" t="inlineStr">
        <is>
          <t>Informado</t>
        </is>
      </c>
      <c r="K1674" s="6" t="inlineStr">
        <is>
          <t>Demanda doméstica fixa informada pelo usuário.</t>
        </is>
      </c>
    </row>
    <row r="1675">
      <c r="A1675" s="6" t="inlineStr">
        <is>
          <t>Soja</t>
        </is>
      </c>
      <c r="B1675" s="6" t="inlineStr">
        <is>
          <t>Porto Velho - RO</t>
        </is>
      </c>
      <c r="C1675" s="6" t="n">
        <v>-8.760770000000001</v>
      </c>
      <c r="D1675" s="6" t="n">
        <v>-63.8999</v>
      </c>
      <c r="E1675" s="6" t="inlineStr">
        <is>
          <t>2021-06</t>
        </is>
      </c>
      <c r="F1675" s="6" t="n">
        <v>64198.362500119</v>
      </c>
      <c r="G1675" s="6" t="inlineStr">
        <is>
          <t>DOMESTICA</t>
        </is>
      </c>
      <c r="H1675" s="6" t="inlineStr">
        <is>
          <t>FIXO</t>
        </is>
      </c>
      <c r="I1675" s="11">
        <f>IF($H1675="AUTO_OFERTA_TOTAL_PRODUTO_PERIODO",SUMIFS(Oferta!$F:$F,Oferta!$A:$A,$A1675,Oferta!$E:$E,$E1675),$F1675)</f>
        <v/>
      </c>
      <c r="J1675" s="6" t="inlineStr">
        <is>
          <t>Informado</t>
        </is>
      </c>
      <c r="K1675" s="6" t="inlineStr">
        <is>
          <t>Demanda doméstica fixa informada pelo usuário.</t>
        </is>
      </c>
    </row>
    <row r="1676">
      <c r="A1676" s="6" t="inlineStr">
        <is>
          <t>Soja</t>
        </is>
      </c>
      <c r="B1676" s="6" t="inlineStr">
        <is>
          <t>Porto Velho - RO</t>
        </is>
      </c>
      <c r="C1676" s="6" t="n">
        <v>-8.760770000000001</v>
      </c>
      <c r="D1676" s="6" t="n">
        <v>-63.8999</v>
      </c>
      <c r="E1676" s="6" t="inlineStr">
        <is>
          <t>2021-07</t>
        </is>
      </c>
      <c r="F1676" s="6" t="n">
        <v>30148.4022790614</v>
      </c>
      <c r="G1676" s="6" t="inlineStr">
        <is>
          <t>DOMESTICA</t>
        </is>
      </c>
      <c r="H1676" s="6" t="inlineStr">
        <is>
          <t>FIXO</t>
        </is>
      </c>
      <c r="I1676" s="11">
        <f>IF($H1676="AUTO_OFERTA_TOTAL_PRODUTO_PERIODO",SUMIFS(Oferta!$F:$F,Oferta!$A:$A,$A1676,Oferta!$E:$E,$E1676),$F1676)</f>
        <v/>
      </c>
      <c r="J1676" s="6" t="inlineStr">
        <is>
          <t>Informado</t>
        </is>
      </c>
      <c r="K1676" s="6" t="inlineStr">
        <is>
          <t>Demanda doméstica fixa informada pelo usuário.</t>
        </is>
      </c>
    </row>
    <row r="1677">
      <c r="A1677" s="6" t="inlineStr">
        <is>
          <t>Soja</t>
        </is>
      </c>
      <c r="B1677" s="6" t="inlineStr">
        <is>
          <t>Porto Velho - RO</t>
        </is>
      </c>
      <c r="C1677" s="6" t="n">
        <v>-8.760770000000001</v>
      </c>
      <c r="D1677" s="6" t="n">
        <v>-63.8999</v>
      </c>
      <c r="E1677" s="6" t="inlineStr">
        <is>
          <t>2021-08</t>
        </is>
      </c>
      <c r="F1677" s="6" t="n">
        <v>18798.4155387089</v>
      </c>
      <c r="G1677" s="6" t="inlineStr">
        <is>
          <t>DOMESTICA</t>
        </is>
      </c>
      <c r="H1677" s="6" t="inlineStr">
        <is>
          <t>FIXO</t>
        </is>
      </c>
      <c r="I1677" s="11">
        <f>IF($H1677="AUTO_OFERTA_TOTAL_PRODUTO_PERIODO",SUMIFS(Oferta!$F:$F,Oferta!$A:$A,$A1677,Oferta!$E:$E,$E1677),$F1677)</f>
        <v/>
      </c>
      <c r="J1677" s="6" t="inlineStr">
        <is>
          <t>Informado</t>
        </is>
      </c>
      <c r="K1677" s="6" t="inlineStr">
        <is>
          <t>Demanda doméstica fixa informada pelo usuário.</t>
        </is>
      </c>
    </row>
    <row r="1678">
      <c r="A1678" s="6" t="inlineStr">
        <is>
          <t>Soja</t>
        </is>
      </c>
      <c r="B1678" s="6" t="inlineStr">
        <is>
          <t>Porto Velho - RO</t>
        </is>
      </c>
      <c r="C1678" s="6" t="n">
        <v>-8.760770000000001</v>
      </c>
      <c r="D1678" s="6" t="n">
        <v>-63.8999</v>
      </c>
      <c r="E1678" s="6" t="inlineStr">
        <is>
          <t>2021-09</t>
        </is>
      </c>
      <c r="F1678" s="6" t="n">
        <v>18798.4155387089</v>
      </c>
      <c r="G1678" s="6" t="inlineStr">
        <is>
          <t>DOMESTICA</t>
        </is>
      </c>
      <c r="H1678" s="6" t="inlineStr">
        <is>
          <t>FIXO</t>
        </is>
      </c>
      <c r="I1678" s="11">
        <f>IF($H1678="AUTO_OFERTA_TOTAL_PRODUTO_PERIODO",SUMIFS(Oferta!$F:$F,Oferta!$A:$A,$A1678,Oferta!$E:$E,$E1678),$F1678)</f>
        <v/>
      </c>
      <c r="J1678" s="6" t="inlineStr">
        <is>
          <t>Informado</t>
        </is>
      </c>
      <c r="K1678" s="6" t="inlineStr">
        <is>
          <t>Demanda doméstica fixa informada pelo usuário.</t>
        </is>
      </c>
    </row>
    <row r="1679">
      <c r="A1679" s="6" t="inlineStr">
        <is>
          <t>Soja</t>
        </is>
      </c>
      <c r="B1679" s="6" t="inlineStr">
        <is>
          <t>Porto Velho - RO</t>
        </is>
      </c>
      <c r="C1679" s="6" t="n">
        <v>-8.760770000000001</v>
      </c>
      <c r="D1679" s="6" t="n">
        <v>-63.8999</v>
      </c>
      <c r="E1679" s="6" t="inlineStr">
        <is>
          <t>2021-10</t>
        </is>
      </c>
      <c r="F1679" s="6" t="n">
        <v>18798.4155387089</v>
      </c>
      <c r="G1679" s="6" t="inlineStr">
        <is>
          <t>DOMESTICA</t>
        </is>
      </c>
      <c r="H1679" s="6" t="inlineStr">
        <is>
          <t>FIXO</t>
        </is>
      </c>
      <c r="I1679" s="11">
        <f>IF($H1679="AUTO_OFERTA_TOTAL_PRODUTO_PERIODO",SUMIFS(Oferta!$F:$F,Oferta!$A:$A,$A1679,Oferta!$E:$E,$E1679),$F1679)</f>
        <v/>
      </c>
      <c r="J1679" s="6" t="inlineStr">
        <is>
          <t>Informado</t>
        </is>
      </c>
      <c r="K1679" s="6" t="inlineStr">
        <is>
          <t>Demanda doméstica fixa informada pelo usuário.</t>
        </is>
      </c>
    </row>
    <row r="1680">
      <c r="A1680" s="6" t="inlineStr">
        <is>
          <t>Soja</t>
        </is>
      </c>
      <c r="B1680" s="6" t="inlineStr">
        <is>
          <t>Porto Velho - RO</t>
        </is>
      </c>
      <c r="C1680" s="6" t="n">
        <v>-8.760770000000001</v>
      </c>
      <c r="D1680" s="6" t="n">
        <v>-63.8999</v>
      </c>
      <c r="E1680" s="6" t="inlineStr">
        <is>
          <t>2021-11</t>
        </is>
      </c>
      <c r="F1680" s="6" t="n">
        <v>18798.4155387089</v>
      </c>
      <c r="G1680" s="6" t="inlineStr">
        <is>
          <t>DOMESTICA</t>
        </is>
      </c>
      <c r="H1680" s="6" t="inlineStr">
        <is>
          <t>FIXO</t>
        </is>
      </c>
      <c r="I1680" s="11">
        <f>IF($H1680="AUTO_OFERTA_TOTAL_PRODUTO_PERIODO",SUMIFS(Oferta!$F:$F,Oferta!$A:$A,$A1680,Oferta!$E:$E,$E1680),$F1680)</f>
        <v/>
      </c>
      <c r="J1680" s="6" t="inlineStr">
        <is>
          <t>Informado</t>
        </is>
      </c>
      <c r="K1680" s="6" t="inlineStr">
        <is>
          <t>Demanda doméstica fixa informada pelo usuário.</t>
        </is>
      </c>
    </row>
    <row r="1681">
      <c r="A1681" s="6" t="inlineStr">
        <is>
          <t>Soja</t>
        </is>
      </c>
      <c r="B1681" s="6" t="inlineStr">
        <is>
          <t>Porto Velho - RO</t>
        </is>
      </c>
      <c r="C1681" s="6" t="n">
        <v>-8.760770000000001</v>
      </c>
      <c r="D1681" s="6" t="n">
        <v>-63.8999</v>
      </c>
      <c r="E1681" s="6" t="inlineStr">
        <is>
          <t>2021-12</t>
        </is>
      </c>
      <c r="F1681" s="6" t="n">
        <v>18798.4155387089</v>
      </c>
      <c r="G1681" s="6" t="inlineStr">
        <is>
          <t>DOMESTICA</t>
        </is>
      </c>
      <c r="H1681" s="6" t="inlineStr">
        <is>
          <t>FIXO</t>
        </is>
      </c>
      <c r="I1681" s="11">
        <f>IF($H1681="AUTO_OFERTA_TOTAL_PRODUTO_PERIODO",SUMIFS(Oferta!$F:$F,Oferta!$A:$A,$A1681,Oferta!$E:$E,$E1681),$F1681)</f>
        <v/>
      </c>
      <c r="J1681" s="6" t="inlineStr">
        <is>
          <t>Informado</t>
        </is>
      </c>
      <c r="K1681" s="6" t="inlineStr">
        <is>
          <t>Demanda doméstica fixa informada pelo usuário.</t>
        </is>
      </c>
    </row>
    <row r="1682">
      <c r="A1682" s="6" t="inlineStr">
        <is>
          <t>Soja</t>
        </is>
      </c>
      <c r="B1682" s="6" t="inlineStr">
        <is>
          <t>Boa Vista - RR</t>
        </is>
      </c>
      <c r="C1682" s="6" t="n">
        <v>2.82384</v>
      </c>
      <c r="D1682" s="6" t="n">
        <v>-60.6753</v>
      </c>
      <c r="E1682" s="6" t="inlineStr">
        <is>
          <t>2021-01</t>
        </is>
      </c>
      <c r="F1682" s="6" t="n">
        <v>3146.2180891163</v>
      </c>
      <c r="G1682" s="6" t="inlineStr">
        <is>
          <t>DOMESTICA</t>
        </is>
      </c>
      <c r="H1682" s="6" t="inlineStr">
        <is>
          <t>FIXO</t>
        </is>
      </c>
      <c r="I1682" s="11">
        <f>IF($H1682="AUTO_OFERTA_TOTAL_PRODUTO_PERIODO",SUMIFS(Oferta!$F:$F,Oferta!$A:$A,$A1682,Oferta!$E:$E,$E1682),$F1682)</f>
        <v/>
      </c>
      <c r="J1682" s="6" t="inlineStr">
        <is>
          <t>Informado</t>
        </is>
      </c>
      <c r="K1682" s="6" t="inlineStr">
        <is>
          <t>Demanda doméstica fixa informada pelo usuário.</t>
        </is>
      </c>
    </row>
    <row r="1683">
      <c r="A1683" s="6" t="inlineStr">
        <is>
          <t>Soja</t>
        </is>
      </c>
      <c r="B1683" s="6" t="inlineStr">
        <is>
          <t>Boa Vista - RR</t>
        </is>
      </c>
      <c r="C1683" s="6" t="n">
        <v>2.82384</v>
      </c>
      <c r="D1683" s="6" t="n">
        <v>-60.6753</v>
      </c>
      <c r="E1683" s="6" t="inlineStr">
        <is>
          <t>2021-02</t>
        </is>
      </c>
      <c r="F1683" s="6" t="n">
        <v>2149.3965163269</v>
      </c>
      <c r="G1683" s="6" t="inlineStr">
        <is>
          <t>DOMESTICA</t>
        </is>
      </c>
      <c r="H1683" s="6" t="inlineStr">
        <is>
          <t>FIXO</t>
        </is>
      </c>
      <c r="I1683" s="11">
        <f>IF($H1683="AUTO_OFERTA_TOTAL_PRODUTO_PERIODO",SUMIFS(Oferta!$F:$F,Oferta!$A:$A,$A1683,Oferta!$E:$E,$E1683),$F1683)</f>
        <v/>
      </c>
      <c r="J1683" s="6" t="inlineStr">
        <is>
          <t>Informado</t>
        </is>
      </c>
      <c r="K1683" s="6" t="inlineStr">
        <is>
          <t>Demanda doméstica fixa informada pelo usuário.</t>
        </is>
      </c>
    </row>
    <row r="1684">
      <c r="A1684" s="6" t="inlineStr">
        <is>
          <t>Soja</t>
        </is>
      </c>
      <c r="B1684" s="6" t="inlineStr">
        <is>
          <t>Boa Vista - RR</t>
        </is>
      </c>
      <c r="C1684" s="6" t="n">
        <v>2.82384</v>
      </c>
      <c r="D1684" s="6" t="n">
        <v>-60.6753</v>
      </c>
      <c r="E1684" s="6" t="inlineStr">
        <is>
          <t>2021-03</t>
        </is>
      </c>
      <c r="F1684" s="6" t="n">
        <v>1650.9857299323</v>
      </c>
      <c r="G1684" s="6" t="inlineStr">
        <is>
          <t>DOMESTICA</t>
        </is>
      </c>
      <c r="H1684" s="6" t="inlineStr">
        <is>
          <t>FIXO</t>
        </is>
      </c>
      <c r="I1684" s="11">
        <f>IF($H1684="AUTO_OFERTA_TOTAL_PRODUTO_PERIODO",SUMIFS(Oferta!$F:$F,Oferta!$A:$A,$A1684,Oferta!$E:$E,$E1684),$F1684)</f>
        <v/>
      </c>
      <c r="J1684" s="6" t="inlineStr">
        <is>
          <t>Informado</t>
        </is>
      </c>
      <c r="K1684" s="6" t="inlineStr">
        <is>
          <t>Demanda doméstica fixa informada pelo usuário.</t>
        </is>
      </c>
    </row>
    <row r="1685">
      <c r="A1685" s="6" t="inlineStr">
        <is>
          <t>Soja</t>
        </is>
      </c>
      <c r="B1685" s="6" t="inlineStr">
        <is>
          <t>Boa Vista - RR</t>
        </is>
      </c>
      <c r="C1685" s="6" t="n">
        <v>2.82384</v>
      </c>
      <c r="D1685" s="6" t="n">
        <v>-60.6753</v>
      </c>
      <c r="E1685" s="6" t="inlineStr">
        <is>
          <t>2021-04</t>
        </is>
      </c>
      <c r="F1685" s="6" t="n">
        <v>1650.9857299323</v>
      </c>
      <c r="G1685" s="6" t="inlineStr">
        <is>
          <t>DOMESTICA</t>
        </is>
      </c>
      <c r="H1685" s="6" t="inlineStr">
        <is>
          <t>FIXO</t>
        </is>
      </c>
      <c r="I1685" s="11">
        <f>IF($H1685="AUTO_OFERTA_TOTAL_PRODUTO_PERIODO",SUMIFS(Oferta!$F:$F,Oferta!$A:$A,$A1685,Oferta!$E:$E,$E1685),$F1685)</f>
        <v/>
      </c>
      <c r="J1685" s="6" t="inlineStr">
        <is>
          <t>Informado</t>
        </is>
      </c>
      <c r="K1685" s="6" t="inlineStr">
        <is>
          <t>Demanda doméstica fixa informada pelo usuário.</t>
        </is>
      </c>
    </row>
    <row r="1686">
      <c r="A1686" s="6" t="inlineStr">
        <is>
          <t>Soja</t>
        </is>
      </c>
      <c r="B1686" s="6" t="inlineStr">
        <is>
          <t>Boa Vista - RR</t>
        </is>
      </c>
      <c r="C1686" s="6" t="n">
        <v>2.82384</v>
      </c>
      <c r="D1686" s="6" t="n">
        <v>-60.6753</v>
      </c>
      <c r="E1686" s="6" t="inlineStr">
        <is>
          <t>2021-05</t>
        </is>
      </c>
      <c r="F1686" s="6" t="n">
        <v>1650.9857299323</v>
      </c>
      <c r="G1686" s="6" t="inlineStr">
        <is>
          <t>DOMESTICA</t>
        </is>
      </c>
      <c r="H1686" s="6" t="inlineStr">
        <is>
          <t>FIXO</t>
        </is>
      </c>
      <c r="I1686" s="11">
        <f>IF($H1686="AUTO_OFERTA_TOTAL_PRODUTO_PERIODO",SUMIFS(Oferta!$F:$F,Oferta!$A:$A,$A1686,Oferta!$E:$E,$E1686),$F1686)</f>
        <v/>
      </c>
      <c r="J1686" s="6" t="inlineStr">
        <is>
          <t>Informado</t>
        </is>
      </c>
      <c r="K1686" s="6" t="inlineStr">
        <is>
          <t>Demanda doméstica fixa informada pelo usuário.</t>
        </is>
      </c>
    </row>
    <row r="1687">
      <c r="A1687" s="6" t="inlineStr">
        <is>
          <t>Soja</t>
        </is>
      </c>
      <c r="B1687" s="6" t="inlineStr">
        <is>
          <t>Boa Vista - RR</t>
        </is>
      </c>
      <c r="C1687" s="6" t="n">
        <v>2.82384</v>
      </c>
      <c r="D1687" s="6" t="n">
        <v>-60.6753</v>
      </c>
      <c r="E1687" s="6" t="inlineStr">
        <is>
          <t>2021-06</t>
        </is>
      </c>
      <c r="F1687" s="6" t="n">
        <v>1650.9857299323</v>
      </c>
      <c r="G1687" s="6" t="inlineStr">
        <is>
          <t>DOMESTICA</t>
        </is>
      </c>
      <c r="H1687" s="6" t="inlineStr">
        <is>
          <t>FIXO</t>
        </is>
      </c>
      <c r="I1687" s="11">
        <f>IF($H1687="AUTO_OFERTA_TOTAL_PRODUTO_PERIODO",SUMIFS(Oferta!$F:$F,Oferta!$A:$A,$A1687,Oferta!$E:$E,$E1687),$F1687)</f>
        <v/>
      </c>
      <c r="J1687" s="6" t="inlineStr">
        <is>
          <t>Informado</t>
        </is>
      </c>
      <c r="K1687" s="6" t="inlineStr">
        <is>
          <t>Demanda doméstica fixa informada pelo usuário.</t>
        </is>
      </c>
    </row>
    <row r="1688">
      <c r="A1688" s="6" t="inlineStr">
        <is>
          <t>Soja</t>
        </is>
      </c>
      <c r="B1688" s="6" t="inlineStr">
        <is>
          <t>Boa Vista - RR</t>
        </is>
      </c>
      <c r="C1688" s="6" t="n">
        <v>2.82384</v>
      </c>
      <c r="D1688" s="6" t="n">
        <v>-60.6753</v>
      </c>
      <c r="E1688" s="6" t="inlineStr">
        <is>
          <t>2021-07</t>
        </is>
      </c>
      <c r="F1688" s="6" t="n">
        <v>1650.9857299323</v>
      </c>
      <c r="G1688" s="6" t="inlineStr">
        <is>
          <t>DOMESTICA</t>
        </is>
      </c>
      <c r="H1688" s="6" t="inlineStr">
        <is>
          <t>FIXO</t>
        </is>
      </c>
      <c r="I1688" s="11">
        <f>IF($H1688="AUTO_OFERTA_TOTAL_PRODUTO_PERIODO",SUMIFS(Oferta!$F:$F,Oferta!$A:$A,$A1688,Oferta!$E:$E,$E1688),$F1688)</f>
        <v/>
      </c>
      <c r="J1688" s="6" t="inlineStr">
        <is>
          <t>Informado</t>
        </is>
      </c>
      <c r="K1688" s="6" t="inlineStr">
        <is>
          <t>Demanda doméstica fixa informada pelo usuário.</t>
        </is>
      </c>
    </row>
    <row r="1689">
      <c r="A1689" s="6" t="inlineStr">
        <is>
          <t>Soja</t>
        </is>
      </c>
      <c r="B1689" s="6" t="inlineStr">
        <is>
          <t>Boa Vista - RR</t>
        </is>
      </c>
      <c r="C1689" s="6" t="n">
        <v>2.82384</v>
      </c>
      <c r="D1689" s="6" t="n">
        <v>-60.6753</v>
      </c>
      <c r="E1689" s="6" t="inlineStr">
        <is>
          <t>2021-08</t>
        </is>
      </c>
      <c r="F1689" s="6" t="n">
        <v>2149.3965163269</v>
      </c>
      <c r="G1689" s="6" t="inlineStr">
        <is>
          <t>DOMESTICA</t>
        </is>
      </c>
      <c r="H1689" s="6" t="inlineStr">
        <is>
          <t>FIXO</t>
        </is>
      </c>
      <c r="I1689" s="11">
        <f>IF($H1689="AUTO_OFERTA_TOTAL_PRODUTO_PERIODO",SUMIFS(Oferta!$F:$F,Oferta!$A:$A,$A1689,Oferta!$E:$E,$E1689),$F1689)</f>
        <v/>
      </c>
      <c r="J1689" s="6" t="inlineStr">
        <is>
          <t>Informado</t>
        </is>
      </c>
      <c r="K1689" s="6" t="inlineStr">
        <is>
          <t>Demanda doméstica fixa informada pelo usuário.</t>
        </is>
      </c>
    </row>
    <row r="1690">
      <c r="A1690" s="6" t="inlineStr">
        <is>
          <t>Soja</t>
        </is>
      </c>
      <c r="B1690" s="6" t="inlineStr">
        <is>
          <t>Boa Vista - RR</t>
        </is>
      </c>
      <c r="C1690" s="6" t="n">
        <v>2.82384</v>
      </c>
      <c r="D1690" s="6" t="n">
        <v>-60.6753</v>
      </c>
      <c r="E1690" s="6" t="inlineStr">
        <is>
          <t>2021-09</t>
        </is>
      </c>
      <c r="F1690" s="6" t="n">
        <v>3146.2180891163</v>
      </c>
      <c r="G1690" s="6" t="inlineStr">
        <is>
          <t>DOMESTICA</t>
        </is>
      </c>
      <c r="H1690" s="6" t="inlineStr">
        <is>
          <t>FIXO</t>
        </is>
      </c>
      <c r="I1690" s="11">
        <f>IF($H1690="AUTO_OFERTA_TOTAL_PRODUTO_PERIODO",SUMIFS(Oferta!$F:$F,Oferta!$A:$A,$A1690,Oferta!$E:$E,$E1690),$F1690)</f>
        <v/>
      </c>
      <c r="J1690" s="6" t="inlineStr">
        <is>
          <t>Informado</t>
        </is>
      </c>
      <c r="K1690" s="6" t="inlineStr">
        <is>
          <t>Demanda doméstica fixa informada pelo usuário.</t>
        </is>
      </c>
    </row>
    <row r="1691">
      <c r="A1691" s="6" t="inlineStr">
        <is>
          <t>Soja</t>
        </is>
      </c>
      <c r="B1691" s="6" t="inlineStr">
        <is>
          <t>Boa Vista - RR</t>
        </is>
      </c>
      <c r="C1691" s="6" t="n">
        <v>2.82384</v>
      </c>
      <c r="D1691" s="6" t="n">
        <v>-60.6753</v>
      </c>
      <c r="E1691" s="6" t="inlineStr">
        <is>
          <t>2021-10</t>
        </is>
      </c>
      <c r="F1691" s="6" t="n">
        <v>6136.6828074842</v>
      </c>
      <c r="G1691" s="6" t="inlineStr">
        <is>
          <t>DOMESTICA</t>
        </is>
      </c>
      <c r="H1691" s="6" t="inlineStr">
        <is>
          <t>FIXO</t>
        </is>
      </c>
      <c r="I1691" s="11">
        <f>IF($H1691="AUTO_OFERTA_TOTAL_PRODUTO_PERIODO",SUMIFS(Oferta!$F:$F,Oferta!$A:$A,$A1691,Oferta!$E:$E,$E1691),$F1691)</f>
        <v/>
      </c>
      <c r="J1691" s="6" t="inlineStr">
        <is>
          <t>Informado</t>
        </is>
      </c>
      <c r="K1691" s="6" t="inlineStr">
        <is>
          <t>Demanda doméstica fixa informada pelo usuário.</t>
        </is>
      </c>
    </row>
    <row r="1692">
      <c r="A1692" s="6" t="inlineStr">
        <is>
          <t>Soja</t>
        </is>
      </c>
      <c r="B1692" s="6" t="inlineStr">
        <is>
          <t>Boa Vista - RR</t>
        </is>
      </c>
      <c r="C1692" s="6" t="n">
        <v>2.82384</v>
      </c>
      <c r="D1692" s="6" t="n">
        <v>-60.6753</v>
      </c>
      <c r="E1692" s="6" t="inlineStr">
        <is>
          <t>2021-11</t>
        </is>
      </c>
      <c r="F1692" s="6" t="n">
        <v>6635.0935938788</v>
      </c>
      <c r="G1692" s="6" t="inlineStr">
        <is>
          <t>DOMESTICA</t>
        </is>
      </c>
      <c r="H1692" s="6" t="inlineStr">
        <is>
          <t>FIXO</t>
        </is>
      </c>
      <c r="I1692" s="11">
        <f>IF($H1692="AUTO_OFERTA_TOTAL_PRODUTO_PERIODO",SUMIFS(Oferta!$F:$F,Oferta!$A:$A,$A1692,Oferta!$E:$E,$E1692),$F1692)</f>
        <v/>
      </c>
      <c r="J1692" s="6" t="inlineStr">
        <is>
          <t>Informado</t>
        </is>
      </c>
      <c r="K1692" s="6" t="inlineStr">
        <is>
          <t>Demanda doméstica fixa informada pelo usuário.</t>
        </is>
      </c>
    </row>
    <row r="1693">
      <c r="A1693" s="6" t="inlineStr">
        <is>
          <t>Soja</t>
        </is>
      </c>
      <c r="B1693" s="6" t="inlineStr">
        <is>
          <t>Boa Vista - RR</t>
        </is>
      </c>
      <c r="C1693" s="6" t="n">
        <v>2.82384</v>
      </c>
      <c r="D1693" s="6" t="n">
        <v>-60.6753</v>
      </c>
      <c r="E1693" s="6" t="inlineStr">
        <is>
          <t>2021-12</t>
        </is>
      </c>
      <c r="F1693" s="6" t="n">
        <v>6136.6828074842</v>
      </c>
      <c r="G1693" s="6" t="inlineStr">
        <is>
          <t>DOMESTICA</t>
        </is>
      </c>
      <c r="H1693" s="6" t="inlineStr">
        <is>
          <t>FIXO</t>
        </is>
      </c>
      <c r="I1693" s="11">
        <f>IF($H1693="AUTO_OFERTA_TOTAL_PRODUTO_PERIODO",SUMIFS(Oferta!$F:$F,Oferta!$A:$A,$A1693,Oferta!$E:$E,$E1693),$F1693)</f>
        <v/>
      </c>
      <c r="J1693" s="6" t="inlineStr">
        <is>
          <t>Informado</t>
        </is>
      </c>
      <c r="K1693" s="6" t="inlineStr">
        <is>
          <t>Demanda doméstica fixa informada pelo usuário.</t>
        </is>
      </c>
    </row>
    <row r="1694">
      <c r="A1694" s="6" t="inlineStr">
        <is>
          <t>Soja</t>
        </is>
      </c>
      <c r="B1694" s="6" t="inlineStr">
        <is>
          <t>Palmas - TO</t>
        </is>
      </c>
      <c r="C1694" s="6" t="n">
        <v>-10.24</v>
      </c>
      <c r="D1694" s="6" t="n">
        <v>-48.3558</v>
      </c>
      <c r="E1694" s="6" t="inlineStr">
        <is>
          <t>2021-01</t>
        </is>
      </c>
      <c r="F1694" s="6" t="n">
        <v>14586.378066216</v>
      </c>
      <c r="G1694" s="6" t="inlineStr">
        <is>
          <t>DOMESTICA</t>
        </is>
      </c>
      <c r="H1694" s="6" t="inlineStr">
        <is>
          <t>FIXO</t>
        </is>
      </c>
      <c r="I1694" s="11">
        <f>IF($H1694="AUTO_OFERTA_TOTAL_PRODUTO_PERIODO",SUMIFS(Oferta!$F:$F,Oferta!$A:$A,$A1694,Oferta!$E:$E,$E1694),$F1694)</f>
        <v/>
      </c>
      <c r="J1694" s="6" t="inlineStr">
        <is>
          <t>Informado</t>
        </is>
      </c>
      <c r="K1694" s="6" t="inlineStr">
        <is>
          <t>Demanda doméstica fixa informada pelo usuário.</t>
        </is>
      </c>
    </row>
    <row r="1695">
      <c r="A1695" s="6" t="inlineStr">
        <is>
          <t>Soja</t>
        </is>
      </c>
      <c r="B1695" s="6" t="inlineStr">
        <is>
          <t>Palmas - TO</t>
        </is>
      </c>
      <c r="C1695" s="6" t="n">
        <v>-10.24</v>
      </c>
      <c r="D1695" s="6" t="n">
        <v>-48.3558</v>
      </c>
      <c r="E1695" s="6" t="inlineStr">
        <is>
          <t>2021-02</t>
        </is>
      </c>
      <c r="F1695" s="6" t="n">
        <v>14586.378066216</v>
      </c>
      <c r="G1695" s="6" t="inlineStr">
        <is>
          <t>DOMESTICA</t>
        </is>
      </c>
      <c r="H1695" s="6" t="inlineStr">
        <is>
          <t>FIXO</t>
        </is>
      </c>
      <c r="I1695" s="11">
        <f>IF($H1695="AUTO_OFERTA_TOTAL_PRODUTO_PERIODO",SUMIFS(Oferta!$F:$F,Oferta!$A:$A,$A1695,Oferta!$E:$E,$E1695),$F1695)</f>
        <v/>
      </c>
      <c r="J1695" s="6" t="inlineStr">
        <is>
          <t>Informado</t>
        </is>
      </c>
      <c r="K1695" s="6" t="inlineStr">
        <is>
          <t>Demanda doméstica fixa informada pelo usuário.</t>
        </is>
      </c>
    </row>
    <row r="1696">
      <c r="A1696" s="6" t="inlineStr">
        <is>
          <t>Soja</t>
        </is>
      </c>
      <c r="B1696" s="6" t="inlineStr">
        <is>
          <t>Palmas - TO</t>
        </is>
      </c>
      <c r="C1696" s="6" t="n">
        <v>-10.24</v>
      </c>
      <c r="D1696" s="6" t="n">
        <v>-48.3558</v>
      </c>
      <c r="E1696" s="6" t="inlineStr">
        <is>
          <t>2021-03</t>
        </is>
      </c>
      <c r="F1696" s="6" t="n">
        <v>23393.2478420445</v>
      </c>
      <c r="G1696" s="6" t="inlineStr">
        <is>
          <t>DOMESTICA</t>
        </is>
      </c>
      <c r="H1696" s="6" t="inlineStr">
        <is>
          <t>FIXO</t>
        </is>
      </c>
      <c r="I1696" s="11">
        <f>IF($H1696="AUTO_OFERTA_TOTAL_PRODUTO_PERIODO",SUMIFS(Oferta!$F:$F,Oferta!$A:$A,$A1696,Oferta!$E:$E,$E1696),$F1696)</f>
        <v/>
      </c>
      <c r="J1696" s="6" t="inlineStr">
        <is>
          <t>Informado</t>
        </is>
      </c>
      <c r="K1696" s="6" t="inlineStr">
        <is>
          <t>Demanda doméstica fixa informada pelo usuário.</t>
        </is>
      </c>
    </row>
    <row r="1697">
      <c r="A1697" s="6" t="inlineStr">
        <is>
          <t>Soja</t>
        </is>
      </c>
      <c r="B1697" s="6" t="inlineStr">
        <is>
          <t>Palmas - TO</t>
        </is>
      </c>
      <c r="C1697" s="6" t="n">
        <v>-10.24</v>
      </c>
      <c r="D1697" s="6" t="n">
        <v>-48.3558</v>
      </c>
      <c r="E1697" s="6" t="inlineStr">
        <is>
          <t>2021-04</t>
        </is>
      </c>
      <c r="F1697" s="6" t="n">
        <v>41006.9873937015</v>
      </c>
      <c r="G1697" s="6" t="inlineStr">
        <is>
          <t>DOMESTICA</t>
        </is>
      </c>
      <c r="H1697" s="6" t="inlineStr">
        <is>
          <t>FIXO</t>
        </is>
      </c>
      <c r="I1697" s="11">
        <f>IF($H1697="AUTO_OFERTA_TOTAL_PRODUTO_PERIODO",SUMIFS(Oferta!$F:$F,Oferta!$A:$A,$A1697,Oferta!$E:$E,$E1697),$F1697)</f>
        <v/>
      </c>
      <c r="J1697" s="6" t="inlineStr">
        <is>
          <t>Informado</t>
        </is>
      </c>
      <c r="K1697" s="6" t="inlineStr">
        <is>
          <t>Demanda doméstica fixa informada pelo usuário.</t>
        </is>
      </c>
    </row>
    <row r="1698">
      <c r="A1698" s="6" t="inlineStr">
        <is>
          <t>Soja</t>
        </is>
      </c>
      <c r="B1698" s="6" t="inlineStr">
        <is>
          <t>Palmas - TO</t>
        </is>
      </c>
      <c r="C1698" s="6" t="n">
        <v>-10.24</v>
      </c>
      <c r="D1698" s="6" t="n">
        <v>-48.3558</v>
      </c>
      <c r="E1698" s="6" t="inlineStr">
        <is>
          <t>2021-05</t>
        </is>
      </c>
      <c r="F1698" s="6" t="n">
        <v>58620.7269453585</v>
      </c>
      <c r="G1698" s="6" t="inlineStr">
        <is>
          <t>DOMESTICA</t>
        </is>
      </c>
      <c r="H1698" s="6" t="inlineStr">
        <is>
          <t>FIXO</t>
        </is>
      </c>
      <c r="I1698" s="11">
        <f>IF($H1698="AUTO_OFERTA_TOTAL_PRODUTO_PERIODO",SUMIFS(Oferta!$F:$F,Oferta!$A:$A,$A1698,Oferta!$E:$E,$E1698),$F1698)</f>
        <v/>
      </c>
      <c r="J1698" s="6" t="inlineStr">
        <is>
          <t>Informado</t>
        </is>
      </c>
      <c r="K1698" s="6" t="inlineStr">
        <is>
          <t>Demanda doméstica fixa informada pelo usuário.</t>
        </is>
      </c>
    </row>
    <row r="1699">
      <c r="A1699" s="6" t="inlineStr">
        <is>
          <t>Soja</t>
        </is>
      </c>
      <c r="B1699" s="6" t="inlineStr">
        <is>
          <t>Palmas - TO</t>
        </is>
      </c>
      <c r="C1699" s="6" t="n">
        <v>-10.24</v>
      </c>
      <c r="D1699" s="6" t="n">
        <v>-48.3558</v>
      </c>
      <c r="E1699" s="6" t="inlineStr">
        <is>
          <t>2021-06</t>
        </is>
      </c>
      <c r="F1699" s="6" t="n">
        <v>58620.7269453585</v>
      </c>
      <c r="G1699" s="6" t="inlineStr">
        <is>
          <t>DOMESTICA</t>
        </is>
      </c>
      <c r="H1699" s="6" t="inlineStr">
        <is>
          <t>FIXO</t>
        </is>
      </c>
      <c r="I1699" s="11">
        <f>IF($H1699="AUTO_OFERTA_TOTAL_PRODUTO_PERIODO",SUMIFS(Oferta!$F:$F,Oferta!$A:$A,$A1699,Oferta!$E:$E,$E1699),$F1699)</f>
        <v/>
      </c>
      <c r="J1699" s="6" t="inlineStr">
        <is>
          <t>Informado</t>
        </is>
      </c>
      <c r="K1699" s="6" t="inlineStr">
        <is>
          <t>Demanda doméstica fixa informada pelo usuário.</t>
        </is>
      </c>
    </row>
    <row r="1700">
      <c r="A1700" s="6" t="inlineStr">
        <is>
          <t>Soja</t>
        </is>
      </c>
      <c r="B1700" s="6" t="inlineStr">
        <is>
          <t>Palmas - TO</t>
        </is>
      </c>
      <c r="C1700" s="6" t="n">
        <v>-10.24</v>
      </c>
      <c r="D1700" s="6" t="n">
        <v>-48.3558</v>
      </c>
      <c r="E1700" s="6" t="inlineStr">
        <is>
          <t>2021-07</t>
        </is>
      </c>
      <c r="F1700" s="6" t="n">
        <v>41006.9873937015</v>
      </c>
      <c r="G1700" s="6" t="inlineStr">
        <is>
          <t>DOMESTICA</t>
        </is>
      </c>
      <c r="H1700" s="6" t="inlineStr">
        <is>
          <t>FIXO</t>
        </is>
      </c>
      <c r="I1700" s="11">
        <f>IF($H1700="AUTO_OFERTA_TOTAL_PRODUTO_PERIODO",SUMIFS(Oferta!$F:$F,Oferta!$A:$A,$A1700,Oferta!$E:$E,$E1700),$F1700)</f>
        <v/>
      </c>
      <c r="J1700" s="6" t="inlineStr">
        <is>
          <t>Informado</t>
        </is>
      </c>
      <c r="K1700" s="6" t="inlineStr">
        <is>
          <t>Demanda doméstica fixa informada pelo usuário.</t>
        </is>
      </c>
    </row>
    <row r="1701">
      <c r="A1701" s="6" t="inlineStr">
        <is>
          <t>Soja</t>
        </is>
      </c>
      <c r="B1701" s="6" t="inlineStr">
        <is>
          <t>Palmas - TO</t>
        </is>
      </c>
      <c r="C1701" s="6" t="n">
        <v>-10.24</v>
      </c>
      <c r="D1701" s="6" t="n">
        <v>-48.3558</v>
      </c>
      <c r="E1701" s="6" t="inlineStr">
        <is>
          <t>2021-08</t>
        </is>
      </c>
      <c r="F1701" s="6" t="n">
        <v>23393.2478420445</v>
      </c>
      <c r="G1701" s="6" t="inlineStr">
        <is>
          <t>DOMESTICA</t>
        </is>
      </c>
      <c r="H1701" s="6" t="inlineStr">
        <is>
          <t>FIXO</t>
        </is>
      </c>
      <c r="I1701" s="11">
        <f>IF($H1701="AUTO_OFERTA_TOTAL_PRODUTO_PERIODO",SUMIFS(Oferta!$F:$F,Oferta!$A:$A,$A1701,Oferta!$E:$E,$E1701),$F1701)</f>
        <v/>
      </c>
      <c r="J1701" s="6" t="inlineStr">
        <is>
          <t>Informado</t>
        </is>
      </c>
      <c r="K1701" s="6" t="inlineStr">
        <is>
          <t>Demanda doméstica fixa informada pelo usuário.</t>
        </is>
      </c>
    </row>
    <row r="1702">
      <c r="A1702" s="6" t="inlineStr">
        <is>
          <t>Soja</t>
        </is>
      </c>
      <c r="B1702" s="6" t="inlineStr">
        <is>
          <t>Palmas - TO</t>
        </is>
      </c>
      <c r="C1702" s="6" t="n">
        <v>-10.24</v>
      </c>
      <c r="D1702" s="6" t="n">
        <v>-48.3558</v>
      </c>
      <c r="E1702" s="6" t="inlineStr">
        <is>
          <t>2021-09</t>
        </is>
      </c>
      <c r="F1702" s="6" t="n">
        <v>14586.378066216</v>
      </c>
      <c r="G1702" s="6" t="inlineStr">
        <is>
          <t>DOMESTICA</t>
        </is>
      </c>
      <c r="H1702" s="6" t="inlineStr">
        <is>
          <t>FIXO</t>
        </is>
      </c>
      <c r="I1702" s="11">
        <f>IF($H1702="AUTO_OFERTA_TOTAL_PRODUTO_PERIODO",SUMIFS(Oferta!$F:$F,Oferta!$A:$A,$A1702,Oferta!$E:$E,$E1702),$F1702)</f>
        <v/>
      </c>
      <c r="J1702" s="6" t="inlineStr">
        <is>
          <t>Informado</t>
        </is>
      </c>
      <c r="K1702" s="6" t="inlineStr">
        <is>
          <t>Demanda doméstica fixa informada pelo usuário.</t>
        </is>
      </c>
    </row>
    <row r="1703">
      <c r="A1703" s="6" t="inlineStr">
        <is>
          <t>Soja</t>
        </is>
      </c>
      <c r="B1703" s="6" t="inlineStr">
        <is>
          <t>Palmas - TO</t>
        </is>
      </c>
      <c r="C1703" s="6" t="n">
        <v>-10.24</v>
      </c>
      <c r="D1703" s="6" t="n">
        <v>-48.3558</v>
      </c>
      <c r="E1703" s="6" t="inlineStr">
        <is>
          <t>2021-10</t>
        </is>
      </c>
      <c r="F1703" s="6" t="n">
        <v>14586.378066216</v>
      </c>
      <c r="G1703" s="6" t="inlineStr">
        <is>
          <t>DOMESTICA</t>
        </is>
      </c>
      <c r="H1703" s="6" t="inlineStr">
        <is>
          <t>FIXO</t>
        </is>
      </c>
      <c r="I1703" s="11">
        <f>IF($H1703="AUTO_OFERTA_TOTAL_PRODUTO_PERIODO",SUMIFS(Oferta!$F:$F,Oferta!$A:$A,$A1703,Oferta!$E:$E,$E1703),$F1703)</f>
        <v/>
      </c>
      <c r="J1703" s="6" t="inlineStr">
        <is>
          <t>Informado</t>
        </is>
      </c>
      <c r="K1703" s="6" t="inlineStr">
        <is>
          <t>Demanda doméstica fixa informada pelo usuário.</t>
        </is>
      </c>
    </row>
    <row r="1704">
      <c r="A1704" s="6" t="inlineStr">
        <is>
          <t>Soja</t>
        </is>
      </c>
      <c r="B1704" s="6" t="inlineStr">
        <is>
          <t>Palmas - TO</t>
        </is>
      </c>
      <c r="C1704" s="6" t="n">
        <v>-10.24</v>
      </c>
      <c r="D1704" s="6" t="n">
        <v>-48.3558</v>
      </c>
      <c r="E1704" s="6" t="inlineStr">
        <is>
          <t>2021-11</t>
        </is>
      </c>
      <c r="F1704" s="6" t="n">
        <v>14586.378066216</v>
      </c>
      <c r="G1704" s="6" t="inlineStr">
        <is>
          <t>DOMESTICA</t>
        </is>
      </c>
      <c r="H1704" s="6" t="inlineStr">
        <is>
          <t>FIXO</t>
        </is>
      </c>
      <c r="I1704" s="11">
        <f>IF($H1704="AUTO_OFERTA_TOTAL_PRODUTO_PERIODO",SUMIFS(Oferta!$F:$F,Oferta!$A:$A,$A1704,Oferta!$E:$E,$E1704),$F1704)</f>
        <v/>
      </c>
      <c r="J1704" s="6" t="inlineStr">
        <is>
          <t>Informado</t>
        </is>
      </c>
      <c r="K1704" s="6" t="inlineStr">
        <is>
          <t>Demanda doméstica fixa informada pelo usuário.</t>
        </is>
      </c>
    </row>
    <row r="1705">
      <c r="A1705" s="6" t="inlineStr">
        <is>
          <t>Soja</t>
        </is>
      </c>
      <c r="B1705" s="6" t="inlineStr">
        <is>
          <t>Palmas - TO</t>
        </is>
      </c>
      <c r="C1705" s="6" t="n">
        <v>-10.24</v>
      </c>
      <c r="D1705" s="6" t="n">
        <v>-48.3558</v>
      </c>
      <c r="E1705" s="6" t="inlineStr">
        <is>
          <t>2021-12</t>
        </is>
      </c>
      <c r="F1705" s="6" t="n">
        <v>14586.378066216</v>
      </c>
      <c r="G1705" s="6" t="inlineStr">
        <is>
          <t>DOMESTICA</t>
        </is>
      </c>
      <c r="H1705" s="6" t="inlineStr">
        <is>
          <t>FIXO</t>
        </is>
      </c>
      <c r="I1705" s="11">
        <f>IF($H1705="AUTO_OFERTA_TOTAL_PRODUTO_PERIODO",SUMIFS(Oferta!$F:$F,Oferta!$A:$A,$A1705,Oferta!$E:$E,$E1705),$F1705)</f>
        <v/>
      </c>
      <c r="J1705" s="6" t="inlineStr">
        <is>
          <t>Informado</t>
        </is>
      </c>
      <c r="K1705" s="6" t="inlineStr">
        <is>
          <t>Demanda doméstica fixa informada pelo usuário.</t>
        </is>
      </c>
    </row>
    <row r="1706">
      <c r="A1706" s="6" t="inlineStr">
        <is>
          <t>Soja</t>
        </is>
      </c>
      <c r="B1706" s="6" t="inlineStr">
        <is>
          <t>Maceió - AL</t>
        </is>
      </c>
      <c r="C1706" s="6" t="n">
        <v>-9.665990000000001</v>
      </c>
      <c r="D1706" s="6" t="n">
        <v>-35.735</v>
      </c>
      <c r="E1706" s="6" t="inlineStr">
        <is>
          <t>2021-01</t>
        </is>
      </c>
      <c r="F1706" s="6" t="n">
        <v>31911.6108744076</v>
      </c>
      <c r="G1706" s="6" t="inlineStr">
        <is>
          <t>DOMESTICA</t>
        </is>
      </c>
      <c r="H1706" s="6" t="inlineStr">
        <is>
          <t>FIXO</t>
        </is>
      </c>
      <c r="I1706" s="11">
        <f>IF($H1706="AUTO_OFERTA_TOTAL_PRODUTO_PERIODO",SUMIFS(Oferta!$F:$F,Oferta!$A:$A,$A1706,Oferta!$E:$E,$E1706),$F1706)</f>
        <v/>
      </c>
      <c r="J1706" s="6" t="inlineStr">
        <is>
          <t>Informado</t>
        </is>
      </c>
      <c r="K1706" s="6" t="inlineStr">
        <is>
          <t>Demanda doméstica fixa informada pelo usuário.</t>
        </is>
      </c>
    </row>
    <row r="1707">
      <c r="A1707" s="6" t="inlineStr">
        <is>
          <t>Soja</t>
        </is>
      </c>
      <c r="B1707" s="6" t="inlineStr">
        <is>
          <t>Maceió - AL</t>
        </is>
      </c>
      <c r="C1707" s="6" t="n">
        <v>-9.665990000000001</v>
      </c>
      <c r="D1707" s="6" t="n">
        <v>-35.735</v>
      </c>
      <c r="E1707" s="6" t="inlineStr">
        <is>
          <t>2021-02</t>
        </is>
      </c>
      <c r="F1707" s="6" t="n">
        <v>31911.6108744076</v>
      </c>
      <c r="G1707" s="6" t="inlineStr">
        <is>
          <t>DOMESTICA</t>
        </is>
      </c>
      <c r="H1707" s="6" t="inlineStr">
        <is>
          <t>FIXO</t>
        </is>
      </c>
      <c r="I1707" s="11">
        <f>IF($H1707="AUTO_OFERTA_TOTAL_PRODUTO_PERIODO",SUMIFS(Oferta!$F:$F,Oferta!$A:$A,$A1707,Oferta!$E:$E,$E1707),$F1707)</f>
        <v/>
      </c>
      <c r="J1707" s="6" t="inlineStr">
        <is>
          <t>Informado</t>
        </is>
      </c>
      <c r="K1707" s="6" t="inlineStr">
        <is>
          <t>Demanda doméstica fixa informada pelo usuário.</t>
        </is>
      </c>
    </row>
    <row r="1708">
      <c r="A1708" s="6" t="inlineStr">
        <is>
          <t>Soja</t>
        </is>
      </c>
      <c r="B1708" s="6" t="inlineStr">
        <is>
          <t>Maceió - AL</t>
        </is>
      </c>
      <c r="C1708" s="6" t="n">
        <v>-9.665990000000001</v>
      </c>
      <c r="D1708" s="6" t="n">
        <v>-35.735</v>
      </c>
      <c r="E1708" s="6" t="inlineStr">
        <is>
          <t>2021-03</t>
        </is>
      </c>
      <c r="F1708" s="6" t="n">
        <v>31911.6108744076</v>
      </c>
      <c r="G1708" s="6" t="inlineStr">
        <is>
          <t>DOMESTICA</t>
        </is>
      </c>
      <c r="H1708" s="6" t="inlineStr">
        <is>
          <t>FIXO</t>
        </is>
      </c>
      <c r="I1708" s="11">
        <f>IF($H1708="AUTO_OFERTA_TOTAL_PRODUTO_PERIODO",SUMIFS(Oferta!$F:$F,Oferta!$A:$A,$A1708,Oferta!$E:$E,$E1708),$F1708)</f>
        <v/>
      </c>
      <c r="J1708" s="6" t="inlineStr">
        <is>
          <t>Informado</t>
        </is>
      </c>
      <c r="K1708" s="6" t="inlineStr">
        <is>
          <t>Demanda doméstica fixa informada pelo usuário.</t>
        </is>
      </c>
    </row>
    <row r="1709">
      <c r="A1709" s="6" t="inlineStr">
        <is>
          <t>Soja</t>
        </is>
      </c>
      <c r="B1709" s="6" t="inlineStr">
        <is>
          <t>Maceió - AL</t>
        </is>
      </c>
      <c r="C1709" s="6" t="n">
        <v>-9.665990000000001</v>
      </c>
      <c r="D1709" s="6" t="n">
        <v>-35.735</v>
      </c>
      <c r="E1709" s="6" t="inlineStr">
        <is>
          <t>2021-04</t>
        </is>
      </c>
      <c r="F1709" s="6" t="n">
        <v>31911.6108744076</v>
      </c>
      <c r="G1709" s="6" t="inlineStr">
        <is>
          <t>DOMESTICA</t>
        </is>
      </c>
      <c r="H1709" s="6" t="inlineStr">
        <is>
          <t>FIXO</t>
        </is>
      </c>
      <c r="I1709" s="11">
        <f>IF($H1709="AUTO_OFERTA_TOTAL_PRODUTO_PERIODO",SUMIFS(Oferta!$F:$F,Oferta!$A:$A,$A1709,Oferta!$E:$E,$E1709),$F1709)</f>
        <v/>
      </c>
      <c r="J1709" s="6" t="inlineStr">
        <is>
          <t>Informado</t>
        </is>
      </c>
      <c r="K1709" s="6" t="inlineStr">
        <is>
          <t>Demanda doméstica fixa informada pelo usuário.</t>
        </is>
      </c>
    </row>
    <row r="1710">
      <c r="A1710" s="6" t="inlineStr">
        <is>
          <t>Soja</t>
        </is>
      </c>
      <c r="B1710" s="6" t="inlineStr">
        <is>
          <t>Maceió - AL</t>
        </is>
      </c>
      <c r="C1710" s="6" t="n">
        <v>-9.665990000000001</v>
      </c>
      <c r="D1710" s="6" t="n">
        <v>-35.735</v>
      </c>
      <c r="E1710" s="6" t="inlineStr">
        <is>
          <t>2021-05</t>
        </is>
      </c>
      <c r="F1710" s="6" t="n">
        <v>31911.6108744076</v>
      </c>
      <c r="G1710" s="6" t="inlineStr">
        <is>
          <t>DOMESTICA</t>
        </is>
      </c>
      <c r="H1710" s="6" t="inlineStr">
        <is>
          <t>FIXO</t>
        </is>
      </c>
      <c r="I1710" s="11">
        <f>IF($H1710="AUTO_OFERTA_TOTAL_PRODUTO_PERIODO",SUMIFS(Oferta!$F:$F,Oferta!$A:$A,$A1710,Oferta!$E:$E,$E1710),$F1710)</f>
        <v/>
      </c>
      <c r="J1710" s="6" t="inlineStr">
        <is>
          <t>Informado</t>
        </is>
      </c>
      <c r="K1710" s="6" t="inlineStr">
        <is>
          <t>Demanda doméstica fixa informada pelo usuário.</t>
        </is>
      </c>
    </row>
    <row r="1711">
      <c r="A1711" s="6" t="inlineStr">
        <is>
          <t>Soja</t>
        </is>
      </c>
      <c r="B1711" s="6" t="inlineStr">
        <is>
          <t>Maceió - AL</t>
        </is>
      </c>
      <c r="C1711" s="6" t="n">
        <v>-9.665990000000001</v>
      </c>
      <c r="D1711" s="6" t="n">
        <v>-35.735</v>
      </c>
      <c r="E1711" s="6" t="inlineStr">
        <is>
          <t>2021-06</t>
        </is>
      </c>
      <c r="F1711" s="6" t="n">
        <v>31911.6108744076</v>
      </c>
      <c r="G1711" s="6" t="inlineStr">
        <is>
          <t>DOMESTICA</t>
        </is>
      </c>
      <c r="H1711" s="6" t="inlineStr">
        <is>
          <t>FIXO</t>
        </is>
      </c>
      <c r="I1711" s="11">
        <f>IF($H1711="AUTO_OFERTA_TOTAL_PRODUTO_PERIODO",SUMIFS(Oferta!$F:$F,Oferta!$A:$A,$A1711,Oferta!$E:$E,$E1711),$F1711)</f>
        <v/>
      </c>
      <c r="J1711" s="6" t="inlineStr">
        <is>
          <t>Informado</t>
        </is>
      </c>
      <c r="K1711" s="6" t="inlineStr">
        <is>
          <t>Demanda doméstica fixa informada pelo usuário.</t>
        </is>
      </c>
    </row>
    <row r="1712">
      <c r="A1712" s="6" t="inlineStr">
        <is>
          <t>Soja</t>
        </is>
      </c>
      <c r="B1712" s="6" t="inlineStr">
        <is>
          <t>Maceió - AL</t>
        </is>
      </c>
      <c r="C1712" s="6" t="n">
        <v>-9.665990000000001</v>
      </c>
      <c r="D1712" s="6" t="n">
        <v>-35.735</v>
      </c>
      <c r="E1712" s="6" t="inlineStr">
        <is>
          <t>2021-07</t>
        </is>
      </c>
      <c r="F1712" s="6" t="n">
        <v>31911.6108744076</v>
      </c>
      <c r="G1712" s="6" t="inlineStr">
        <is>
          <t>DOMESTICA</t>
        </is>
      </c>
      <c r="H1712" s="6" t="inlineStr">
        <is>
          <t>FIXO</t>
        </is>
      </c>
      <c r="I1712" s="11">
        <f>IF($H1712="AUTO_OFERTA_TOTAL_PRODUTO_PERIODO",SUMIFS(Oferta!$F:$F,Oferta!$A:$A,$A1712,Oferta!$E:$E,$E1712),$F1712)</f>
        <v/>
      </c>
      <c r="J1712" s="6" t="inlineStr">
        <is>
          <t>Informado</t>
        </is>
      </c>
      <c r="K1712" s="6" t="inlineStr">
        <is>
          <t>Demanda doméstica fixa informada pelo usuário.</t>
        </is>
      </c>
    </row>
    <row r="1713">
      <c r="A1713" s="6" t="inlineStr">
        <is>
          <t>Soja</t>
        </is>
      </c>
      <c r="B1713" s="6" t="inlineStr">
        <is>
          <t>Maceió - AL</t>
        </is>
      </c>
      <c r="C1713" s="6" t="n">
        <v>-9.665990000000001</v>
      </c>
      <c r="D1713" s="6" t="n">
        <v>-35.735</v>
      </c>
      <c r="E1713" s="6" t="inlineStr">
        <is>
          <t>2021-08</t>
        </is>
      </c>
      <c r="F1713" s="6" t="n">
        <v>31911.6108744076</v>
      </c>
      <c r="G1713" s="6" t="inlineStr">
        <is>
          <t>DOMESTICA</t>
        </is>
      </c>
      <c r="H1713" s="6" t="inlineStr">
        <is>
          <t>FIXO</t>
        </is>
      </c>
      <c r="I1713" s="11">
        <f>IF($H1713="AUTO_OFERTA_TOTAL_PRODUTO_PERIODO",SUMIFS(Oferta!$F:$F,Oferta!$A:$A,$A1713,Oferta!$E:$E,$E1713),$F1713)</f>
        <v/>
      </c>
      <c r="J1713" s="6" t="inlineStr">
        <is>
          <t>Informado</t>
        </is>
      </c>
      <c r="K1713" s="6" t="inlineStr">
        <is>
          <t>Demanda doméstica fixa informada pelo usuário.</t>
        </is>
      </c>
    </row>
    <row r="1714">
      <c r="A1714" s="6" t="inlineStr">
        <is>
          <t>Soja</t>
        </is>
      </c>
      <c r="B1714" s="6" t="inlineStr">
        <is>
          <t>Maceió - AL</t>
        </is>
      </c>
      <c r="C1714" s="6" t="n">
        <v>-9.665990000000001</v>
      </c>
      <c r="D1714" s="6" t="n">
        <v>-35.735</v>
      </c>
      <c r="E1714" s="6" t="inlineStr">
        <is>
          <t>2021-09</t>
        </is>
      </c>
      <c r="F1714" s="6" t="n">
        <v>31911.6108744076</v>
      </c>
      <c r="G1714" s="6" t="inlineStr">
        <is>
          <t>DOMESTICA</t>
        </is>
      </c>
      <c r="H1714" s="6" t="inlineStr">
        <is>
          <t>FIXO</t>
        </is>
      </c>
      <c r="I1714" s="11">
        <f>IF($H1714="AUTO_OFERTA_TOTAL_PRODUTO_PERIODO",SUMIFS(Oferta!$F:$F,Oferta!$A:$A,$A1714,Oferta!$E:$E,$E1714),$F1714)</f>
        <v/>
      </c>
      <c r="J1714" s="6" t="inlineStr">
        <is>
          <t>Informado</t>
        </is>
      </c>
      <c r="K1714" s="6" t="inlineStr">
        <is>
          <t>Demanda doméstica fixa informada pelo usuário.</t>
        </is>
      </c>
    </row>
    <row r="1715">
      <c r="A1715" s="6" t="inlineStr">
        <is>
          <t>Soja</t>
        </is>
      </c>
      <c r="B1715" s="6" t="inlineStr">
        <is>
          <t>Maceió - AL</t>
        </is>
      </c>
      <c r="C1715" s="6" t="n">
        <v>-9.665990000000001</v>
      </c>
      <c r="D1715" s="6" t="n">
        <v>-35.735</v>
      </c>
      <c r="E1715" s="6" t="inlineStr">
        <is>
          <t>2021-10</t>
        </is>
      </c>
      <c r="F1715" s="6" t="n">
        <v>31911.6108744076</v>
      </c>
      <c r="G1715" s="6" t="inlineStr">
        <is>
          <t>DOMESTICA</t>
        </is>
      </c>
      <c r="H1715" s="6" t="inlineStr">
        <is>
          <t>FIXO</t>
        </is>
      </c>
      <c r="I1715" s="11">
        <f>IF($H1715="AUTO_OFERTA_TOTAL_PRODUTO_PERIODO",SUMIFS(Oferta!$F:$F,Oferta!$A:$A,$A1715,Oferta!$E:$E,$E1715),$F1715)</f>
        <v/>
      </c>
      <c r="J1715" s="6" t="inlineStr">
        <is>
          <t>Informado</t>
        </is>
      </c>
      <c r="K1715" s="6" t="inlineStr">
        <is>
          <t>Demanda doméstica fixa informada pelo usuário.</t>
        </is>
      </c>
    </row>
    <row r="1716">
      <c r="A1716" s="6" t="inlineStr">
        <is>
          <t>Soja</t>
        </is>
      </c>
      <c r="B1716" s="6" t="inlineStr">
        <is>
          <t>Maceió - AL</t>
        </is>
      </c>
      <c r="C1716" s="6" t="n">
        <v>-9.665990000000001</v>
      </c>
      <c r="D1716" s="6" t="n">
        <v>-35.735</v>
      </c>
      <c r="E1716" s="6" t="inlineStr">
        <is>
          <t>2021-11</t>
        </is>
      </c>
      <c r="F1716" s="6" t="n">
        <v>31911.6108744076</v>
      </c>
      <c r="G1716" s="6" t="inlineStr">
        <is>
          <t>DOMESTICA</t>
        </is>
      </c>
      <c r="H1716" s="6" t="inlineStr">
        <is>
          <t>FIXO</t>
        </is>
      </c>
      <c r="I1716" s="11">
        <f>IF($H1716="AUTO_OFERTA_TOTAL_PRODUTO_PERIODO",SUMIFS(Oferta!$F:$F,Oferta!$A:$A,$A1716,Oferta!$E:$E,$E1716),$F1716)</f>
        <v/>
      </c>
      <c r="J1716" s="6" t="inlineStr">
        <is>
          <t>Informado</t>
        </is>
      </c>
      <c r="K1716" s="6" t="inlineStr">
        <is>
          <t>Demanda doméstica fixa informada pelo usuário.</t>
        </is>
      </c>
    </row>
    <row r="1717">
      <c r="A1717" s="6" t="inlineStr">
        <is>
          <t>Soja</t>
        </is>
      </c>
      <c r="B1717" s="6" t="inlineStr">
        <is>
          <t>Maceió - AL</t>
        </is>
      </c>
      <c r="C1717" s="6" t="n">
        <v>-9.665990000000001</v>
      </c>
      <c r="D1717" s="6" t="n">
        <v>-35.735</v>
      </c>
      <c r="E1717" s="6" t="inlineStr">
        <is>
          <t>2021-12</t>
        </is>
      </c>
      <c r="F1717" s="6" t="n">
        <v>31911.6108744076</v>
      </c>
      <c r="G1717" s="6" t="inlineStr">
        <is>
          <t>DOMESTICA</t>
        </is>
      </c>
      <c r="H1717" s="6" t="inlineStr">
        <is>
          <t>FIXO</t>
        </is>
      </c>
      <c r="I1717" s="11">
        <f>IF($H1717="AUTO_OFERTA_TOTAL_PRODUTO_PERIODO",SUMIFS(Oferta!$F:$F,Oferta!$A:$A,$A1717,Oferta!$E:$E,$E1717),$F1717)</f>
        <v/>
      </c>
      <c r="J1717" s="6" t="inlineStr">
        <is>
          <t>Informado</t>
        </is>
      </c>
      <c r="K1717" s="6" t="inlineStr">
        <is>
          <t>Demanda doméstica fixa informada pelo usuário.</t>
        </is>
      </c>
    </row>
    <row r="1718">
      <c r="A1718" s="6" t="inlineStr">
        <is>
          <t>Soja</t>
        </is>
      </c>
      <c r="B1718" s="6" t="inlineStr">
        <is>
          <t>Salvador - BA</t>
        </is>
      </c>
      <c r="C1718" s="6" t="n">
        <v>-12.9718</v>
      </c>
      <c r="D1718" s="6" t="n">
        <v>-38.5011</v>
      </c>
      <c r="E1718" s="6" t="inlineStr">
        <is>
          <t>2021-01</t>
        </is>
      </c>
      <c r="F1718" s="6" t="n">
        <v>105890.5445250265</v>
      </c>
      <c r="G1718" s="6" t="inlineStr">
        <is>
          <t>DOMESTICA</t>
        </is>
      </c>
      <c r="H1718" s="6" t="inlineStr">
        <is>
          <t>FIXO</t>
        </is>
      </c>
      <c r="I1718" s="11">
        <f>IF($H1718="AUTO_OFERTA_TOTAL_PRODUTO_PERIODO",SUMIFS(Oferta!$F:$F,Oferta!$A:$A,$A1718,Oferta!$E:$E,$E1718),$F1718)</f>
        <v/>
      </c>
      <c r="J1718" s="6" t="inlineStr">
        <is>
          <t>Informado</t>
        </is>
      </c>
      <c r="K1718" s="6" t="inlineStr">
        <is>
          <t>Demanda doméstica fixa informada pelo usuário.</t>
        </is>
      </c>
    </row>
    <row r="1719">
      <c r="A1719" s="6" t="inlineStr">
        <is>
          <t>Soja</t>
        </is>
      </c>
      <c r="B1719" s="6" t="inlineStr">
        <is>
          <t>Salvador - BA</t>
        </is>
      </c>
      <c r="C1719" s="6" t="n">
        <v>-12.9718</v>
      </c>
      <c r="D1719" s="6" t="n">
        <v>-38.5011</v>
      </c>
      <c r="E1719" s="6" t="inlineStr">
        <is>
          <t>2021-02</t>
        </is>
      </c>
      <c r="F1719" s="6" t="n">
        <v>105890.5445250265</v>
      </c>
      <c r="G1719" s="6" t="inlineStr">
        <is>
          <t>DOMESTICA</t>
        </is>
      </c>
      <c r="H1719" s="6" t="inlineStr">
        <is>
          <t>FIXO</t>
        </is>
      </c>
      <c r="I1719" s="11">
        <f>IF($H1719="AUTO_OFERTA_TOTAL_PRODUTO_PERIODO",SUMIFS(Oferta!$F:$F,Oferta!$A:$A,$A1719,Oferta!$E:$E,$E1719),$F1719)</f>
        <v/>
      </c>
      <c r="J1719" s="6" t="inlineStr">
        <is>
          <t>Informado</t>
        </is>
      </c>
      <c r="K1719" s="6" t="inlineStr">
        <is>
          <t>Demanda doméstica fixa informada pelo usuário.</t>
        </is>
      </c>
    </row>
    <row r="1720">
      <c r="A1720" s="6" t="inlineStr">
        <is>
          <t>Soja</t>
        </is>
      </c>
      <c r="B1720" s="6" t="inlineStr">
        <is>
          <t>Salvador - BA</t>
        </is>
      </c>
      <c r="C1720" s="6" t="n">
        <v>-12.9718</v>
      </c>
      <c r="D1720" s="6" t="n">
        <v>-38.5011</v>
      </c>
      <c r="E1720" s="6" t="inlineStr">
        <is>
          <t>2021-03</t>
        </is>
      </c>
      <c r="F1720" s="6" t="n">
        <v>169824.4582005141</v>
      </c>
      <c r="G1720" s="6" t="inlineStr">
        <is>
          <t>DOMESTICA</t>
        </is>
      </c>
      <c r="H1720" s="6" t="inlineStr">
        <is>
          <t>FIXO</t>
        </is>
      </c>
      <c r="I1720" s="11">
        <f>IF($H1720="AUTO_OFERTA_TOTAL_PRODUTO_PERIODO",SUMIFS(Oferta!$F:$F,Oferta!$A:$A,$A1720,Oferta!$E:$E,$E1720),$F1720)</f>
        <v/>
      </c>
      <c r="J1720" s="6" t="inlineStr">
        <is>
          <t>Informado</t>
        </is>
      </c>
      <c r="K1720" s="6" t="inlineStr">
        <is>
          <t>Demanda doméstica fixa informada pelo usuário.</t>
        </is>
      </c>
    </row>
    <row r="1721">
      <c r="A1721" s="6" t="inlineStr">
        <is>
          <t>Soja</t>
        </is>
      </c>
      <c r="B1721" s="6" t="inlineStr">
        <is>
          <t>Salvador - BA</t>
        </is>
      </c>
      <c r="C1721" s="6" t="n">
        <v>-12.9718</v>
      </c>
      <c r="D1721" s="6" t="n">
        <v>-38.5011</v>
      </c>
      <c r="E1721" s="6" t="inlineStr">
        <is>
          <t>2021-04</t>
        </is>
      </c>
      <c r="F1721" s="6" t="n">
        <v>297692.2855514894</v>
      </c>
      <c r="G1721" s="6" t="inlineStr">
        <is>
          <t>DOMESTICA</t>
        </is>
      </c>
      <c r="H1721" s="6" t="inlineStr">
        <is>
          <t>FIXO</t>
        </is>
      </c>
      <c r="I1721" s="11">
        <f>IF($H1721="AUTO_OFERTA_TOTAL_PRODUTO_PERIODO",SUMIFS(Oferta!$F:$F,Oferta!$A:$A,$A1721,Oferta!$E:$E,$E1721),$F1721)</f>
        <v/>
      </c>
      <c r="J1721" s="6" t="inlineStr">
        <is>
          <t>Informado</t>
        </is>
      </c>
      <c r="K1721" s="6" t="inlineStr">
        <is>
          <t>Demanda doméstica fixa informada pelo usuário.</t>
        </is>
      </c>
    </row>
    <row r="1722">
      <c r="A1722" s="6" t="inlineStr">
        <is>
          <t>Soja</t>
        </is>
      </c>
      <c r="B1722" s="6" t="inlineStr">
        <is>
          <t>Salvador - BA</t>
        </is>
      </c>
      <c r="C1722" s="6" t="n">
        <v>-12.9718</v>
      </c>
      <c r="D1722" s="6" t="n">
        <v>-38.5011</v>
      </c>
      <c r="E1722" s="6" t="inlineStr">
        <is>
          <t>2021-05</t>
        </is>
      </c>
      <c r="F1722" s="6" t="n">
        <v>425560.1129024648</v>
      </c>
      <c r="G1722" s="6" t="inlineStr">
        <is>
          <t>DOMESTICA</t>
        </is>
      </c>
      <c r="H1722" s="6" t="inlineStr">
        <is>
          <t>FIXO</t>
        </is>
      </c>
      <c r="I1722" s="11">
        <f>IF($H1722="AUTO_OFERTA_TOTAL_PRODUTO_PERIODO",SUMIFS(Oferta!$F:$F,Oferta!$A:$A,$A1722,Oferta!$E:$E,$E1722),$F1722)</f>
        <v/>
      </c>
      <c r="J1722" s="6" t="inlineStr">
        <is>
          <t>Informado</t>
        </is>
      </c>
      <c r="K1722" s="6" t="inlineStr">
        <is>
          <t>Demanda doméstica fixa informada pelo usuário.</t>
        </is>
      </c>
    </row>
    <row r="1723">
      <c r="A1723" s="6" t="inlineStr">
        <is>
          <t>Soja</t>
        </is>
      </c>
      <c r="B1723" s="6" t="inlineStr">
        <is>
          <t>Salvador - BA</t>
        </is>
      </c>
      <c r="C1723" s="6" t="n">
        <v>-12.9718</v>
      </c>
      <c r="D1723" s="6" t="n">
        <v>-38.5011</v>
      </c>
      <c r="E1723" s="6" t="inlineStr">
        <is>
          <t>2021-06</t>
        </is>
      </c>
      <c r="F1723" s="6" t="n">
        <v>393593.156064721</v>
      </c>
      <c r="G1723" s="6" t="inlineStr">
        <is>
          <t>DOMESTICA</t>
        </is>
      </c>
      <c r="H1723" s="6" t="inlineStr">
        <is>
          <t>FIXO</t>
        </is>
      </c>
      <c r="I1723" s="11">
        <f>IF($H1723="AUTO_OFERTA_TOTAL_PRODUTO_PERIODO",SUMIFS(Oferta!$F:$F,Oferta!$A:$A,$A1723,Oferta!$E:$E,$E1723),$F1723)</f>
        <v/>
      </c>
      <c r="J1723" s="6" t="inlineStr">
        <is>
          <t>Informado</t>
        </is>
      </c>
      <c r="K1723" s="6" t="inlineStr">
        <is>
          <t>Demanda doméstica fixa informada pelo usuário.</t>
        </is>
      </c>
    </row>
    <row r="1724">
      <c r="A1724" s="6" t="inlineStr">
        <is>
          <t>Soja</t>
        </is>
      </c>
      <c r="B1724" s="6" t="inlineStr">
        <is>
          <t>Salvador - BA</t>
        </is>
      </c>
      <c r="C1724" s="6" t="n">
        <v>-12.9718</v>
      </c>
      <c r="D1724" s="6" t="n">
        <v>-38.5011</v>
      </c>
      <c r="E1724" s="6" t="inlineStr">
        <is>
          <t>2021-07</t>
        </is>
      </c>
      <c r="F1724" s="6" t="n">
        <v>265725.3287137456</v>
      </c>
      <c r="G1724" s="6" t="inlineStr">
        <is>
          <t>DOMESTICA</t>
        </is>
      </c>
      <c r="H1724" s="6" t="inlineStr">
        <is>
          <t>FIXO</t>
        </is>
      </c>
      <c r="I1724" s="11">
        <f>IF($H1724="AUTO_OFERTA_TOTAL_PRODUTO_PERIODO",SUMIFS(Oferta!$F:$F,Oferta!$A:$A,$A1724,Oferta!$E:$E,$E1724),$F1724)</f>
        <v/>
      </c>
      <c r="J1724" s="6" t="inlineStr">
        <is>
          <t>Informado</t>
        </is>
      </c>
      <c r="K1724" s="6" t="inlineStr">
        <is>
          <t>Demanda doméstica fixa informada pelo usuário.</t>
        </is>
      </c>
    </row>
    <row r="1725">
      <c r="A1725" s="6" t="inlineStr">
        <is>
          <t>Soja</t>
        </is>
      </c>
      <c r="B1725" s="6" t="inlineStr">
        <is>
          <t>Salvador - BA</t>
        </is>
      </c>
      <c r="C1725" s="6" t="n">
        <v>-12.9718</v>
      </c>
      <c r="D1725" s="6" t="n">
        <v>-38.5011</v>
      </c>
      <c r="E1725" s="6" t="inlineStr">
        <is>
          <t>2021-08</t>
        </is>
      </c>
      <c r="F1725" s="6" t="n">
        <v>137857.5013627703</v>
      </c>
      <c r="G1725" s="6" t="inlineStr">
        <is>
          <t>DOMESTICA</t>
        </is>
      </c>
      <c r="H1725" s="6" t="inlineStr">
        <is>
          <t>FIXO</t>
        </is>
      </c>
      <c r="I1725" s="11">
        <f>IF($H1725="AUTO_OFERTA_TOTAL_PRODUTO_PERIODO",SUMIFS(Oferta!$F:$F,Oferta!$A:$A,$A1725,Oferta!$E:$E,$E1725),$F1725)</f>
        <v/>
      </c>
      <c r="J1725" s="6" t="inlineStr">
        <is>
          <t>Informado</t>
        </is>
      </c>
      <c r="K1725" s="6" t="inlineStr">
        <is>
          <t>Demanda doméstica fixa informada pelo usuário.</t>
        </is>
      </c>
    </row>
    <row r="1726">
      <c r="A1726" s="6" t="inlineStr">
        <is>
          <t>Soja</t>
        </is>
      </c>
      <c r="B1726" s="6" t="inlineStr">
        <is>
          <t>Salvador - BA</t>
        </is>
      </c>
      <c r="C1726" s="6" t="n">
        <v>-12.9718</v>
      </c>
      <c r="D1726" s="6" t="n">
        <v>-38.5011</v>
      </c>
      <c r="E1726" s="6" t="inlineStr">
        <is>
          <t>2021-09</t>
        </is>
      </c>
      <c r="F1726" s="6" t="n">
        <v>105890.5445250265</v>
      </c>
      <c r="G1726" s="6" t="inlineStr">
        <is>
          <t>DOMESTICA</t>
        </is>
      </c>
      <c r="H1726" s="6" t="inlineStr">
        <is>
          <t>FIXO</t>
        </is>
      </c>
      <c r="I1726" s="11">
        <f>IF($H1726="AUTO_OFERTA_TOTAL_PRODUTO_PERIODO",SUMIFS(Oferta!$F:$F,Oferta!$A:$A,$A1726,Oferta!$E:$E,$E1726),$F1726)</f>
        <v/>
      </c>
      <c r="J1726" s="6" t="inlineStr">
        <is>
          <t>Informado</t>
        </is>
      </c>
      <c r="K1726" s="6" t="inlineStr">
        <is>
          <t>Demanda doméstica fixa informada pelo usuário.</t>
        </is>
      </c>
    </row>
    <row r="1727">
      <c r="A1727" s="6" t="inlineStr">
        <is>
          <t>Soja</t>
        </is>
      </c>
      <c r="B1727" s="6" t="inlineStr">
        <is>
          <t>Salvador - BA</t>
        </is>
      </c>
      <c r="C1727" s="6" t="n">
        <v>-12.9718</v>
      </c>
      <c r="D1727" s="6" t="n">
        <v>-38.5011</v>
      </c>
      <c r="E1727" s="6" t="inlineStr">
        <is>
          <t>2021-10</t>
        </is>
      </c>
      <c r="F1727" s="6" t="n">
        <v>105890.5445250265</v>
      </c>
      <c r="G1727" s="6" t="inlineStr">
        <is>
          <t>DOMESTICA</t>
        </is>
      </c>
      <c r="H1727" s="6" t="inlineStr">
        <is>
          <t>FIXO</t>
        </is>
      </c>
      <c r="I1727" s="11">
        <f>IF($H1727="AUTO_OFERTA_TOTAL_PRODUTO_PERIODO",SUMIFS(Oferta!$F:$F,Oferta!$A:$A,$A1727,Oferta!$E:$E,$E1727),$F1727)</f>
        <v/>
      </c>
      <c r="J1727" s="6" t="inlineStr">
        <is>
          <t>Informado</t>
        </is>
      </c>
      <c r="K1727" s="6" t="inlineStr">
        <is>
          <t>Demanda doméstica fixa informada pelo usuário.</t>
        </is>
      </c>
    </row>
    <row r="1728">
      <c r="A1728" s="6" t="inlineStr">
        <is>
          <t>Soja</t>
        </is>
      </c>
      <c r="B1728" s="6" t="inlineStr">
        <is>
          <t>Salvador - BA</t>
        </is>
      </c>
      <c r="C1728" s="6" t="n">
        <v>-12.9718</v>
      </c>
      <c r="D1728" s="6" t="n">
        <v>-38.5011</v>
      </c>
      <c r="E1728" s="6" t="inlineStr">
        <is>
          <t>2021-11</t>
        </is>
      </c>
      <c r="F1728" s="6" t="n">
        <v>105890.5445250265</v>
      </c>
      <c r="G1728" s="6" t="inlineStr">
        <is>
          <t>DOMESTICA</t>
        </is>
      </c>
      <c r="H1728" s="6" t="inlineStr">
        <is>
          <t>FIXO</t>
        </is>
      </c>
      <c r="I1728" s="11">
        <f>IF($H1728="AUTO_OFERTA_TOTAL_PRODUTO_PERIODO",SUMIFS(Oferta!$F:$F,Oferta!$A:$A,$A1728,Oferta!$E:$E,$E1728),$F1728)</f>
        <v/>
      </c>
      <c r="J1728" s="6" t="inlineStr">
        <is>
          <t>Informado</t>
        </is>
      </c>
      <c r="K1728" s="6" t="inlineStr">
        <is>
          <t>Demanda doméstica fixa informada pelo usuário.</t>
        </is>
      </c>
    </row>
    <row r="1729">
      <c r="A1729" s="6" t="inlineStr">
        <is>
          <t>Soja</t>
        </is>
      </c>
      <c r="B1729" s="6" t="inlineStr">
        <is>
          <t>Salvador - BA</t>
        </is>
      </c>
      <c r="C1729" s="6" t="n">
        <v>-12.9718</v>
      </c>
      <c r="D1729" s="6" t="n">
        <v>-38.5011</v>
      </c>
      <c r="E1729" s="6" t="inlineStr">
        <is>
          <t>2021-12</t>
        </is>
      </c>
      <c r="F1729" s="6" t="n">
        <v>105890.5445250265</v>
      </c>
      <c r="G1729" s="6" t="inlineStr">
        <is>
          <t>DOMESTICA</t>
        </is>
      </c>
      <c r="H1729" s="6" t="inlineStr">
        <is>
          <t>FIXO</t>
        </is>
      </c>
      <c r="I1729" s="11">
        <f>IF($H1729="AUTO_OFERTA_TOTAL_PRODUTO_PERIODO",SUMIFS(Oferta!$F:$F,Oferta!$A:$A,$A1729,Oferta!$E:$E,$E1729),$F1729)</f>
        <v/>
      </c>
      <c r="J1729" s="6" t="inlineStr">
        <is>
          <t>Informado</t>
        </is>
      </c>
      <c r="K1729" s="6" t="inlineStr">
        <is>
          <t>Demanda doméstica fixa informada pelo usuário.</t>
        </is>
      </c>
    </row>
    <row r="1730">
      <c r="A1730" s="6" t="inlineStr">
        <is>
          <t>Soja</t>
        </is>
      </c>
      <c r="B1730" s="6" t="inlineStr">
        <is>
          <t>Fortaleza - CE</t>
        </is>
      </c>
      <c r="C1730" s="6" t="n">
        <v>-3.71664</v>
      </c>
      <c r="D1730" s="6" t="n">
        <v>-38.5423</v>
      </c>
      <c r="E1730" s="6" t="inlineStr">
        <is>
          <t>2021-01</t>
        </is>
      </c>
      <c r="F1730" s="6" t="n">
        <v>72025.47913703239</v>
      </c>
      <c r="G1730" s="6" t="inlineStr">
        <is>
          <t>DOMESTICA</t>
        </is>
      </c>
      <c r="H1730" s="6" t="inlineStr">
        <is>
          <t>FIXO</t>
        </is>
      </c>
      <c r="I1730" s="11">
        <f>IF($H1730="AUTO_OFERTA_TOTAL_PRODUTO_PERIODO",SUMIFS(Oferta!$F:$F,Oferta!$A:$A,$A1730,Oferta!$E:$E,$E1730),$F1730)</f>
        <v/>
      </c>
      <c r="J1730" s="6" t="inlineStr">
        <is>
          <t>Informado</t>
        </is>
      </c>
      <c r="K1730" s="6" t="inlineStr">
        <is>
          <t>Demanda doméstica fixa informada pelo usuário.</t>
        </is>
      </c>
    </row>
    <row r="1731">
      <c r="A1731" s="6" t="inlineStr">
        <is>
          <t>Soja</t>
        </is>
      </c>
      <c r="B1731" s="6" t="inlineStr">
        <is>
          <t>Fortaleza - CE</t>
        </is>
      </c>
      <c r="C1731" s="6" t="n">
        <v>-3.71664</v>
      </c>
      <c r="D1731" s="6" t="n">
        <v>-38.5423</v>
      </c>
      <c r="E1731" s="6" t="inlineStr">
        <is>
          <t>2021-02</t>
        </is>
      </c>
      <c r="F1731" s="6" t="n">
        <v>72025.47913703239</v>
      </c>
      <c r="G1731" s="6" t="inlineStr">
        <is>
          <t>DOMESTICA</t>
        </is>
      </c>
      <c r="H1731" s="6" t="inlineStr">
        <is>
          <t>FIXO</t>
        </is>
      </c>
      <c r="I1731" s="11">
        <f>IF($H1731="AUTO_OFERTA_TOTAL_PRODUTO_PERIODO",SUMIFS(Oferta!$F:$F,Oferta!$A:$A,$A1731,Oferta!$E:$E,$E1731),$F1731)</f>
        <v/>
      </c>
      <c r="J1731" s="6" t="inlineStr">
        <is>
          <t>Informado</t>
        </is>
      </c>
      <c r="K1731" s="6" t="inlineStr">
        <is>
          <t>Demanda doméstica fixa informada pelo usuário.</t>
        </is>
      </c>
    </row>
    <row r="1732">
      <c r="A1732" s="6" t="inlineStr">
        <is>
          <t>Soja</t>
        </is>
      </c>
      <c r="B1732" s="6" t="inlineStr">
        <is>
          <t>Fortaleza - CE</t>
        </is>
      </c>
      <c r="C1732" s="6" t="n">
        <v>-3.71664</v>
      </c>
      <c r="D1732" s="6" t="n">
        <v>-38.5423</v>
      </c>
      <c r="E1732" s="6" t="inlineStr">
        <is>
          <t>2021-03</t>
        </is>
      </c>
      <c r="F1732" s="6" t="n">
        <v>72025.47913703239</v>
      </c>
      <c r="G1732" s="6" t="inlineStr">
        <is>
          <t>DOMESTICA</t>
        </is>
      </c>
      <c r="H1732" s="6" t="inlineStr">
        <is>
          <t>FIXO</t>
        </is>
      </c>
      <c r="I1732" s="11">
        <f>IF($H1732="AUTO_OFERTA_TOTAL_PRODUTO_PERIODO",SUMIFS(Oferta!$F:$F,Oferta!$A:$A,$A1732,Oferta!$E:$E,$E1732),$F1732)</f>
        <v/>
      </c>
      <c r="J1732" s="6" t="inlineStr">
        <is>
          <t>Informado</t>
        </is>
      </c>
      <c r="K1732" s="6" t="inlineStr">
        <is>
          <t>Demanda doméstica fixa informada pelo usuário.</t>
        </is>
      </c>
    </row>
    <row r="1733">
      <c r="A1733" s="6" t="inlineStr">
        <is>
          <t>Soja</t>
        </is>
      </c>
      <c r="B1733" s="6" t="inlineStr">
        <is>
          <t>Fortaleza - CE</t>
        </is>
      </c>
      <c r="C1733" s="6" t="n">
        <v>-3.71664</v>
      </c>
      <c r="D1733" s="6" t="n">
        <v>-38.5423</v>
      </c>
      <c r="E1733" s="6" t="inlineStr">
        <is>
          <t>2021-04</t>
        </is>
      </c>
      <c r="F1733" s="6" t="n">
        <v>72025.47913703239</v>
      </c>
      <c r="G1733" s="6" t="inlineStr">
        <is>
          <t>DOMESTICA</t>
        </is>
      </c>
      <c r="H1733" s="6" t="inlineStr">
        <is>
          <t>FIXO</t>
        </is>
      </c>
      <c r="I1733" s="11">
        <f>IF($H1733="AUTO_OFERTA_TOTAL_PRODUTO_PERIODO",SUMIFS(Oferta!$F:$F,Oferta!$A:$A,$A1733,Oferta!$E:$E,$E1733),$F1733)</f>
        <v/>
      </c>
      <c r="J1733" s="6" t="inlineStr">
        <is>
          <t>Informado</t>
        </is>
      </c>
      <c r="K1733" s="6" t="inlineStr">
        <is>
          <t>Demanda doméstica fixa informada pelo usuário.</t>
        </is>
      </c>
    </row>
    <row r="1734">
      <c r="A1734" s="6" t="inlineStr">
        <is>
          <t>Soja</t>
        </is>
      </c>
      <c r="B1734" s="6" t="inlineStr">
        <is>
          <t>Fortaleza - CE</t>
        </is>
      </c>
      <c r="C1734" s="6" t="n">
        <v>-3.71664</v>
      </c>
      <c r="D1734" s="6" t="n">
        <v>-38.5423</v>
      </c>
      <c r="E1734" s="6" t="inlineStr">
        <is>
          <t>2021-05</t>
        </is>
      </c>
      <c r="F1734" s="6" t="n">
        <v>72025.47913703239</v>
      </c>
      <c r="G1734" s="6" t="inlineStr">
        <is>
          <t>DOMESTICA</t>
        </is>
      </c>
      <c r="H1734" s="6" t="inlineStr">
        <is>
          <t>FIXO</t>
        </is>
      </c>
      <c r="I1734" s="11">
        <f>IF($H1734="AUTO_OFERTA_TOTAL_PRODUTO_PERIODO",SUMIFS(Oferta!$F:$F,Oferta!$A:$A,$A1734,Oferta!$E:$E,$E1734),$F1734)</f>
        <v/>
      </c>
      <c r="J1734" s="6" t="inlineStr">
        <is>
          <t>Informado</t>
        </is>
      </c>
      <c r="K1734" s="6" t="inlineStr">
        <is>
          <t>Demanda doméstica fixa informada pelo usuário.</t>
        </is>
      </c>
    </row>
    <row r="1735">
      <c r="A1735" s="6" t="inlineStr">
        <is>
          <t>Soja</t>
        </is>
      </c>
      <c r="B1735" s="6" t="inlineStr">
        <is>
          <t>Fortaleza - CE</t>
        </is>
      </c>
      <c r="C1735" s="6" t="n">
        <v>-3.71664</v>
      </c>
      <c r="D1735" s="6" t="n">
        <v>-38.5423</v>
      </c>
      <c r="E1735" s="6" t="inlineStr">
        <is>
          <t>2021-06</t>
        </is>
      </c>
      <c r="F1735" s="6" t="n">
        <v>72025.47913703239</v>
      </c>
      <c r="G1735" s="6" t="inlineStr">
        <is>
          <t>DOMESTICA</t>
        </is>
      </c>
      <c r="H1735" s="6" t="inlineStr">
        <is>
          <t>FIXO</t>
        </is>
      </c>
      <c r="I1735" s="11">
        <f>IF($H1735="AUTO_OFERTA_TOTAL_PRODUTO_PERIODO",SUMIFS(Oferta!$F:$F,Oferta!$A:$A,$A1735,Oferta!$E:$E,$E1735),$F1735)</f>
        <v/>
      </c>
      <c r="J1735" s="6" t="inlineStr">
        <is>
          <t>Informado</t>
        </is>
      </c>
      <c r="K1735" s="6" t="inlineStr">
        <is>
          <t>Demanda doméstica fixa informada pelo usuário.</t>
        </is>
      </c>
    </row>
    <row r="1736">
      <c r="A1736" s="6" t="inlineStr">
        <is>
          <t>Soja</t>
        </is>
      </c>
      <c r="B1736" s="6" t="inlineStr">
        <is>
          <t>Fortaleza - CE</t>
        </is>
      </c>
      <c r="C1736" s="6" t="n">
        <v>-3.71664</v>
      </c>
      <c r="D1736" s="6" t="n">
        <v>-38.5423</v>
      </c>
      <c r="E1736" s="6" t="inlineStr">
        <is>
          <t>2021-07</t>
        </is>
      </c>
      <c r="F1736" s="6" t="n">
        <v>72025.47913703239</v>
      </c>
      <c r="G1736" s="6" t="inlineStr">
        <is>
          <t>DOMESTICA</t>
        </is>
      </c>
      <c r="H1736" s="6" t="inlineStr">
        <is>
          <t>FIXO</t>
        </is>
      </c>
      <c r="I1736" s="11">
        <f>IF($H1736="AUTO_OFERTA_TOTAL_PRODUTO_PERIODO",SUMIFS(Oferta!$F:$F,Oferta!$A:$A,$A1736,Oferta!$E:$E,$E1736),$F1736)</f>
        <v/>
      </c>
      <c r="J1736" s="6" t="inlineStr">
        <is>
          <t>Informado</t>
        </is>
      </c>
      <c r="K1736" s="6" t="inlineStr">
        <is>
          <t>Demanda doméstica fixa informada pelo usuário.</t>
        </is>
      </c>
    </row>
    <row r="1737">
      <c r="A1737" s="6" t="inlineStr">
        <is>
          <t>Soja</t>
        </is>
      </c>
      <c r="B1737" s="6" t="inlineStr">
        <is>
          <t>Fortaleza - CE</t>
        </is>
      </c>
      <c r="C1737" s="6" t="n">
        <v>-3.71664</v>
      </c>
      <c r="D1737" s="6" t="n">
        <v>-38.5423</v>
      </c>
      <c r="E1737" s="6" t="inlineStr">
        <is>
          <t>2021-08</t>
        </is>
      </c>
      <c r="F1737" s="6" t="n">
        <v>72025.47913703239</v>
      </c>
      <c r="G1737" s="6" t="inlineStr">
        <is>
          <t>DOMESTICA</t>
        </is>
      </c>
      <c r="H1737" s="6" t="inlineStr">
        <is>
          <t>FIXO</t>
        </is>
      </c>
      <c r="I1737" s="11">
        <f>IF($H1737="AUTO_OFERTA_TOTAL_PRODUTO_PERIODO",SUMIFS(Oferta!$F:$F,Oferta!$A:$A,$A1737,Oferta!$E:$E,$E1737),$F1737)</f>
        <v/>
      </c>
      <c r="J1737" s="6" t="inlineStr">
        <is>
          <t>Informado</t>
        </is>
      </c>
      <c r="K1737" s="6" t="inlineStr">
        <is>
          <t>Demanda doméstica fixa informada pelo usuário.</t>
        </is>
      </c>
    </row>
    <row r="1738">
      <c r="A1738" s="6" t="inlineStr">
        <is>
          <t>Soja</t>
        </is>
      </c>
      <c r="B1738" s="6" t="inlineStr">
        <is>
          <t>Fortaleza - CE</t>
        </is>
      </c>
      <c r="C1738" s="6" t="n">
        <v>-3.71664</v>
      </c>
      <c r="D1738" s="6" t="n">
        <v>-38.5423</v>
      </c>
      <c r="E1738" s="6" t="inlineStr">
        <is>
          <t>2021-09</t>
        </is>
      </c>
      <c r="F1738" s="6" t="n">
        <v>72025.47913703239</v>
      </c>
      <c r="G1738" s="6" t="inlineStr">
        <is>
          <t>DOMESTICA</t>
        </is>
      </c>
      <c r="H1738" s="6" t="inlineStr">
        <is>
          <t>FIXO</t>
        </is>
      </c>
      <c r="I1738" s="11">
        <f>IF($H1738="AUTO_OFERTA_TOTAL_PRODUTO_PERIODO",SUMIFS(Oferta!$F:$F,Oferta!$A:$A,$A1738,Oferta!$E:$E,$E1738),$F1738)</f>
        <v/>
      </c>
      <c r="J1738" s="6" t="inlineStr">
        <is>
          <t>Informado</t>
        </is>
      </c>
      <c r="K1738" s="6" t="inlineStr">
        <is>
          <t>Demanda doméstica fixa informada pelo usuário.</t>
        </is>
      </c>
    </row>
    <row r="1739">
      <c r="A1739" s="6" t="inlineStr">
        <is>
          <t>Soja</t>
        </is>
      </c>
      <c r="B1739" s="6" t="inlineStr">
        <is>
          <t>Fortaleza - CE</t>
        </is>
      </c>
      <c r="C1739" s="6" t="n">
        <v>-3.71664</v>
      </c>
      <c r="D1739" s="6" t="n">
        <v>-38.5423</v>
      </c>
      <c r="E1739" s="6" t="inlineStr">
        <is>
          <t>2021-10</t>
        </is>
      </c>
      <c r="F1739" s="6" t="n">
        <v>72025.47913703239</v>
      </c>
      <c r="G1739" s="6" t="inlineStr">
        <is>
          <t>DOMESTICA</t>
        </is>
      </c>
      <c r="H1739" s="6" t="inlineStr">
        <is>
          <t>FIXO</t>
        </is>
      </c>
      <c r="I1739" s="11">
        <f>IF($H1739="AUTO_OFERTA_TOTAL_PRODUTO_PERIODO",SUMIFS(Oferta!$F:$F,Oferta!$A:$A,$A1739,Oferta!$E:$E,$E1739),$F1739)</f>
        <v/>
      </c>
      <c r="J1739" s="6" t="inlineStr">
        <is>
          <t>Informado</t>
        </is>
      </c>
      <c r="K1739" s="6" t="inlineStr">
        <is>
          <t>Demanda doméstica fixa informada pelo usuário.</t>
        </is>
      </c>
    </row>
    <row r="1740">
      <c r="A1740" s="6" t="inlineStr">
        <is>
          <t>Soja</t>
        </is>
      </c>
      <c r="B1740" s="6" t="inlineStr">
        <is>
          <t>Fortaleza - CE</t>
        </is>
      </c>
      <c r="C1740" s="6" t="n">
        <v>-3.71664</v>
      </c>
      <c r="D1740" s="6" t="n">
        <v>-38.5423</v>
      </c>
      <c r="E1740" s="6" t="inlineStr">
        <is>
          <t>2021-11</t>
        </is>
      </c>
      <c r="F1740" s="6" t="n">
        <v>72025.47913703239</v>
      </c>
      <c r="G1740" s="6" t="inlineStr">
        <is>
          <t>DOMESTICA</t>
        </is>
      </c>
      <c r="H1740" s="6" t="inlineStr">
        <is>
          <t>FIXO</t>
        </is>
      </c>
      <c r="I1740" s="11">
        <f>IF($H1740="AUTO_OFERTA_TOTAL_PRODUTO_PERIODO",SUMIFS(Oferta!$F:$F,Oferta!$A:$A,$A1740,Oferta!$E:$E,$E1740),$F1740)</f>
        <v/>
      </c>
      <c r="J1740" s="6" t="inlineStr">
        <is>
          <t>Informado</t>
        </is>
      </c>
      <c r="K1740" s="6" t="inlineStr">
        <is>
          <t>Demanda doméstica fixa informada pelo usuário.</t>
        </is>
      </c>
    </row>
    <row r="1741">
      <c r="A1741" s="6" t="inlineStr">
        <is>
          <t>Soja</t>
        </is>
      </c>
      <c r="B1741" s="6" t="inlineStr">
        <is>
          <t>Fortaleza - CE</t>
        </is>
      </c>
      <c r="C1741" s="6" t="n">
        <v>-3.71664</v>
      </c>
      <c r="D1741" s="6" t="n">
        <v>-38.5423</v>
      </c>
      <c r="E1741" s="6" t="inlineStr">
        <is>
          <t>2021-12</t>
        </is>
      </c>
      <c r="F1741" s="6" t="n">
        <v>72025.47913703239</v>
      </c>
      <c r="G1741" s="6" t="inlineStr">
        <is>
          <t>DOMESTICA</t>
        </is>
      </c>
      <c r="H1741" s="6" t="inlineStr">
        <is>
          <t>FIXO</t>
        </is>
      </c>
      <c r="I1741" s="11">
        <f>IF($H1741="AUTO_OFERTA_TOTAL_PRODUTO_PERIODO",SUMIFS(Oferta!$F:$F,Oferta!$A:$A,$A1741,Oferta!$E:$E,$E1741),$F1741)</f>
        <v/>
      </c>
      <c r="J1741" s="6" t="inlineStr">
        <is>
          <t>Informado</t>
        </is>
      </c>
      <c r="K1741" s="6" t="inlineStr">
        <is>
          <t>Demanda doméstica fixa informada pelo usuário.</t>
        </is>
      </c>
    </row>
    <row r="1742">
      <c r="A1742" s="6" t="inlineStr">
        <is>
          <t>Soja</t>
        </is>
      </c>
      <c r="B1742" s="6" t="inlineStr">
        <is>
          <t>São Luís - MA</t>
        </is>
      </c>
      <c r="C1742" s="6" t="n">
        <v>-2.53874</v>
      </c>
      <c r="D1742" s="6" t="n">
        <v>-44.2825</v>
      </c>
      <c r="E1742" s="6" t="inlineStr">
        <is>
          <t>2021-01</t>
        </is>
      </c>
      <c r="F1742" s="6" t="n">
        <v>34439.9253161202</v>
      </c>
      <c r="G1742" s="6" t="inlineStr">
        <is>
          <t>DOMESTICA</t>
        </is>
      </c>
      <c r="H1742" s="6" t="inlineStr">
        <is>
          <t>FIXO</t>
        </is>
      </c>
      <c r="I1742" s="11">
        <f>IF($H1742="AUTO_OFERTA_TOTAL_PRODUTO_PERIODO",SUMIFS(Oferta!$F:$F,Oferta!$A:$A,$A1742,Oferta!$E:$E,$E1742),$F1742)</f>
        <v/>
      </c>
      <c r="J1742" s="6" t="inlineStr">
        <is>
          <t>Informado</t>
        </is>
      </c>
      <c r="K1742" s="6" t="inlineStr">
        <is>
          <t>Demanda doméstica fixa informada pelo usuário.</t>
        </is>
      </c>
    </row>
    <row r="1743">
      <c r="A1743" s="6" t="inlineStr">
        <is>
          <t>Soja</t>
        </is>
      </c>
      <c r="B1743" s="6" t="inlineStr">
        <is>
          <t>São Luís - MA</t>
        </is>
      </c>
      <c r="C1743" s="6" t="n">
        <v>-2.53874</v>
      </c>
      <c r="D1743" s="6" t="n">
        <v>-44.2825</v>
      </c>
      <c r="E1743" s="6" t="inlineStr">
        <is>
          <t>2021-02</t>
        </is>
      </c>
      <c r="F1743" s="6" t="n">
        <v>34439.9253161202</v>
      </c>
      <c r="G1743" s="6" t="inlineStr">
        <is>
          <t>DOMESTICA</t>
        </is>
      </c>
      <c r="H1743" s="6" t="inlineStr">
        <is>
          <t>FIXO</t>
        </is>
      </c>
      <c r="I1743" s="11">
        <f>IF($H1743="AUTO_OFERTA_TOTAL_PRODUTO_PERIODO",SUMIFS(Oferta!$F:$F,Oferta!$A:$A,$A1743,Oferta!$E:$E,$E1743),$F1743)</f>
        <v/>
      </c>
      <c r="J1743" s="6" t="inlineStr">
        <is>
          <t>Informado</t>
        </is>
      </c>
      <c r="K1743" s="6" t="inlineStr">
        <is>
          <t>Demanda doméstica fixa informada pelo usuário.</t>
        </is>
      </c>
    </row>
    <row r="1744">
      <c r="A1744" s="6" t="inlineStr">
        <is>
          <t>Soja</t>
        </is>
      </c>
      <c r="B1744" s="6" t="inlineStr">
        <is>
          <t>São Luís - MA</t>
        </is>
      </c>
      <c r="C1744" s="6" t="n">
        <v>-2.53874</v>
      </c>
      <c r="D1744" s="6" t="n">
        <v>-44.2825</v>
      </c>
      <c r="E1744" s="6" t="inlineStr">
        <is>
          <t>2021-03</t>
        </is>
      </c>
      <c r="F1744" s="6" t="n">
        <v>44836.8839021188</v>
      </c>
      <c r="G1744" s="6" t="inlineStr">
        <is>
          <t>DOMESTICA</t>
        </is>
      </c>
      <c r="H1744" s="6" t="inlineStr">
        <is>
          <t>FIXO</t>
        </is>
      </c>
      <c r="I1744" s="11">
        <f>IF($H1744="AUTO_OFERTA_TOTAL_PRODUTO_PERIODO",SUMIFS(Oferta!$F:$F,Oferta!$A:$A,$A1744,Oferta!$E:$E,$E1744),$F1744)</f>
        <v/>
      </c>
      <c r="J1744" s="6" t="inlineStr">
        <is>
          <t>Informado</t>
        </is>
      </c>
      <c r="K1744" s="6" t="inlineStr">
        <is>
          <t>Demanda doméstica fixa informada pelo usuário.</t>
        </is>
      </c>
    </row>
    <row r="1745">
      <c r="A1745" s="6" t="inlineStr">
        <is>
          <t>Soja</t>
        </is>
      </c>
      <c r="B1745" s="6" t="inlineStr">
        <is>
          <t>São Luís - MA</t>
        </is>
      </c>
      <c r="C1745" s="6" t="n">
        <v>-2.53874</v>
      </c>
      <c r="D1745" s="6" t="n">
        <v>-44.2825</v>
      </c>
      <c r="E1745" s="6" t="inlineStr">
        <is>
          <t>2021-04</t>
        </is>
      </c>
      <c r="F1745" s="6" t="n">
        <v>86424.718246113</v>
      </c>
      <c r="G1745" s="6" t="inlineStr">
        <is>
          <t>DOMESTICA</t>
        </is>
      </c>
      <c r="H1745" s="6" t="inlineStr">
        <is>
          <t>FIXO</t>
        </is>
      </c>
      <c r="I1745" s="11">
        <f>IF($H1745="AUTO_OFERTA_TOTAL_PRODUTO_PERIODO",SUMIFS(Oferta!$F:$F,Oferta!$A:$A,$A1745,Oferta!$E:$E,$E1745),$F1745)</f>
        <v/>
      </c>
      <c r="J1745" s="6" t="inlineStr">
        <is>
          <t>Informado</t>
        </is>
      </c>
      <c r="K1745" s="6" t="inlineStr">
        <is>
          <t>Demanda doméstica fixa informada pelo usuário.</t>
        </is>
      </c>
    </row>
    <row r="1746">
      <c r="A1746" s="6" t="inlineStr">
        <is>
          <t>Soja</t>
        </is>
      </c>
      <c r="B1746" s="6" t="inlineStr">
        <is>
          <t>São Luís - MA</t>
        </is>
      </c>
      <c r="C1746" s="6" t="n">
        <v>-2.53874</v>
      </c>
      <c r="D1746" s="6" t="n">
        <v>-44.2825</v>
      </c>
      <c r="E1746" s="6" t="inlineStr">
        <is>
          <t>2021-05</t>
        </is>
      </c>
      <c r="F1746" s="6" t="n">
        <v>128012.5525901072</v>
      </c>
      <c r="G1746" s="6" t="inlineStr">
        <is>
          <t>DOMESTICA</t>
        </is>
      </c>
      <c r="H1746" s="6" t="inlineStr">
        <is>
          <t>FIXO</t>
        </is>
      </c>
      <c r="I1746" s="11">
        <f>IF($H1746="AUTO_OFERTA_TOTAL_PRODUTO_PERIODO",SUMIFS(Oferta!$F:$F,Oferta!$A:$A,$A1746,Oferta!$E:$E,$E1746),$F1746)</f>
        <v/>
      </c>
      <c r="J1746" s="6" t="inlineStr">
        <is>
          <t>Informado</t>
        </is>
      </c>
      <c r="K1746" s="6" t="inlineStr">
        <is>
          <t>Demanda doméstica fixa informada pelo usuário.</t>
        </is>
      </c>
    </row>
    <row r="1747">
      <c r="A1747" s="6" t="inlineStr">
        <is>
          <t>Soja</t>
        </is>
      </c>
      <c r="B1747" s="6" t="inlineStr">
        <is>
          <t>São Luís - MA</t>
        </is>
      </c>
      <c r="C1747" s="6" t="n">
        <v>-2.53874</v>
      </c>
      <c r="D1747" s="6" t="n">
        <v>-44.2825</v>
      </c>
      <c r="E1747" s="6" t="inlineStr">
        <is>
          <t>2021-06</t>
        </is>
      </c>
      <c r="F1747" s="6" t="n">
        <v>138409.5111761058</v>
      </c>
      <c r="G1747" s="6" t="inlineStr">
        <is>
          <t>DOMESTICA</t>
        </is>
      </c>
      <c r="H1747" s="6" t="inlineStr">
        <is>
          <t>FIXO</t>
        </is>
      </c>
      <c r="I1747" s="11">
        <f>IF($H1747="AUTO_OFERTA_TOTAL_PRODUTO_PERIODO",SUMIFS(Oferta!$F:$F,Oferta!$A:$A,$A1747,Oferta!$E:$E,$E1747),$F1747)</f>
        <v/>
      </c>
      <c r="J1747" s="6" t="inlineStr">
        <is>
          <t>Informado</t>
        </is>
      </c>
      <c r="K1747" s="6" t="inlineStr">
        <is>
          <t>Demanda doméstica fixa informada pelo usuário.</t>
        </is>
      </c>
    </row>
    <row r="1748">
      <c r="A1748" s="6" t="inlineStr">
        <is>
          <t>Soja</t>
        </is>
      </c>
      <c r="B1748" s="6" t="inlineStr">
        <is>
          <t>São Luís - MA</t>
        </is>
      </c>
      <c r="C1748" s="6" t="n">
        <v>-2.53874</v>
      </c>
      <c r="D1748" s="6" t="n">
        <v>-44.2825</v>
      </c>
      <c r="E1748" s="6" t="inlineStr">
        <is>
          <t>2021-07</t>
        </is>
      </c>
      <c r="F1748" s="6" t="n">
        <v>96821.6768321116</v>
      </c>
      <c r="G1748" s="6" t="inlineStr">
        <is>
          <t>DOMESTICA</t>
        </is>
      </c>
      <c r="H1748" s="6" t="inlineStr">
        <is>
          <t>FIXO</t>
        </is>
      </c>
      <c r="I1748" s="11">
        <f>IF($H1748="AUTO_OFERTA_TOTAL_PRODUTO_PERIODO",SUMIFS(Oferta!$F:$F,Oferta!$A:$A,$A1748,Oferta!$E:$E,$E1748),$F1748)</f>
        <v/>
      </c>
      <c r="J1748" s="6" t="inlineStr">
        <is>
          <t>Informado</t>
        </is>
      </c>
      <c r="K1748" s="6" t="inlineStr">
        <is>
          <t>Demanda doméstica fixa informada pelo usuário.</t>
        </is>
      </c>
    </row>
    <row r="1749">
      <c r="A1749" s="6" t="inlineStr">
        <is>
          <t>Soja</t>
        </is>
      </c>
      <c r="B1749" s="6" t="inlineStr">
        <is>
          <t>São Luís - MA</t>
        </is>
      </c>
      <c r="C1749" s="6" t="n">
        <v>-2.53874</v>
      </c>
      <c r="D1749" s="6" t="n">
        <v>-44.2825</v>
      </c>
      <c r="E1749" s="6" t="inlineStr">
        <is>
          <t>2021-08</t>
        </is>
      </c>
      <c r="F1749" s="6" t="n">
        <v>55233.8424881173</v>
      </c>
      <c r="G1749" s="6" t="inlineStr">
        <is>
          <t>DOMESTICA</t>
        </is>
      </c>
      <c r="H1749" s="6" t="inlineStr">
        <is>
          <t>FIXO</t>
        </is>
      </c>
      <c r="I1749" s="11">
        <f>IF($H1749="AUTO_OFERTA_TOTAL_PRODUTO_PERIODO",SUMIFS(Oferta!$F:$F,Oferta!$A:$A,$A1749,Oferta!$E:$E,$E1749),$F1749)</f>
        <v/>
      </c>
      <c r="J1749" s="6" t="inlineStr">
        <is>
          <t>Informado</t>
        </is>
      </c>
      <c r="K1749" s="6" t="inlineStr">
        <is>
          <t>Demanda doméstica fixa informada pelo usuário.</t>
        </is>
      </c>
    </row>
    <row r="1750">
      <c r="A1750" s="6" t="inlineStr">
        <is>
          <t>Soja</t>
        </is>
      </c>
      <c r="B1750" s="6" t="inlineStr">
        <is>
          <t>São Luís - MA</t>
        </is>
      </c>
      <c r="C1750" s="6" t="n">
        <v>-2.53874</v>
      </c>
      <c r="D1750" s="6" t="n">
        <v>-44.2825</v>
      </c>
      <c r="E1750" s="6" t="inlineStr">
        <is>
          <t>2021-09</t>
        </is>
      </c>
      <c r="F1750" s="6" t="n">
        <v>34439.9253161202</v>
      </c>
      <c r="G1750" s="6" t="inlineStr">
        <is>
          <t>DOMESTICA</t>
        </is>
      </c>
      <c r="H1750" s="6" t="inlineStr">
        <is>
          <t>FIXO</t>
        </is>
      </c>
      <c r="I1750" s="11">
        <f>IF($H1750="AUTO_OFERTA_TOTAL_PRODUTO_PERIODO",SUMIFS(Oferta!$F:$F,Oferta!$A:$A,$A1750,Oferta!$E:$E,$E1750),$F1750)</f>
        <v/>
      </c>
      <c r="J1750" s="6" t="inlineStr">
        <is>
          <t>Informado</t>
        </is>
      </c>
      <c r="K1750" s="6" t="inlineStr">
        <is>
          <t>Demanda doméstica fixa informada pelo usuário.</t>
        </is>
      </c>
    </row>
    <row r="1751">
      <c r="A1751" s="6" t="inlineStr">
        <is>
          <t>Soja</t>
        </is>
      </c>
      <c r="B1751" s="6" t="inlineStr">
        <is>
          <t>São Luís - MA</t>
        </is>
      </c>
      <c r="C1751" s="6" t="n">
        <v>-2.53874</v>
      </c>
      <c r="D1751" s="6" t="n">
        <v>-44.2825</v>
      </c>
      <c r="E1751" s="6" t="inlineStr">
        <is>
          <t>2021-10</t>
        </is>
      </c>
      <c r="F1751" s="6" t="n">
        <v>34439.9253161202</v>
      </c>
      <c r="G1751" s="6" t="inlineStr">
        <is>
          <t>DOMESTICA</t>
        </is>
      </c>
      <c r="H1751" s="6" t="inlineStr">
        <is>
          <t>FIXO</t>
        </is>
      </c>
      <c r="I1751" s="11">
        <f>IF($H1751="AUTO_OFERTA_TOTAL_PRODUTO_PERIODO",SUMIFS(Oferta!$F:$F,Oferta!$A:$A,$A1751,Oferta!$E:$E,$E1751),$F1751)</f>
        <v/>
      </c>
      <c r="J1751" s="6" t="inlineStr">
        <is>
          <t>Informado</t>
        </is>
      </c>
      <c r="K1751" s="6" t="inlineStr">
        <is>
          <t>Demanda doméstica fixa informada pelo usuário.</t>
        </is>
      </c>
    </row>
    <row r="1752">
      <c r="A1752" s="6" t="inlineStr">
        <is>
          <t>Soja</t>
        </is>
      </c>
      <c r="B1752" s="6" t="inlineStr">
        <is>
          <t>São Luís - MA</t>
        </is>
      </c>
      <c r="C1752" s="6" t="n">
        <v>-2.53874</v>
      </c>
      <c r="D1752" s="6" t="n">
        <v>-44.2825</v>
      </c>
      <c r="E1752" s="6" t="inlineStr">
        <is>
          <t>2021-11</t>
        </is>
      </c>
      <c r="F1752" s="6" t="n">
        <v>34439.9253161202</v>
      </c>
      <c r="G1752" s="6" t="inlineStr">
        <is>
          <t>DOMESTICA</t>
        </is>
      </c>
      <c r="H1752" s="6" t="inlineStr">
        <is>
          <t>FIXO</t>
        </is>
      </c>
      <c r="I1752" s="11">
        <f>IF($H1752="AUTO_OFERTA_TOTAL_PRODUTO_PERIODO",SUMIFS(Oferta!$F:$F,Oferta!$A:$A,$A1752,Oferta!$E:$E,$E1752),$F1752)</f>
        <v/>
      </c>
      <c r="J1752" s="6" t="inlineStr">
        <is>
          <t>Informado</t>
        </is>
      </c>
      <c r="K1752" s="6" t="inlineStr">
        <is>
          <t>Demanda doméstica fixa informada pelo usuário.</t>
        </is>
      </c>
    </row>
    <row r="1753">
      <c r="A1753" s="6" t="inlineStr">
        <is>
          <t>Soja</t>
        </is>
      </c>
      <c r="B1753" s="6" t="inlineStr">
        <is>
          <t>São Luís - MA</t>
        </is>
      </c>
      <c r="C1753" s="6" t="n">
        <v>-2.53874</v>
      </c>
      <c r="D1753" s="6" t="n">
        <v>-44.2825</v>
      </c>
      <c r="E1753" s="6" t="inlineStr">
        <is>
          <t>2021-12</t>
        </is>
      </c>
      <c r="F1753" s="6" t="n">
        <v>34439.9253161202</v>
      </c>
      <c r="G1753" s="6" t="inlineStr">
        <is>
          <t>DOMESTICA</t>
        </is>
      </c>
      <c r="H1753" s="6" t="inlineStr">
        <is>
          <t>FIXO</t>
        </is>
      </c>
      <c r="I1753" s="11">
        <f>IF($H1753="AUTO_OFERTA_TOTAL_PRODUTO_PERIODO",SUMIFS(Oferta!$F:$F,Oferta!$A:$A,$A1753,Oferta!$E:$E,$E1753),$F1753)</f>
        <v/>
      </c>
      <c r="J1753" s="6" t="inlineStr">
        <is>
          <t>Informado</t>
        </is>
      </c>
      <c r="K1753" s="6" t="inlineStr">
        <is>
          <t>Demanda doméstica fixa informada pelo usuário.</t>
        </is>
      </c>
    </row>
    <row r="1754">
      <c r="A1754" s="6" t="inlineStr">
        <is>
          <t>Soja</t>
        </is>
      </c>
      <c r="B1754" s="6" t="inlineStr">
        <is>
          <t>João Pessoa - PB</t>
        </is>
      </c>
      <c r="C1754" s="6" t="n">
        <v>-7.11509</v>
      </c>
      <c r="D1754" s="6" t="n">
        <v>-34.8641</v>
      </c>
      <c r="E1754" s="6" t="inlineStr">
        <is>
          <t>2021-01</t>
        </is>
      </c>
      <c r="F1754" s="6" t="n">
        <v>30714.4064432632</v>
      </c>
      <c r="G1754" s="6" t="inlineStr">
        <is>
          <t>DOMESTICA</t>
        </is>
      </c>
      <c r="H1754" s="6" t="inlineStr">
        <is>
          <t>FIXO</t>
        </is>
      </c>
      <c r="I1754" s="11">
        <f>IF($H1754="AUTO_OFERTA_TOTAL_PRODUTO_PERIODO",SUMIFS(Oferta!$F:$F,Oferta!$A:$A,$A1754,Oferta!$E:$E,$E1754),$F1754)</f>
        <v/>
      </c>
      <c r="J1754" s="6" t="inlineStr">
        <is>
          <t>Informado</t>
        </is>
      </c>
      <c r="K1754" s="6" t="inlineStr">
        <is>
          <t>Demanda doméstica fixa informada pelo usuário.</t>
        </is>
      </c>
    </row>
    <row r="1755">
      <c r="A1755" s="6" t="inlineStr">
        <is>
          <t>Soja</t>
        </is>
      </c>
      <c r="B1755" s="6" t="inlineStr">
        <is>
          <t>João Pessoa - PB</t>
        </is>
      </c>
      <c r="C1755" s="6" t="n">
        <v>-7.11509</v>
      </c>
      <c r="D1755" s="6" t="n">
        <v>-34.8641</v>
      </c>
      <c r="E1755" s="6" t="inlineStr">
        <is>
          <t>2021-02</t>
        </is>
      </c>
      <c r="F1755" s="6" t="n">
        <v>30714.4064432632</v>
      </c>
      <c r="G1755" s="6" t="inlineStr">
        <is>
          <t>DOMESTICA</t>
        </is>
      </c>
      <c r="H1755" s="6" t="inlineStr">
        <is>
          <t>FIXO</t>
        </is>
      </c>
      <c r="I1755" s="11">
        <f>IF($H1755="AUTO_OFERTA_TOTAL_PRODUTO_PERIODO",SUMIFS(Oferta!$F:$F,Oferta!$A:$A,$A1755,Oferta!$E:$E,$E1755),$F1755)</f>
        <v/>
      </c>
      <c r="J1755" s="6" t="inlineStr">
        <is>
          <t>Informado</t>
        </is>
      </c>
      <c r="K1755" s="6" t="inlineStr">
        <is>
          <t>Demanda doméstica fixa informada pelo usuário.</t>
        </is>
      </c>
    </row>
    <row r="1756">
      <c r="A1756" s="6" t="inlineStr">
        <is>
          <t>Soja</t>
        </is>
      </c>
      <c r="B1756" s="6" t="inlineStr">
        <is>
          <t>João Pessoa - PB</t>
        </is>
      </c>
      <c r="C1756" s="6" t="n">
        <v>-7.11509</v>
      </c>
      <c r="D1756" s="6" t="n">
        <v>-34.8641</v>
      </c>
      <c r="E1756" s="6" t="inlineStr">
        <is>
          <t>2021-03</t>
        </is>
      </c>
      <c r="F1756" s="6" t="n">
        <v>30714.4064432632</v>
      </c>
      <c r="G1756" s="6" t="inlineStr">
        <is>
          <t>DOMESTICA</t>
        </is>
      </c>
      <c r="H1756" s="6" t="inlineStr">
        <is>
          <t>FIXO</t>
        </is>
      </c>
      <c r="I1756" s="11">
        <f>IF($H1756="AUTO_OFERTA_TOTAL_PRODUTO_PERIODO",SUMIFS(Oferta!$F:$F,Oferta!$A:$A,$A1756,Oferta!$E:$E,$E1756),$F1756)</f>
        <v/>
      </c>
      <c r="J1756" s="6" t="inlineStr">
        <is>
          <t>Informado</t>
        </is>
      </c>
      <c r="K1756" s="6" t="inlineStr">
        <is>
          <t>Demanda doméstica fixa informada pelo usuário.</t>
        </is>
      </c>
    </row>
    <row r="1757">
      <c r="A1757" s="6" t="inlineStr">
        <is>
          <t>Soja</t>
        </is>
      </c>
      <c r="B1757" s="6" t="inlineStr">
        <is>
          <t>João Pessoa - PB</t>
        </is>
      </c>
      <c r="C1757" s="6" t="n">
        <v>-7.11509</v>
      </c>
      <c r="D1757" s="6" t="n">
        <v>-34.8641</v>
      </c>
      <c r="E1757" s="6" t="inlineStr">
        <is>
          <t>2021-04</t>
        </is>
      </c>
      <c r="F1757" s="6" t="n">
        <v>30714.4064432632</v>
      </c>
      <c r="G1757" s="6" t="inlineStr">
        <is>
          <t>DOMESTICA</t>
        </is>
      </c>
      <c r="H1757" s="6" t="inlineStr">
        <is>
          <t>FIXO</t>
        </is>
      </c>
      <c r="I1757" s="11">
        <f>IF($H1757="AUTO_OFERTA_TOTAL_PRODUTO_PERIODO",SUMIFS(Oferta!$F:$F,Oferta!$A:$A,$A1757,Oferta!$E:$E,$E1757),$F1757)</f>
        <v/>
      </c>
      <c r="J1757" s="6" t="inlineStr">
        <is>
          <t>Informado</t>
        </is>
      </c>
      <c r="K1757" s="6" t="inlineStr">
        <is>
          <t>Demanda doméstica fixa informada pelo usuário.</t>
        </is>
      </c>
    </row>
    <row r="1758">
      <c r="A1758" s="6" t="inlineStr">
        <is>
          <t>Soja</t>
        </is>
      </c>
      <c r="B1758" s="6" t="inlineStr">
        <is>
          <t>João Pessoa - PB</t>
        </is>
      </c>
      <c r="C1758" s="6" t="n">
        <v>-7.11509</v>
      </c>
      <c r="D1758" s="6" t="n">
        <v>-34.8641</v>
      </c>
      <c r="E1758" s="6" t="inlineStr">
        <is>
          <t>2021-05</t>
        </is>
      </c>
      <c r="F1758" s="6" t="n">
        <v>30714.4064432632</v>
      </c>
      <c r="G1758" s="6" t="inlineStr">
        <is>
          <t>DOMESTICA</t>
        </is>
      </c>
      <c r="H1758" s="6" t="inlineStr">
        <is>
          <t>FIXO</t>
        </is>
      </c>
      <c r="I1758" s="11">
        <f>IF($H1758="AUTO_OFERTA_TOTAL_PRODUTO_PERIODO",SUMIFS(Oferta!$F:$F,Oferta!$A:$A,$A1758,Oferta!$E:$E,$E1758),$F1758)</f>
        <v/>
      </c>
      <c r="J1758" s="6" t="inlineStr">
        <is>
          <t>Informado</t>
        </is>
      </c>
      <c r="K1758" s="6" t="inlineStr">
        <is>
          <t>Demanda doméstica fixa informada pelo usuário.</t>
        </is>
      </c>
    </row>
    <row r="1759">
      <c r="A1759" s="6" t="inlineStr">
        <is>
          <t>Soja</t>
        </is>
      </c>
      <c r="B1759" s="6" t="inlineStr">
        <is>
          <t>João Pessoa - PB</t>
        </is>
      </c>
      <c r="C1759" s="6" t="n">
        <v>-7.11509</v>
      </c>
      <c r="D1759" s="6" t="n">
        <v>-34.8641</v>
      </c>
      <c r="E1759" s="6" t="inlineStr">
        <is>
          <t>2021-06</t>
        </is>
      </c>
      <c r="F1759" s="6" t="n">
        <v>30714.4064432632</v>
      </c>
      <c r="G1759" s="6" t="inlineStr">
        <is>
          <t>DOMESTICA</t>
        </is>
      </c>
      <c r="H1759" s="6" t="inlineStr">
        <is>
          <t>FIXO</t>
        </is>
      </c>
      <c r="I1759" s="11">
        <f>IF($H1759="AUTO_OFERTA_TOTAL_PRODUTO_PERIODO",SUMIFS(Oferta!$F:$F,Oferta!$A:$A,$A1759,Oferta!$E:$E,$E1759),$F1759)</f>
        <v/>
      </c>
      <c r="J1759" s="6" t="inlineStr">
        <is>
          <t>Informado</t>
        </is>
      </c>
      <c r="K1759" s="6" t="inlineStr">
        <is>
          <t>Demanda doméstica fixa informada pelo usuário.</t>
        </is>
      </c>
    </row>
    <row r="1760">
      <c r="A1760" s="6" t="inlineStr">
        <is>
          <t>Soja</t>
        </is>
      </c>
      <c r="B1760" s="6" t="inlineStr">
        <is>
          <t>João Pessoa - PB</t>
        </is>
      </c>
      <c r="C1760" s="6" t="n">
        <v>-7.11509</v>
      </c>
      <c r="D1760" s="6" t="n">
        <v>-34.8641</v>
      </c>
      <c r="E1760" s="6" t="inlineStr">
        <is>
          <t>2021-07</t>
        </is>
      </c>
      <c r="F1760" s="6" t="n">
        <v>30714.4064432632</v>
      </c>
      <c r="G1760" s="6" t="inlineStr">
        <is>
          <t>DOMESTICA</t>
        </is>
      </c>
      <c r="H1760" s="6" t="inlineStr">
        <is>
          <t>FIXO</t>
        </is>
      </c>
      <c r="I1760" s="11">
        <f>IF($H1760="AUTO_OFERTA_TOTAL_PRODUTO_PERIODO",SUMIFS(Oferta!$F:$F,Oferta!$A:$A,$A1760,Oferta!$E:$E,$E1760),$F1760)</f>
        <v/>
      </c>
      <c r="J1760" s="6" t="inlineStr">
        <is>
          <t>Informado</t>
        </is>
      </c>
      <c r="K1760" s="6" t="inlineStr">
        <is>
          <t>Demanda doméstica fixa informada pelo usuário.</t>
        </is>
      </c>
    </row>
    <row r="1761">
      <c r="A1761" s="6" t="inlineStr">
        <is>
          <t>Soja</t>
        </is>
      </c>
      <c r="B1761" s="6" t="inlineStr">
        <is>
          <t>João Pessoa - PB</t>
        </is>
      </c>
      <c r="C1761" s="6" t="n">
        <v>-7.11509</v>
      </c>
      <c r="D1761" s="6" t="n">
        <v>-34.8641</v>
      </c>
      <c r="E1761" s="6" t="inlineStr">
        <is>
          <t>2021-08</t>
        </is>
      </c>
      <c r="F1761" s="6" t="n">
        <v>30714.4064432632</v>
      </c>
      <c r="G1761" s="6" t="inlineStr">
        <is>
          <t>DOMESTICA</t>
        </is>
      </c>
      <c r="H1761" s="6" t="inlineStr">
        <is>
          <t>FIXO</t>
        </is>
      </c>
      <c r="I1761" s="11">
        <f>IF($H1761="AUTO_OFERTA_TOTAL_PRODUTO_PERIODO",SUMIFS(Oferta!$F:$F,Oferta!$A:$A,$A1761,Oferta!$E:$E,$E1761),$F1761)</f>
        <v/>
      </c>
      <c r="J1761" s="6" t="inlineStr">
        <is>
          <t>Informado</t>
        </is>
      </c>
      <c r="K1761" s="6" t="inlineStr">
        <is>
          <t>Demanda doméstica fixa informada pelo usuário.</t>
        </is>
      </c>
    </row>
    <row r="1762">
      <c r="A1762" s="6" t="inlineStr">
        <is>
          <t>Soja</t>
        </is>
      </c>
      <c r="B1762" s="6" t="inlineStr">
        <is>
          <t>João Pessoa - PB</t>
        </is>
      </c>
      <c r="C1762" s="6" t="n">
        <v>-7.11509</v>
      </c>
      <c r="D1762" s="6" t="n">
        <v>-34.8641</v>
      </c>
      <c r="E1762" s="6" t="inlineStr">
        <is>
          <t>2021-09</t>
        </is>
      </c>
      <c r="F1762" s="6" t="n">
        <v>30714.4064432632</v>
      </c>
      <c r="G1762" s="6" t="inlineStr">
        <is>
          <t>DOMESTICA</t>
        </is>
      </c>
      <c r="H1762" s="6" t="inlineStr">
        <is>
          <t>FIXO</t>
        </is>
      </c>
      <c r="I1762" s="11">
        <f>IF($H1762="AUTO_OFERTA_TOTAL_PRODUTO_PERIODO",SUMIFS(Oferta!$F:$F,Oferta!$A:$A,$A1762,Oferta!$E:$E,$E1762),$F1762)</f>
        <v/>
      </c>
      <c r="J1762" s="6" t="inlineStr">
        <is>
          <t>Informado</t>
        </is>
      </c>
      <c r="K1762" s="6" t="inlineStr">
        <is>
          <t>Demanda doméstica fixa informada pelo usuário.</t>
        </is>
      </c>
    </row>
    <row r="1763">
      <c r="A1763" s="6" t="inlineStr">
        <is>
          <t>Soja</t>
        </is>
      </c>
      <c r="B1763" s="6" t="inlineStr">
        <is>
          <t>João Pessoa - PB</t>
        </is>
      </c>
      <c r="C1763" s="6" t="n">
        <v>-7.11509</v>
      </c>
      <c r="D1763" s="6" t="n">
        <v>-34.8641</v>
      </c>
      <c r="E1763" s="6" t="inlineStr">
        <is>
          <t>2021-10</t>
        </is>
      </c>
      <c r="F1763" s="6" t="n">
        <v>30714.4064432632</v>
      </c>
      <c r="G1763" s="6" t="inlineStr">
        <is>
          <t>DOMESTICA</t>
        </is>
      </c>
      <c r="H1763" s="6" t="inlineStr">
        <is>
          <t>FIXO</t>
        </is>
      </c>
      <c r="I1763" s="11">
        <f>IF($H1763="AUTO_OFERTA_TOTAL_PRODUTO_PERIODO",SUMIFS(Oferta!$F:$F,Oferta!$A:$A,$A1763,Oferta!$E:$E,$E1763),$F1763)</f>
        <v/>
      </c>
      <c r="J1763" s="6" t="inlineStr">
        <is>
          <t>Informado</t>
        </is>
      </c>
      <c r="K1763" s="6" t="inlineStr">
        <is>
          <t>Demanda doméstica fixa informada pelo usuário.</t>
        </is>
      </c>
    </row>
    <row r="1764">
      <c r="A1764" s="6" t="inlineStr">
        <is>
          <t>Soja</t>
        </is>
      </c>
      <c r="B1764" s="6" t="inlineStr">
        <is>
          <t>João Pessoa - PB</t>
        </is>
      </c>
      <c r="C1764" s="6" t="n">
        <v>-7.11509</v>
      </c>
      <c r="D1764" s="6" t="n">
        <v>-34.8641</v>
      </c>
      <c r="E1764" s="6" t="inlineStr">
        <is>
          <t>2021-11</t>
        </is>
      </c>
      <c r="F1764" s="6" t="n">
        <v>30714.4064432632</v>
      </c>
      <c r="G1764" s="6" t="inlineStr">
        <is>
          <t>DOMESTICA</t>
        </is>
      </c>
      <c r="H1764" s="6" t="inlineStr">
        <is>
          <t>FIXO</t>
        </is>
      </c>
      <c r="I1764" s="11">
        <f>IF($H1764="AUTO_OFERTA_TOTAL_PRODUTO_PERIODO",SUMIFS(Oferta!$F:$F,Oferta!$A:$A,$A1764,Oferta!$E:$E,$E1764),$F1764)</f>
        <v/>
      </c>
      <c r="J1764" s="6" t="inlineStr">
        <is>
          <t>Informado</t>
        </is>
      </c>
      <c r="K1764" s="6" t="inlineStr">
        <is>
          <t>Demanda doméstica fixa informada pelo usuário.</t>
        </is>
      </c>
    </row>
    <row r="1765">
      <c r="A1765" s="6" t="inlineStr">
        <is>
          <t>Soja</t>
        </is>
      </c>
      <c r="B1765" s="6" t="inlineStr">
        <is>
          <t>João Pessoa - PB</t>
        </is>
      </c>
      <c r="C1765" s="6" t="n">
        <v>-7.11509</v>
      </c>
      <c r="D1765" s="6" t="n">
        <v>-34.8641</v>
      </c>
      <c r="E1765" s="6" t="inlineStr">
        <is>
          <t>2021-12</t>
        </is>
      </c>
      <c r="F1765" s="6" t="n">
        <v>30714.4064432632</v>
      </c>
      <c r="G1765" s="6" t="inlineStr">
        <is>
          <t>DOMESTICA</t>
        </is>
      </c>
      <c r="H1765" s="6" t="inlineStr">
        <is>
          <t>FIXO</t>
        </is>
      </c>
      <c r="I1765" s="11">
        <f>IF($H1765="AUTO_OFERTA_TOTAL_PRODUTO_PERIODO",SUMIFS(Oferta!$F:$F,Oferta!$A:$A,$A1765,Oferta!$E:$E,$E1765),$F1765)</f>
        <v/>
      </c>
      <c r="J1765" s="6" t="inlineStr">
        <is>
          <t>Informado</t>
        </is>
      </c>
      <c r="K1765" s="6" t="inlineStr">
        <is>
          <t>Demanda doméstica fixa informada pelo usuário.</t>
        </is>
      </c>
    </row>
    <row r="1766">
      <c r="A1766" s="6" t="inlineStr">
        <is>
          <t>Soja</t>
        </is>
      </c>
      <c r="B1766" s="6" t="inlineStr">
        <is>
          <t>Recife - PE</t>
        </is>
      </c>
      <c r="C1766" s="6" t="n">
        <v>-8.046659999999999</v>
      </c>
      <c r="D1766" s="6" t="n">
        <v>-34.8771</v>
      </c>
      <c r="E1766" s="6" t="inlineStr">
        <is>
          <t>2021-01</t>
        </is>
      </c>
      <c r="F1766" s="6" t="n">
        <v>95276.17321305641</v>
      </c>
      <c r="G1766" s="6" t="inlineStr">
        <is>
          <t>DOMESTICA</t>
        </is>
      </c>
      <c r="H1766" s="6" t="inlineStr">
        <is>
          <t>FIXO</t>
        </is>
      </c>
      <c r="I1766" s="11">
        <f>IF($H1766="AUTO_OFERTA_TOTAL_PRODUTO_PERIODO",SUMIFS(Oferta!$F:$F,Oferta!$A:$A,$A1766,Oferta!$E:$E,$E1766),$F1766)</f>
        <v/>
      </c>
      <c r="J1766" s="6" t="inlineStr">
        <is>
          <t>Informado</t>
        </is>
      </c>
      <c r="K1766" s="6" t="inlineStr">
        <is>
          <t>Demanda doméstica fixa informada pelo usuário.</t>
        </is>
      </c>
    </row>
    <row r="1767">
      <c r="A1767" s="6" t="inlineStr">
        <is>
          <t>Soja</t>
        </is>
      </c>
      <c r="B1767" s="6" t="inlineStr">
        <is>
          <t>Recife - PE</t>
        </is>
      </c>
      <c r="C1767" s="6" t="n">
        <v>-8.046659999999999</v>
      </c>
      <c r="D1767" s="6" t="n">
        <v>-34.8771</v>
      </c>
      <c r="E1767" s="6" t="inlineStr">
        <is>
          <t>2021-02</t>
        </is>
      </c>
      <c r="F1767" s="6" t="n">
        <v>95276.17321305641</v>
      </c>
      <c r="G1767" s="6" t="inlineStr">
        <is>
          <t>DOMESTICA</t>
        </is>
      </c>
      <c r="H1767" s="6" t="inlineStr">
        <is>
          <t>FIXO</t>
        </is>
      </c>
      <c r="I1767" s="11">
        <f>IF($H1767="AUTO_OFERTA_TOTAL_PRODUTO_PERIODO",SUMIFS(Oferta!$F:$F,Oferta!$A:$A,$A1767,Oferta!$E:$E,$E1767),$F1767)</f>
        <v/>
      </c>
      <c r="J1767" s="6" t="inlineStr">
        <is>
          <t>Informado</t>
        </is>
      </c>
      <c r="K1767" s="6" t="inlineStr">
        <is>
          <t>Demanda doméstica fixa informada pelo usuário.</t>
        </is>
      </c>
    </row>
    <row r="1768">
      <c r="A1768" s="6" t="inlineStr">
        <is>
          <t>Soja</t>
        </is>
      </c>
      <c r="B1768" s="6" t="inlineStr">
        <is>
          <t>Recife - PE</t>
        </is>
      </c>
      <c r="C1768" s="6" t="n">
        <v>-8.046659999999999</v>
      </c>
      <c r="D1768" s="6" t="n">
        <v>-34.8771</v>
      </c>
      <c r="E1768" s="6" t="inlineStr">
        <is>
          <t>2021-03</t>
        </is>
      </c>
      <c r="F1768" s="6" t="n">
        <v>95276.17321305641</v>
      </c>
      <c r="G1768" s="6" t="inlineStr">
        <is>
          <t>DOMESTICA</t>
        </is>
      </c>
      <c r="H1768" s="6" t="inlineStr">
        <is>
          <t>FIXO</t>
        </is>
      </c>
      <c r="I1768" s="11">
        <f>IF($H1768="AUTO_OFERTA_TOTAL_PRODUTO_PERIODO",SUMIFS(Oferta!$F:$F,Oferta!$A:$A,$A1768,Oferta!$E:$E,$E1768),$F1768)</f>
        <v/>
      </c>
      <c r="J1768" s="6" t="inlineStr">
        <is>
          <t>Informado</t>
        </is>
      </c>
      <c r="K1768" s="6" t="inlineStr">
        <is>
          <t>Demanda doméstica fixa informada pelo usuário.</t>
        </is>
      </c>
    </row>
    <row r="1769">
      <c r="A1769" s="6" t="inlineStr">
        <is>
          <t>Soja</t>
        </is>
      </c>
      <c r="B1769" s="6" t="inlineStr">
        <is>
          <t>Recife - PE</t>
        </is>
      </c>
      <c r="C1769" s="6" t="n">
        <v>-8.046659999999999</v>
      </c>
      <c r="D1769" s="6" t="n">
        <v>-34.8771</v>
      </c>
      <c r="E1769" s="6" t="inlineStr">
        <is>
          <t>2021-04</t>
        </is>
      </c>
      <c r="F1769" s="6" t="n">
        <v>95276.17321305641</v>
      </c>
      <c r="G1769" s="6" t="inlineStr">
        <is>
          <t>DOMESTICA</t>
        </is>
      </c>
      <c r="H1769" s="6" t="inlineStr">
        <is>
          <t>FIXO</t>
        </is>
      </c>
      <c r="I1769" s="11">
        <f>IF($H1769="AUTO_OFERTA_TOTAL_PRODUTO_PERIODO",SUMIFS(Oferta!$F:$F,Oferta!$A:$A,$A1769,Oferta!$E:$E,$E1769),$F1769)</f>
        <v/>
      </c>
      <c r="J1769" s="6" t="inlineStr">
        <is>
          <t>Informado</t>
        </is>
      </c>
      <c r="K1769" s="6" t="inlineStr">
        <is>
          <t>Demanda doméstica fixa informada pelo usuário.</t>
        </is>
      </c>
    </row>
    <row r="1770">
      <c r="A1770" s="6" t="inlineStr">
        <is>
          <t>Soja</t>
        </is>
      </c>
      <c r="B1770" s="6" t="inlineStr">
        <is>
          <t>Recife - PE</t>
        </is>
      </c>
      <c r="C1770" s="6" t="n">
        <v>-8.046659999999999</v>
      </c>
      <c r="D1770" s="6" t="n">
        <v>-34.8771</v>
      </c>
      <c r="E1770" s="6" t="inlineStr">
        <is>
          <t>2021-05</t>
        </is>
      </c>
      <c r="F1770" s="6" t="n">
        <v>95276.17321305641</v>
      </c>
      <c r="G1770" s="6" t="inlineStr">
        <is>
          <t>DOMESTICA</t>
        </is>
      </c>
      <c r="H1770" s="6" t="inlineStr">
        <is>
          <t>FIXO</t>
        </is>
      </c>
      <c r="I1770" s="11">
        <f>IF($H1770="AUTO_OFERTA_TOTAL_PRODUTO_PERIODO",SUMIFS(Oferta!$F:$F,Oferta!$A:$A,$A1770,Oferta!$E:$E,$E1770),$F1770)</f>
        <v/>
      </c>
      <c r="J1770" s="6" t="inlineStr">
        <is>
          <t>Informado</t>
        </is>
      </c>
      <c r="K1770" s="6" t="inlineStr">
        <is>
          <t>Demanda doméstica fixa informada pelo usuário.</t>
        </is>
      </c>
    </row>
    <row r="1771">
      <c r="A1771" s="6" t="inlineStr">
        <is>
          <t>Soja</t>
        </is>
      </c>
      <c r="B1771" s="6" t="inlineStr">
        <is>
          <t>Recife - PE</t>
        </is>
      </c>
      <c r="C1771" s="6" t="n">
        <v>-8.046659999999999</v>
      </c>
      <c r="D1771" s="6" t="n">
        <v>-34.8771</v>
      </c>
      <c r="E1771" s="6" t="inlineStr">
        <is>
          <t>2021-06</t>
        </is>
      </c>
      <c r="F1771" s="6" t="n">
        <v>95276.17321305641</v>
      </c>
      <c r="G1771" s="6" t="inlineStr">
        <is>
          <t>DOMESTICA</t>
        </is>
      </c>
      <c r="H1771" s="6" t="inlineStr">
        <is>
          <t>FIXO</t>
        </is>
      </c>
      <c r="I1771" s="11">
        <f>IF($H1771="AUTO_OFERTA_TOTAL_PRODUTO_PERIODO",SUMIFS(Oferta!$F:$F,Oferta!$A:$A,$A1771,Oferta!$E:$E,$E1771),$F1771)</f>
        <v/>
      </c>
      <c r="J1771" s="6" t="inlineStr">
        <is>
          <t>Informado</t>
        </is>
      </c>
      <c r="K1771" s="6" t="inlineStr">
        <is>
          <t>Demanda doméstica fixa informada pelo usuário.</t>
        </is>
      </c>
    </row>
    <row r="1772">
      <c r="A1772" s="6" t="inlineStr">
        <is>
          <t>Soja</t>
        </is>
      </c>
      <c r="B1772" s="6" t="inlineStr">
        <is>
          <t>Recife - PE</t>
        </is>
      </c>
      <c r="C1772" s="6" t="n">
        <v>-8.046659999999999</v>
      </c>
      <c r="D1772" s="6" t="n">
        <v>-34.8771</v>
      </c>
      <c r="E1772" s="6" t="inlineStr">
        <is>
          <t>2021-07</t>
        </is>
      </c>
      <c r="F1772" s="6" t="n">
        <v>95276.17321305641</v>
      </c>
      <c r="G1772" s="6" t="inlineStr">
        <is>
          <t>DOMESTICA</t>
        </is>
      </c>
      <c r="H1772" s="6" t="inlineStr">
        <is>
          <t>FIXO</t>
        </is>
      </c>
      <c r="I1772" s="11">
        <f>IF($H1772="AUTO_OFERTA_TOTAL_PRODUTO_PERIODO",SUMIFS(Oferta!$F:$F,Oferta!$A:$A,$A1772,Oferta!$E:$E,$E1772),$F1772)</f>
        <v/>
      </c>
      <c r="J1772" s="6" t="inlineStr">
        <is>
          <t>Informado</t>
        </is>
      </c>
      <c r="K1772" s="6" t="inlineStr">
        <is>
          <t>Demanda doméstica fixa informada pelo usuário.</t>
        </is>
      </c>
    </row>
    <row r="1773">
      <c r="A1773" s="6" t="inlineStr">
        <is>
          <t>Soja</t>
        </is>
      </c>
      <c r="B1773" s="6" t="inlineStr">
        <is>
          <t>Recife - PE</t>
        </is>
      </c>
      <c r="C1773" s="6" t="n">
        <v>-8.046659999999999</v>
      </c>
      <c r="D1773" s="6" t="n">
        <v>-34.8771</v>
      </c>
      <c r="E1773" s="6" t="inlineStr">
        <is>
          <t>2021-08</t>
        </is>
      </c>
      <c r="F1773" s="6" t="n">
        <v>95276.17321305641</v>
      </c>
      <c r="G1773" s="6" t="inlineStr">
        <is>
          <t>DOMESTICA</t>
        </is>
      </c>
      <c r="H1773" s="6" t="inlineStr">
        <is>
          <t>FIXO</t>
        </is>
      </c>
      <c r="I1773" s="11">
        <f>IF($H1773="AUTO_OFERTA_TOTAL_PRODUTO_PERIODO",SUMIFS(Oferta!$F:$F,Oferta!$A:$A,$A1773,Oferta!$E:$E,$E1773),$F1773)</f>
        <v/>
      </c>
      <c r="J1773" s="6" t="inlineStr">
        <is>
          <t>Informado</t>
        </is>
      </c>
      <c r="K1773" s="6" t="inlineStr">
        <is>
          <t>Demanda doméstica fixa informada pelo usuário.</t>
        </is>
      </c>
    </row>
    <row r="1774">
      <c r="A1774" s="6" t="inlineStr">
        <is>
          <t>Soja</t>
        </is>
      </c>
      <c r="B1774" s="6" t="inlineStr">
        <is>
          <t>Recife - PE</t>
        </is>
      </c>
      <c r="C1774" s="6" t="n">
        <v>-8.046659999999999</v>
      </c>
      <c r="D1774" s="6" t="n">
        <v>-34.8771</v>
      </c>
      <c r="E1774" s="6" t="inlineStr">
        <is>
          <t>2021-09</t>
        </is>
      </c>
      <c r="F1774" s="6" t="n">
        <v>95276.17321305641</v>
      </c>
      <c r="G1774" s="6" t="inlineStr">
        <is>
          <t>DOMESTICA</t>
        </is>
      </c>
      <c r="H1774" s="6" t="inlineStr">
        <is>
          <t>FIXO</t>
        </is>
      </c>
      <c r="I1774" s="11">
        <f>IF($H1774="AUTO_OFERTA_TOTAL_PRODUTO_PERIODO",SUMIFS(Oferta!$F:$F,Oferta!$A:$A,$A1774,Oferta!$E:$E,$E1774),$F1774)</f>
        <v/>
      </c>
      <c r="J1774" s="6" t="inlineStr">
        <is>
          <t>Informado</t>
        </is>
      </c>
      <c r="K1774" s="6" t="inlineStr">
        <is>
          <t>Demanda doméstica fixa informada pelo usuário.</t>
        </is>
      </c>
    </row>
    <row r="1775">
      <c r="A1775" s="6" t="inlineStr">
        <is>
          <t>Soja</t>
        </is>
      </c>
      <c r="B1775" s="6" t="inlineStr">
        <is>
          <t>Recife - PE</t>
        </is>
      </c>
      <c r="C1775" s="6" t="n">
        <v>-8.046659999999999</v>
      </c>
      <c r="D1775" s="6" t="n">
        <v>-34.8771</v>
      </c>
      <c r="E1775" s="6" t="inlineStr">
        <is>
          <t>2021-10</t>
        </is>
      </c>
      <c r="F1775" s="6" t="n">
        <v>95276.17321305641</v>
      </c>
      <c r="G1775" s="6" t="inlineStr">
        <is>
          <t>DOMESTICA</t>
        </is>
      </c>
      <c r="H1775" s="6" t="inlineStr">
        <is>
          <t>FIXO</t>
        </is>
      </c>
      <c r="I1775" s="11">
        <f>IF($H1775="AUTO_OFERTA_TOTAL_PRODUTO_PERIODO",SUMIFS(Oferta!$F:$F,Oferta!$A:$A,$A1775,Oferta!$E:$E,$E1775),$F1775)</f>
        <v/>
      </c>
      <c r="J1775" s="6" t="inlineStr">
        <is>
          <t>Informado</t>
        </is>
      </c>
      <c r="K1775" s="6" t="inlineStr">
        <is>
          <t>Demanda doméstica fixa informada pelo usuário.</t>
        </is>
      </c>
    </row>
    <row r="1776">
      <c r="A1776" s="6" t="inlineStr">
        <is>
          <t>Soja</t>
        </is>
      </c>
      <c r="B1776" s="6" t="inlineStr">
        <is>
          <t>Recife - PE</t>
        </is>
      </c>
      <c r="C1776" s="6" t="n">
        <v>-8.046659999999999</v>
      </c>
      <c r="D1776" s="6" t="n">
        <v>-34.8771</v>
      </c>
      <c r="E1776" s="6" t="inlineStr">
        <is>
          <t>2021-11</t>
        </is>
      </c>
      <c r="F1776" s="6" t="n">
        <v>95276.17321305641</v>
      </c>
      <c r="G1776" s="6" t="inlineStr">
        <is>
          <t>DOMESTICA</t>
        </is>
      </c>
      <c r="H1776" s="6" t="inlineStr">
        <is>
          <t>FIXO</t>
        </is>
      </c>
      <c r="I1776" s="11">
        <f>IF($H1776="AUTO_OFERTA_TOTAL_PRODUTO_PERIODO",SUMIFS(Oferta!$F:$F,Oferta!$A:$A,$A1776,Oferta!$E:$E,$E1776),$F1776)</f>
        <v/>
      </c>
      <c r="J1776" s="6" t="inlineStr">
        <is>
          <t>Informado</t>
        </is>
      </c>
      <c r="K1776" s="6" t="inlineStr">
        <is>
          <t>Demanda doméstica fixa informada pelo usuário.</t>
        </is>
      </c>
    </row>
    <row r="1777">
      <c r="A1777" s="6" t="inlineStr">
        <is>
          <t>Soja</t>
        </is>
      </c>
      <c r="B1777" s="6" t="inlineStr">
        <is>
          <t>Recife - PE</t>
        </is>
      </c>
      <c r="C1777" s="6" t="n">
        <v>-8.046659999999999</v>
      </c>
      <c r="D1777" s="6" t="n">
        <v>-34.8771</v>
      </c>
      <c r="E1777" s="6" t="inlineStr">
        <is>
          <t>2021-12</t>
        </is>
      </c>
      <c r="F1777" s="6" t="n">
        <v>95276.17321305641</v>
      </c>
      <c r="G1777" s="6" t="inlineStr">
        <is>
          <t>DOMESTICA</t>
        </is>
      </c>
      <c r="H1777" s="6" t="inlineStr">
        <is>
          <t>FIXO</t>
        </is>
      </c>
      <c r="I1777" s="11">
        <f>IF($H1777="AUTO_OFERTA_TOTAL_PRODUTO_PERIODO",SUMIFS(Oferta!$F:$F,Oferta!$A:$A,$A1777,Oferta!$E:$E,$E1777),$F1777)</f>
        <v/>
      </c>
      <c r="J1777" s="6" t="inlineStr">
        <is>
          <t>Informado</t>
        </is>
      </c>
      <c r="K1777" s="6" t="inlineStr">
        <is>
          <t>Demanda doméstica fixa informada pelo usuário.</t>
        </is>
      </c>
    </row>
    <row r="1778">
      <c r="A1778" s="6" t="inlineStr">
        <is>
          <t>Soja</t>
        </is>
      </c>
      <c r="B1778" s="6" t="inlineStr">
        <is>
          <t>Teresina - PI</t>
        </is>
      </c>
      <c r="C1778" s="6" t="n">
        <v>-5.09194</v>
      </c>
      <c r="D1778" s="6" t="n">
        <v>-42.8034</v>
      </c>
      <c r="E1778" s="6" t="inlineStr">
        <is>
          <t>2021-01</t>
        </is>
      </c>
      <c r="F1778" s="6" t="n">
        <v>18989.9609133105</v>
      </c>
      <c r="G1778" s="6" t="inlineStr">
        <is>
          <t>DOMESTICA</t>
        </is>
      </c>
      <c r="H1778" s="6" t="inlineStr">
        <is>
          <t>FIXO</t>
        </is>
      </c>
      <c r="I1778" s="11">
        <f>IF($H1778="AUTO_OFERTA_TOTAL_PRODUTO_PERIODO",SUMIFS(Oferta!$F:$F,Oferta!$A:$A,$A1778,Oferta!$E:$E,$E1778),$F1778)</f>
        <v/>
      </c>
      <c r="J1778" s="6" t="inlineStr">
        <is>
          <t>Informado</t>
        </is>
      </c>
      <c r="K1778" s="6" t="inlineStr">
        <is>
          <t>Demanda doméstica fixa informada pelo usuário.</t>
        </is>
      </c>
    </row>
    <row r="1779">
      <c r="A1779" s="6" t="inlineStr">
        <is>
          <t>Soja</t>
        </is>
      </c>
      <c r="B1779" s="6" t="inlineStr">
        <is>
          <t>Teresina - PI</t>
        </is>
      </c>
      <c r="C1779" s="6" t="n">
        <v>-5.09194</v>
      </c>
      <c r="D1779" s="6" t="n">
        <v>-42.8034</v>
      </c>
      <c r="E1779" s="6" t="inlineStr">
        <is>
          <t>2021-02</t>
        </is>
      </c>
      <c r="F1779" s="6" t="n">
        <v>18989.9609133105</v>
      </c>
      <c r="G1779" s="6" t="inlineStr">
        <is>
          <t>DOMESTICA</t>
        </is>
      </c>
      <c r="H1779" s="6" t="inlineStr">
        <is>
          <t>FIXO</t>
        </is>
      </c>
      <c r="I1779" s="11">
        <f>IF($H1779="AUTO_OFERTA_TOTAL_PRODUTO_PERIODO",SUMIFS(Oferta!$F:$F,Oferta!$A:$A,$A1779,Oferta!$E:$E,$E1779),$F1779)</f>
        <v/>
      </c>
      <c r="J1779" s="6" t="inlineStr">
        <is>
          <t>Informado</t>
        </is>
      </c>
      <c r="K1779" s="6" t="inlineStr">
        <is>
          <t>Demanda doméstica fixa informada pelo usuário.</t>
        </is>
      </c>
    </row>
    <row r="1780">
      <c r="A1780" s="6" t="inlineStr">
        <is>
          <t>Soja</t>
        </is>
      </c>
      <c r="B1780" s="6" t="inlineStr">
        <is>
          <t>Teresina - PI</t>
        </is>
      </c>
      <c r="C1780" s="6" t="n">
        <v>-5.09194</v>
      </c>
      <c r="D1780" s="6" t="n">
        <v>-42.8034</v>
      </c>
      <c r="E1780" s="6" t="inlineStr">
        <is>
          <t>2021-03</t>
        </is>
      </c>
      <c r="F1780" s="6" t="n">
        <v>30455.5976911583</v>
      </c>
      <c r="G1780" s="6" t="inlineStr">
        <is>
          <t>DOMESTICA</t>
        </is>
      </c>
      <c r="H1780" s="6" t="inlineStr">
        <is>
          <t>FIXO</t>
        </is>
      </c>
      <c r="I1780" s="11">
        <f>IF($H1780="AUTO_OFERTA_TOTAL_PRODUTO_PERIODO",SUMIFS(Oferta!$F:$F,Oferta!$A:$A,$A1780,Oferta!$E:$E,$E1780),$F1780)</f>
        <v/>
      </c>
      <c r="J1780" s="6" t="inlineStr">
        <is>
          <t>Informado</t>
        </is>
      </c>
      <c r="K1780" s="6" t="inlineStr">
        <is>
          <t>Demanda doméstica fixa informada pelo usuário.</t>
        </is>
      </c>
    </row>
    <row r="1781">
      <c r="A1781" s="6" t="inlineStr">
        <is>
          <t>Soja</t>
        </is>
      </c>
      <c r="B1781" s="6" t="inlineStr">
        <is>
          <t>Teresina - PI</t>
        </is>
      </c>
      <c r="C1781" s="6" t="n">
        <v>-5.09194</v>
      </c>
      <c r="D1781" s="6" t="n">
        <v>-42.8034</v>
      </c>
      <c r="E1781" s="6" t="inlineStr">
        <is>
          <t>2021-04</t>
        </is>
      </c>
      <c r="F1781" s="6" t="n">
        <v>41921.2344690061</v>
      </c>
      <c r="G1781" s="6" t="inlineStr">
        <is>
          <t>DOMESTICA</t>
        </is>
      </c>
      <c r="H1781" s="6" t="inlineStr">
        <is>
          <t>FIXO</t>
        </is>
      </c>
      <c r="I1781" s="11">
        <f>IF($H1781="AUTO_OFERTA_TOTAL_PRODUTO_PERIODO",SUMIFS(Oferta!$F:$F,Oferta!$A:$A,$A1781,Oferta!$E:$E,$E1781),$F1781)</f>
        <v/>
      </c>
      <c r="J1781" s="6" t="inlineStr">
        <is>
          <t>Informado</t>
        </is>
      </c>
      <c r="K1781" s="6" t="inlineStr">
        <is>
          <t>Demanda doméstica fixa informada pelo usuário.</t>
        </is>
      </c>
    </row>
    <row r="1782">
      <c r="A1782" s="6" t="inlineStr">
        <is>
          <t>Soja</t>
        </is>
      </c>
      <c r="B1782" s="6" t="inlineStr">
        <is>
          <t>Teresina - PI</t>
        </is>
      </c>
      <c r="C1782" s="6" t="n">
        <v>-5.09194</v>
      </c>
      <c r="D1782" s="6" t="n">
        <v>-42.8034</v>
      </c>
      <c r="E1782" s="6" t="inlineStr">
        <is>
          <t>2021-05</t>
        </is>
      </c>
      <c r="F1782" s="6" t="n">
        <v>76318.14480254969</v>
      </c>
      <c r="G1782" s="6" t="inlineStr">
        <is>
          <t>DOMESTICA</t>
        </is>
      </c>
      <c r="H1782" s="6" t="inlineStr">
        <is>
          <t>FIXO</t>
        </is>
      </c>
      <c r="I1782" s="11">
        <f>IF($H1782="AUTO_OFERTA_TOTAL_PRODUTO_PERIODO",SUMIFS(Oferta!$F:$F,Oferta!$A:$A,$A1782,Oferta!$E:$E,$E1782),$F1782)</f>
        <v/>
      </c>
      <c r="J1782" s="6" t="inlineStr">
        <is>
          <t>Informado</t>
        </is>
      </c>
      <c r="K1782" s="6" t="inlineStr">
        <is>
          <t>Demanda doméstica fixa informada pelo usuário.</t>
        </is>
      </c>
    </row>
    <row r="1783">
      <c r="A1783" s="6" t="inlineStr">
        <is>
          <t>Soja</t>
        </is>
      </c>
      <c r="B1783" s="6" t="inlineStr">
        <is>
          <t>Teresina - PI</t>
        </is>
      </c>
      <c r="C1783" s="6" t="n">
        <v>-5.09194</v>
      </c>
      <c r="D1783" s="6" t="n">
        <v>-42.8034</v>
      </c>
      <c r="E1783" s="6" t="inlineStr">
        <is>
          <t>2021-06</t>
        </is>
      </c>
      <c r="F1783" s="6" t="n">
        <v>76318.14480254969</v>
      </c>
      <c r="G1783" s="6" t="inlineStr">
        <is>
          <t>DOMESTICA</t>
        </is>
      </c>
      <c r="H1783" s="6" t="inlineStr">
        <is>
          <t>FIXO</t>
        </is>
      </c>
      <c r="I1783" s="11">
        <f>IF($H1783="AUTO_OFERTA_TOTAL_PRODUTO_PERIODO",SUMIFS(Oferta!$F:$F,Oferta!$A:$A,$A1783,Oferta!$E:$E,$E1783),$F1783)</f>
        <v/>
      </c>
      <c r="J1783" s="6" t="inlineStr">
        <is>
          <t>Informado</t>
        </is>
      </c>
      <c r="K1783" s="6" t="inlineStr">
        <is>
          <t>Demanda doméstica fixa informada pelo usuário.</t>
        </is>
      </c>
    </row>
    <row r="1784">
      <c r="A1784" s="6" t="inlineStr">
        <is>
          <t>Soja</t>
        </is>
      </c>
      <c r="B1784" s="6" t="inlineStr">
        <is>
          <t>Teresina - PI</t>
        </is>
      </c>
      <c r="C1784" s="6" t="n">
        <v>-5.09194</v>
      </c>
      <c r="D1784" s="6" t="n">
        <v>-42.8034</v>
      </c>
      <c r="E1784" s="6" t="inlineStr">
        <is>
          <t>2021-07</t>
        </is>
      </c>
      <c r="F1784" s="6" t="n">
        <v>64852.5080247018</v>
      </c>
      <c r="G1784" s="6" t="inlineStr">
        <is>
          <t>DOMESTICA</t>
        </is>
      </c>
      <c r="H1784" s="6" t="inlineStr">
        <is>
          <t>FIXO</t>
        </is>
      </c>
      <c r="I1784" s="11">
        <f>IF($H1784="AUTO_OFERTA_TOTAL_PRODUTO_PERIODO",SUMIFS(Oferta!$F:$F,Oferta!$A:$A,$A1784,Oferta!$E:$E,$E1784),$F1784)</f>
        <v/>
      </c>
      <c r="J1784" s="6" t="inlineStr">
        <is>
          <t>Informado</t>
        </is>
      </c>
      <c r="K1784" s="6" t="inlineStr">
        <is>
          <t>Demanda doméstica fixa informada pelo usuário.</t>
        </is>
      </c>
    </row>
    <row r="1785">
      <c r="A1785" s="6" t="inlineStr">
        <is>
          <t>Soja</t>
        </is>
      </c>
      <c r="B1785" s="6" t="inlineStr">
        <is>
          <t>Teresina - PI</t>
        </is>
      </c>
      <c r="C1785" s="6" t="n">
        <v>-5.09194</v>
      </c>
      <c r="D1785" s="6" t="n">
        <v>-42.8034</v>
      </c>
      <c r="E1785" s="6" t="inlineStr">
        <is>
          <t>2021-08</t>
        </is>
      </c>
      <c r="F1785" s="6" t="n">
        <v>30455.5976911583</v>
      </c>
      <c r="G1785" s="6" t="inlineStr">
        <is>
          <t>DOMESTICA</t>
        </is>
      </c>
      <c r="H1785" s="6" t="inlineStr">
        <is>
          <t>FIXO</t>
        </is>
      </c>
      <c r="I1785" s="11">
        <f>IF($H1785="AUTO_OFERTA_TOTAL_PRODUTO_PERIODO",SUMIFS(Oferta!$F:$F,Oferta!$A:$A,$A1785,Oferta!$E:$E,$E1785),$F1785)</f>
        <v/>
      </c>
      <c r="J1785" s="6" t="inlineStr">
        <is>
          <t>Informado</t>
        </is>
      </c>
      <c r="K1785" s="6" t="inlineStr">
        <is>
          <t>Demanda doméstica fixa informada pelo usuário.</t>
        </is>
      </c>
    </row>
    <row r="1786">
      <c r="A1786" s="6" t="inlineStr">
        <is>
          <t>Soja</t>
        </is>
      </c>
      <c r="B1786" s="6" t="inlineStr">
        <is>
          <t>Teresina - PI</t>
        </is>
      </c>
      <c r="C1786" s="6" t="n">
        <v>-5.09194</v>
      </c>
      <c r="D1786" s="6" t="n">
        <v>-42.8034</v>
      </c>
      <c r="E1786" s="6" t="inlineStr">
        <is>
          <t>2021-09</t>
        </is>
      </c>
      <c r="F1786" s="6" t="n">
        <v>18989.9609133105</v>
      </c>
      <c r="G1786" s="6" t="inlineStr">
        <is>
          <t>DOMESTICA</t>
        </is>
      </c>
      <c r="H1786" s="6" t="inlineStr">
        <is>
          <t>FIXO</t>
        </is>
      </c>
      <c r="I1786" s="11">
        <f>IF($H1786="AUTO_OFERTA_TOTAL_PRODUTO_PERIODO",SUMIFS(Oferta!$F:$F,Oferta!$A:$A,$A1786,Oferta!$E:$E,$E1786),$F1786)</f>
        <v/>
      </c>
      <c r="J1786" s="6" t="inlineStr">
        <is>
          <t>Informado</t>
        </is>
      </c>
      <c r="K1786" s="6" t="inlineStr">
        <is>
          <t>Demanda doméstica fixa informada pelo usuário.</t>
        </is>
      </c>
    </row>
    <row r="1787">
      <c r="A1787" s="6" t="inlineStr">
        <is>
          <t>Soja</t>
        </is>
      </c>
      <c r="B1787" s="6" t="inlineStr">
        <is>
          <t>Teresina - PI</t>
        </is>
      </c>
      <c r="C1787" s="6" t="n">
        <v>-5.09194</v>
      </c>
      <c r="D1787" s="6" t="n">
        <v>-42.8034</v>
      </c>
      <c r="E1787" s="6" t="inlineStr">
        <is>
          <t>2021-10</t>
        </is>
      </c>
      <c r="F1787" s="6" t="n">
        <v>18989.9609133105</v>
      </c>
      <c r="G1787" s="6" t="inlineStr">
        <is>
          <t>DOMESTICA</t>
        </is>
      </c>
      <c r="H1787" s="6" t="inlineStr">
        <is>
          <t>FIXO</t>
        </is>
      </c>
      <c r="I1787" s="11">
        <f>IF($H1787="AUTO_OFERTA_TOTAL_PRODUTO_PERIODO",SUMIFS(Oferta!$F:$F,Oferta!$A:$A,$A1787,Oferta!$E:$E,$E1787),$F1787)</f>
        <v/>
      </c>
      <c r="J1787" s="6" t="inlineStr">
        <is>
          <t>Informado</t>
        </is>
      </c>
      <c r="K1787" s="6" t="inlineStr">
        <is>
          <t>Demanda doméstica fixa informada pelo usuário.</t>
        </is>
      </c>
    </row>
    <row r="1788">
      <c r="A1788" s="6" t="inlineStr">
        <is>
          <t>Soja</t>
        </is>
      </c>
      <c r="B1788" s="6" t="inlineStr">
        <is>
          <t>Teresina - PI</t>
        </is>
      </c>
      <c r="C1788" s="6" t="n">
        <v>-5.09194</v>
      </c>
      <c r="D1788" s="6" t="n">
        <v>-42.8034</v>
      </c>
      <c r="E1788" s="6" t="inlineStr">
        <is>
          <t>2021-11</t>
        </is>
      </c>
      <c r="F1788" s="6" t="n">
        <v>18989.9609133105</v>
      </c>
      <c r="G1788" s="6" t="inlineStr">
        <is>
          <t>DOMESTICA</t>
        </is>
      </c>
      <c r="H1788" s="6" t="inlineStr">
        <is>
          <t>FIXO</t>
        </is>
      </c>
      <c r="I1788" s="11">
        <f>IF($H1788="AUTO_OFERTA_TOTAL_PRODUTO_PERIODO",SUMIFS(Oferta!$F:$F,Oferta!$A:$A,$A1788,Oferta!$E:$E,$E1788),$F1788)</f>
        <v/>
      </c>
      <c r="J1788" s="6" t="inlineStr">
        <is>
          <t>Informado</t>
        </is>
      </c>
      <c r="K1788" s="6" t="inlineStr">
        <is>
          <t>Demanda doméstica fixa informada pelo usuário.</t>
        </is>
      </c>
    </row>
    <row r="1789">
      <c r="A1789" s="6" t="inlineStr">
        <is>
          <t>Soja</t>
        </is>
      </c>
      <c r="B1789" s="6" t="inlineStr">
        <is>
          <t>Teresina - PI</t>
        </is>
      </c>
      <c r="C1789" s="6" t="n">
        <v>-5.09194</v>
      </c>
      <c r="D1789" s="6" t="n">
        <v>-42.8034</v>
      </c>
      <c r="E1789" s="6" t="inlineStr">
        <is>
          <t>2021-12</t>
        </is>
      </c>
      <c r="F1789" s="6" t="n">
        <v>18989.9609133105</v>
      </c>
      <c r="G1789" s="6" t="inlineStr">
        <is>
          <t>DOMESTICA</t>
        </is>
      </c>
      <c r="H1789" s="6" t="inlineStr">
        <is>
          <t>FIXO</t>
        </is>
      </c>
      <c r="I1789" s="11">
        <f>IF($H1789="AUTO_OFERTA_TOTAL_PRODUTO_PERIODO",SUMIFS(Oferta!$F:$F,Oferta!$A:$A,$A1789,Oferta!$E:$E,$E1789),$F1789)</f>
        <v/>
      </c>
      <c r="J1789" s="6" t="inlineStr">
        <is>
          <t>Informado</t>
        </is>
      </c>
      <c r="K1789" s="6" t="inlineStr">
        <is>
          <t>Demanda doméstica fixa informada pelo usuário.</t>
        </is>
      </c>
    </row>
    <row r="1790">
      <c r="A1790" s="6" t="inlineStr">
        <is>
          <t>Soja</t>
        </is>
      </c>
      <c r="B1790" s="6" t="inlineStr">
        <is>
          <t>Aracaju - SE</t>
        </is>
      </c>
      <c r="C1790" s="6" t="n">
        <v>-10.9091</v>
      </c>
      <c r="D1790" s="6" t="n">
        <v>-37.0677</v>
      </c>
      <c r="E1790" s="6" t="inlineStr">
        <is>
          <t>2021-01</t>
        </is>
      </c>
      <c r="F1790" s="6" t="n">
        <v>20970.3460157477</v>
      </c>
      <c r="G1790" s="6" t="inlineStr">
        <is>
          <t>DOMESTICA</t>
        </is>
      </c>
      <c r="H1790" s="6" t="inlineStr">
        <is>
          <t>FIXO</t>
        </is>
      </c>
      <c r="I1790" s="11">
        <f>IF($H1790="AUTO_OFERTA_TOTAL_PRODUTO_PERIODO",SUMIFS(Oferta!$F:$F,Oferta!$A:$A,$A1790,Oferta!$E:$E,$E1790),$F1790)</f>
        <v/>
      </c>
      <c r="J1790" s="6" t="inlineStr">
        <is>
          <t>Informado</t>
        </is>
      </c>
      <c r="K1790" s="6" t="inlineStr">
        <is>
          <t>Demanda doméstica fixa informada pelo usuário.</t>
        </is>
      </c>
    </row>
    <row r="1791">
      <c r="A1791" s="6" t="inlineStr">
        <is>
          <t>Soja</t>
        </is>
      </c>
      <c r="B1791" s="6" t="inlineStr">
        <is>
          <t>Aracaju - SE</t>
        </is>
      </c>
      <c r="C1791" s="6" t="n">
        <v>-10.9091</v>
      </c>
      <c r="D1791" s="6" t="n">
        <v>-37.0677</v>
      </c>
      <c r="E1791" s="6" t="inlineStr">
        <is>
          <t>2021-02</t>
        </is>
      </c>
      <c r="F1791" s="6" t="n">
        <v>20970.3460157477</v>
      </c>
      <c r="G1791" s="6" t="inlineStr">
        <is>
          <t>DOMESTICA</t>
        </is>
      </c>
      <c r="H1791" s="6" t="inlineStr">
        <is>
          <t>FIXO</t>
        </is>
      </c>
      <c r="I1791" s="11">
        <f>IF($H1791="AUTO_OFERTA_TOTAL_PRODUTO_PERIODO",SUMIFS(Oferta!$F:$F,Oferta!$A:$A,$A1791,Oferta!$E:$E,$E1791),$F1791)</f>
        <v/>
      </c>
      <c r="J1791" s="6" t="inlineStr">
        <is>
          <t>Informado</t>
        </is>
      </c>
      <c r="K1791" s="6" t="inlineStr">
        <is>
          <t>Demanda doméstica fixa informada pelo usuário.</t>
        </is>
      </c>
    </row>
    <row r="1792">
      <c r="A1792" s="6" t="inlineStr">
        <is>
          <t>Soja</t>
        </is>
      </c>
      <c r="B1792" s="6" t="inlineStr">
        <is>
          <t>Aracaju - SE</t>
        </is>
      </c>
      <c r="C1792" s="6" t="n">
        <v>-10.9091</v>
      </c>
      <c r="D1792" s="6" t="n">
        <v>-37.0677</v>
      </c>
      <c r="E1792" s="6" t="inlineStr">
        <is>
          <t>2021-03</t>
        </is>
      </c>
      <c r="F1792" s="6" t="n">
        <v>20970.3460157477</v>
      </c>
      <c r="G1792" s="6" t="inlineStr">
        <is>
          <t>DOMESTICA</t>
        </is>
      </c>
      <c r="H1792" s="6" t="inlineStr">
        <is>
          <t>FIXO</t>
        </is>
      </c>
      <c r="I1792" s="11">
        <f>IF($H1792="AUTO_OFERTA_TOTAL_PRODUTO_PERIODO",SUMIFS(Oferta!$F:$F,Oferta!$A:$A,$A1792,Oferta!$E:$E,$E1792),$F1792)</f>
        <v/>
      </c>
      <c r="J1792" s="6" t="inlineStr">
        <is>
          <t>Informado</t>
        </is>
      </c>
      <c r="K1792" s="6" t="inlineStr">
        <is>
          <t>Demanda doméstica fixa informada pelo usuário.</t>
        </is>
      </c>
    </row>
    <row r="1793">
      <c r="A1793" s="6" t="inlineStr">
        <is>
          <t>Soja</t>
        </is>
      </c>
      <c r="B1793" s="6" t="inlineStr">
        <is>
          <t>Aracaju - SE</t>
        </is>
      </c>
      <c r="C1793" s="6" t="n">
        <v>-10.9091</v>
      </c>
      <c r="D1793" s="6" t="n">
        <v>-37.0677</v>
      </c>
      <c r="E1793" s="6" t="inlineStr">
        <is>
          <t>2021-04</t>
        </is>
      </c>
      <c r="F1793" s="6" t="n">
        <v>20970.3460157477</v>
      </c>
      <c r="G1793" s="6" t="inlineStr">
        <is>
          <t>DOMESTICA</t>
        </is>
      </c>
      <c r="H1793" s="6" t="inlineStr">
        <is>
          <t>FIXO</t>
        </is>
      </c>
      <c r="I1793" s="11">
        <f>IF($H1793="AUTO_OFERTA_TOTAL_PRODUTO_PERIODO",SUMIFS(Oferta!$F:$F,Oferta!$A:$A,$A1793,Oferta!$E:$E,$E1793),$F1793)</f>
        <v/>
      </c>
      <c r="J1793" s="6" t="inlineStr">
        <is>
          <t>Informado</t>
        </is>
      </c>
      <c r="K1793" s="6" t="inlineStr">
        <is>
          <t>Demanda doméstica fixa informada pelo usuário.</t>
        </is>
      </c>
    </row>
    <row r="1794">
      <c r="A1794" s="6" t="inlineStr">
        <is>
          <t>Soja</t>
        </is>
      </c>
      <c r="B1794" s="6" t="inlineStr">
        <is>
          <t>Aracaju - SE</t>
        </is>
      </c>
      <c r="C1794" s="6" t="n">
        <v>-10.9091</v>
      </c>
      <c r="D1794" s="6" t="n">
        <v>-37.0677</v>
      </c>
      <c r="E1794" s="6" t="inlineStr">
        <is>
          <t>2021-05</t>
        </is>
      </c>
      <c r="F1794" s="6" t="n">
        <v>20970.3460157477</v>
      </c>
      <c r="G1794" s="6" t="inlineStr">
        <is>
          <t>DOMESTICA</t>
        </is>
      </c>
      <c r="H1794" s="6" t="inlineStr">
        <is>
          <t>FIXO</t>
        </is>
      </c>
      <c r="I1794" s="11">
        <f>IF($H1794="AUTO_OFERTA_TOTAL_PRODUTO_PERIODO",SUMIFS(Oferta!$F:$F,Oferta!$A:$A,$A1794,Oferta!$E:$E,$E1794),$F1794)</f>
        <v/>
      </c>
      <c r="J1794" s="6" t="inlineStr">
        <is>
          <t>Informado</t>
        </is>
      </c>
      <c r="K1794" s="6" t="inlineStr">
        <is>
          <t>Demanda doméstica fixa informada pelo usuário.</t>
        </is>
      </c>
    </row>
    <row r="1795">
      <c r="A1795" s="6" t="inlineStr">
        <is>
          <t>Soja</t>
        </is>
      </c>
      <c r="B1795" s="6" t="inlineStr">
        <is>
          <t>Aracaju - SE</t>
        </is>
      </c>
      <c r="C1795" s="6" t="n">
        <v>-10.9091</v>
      </c>
      <c r="D1795" s="6" t="n">
        <v>-37.0677</v>
      </c>
      <c r="E1795" s="6" t="inlineStr">
        <is>
          <t>2021-06</t>
        </is>
      </c>
      <c r="F1795" s="6" t="n">
        <v>20970.3460157477</v>
      </c>
      <c r="G1795" s="6" t="inlineStr">
        <is>
          <t>DOMESTICA</t>
        </is>
      </c>
      <c r="H1795" s="6" t="inlineStr">
        <is>
          <t>FIXO</t>
        </is>
      </c>
      <c r="I1795" s="11">
        <f>IF($H1795="AUTO_OFERTA_TOTAL_PRODUTO_PERIODO",SUMIFS(Oferta!$F:$F,Oferta!$A:$A,$A1795,Oferta!$E:$E,$E1795),$F1795)</f>
        <v/>
      </c>
      <c r="J1795" s="6" t="inlineStr">
        <is>
          <t>Informado</t>
        </is>
      </c>
      <c r="K1795" s="6" t="inlineStr">
        <is>
          <t>Demanda doméstica fixa informada pelo usuário.</t>
        </is>
      </c>
    </row>
    <row r="1796">
      <c r="A1796" s="6" t="inlineStr">
        <is>
          <t>Soja</t>
        </is>
      </c>
      <c r="B1796" s="6" t="inlineStr">
        <is>
          <t>Aracaju - SE</t>
        </is>
      </c>
      <c r="C1796" s="6" t="n">
        <v>-10.9091</v>
      </c>
      <c r="D1796" s="6" t="n">
        <v>-37.0677</v>
      </c>
      <c r="E1796" s="6" t="inlineStr">
        <is>
          <t>2021-07</t>
        </is>
      </c>
      <c r="F1796" s="6" t="n">
        <v>20970.3460157477</v>
      </c>
      <c r="G1796" s="6" t="inlineStr">
        <is>
          <t>DOMESTICA</t>
        </is>
      </c>
      <c r="H1796" s="6" t="inlineStr">
        <is>
          <t>FIXO</t>
        </is>
      </c>
      <c r="I1796" s="11">
        <f>IF($H1796="AUTO_OFERTA_TOTAL_PRODUTO_PERIODO",SUMIFS(Oferta!$F:$F,Oferta!$A:$A,$A1796,Oferta!$E:$E,$E1796),$F1796)</f>
        <v/>
      </c>
      <c r="J1796" s="6" t="inlineStr">
        <is>
          <t>Informado</t>
        </is>
      </c>
      <c r="K1796" s="6" t="inlineStr">
        <is>
          <t>Demanda doméstica fixa informada pelo usuário.</t>
        </is>
      </c>
    </row>
    <row r="1797">
      <c r="A1797" s="6" t="inlineStr">
        <is>
          <t>Soja</t>
        </is>
      </c>
      <c r="B1797" s="6" t="inlineStr">
        <is>
          <t>Aracaju - SE</t>
        </is>
      </c>
      <c r="C1797" s="6" t="n">
        <v>-10.9091</v>
      </c>
      <c r="D1797" s="6" t="n">
        <v>-37.0677</v>
      </c>
      <c r="E1797" s="6" t="inlineStr">
        <is>
          <t>2021-08</t>
        </is>
      </c>
      <c r="F1797" s="6" t="n">
        <v>20970.3460157477</v>
      </c>
      <c r="G1797" s="6" t="inlineStr">
        <is>
          <t>DOMESTICA</t>
        </is>
      </c>
      <c r="H1797" s="6" t="inlineStr">
        <is>
          <t>FIXO</t>
        </is>
      </c>
      <c r="I1797" s="11">
        <f>IF($H1797="AUTO_OFERTA_TOTAL_PRODUTO_PERIODO",SUMIFS(Oferta!$F:$F,Oferta!$A:$A,$A1797,Oferta!$E:$E,$E1797),$F1797)</f>
        <v/>
      </c>
      <c r="J1797" s="6" t="inlineStr">
        <is>
          <t>Informado</t>
        </is>
      </c>
      <c r="K1797" s="6" t="inlineStr">
        <is>
          <t>Demanda doméstica fixa informada pelo usuário.</t>
        </is>
      </c>
    </row>
    <row r="1798">
      <c r="A1798" s="6" t="inlineStr">
        <is>
          <t>Soja</t>
        </is>
      </c>
      <c r="B1798" s="6" t="inlineStr">
        <is>
          <t>Aracaju - SE</t>
        </is>
      </c>
      <c r="C1798" s="6" t="n">
        <v>-10.9091</v>
      </c>
      <c r="D1798" s="6" t="n">
        <v>-37.0677</v>
      </c>
      <c r="E1798" s="6" t="inlineStr">
        <is>
          <t>2021-09</t>
        </is>
      </c>
      <c r="F1798" s="6" t="n">
        <v>20970.3460157477</v>
      </c>
      <c r="G1798" s="6" t="inlineStr">
        <is>
          <t>DOMESTICA</t>
        </is>
      </c>
      <c r="H1798" s="6" t="inlineStr">
        <is>
          <t>FIXO</t>
        </is>
      </c>
      <c r="I1798" s="11">
        <f>IF($H1798="AUTO_OFERTA_TOTAL_PRODUTO_PERIODO",SUMIFS(Oferta!$F:$F,Oferta!$A:$A,$A1798,Oferta!$E:$E,$E1798),$F1798)</f>
        <v/>
      </c>
      <c r="J1798" s="6" t="inlineStr">
        <is>
          <t>Informado</t>
        </is>
      </c>
      <c r="K1798" s="6" t="inlineStr">
        <is>
          <t>Demanda doméstica fixa informada pelo usuário.</t>
        </is>
      </c>
    </row>
    <row r="1799">
      <c r="A1799" s="6" t="inlineStr">
        <is>
          <t>Soja</t>
        </is>
      </c>
      <c r="B1799" s="6" t="inlineStr">
        <is>
          <t>Aracaju - SE</t>
        </is>
      </c>
      <c r="C1799" s="6" t="n">
        <v>-10.9091</v>
      </c>
      <c r="D1799" s="6" t="n">
        <v>-37.0677</v>
      </c>
      <c r="E1799" s="6" t="inlineStr">
        <is>
          <t>2021-10</t>
        </is>
      </c>
      <c r="F1799" s="6" t="n">
        <v>20970.3460157477</v>
      </c>
      <c r="G1799" s="6" t="inlineStr">
        <is>
          <t>DOMESTICA</t>
        </is>
      </c>
      <c r="H1799" s="6" t="inlineStr">
        <is>
          <t>FIXO</t>
        </is>
      </c>
      <c r="I1799" s="11">
        <f>IF($H1799="AUTO_OFERTA_TOTAL_PRODUTO_PERIODO",SUMIFS(Oferta!$F:$F,Oferta!$A:$A,$A1799,Oferta!$E:$E,$E1799),$F1799)</f>
        <v/>
      </c>
      <c r="J1799" s="6" t="inlineStr">
        <is>
          <t>Informado</t>
        </is>
      </c>
      <c r="K1799" s="6" t="inlineStr">
        <is>
          <t>Demanda doméstica fixa informada pelo usuário.</t>
        </is>
      </c>
    </row>
    <row r="1800">
      <c r="A1800" s="6" t="inlineStr">
        <is>
          <t>Soja</t>
        </is>
      </c>
      <c r="B1800" s="6" t="inlineStr">
        <is>
          <t>Aracaju - SE</t>
        </is>
      </c>
      <c r="C1800" s="6" t="n">
        <v>-10.9091</v>
      </c>
      <c r="D1800" s="6" t="n">
        <v>-37.0677</v>
      </c>
      <c r="E1800" s="6" t="inlineStr">
        <is>
          <t>2021-11</t>
        </is>
      </c>
      <c r="F1800" s="6" t="n">
        <v>20970.3460157477</v>
      </c>
      <c r="G1800" s="6" t="inlineStr">
        <is>
          <t>DOMESTICA</t>
        </is>
      </c>
      <c r="H1800" s="6" t="inlineStr">
        <is>
          <t>FIXO</t>
        </is>
      </c>
      <c r="I1800" s="11">
        <f>IF($H1800="AUTO_OFERTA_TOTAL_PRODUTO_PERIODO",SUMIFS(Oferta!$F:$F,Oferta!$A:$A,$A1800,Oferta!$E:$E,$E1800),$F1800)</f>
        <v/>
      </c>
      <c r="J1800" s="6" t="inlineStr">
        <is>
          <t>Informado</t>
        </is>
      </c>
      <c r="K1800" s="6" t="inlineStr">
        <is>
          <t>Demanda doméstica fixa informada pelo usuário.</t>
        </is>
      </c>
    </row>
    <row r="1801">
      <c r="A1801" s="6" t="inlineStr">
        <is>
          <t>Soja</t>
        </is>
      </c>
      <c r="B1801" s="6" t="inlineStr">
        <is>
          <t>Aracaju - SE</t>
        </is>
      </c>
      <c r="C1801" s="6" t="n">
        <v>-10.9091</v>
      </c>
      <c r="D1801" s="6" t="n">
        <v>-37.0677</v>
      </c>
      <c r="E1801" s="6" t="inlineStr">
        <is>
          <t>2021-12</t>
        </is>
      </c>
      <c r="F1801" s="6" t="n">
        <v>20970.3460157477</v>
      </c>
      <c r="G1801" s="6" t="inlineStr">
        <is>
          <t>DOMESTICA</t>
        </is>
      </c>
      <c r="H1801" s="6" t="inlineStr">
        <is>
          <t>FIXO</t>
        </is>
      </c>
      <c r="I1801" s="11">
        <f>IF($H1801="AUTO_OFERTA_TOTAL_PRODUTO_PERIODO",SUMIFS(Oferta!$F:$F,Oferta!$A:$A,$A1801,Oferta!$E:$E,$E1801),$F1801)</f>
        <v/>
      </c>
      <c r="J1801" s="6" t="inlineStr">
        <is>
          <t>Informado</t>
        </is>
      </c>
      <c r="K1801" s="6" t="inlineStr">
        <is>
          <t>Demanda doméstica fixa informada pelo usuário.</t>
        </is>
      </c>
    </row>
    <row r="1802">
      <c r="A1802" s="6" t="inlineStr">
        <is>
          <t>Soja</t>
        </is>
      </c>
      <c r="B1802" s="6" t="inlineStr">
        <is>
          <t>Natal - RN</t>
        </is>
      </c>
      <c r="C1802" s="6" t="n">
        <v>-5.79357</v>
      </c>
      <c r="D1802" s="6" t="n">
        <v>-35.1986</v>
      </c>
      <c r="E1802" s="6" t="inlineStr">
        <is>
          <t>2021-01</t>
        </is>
      </c>
      <c r="F1802" s="6" t="n">
        <v>27671.5816243189</v>
      </c>
      <c r="G1802" s="6" t="inlineStr">
        <is>
          <t>DOMESTICA</t>
        </is>
      </c>
      <c r="H1802" s="6" t="inlineStr">
        <is>
          <t>FIXO</t>
        </is>
      </c>
      <c r="I1802" s="11">
        <f>IF($H1802="AUTO_OFERTA_TOTAL_PRODUTO_PERIODO",SUMIFS(Oferta!$F:$F,Oferta!$A:$A,$A1802,Oferta!$E:$E,$E1802),$F1802)</f>
        <v/>
      </c>
      <c r="J1802" s="6" t="inlineStr">
        <is>
          <t>Informado</t>
        </is>
      </c>
      <c r="K1802" s="6" t="inlineStr">
        <is>
          <t>Demanda doméstica fixa informada pelo usuário.</t>
        </is>
      </c>
    </row>
    <row r="1803">
      <c r="A1803" s="6" t="inlineStr">
        <is>
          <t>Soja</t>
        </is>
      </c>
      <c r="B1803" s="6" t="inlineStr">
        <is>
          <t>Natal - RN</t>
        </is>
      </c>
      <c r="C1803" s="6" t="n">
        <v>-5.79357</v>
      </c>
      <c r="D1803" s="6" t="n">
        <v>-35.1986</v>
      </c>
      <c r="E1803" s="6" t="inlineStr">
        <is>
          <t>2021-02</t>
        </is>
      </c>
      <c r="F1803" s="6" t="n">
        <v>27671.5816243189</v>
      </c>
      <c r="G1803" s="6" t="inlineStr">
        <is>
          <t>DOMESTICA</t>
        </is>
      </c>
      <c r="H1803" s="6" t="inlineStr">
        <is>
          <t>FIXO</t>
        </is>
      </c>
      <c r="I1803" s="11">
        <f>IF($H1803="AUTO_OFERTA_TOTAL_PRODUTO_PERIODO",SUMIFS(Oferta!$F:$F,Oferta!$A:$A,$A1803,Oferta!$E:$E,$E1803),$F1803)</f>
        <v/>
      </c>
      <c r="J1803" s="6" t="inlineStr">
        <is>
          <t>Informado</t>
        </is>
      </c>
      <c r="K1803" s="6" t="inlineStr">
        <is>
          <t>Demanda doméstica fixa informada pelo usuário.</t>
        </is>
      </c>
    </row>
    <row r="1804">
      <c r="A1804" s="6" t="inlineStr">
        <is>
          <t>Soja</t>
        </is>
      </c>
      <c r="B1804" s="6" t="inlineStr">
        <is>
          <t>Natal - RN</t>
        </is>
      </c>
      <c r="C1804" s="6" t="n">
        <v>-5.79357</v>
      </c>
      <c r="D1804" s="6" t="n">
        <v>-35.1986</v>
      </c>
      <c r="E1804" s="6" t="inlineStr">
        <is>
          <t>2021-03</t>
        </is>
      </c>
      <c r="F1804" s="6" t="n">
        <v>27671.5816243189</v>
      </c>
      <c r="G1804" s="6" t="inlineStr">
        <is>
          <t>DOMESTICA</t>
        </is>
      </c>
      <c r="H1804" s="6" t="inlineStr">
        <is>
          <t>FIXO</t>
        </is>
      </c>
      <c r="I1804" s="11">
        <f>IF($H1804="AUTO_OFERTA_TOTAL_PRODUTO_PERIODO",SUMIFS(Oferta!$F:$F,Oferta!$A:$A,$A1804,Oferta!$E:$E,$E1804),$F1804)</f>
        <v/>
      </c>
      <c r="J1804" s="6" t="inlineStr">
        <is>
          <t>Informado</t>
        </is>
      </c>
      <c r="K1804" s="6" t="inlineStr">
        <is>
          <t>Demanda doméstica fixa informada pelo usuário.</t>
        </is>
      </c>
    </row>
    <row r="1805">
      <c r="A1805" s="6" t="inlineStr">
        <is>
          <t>Soja</t>
        </is>
      </c>
      <c r="B1805" s="6" t="inlineStr">
        <is>
          <t>Natal - RN</t>
        </is>
      </c>
      <c r="C1805" s="6" t="n">
        <v>-5.79357</v>
      </c>
      <c r="D1805" s="6" t="n">
        <v>-35.1986</v>
      </c>
      <c r="E1805" s="6" t="inlineStr">
        <is>
          <t>2021-04</t>
        </is>
      </c>
      <c r="F1805" s="6" t="n">
        <v>27671.5816243189</v>
      </c>
      <c r="G1805" s="6" t="inlineStr">
        <is>
          <t>DOMESTICA</t>
        </is>
      </c>
      <c r="H1805" s="6" t="inlineStr">
        <is>
          <t>FIXO</t>
        </is>
      </c>
      <c r="I1805" s="11">
        <f>IF($H1805="AUTO_OFERTA_TOTAL_PRODUTO_PERIODO",SUMIFS(Oferta!$F:$F,Oferta!$A:$A,$A1805,Oferta!$E:$E,$E1805),$F1805)</f>
        <v/>
      </c>
      <c r="J1805" s="6" t="inlineStr">
        <is>
          <t>Informado</t>
        </is>
      </c>
      <c r="K1805" s="6" t="inlineStr">
        <is>
          <t>Demanda doméstica fixa informada pelo usuário.</t>
        </is>
      </c>
    </row>
    <row r="1806">
      <c r="A1806" s="6" t="inlineStr">
        <is>
          <t>Soja</t>
        </is>
      </c>
      <c r="B1806" s="6" t="inlineStr">
        <is>
          <t>Natal - RN</t>
        </is>
      </c>
      <c r="C1806" s="6" t="n">
        <v>-5.79357</v>
      </c>
      <c r="D1806" s="6" t="n">
        <v>-35.1986</v>
      </c>
      <c r="E1806" s="6" t="inlineStr">
        <is>
          <t>2021-05</t>
        </is>
      </c>
      <c r="F1806" s="6" t="n">
        <v>27671.5816243189</v>
      </c>
      <c r="G1806" s="6" t="inlineStr">
        <is>
          <t>DOMESTICA</t>
        </is>
      </c>
      <c r="H1806" s="6" t="inlineStr">
        <is>
          <t>FIXO</t>
        </is>
      </c>
      <c r="I1806" s="11">
        <f>IF($H1806="AUTO_OFERTA_TOTAL_PRODUTO_PERIODO",SUMIFS(Oferta!$F:$F,Oferta!$A:$A,$A1806,Oferta!$E:$E,$E1806),$F1806)</f>
        <v/>
      </c>
      <c r="J1806" s="6" t="inlineStr">
        <is>
          <t>Informado</t>
        </is>
      </c>
      <c r="K1806" s="6" t="inlineStr">
        <is>
          <t>Demanda doméstica fixa informada pelo usuário.</t>
        </is>
      </c>
    </row>
    <row r="1807">
      <c r="A1807" s="6" t="inlineStr">
        <is>
          <t>Soja</t>
        </is>
      </c>
      <c r="B1807" s="6" t="inlineStr">
        <is>
          <t>Natal - RN</t>
        </is>
      </c>
      <c r="C1807" s="6" t="n">
        <v>-5.79357</v>
      </c>
      <c r="D1807" s="6" t="n">
        <v>-35.1986</v>
      </c>
      <c r="E1807" s="6" t="inlineStr">
        <is>
          <t>2021-06</t>
        </is>
      </c>
      <c r="F1807" s="6" t="n">
        <v>27671.5816243189</v>
      </c>
      <c r="G1807" s="6" t="inlineStr">
        <is>
          <t>DOMESTICA</t>
        </is>
      </c>
      <c r="H1807" s="6" t="inlineStr">
        <is>
          <t>FIXO</t>
        </is>
      </c>
      <c r="I1807" s="11">
        <f>IF($H1807="AUTO_OFERTA_TOTAL_PRODUTO_PERIODO",SUMIFS(Oferta!$F:$F,Oferta!$A:$A,$A1807,Oferta!$E:$E,$E1807),$F1807)</f>
        <v/>
      </c>
      <c r="J1807" s="6" t="inlineStr">
        <is>
          <t>Informado</t>
        </is>
      </c>
      <c r="K1807" s="6" t="inlineStr">
        <is>
          <t>Demanda doméstica fixa informada pelo usuário.</t>
        </is>
      </c>
    </row>
    <row r="1808">
      <c r="A1808" s="6" t="inlineStr">
        <is>
          <t>Soja</t>
        </is>
      </c>
      <c r="B1808" s="6" t="inlineStr">
        <is>
          <t>Natal - RN</t>
        </is>
      </c>
      <c r="C1808" s="6" t="n">
        <v>-5.79357</v>
      </c>
      <c r="D1808" s="6" t="n">
        <v>-35.1986</v>
      </c>
      <c r="E1808" s="6" t="inlineStr">
        <is>
          <t>2021-07</t>
        </is>
      </c>
      <c r="F1808" s="6" t="n">
        <v>27671.5816243189</v>
      </c>
      <c r="G1808" s="6" t="inlineStr">
        <is>
          <t>DOMESTICA</t>
        </is>
      </c>
      <c r="H1808" s="6" t="inlineStr">
        <is>
          <t>FIXO</t>
        </is>
      </c>
      <c r="I1808" s="11">
        <f>IF($H1808="AUTO_OFERTA_TOTAL_PRODUTO_PERIODO",SUMIFS(Oferta!$F:$F,Oferta!$A:$A,$A1808,Oferta!$E:$E,$E1808),$F1808)</f>
        <v/>
      </c>
      <c r="J1808" s="6" t="inlineStr">
        <is>
          <t>Informado</t>
        </is>
      </c>
      <c r="K1808" s="6" t="inlineStr">
        <is>
          <t>Demanda doméstica fixa informada pelo usuário.</t>
        </is>
      </c>
    </row>
    <row r="1809">
      <c r="A1809" s="6" t="inlineStr">
        <is>
          <t>Soja</t>
        </is>
      </c>
      <c r="B1809" s="6" t="inlineStr">
        <is>
          <t>Natal - RN</t>
        </is>
      </c>
      <c r="C1809" s="6" t="n">
        <v>-5.79357</v>
      </c>
      <c r="D1809" s="6" t="n">
        <v>-35.1986</v>
      </c>
      <c r="E1809" s="6" t="inlineStr">
        <is>
          <t>2021-08</t>
        </is>
      </c>
      <c r="F1809" s="6" t="n">
        <v>27671.5816243189</v>
      </c>
      <c r="G1809" s="6" t="inlineStr">
        <is>
          <t>DOMESTICA</t>
        </is>
      </c>
      <c r="H1809" s="6" t="inlineStr">
        <is>
          <t>FIXO</t>
        </is>
      </c>
      <c r="I1809" s="11">
        <f>IF($H1809="AUTO_OFERTA_TOTAL_PRODUTO_PERIODO",SUMIFS(Oferta!$F:$F,Oferta!$A:$A,$A1809,Oferta!$E:$E,$E1809),$F1809)</f>
        <v/>
      </c>
      <c r="J1809" s="6" t="inlineStr">
        <is>
          <t>Informado</t>
        </is>
      </c>
      <c r="K1809" s="6" t="inlineStr">
        <is>
          <t>Demanda doméstica fixa informada pelo usuário.</t>
        </is>
      </c>
    </row>
    <row r="1810">
      <c r="A1810" s="6" t="inlineStr">
        <is>
          <t>Soja</t>
        </is>
      </c>
      <c r="B1810" s="6" t="inlineStr">
        <is>
          <t>Natal - RN</t>
        </is>
      </c>
      <c r="C1810" s="6" t="n">
        <v>-5.79357</v>
      </c>
      <c r="D1810" s="6" t="n">
        <v>-35.1986</v>
      </c>
      <c r="E1810" s="6" t="inlineStr">
        <is>
          <t>2021-09</t>
        </is>
      </c>
      <c r="F1810" s="6" t="n">
        <v>27671.5816243189</v>
      </c>
      <c r="G1810" s="6" t="inlineStr">
        <is>
          <t>DOMESTICA</t>
        </is>
      </c>
      <c r="H1810" s="6" t="inlineStr">
        <is>
          <t>FIXO</t>
        </is>
      </c>
      <c r="I1810" s="11">
        <f>IF($H1810="AUTO_OFERTA_TOTAL_PRODUTO_PERIODO",SUMIFS(Oferta!$F:$F,Oferta!$A:$A,$A1810,Oferta!$E:$E,$E1810),$F1810)</f>
        <v/>
      </c>
      <c r="J1810" s="6" t="inlineStr">
        <is>
          <t>Informado</t>
        </is>
      </c>
      <c r="K1810" s="6" t="inlineStr">
        <is>
          <t>Demanda doméstica fixa informada pelo usuário.</t>
        </is>
      </c>
    </row>
    <row r="1811">
      <c r="A1811" s="6" t="inlineStr">
        <is>
          <t>Soja</t>
        </is>
      </c>
      <c r="B1811" s="6" t="inlineStr">
        <is>
          <t>Natal - RN</t>
        </is>
      </c>
      <c r="C1811" s="6" t="n">
        <v>-5.79357</v>
      </c>
      <c r="D1811" s="6" t="n">
        <v>-35.1986</v>
      </c>
      <c r="E1811" s="6" t="inlineStr">
        <is>
          <t>2021-10</t>
        </is>
      </c>
      <c r="F1811" s="6" t="n">
        <v>27671.5816243189</v>
      </c>
      <c r="G1811" s="6" t="inlineStr">
        <is>
          <t>DOMESTICA</t>
        </is>
      </c>
      <c r="H1811" s="6" t="inlineStr">
        <is>
          <t>FIXO</t>
        </is>
      </c>
      <c r="I1811" s="11">
        <f>IF($H1811="AUTO_OFERTA_TOTAL_PRODUTO_PERIODO",SUMIFS(Oferta!$F:$F,Oferta!$A:$A,$A1811,Oferta!$E:$E,$E1811),$F1811)</f>
        <v/>
      </c>
      <c r="J1811" s="6" t="inlineStr">
        <is>
          <t>Informado</t>
        </is>
      </c>
      <c r="K1811" s="6" t="inlineStr">
        <is>
          <t>Demanda doméstica fixa informada pelo usuário.</t>
        </is>
      </c>
    </row>
    <row r="1812">
      <c r="A1812" s="6" t="inlineStr">
        <is>
          <t>Soja</t>
        </is>
      </c>
      <c r="B1812" s="6" t="inlineStr">
        <is>
          <t>Natal - RN</t>
        </is>
      </c>
      <c r="C1812" s="6" t="n">
        <v>-5.79357</v>
      </c>
      <c r="D1812" s="6" t="n">
        <v>-35.1986</v>
      </c>
      <c r="E1812" s="6" t="inlineStr">
        <is>
          <t>2021-11</t>
        </is>
      </c>
      <c r="F1812" s="6" t="n">
        <v>27671.5816243189</v>
      </c>
      <c r="G1812" s="6" t="inlineStr">
        <is>
          <t>DOMESTICA</t>
        </is>
      </c>
      <c r="H1812" s="6" t="inlineStr">
        <is>
          <t>FIXO</t>
        </is>
      </c>
      <c r="I1812" s="11">
        <f>IF($H1812="AUTO_OFERTA_TOTAL_PRODUTO_PERIODO",SUMIFS(Oferta!$F:$F,Oferta!$A:$A,$A1812,Oferta!$E:$E,$E1812),$F1812)</f>
        <v/>
      </c>
      <c r="J1812" s="6" t="inlineStr">
        <is>
          <t>Informado</t>
        </is>
      </c>
      <c r="K1812" s="6" t="inlineStr">
        <is>
          <t>Demanda doméstica fixa informada pelo usuário.</t>
        </is>
      </c>
    </row>
    <row r="1813">
      <c r="A1813" s="6" t="inlineStr">
        <is>
          <t>Soja</t>
        </is>
      </c>
      <c r="B1813" s="6" t="inlineStr">
        <is>
          <t>Natal - RN</t>
        </is>
      </c>
      <c r="C1813" s="6" t="n">
        <v>-5.79357</v>
      </c>
      <c r="D1813" s="6" t="n">
        <v>-35.1986</v>
      </c>
      <c r="E1813" s="6" t="inlineStr">
        <is>
          <t>2021-12</t>
        </is>
      </c>
      <c r="F1813" s="6" t="n">
        <v>27671.5816243189</v>
      </c>
      <c r="G1813" s="6" t="inlineStr">
        <is>
          <t>DOMESTICA</t>
        </is>
      </c>
      <c r="H1813" s="6" t="inlineStr">
        <is>
          <t>FIXO</t>
        </is>
      </c>
      <c r="I1813" s="11">
        <f>IF($H1813="AUTO_OFERTA_TOTAL_PRODUTO_PERIODO",SUMIFS(Oferta!$F:$F,Oferta!$A:$A,$A1813,Oferta!$E:$E,$E1813),$F1813)</f>
        <v/>
      </c>
      <c r="J1813" s="6" t="inlineStr">
        <is>
          <t>Informado</t>
        </is>
      </c>
      <c r="K1813" s="6" t="inlineStr">
        <is>
          <t>Demanda doméstica fixa informada pelo usuário.</t>
        </is>
      </c>
    </row>
    <row r="1814">
      <c r="A1814" s="6" t="inlineStr">
        <is>
          <t>Soja</t>
        </is>
      </c>
      <c r="B1814" s="6" t="inlineStr">
        <is>
          <t>Brasília - DF</t>
        </is>
      </c>
      <c r="C1814" s="6" t="n">
        <v>-15.7795</v>
      </c>
      <c r="D1814" s="6" t="n">
        <v>-47.9297</v>
      </c>
      <c r="E1814" s="6" t="inlineStr">
        <is>
          <t>2021-01</t>
        </is>
      </c>
      <c r="F1814" s="6" t="n">
        <v>15749.6310262189</v>
      </c>
      <c r="G1814" s="6" t="inlineStr">
        <is>
          <t>DOMESTICA</t>
        </is>
      </c>
      <c r="H1814" s="6" t="inlineStr">
        <is>
          <t>FIXO</t>
        </is>
      </c>
      <c r="I1814" s="11">
        <f>IF($H1814="AUTO_OFERTA_TOTAL_PRODUTO_PERIODO",SUMIFS(Oferta!$F:$F,Oferta!$A:$A,$A1814,Oferta!$E:$E,$E1814),$F1814)</f>
        <v/>
      </c>
      <c r="J1814" s="6" t="inlineStr">
        <is>
          <t>Informado</t>
        </is>
      </c>
      <c r="K1814" s="6" t="inlineStr">
        <is>
          <t>Demanda doméstica fixa informada pelo usuário.</t>
        </is>
      </c>
    </row>
    <row r="1815">
      <c r="A1815" s="6" t="inlineStr">
        <is>
          <t>Soja</t>
        </is>
      </c>
      <c r="B1815" s="6" t="inlineStr">
        <is>
          <t>Brasília - DF</t>
        </is>
      </c>
      <c r="C1815" s="6" t="n">
        <v>-15.7795</v>
      </c>
      <c r="D1815" s="6" t="n">
        <v>-47.9297</v>
      </c>
      <c r="E1815" s="6" t="inlineStr">
        <is>
          <t>2021-02</t>
        </is>
      </c>
      <c r="F1815" s="6" t="n">
        <v>15749.6310262189</v>
      </c>
      <c r="G1815" s="6" t="inlineStr">
        <is>
          <t>DOMESTICA</t>
        </is>
      </c>
      <c r="H1815" s="6" t="inlineStr">
        <is>
          <t>FIXO</t>
        </is>
      </c>
      <c r="I1815" s="11">
        <f>IF($H1815="AUTO_OFERTA_TOTAL_PRODUTO_PERIODO",SUMIFS(Oferta!$F:$F,Oferta!$A:$A,$A1815,Oferta!$E:$E,$E1815),$F1815)</f>
        <v/>
      </c>
      <c r="J1815" s="6" t="inlineStr">
        <is>
          <t>Informado</t>
        </is>
      </c>
      <c r="K1815" s="6" t="inlineStr">
        <is>
          <t>Demanda doméstica fixa informada pelo usuário.</t>
        </is>
      </c>
    </row>
    <row r="1816">
      <c r="A1816" s="6" t="inlineStr">
        <is>
          <t>Soja</t>
        </is>
      </c>
      <c r="B1816" s="6" t="inlineStr">
        <is>
          <t>Brasília - DF</t>
        </is>
      </c>
      <c r="C1816" s="6" t="n">
        <v>-15.7795</v>
      </c>
      <c r="D1816" s="6" t="n">
        <v>-47.9297</v>
      </c>
      <c r="E1816" s="6" t="inlineStr">
        <is>
          <t>2021-03</t>
        </is>
      </c>
      <c r="F1816" s="6" t="n">
        <v>25258.8422118604</v>
      </c>
      <c r="G1816" s="6" t="inlineStr">
        <is>
          <t>DOMESTICA</t>
        </is>
      </c>
      <c r="H1816" s="6" t="inlineStr">
        <is>
          <t>FIXO</t>
        </is>
      </c>
      <c r="I1816" s="11">
        <f>IF($H1816="AUTO_OFERTA_TOTAL_PRODUTO_PERIODO",SUMIFS(Oferta!$F:$F,Oferta!$A:$A,$A1816,Oferta!$E:$E,$E1816),$F1816)</f>
        <v/>
      </c>
      <c r="J1816" s="6" t="inlineStr">
        <is>
          <t>Informado</t>
        </is>
      </c>
      <c r="K1816" s="6" t="inlineStr">
        <is>
          <t>Demanda doméstica fixa informada pelo usuário.</t>
        </is>
      </c>
    </row>
    <row r="1817">
      <c r="A1817" s="6" t="inlineStr">
        <is>
          <t>Soja</t>
        </is>
      </c>
      <c r="B1817" s="6" t="inlineStr">
        <is>
          <t>Brasília - DF</t>
        </is>
      </c>
      <c r="C1817" s="6" t="n">
        <v>-15.7795</v>
      </c>
      <c r="D1817" s="6" t="n">
        <v>-47.9297</v>
      </c>
      <c r="E1817" s="6" t="inlineStr">
        <is>
          <t>2021-04</t>
        </is>
      </c>
      <c r="F1817" s="6" t="n">
        <v>34768.053397502</v>
      </c>
      <c r="G1817" s="6" t="inlineStr">
        <is>
          <t>DOMESTICA</t>
        </is>
      </c>
      <c r="H1817" s="6" t="inlineStr">
        <is>
          <t>FIXO</t>
        </is>
      </c>
      <c r="I1817" s="11">
        <f>IF($H1817="AUTO_OFERTA_TOTAL_PRODUTO_PERIODO",SUMIFS(Oferta!$F:$F,Oferta!$A:$A,$A1817,Oferta!$E:$E,$E1817),$F1817)</f>
        <v/>
      </c>
      <c r="J1817" s="6" t="inlineStr">
        <is>
          <t>Informado</t>
        </is>
      </c>
      <c r="K1817" s="6" t="inlineStr">
        <is>
          <t>Demanda doméstica fixa informada pelo usuário.</t>
        </is>
      </c>
    </row>
    <row r="1818">
      <c r="A1818" s="6" t="inlineStr">
        <is>
          <t>Soja</t>
        </is>
      </c>
      <c r="B1818" s="6" t="inlineStr">
        <is>
          <t>Brasília - DF</t>
        </is>
      </c>
      <c r="C1818" s="6" t="n">
        <v>-15.7795</v>
      </c>
      <c r="D1818" s="6" t="n">
        <v>-47.9297</v>
      </c>
      <c r="E1818" s="6" t="inlineStr">
        <is>
          <t>2021-05</t>
        </is>
      </c>
      <c r="F1818" s="6" t="n">
        <v>63295.6869544267</v>
      </c>
      <c r="G1818" s="6" t="inlineStr">
        <is>
          <t>DOMESTICA</t>
        </is>
      </c>
      <c r="H1818" s="6" t="inlineStr">
        <is>
          <t>FIXO</t>
        </is>
      </c>
      <c r="I1818" s="11">
        <f>IF($H1818="AUTO_OFERTA_TOTAL_PRODUTO_PERIODO",SUMIFS(Oferta!$F:$F,Oferta!$A:$A,$A1818,Oferta!$E:$E,$E1818),$F1818)</f>
        <v/>
      </c>
      <c r="J1818" s="6" t="inlineStr">
        <is>
          <t>Informado</t>
        </is>
      </c>
      <c r="K1818" s="6" t="inlineStr">
        <is>
          <t>Demanda doméstica fixa informada pelo usuário.</t>
        </is>
      </c>
    </row>
    <row r="1819">
      <c r="A1819" s="6" t="inlineStr">
        <is>
          <t>Soja</t>
        </is>
      </c>
      <c r="B1819" s="6" t="inlineStr">
        <is>
          <t>Brasília - DF</t>
        </is>
      </c>
      <c r="C1819" s="6" t="n">
        <v>-15.7795</v>
      </c>
      <c r="D1819" s="6" t="n">
        <v>-47.9297</v>
      </c>
      <c r="E1819" s="6" t="inlineStr">
        <is>
          <t>2021-06</t>
        </is>
      </c>
      <c r="F1819" s="6" t="n">
        <v>63295.6869544267</v>
      </c>
      <c r="G1819" s="6" t="inlineStr">
        <is>
          <t>DOMESTICA</t>
        </is>
      </c>
      <c r="H1819" s="6" t="inlineStr">
        <is>
          <t>FIXO</t>
        </is>
      </c>
      <c r="I1819" s="11">
        <f>IF($H1819="AUTO_OFERTA_TOTAL_PRODUTO_PERIODO",SUMIFS(Oferta!$F:$F,Oferta!$A:$A,$A1819,Oferta!$E:$E,$E1819),$F1819)</f>
        <v/>
      </c>
      <c r="J1819" s="6" t="inlineStr">
        <is>
          <t>Informado</t>
        </is>
      </c>
      <c r="K1819" s="6" t="inlineStr">
        <is>
          <t>Demanda doméstica fixa informada pelo usuário.</t>
        </is>
      </c>
    </row>
    <row r="1820">
      <c r="A1820" s="6" t="inlineStr">
        <is>
          <t>Soja</t>
        </is>
      </c>
      <c r="B1820" s="6" t="inlineStr">
        <is>
          <t>Brasília - DF</t>
        </is>
      </c>
      <c r="C1820" s="6" t="n">
        <v>-15.7795</v>
      </c>
      <c r="D1820" s="6" t="n">
        <v>-47.9297</v>
      </c>
      <c r="E1820" s="6" t="inlineStr">
        <is>
          <t>2021-07</t>
        </is>
      </c>
      <c r="F1820" s="6" t="n">
        <v>53786.4757687852</v>
      </c>
      <c r="G1820" s="6" t="inlineStr">
        <is>
          <t>DOMESTICA</t>
        </is>
      </c>
      <c r="H1820" s="6" t="inlineStr">
        <is>
          <t>FIXO</t>
        </is>
      </c>
      <c r="I1820" s="11">
        <f>IF($H1820="AUTO_OFERTA_TOTAL_PRODUTO_PERIODO",SUMIFS(Oferta!$F:$F,Oferta!$A:$A,$A1820,Oferta!$E:$E,$E1820),$F1820)</f>
        <v/>
      </c>
      <c r="J1820" s="6" t="inlineStr">
        <is>
          <t>Informado</t>
        </is>
      </c>
      <c r="K1820" s="6" t="inlineStr">
        <is>
          <t>Demanda doméstica fixa informada pelo usuário.</t>
        </is>
      </c>
    </row>
    <row r="1821">
      <c r="A1821" s="6" t="inlineStr">
        <is>
          <t>Soja</t>
        </is>
      </c>
      <c r="B1821" s="6" t="inlineStr">
        <is>
          <t>Brasília - DF</t>
        </is>
      </c>
      <c r="C1821" s="6" t="n">
        <v>-15.7795</v>
      </c>
      <c r="D1821" s="6" t="n">
        <v>-47.9297</v>
      </c>
      <c r="E1821" s="6" t="inlineStr">
        <is>
          <t>2021-08</t>
        </is>
      </c>
      <c r="F1821" s="6" t="n">
        <v>25258.8422118604</v>
      </c>
      <c r="G1821" s="6" t="inlineStr">
        <is>
          <t>DOMESTICA</t>
        </is>
      </c>
      <c r="H1821" s="6" t="inlineStr">
        <is>
          <t>FIXO</t>
        </is>
      </c>
      <c r="I1821" s="11">
        <f>IF($H1821="AUTO_OFERTA_TOTAL_PRODUTO_PERIODO",SUMIFS(Oferta!$F:$F,Oferta!$A:$A,$A1821,Oferta!$E:$E,$E1821),$F1821)</f>
        <v/>
      </c>
      <c r="J1821" s="6" t="inlineStr">
        <is>
          <t>Informado</t>
        </is>
      </c>
      <c r="K1821" s="6" t="inlineStr">
        <is>
          <t>Demanda doméstica fixa informada pelo usuário.</t>
        </is>
      </c>
    </row>
    <row r="1822">
      <c r="A1822" s="6" t="inlineStr">
        <is>
          <t>Soja</t>
        </is>
      </c>
      <c r="B1822" s="6" t="inlineStr">
        <is>
          <t>Brasília - DF</t>
        </is>
      </c>
      <c r="C1822" s="6" t="n">
        <v>-15.7795</v>
      </c>
      <c r="D1822" s="6" t="n">
        <v>-47.9297</v>
      </c>
      <c r="E1822" s="6" t="inlineStr">
        <is>
          <t>2021-09</t>
        </is>
      </c>
      <c r="F1822" s="6" t="n">
        <v>15749.6310262189</v>
      </c>
      <c r="G1822" s="6" t="inlineStr">
        <is>
          <t>DOMESTICA</t>
        </is>
      </c>
      <c r="H1822" s="6" t="inlineStr">
        <is>
          <t>FIXO</t>
        </is>
      </c>
      <c r="I1822" s="11">
        <f>IF($H1822="AUTO_OFERTA_TOTAL_PRODUTO_PERIODO",SUMIFS(Oferta!$F:$F,Oferta!$A:$A,$A1822,Oferta!$E:$E,$E1822),$F1822)</f>
        <v/>
      </c>
      <c r="J1822" s="6" t="inlineStr">
        <is>
          <t>Informado</t>
        </is>
      </c>
      <c r="K1822" s="6" t="inlineStr">
        <is>
          <t>Demanda doméstica fixa informada pelo usuário.</t>
        </is>
      </c>
    </row>
    <row r="1823">
      <c r="A1823" s="6" t="inlineStr">
        <is>
          <t>Soja</t>
        </is>
      </c>
      <c r="B1823" s="6" t="inlineStr">
        <is>
          <t>Brasília - DF</t>
        </is>
      </c>
      <c r="C1823" s="6" t="n">
        <v>-15.7795</v>
      </c>
      <c r="D1823" s="6" t="n">
        <v>-47.9297</v>
      </c>
      <c r="E1823" s="6" t="inlineStr">
        <is>
          <t>2021-10</t>
        </is>
      </c>
      <c r="F1823" s="6" t="n">
        <v>15749.6310262189</v>
      </c>
      <c r="G1823" s="6" t="inlineStr">
        <is>
          <t>DOMESTICA</t>
        </is>
      </c>
      <c r="H1823" s="6" t="inlineStr">
        <is>
          <t>FIXO</t>
        </is>
      </c>
      <c r="I1823" s="11">
        <f>IF($H1823="AUTO_OFERTA_TOTAL_PRODUTO_PERIODO",SUMIFS(Oferta!$F:$F,Oferta!$A:$A,$A1823,Oferta!$E:$E,$E1823),$F1823)</f>
        <v/>
      </c>
      <c r="J1823" s="6" t="inlineStr">
        <is>
          <t>Informado</t>
        </is>
      </c>
      <c r="K1823" s="6" t="inlineStr">
        <is>
          <t>Demanda doméstica fixa informada pelo usuário.</t>
        </is>
      </c>
    </row>
    <row r="1824">
      <c r="A1824" s="6" t="inlineStr">
        <is>
          <t>Soja</t>
        </is>
      </c>
      <c r="B1824" s="6" t="inlineStr">
        <is>
          <t>Brasília - DF</t>
        </is>
      </c>
      <c r="C1824" s="6" t="n">
        <v>-15.7795</v>
      </c>
      <c r="D1824" s="6" t="n">
        <v>-47.9297</v>
      </c>
      <c r="E1824" s="6" t="inlineStr">
        <is>
          <t>2021-11</t>
        </is>
      </c>
      <c r="F1824" s="6" t="n">
        <v>15749.6310262189</v>
      </c>
      <c r="G1824" s="6" t="inlineStr">
        <is>
          <t>DOMESTICA</t>
        </is>
      </c>
      <c r="H1824" s="6" t="inlineStr">
        <is>
          <t>FIXO</t>
        </is>
      </c>
      <c r="I1824" s="11">
        <f>IF($H1824="AUTO_OFERTA_TOTAL_PRODUTO_PERIODO",SUMIFS(Oferta!$F:$F,Oferta!$A:$A,$A1824,Oferta!$E:$E,$E1824),$F1824)</f>
        <v/>
      </c>
      <c r="J1824" s="6" t="inlineStr">
        <is>
          <t>Informado</t>
        </is>
      </c>
      <c r="K1824" s="6" t="inlineStr">
        <is>
          <t>Demanda doméstica fixa informada pelo usuário.</t>
        </is>
      </c>
    </row>
    <row r="1825">
      <c r="A1825" s="6" t="inlineStr">
        <is>
          <t>Soja</t>
        </is>
      </c>
      <c r="B1825" s="6" t="inlineStr">
        <is>
          <t>Brasília - DF</t>
        </is>
      </c>
      <c r="C1825" s="6" t="n">
        <v>-15.7795</v>
      </c>
      <c r="D1825" s="6" t="n">
        <v>-47.9297</v>
      </c>
      <c r="E1825" s="6" t="inlineStr">
        <is>
          <t>2021-12</t>
        </is>
      </c>
      <c r="F1825" s="6" t="n">
        <v>15749.6310262189</v>
      </c>
      <c r="G1825" s="6" t="inlineStr">
        <is>
          <t>DOMESTICA</t>
        </is>
      </c>
      <c r="H1825" s="6" t="inlineStr">
        <is>
          <t>FIXO</t>
        </is>
      </c>
      <c r="I1825" s="11">
        <f>IF($H1825="AUTO_OFERTA_TOTAL_PRODUTO_PERIODO",SUMIFS(Oferta!$F:$F,Oferta!$A:$A,$A1825,Oferta!$E:$E,$E1825),$F1825)</f>
        <v/>
      </c>
      <c r="J1825" s="6" t="inlineStr">
        <is>
          <t>Informado</t>
        </is>
      </c>
      <c r="K1825" s="6" t="inlineStr">
        <is>
          <t>Demanda doméstica fixa informada pelo usuário.</t>
        </is>
      </c>
    </row>
    <row r="1826">
      <c r="A1826" s="6" t="inlineStr">
        <is>
          <t>Soja</t>
        </is>
      </c>
      <c r="B1826" s="6" t="inlineStr">
        <is>
          <t>Goiânia - GO</t>
        </is>
      </c>
      <c r="C1826" s="6" t="n">
        <v>-16.6864</v>
      </c>
      <c r="D1826" s="6" t="n">
        <v>-49.2643</v>
      </c>
      <c r="E1826" s="6" t="inlineStr">
        <is>
          <t>2021-01</t>
        </is>
      </c>
      <c r="F1826" s="6" t="n">
        <v>137448.7240943616</v>
      </c>
      <c r="G1826" s="6" t="inlineStr">
        <is>
          <t>DOMESTICA</t>
        </is>
      </c>
      <c r="H1826" s="6" t="inlineStr">
        <is>
          <t>FIXO</t>
        </is>
      </c>
      <c r="I1826" s="11">
        <f>IF($H1826="AUTO_OFERTA_TOTAL_PRODUTO_PERIODO",SUMIFS(Oferta!$F:$F,Oferta!$A:$A,$A1826,Oferta!$E:$E,$E1826),$F1826)</f>
        <v/>
      </c>
      <c r="J1826" s="6" t="inlineStr">
        <is>
          <t>Informado</t>
        </is>
      </c>
      <c r="K1826" s="6" t="inlineStr">
        <is>
          <t>Demanda doméstica fixa informada pelo usuário.</t>
        </is>
      </c>
    </row>
    <row r="1827">
      <c r="A1827" s="6" t="inlineStr">
        <is>
          <t>Soja</t>
        </is>
      </c>
      <c r="B1827" s="6" t="inlineStr">
        <is>
          <t>Goiânia - GO</t>
        </is>
      </c>
      <c r="C1827" s="6" t="n">
        <v>-16.6864</v>
      </c>
      <c r="D1827" s="6" t="n">
        <v>-49.2643</v>
      </c>
      <c r="E1827" s="6" t="inlineStr">
        <is>
          <t>2021-02</t>
        </is>
      </c>
      <c r="F1827" s="6" t="n">
        <v>137448.7240943616</v>
      </c>
      <c r="G1827" s="6" t="inlineStr">
        <is>
          <t>DOMESTICA</t>
        </is>
      </c>
      <c r="H1827" s="6" t="inlineStr">
        <is>
          <t>FIXO</t>
        </is>
      </c>
      <c r="I1827" s="11">
        <f>IF($H1827="AUTO_OFERTA_TOTAL_PRODUTO_PERIODO",SUMIFS(Oferta!$F:$F,Oferta!$A:$A,$A1827,Oferta!$E:$E,$E1827),$F1827)</f>
        <v/>
      </c>
      <c r="J1827" s="6" t="inlineStr">
        <is>
          <t>Informado</t>
        </is>
      </c>
      <c r="K1827" s="6" t="inlineStr">
        <is>
          <t>Demanda doméstica fixa informada pelo usuário.</t>
        </is>
      </c>
    </row>
    <row r="1828">
      <c r="A1828" s="6" t="inlineStr">
        <is>
          <t>Soja</t>
        </is>
      </c>
      <c r="B1828" s="6" t="inlineStr">
        <is>
          <t>Goiânia - GO</t>
        </is>
      </c>
      <c r="C1828" s="6" t="n">
        <v>-16.6864</v>
      </c>
      <c r="D1828" s="6" t="n">
        <v>-49.2643</v>
      </c>
      <c r="E1828" s="6" t="inlineStr">
        <is>
          <t>2021-03</t>
        </is>
      </c>
      <c r="F1828" s="6" t="n">
        <v>220436.6329815233</v>
      </c>
      <c r="G1828" s="6" t="inlineStr">
        <is>
          <t>DOMESTICA</t>
        </is>
      </c>
      <c r="H1828" s="6" t="inlineStr">
        <is>
          <t>FIXO</t>
        </is>
      </c>
      <c r="I1828" s="11">
        <f>IF($H1828="AUTO_OFERTA_TOTAL_PRODUTO_PERIODO",SUMIFS(Oferta!$F:$F,Oferta!$A:$A,$A1828,Oferta!$E:$E,$E1828),$F1828)</f>
        <v/>
      </c>
      <c r="J1828" s="6" t="inlineStr">
        <is>
          <t>Informado</t>
        </is>
      </c>
      <c r="K1828" s="6" t="inlineStr">
        <is>
          <t>Demanda doméstica fixa informada pelo usuário.</t>
        </is>
      </c>
    </row>
    <row r="1829">
      <c r="A1829" s="6" t="inlineStr">
        <is>
          <t>Soja</t>
        </is>
      </c>
      <c r="B1829" s="6" t="inlineStr">
        <is>
          <t>Goiânia - GO</t>
        </is>
      </c>
      <c r="C1829" s="6" t="n">
        <v>-16.6864</v>
      </c>
      <c r="D1829" s="6" t="n">
        <v>-49.2643</v>
      </c>
      <c r="E1829" s="6" t="inlineStr">
        <is>
          <t>2021-04</t>
        </is>
      </c>
      <c r="F1829" s="6" t="n">
        <v>469400.3596430085</v>
      </c>
      <c r="G1829" s="6" t="inlineStr">
        <is>
          <t>DOMESTICA</t>
        </is>
      </c>
      <c r="H1829" s="6" t="inlineStr">
        <is>
          <t>FIXO</t>
        </is>
      </c>
      <c r="I1829" s="11">
        <f>IF($H1829="AUTO_OFERTA_TOTAL_PRODUTO_PERIODO",SUMIFS(Oferta!$F:$F,Oferta!$A:$A,$A1829,Oferta!$E:$E,$E1829),$F1829)</f>
        <v/>
      </c>
      <c r="J1829" s="6" t="inlineStr">
        <is>
          <t>Informado</t>
        </is>
      </c>
      <c r="K1829" s="6" t="inlineStr">
        <is>
          <t>Demanda doméstica fixa informada pelo usuário.</t>
        </is>
      </c>
    </row>
    <row r="1830">
      <c r="A1830" s="6" t="inlineStr">
        <is>
          <t>Soja</t>
        </is>
      </c>
      <c r="B1830" s="6" t="inlineStr">
        <is>
          <t>Goiânia - GO</t>
        </is>
      </c>
      <c r="C1830" s="6" t="n">
        <v>-16.6864</v>
      </c>
      <c r="D1830" s="6" t="n">
        <v>-49.2643</v>
      </c>
      <c r="E1830" s="6" t="inlineStr">
        <is>
          <t>2021-05</t>
        </is>
      </c>
      <c r="F1830" s="6" t="n">
        <v>552388.2685301701</v>
      </c>
      <c r="G1830" s="6" t="inlineStr">
        <is>
          <t>DOMESTICA</t>
        </is>
      </c>
      <c r="H1830" s="6" t="inlineStr">
        <is>
          <t>FIXO</t>
        </is>
      </c>
      <c r="I1830" s="11">
        <f>IF($H1830="AUTO_OFERTA_TOTAL_PRODUTO_PERIODO",SUMIFS(Oferta!$F:$F,Oferta!$A:$A,$A1830,Oferta!$E:$E,$E1830),$F1830)</f>
        <v/>
      </c>
      <c r="J1830" s="6" t="inlineStr">
        <is>
          <t>Informado</t>
        </is>
      </c>
      <c r="K1830" s="6" t="inlineStr">
        <is>
          <t>Demanda doméstica fixa informada pelo usuário.</t>
        </is>
      </c>
    </row>
    <row r="1831">
      <c r="A1831" s="6" t="inlineStr">
        <is>
          <t>Soja</t>
        </is>
      </c>
      <c r="B1831" s="6" t="inlineStr">
        <is>
          <t>Goiânia - GO</t>
        </is>
      </c>
      <c r="C1831" s="6" t="n">
        <v>-16.6864</v>
      </c>
      <c r="D1831" s="6" t="n">
        <v>-49.2643</v>
      </c>
      <c r="E1831" s="6" t="inlineStr">
        <is>
          <t>2021-06</t>
        </is>
      </c>
      <c r="F1831" s="6" t="n">
        <v>469400.3596430085</v>
      </c>
      <c r="G1831" s="6" t="inlineStr">
        <is>
          <t>DOMESTICA</t>
        </is>
      </c>
      <c r="H1831" s="6" t="inlineStr">
        <is>
          <t>FIXO</t>
        </is>
      </c>
      <c r="I1831" s="11">
        <f>IF($H1831="AUTO_OFERTA_TOTAL_PRODUTO_PERIODO",SUMIFS(Oferta!$F:$F,Oferta!$A:$A,$A1831,Oferta!$E:$E,$E1831),$F1831)</f>
        <v/>
      </c>
      <c r="J1831" s="6" t="inlineStr">
        <is>
          <t>Informado</t>
        </is>
      </c>
      <c r="K1831" s="6" t="inlineStr">
        <is>
          <t>Demanda doméstica fixa informada pelo usuário.</t>
        </is>
      </c>
    </row>
    <row r="1832">
      <c r="A1832" s="6" t="inlineStr">
        <is>
          <t>Soja</t>
        </is>
      </c>
      <c r="B1832" s="6" t="inlineStr">
        <is>
          <t>Goiânia - GO</t>
        </is>
      </c>
      <c r="C1832" s="6" t="n">
        <v>-16.6864</v>
      </c>
      <c r="D1832" s="6" t="n">
        <v>-49.2643</v>
      </c>
      <c r="E1832" s="6" t="inlineStr">
        <is>
          <t>2021-07</t>
        </is>
      </c>
      <c r="F1832" s="6" t="n">
        <v>220436.6329815233</v>
      </c>
      <c r="G1832" s="6" t="inlineStr">
        <is>
          <t>DOMESTICA</t>
        </is>
      </c>
      <c r="H1832" s="6" t="inlineStr">
        <is>
          <t>FIXO</t>
        </is>
      </c>
      <c r="I1832" s="11">
        <f>IF($H1832="AUTO_OFERTA_TOTAL_PRODUTO_PERIODO",SUMIFS(Oferta!$F:$F,Oferta!$A:$A,$A1832,Oferta!$E:$E,$E1832),$F1832)</f>
        <v/>
      </c>
      <c r="J1832" s="6" t="inlineStr">
        <is>
          <t>Informado</t>
        </is>
      </c>
      <c r="K1832" s="6" t="inlineStr">
        <is>
          <t>Demanda doméstica fixa informada pelo usuário.</t>
        </is>
      </c>
    </row>
    <row r="1833">
      <c r="A1833" s="6" t="inlineStr">
        <is>
          <t>Soja</t>
        </is>
      </c>
      <c r="B1833" s="6" t="inlineStr">
        <is>
          <t>Goiânia - GO</t>
        </is>
      </c>
      <c r="C1833" s="6" t="n">
        <v>-16.6864</v>
      </c>
      <c r="D1833" s="6" t="n">
        <v>-49.2643</v>
      </c>
      <c r="E1833" s="6" t="inlineStr">
        <is>
          <t>2021-08</t>
        </is>
      </c>
      <c r="F1833" s="6" t="n">
        <v>137448.7240943616</v>
      </c>
      <c r="G1833" s="6" t="inlineStr">
        <is>
          <t>DOMESTICA</t>
        </is>
      </c>
      <c r="H1833" s="6" t="inlineStr">
        <is>
          <t>FIXO</t>
        </is>
      </c>
      <c r="I1833" s="11">
        <f>IF($H1833="AUTO_OFERTA_TOTAL_PRODUTO_PERIODO",SUMIFS(Oferta!$F:$F,Oferta!$A:$A,$A1833,Oferta!$E:$E,$E1833),$F1833)</f>
        <v/>
      </c>
      <c r="J1833" s="6" t="inlineStr">
        <is>
          <t>Informado</t>
        </is>
      </c>
      <c r="K1833" s="6" t="inlineStr">
        <is>
          <t>Demanda doméstica fixa informada pelo usuário.</t>
        </is>
      </c>
    </row>
    <row r="1834">
      <c r="A1834" s="6" t="inlineStr">
        <is>
          <t>Soja</t>
        </is>
      </c>
      <c r="B1834" s="6" t="inlineStr">
        <is>
          <t>Goiânia - GO</t>
        </is>
      </c>
      <c r="C1834" s="6" t="n">
        <v>-16.6864</v>
      </c>
      <c r="D1834" s="6" t="n">
        <v>-49.2643</v>
      </c>
      <c r="E1834" s="6" t="inlineStr">
        <is>
          <t>2021-09</t>
        </is>
      </c>
      <c r="F1834" s="6" t="n">
        <v>137448.7240943616</v>
      </c>
      <c r="G1834" s="6" t="inlineStr">
        <is>
          <t>DOMESTICA</t>
        </is>
      </c>
      <c r="H1834" s="6" t="inlineStr">
        <is>
          <t>FIXO</t>
        </is>
      </c>
      <c r="I1834" s="11">
        <f>IF($H1834="AUTO_OFERTA_TOTAL_PRODUTO_PERIODO",SUMIFS(Oferta!$F:$F,Oferta!$A:$A,$A1834,Oferta!$E:$E,$E1834),$F1834)</f>
        <v/>
      </c>
      <c r="J1834" s="6" t="inlineStr">
        <is>
          <t>Informado</t>
        </is>
      </c>
      <c r="K1834" s="6" t="inlineStr">
        <is>
          <t>Demanda doméstica fixa informada pelo usuário.</t>
        </is>
      </c>
    </row>
    <row r="1835">
      <c r="A1835" s="6" t="inlineStr">
        <is>
          <t>Soja</t>
        </is>
      </c>
      <c r="B1835" s="6" t="inlineStr">
        <is>
          <t>Goiânia - GO</t>
        </is>
      </c>
      <c r="C1835" s="6" t="n">
        <v>-16.6864</v>
      </c>
      <c r="D1835" s="6" t="n">
        <v>-49.2643</v>
      </c>
      <c r="E1835" s="6" t="inlineStr">
        <is>
          <t>2021-10</t>
        </is>
      </c>
      <c r="F1835" s="6" t="n">
        <v>137448.7240943616</v>
      </c>
      <c r="G1835" s="6" t="inlineStr">
        <is>
          <t>DOMESTICA</t>
        </is>
      </c>
      <c r="H1835" s="6" t="inlineStr">
        <is>
          <t>FIXO</t>
        </is>
      </c>
      <c r="I1835" s="11">
        <f>IF($H1835="AUTO_OFERTA_TOTAL_PRODUTO_PERIODO",SUMIFS(Oferta!$F:$F,Oferta!$A:$A,$A1835,Oferta!$E:$E,$E1835),$F1835)</f>
        <v/>
      </c>
      <c r="J1835" s="6" t="inlineStr">
        <is>
          <t>Informado</t>
        </is>
      </c>
      <c r="K1835" s="6" t="inlineStr">
        <is>
          <t>Demanda doméstica fixa informada pelo usuário.</t>
        </is>
      </c>
    </row>
    <row r="1836">
      <c r="A1836" s="6" t="inlineStr">
        <is>
          <t>Soja</t>
        </is>
      </c>
      <c r="B1836" s="6" t="inlineStr">
        <is>
          <t>Goiânia - GO</t>
        </is>
      </c>
      <c r="C1836" s="6" t="n">
        <v>-16.6864</v>
      </c>
      <c r="D1836" s="6" t="n">
        <v>-49.2643</v>
      </c>
      <c r="E1836" s="6" t="inlineStr">
        <is>
          <t>2021-11</t>
        </is>
      </c>
      <c r="F1836" s="6" t="n">
        <v>137448.7240943616</v>
      </c>
      <c r="G1836" s="6" t="inlineStr">
        <is>
          <t>DOMESTICA</t>
        </is>
      </c>
      <c r="H1836" s="6" t="inlineStr">
        <is>
          <t>FIXO</t>
        </is>
      </c>
      <c r="I1836" s="11">
        <f>IF($H1836="AUTO_OFERTA_TOTAL_PRODUTO_PERIODO",SUMIFS(Oferta!$F:$F,Oferta!$A:$A,$A1836,Oferta!$E:$E,$E1836),$F1836)</f>
        <v/>
      </c>
      <c r="J1836" s="6" t="inlineStr">
        <is>
          <t>Informado</t>
        </is>
      </c>
      <c r="K1836" s="6" t="inlineStr">
        <is>
          <t>Demanda doméstica fixa informada pelo usuário.</t>
        </is>
      </c>
    </row>
    <row r="1837">
      <c r="A1837" s="6" t="inlineStr">
        <is>
          <t>Soja</t>
        </is>
      </c>
      <c r="B1837" s="6" t="inlineStr">
        <is>
          <t>Goiânia - GO</t>
        </is>
      </c>
      <c r="C1837" s="6" t="n">
        <v>-16.6864</v>
      </c>
      <c r="D1837" s="6" t="n">
        <v>-49.2643</v>
      </c>
      <c r="E1837" s="6" t="inlineStr">
        <is>
          <t>2021-12</t>
        </is>
      </c>
      <c r="F1837" s="6" t="n">
        <v>137448.7240943616</v>
      </c>
      <c r="G1837" s="6" t="inlineStr">
        <is>
          <t>DOMESTICA</t>
        </is>
      </c>
      <c r="H1837" s="6" t="inlineStr">
        <is>
          <t>FIXO</t>
        </is>
      </c>
      <c r="I1837" s="11">
        <f>IF($H1837="AUTO_OFERTA_TOTAL_PRODUTO_PERIODO",SUMIFS(Oferta!$F:$F,Oferta!$A:$A,$A1837,Oferta!$E:$E,$E1837),$F1837)</f>
        <v/>
      </c>
      <c r="J1837" s="6" t="inlineStr">
        <is>
          <t>Informado</t>
        </is>
      </c>
      <c r="K1837" s="6" t="inlineStr">
        <is>
          <t>Demanda doméstica fixa informada pelo usuário.</t>
        </is>
      </c>
    </row>
    <row r="1838">
      <c r="A1838" s="6" t="inlineStr">
        <is>
          <t>Soja</t>
        </is>
      </c>
      <c r="B1838" s="6" t="inlineStr">
        <is>
          <t>Cuiabá - MT</t>
        </is>
      </c>
      <c r="C1838" s="6" t="n">
        <v>-15.601</v>
      </c>
      <c r="D1838" s="6" t="n">
        <v>-56.0974</v>
      </c>
      <c r="E1838" s="6" t="inlineStr">
        <is>
          <t>2021-01</t>
        </is>
      </c>
      <c r="F1838" s="6" t="n">
        <v>168491.2245242069</v>
      </c>
      <c r="G1838" s="6" t="inlineStr">
        <is>
          <t>DOMESTICA</t>
        </is>
      </c>
      <c r="H1838" s="6" t="inlineStr">
        <is>
          <t>FIXO</t>
        </is>
      </c>
      <c r="I1838" s="11">
        <f>IF($H1838="AUTO_OFERTA_TOTAL_PRODUTO_PERIODO",SUMIFS(Oferta!$F:$F,Oferta!$A:$A,$A1838,Oferta!$E:$E,$E1838),$F1838)</f>
        <v/>
      </c>
      <c r="J1838" s="6" t="inlineStr">
        <is>
          <t>Informado</t>
        </is>
      </c>
      <c r="K1838" s="6" t="inlineStr">
        <is>
          <t>Demanda doméstica fixa informada pelo usuário.</t>
        </is>
      </c>
    </row>
    <row r="1839">
      <c r="A1839" s="6" t="inlineStr">
        <is>
          <t>Soja</t>
        </is>
      </c>
      <c r="B1839" s="6" t="inlineStr">
        <is>
          <t>Cuiabá - MT</t>
        </is>
      </c>
      <c r="C1839" s="6" t="n">
        <v>-15.601</v>
      </c>
      <c r="D1839" s="6" t="n">
        <v>-56.0974</v>
      </c>
      <c r="E1839" s="6" t="inlineStr">
        <is>
          <t>2021-02</t>
        </is>
      </c>
      <c r="F1839" s="6" t="n">
        <v>270221.7751803318</v>
      </c>
      <c r="G1839" s="6" t="inlineStr">
        <is>
          <t>DOMESTICA</t>
        </is>
      </c>
      <c r="H1839" s="6" t="inlineStr">
        <is>
          <t>FIXO</t>
        </is>
      </c>
      <c r="I1839" s="11">
        <f>IF($H1839="AUTO_OFERTA_TOTAL_PRODUTO_PERIODO",SUMIFS(Oferta!$F:$F,Oferta!$A:$A,$A1839,Oferta!$E:$E,$E1839),$F1839)</f>
        <v/>
      </c>
      <c r="J1839" s="6" t="inlineStr">
        <is>
          <t>Informado</t>
        </is>
      </c>
      <c r="K1839" s="6" t="inlineStr">
        <is>
          <t>Demanda doméstica fixa informada pelo usuário.</t>
        </is>
      </c>
    </row>
    <row r="1840">
      <c r="A1840" s="6" t="inlineStr">
        <is>
          <t>Soja</t>
        </is>
      </c>
      <c r="B1840" s="6" t="inlineStr">
        <is>
          <t>Cuiabá - MT</t>
        </is>
      </c>
      <c r="C1840" s="6" t="n">
        <v>-15.601</v>
      </c>
      <c r="D1840" s="6" t="n">
        <v>-56.0974</v>
      </c>
      <c r="E1840" s="6" t="inlineStr">
        <is>
          <t>2021-03</t>
        </is>
      </c>
      <c r="F1840" s="6" t="n">
        <v>473682.8764925816</v>
      </c>
      <c r="G1840" s="6" t="inlineStr">
        <is>
          <t>DOMESTICA</t>
        </is>
      </c>
      <c r="H1840" s="6" t="inlineStr">
        <is>
          <t>FIXO</t>
        </is>
      </c>
      <c r="I1840" s="11">
        <f>IF($H1840="AUTO_OFERTA_TOTAL_PRODUTO_PERIODO",SUMIFS(Oferta!$F:$F,Oferta!$A:$A,$A1840,Oferta!$E:$E,$E1840),$F1840)</f>
        <v/>
      </c>
      <c r="J1840" s="6" t="inlineStr">
        <is>
          <t>Informado</t>
        </is>
      </c>
      <c r="K1840" s="6" t="inlineStr">
        <is>
          <t>Demanda doméstica fixa informada pelo usuário.</t>
        </is>
      </c>
    </row>
    <row r="1841">
      <c r="A1841" s="6" t="inlineStr">
        <is>
          <t>Soja</t>
        </is>
      </c>
      <c r="B1841" s="6" t="inlineStr">
        <is>
          <t>Cuiabá - MT</t>
        </is>
      </c>
      <c r="C1841" s="6" t="n">
        <v>-15.601</v>
      </c>
      <c r="D1841" s="6" t="n">
        <v>-56.0974</v>
      </c>
      <c r="E1841" s="6" t="inlineStr">
        <is>
          <t>2021-04</t>
        </is>
      </c>
      <c r="F1841" s="6" t="n">
        <v>677143.9778048315</v>
      </c>
      <c r="G1841" s="6" t="inlineStr">
        <is>
          <t>DOMESTICA</t>
        </is>
      </c>
      <c r="H1841" s="6" t="inlineStr">
        <is>
          <t>FIXO</t>
        </is>
      </c>
      <c r="I1841" s="11">
        <f>IF($H1841="AUTO_OFERTA_TOTAL_PRODUTO_PERIODO",SUMIFS(Oferta!$F:$F,Oferta!$A:$A,$A1841,Oferta!$E:$E,$E1841),$F1841)</f>
        <v/>
      </c>
      <c r="J1841" s="6" t="inlineStr">
        <is>
          <t>Informado</t>
        </is>
      </c>
      <c r="K1841" s="6" t="inlineStr">
        <is>
          <t>Demanda doméstica fixa informada pelo usuário.</t>
        </is>
      </c>
    </row>
    <row r="1842">
      <c r="A1842" s="6" t="inlineStr">
        <is>
          <t>Soja</t>
        </is>
      </c>
      <c r="B1842" s="6" t="inlineStr">
        <is>
          <t>Cuiabá - MT</t>
        </is>
      </c>
      <c r="C1842" s="6" t="n">
        <v>-15.601</v>
      </c>
      <c r="D1842" s="6" t="n">
        <v>-56.0974</v>
      </c>
      <c r="E1842" s="6" t="inlineStr">
        <is>
          <t>2021-05</t>
        </is>
      </c>
      <c r="F1842" s="6" t="n">
        <v>677143.9778048315</v>
      </c>
      <c r="G1842" s="6" t="inlineStr">
        <is>
          <t>DOMESTICA</t>
        </is>
      </c>
      <c r="H1842" s="6" t="inlineStr">
        <is>
          <t>FIXO</t>
        </is>
      </c>
      <c r="I1842" s="11">
        <f>IF($H1842="AUTO_OFERTA_TOTAL_PRODUTO_PERIODO",SUMIFS(Oferta!$F:$F,Oferta!$A:$A,$A1842,Oferta!$E:$E,$E1842),$F1842)</f>
        <v/>
      </c>
      <c r="J1842" s="6" t="inlineStr">
        <is>
          <t>Informado</t>
        </is>
      </c>
      <c r="K1842" s="6" t="inlineStr">
        <is>
          <t>Demanda doméstica fixa informada pelo usuário.</t>
        </is>
      </c>
    </row>
    <row r="1843">
      <c r="A1843" s="6" t="inlineStr">
        <is>
          <t>Soja</t>
        </is>
      </c>
      <c r="B1843" s="6" t="inlineStr">
        <is>
          <t>Cuiabá - MT</t>
        </is>
      </c>
      <c r="C1843" s="6" t="n">
        <v>-15.601</v>
      </c>
      <c r="D1843" s="6" t="n">
        <v>-56.0974</v>
      </c>
      <c r="E1843" s="6" t="inlineStr">
        <is>
          <t>2021-06</t>
        </is>
      </c>
      <c r="F1843" s="6" t="n">
        <v>473682.8764925816</v>
      </c>
      <c r="G1843" s="6" t="inlineStr">
        <is>
          <t>DOMESTICA</t>
        </is>
      </c>
      <c r="H1843" s="6" t="inlineStr">
        <is>
          <t>FIXO</t>
        </is>
      </c>
      <c r="I1843" s="11">
        <f>IF($H1843="AUTO_OFERTA_TOTAL_PRODUTO_PERIODO",SUMIFS(Oferta!$F:$F,Oferta!$A:$A,$A1843,Oferta!$E:$E,$E1843),$F1843)</f>
        <v/>
      </c>
      <c r="J1843" s="6" t="inlineStr">
        <is>
          <t>Informado</t>
        </is>
      </c>
      <c r="K1843" s="6" t="inlineStr">
        <is>
          <t>Demanda doméstica fixa informada pelo usuário.</t>
        </is>
      </c>
    </row>
    <row r="1844">
      <c r="A1844" s="6" t="inlineStr">
        <is>
          <t>Soja</t>
        </is>
      </c>
      <c r="B1844" s="6" t="inlineStr">
        <is>
          <t>Cuiabá - MT</t>
        </is>
      </c>
      <c r="C1844" s="6" t="n">
        <v>-15.601</v>
      </c>
      <c r="D1844" s="6" t="n">
        <v>-56.0974</v>
      </c>
      <c r="E1844" s="6" t="inlineStr">
        <is>
          <t>2021-07</t>
        </is>
      </c>
      <c r="F1844" s="6" t="n">
        <v>270221.7751803318</v>
      </c>
      <c r="G1844" s="6" t="inlineStr">
        <is>
          <t>DOMESTICA</t>
        </is>
      </c>
      <c r="H1844" s="6" t="inlineStr">
        <is>
          <t>FIXO</t>
        </is>
      </c>
      <c r="I1844" s="11">
        <f>IF($H1844="AUTO_OFERTA_TOTAL_PRODUTO_PERIODO",SUMIFS(Oferta!$F:$F,Oferta!$A:$A,$A1844,Oferta!$E:$E,$E1844),$F1844)</f>
        <v/>
      </c>
      <c r="J1844" s="6" t="inlineStr">
        <is>
          <t>Informado</t>
        </is>
      </c>
      <c r="K1844" s="6" t="inlineStr">
        <is>
          <t>Demanda doméstica fixa informada pelo usuário.</t>
        </is>
      </c>
    </row>
    <row r="1845">
      <c r="A1845" s="6" t="inlineStr">
        <is>
          <t>Soja</t>
        </is>
      </c>
      <c r="B1845" s="6" t="inlineStr">
        <is>
          <t>Cuiabá - MT</t>
        </is>
      </c>
      <c r="C1845" s="6" t="n">
        <v>-15.601</v>
      </c>
      <c r="D1845" s="6" t="n">
        <v>-56.0974</v>
      </c>
      <c r="E1845" s="6" t="inlineStr">
        <is>
          <t>2021-08</t>
        </is>
      </c>
      <c r="F1845" s="6" t="n">
        <v>168491.2245242069</v>
      </c>
      <c r="G1845" s="6" t="inlineStr">
        <is>
          <t>DOMESTICA</t>
        </is>
      </c>
      <c r="H1845" s="6" t="inlineStr">
        <is>
          <t>FIXO</t>
        </is>
      </c>
      <c r="I1845" s="11">
        <f>IF($H1845="AUTO_OFERTA_TOTAL_PRODUTO_PERIODO",SUMIFS(Oferta!$F:$F,Oferta!$A:$A,$A1845,Oferta!$E:$E,$E1845),$F1845)</f>
        <v/>
      </c>
      <c r="J1845" s="6" t="inlineStr">
        <is>
          <t>Informado</t>
        </is>
      </c>
      <c r="K1845" s="6" t="inlineStr">
        <is>
          <t>Demanda doméstica fixa informada pelo usuário.</t>
        </is>
      </c>
    </row>
    <row r="1846">
      <c r="A1846" s="6" t="inlineStr">
        <is>
          <t>Soja</t>
        </is>
      </c>
      <c r="B1846" s="6" t="inlineStr">
        <is>
          <t>Cuiabá - MT</t>
        </is>
      </c>
      <c r="C1846" s="6" t="n">
        <v>-15.601</v>
      </c>
      <c r="D1846" s="6" t="n">
        <v>-56.0974</v>
      </c>
      <c r="E1846" s="6" t="inlineStr">
        <is>
          <t>2021-09</t>
        </is>
      </c>
      <c r="F1846" s="6" t="n">
        <v>168491.2245242069</v>
      </c>
      <c r="G1846" s="6" t="inlineStr">
        <is>
          <t>DOMESTICA</t>
        </is>
      </c>
      <c r="H1846" s="6" t="inlineStr">
        <is>
          <t>FIXO</t>
        </is>
      </c>
      <c r="I1846" s="11">
        <f>IF($H1846="AUTO_OFERTA_TOTAL_PRODUTO_PERIODO",SUMIFS(Oferta!$F:$F,Oferta!$A:$A,$A1846,Oferta!$E:$E,$E1846),$F1846)</f>
        <v/>
      </c>
      <c r="J1846" s="6" t="inlineStr">
        <is>
          <t>Informado</t>
        </is>
      </c>
      <c r="K1846" s="6" t="inlineStr">
        <is>
          <t>Demanda doméstica fixa informada pelo usuário.</t>
        </is>
      </c>
    </row>
    <row r="1847">
      <c r="A1847" s="6" t="inlineStr">
        <is>
          <t>Soja</t>
        </is>
      </c>
      <c r="B1847" s="6" t="inlineStr">
        <is>
          <t>Cuiabá - MT</t>
        </is>
      </c>
      <c r="C1847" s="6" t="n">
        <v>-15.601</v>
      </c>
      <c r="D1847" s="6" t="n">
        <v>-56.0974</v>
      </c>
      <c r="E1847" s="6" t="inlineStr">
        <is>
          <t>2021-10</t>
        </is>
      </c>
      <c r="F1847" s="6" t="n">
        <v>168491.2245242069</v>
      </c>
      <c r="G1847" s="6" t="inlineStr">
        <is>
          <t>DOMESTICA</t>
        </is>
      </c>
      <c r="H1847" s="6" t="inlineStr">
        <is>
          <t>FIXO</t>
        </is>
      </c>
      <c r="I1847" s="11">
        <f>IF($H1847="AUTO_OFERTA_TOTAL_PRODUTO_PERIODO",SUMIFS(Oferta!$F:$F,Oferta!$A:$A,$A1847,Oferta!$E:$E,$E1847),$F1847)</f>
        <v/>
      </c>
      <c r="J1847" s="6" t="inlineStr">
        <is>
          <t>Informado</t>
        </is>
      </c>
      <c r="K1847" s="6" t="inlineStr">
        <is>
          <t>Demanda doméstica fixa informada pelo usuário.</t>
        </is>
      </c>
    </row>
    <row r="1848">
      <c r="A1848" s="6" t="inlineStr">
        <is>
          <t>Soja</t>
        </is>
      </c>
      <c r="B1848" s="6" t="inlineStr">
        <is>
          <t>Cuiabá - MT</t>
        </is>
      </c>
      <c r="C1848" s="6" t="n">
        <v>-15.601</v>
      </c>
      <c r="D1848" s="6" t="n">
        <v>-56.0974</v>
      </c>
      <c r="E1848" s="6" t="inlineStr">
        <is>
          <t>2021-11</t>
        </is>
      </c>
      <c r="F1848" s="6" t="n">
        <v>168491.2245242069</v>
      </c>
      <c r="G1848" s="6" t="inlineStr">
        <is>
          <t>DOMESTICA</t>
        </is>
      </c>
      <c r="H1848" s="6" t="inlineStr">
        <is>
          <t>FIXO</t>
        </is>
      </c>
      <c r="I1848" s="11">
        <f>IF($H1848="AUTO_OFERTA_TOTAL_PRODUTO_PERIODO",SUMIFS(Oferta!$F:$F,Oferta!$A:$A,$A1848,Oferta!$E:$E,$E1848),$F1848)</f>
        <v/>
      </c>
      <c r="J1848" s="6" t="inlineStr">
        <is>
          <t>Informado</t>
        </is>
      </c>
      <c r="K1848" s="6" t="inlineStr">
        <is>
          <t>Demanda doméstica fixa informada pelo usuário.</t>
        </is>
      </c>
    </row>
    <row r="1849">
      <c r="A1849" s="6" t="inlineStr">
        <is>
          <t>Soja</t>
        </is>
      </c>
      <c r="B1849" s="6" t="inlineStr">
        <is>
          <t>Cuiabá - MT</t>
        </is>
      </c>
      <c r="C1849" s="6" t="n">
        <v>-15.601</v>
      </c>
      <c r="D1849" s="6" t="n">
        <v>-56.0974</v>
      </c>
      <c r="E1849" s="6" t="inlineStr">
        <is>
          <t>2021-12</t>
        </is>
      </c>
      <c r="F1849" s="6" t="n">
        <v>168491.2245242069</v>
      </c>
      <c r="G1849" s="6" t="inlineStr">
        <is>
          <t>DOMESTICA</t>
        </is>
      </c>
      <c r="H1849" s="6" t="inlineStr">
        <is>
          <t>FIXO</t>
        </is>
      </c>
      <c r="I1849" s="11">
        <f>IF($H1849="AUTO_OFERTA_TOTAL_PRODUTO_PERIODO",SUMIFS(Oferta!$F:$F,Oferta!$A:$A,$A1849,Oferta!$E:$E,$E1849),$F1849)</f>
        <v/>
      </c>
      <c r="J1849" s="6" t="inlineStr">
        <is>
          <t>Informado</t>
        </is>
      </c>
      <c r="K1849" s="6" t="inlineStr">
        <is>
          <t>Demanda doméstica fixa informada pelo usuário.</t>
        </is>
      </c>
    </row>
    <row r="1850">
      <c r="A1850" s="6" t="inlineStr">
        <is>
          <t>Soja</t>
        </is>
      </c>
      <c r="B1850" s="6" t="inlineStr">
        <is>
          <t>Campo Grande - MS</t>
        </is>
      </c>
      <c r="C1850" s="6" t="n">
        <v>-20.4486</v>
      </c>
      <c r="D1850" s="6" t="n">
        <v>-54.6295</v>
      </c>
      <c r="E1850" s="6" t="inlineStr">
        <is>
          <t>2021-01</t>
        </is>
      </c>
      <c r="F1850" s="6" t="n">
        <v>55359.7857967719</v>
      </c>
      <c r="G1850" s="6" t="inlineStr">
        <is>
          <t>DOMESTICA</t>
        </is>
      </c>
      <c r="H1850" s="6" t="inlineStr">
        <is>
          <t>FIXO</t>
        </is>
      </c>
      <c r="I1850" s="11">
        <f>IF($H1850="AUTO_OFERTA_TOTAL_PRODUTO_PERIODO",SUMIFS(Oferta!$F:$F,Oferta!$A:$A,$A1850,Oferta!$E:$E,$E1850),$F1850)</f>
        <v/>
      </c>
      <c r="J1850" s="6" t="inlineStr">
        <is>
          <t>Informado</t>
        </is>
      </c>
      <c r="K1850" s="6" t="inlineStr">
        <is>
          <t>Demanda doméstica fixa informada pelo usuário.</t>
        </is>
      </c>
    </row>
    <row r="1851">
      <c r="A1851" s="6" t="inlineStr">
        <is>
          <t>Soja</t>
        </is>
      </c>
      <c r="B1851" s="6" t="inlineStr">
        <is>
          <t>Campo Grande - MS</t>
        </is>
      </c>
      <c r="C1851" s="6" t="n">
        <v>-20.4486</v>
      </c>
      <c r="D1851" s="6" t="n">
        <v>-54.6295</v>
      </c>
      <c r="E1851" s="6" t="inlineStr">
        <is>
          <t>2021-02</t>
        </is>
      </c>
      <c r="F1851" s="6" t="n">
        <v>55359.7857967719</v>
      </c>
      <c r="G1851" s="6" t="inlineStr">
        <is>
          <t>DOMESTICA</t>
        </is>
      </c>
      <c r="H1851" s="6" t="inlineStr">
        <is>
          <t>FIXO</t>
        </is>
      </c>
      <c r="I1851" s="11">
        <f>IF($H1851="AUTO_OFERTA_TOTAL_PRODUTO_PERIODO",SUMIFS(Oferta!$F:$F,Oferta!$A:$A,$A1851,Oferta!$E:$E,$E1851),$F1851)</f>
        <v/>
      </c>
      <c r="J1851" s="6" t="inlineStr">
        <is>
          <t>Informado</t>
        </is>
      </c>
      <c r="K1851" s="6" t="inlineStr">
        <is>
          <t>Demanda doméstica fixa informada pelo usuário.</t>
        </is>
      </c>
    </row>
    <row r="1852">
      <c r="A1852" s="6" t="inlineStr">
        <is>
          <t>Soja</t>
        </is>
      </c>
      <c r="B1852" s="6" t="inlineStr">
        <is>
          <t>Campo Grande - MS</t>
        </is>
      </c>
      <c r="C1852" s="6" t="n">
        <v>-20.4486</v>
      </c>
      <c r="D1852" s="6" t="n">
        <v>-54.6295</v>
      </c>
      <c r="E1852" s="6" t="inlineStr">
        <is>
          <t>2021-03</t>
        </is>
      </c>
      <c r="F1852" s="6" t="n">
        <v>88784.5621268984</v>
      </c>
      <c r="G1852" s="6" t="inlineStr">
        <is>
          <t>DOMESTICA</t>
        </is>
      </c>
      <c r="H1852" s="6" t="inlineStr">
        <is>
          <t>FIXO</t>
        </is>
      </c>
      <c r="I1852" s="11">
        <f>IF($H1852="AUTO_OFERTA_TOTAL_PRODUTO_PERIODO",SUMIFS(Oferta!$F:$F,Oferta!$A:$A,$A1852,Oferta!$E:$E,$E1852),$F1852)</f>
        <v/>
      </c>
      <c r="J1852" s="6" t="inlineStr">
        <is>
          <t>Informado</t>
        </is>
      </c>
      <c r="K1852" s="6" t="inlineStr">
        <is>
          <t>Demanda doméstica fixa informada pelo usuário.</t>
        </is>
      </c>
    </row>
    <row r="1853">
      <c r="A1853" s="6" t="inlineStr">
        <is>
          <t>Soja</t>
        </is>
      </c>
      <c r="B1853" s="6" t="inlineStr">
        <is>
          <t>Campo Grande - MS</t>
        </is>
      </c>
      <c r="C1853" s="6" t="n">
        <v>-20.4486</v>
      </c>
      <c r="D1853" s="6" t="n">
        <v>-54.6295</v>
      </c>
      <c r="E1853" s="6" t="inlineStr">
        <is>
          <t>2021-04</t>
        </is>
      </c>
      <c r="F1853" s="6" t="n">
        <v>189058.8911172778</v>
      </c>
      <c r="G1853" s="6" t="inlineStr">
        <is>
          <t>DOMESTICA</t>
        </is>
      </c>
      <c r="H1853" s="6" t="inlineStr">
        <is>
          <t>FIXO</t>
        </is>
      </c>
      <c r="I1853" s="11">
        <f>IF($H1853="AUTO_OFERTA_TOTAL_PRODUTO_PERIODO",SUMIFS(Oferta!$F:$F,Oferta!$A:$A,$A1853,Oferta!$E:$E,$E1853),$F1853)</f>
        <v/>
      </c>
      <c r="J1853" s="6" t="inlineStr">
        <is>
          <t>Informado</t>
        </is>
      </c>
      <c r="K1853" s="6" t="inlineStr">
        <is>
          <t>Demanda doméstica fixa informada pelo usuário.</t>
        </is>
      </c>
    </row>
    <row r="1854">
      <c r="A1854" s="6" t="inlineStr">
        <is>
          <t>Soja</t>
        </is>
      </c>
      <c r="B1854" s="6" t="inlineStr">
        <is>
          <t>Campo Grande - MS</t>
        </is>
      </c>
      <c r="C1854" s="6" t="n">
        <v>-20.4486</v>
      </c>
      <c r="D1854" s="6" t="n">
        <v>-54.6295</v>
      </c>
      <c r="E1854" s="6" t="inlineStr">
        <is>
          <t>2021-05</t>
        </is>
      </c>
      <c r="F1854" s="6" t="n">
        <v>222483.6674474042</v>
      </c>
      <c r="G1854" s="6" t="inlineStr">
        <is>
          <t>DOMESTICA</t>
        </is>
      </c>
      <c r="H1854" s="6" t="inlineStr">
        <is>
          <t>FIXO</t>
        </is>
      </c>
      <c r="I1854" s="11">
        <f>IF($H1854="AUTO_OFERTA_TOTAL_PRODUTO_PERIODO",SUMIFS(Oferta!$F:$F,Oferta!$A:$A,$A1854,Oferta!$E:$E,$E1854),$F1854)</f>
        <v/>
      </c>
      <c r="J1854" s="6" t="inlineStr">
        <is>
          <t>Informado</t>
        </is>
      </c>
      <c r="K1854" s="6" t="inlineStr">
        <is>
          <t>Demanda doméstica fixa informada pelo usuário.</t>
        </is>
      </c>
    </row>
    <row r="1855">
      <c r="A1855" s="6" t="inlineStr">
        <is>
          <t>Soja</t>
        </is>
      </c>
      <c r="B1855" s="6" t="inlineStr">
        <is>
          <t>Campo Grande - MS</t>
        </is>
      </c>
      <c r="C1855" s="6" t="n">
        <v>-20.4486</v>
      </c>
      <c r="D1855" s="6" t="n">
        <v>-54.6295</v>
      </c>
      <c r="E1855" s="6" t="inlineStr">
        <is>
          <t>2021-06</t>
        </is>
      </c>
      <c r="F1855" s="6" t="n">
        <v>189058.8911172778</v>
      </c>
      <c r="G1855" s="6" t="inlineStr">
        <is>
          <t>DOMESTICA</t>
        </is>
      </c>
      <c r="H1855" s="6" t="inlineStr">
        <is>
          <t>FIXO</t>
        </is>
      </c>
      <c r="I1855" s="11">
        <f>IF($H1855="AUTO_OFERTA_TOTAL_PRODUTO_PERIODO",SUMIFS(Oferta!$F:$F,Oferta!$A:$A,$A1855,Oferta!$E:$E,$E1855),$F1855)</f>
        <v/>
      </c>
      <c r="J1855" s="6" t="inlineStr">
        <is>
          <t>Informado</t>
        </is>
      </c>
      <c r="K1855" s="6" t="inlineStr">
        <is>
          <t>Demanda doméstica fixa informada pelo usuário.</t>
        </is>
      </c>
    </row>
    <row r="1856">
      <c r="A1856" s="6" t="inlineStr">
        <is>
          <t>Soja</t>
        </is>
      </c>
      <c r="B1856" s="6" t="inlineStr">
        <is>
          <t>Campo Grande - MS</t>
        </is>
      </c>
      <c r="C1856" s="6" t="n">
        <v>-20.4486</v>
      </c>
      <c r="D1856" s="6" t="n">
        <v>-54.6295</v>
      </c>
      <c r="E1856" s="6" t="inlineStr">
        <is>
          <t>2021-07</t>
        </is>
      </c>
      <c r="F1856" s="6" t="n">
        <v>88784.5621268984</v>
      </c>
      <c r="G1856" s="6" t="inlineStr">
        <is>
          <t>DOMESTICA</t>
        </is>
      </c>
      <c r="H1856" s="6" t="inlineStr">
        <is>
          <t>FIXO</t>
        </is>
      </c>
      <c r="I1856" s="11">
        <f>IF($H1856="AUTO_OFERTA_TOTAL_PRODUTO_PERIODO",SUMIFS(Oferta!$F:$F,Oferta!$A:$A,$A1856,Oferta!$E:$E,$E1856),$F1856)</f>
        <v/>
      </c>
      <c r="J1856" s="6" t="inlineStr">
        <is>
          <t>Informado</t>
        </is>
      </c>
      <c r="K1856" s="6" t="inlineStr">
        <is>
          <t>Demanda doméstica fixa informada pelo usuário.</t>
        </is>
      </c>
    </row>
    <row r="1857">
      <c r="A1857" s="6" t="inlineStr">
        <is>
          <t>Soja</t>
        </is>
      </c>
      <c r="B1857" s="6" t="inlineStr">
        <is>
          <t>Campo Grande - MS</t>
        </is>
      </c>
      <c r="C1857" s="6" t="n">
        <v>-20.4486</v>
      </c>
      <c r="D1857" s="6" t="n">
        <v>-54.6295</v>
      </c>
      <c r="E1857" s="6" t="inlineStr">
        <is>
          <t>2021-08</t>
        </is>
      </c>
      <c r="F1857" s="6" t="n">
        <v>55359.7857967719</v>
      </c>
      <c r="G1857" s="6" t="inlineStr">
        <is>
          <t>DOMESTICA</t>
        </is>
      </c>
      <c r="H1857" s="6" t="inlineStr">
        <is>
          <t>FIXO</t>
        </is>
      </c>
      <c r="I1857" s="11">
        <f>IF($H1857="AUTO_OFERTA_TOTAL_PRODUTO_PERIODO",SUMIFS(Oferta!$F:$F,Oferta!$A:$A,$A1857,Oferta!$E:$E,$E1857),$F1857)</f>
        <v/>
      </c>
      <c r="J1857" s="6" t="inlineStr">
        <is>
          <t>Informado</t>
        </is>
      </c>
      <c r="K1857" s="6" t="inlineStr">
        <is>
          <t>Demanda doméstica fixa informada pelo usuário.</t>
        </is>
      </c>
    </row>
    <row r="1858">
      <c r="A1858" s="6" t="inlineStr">
        <is>
          <t>Soja</t>
        </is>
      </c>
      <c r="B1858" s="6" t="inlineStr">
        <is>
          <t>Campo Grande - MS</t>
        </is>
      </c>
      <c r="C1858" s="6" t="n">
        <v>-20.4486</v>
      </c>
      <c r="D1858" s="6" t="n">
        <v>-54.6295</v>
      </c>
      <c r="E1858" s="6" t="inlineStr">
        <is>
          <t>2021-09</t>
        </is>
      </c>
      <c r="F1858" s="6" t="n">
        <v>55359.7857967719</v>
      </c>
      <c r="G1858" s="6" t="inlineStr">
        <is>
          <t>DOMESTICA</t>
        </is>
      </c>
      <c r="H1858" s="6" t="inlineStr">
        <is>
          <t>FIXO</t>
        </is>
      </c>
      <c r="I1858" s="11">
        <f>IF($H1858="AUTO_OFERTA_TOTAL_PRODUTO_PERIODO",SUMIFS(Oferta!$F:$F,Oferta!$A:$A,$A1858,Oferta!$E:$E,$E1858),$F1858)</f>
        <v/>
      </c>
      <c r="J1858" s="6" t="inlineStr">
        <is>
          <t>Informado</t>
        </is>
      </c>
      <c r="K1858" s="6" t="inlineStr">
        <is>
          <t>Demanda doméstica fixa informada pelo usuário.</t>
        </is>
      </c>
    </row>
    <row r="1859">
      <c r="A1859" s="6" t="inlineStr">
        <is>
          <t>Soja</t>
        </is>
      </c>
      <c r="B1859" s="6" t="inlineStr">
        <is>
          <t>Campo Grande - MS</t>
        </is>
      </c>
      <c r="C1859" s="6" t="n">
        <v>-20.4486</v>
      </c>
      <c r="D1859" s="6" t="n">
        <v>-54.6295</v>
      </c>
      <c r="E1859" s="6" t="inlineStr">
        <is>
          <t>2021-10</t>
        </is>
      </c>
      <c r="F1859" s="6" t="n">
        <v>55359.7857967719</v>
      </c>
      <c r="G1859" s="6" t="inlineStr">
        <is>
          <t>DOMESTICA</t>
        </is>
      </c>
      <c r="H1859" s="6" t="inlineStr">
        <is>
          <t>FIXO</t>
        </is>
      </c>
      <c r="I1859" s="11">
        <f>IF($H1859="AUTO_OFERTA_TOTAL_PRODUTO_PERIODO",SUMIFS(Oferta!$F:$F,Oferta!$A:$A,$A1859,Oferta!$E:$E,$E1859),$F1859)</f>
        <v/>
      </c>
      <c r="J1859" s="6" t="inlineStr">
        <is>
          <t>Informado</t>
        </is>
      </c>
      <c r="K1859" s="6" t="inlineStr">
        <is>
          <t>Demanda doméstica fixa informada pelo usuário.</t>
        </is>
      </c>
    </row>
    <row r="1860">
      <c r="A1860" s="6" t="inlineStr">
        <is>
          <t>Soja</t>
        </is>
      </c>
      <c r="B1860" s="6" t="inlineStr">
        <is>
          <t>Campo Grande - MS</t>
        </is>
      </c>
      <c r="C1860" s="6" t="n">
        <v>-20.4486</v>
      </c>
      <c r="D1860" s="6" t="n">
        <v>-54.6295</v>
      </c>
      <c r="E1860" s="6" t="inlineStr">
        <is>
          <t>2021-11</t>
        </is>
      </c>
      <c r="F1860" s="6" t="n">
        <v>55359.7857967719</v>
      </c>
      <c r="G1860" s="6" t="inlineStr">
        <is>
          <t>DOMESTICA</t>
        </is>
      </c>
      <c r="H1860" s="6" t="inlineStr">
        <is>
          <t>FIXO</t>
        </is>
      </c>
      <c r="I1860" s="11">
        <f>IF($H1860="AUTO_OFERTA_TOTAL_PRODUTO_PERIODO",SUMIFS(Oferta!$F:$F,Oferta!$A:$A,$A1860,Oferta!$E:$E,$E1860),$F1860)</f>
        <v/>
      </c>
      <c r="J1860" s="6" t="inlineStr">
        <is>
          <t>Informado</t>
        </is>
      </c>
      <c r="K1860" s="6" t="inlineStr">
        <is>
          <t>Demanda doméstica fixa informada pelo usuário.</t>
        </is>
      </c>
    </row>
    <row r="1861">
      <c r="A1861" s="6" t="inlineStr">
        <is>
          <t>Soja</t>
        </is>
      </c>
      <c r="B1861" s="6" t="inlineStr">
        <is>
          <t>Campo Grande - MS</t>
        </is>
      </c>
      <c r="C1861" s="6" t="n">
        <v>-20.4486</v>
      </c>
      <c r="D1861" s="6" t="n">
        <v>-54.6295</v>
      </c>
      <c r="E1861" s="6" t="inlineStr">
        <is>
          <t>2021-12</t>
        </is>
      </c>
      <c r="F1861" s="6" t="n">
        <v>55359.7857967719</v>
      </c>
      <c r="G1861" s="6" t="inlineStr">
        <is>
          <t>DOMESTICA</t>
        </is>
      </c>
      <c r="H1861" s="6" t="inlineStr">
        <is>
          <t>FIXO</t>
        </is>
      </c>
      <c r="I1861" s="11">
        <f>IF($H1861="AUTO_OFERTA_TOTAL_PRODUTO_PERIODO",SUMIFS(Oferta!$F:$F,Oferta!$A:$A,$A1861,Oferta!$E:$E,$E1861),$F1861)</f>
        <v/>
      </c>
      <c r="J1861" s="6" t="inlineStr">
        <is>
          <t>Informado</t>
        </is>
      </c>
      <c r="K1861" s="6" t="inlineStr">
        <is>
          <t>Demanda doméstica fixa informada pelo usuário.</t>
        </is>
      </c>
    </row>
    <row r="1862">
      <c r="A1862" s="6" t="inlineStr">
        <is>
          <t>Soja</t>
        </is>
      </c>
      <c r="B1862" s="6" t="inlineStr">
        <is>
          <t>Vitória - ES</t>
        </is>
      </c>
      <c r="C1862" s="6" t="n">
        <v>-20.3155</v>
      </c>
      <c r="D1862" s="6" t="n">
        <v>-40.3128</v>
      </c>
      <c r="E1862" s="6" t="inlineStr">
        <is>
          <t>2021-01</t>
        </is>
      </c>
      <c r="F1862" s="6" t="n">
        <v>75906.9598922031</v>
      </c>
      <c r="G1862" s="6" t="inlineStr">
        <is>
          <t>DOMESTICA</t>
        </is>
      </c>
      <c r="H1862" s="6" t="inlineStr">
        <is>
          <t>FIXO</t>
        </is>
      </c>
      <c r="I1862" s="11">
        <f>IF($H1862="AUTO_OFERTA_TOTAL_PRODUTO_PERIODO",SUMIFS(Oferta!$F:$F,Oferta!$A:$A,$A1862,Oferta!$E:$E,$E1862),$F1862)</f>
        <v/>
      </c>
      <c r="J1862" s="6" t="inlineStr">
        <is>
          <t>Informado</t>
        </is>
      </c>
      <c r="K1862" s="6" t="inlineStr">
        <is>
          <t>Demanda doméstica fixa informada pelo usuário.</t>
        </is>
      </c>
    </row>
    <row r="1863">
      <c r="A1863" s="6" t="inlineStr">
        <is>
          <t>Soja</t>
        </is>
      </c>
      <c r="B1863" s="6" t="inlineStr">
        <is>
          <t>Vitória - ES</t>
        </is>
      </c>
      <c r="C1863" s="6" t="n">
        <v>-20.3155</v>
      </c>
      <c r="D1863" s="6" t="n">
        <v>-40.3128</v>
      </c>
      <c r="E1863" s="6" t="inlineStr">
        <is>
          <t>2021-02</t>
        </is>
      </c>
      <c r="F1863" s="6" t="n">
        <v>75906.9598922031</v>
      </c>
      <c r="G1863" s="6" t="inlineStr">
        <is>
          <t>DOMESTICA</t>
        </is>
      </c>
      <c r="H1863" s="6" t="inlineStr">
        <is>
          <t>FIXO</t>
        </is>
      </c>
      <c r="I1863" s="11">
        <f>IF($H1863="AUTO_OFERTA_TOTAL_PRODUTO_PERIODO",SUMIFS(Oferta!$F:$F,Oferta!$A:$A,$A1863,Oferta!$E:$E,$E1863),$F1863)</f>
        <v/>
      </c>
      <c r="J1863" s="6" t="inlineStr">
        <is>
          <t>Informado</t>
        </is>
      </c>
      <c r="K1863" s="6" t="inlineStr">
        <is>
          <t>Demanda doméstica fixa informada pelo usuário.</t>
        </is>
      </c>
    </row>
    <row r="1864">
      <c r="A1864" s="6" t="inlineStr">
        <is>
          <t>Soja</t>
        </is>
      </c>
      <c r="B1864" s="6" t="inlineStr">
        <is>
          <t>Vitória - ES</t>
        </is>
      </c>
      <c r="C1864" s="6" t="n">
        <v>-20.3155</v>
      </c>
      <c r="D1864" s="6" t="n">
        <v>-40.3128</v>
      </c>
      <c r="E1864" s="6" t="inlineStr">
        <is>
          <t>2021-03</t>
        </is>
      </c>
      <c r="F1864" s="6" t="n">
        <v>75906.9598922031</v>
      </c>
      <c r="G1864" s="6" t="inlineStr">
        <is>
          <t>DOMESTICA</t>
        </is>
      </c>
      <c r="H1864" s="6" t="inlineStr">
        <is>
          <t>FIXO</t>
        </is>
      </c>
      <c r="I1864" s="11">
        <f>IF($H1864="AUTO_OFERTA_TOTAL_PRODUTO_PERIODO",SUMIFS(Oferta!$F:$F,Oferta!$A:$A,$A1864,Oferta!$E:$E,$E1864),$F1864)</f>
        <v/>
      </c>
      <c r="J1864" s="6" t="inlineStr">
        <is>
          <t>Informado</t>
        </is>
      </c>
      <c r="K1864" s="6" t="inlineStr">
        <is>
          <t>Demanda doméstica fixa informada pelo usuário.</t>
        </is>
      </c>
    </row>
    <row r="1865">
      <c r="A1865" s="6" t="inlineStr">
        <is>
          <t>Soja</t>
        </is>
      </c>
      <c r="B1865" s="6" t="inlineStr">
        <is>
          <t>Vitória - ES</t>
        </is>
      </c>
      <c r="C1865" s="6" t="n">
        <v>-20.3155</v>
      </c>
      <c r="D1865" s="6" t="n">
        <v>-40.3128</v>
      </c>
      <c r="E1865" s="6" t="inlineStr">
        <is>
          <t>2021-04</t>
        </is>
      </c>
      <c r="F1865" s="6" t="n">
        <v>75906.9598922031</v>
      </c>
      <c r="G1865" s="6" t="inlineStr">
        <is>
          <t>DOMESTICA</t>
        </is>
      </c>
      <c r="H1865" s="6" t="inlineStr">
        <is>
          <t>FIXO</t>
        </is>
      </c>
      <c r="I1865" s="11">
        <f>IF($H1865="AUTO_OFERTA_TOTAL_PRODUTO_PERIODO",SUMIFS(Oferta!$F:$F,Oferta!$A:$A,$A1865,Oferta!$E:$E,$E1865),$F1865)</f>
        <v/>
      </c>
      <c r="J1865" s="6" t="inlineStr">
        <is>
          <t>Informado</t>
        </is>
      </c>
      <c r="K1865" s="6" t="inlineStr">
        <is>
          <t>Demanda doméstica fixa informada pelo usuário.</t>
        </is>
      </c>
    </row>
    <row r="1866">
      <c r="A1866" s="6" t="inlineStr">
        <is>
          <t>Soja</t>
        </is>
      </c>
      <c r="B1866" s="6" t="inlineStr">
        <is>
          <t>Vitória - ES</t>
        </is>
      </c>
      <c r="C1866" s="6" t="n">
        <v>-20.3155</v>
      </c>
      <c r="D1866" s="6" t="n">
        <v>-40.3128</v>
      </c>
      <c r="E1866" s="6" t="inlineStr">
        <is>
          <t>2021-05</t>
        </is>
      </c>
      <c r="F1866" s="6" t="n">
        <v>75906.9598922031</v>
      </c>
      <c r="G1866" s="6" t="inlineStr">
        <is>
          <t>DOMESTICA</t>
        </is>
      </c>
      <c r="H1866" s="6" t="inlineStr">
        <is>
          <t>FIXO</t>
        </is>
      </c>
      <c r="I1866" s="11">
        <f>IF($H1866="AUTO_OFERTA_TOTAL_PRODUTO_PERIODO",SUMIFS(Oferta!$F:$F,Oferta!$A:$A,$A1866,Oferta!$E:$E,$E1866),$F1866)</f>
        <v/>
      </c>
      <c r="J1866" s="6" t="inlineStr">
        <is>
          <t>Informado</t>
        </is>
      </c>
      <c r="K1866" s="6" t="inlineStr">
        <is>
          <t>Demanda doméstica fixa informada pelo usuário.</t>
        </is>
      </c>
    </row>
    <row r="1867">
      <c r="A1867" s="6" t="inlineStr">
        <is>
          <t>Soja</t>
        </is>
      </c>
      <c r="B1867" s="6" t="inlineStr">
        <is>
          <t>Vitória - ES</t>
        </is>
      </c>
      <c r="C1867" s="6" t="n">
        <v>-20.3155</v>
      </c>
      <c r="D1867" s="6" t="n">
        <v>-40.3128</v>
      </c>
      <c r="E1867" s="6" t="inlineStr">
        <is>
          <t>2021-06</t>
        </is>
      </c>
      <c r="F1867" s="6" t="n">
        <v>75906.9598922031</v>
      </c>
      <c r="G1867" s="6" t="inlineStr">
        <is>
          <t>DOMESTICA</t>
        </is>
      </c>
      <c r="H1867" s="6" t="inlineStr">
        <is>
          <t>FIXO</t>
        </is>
      </c>
      <c r="I1867" s="11">
        <f>IF($H1867="AUTO_OFERTA_TOTAL_PRODUTO_PERIODO",SUMIFS(Oferta!$F:$F,Oferta!$A:$A,$A1867,Oferta!$E:$E,$E1867),$F1867)</f>
        <v/>
      </c>
      <c r="J1867" s="6" t="inlineStr">
        <is>
          <t>Informado</t>
        </is>
      </c>
      <c r="K1867" s="6" t="inlineStr">
        <is>
          <t>Demanda doméstica fixa informada pelo usuário.</t>
        </is>
      </c>
    </row>
    <row r="1868">
      <c r="A1868" s="6" t="inlineStr">
        <is>
          <t>Soja</t>
        </is>
      </c>
      <c r="B1868" s="6" t="inlineStr">
        <is>
          <t>Vitória - ES</t>
        </is>
      </c>
      <c r="C1868" s="6" t="n">
        <v>-20.3155</v>
      </c>
      <c r="D1868" s="6" t="n">
        <v>-40.3128</v>
      </c>
      <c r="E1868" s="6" t="inlineStr">
        <is>
          <t>2021-07</t>
        </is>
      </c>
      <c r="F1868" s="6" t="n">
        <v>75906.9598922031</v>
      </c>
      <c r="G1868" s="6" t="inlineStr">
        <is>
          <t>DOMESTICA</t>
        </is>
      </c>
      <c r="H1868" s="6" t="inlineStr">
        <is>
          <t>FIXO</t>
        </is>
      </c>
      <c r="I1868" s="11">
        <f>IF($H1868="AUTO_OFERTA_TOTAL_PRODUTO_PERIODO",SUMIFS(Oferta!$F:$F,Oferta!$A:$A,$A1868,Oferta!$E:$E,$E1868),$F1868)</f>
        <v/>
      </c>
      <c r="J1868" s="6" t="inlineStr">
        <is>
          <t>Informado</t>
        </is>
      </c>
      <c r="K1868" s="6" t="inlineStr">
        <is>
          <t>Demanda doméstica fixa informada pelo usuário.</t>
        </is>
      </c>
    </row>
    <row r="1869">
      <c r="A1869" s="6" t="inlineStr">
        <is>
          <t>Soja</t>
        </is>
      </c>
      <c r="B1869" s="6" t="inlineStr">
        <is>
          <t>Vitória - ES</t>
        </is>
      </c>
      <c r="C1869" s="6" t="n">
        <v>-20.3155</v>
      </c>
      <c r="D1869" s="6" t="n">
        <v>-40.3128</v>
      </c>
      <c r="E1869" s="6" t="inlineStr">
        <is>
          <t>2021-08</t>
        </is>
      </c>
      <c r="F1869" s="6" t="n">
        <v>75906.9598922031</v>
      </c>
      <c r="G1869" s="6" t="inlineStr">
        <is>
          <t>DOMESTICA</t>
        </is>
      </c>
      <c r="H1869" s="6" t="inlineStr">
        <is>
          <t>FIXO</t>
        </is>
      </c>
      <c r="I1869" s="11">
        <f>IF($H1869="AUTO_OFERTA_TOTAL_PRODUTO_PERIODO",SUMIFS(Oferta!$F:$F,Oferta!$A:$A,$A1869,Oferta!$E:$E,$E1869),$F1869)</f>
        <v/>
      </c>
      <c r="J1869" s="6" t="inlineStr">
        <is>
          <t>Informado</t>
        </is>
      </c>
      <c r="K1869" s="6" t="inlineStr">
        <is>
          <t>Demanda doméstica fixa informada pelo usuário.</t>
        </is>
      </c>
    </row>
    <row r="1870">
      <c r="A1870" s="6" t="inlineStr">
        <is>
          <t>Soja</t>
        </is>
      </c>
      <c r="B1870" s="6" t="inlineStr">
        <is>
          <t>Vitória - ES</t>
        </is>
      </c>
      <c r="C1870" s="6" t="n">
        <v>-20.3155</v>
      </c>
      <c r="D1870" s="6" t="n">
        <v>-40.3128</v>
      </c>
      <c r="E1870" s="6" t="inlineStr">
        <is>
          <t>2021-09</t>
        </is>
      </c>
      <c r="F1870" s="6" t="n">
        <v>75906.9598922031</v>
      </c>
      <c r="G1870" s="6" t="inlineStr">
        <is>
          <t>DOMESTICA</t>
        </is>
      </c>
      <c r="H1870" s="6" t="inlineStr">
        <is>
          <t>FIXO</t>
        </is>
      </c>
      <c r="I1870" s="11">
        <f>IF($H1870="AUTO_OFERTA_TOTAL_PRODUTO_PERIODO",SUMIFS(Oferta!$F:$F,Oferta!$A:$A,$A1870,Oferta!$E:$E,$E1870),$F1870)</f>
        <v/>
      </c>
      <c r="J1870" s="6" t="inlineStr">
        <is>
          <t>Informado</t>
        </is>
      </c>
      <c r="K1870" s="6" t="inlineStr">
        <is>
          <t>Demanda doméstica fixa informada pelo usuário.</t>
        </is>
      </c>
    </row>
    <row r="1871">
      <c r="A1871" s="6" t="inlineStr">
        <is>
          <t>Soja</t>
        </is>
      </c>
      <c r="B1871" s="6" t="inlineStr">
        <is>
          <t>Vitória - ES</t>
        </is>
      </c>
      <c r="C1871" s="6" t="n">
        <v>-20.3155</v>
      </c>
      <c r="D1871" s="6" t="n">
        <v>-40.3128</v>
      </c>
      <c r="E1871" s="6" t="inlineStr">
        <is>
          <t>2021-10</t>
        </is>
      </c>
      <c r="F1871" s="6" t="n">
        <v>75906.9598922031</v>
      </c>
      <c r="G1871" s="6" t="inlineStr">
        <is>
          <t>DOMESTICA</t>
        </is>
      </c>
      <c r="H1871" s="6" t="inlineStr">
        <is>
          <t>FIXO</t>
        </is>
      </c>
      <c r="I1871" s="11">
        <f>IF($H1871="AUTO_OFERTA_TOTAL_PRODUTO_PERIODO",SUMIFS(Oferta!$F:$F,Oferta!$A:$A,$A1871,Oferta!$E:$E,$E1871),$F1871)</f>
        <v/>
      </c>
      <c r="J1871" s="6" t="inlineStr">
        <is>
          <t>Informado</t>
        </is>
      </c>
      <c r="K1871" s="6" t="inlineStr">
        <is>
          <t>Demanda doméstica fixa informada pelo usuário.</t>
        </is>
      </c>
    </row>
    <row r="1872">
      <c r="A1872" s="6" t="inlineStr">
        <is>
          <t>Soja</t>
        </is>
      </c>
      <c r="B1872" s="6" t="inlineStr">
        <is>
          <t>Vitória - ES</t>
        </is>
      </c>
      <c r="C1872" s="6" t="n">
        <v>-20.3155</v>
      </c>
      <c r="D1872" s="6" t="n">
        <v>-40.3128</v>
      </c>
      <c r="E1872" s="6" t="inlineStr">
        <is>
          <t>2021-11</t>
        </is>
      </c>
      <c r="F1872" s="6" t="n">
        <v>75906.9598922031</v>
      </c>
      <c r="G1872" s="6" t="inlineStr">
        <is>
          <t>DOMESTICA</t>
        </is>
      </c>
      <c r="H1872" s="6" t="inlineStr">
        <is>
          <t>FIXO</t>
        </is>
      </c>
      <c r="I1872" s="11">
        <f>IF($H1872="AUTO_OFERTA_TOTAL_PRODUTO_PERIODO",SUMIFS(Oferta!$F:$F,Oferta!$A:$A,$A1872,Oferta!$E:$E,$E1872),$F1872)</f>
        <v/>
      </c>
      <c r="J1872" s="6" t="inlineStr">
        <is>
          <t>Informado</t>
        </is>
      </c>
      <c r="K1872" s="6" t="inlineStr">
        <is>
          <t>Demanda doméstica fixa informada pelo usuário.</t>
        </is>
      </c>
    </row>
    <row r="1873">
      <c r="A1873" s="6" t="inlineStr">
        <is>
          <t>Soja</t>
        </is>
      </c>
      <c r="B1873" s="6" t="inlineStr">
        <is>
          <t>Vitória - ES</t>
        </is>
      </c>
      <c r="C1873" s="6" t="n">
        <v>-20.3155</v>
      </c>
      <c r="D1873" s="6" t="n">
        <v>-40.3128</v>
      </c>
      <c r="E1873" s="6" t="inlineStr">
        <is>
          <t>2021-12</t>
        </is>
      </c>
      <c r="F1873" s="6" t="n">
        <v>75906.9598922031</v>
      </c>
      <c r="G1873" s="6" t="inlineStr">
        <is>
          <t>DOMESTICA</t>
        </is>
      </c>
      <c r="H1873" s="6" t="inlineStr">
        <is>
          <t>FIXO</t>
        </is>
      </c>
      <c r="I1873" s="11">
        <f>IF($H1873="AUTO_OFERTA_TOTAL_PRODUTO_PERIODO",SUMIFS(Oferta!$F:$F,Oferta!$A:$A,$A1873,Oferta!$E:$E,$E1873),$F1873)</f>
        <v/>
      </c>
      <c r="J1873" s="6" t="inlineStr">
        <is>
          <t>Informado</t>
        </is>
      </c>
      <c r="K1873" s="6" t="inlineStr">
        <is>
          <t>Demanda doméstica fixa informada pelo usuário.</t>
        </is>
      </c>
    </row>
    <row r="1874">
      <c r="A1874" s="6" t="inlineStr">
        <is>
          <t>Soja</t>
        </is>
      </c>
      <c r="B1874" s="6" t="inlineStr">
        <is>
          <t>Belo Horizonte - MG</t>
        </is>
      </c>
      <c r="C1874" s="6" t="n">
        <v>-19.9102</v>
      </c>
      <c r="D1874" s="6" t="n">
        <v>-43.9266</v>
      </c>
      <c r="E1874" s="6" t="inlineStr">
        <is>
          <t>2021-01</t>
        </is>
      </c>
      <c r="F1874" s="6" t="n">
        <v>276212.2421264199</v>
      </c>
      <c r="G1874" s="6" t="inlineStr">
        <is>
          <t>DOMESTICA</t>
        </is>
      </c>
      <c r="H1874" s="6" t="inlineStr">
        <is>
          <t>FIXO</t>
        </is>
      </c>
      <c r="I1874" s="11">
        <f>IF($H1874="AUTO_OFERTA_TOTAL_PRODUTO_PERIODO",SUMIFS(Oferta!$F:$F,Oferta!$A:$A,$A1874,Oferta!$E:$E,$E1874),$F1874)</f>
        <v/>
      </c>
      <c r="J1874" s="6" t="inlineStr">
        <is>
          <t>Informado</t>
        </is>
      </c>
      <c r="K1874" s="6" t="inlineStr">
        <is>
          <t>Demanda doméstica fixa informada pelo usuário.</t>
        </is>
      </c>
    </row>
    <row r="1875">
      <c r="A1875" s="6" t="inlineStr">
        <is>
          <t>Soja</t>
        </is>
      </c>
      <c r="B1875" s="6" t="inlineStr">
        <is>
          <t>Belo Horizonte - MG</t>
        </is>
      </c>
      <c r="C1875" s="6" t="n">
        <v>-19.9102</v>
      </c>
      <c r="D1875" s="6" t="n">
        <v>-43.9266</v>
      </c>
      <c r="E1875" s="6" t="inlineStr">
        <is>
          <t>2021-02</t>
        </is>
      </c>
      <c r="F1875" s="6" t="n">
        <v>276212.2421264199</v>
      </c>
      <c r="G1875" s="6" t="inlineStr">
        <is>
          <t>DOMESTICA</t>
        </is>
      </c>
      <c r="H1875" s="6" t="inlineStr">
        <is>
          <t>FIXO</t>
        </is>
      </c>
      <c r="I1875" s="11">
        <f>IF($H1875="AUTO_OFERTA_TOTAL_PRODUTO_PERIODO",SUMIFS(Oferta!$F:$F,Oferta!$A:$A,$A1875,Oferta!$E:$E,$E1875),$F1875)</f>
        <v/>
      </c>
      <c r="J1875" s="6" t="inlineStr">
        <is>
          <t>Informado</t>
        </is>
      </c>
      <c r="K1875" s="6" t="inlineStr">
        <is>
          <t>Demanda doméstica fixa informada pelo usuário.</t>
        </is>
      </c>
    </row>
    <row r="1876">
      <c r="A1876" s="6" t="inlineStr">
        <is>
          <t>Soja</t>
        </is>
      </c>
      <c r="B1876" s="6" t="inlineStr">
        <is>
          <t>Belo Horizonte - MG</t>
        </is>
      </c>
      <c r="C1876" s="6" t="n">
        <v>-19.9102</v>
      </c>
      <c r="D1876" s="6" t="n">
        <v>-43.9266</v>
      </c>
      <c r="E1876" s="6" t="inlineStr">
        <is>
          <t>2021-03</t>
        </is>
      </c>
      <c r="F1876" s="6" t="n">
        <v>359597.0699381693</v>
      </c>
      <c r="G1876" s="6" t="inlineStr">
        <is>
          <t>DOMESTICA</t>
        </is>
      </c>
      <c r="H1876" s="6" t="inlineStr">
        <is>
          <t>FIXO</t>
        </is>
      </c>
      <c r="I1876" s="11">
        <f>IF($H1876="AUTO_OFERTA_TOTAL_PRODUTO_PERIODO",SUMIFS(Oferta!$F:$F,Oferta!$A:$A,$A1876,Oferta!$E:$E,$E1876),$F1876)</f>
        <v/>
      </c>
      <c r="J1876" s="6" t="inlineStr">
        <is>
          <t>Informado</t>
        </is>
      </c>
      <c r="K1876" s="6" t="inlineStr">
        <is>
          <t>Demanda doméstica fixa informada pelo usuário.</t>
        </is>
      </c>
    </row>
    <row r="1877">
      <c r="A1877" s="6" t="inlineStr">
        <is>
          <t>Soja</t>
        </is>
      </c>
      <c r="B1877" s="6" t="inlineStr">
        <is>
          <t>Belo Horizonte - MG</t>
        </is>
      </c>
      <c r="C1877" s="6" t="n">
        <v>-19.9102</v>
      </c>
      <c r="D1877" s="6" t="n">
        <v>-43.9266</v>
      </c>
      <c r="E1877" s="6" t="inlineStr">
        <is>
          <t>2021-04</t>
        </is>
      </c>
      <c r="F1877" s="6" t="n">
        <v>526366.725561668</v>
      </c>
      <c r="G1877" s="6" t="inlineStr">
        <is>
          <t>DOMESTICA</t>
        </is>
      </c>
      <c r="H1877" s="6" t="inlineStr">
        <is>
          <t>FIXO</t>
        </is>
      </c>
      <c r="I1877" s="11">
        <f>IF($H1877="AUTO_OFERTA_TOTAL_PRODUTO_PERIODO",SUMIFS(Oferta!$F:$F,Oferta!$A:$A,$A1877,Oferta!$E:$E,$E1877),$F1877)</f>
        <v/>
      </c>
      <c r="J1877" s="6" t="inlineStr">
        <is>
          <t>Informado</t>
        </is>
      </c>
      <c r="K1877" s="6" t="inlineStr">
        <is>
          <t>Demanda doméstica fixa informada pelo usuário.</t>
        </is>
      </c>
    </row>
    <row r="1878">
      <c r="A1878" s="6" t="inlineStr">
        <is>
          <t>Soja</t>
        </is>
      </c>
      <c r="B1878" s="6" t="inlineStr">
        <is>
          <t>Belo Horizonte - MG</t>
        </is>
      </c>
      <c r="C1878" s="6" t="n">
        <v>-19.9102</v>
      </c>
      <c r="D1878" s="6" t="n">
        <v>-43.9266</v>
      </c>
      <c r="E1878" s="6" t="inlineStr">
        <is>
          <t>2021-05</t>
        </is>
      </c>
      <c r="F1878" s="6" t="n">
        <v>1026675.692432164</v>
      </c>
      <c r="G1878" s="6" t="inlineStr">
        <is>
          <t>DOMESTICA</t>
        </is>
      </c>
      <c r="H1878" s="6" t="inlineStr">
        <is>
          <t>FIXO</t>
        </is>
      </c>
      <c r="I1878" s="11">
        <f>IF($H1878="AUTO_OFERTA_TOTAL_PRODUTO_PERIODO",SUMIFS(Oferta!$F:$F,Oferta!$A:$A,$A1878,Oferta!$E:$E,$E1878),$F1878)</f>
        <v/>
      </c>
      <c r="J1878" s="6" t="inlineStr">
        <is>
          <t>Informado</t>
        </is>
      </c>
      <c r="K1878" s="6" t="inlineStr">
        <is>
          <t>Demanda doméstica fixa informada pelo usuário.</t>
        </is>
      </c>
    </row>
    <row r="1879">
      <c r="A1879" s="6" t="inlineStr">
        <is>
          <t>Soja</t>
        </is>
      </c>
      <c r="B1879" s="6" t="inlineStr">
        <is>
          <t>Belo Horizonte - MG</t>
        </is>
      </c>
      <c r="C1879" s="6" t="n">
        <v>-19.9102</v>
      </c>
      <c r="D1879" s="6" t="n">
        <v>-43.9266</v>
      </c>
      <c r="E1879" s="6" t="inlineStr">
        <is>
          <t>2021-06</t>
        </is>
      </c>
      <c r="F1879" s="6" t="n">
        <v>1026675.692432164</v>
      </c>
      <c r="G1879" s="6" t="inlineStr">
        <is>
          <t>DOMESTICA</t>
        </is>
      </c>
      <c r="H1879" s="6" t="inlineStr">
        <is>
          <t>FIXO</t>
        </is>
      </c>
      <c r="I1879" s="11">
        <f>IF($H1879="AUTO_OFERTA_TOTAL_PRODUTO_PERIODO",SUMIFS(Oferta!$F:$F,Oferta!$A:$A,$A1879,Oferta!$E:$E,$E1879),$F1879)</f>
        <v/>
      </c>
      <c r="J1879" s="6" t="inlineStr">
        <is>
          <t>Informado</t>
        </is>
      </c>
      <c r="K1879" s="6" t="inlineStr">
        <is>
          <t>Demanda doméstica fixa informada pelo usuário.</t>
        </is>
      </c>
    </row>
    <row r="1880">
      <c r="A1880" s="6" t="inlineStr">
        <is>
          <t>Soja</t>
        </is>
      </c>
      <c r="B1880" s="6" t="inlineStr">
        <is>
          <t>Belo Horizonte - MG</t>
        </is>
      </c>
      <c r="C1880" s="6" t="n">
        <v>-19.9102</v>
      </c>
      <c r="D1880" s="6" t="n">
        <v>-43.9266</v>
      </c>
      <c r="E1880" s="6" t="inlineStr">
        <is>
          <t>2021-07</t>
        </is>
      </c>
      <c r="F1880" s="6" t="n">
        <v>859906.0368086656</v>
      </c>
      <c r="G1880" s="6" t="inlineStr">
        <is>
          <t>DOMESTICA</t>
        </is>
      </c>
      <c r="H1880" s="6" t="inlineStr">
        <is>
          <t>FIXO</t>
        </is>
      </c>
      <c r="I1880" s="11">
        <f>IF($H1880="AUTO_OFERTA_TOTAL_PRODUTO_PERIODO",SUMIFS(Oferta!$F:$F,Oferta!$A:$A,$A1880,Oferta!$E:$E,$E1880),$F1880)</f>
        <v/>
      </c>
      <c r="J1880" s="6" t="inlineStr">
        <is>
          <t>Informado</t>
        </is>
      </c>
      <c r="K1880" s="6" t="inlineStr">
        <is>
          <t>Demanda doméstica fixa informada pelo usuário.</t>
        </is>
      </c>
    </row>
    <row r="1881">
      <c r="A1881" s="6" t="inlineStr">
        <is>
          <t>Soja</t>
        </is>
      </c>
      <c r="B1881" s="6" t="inlineStr">
        <is>
          <t>Belo Horizonte - MG</t>
        </is>
      </c>
      <c r="C1881" s="6" t="n">
        <v>-19.9102</v>
      </c>
      <c r="D1881" s="6" t="n">
        <v>-43.9266</v>
      </c>
      <c r="E1881" s="6" t="inlineStr">
        <is>
          <t>2021-08</t>
        </is>
      </c>
      <c r="F1881" s="6" t="n">
        <v>359597.0699381693</v>
      </c>
      <c r="G1881" s="6" t="inlineStr">
        <is>
          <t>DOMESTICA</t>
        </is>
      </c>
      <c r="H1881" s="6" t="inlineStr">
        <is>
          <t>FIXO</t>
        </is>
      </c>
      <c r="I1881" s="11">
        <f>IF($H1881="AUTO_OFERTA_TOTAL_PRODUTO_PERIODO",SUMIFS(Oferta!$F:$F,Oferta!$A:$A,$A1881,Oferta!$E:$E,$E1881),$F1881)</f>
        <v/>
      </c>
      <c r="J1881" s="6" t="inlineStr">
        <is>
          <t>Informado</t>
        </is>
      </c>
      <c r="K1881" s="6" t="inlineStr">
        <is>
          <t>Demanda doméstica fixa informada pelo usuário.</t>
        </is>
      </c>
    </row>
    <row r="1882">
      <c r="A1882" s="6" t="inlineStr">
        <is>
          <t>Soja</t>
        </is>
      </c>
      <c r="B1882" s="6" t="inlineStr">
        <is>
          <t>Belo Horizonte - MG</t>
        </is>
      </c>
      <c r="C1882" s="6" t="n">
        <v>-19.9102</v>
      </c>
      <c r="D1882" s="6" t="n">
        <v>-43.9266</v>
      </c>
      <c r="E1882" s="6" t="inlineStr">
        <is>
          <t>2021-09</t>
        </is>
      </c>
      <c r="F1882" s="6" t="n">
        <v>276212.2421264199</v>
      </c>
      <c r="G1882" s="6" t="inlineStr">
        <is>
          <t>DOMESTICA</t>
        </is>
      </c>
      <c r="H1882" s="6" t="inlineStr">
        <is>
          <t>FIXO</t>
        </is>
      </c>
      <c r="I1882" s="11">
        <f>IF($H1882="AUTO_OFERTA_TOTAL_PRODUTO_PERIODO",SUMIFS(Oferta!$F:$F,Oferta!$A:$A,$A1882,Oferta!$E:$E,$E1882),$F1882)</f>
        <v/>
      </c>
      <c r="J1882" s="6" t="inlineStr">
        <is>
          <t>Informado</t>
        </is>
      </c>
      <c r="K1882" s="6" t="inlineStr">
        <is>
          <t>Demanda doméstica fixa informada pelo usuário.</t>
        </is>
      </c>
    </row>
    <row r="1883">
      <c r="A1883" s="6" t="inlineStr">
        <is>
          <t>Soja</t>
        </is>
      </c>
      <c r="B1883" s="6" t="inlineStr">
        <is>
          <t>Belo Horizonte - MG</t>
        </is>
      </c>
      <c r="C1883" s="6" t="n">
        <v>-19.9102</v>
      </c>
      <c r="D1883" s="6" t="n">
        <v>-43.9266</v>
      </c>
      <c r="E1883" s="6" t="inlineStr">
        <is>
          <t>2021-10</t>
        </is>
      </c>
      <c r="F1883" s="6" t="n">
        <v>276212.2421264199</v>
      </c>
      <c r="G1883" s="6" t="inlineStr">
        <is>
          <t>DOMESTICA</t>
        </is>
      </c>
      <c r="H1883" s="6" t="inlineStr">
        <is>
          <t>FIXO</t>
        </is>
      </c>
      <c r="I1883" s="11">
        <f>IF($H1883="AUTO_OFERTA_TOTAL_PRODUTO_PERIODO",SUMIFS(Oferta!$F:$F,Oferta!$A:$A,$A1883,Oferta!$E:$E,$E1883),$F1883)</f>
        <v/>
      </c>
      <c r="J1883" s="6" t="inlineStr">
        <is>
          <t>Informado</t>
        </is>
      </c>
      <c r="K1883" s="6" t="inlineStr">
        <is>
          <t>Demanda doméstica fixa informada pelo usuário.</t>
        </is>
      </c>
    </row>
    <row r="1884">
      <c r="A1884" s="6" t="inlineStr">
        <is>
          <t>Soja</t>
        </is>
      </c>
      <c r="B1884" s="6" t="inlineStr">
        <is>
          <t>Belo Horizonte - MG</t>
        </is>
      </c>
      <c r="C1884" s="6" t="n">
        <v>-19.9102</v>
      </c>
      <c r="D1884" s="6" t="n">
        <v>-43.9266</v>
      </c>
      <c r="E1884" s="6" t="inlineStr">
        <is>
          <t>2021-11</t>
        </is>
      </c>
      <c r="F1884" s="6" t="n">
        <v>276212.2421264199</v>
      </c>
      <c r="G1884" s="6" t="inlineStr">
        <is>
          <t>DOMESTICA</t>
        </is>
      </c>
      <c r="H1884" s="6" t="inlineStr">
        <is>
          <t>FIXO</t>
        </is>
      </c>
      <c r="I1884" s="11">
        <f>IF($H1884="AUTO_OFERTA_TOTAL_PRODUTO_PERIODO",SUMIFS(Oferta!$F:$F,Oferta!$A:$A,$A1884,Oferta!$E:$E,$E1884),$F1884)</f>
        <v/>
      </c>
      <c r="J1884" s="6" t="inlineStr">
        <is>
          <t>Informado</t>
        </is>
      </c>
      <c r="K1884" s="6" t="inlineStr">
        <is>
          <t>Demanda doméstica fixa informada pelo usuário.</t>
        </is>
      </c>
    </row>
    <row r="1885">
      <c r="A1885" s="6" t="inlineStr">
        <is>
          <t>Soja</t>
        </is>
      </c>
      <c r="B1885" s="6" t="inlineStr">
        <is>
          <t>Belo Horizonte - MG</t>
        </is>
      </c>
      <c r="C1885" s="6" t="n">
        <v>-19.9102</v>
      </c>
      <c r="D1885" s="6" t="n">
        <v>-43.9266</v>
      </c>
      <c r="E1885" s="6" t="inlineStr">
        <is>
          <t>2021-12</t>
        </is>
      </c>
      <c r="F1885" s="6" t="n">
        <v>276212.2421264199</v>
      </c>
      <c r="G1885" s="6" t="inlineStr">
        <is>
          <t>DOMESTICA</t>
        </is>
      </c>
      <c r="H1885" s="6" t="inlineStr">
        <is>
          <t>FIXO</t>
        </is>
      </c>
      <c r="I1885" s="11">
        <f>IF($H1885="AUTO_OFERTA_TOTAL_PRODUTO_PERIODO",SUMIFS(Oferta!$F:$F,Oferta!$A:$A,$A1885,Oferta!$E:$E,$E1885),$F1885)</f>
        <v/>
      </c>
      <c r="J1885" s="6" t="inlineStr">
        <is>
          <t>Informado</t>
        </is>
      </c>
      <c r="K1885" s="6" t="inlineStr">
        <is>
          <t>Demanda doméstica fixa informada pelo usuário.</t>
        </is>
      </c>
    </row>
    <row r="1886">
      <c r="A1886" s="6" t="inlineStr">
        <is>
          <t>Soja</t>
        </is>
      </c>
      <c r="B1886" s="6" t="inlineStr">
        <is>
          <t>Rio de Janeiro - RJ</t>
        </is>
      </c>
      <c r="C1886" s="6" t="n">
        <v>-22.9129</v>
      </c>
      <c r="D1886" s="6" t="n">
        <v>-43.2003</v>
      </c>
      <c r="E1886" s="6" t="inlineStr">
        <is>
          <t>2021-01</t>
        </is>
      </c>
      <c r="F1886" s="6" t="n">
        <v>132186.8653832275</v>
      </c>
      <c r="G1886" s="6" t="inlineStr">
        <is>
          <t>DOMESTICA</t>
        </is>
      </c>
      <c r="H1886" s="6" t="inlineStr">
        <is>
          <t>FIXO</t>
        </is>
      </c>
      <c r="I1886" s="11">
        <f>IF($H1886="AUTO_OFERTA_TOTAL_PRODUTO_PERIODO",SUMIFS(Oferta!$F:$F,Oferta!$A:$A,$A1886,Oferta!$E:$E,$E1886),$F1886)</f>
        <v/>
      </c>
      <c r="J1886" s="6" t="inlineStr">
        <is>
          <t>Informado</t>
        </is>
      </c>
      <c r="K1886" s="6" t="inlineStr">
        <is>
          <t>Demanda doméstica fixa informada pelo usuário.</t>
        </is>
      </c>
    </row>
    <row r="1887">
      <c r="A1887" s="6" t="inlineStr">
        <is>
          <t>Soja</t>
        </is>
      </c>
      <c r="B1887" s="6" t="inlineStr">
        <is>
          <t>Rio de Janeiro - RJ</t>
        </is>
      </c>
      <c r="C1887" s="6" t="n">
        <v>-22.9129</v>
      </c>
      <c r="D1887" s="6" t="n">
        <v>-43.2003</v>
      </c>
      <c r="E1887" s="6" t="inlineStr">
        <is>
          <t>2021-02</t>
        </is>
      </c>
      <c r="F1887" s="6" t="n">
        <v>132186.8653832275</v>
      </c>
      <c r="G1887" s="6" t="inlineStr">
        <is>
          <t>DOMESTICA</t>
        </is>
      </c>
      <c r="H1887" s="6" t="inlineStr">
        <is>
          <t>FIXO</t>
        </is>
      </c>
      <c r="I1887" s="11">
        <f>IF($H1887="AUTO_OFERTA_TOTAL_PRODUTO_PERIODO",SUMIFS(Oferta!$F:$F,Oferta!$A:$A,$A1887,Oferta!$E:$E,$E1887),$F1887)</f>
        <v/>
      </c>
      <c r="J1887" s="6" t="inlineStr">
        <is>
          <t>Informado</t>
        </is>
      </c>
      <c r="K1887" s="6" t="inlineStr">
        <is>
          <t>Demanda doméstica fixa informada pelo usuário.</t>
        </is>
      </c>
    </row>
    <row r="1888">
      <c r="A1888" s="6" t="inlineStr">
        <is>
          <t>Soja</t>
        </is>
      </c>
      <c r="B1888" s="6" t="inlineStr">
        <is>
          <t>Rio de Janeiro - RJ</t>
        </is>
      </c>
      <c r="C1888" s="6" t="n">
        <v>-22.9129</v>
      </c>
      <c r="D1888" s="6" t="n">
        <v>-43.2003</v>
      </c>
      <c r="E1888" s="6" t="inlineStr">
        <is>
          <t>2021-03</t>
        </is>
      </c>
      <c r="F1888" s="6" t="n">
        <v>132186.8653832275</v>
      </c>
      <c r="G1888" s="6" t="inlineStr">
        <is>
          <t>DOMESTICA</t>
        </is>
      </c>
      <c r="H1888" s="6" t="inlineStr">
        <is>
          <t>FIXO</t>
        </is>
      </c>
      <c r="I1888" s="11">
        <f>IF($H1888="AUTO_OFERTA_TOTAL_PRODUTO_PERIODO",SUMIFS(Oferta!$F:$F,Oferta!$A:$A,$A1888,Oferta!$E:$E,$E1888),$F1888)</f>
        <v/>
      </c>
      <c r="J1888" s="6" t="inlineStr">
        <is>
          <t>Informado</t>
        </is>
      </c>
      <c r="K1888" s="6" t="inlineStr">
        <is>
          <t>Demanda doméstica fixa informada pelo usuário.</t>
        </is>
      </c>
    </row>
    <row r="1889">
      <c r="A1889" s="6" t="inlineStr">
        <is>
          <t>Soja</t>
        </is>
      </c>
      <c r="B1889" s="6" t="inlineStr">
        <is>
          <t>Rio de Janeiro - RJ</t>
        </is>
      </c>
      <c r="C1889" s="6" t="n">
        <v>-22.9129</v>
      </c>
      <c r="D1889" s="6" t="n">
        <v>-43.2003</v>
      </c>
      <c r="E1889" s="6" t="inlineStr">
        <is>
          <t>2021-04</t>
        </is>
      </c>
      <c r="F1889" s="6" t="n">
        <v>132186.8653832275</v>
      </c>
      <c r="G1889" s="6" t="inlineStr">
        <is>
          <t>DOMESTICA</t>
        </is>
      </c>
      <c r="H1889" s="6" t="inlineStr">
        <is>
          <t>FIXO</t>
        </is>
      </c>
      <c r="I1889" s="11">
        <f>IF($H1889="AUTO_OFERTA_TOTAL_PRODUTO_PERIODO",SUMIFS(Oferta!$F:$F,Oferta!$A:$A,$A1889,Oferta!$E:$E,$E1889),$F1889)</f>
        <v/>
      </c>
      <c r="J1889" s="6" t="inlineStr">
        <is>
          <t>Informado</t>
        </is>
      </c>
      <c r="K1889" s="6" t="inlineStr">
        <is>
          <t>Demanda doméstica fixa informada pelo usuário.</t>
        </is>
      </c>
    </row>
    <row r="1890">
      <c r="A1890" s="6" t="inlineStr">
        <is>
          <t>Soja</t>
        </is>
      </c>
      <c r="B1890" s="6" t="inlineStr">
        <is>
          <t>Rio de Janeiro - RJ</t>
        </is>
      </c>
      <c r="C1890" s="6" t="n">
        <v>-22.9129</v>
      </c>
      <c r="D1890" s="6" t="n">
        <v>-43.2003</v>
      </c>
      <c r="E1890" s="6" t="inlineStr">
        <is>
          <t>2021-05</t>
        </is>
      </c>
      <c r="F1890" s="6" t="n">
        <v>132186.8653832275</v>
      </c>
      <c r="G1890" s="6" t="inlineStr">
        <is>
          <t>DOMESTICA</t>
        </is>
      </c>
      <c r="H1890" s="6" t="inlineStr">
        <is>
          <t>FIXO</t>
        </is>
      </c>
      <c r="I1890" s="11">
        <f>IF($H1890="AUTO_OFERTA_TOTAL_PRODUTO_PERIODO",SUMIFS(Oferta!$F:$F,Oferta!$A:$A,$A1890,Oferta!$E:$E,$E1890),$F1890)</f>
        <v/>
      </c>
      <c r="J1890" s="6" t="inlineStr">
        <is>
          <t>Informado</t>
        </is>
      </c>
      <c r="K1890" s="6" t="inlineStr">
        <is>
          <t>Demanda doméstica fixa informada pelo usuário.</t>
        </is>
      </c>
    </row>
    <row r="1891">
      <c r="A1891" s="6" t="inlineStr">
        <is>
          <t>Soja</t>
        </is>
      </c>
      <c r="B1891" s="6" t="inlineStr">
        <is>
          <t>Rio de Janeiro - RJ</t>
        </is>
      </c>
      <c r="C1891" s="6" t="n">
        <v>-22.9129</v>
      </c>
      <c r="D1891" s="6" t="n">
        <v>-43.2003</v>
      </c>
      <c r="E1891" s="6" t="inlineStr">
        <is>
          <t>2021-06</t>
        </is>
      </c>
      <c r="F1891" s="6" t="n">
        <v>132186.8653832275</v>
      </c>
      <c r="G1891" s="6" t="inlineStr">
        <is>
          <t>DOMESTICA</t>
        </is>
      </c>
      <c r="H1891" s="6" t="inlineStr">
        <is>
          <t>FIXO</t>
        </is>
      </c>
      <c r="I1891" s="11">
        <f>IF($H1891="AUTO_OFERTA_TOTAL_PRODUTO_PERIODO",SUMIFS(Oferta!$F:$F,Oferta!$A:$A,$A1891,Oferta!$E:$E,$E1891),$F1891)</f>
        <v/>
      </c>
      <c r="J1891" s="6" t="inlineStr">
        <is>
          <t>Informado</t>
        </is>
      </c>
      <c r="K1891" s="6" t="inlineStr">
        <is>
          <t>Demanda doméstica fixa informada pelo usuário.</t>
        </is>
      </c>
    </row>
    <row r="1892">
      <c r="A1892" s="6" t="inlineStr">
        <is>
          <t>Soja</t>
        </is>
      </c>
      <c r="B1892" s="6" t="inlineStr">
        <is>
          <t>Rio de Janeiro - RJ</t>
        </is>
      </c>
      <c r="C1892" s="6" t="n">
        <v>-22.9129</v>
      </c>
      <c r="D1892" s="6" t="n">
        <v>-43.2003</v>
      </c>
      <c r="E1892" s="6" t="inlineStr">
        <is>
          <t>2021-07</t>
        </is>
      </c>
      <c r="F1892" s="6" t="n">
        <v>132186.8653832275</v>
      </c>
      <c r="G1892" s="6" t="inlineStr">
        <is>
          <t>DOMESTICA</t>
        </is>
      </c>
      <c r="H1892" s="6" t="inlineStr">
        <is>
          <t>FIXO</t>
        </is>
      </c>
      <c r="I1892" s="11">
        <f>IF($H1892="AUTO_OFERTA_TOTAL_PRODUTO_PERIODO",SUMIFS(Oferta!$F:$F,Oferta!$A:$A,$A1892,Oferta!$E:$E,$E1892),$F1892)</f>
        <v/>
      </c>
      <c r="J1892" s="6" t="inlineStr">
        <is>
          <t>Informado</t>
        </is>
      </c>
      <c r="K1892" s="6" t="inlineStr">
        <is>
          <t>Demanda doméstica fixa informada pelo usuário.</t>
        </is>
      </c>
    </row>
    <row r="1893">
      <c r="A1893" s="6" t="inlineStr">
        <is>
          <t>Soja</t>
        </is>
      </c>
      <c r="B1893" s="6" t="inlineStr">
        <is>
          <t>Rio de Janeiro - RJ</t>
        </is>
      </c>
      <c r="C1893" s="6" t="n">
        <v>-22.9129</v>
      </c>
      <c r="D1893" s="6" t="n">
        <v>-43.2003</v>
      </c>
      <c r="E1893" s="6" t="inlineStr">
        <is>
          <t>2021-08</t>
        </is>
      </c>
      <c r="F1893" s="6" t="n">
        <v>132186.8653832275</v>
      </c>
      <c r="G1893" s="6" t="inlineStr">
        <is>
          <t>DOMESTICA</t>
        </is>
      </c>
      <c r="H1893" s="6" t="inlineStr">
        <is>
          <t>FIXO</t>
        </is>
      </c>
      <c r="I1893" s="11">
        <f>IF($H1893="AUTO_OFERTA_TOTAL_PRODUTO_PERIODO",SUMIFS(Oferta!$F:$F,Oferta!$A:$A,$A1893,Oferta!$E:$E,$E1893),$F1893)</f>
        <v/>
      </c>
      <c r="J1893" s="6" t="inlineStr">
        <is>
          <t>Informado</t>
        </is>
      </c>
      <c r="K1893" s="6" t="inlineStr">
        <is>
          <t>Demanda doméstica fixa informada pelo usuário.</t>
        </is>
      </c>
    </row>
    <row r="1894">
      <c r="A1894" s="6" t="inlineStr">
        <is>
          <t>Soja</t>
        </is>
      </c>
      <c r="B1894" s="6" t="inlineStr">
        <is>
          <t>Rio de Janeiro - RJ</t>
        </is>
      </c>
      <c r="C1894" s="6" t="n">
        <v>-22.9129</v>
      </c>
      <c r="D1894" s="6" t="n">
        <v>-43.2003</v>
      </c>
      <c r="E1894" s="6" t="inlineStr">
        <is>
          <t>2021-09</t>
        </is>
      </c>
      <c r="F1894" s="6" t="n">
        <v>132186.8653832275</v>
      </c>
      <c r="G1894" s="6" t="inlineStr">
        <is>
          <t>DOMESTICA</t>
        </is>
      </c>
      <c r="H1894" s="6" t="inlineStr">
        <is>
          <t>FIXO</t>
        </is>
      </c>
      <c r="I1894" s="11">
        <f>IF($H1894="AUTO_OFERTA_TOTAL_PRODUTO_PERIODO",SUMIFS(Oferta!$F:$F,Oferta!$A:$A,$A1894,Oferta!$E:$E,$E1894),$F1894)</f>
        <v/>
      </c>
      <c r="J1894" s="6" t="inlineStr">
        <is>
          <t>Informado</t>
        </is>
      </c>
      <c r="K1894" s="6" t="inlineStr">
        <is>
          <t>Demanda doméstica fixa informada pelo usuário.</t>
        </is>
      </c>
    </row>
    <row r="1895">
      <c r="A1895" s="6" t="inlineStr">
        <is>
          <t>Soja</t>
        </is>
      </c>
      <c r="B1895" s="6" t="inlineStr">
        <is>
          <t>Rio de Janeiro - RJ</t>
        </is>
      </c>
      <c r="C1895" s="6" t="n">
        <v>-22.9129</v>
      </c>
      <c r="D1895" s="6" t="n">
        <v>-43.2003</v>
      </c>
      <c r="E1895" s="6" t="inlineStr">
        <is>
          <t>2021-10</t>
        </is>
      </c>
      <c r="F1895" s="6" t="n">
        <v>132186.8653832275</v>
      </c>
      <c r="G1895" s="6" t="inlineStr">
        <is>
          <t>DOMESTICA</t>
        </is>
      </c>
      <c r="H1895" s="6" t="inlineStr">
        <is>
          <t>FIXO</t>
        </is>
      </c>
      <c r="I1895" s="11">
        <f>IF($H1895="AUTO_OFERTA_TOTAL_PRODUTO_PERIODO",SUMIFS(Oferta!$F:$F,Oferta!$A:$A,$A1895,Oferta!$E:$E,$E1895),$F1895)</f>
        <v/>
      </c>
      <c r="J1895" s="6" t="inlineStr">
        <is>
          <t>Informado</t>
        </is>
      </c>
      <c r="K1895" s="6" t="inlineStr">
        <is>
          <t>Demanda doméstica fixa informada pelo usuário.</t>
        </is>
      </c>
    </row>
    <row r="1896">
      <c r="A1896" s="6" t="inlineStr">
        <is>
          <t>Soja</t>
        </is>
      </c>
      <c r="B1896" s="6" t="inlineStr">
        <is>
          <t>Rio de Janeiro - RJ</t>
        </is>
      </c>
      <c r="C1896" s="6" t="n">
        <v>-22.9129</v>
      </c>
      <c r="D1896" s="6" t="n">
        <v>-43.2003</v>
      </c>
      <c r="E1896" s="6" t="inlineStr">
        <is>
          <t>2021-11</t>
        </is>
      </c>
      <c r="F1896" s="6" t="n">
        <v>132186.8653832275</v>
      </c>
      <c r="G1896" s="6" t="inlineStr">
        <is>
          <t>DOMESTICA</t>
        </is>
      </c>
      <c r="H1896" s="6" t="inlineStr">
        <is>
          <t>FIXO</t>
        </is>
      </c>
      <c r="I1896" s="11">
        <f>IF($H1896="AUTO_OFERTA_TOTAL_PRODUTO_PERIODO",SUMIFS(Oferta!$F:$F,Oferta!$A:$A,$A1896,Oferta!$E:$E,$E1896),$F1896)</f>
        <v/>
      </c>
      <c r="J1896" s="6" t="inlineStr">
        <is>
          <t>Informado</t>
        </is>
      </c>
      <c r="K1896" s="6" t="inlineStr">
        <is>
          <t>Demanda doméstica fixa informada pelo usuário.</t>
        </is>
      </c>
    </row>
    <row r="1897">
      <c r="A1897" s="6" t="inlineStr">
        <is>
          <t>Soja</t>
        </is>
      </c>
      <c r="B1897" s="6" t="inlineStr">
        <is>
          <t>Rio de Janeiro - RJ</t>
        </is>
      </c>
      <c r="C1897" s="6" t="n">
        <v>-22.9129</v>
      </c>
      <c r="D1897" s="6" t="n">
        <v>-43.2003</v>
      </c>
      <c r="E1897" s="6" t="inlineStr">
        <is>
          <t>2021-12</t>
        </is>
      </c>
      <c r="F1897" s="6" t="n">
        <v>132186.8653832275</v>
      </c>
      <c r="G1897" s="6" t="inlineStr">
        <is>
          <t>DOMESTICA</t>
        </is>
      </c>
      <c r="H1897" s="6" t="inlineStr">
        <is>
          <t>FIXO</t>
        </is>
      </c>
      <c r="I1897" s="11">
        <f>IF($H1897="AUTO_OFERTA_TOTAL_PRODUTO_PERIODO",SUMIFS(Oferta!$F:$F,Oferta!$A:$A,$A1897,Oferta!$E:$E,$E1897),$F1897)</f>
        <v/>
      </c>
      <c r="J1897" s="6" t="inlineStr">
        <is>
          <t>Informado</t>
        </is>
      </c>
      <c r="K1897" s="6" t="inlineStr">
        <is>
          <t>Demanda doméstica fixa informada pelo usuário.</t>
        </is>
      </c>
    </row>
    <row r="1898">
      <c r="A1898" s="6" t="inlineStr">
        <is>
          <t>Soja</t>
        </is>
      </c>
      <c r="B1898" s="6" t="inlineStr">
        <is>
          <t>São Paulo - SP</t>
        </is>
      </c>
      <c r="C1898" s="6" t="n">
        <v>-23.5329</v>
      </c>
      <c r="D1898" s="6" t="n">
        <v>-46.6395</v>
      </c>
      <c r="E1898" s="6" t="inlineStr">
        <is>
          <t>2021-01</t>
        </is>
      </c>
      <c r="F1898" s="6" t="n">
        <v>504829.2390121825</v>
      </c>
      <c r="G1898" s="6" t="inlineStr">
        <is>
          <t>DOMESTICA</t>
        </is>
      </c>
      <c r="H1898" s="6" t="inlineStr">
        <is>
          <t>FIXO</t>
        </is>
      </c>
      <c r="I1898" s="11">
        <f>IF($H1898="AUTO_OFERTA_TOTAL_PRODUTO_PERIODO",SUMIFS(Oferta!$F:$F,Oferta!$A:$A,$A1898,Oferta!$E:$E,$E1898),$F1898)</f>
        <v/>
      </c>
      <c r="J1898" s="6" t="inlineStr">
        <is>
          <t>Informado</t>
        </is>
      </c>
      <c r="K1898" s="6" t="inlineStr">
        <is>
          <t>Demanda doméstica fixa informada pelo usuário.</t>
        </is>
      </c>
    </row>
    <row r="1899">
      <c r="A1899" s="6" t="inlineStr">
        <is>
          <t>Soja</t>
        </is>
      </c>
      <c r="B1899" s="6" t="inlineStr">
        <is>
          <t>São Paulo - SP</t>
        </is>
      </c>
      <c r="C1899" s="6" t="n">
        <v>-23.5329</v>
      </c>
      <c r="D1899" s="6" t="n">
        <v>-46.6395</v>
      </c>
      <c r="E1899" s="6" t="inlineStr">
        <is>
          <t>2021-02</t>
        </is>
      </c>
      <c r="F1899" s="6" t="n">
        <v>809631.7984157641</v>
      </c>
      <c r="G1899" s="6" t="inlineStr">
        <is>
          <t>DOMESTICA</t>
        </is>
      </c>
      <c r="H1899" s="6" t="inlineStr">
        <is>
          <t>FIXO</t>
        </is>
      </c>
      <c r="I1899" s="11">
        <f>IF($H1899="AUTO_OFERTA_TOTAL_PRODUTO_PERIODO",SUMIFS(Oferta!$F:$F,Oferta!$A:$A,$A1899,Oferta!$E:$E,$E1899),$F1899)</f>
        <v/>
      </c>
      <c r="J1899" s="6" t="inlineStr">
        <is>
          <t>Informado</t>
        </is>
      </c>
      <c r="K1899" s="6" t="inlineStr">
        <is>
          <t>Demanda doméstica fixa informada pelo usuário.</t>
        </is>
      </c>
    </row>
    <row r="1900">
      <c r="A1900" s="6" t="inlineStr">
        <is>
          <t>Soja</t>
        </is>
      </c>
      <c r="B1900" s="6" t="inlineStr">
        <is>
          <t>São Paulo - SP</t>
        </is>
      </c>
      <c r="C1900" s="6" t="n">
        <v>-23.5329</v>
      </c>
      <c r="D1900" s="6" t="n">
        <v>-46.6395</v>
      </c>
      <c r="E1900" s="6" t="inlineStr">
        <is>
          <t>2021-03</t>
        </is>
      </c>
      <c r="F1900" s="6" t="n">
        <v>1114434.357819346</v>
      </c>
      <c r="G1900" s="6" t="inlineStr">
        <is>
          <t>DOMESTICA</t>
        </is>
      </c>
      <c r="H1900" s="6" t="inlineStr">
        <is>
          <t>FIXO</t>
        </is>
      </c>
      <c r="I1900" s="11">
        <f>IF($H1900="AUTO_OFERTA_TOTAL_PRODUTO_PERIODO",SUMIFS(Oferta!$F:$F,Oferta!$A:$A,$A1900,Oferta!$E:$E,$E1900),$F1900)</f>
        <v/>
      </c>
      <c r="J1900" s="6" t="inlineStr">
        <is>
          <t>Informado</t>
        </is>
      </c>
      <c r="K1900" s="6" t="inlineStr">
        <is>
          <t>Demanda doméstica fixa informada pelo usuário.</t>
        </is>
      </c>
    </row>
    <row r="1901">
      <c r="A1901" s="6" t="inlineStr">
        <is>
          <t>Soja</t>
        </is>
      </c>
      <c r="B1901" s="6" t="inlineStr">
        <is>
          <t>São Paulo - SP</t>
        </is>
      </c>
      <c r="C1901" s="6" t="n">
        <v>-23.5329</v>
      </c>
      <c r="D1901" s="6" t="n">
        <v>-46.6395</v>
      </c>
      <c r="E1901" s="6" t="inlineStr">
        <is>
          <t>2021-04</t>
        </is>
      </c>
      <c r="F1901" s="6" t="n">
        <v>2028842.036030091</v>
      </c>
      <c r="G1901" s="6" t="inlineStr">
        <is>
          <t>DOMESTICA</t>
        </is>
      </c>
      <c r="H1901" s="6" t="inlineStr">
        <is>
          <t>FIXO</t>
        </is>
      </c>
      <c r="I1901" s="11">
        <f>IF($H1901="AUTO_OFERTA_TOTAL_PRODUTO_PERIODO",SUMIFS(Oferta!$F:$F,Oferta!$A:$A,$A1901,Oferta!$E:$E,$E1901),$F1901)</f>
        <v/>
      </c>
      <c r="J1901" s="6" t="inlineStr">
        <is>
          <t>Informado</t>
        </is>
      </c>
      <c r="K1901" s="6" t="inlineStr">
        <is>
          <t>Demanda doméstica fixa informada pelo usuário.</t>
        </is>
      </c>
    </row>
    <row r="1902">
      <c r="A1902" s="6" t="inlineStr">
        <is>
          <t>Soja</t>
        </is>
      </c>
      <c r="B1902" s="6" t="inlineStr">
        <is>
          <t>São Paulo - SP</t>
        </is>
      </c>
      <c r="C1902" s="6" t="n">
        <v>-23.5329</v>
      </c>
      <c r="D1902" s="6" t="n">
        <v>-46.6395</v>
      </c>
      <c r="E1902" s="6" t="inlineStr">
        <is>
          <t>2021-05</t>
        </is>
      </c>
      <c r="F1902" s="6" t="n">
        <v>2028842.036030091</v>
      </c>
      <c r="G1902" s="6" t="inlineStr">
        <is>
          <t>DOMESTICA</t>
        </is>
      </c>
      <c r="H1902" s="6" t="inlineStr">
        <is>
          <t>FIXO</t>
        </is>
      </c>
      <c r="I1902" s="11">
        <f>IF($H1902="AUTO_OFERTA_TOTAL_PRODUTO_PERIODO",SUMIFS(Oferta!$F:$F,Oferta!$A:$A,$A1902,Oferta!$E:$E,$E1902),$F1902)</f>
        <v/>
      </c>
      <c r="J1902" s="6" t="inlineStr">
        <is>
          <t>Informado</t>
        </is>
      </c>
      <c r="K1902" s="6" t="inlineStr">
        <is>
          <t>Demanda doméstica fixa informada pelo usuário.</t>
        </is>
      </c>
    </row>
    <row r="1903">
      <c r="A1903" s="6" t="inlineStr">
        <is>
          <t>Soja</t>
        </is>
      </c>
      <c r="B1903" s="6" t="inlineStr">
        <is>
          <t>São Paulo - SP</t>
        </is>
      </c>
      <c r="C1903" s="6" t="n">
        <v>-23.5329</v>
      </c>
      <c r="D1903" s="6" t="n">
        <v>-46.6395</v>
      </c>
      <c r="E1903" s="6" t="inlineStr">
        <is>
          <t>2021-06</t>
        </is>
      </c>
      <c r="F1903" s="6" t="n">
        <v>1724039.47662651</v>
      </c>
      <c r="G1903" s="6" t="inlineStr">
        <is>
          <t>DOMESTICA</t>
        </is>
      </c>
      <c r="H1903" s="6" t="inlineStr">
        <is>
          <t>FIXO</t>
        </is>
      </c>
      <c r="I1903" s="11">
        <f>IF($H1903="AUTO_OFERTA_TOTAL_PRODUTO_PERIODO",SUMIFS(Oferta!$F:$F,Oferta!$A:$A,$A1903,Oferta!$E:$E,$E1903),$F1903)</f>
        <v/>
      </c>
      <c r="J1903" s="6" t="inlineStr">
        <is>
          <t>Informado</t>
        </is>
      </c>
      <c r="K1903" s="6" t="inlineStr">
        <is>
          <t>Demanda doméstica fixa informada pelo usuário.</t>
        </is>
      </c>
    </row>
    <row r="1904">
      <c r="A1904" s="6" t="inlineStr">
        <is>
          <t>Soja</t>
        </is>
      </c>
      <c r="B1904" s="6" t="inlineStr">
        <is>
          <t>São Paulo - SP</t>
        </is>
      </c>
      <c r="C1904" s="6" t="n">
        <v>-23.5329</v>
      </c>
      <c r="D1904" s="6" t="n">
        <v>-46.6395</v>
      </c>
      <c r="E1904" s="6" t="inlineStr">
        <is>
          <t>2021-07</t>
        </is>
      </c>
      <c r="F1904" s="6" t="n">
        <v>809631.7984157641</v>
      </c>
      <c r="G1904" s="6" t="inlineStr">
        <is>
          <t>DOMESTICA</t>
        </is>
      </c>
      <c r="H1904" s="6" t="inlineStr">
        <is>
          <t>FIXO</t>
        </is>
      </c>
      <c r="I1904" s="11">
        <f>IF($H1904="AUTO_OFERTA_TOTAL_PRODUTO_PERIODO",SUMIFS(Oferta!$F:$F,Oferta!$A:$A,$A1904,Oferta!$E:$E,$E1904),$F1904)</f>
        <v/>
      </c>
      <c r="J1904" s="6" t="inlineStr">
        <is>
          <t>Informado</t>
        </is>
      </c>
      <c r="K1904" s="6" t="inlineStr">
        <is>
          <t>Demanda doméstica fixa informada pelo usuário.</t>
        </is>
      </c>
    </row>
    <row r="1905">
      <c r="A1905" s="6" t="inlineStr">
        <is>
          <t>Soja</t>
        </is>
      </c>
      <c r="B1905" s="6" t="inlineStr">
        <is>
          <t>São Paulo - SP</t>
        </is>
      </c>
      <c r="C1905" s="6" t="n">
        <v>-23.5329</v>
      </c>
      <c r="D1905" s="6" t="n">
        <v>-46.6395</v>
      </c>
      <c r="E1905" s="6" t="inlineStr">
        <is>
          <t>2021-08</t>
        </is>
      </c>
      <c r="F1905" s="6" t="n">
        <v>504829.2390121825</v>
      </c>
      <c r="G1905" s="6" t="inlineStr">
        <is>
          <t>DOMESTICA</t>
        </is>
      </c>
      <c r="H1905" s="6" t="inlineStr">
        <is>
          <t>FIXO</t>
        </is>
      </c>
      <c r="I1905" s="11">
        <f>IF($H1905="AUTO_OFERTA_TOTAL_PRODUTO_PERIODO",SUMIFS(Oferta!$F:$F,Oferta!$A:$A,$A1905,Oferta!$E:$E,$E1905),$F1905)</f>
        <v/>
      </c>
      <c r="J1905" s="6" t="inlineStr">
        <is>
          <t>Informado</t>
        </is>
      </c>
      <c r="K1905" s="6" t="inlineStr">
        <is>
          <t>Demanda doméstica fixa informada pelo usuário.</t>
        </is>
      </c>
    </row>
    <row r="1906">
      <c r="A1906" s="6" t="inlineStr">
        <is>
          <t>Soja</t>
        </is>
      </c>
      <c r="B1906" s="6" t="inlineStr">
        <is>
          <t>São Paulo - SP</t>
        </is>
      </c>
      <c r="C1906" s="6" t="n">
        <v>-23.5329</v>
      </c>
      <c r="D1906" s="6" t="n">
        <v>-46.6395</v>
      </c>
      <c r="E1906" s="6" t="inlineStr">
        <is>
          <t>2021-09</t>
        </is>
      </c>
      <c r="F1906" s="6" t="n">
        <v>504829.2390121825</v>
      </c>
      <c r="G1906" s="6" t="inlineStr">
        <is>
          <t>DOMESTICA</t>
        </is>
      </c>
      <c r="H1906" s="6" t="inlineStr">
        <is>
          <t>FIXO</t>
        </is>
      </c>
      <c r="I1906" s="11">
        <f>IF($H1906="AUTO_OFERTA_TOTAL_PRODUTO_PERIODO",SUMIFS(Oferta!$F:$F,Oferta!$A:$A,$A1906,Oferta!$E:$E,$E1906),$F1906)</f>
        <v/>
      </c>
      <c r="J1906" s="6" t="inlineStr">
        <is>
          <t>Informado</t>
        </is>
      </c>
      <c r="K1906" s="6" t="inlineStr">
        <is>
          <t>Demanda doméstica fixa informada pelo usuário.</t>
        </is>
      </c>
    </row>
    <row r="1907">
      <c r="A1907" s="6" t="inlineStr">
        <is>
          <t>Soja</t>
        </is>
      </c>
      <c r="B1907" s="6" t="inlineStr">
        <is>
          <t>São Paulo - SP</t>
        </is>
      </c>
      <c r="C1907" s="6" t="n">
        <v>-23.5329</v>
      </c>
      <c r="D1907" s="6" t="n">
        <v>-46.6395</v>
      </c>
      <c r="E1907" s="6" t="inlineStr">
        <is>
          <t>2021-10</t>
        </is>
      </c>
      <c r="F1907" s="6" t="n">
        <v>504829.2390121825</v>
      </c>
      <c r="G1907" s="6" t="inlineStr">
        <is>
          <t>DOMESTICA</t>
        </is>
      </c>
      <c r="H1907" s="6" t="inlineStr">
        <is>
          <t>FIXO</t>
        </is>
      </c>
      <c r="I1907" s="11">
        <f>IF($H1907="AUTO_OFERTA_TOTAL_PRODUTO_PERIODO",SUMIFS(Oferta!$F:$F,Oferta!$A:$A,$A1907,Oferta!$E:$E,$E1907),$F1907)</f>
        <v/>
      </c>
      <c r="J1907" s="6" t="inlineStr">
        <is>
          <t>Informado</t>
        </is>
      </c>
      <c r="K1907" s="6" t="inlineStr">
        <is>
          <t>Demanda doméstica fixa informada pelo usuário.</t>
        </is>
      </c>
    </row>
    <row r="1908">
      <c r="A1908" s="6" t="inlineStr">
        <is>
          <t>Soja</t>
        </is>
      </c>
      <c r="B1908" s="6" t="inlineStr">
        <is>
          <t>São Paulo - SP</t>
        </is>
      </c>
      <c r="C1908" s="6" t="n">
        <v>-23.5329</v>
      </c>
      <c r="D1908" s="6" t="n">
        <v>-46.6395</v>
      </c>
      <c r="E1908" s="6" t="inlineStr">
        <is>
          <t>2021-11</t>
        </is>
      </c>
      <c r="F1908" s="6" t="n">
        <v>504829.2390121825</v>
      </c>
      <c r="G1908" s="6" t="inlineStr">
        <is>
          <t>DOMESTICA</t>
        </is>
      </c>
      <c r="H1908" s="6" t="inlineStr">
        <is>
          <t>FIXO</t>
        </is>
      </c>
      <c r="I1908" s="11">
        <f>IF($H1908="AUTO_OFERTA_TOTAL_PRODUTO_PERIODO",SUMIFS(Oferta!$F:$F,Oferta!$A:$A,$A1908,Oferta!$E:$E,$E1908),$F1908)</f>
        <v/>
      </c>
      <c r="J1908" s="6" t="inlineStr">
        <is>
          <t>Informado</t>
        </is>
      </c>
      <c r="K1908" s="6" t="inlineStr">
        <is>
          <t>Demanda doméstica fixa informada pelo usuário.</t>
        </is>
      </c>
    </row>
    <row r="1909">
      <c r="A1909" s="6" t="inlineStr">
        <is>
          <t>Soja</t>
        </is>
      </c>
      <c r="B1909" s="6" t="inlineStr">
        <is>
          <t>São Paulo - SP</t>
        </is>
      </c>
      <c r="C1909" s="6" t="n">
        <v>-23.5329</v>
      </c>
      <c r="D1909" s="6" t="n">
        <v>-46.6395</v>
      </c>
      <c r="E1909" s="6" t="inlineStr">
        <is>
          <t>2021-12</t>
        </is>
      </c>
      <c r="F1909" s="6" t="n">
        <v>504829.2390121825</v>
      </c>
      <c r="G1909" s="6" t="inlineStr">
        <is>
          <t>DOMESTICA</t>
        </is>
      </c>
      <c r="H1909" s="6" t="inlineStr">
        <is>
          <t>FIXO</t>
        </is>
      </c>
      <c r="I1909" s="11">
        <f>IF($H1909="AUTO_OFERTA_TOTAL_PRODUTO_PERIODO",SUMIFS(Oferta!$F:$F,Oferta!$A:$A,$A1909,Oferta!$E:$E,$E1909),$F1909)</f>
        <v/>
      </c>
      <c r="J1909" s="6" t="inlineStr">
        <is>
          <t>Informado</t>
        </is>
      </c>
      <c r="K1909" s="6" t="inlineStr">
        <is>
          <t>Demanda doméstica fixa informada pelo usuário.</t>
        </is>
      </c>
    </row>
    <row r="1910">
      <c r="A1910" s="6" t="inlineStr">
        <is>
          <t>Soja</t>
        </is>
      </c>
      <c r="B1910" s="6" t="inlineStr">
        <is>
          <t>Curitiba - PR</t>
        </is>
      </c>
      <c r="C1910" s="6" t="n">
        <v>-25.4195</v>
      </c>
      <c r="D1910" s="6" t="n">
        <v>-49.2646</v>
      </c>
      <c r="E1910" s="6" t="inlineStr">
        <is>
          <t>2021-01</t>
        </is>
      </c>
      <c r="F1910" s="6" t="n">
        <v>262735.5186545649</v>
      </c>
      <c r="G1910" s="6" t="inlineStr">
        <is>
          <t>DOMESTICA</t>
        </is>
      </c>
      <c r="H1910" s="6" t="inlineStr">
        <is>
          <t>FIXO</t>
        </is>
      </c>
      <c r="I1910" s="11">
        <f>IF($H1910="AUTO_OFERTA_TOTAL_PRODUTO_PERIODO",SUMIFS(Oferta!$F:$F,Oferta!$A:$A,$A1910,Oferta!$E:$E,$E1910),$F1910)</f>
        <v/>
      </c>
      <c r="J1910" s="6" t="inlineStr">
        <is>
          <t>Informado</t>
        </is>
      </c>
      <c r="K1910" s="6" t="inlineStr">
        <is>
          <t>Demanda doméstica fixa informada pelo usuário.</t>
        </is>
      </c>
    </row>
    <row r="1911">
      <c r="A1911" s="6" t="inlineStr">
        <is>
          <t>Soja</t>
        </is>
      </c>
      <c r="B1911" s="6" t="inlineStr">
        <is>
          <t>Curitiba - PR</t>
        </is>
      </c>
      <c r="C1911" s="6" t="n">
        <v>-25.4195</v>
      </c>
      <c r="D1911" s="6" t="n">
        <v>-49.2646</v>
      </c>
      <c r="E1911" s="6" t="inlineStr">
        <is>
          <t>2021-02</t>
        </is>
      </c>
      <c r="F1911" s="6" t="n">
        <v>342051.9016446222</v>
      </c>
      <c r="G1911" s="6" t="inlineStr">
        <is>
          <t>DOMESTICA</t>
        </is>
      </c>
      <c r="H1911" s="6" t="inlineStr">
        <is>
          <t>FIXO</t>
        </is>
      </c>
      <c r="I1911" s="11">
        <f>IF($H1911="AUTO_OFERTA_TOTAL_PRODUTO_PERIODO",SUMIFS(Oferta!$F:$F,Oferta!$A:$A,$A1911,Oferta!$E:$E,$E1911),$F1911)</f>
        <v/>
      </c>
      <c r="J1911" s="6" t="inlineStr">
        <is>
          <t>Informado</t>
        </is>
      </c>
      <c r="K1911" s="6" t="inlineStr">
        <is>
          <t>Demanda doméstica fixa informada pelo usuário.</t>
        </is>
      </c>
    </row>
    <row r="1912">
      <c r="A1912" s="6" t="inlineStr">
        <is>
          <t>Soja</t>
        </is>
      </c>
      <c r="B1912" s="6" t="inlineStr">
        <is>
          <t>Curitiba - PR</t>
        </is>
      </c>
      <c r="C1912" s="6" t="n">
        <v>-25.4195</v>
      </c>
      <c r="D1912" s="6" t="n">
        <v>-49.2646</v>
      </c>
      <c r="E1912" s="6" t="inlineStr">
        <is>
          <t>2021-03</t>
        </is>
      </c>
      <c r="F1912" s="6" t="n">
        <v>500684.6676247368</v>
      </c>
      <c r="G1912" s="6" t="inlineStr">
        <is>
          <t>DOMESTICA</t>
        </is>
      </c>
      <c r="H1912" s="6" t="inlineStr">
        <is>
          <t>FIXO</t>
        </is>
      </c>
      <c r="I1912" s="11">
        <f>IF($H1912="AUTO_OFERTA_TOTAL_PRODUTO_PERIODO",SUMIFS(Oferta!$F:$F,Oferta!$A:$A,$A1912,Oferta!$E:$E,$E1912),$F1912)</f>
        <v/>
      </c>
      <c r="J1912" s="6" t="inlineStr">
        <is>
          <t>Informado</t>
        </is>
      </c>
      <c r="K1912" s="6" t="inlineStr">
        <is>
          <t>Demanda doméstica fixa informada pelo usuário.</t>
        </is>
      </c>
    </row>
    <row r="1913">
      <c r="A1913" s="6" t="inlineStr">
        <is>
          <t>Soja</t>
        </is>
      </c>
      <c r="B1913" s="6" t="inlineStr">
        <is>
          <t>Curitiba - PR</t>
        </is>
      </c>
      <c r="C1913" s="6" t="n">
        <v>-25.4195</v>
      </c>
      <c r="D1913" s="6" t="n">
        <v>-49.2646</v>
      </c>
      <c r="E1913" s="6" t="inlineStr">
        <is>
          <t>2021-04</t>
        </is>
      </c>
      <c r="F1913" s="6" t="n">
        <v>817950.1995849661</v>
      </c>
      <c r="G1913" s="6" t="inlineStr">
        <is>
          <t>DOMESTICA</t>
        </is>
      </c>
      <c r="H1913" s="6" t="inlineStr">
        <is>
          <t>FIXO</t>
        </is>
      </c>
      <c r="I1913" s="11">
        <f>IF($H1913="AUTO_OFERTA_TOTAL_PRODUTO_PERIODO",SUMIFS(Oferta!$F:$F,Oferta!$A:$A,$A1913,Oferta!$E:$E,$E1913),$F1913)</f>
        <v/>
      </c>
      <c r="J1913" s="6" t="inlineStr">
        <is>
          <t>Informado</t>
        </is>
      </c>
      <c r="K1913" s="6" t="inlineStr">
        <is>
          <t>Demanda doméstica fixa informada pelo usuário.</t>
        </is>
      </c>
    </row>
    <row r="1914">
      <c r="A1914" s="6" t="inlineStr">
        <is>
          <t>Soja</t>
        </is>
      </c>
      <c r="B1914" s="6" t="inlineStr">
        <is>
          <t>Curitiba - PR</t>
        </is>
      </c>
      <c r="C1914" s="6" t="n">
        <v>-25.4195</v>
      </c>
      <c r="D1914" s="6" t="n">
        <v>-49.2646</v>
      </c>
      <c r="E1914" s="6" t="inlineStr">
        <is>
          <t>2021-05</t>
        </is>
      </c>
      <c r="F1914" s="6" t="n">
        <v>897266.5825750236</v>
      </c>
      <c r="G1914" s="6" t="inlineStr">
        <is>
          <t>DOMESTICA</t>
        </is>
      </c>
      <c r="H1914" s="6" t="inlineStr">
        <is>
          <t>FIXO</t>
        </is>
      </c>
      <c r="I1914" s="11">
        <f>IF($H1914="AUTO_OFERTA_TOTAL_PRODUTO_PERIODO",SUMIFS(Oferta!$F:$F,Oferta!$A:$A,$A1914,Oferta!$E:$E,$E1914),$F1914)</f>
        <v/>
      </c>
      <c r="J1914" s="6" t="inlineStr">
        <is>
          <t>Informado</t>
        </is>
      </c>
      <c r="K1914" s="6" t="inlineStr">
        <is>
          <t>Demanda doméstica fixa informada pelo usuário.</t>
        </is>
      </c>
    </row>
    <row r="1915">
      <c r="A1915" s="6" t="inlineStr">
        <is>
          <t>Soja</t>
        </is>
      </c>
      <c r="B1915" s="6" t="inlineStr">
        <is>
          <t>Curitiba - PR</t>
        </is>
      </c>
      <c r="C1915" s="6" t="n">
        <v>-25.4195</v>
      </c>
      <c r="D1915" s="6" t="n">
        <v>-49.2646</v>
      </c>
      <c r="E1915" s="6" t="inlineStr">
        <is>
          <t>2021-06</t>
        </is>
      </c>
      <c r="F1915" s="6" t="n">
        <v>738633.8165949087</v>
      </c>
      <c r="G1915" s="6" t="inlineStr">
        <is>
          <t>DOMESTICA</t>
        </is>
      </c>
      <c r="H1915" s="6" t="inlineStr">
        <is>
          <t>FIXO</t>
        </is>
      </c>
      <c r="I1915" s="11">
        <f>IF($H1915="AUTO_OFERTA_TOTAL_PRODUTO_PERIODO",SUMIFS(Oferta!$F:$F,Oferta!$A:$A,$A1915,Oferta!$E:$E,$E1915),$F1915)</f>
        <v/>
      </c>
      <c r="J1915" s="6" t="inlineStr">
        <is>
          <t>Informado</t>
        </is>
      </c>
      <c r="K1915" s="6" t="inlineStr">
        <is>
          <t>Demanda doméstica fixa informada pelo usuário.</t>
        </is>
      </c>
    </row>
    <row r="1916">
      <c r="A1916" s="6" t="inlineStr">
        <is>
          <t>Soja</t>
        </is>
      </c>
      <c r="B1916" s="6" t="inlineStr">
        <is>
          <t>Curitiba - PR</t>
        </is>
      </c>
      <c r="C1916" s="6" t="n">
        <v>-25.4195</v>
      </c>
      <c r="D1916" s="6" t="n">
        <v>-49.2646</v>
      </c>
      <c r="E1916" s="6" t="inlineStr">
        <is>
          <t>2021-07</t>
        </is>
      </c>
      <c r="F1916" s="6" t="n">
        <v>421368.2846346795</v>
      </c>
      <c r="G1916" s="6" t="inlineStr">
        <is>
          <t>DOMESTICA</t>
        </is>
      </c>
      <c r="H1916" s="6" t="inlineStr">
        <is>
          <t>FIXO</t>
        </is>
      </c>
      <c r="I1916" s="11">
        <f>IF($H1916="AUTO_OFERTA_TOTAL_PRODUTO_PERIODO",SUMIFS(Oferta!$F:$F,Oferta!$A:$A,$A1916,Oferta!$E:$E,$E1916),$F1916)</f>
        <v/>
      </c>
      <c r="J1916" s="6" t="inlineStr">
        <is>
          <t>Informado</t>
        </is>
      </c>
      <c r="K1916" s="6" t="inlineStr">
        <is>
          <t>Demanda doméstica fixa informada pelo usuário.</t>
        </is>
      </c>
    </row>
    <row r="1917">
      <c r="A1917" s="6" t="inlineStr">
        <is>
          <t>Soja</t>
        </is>
      </c>
      <c r="B1917" s="6" t="inlineStr">
        <is>
          <t>Curitiba - PR</t>
        </is>
      </c>
      <c r="C1917" s="6" t="n">
        <v>-25.4195</v>
      </c>
      <c r="D1917" s="6" t="n">
        <v>-49.2646</v>
      </c>
      <c r="E1917" s="6" t="inlineStr">
        <is>
          <t>2021-08</t>
        </is>
      </c>
      <c r="F1917" s="6" t="n">
        <v>262735.5186545649</v>
      </c>
      <c r="G1917" s="6" t="inlineStr">
        <is>
          <t>DOMESTICA</t>
        </is>
      </c>
      <c r="H1917" s="6" t="inlineStr">
        <is>
          <t>FIXO</t>
        </is>
      </c>
      <c r="I1917" s="11">
        <f>IF($H1917="AUTO_OFERTA_TOTAL_PRODUTO_PERIODO",SUMIFS(Oferta!$F:$F,Oferta!$A:$A,$A1917,Oferta!$E:$E,$E1917),$F1917)</f>
        <v/>
      </c>
      <c r="J1917" s="6" t="inlineStr">
        <is>
          <t>Informado</t>
        </is>
      </c>
      <c r="K1917" s="6" t="inlineStr">
        <is>
          <t>Demanda doméstica fixa informada pelo usuário.</t>
        </is>
      </c>
    </row>
    <row r="1918">
      <c r="A1918" s="6" t="inlineStr">
        <is>
          <t>Soja</t>
        </is>
      </c>
      <c r="B1918" s="6" t="inlineStr">
        <is>
          <t>Curitiba - PR</t>
        </is>
      </c>
      <c r="C1918" s="6" t="n">
        <v>-25.4195</v>
      </c>
      <c r="D1918" s="6" t="n">
        <v>-49.2646</v>
      </c>
      <c r="E1918" s="6" t="inlineStr">
        <is>
          <t>2021-09</t>
        </is>
      </c>
      <c r="F1918" s="6" t="n">
        <v>262735.5186545649</v>
      </c>
      <c r="G1918" s="6" t="inlineStr">
        <is>
          <t>DOMESTICA</t>
        </is>
      </c>
      <c r="H1918" s="6" t="inlineStr">
        <is>
          <t>FIXO</t>
        </is>
      </c>
      <c r="I1918" s="11">
        <f>IF($H1918="AUTO_OFERTA_TOTAL_PRODUTO_PERIODO",SUMIFS(Oferta!$F:$F,Oferta!$A:$A,$A1918,Oferta!$E:$E,$E1918),$F1918)</f>
        <v/>
      </c>
      <c r="J1918" s="6" t="inlineStr">
        <is>
          <t>Informado</t>
        </is>
      </c>
      <c r="K1918" s="6" t="inlineStr">
        <is>
          <t>Demanda doméstica fixa informada pelo usuário.</t>
        </is>
      </c>
    </row>
    <row r="1919">
      <c r="A1919" s="6" t="inlineStr">
        <is>
          <t>Soja</t>
        </is>
      </c>
      <c r="B1919" s="6" t="inlineStr">
        <is>
          <t>Curitiba - PR</t>
        </is>
      </c>
      <c r="C1919" s="6" t="n">
        <v>-25.4195</v>
      </c>
      <c r="D1919" s="6" t="n">
        <v>-49.2646</v>
      </c>
      <c r="E1919" s="6" t="inlineStr">
        <is>
          <t>2021-10</t>
        </is>
      </c>
      <c r="F1919" s="6" t="n">
        <v>262735.5186545649</v>
      </c>
      <c r="G1919" s="6" t="inlineStr">
        <is>
          <t>DOMESTICA</t>
        </is>
      </c>
      <c r="H1919" s="6" t="inlineStr">
        <is>
          <t>FIXO</t>
        </is>
      </c>
      <c r="I1919" s="11">
        <f>IF($H1919="AUTO_OFERTA_TOTAL_PRODUTO_PERIODO",SUMIFS(Oferta!$F:$F,Oferta!$A:$A,$A1919,Oferta!$E:$E,$E1919),$F1919)</f>
        <v/>
      </c>
      <c r="J1919" s="6" t="inlineStr">
        <is>
          <t>Informado</t>
        </is>
      </c>
      <c r="K1919" s="6" t="inlineStr">
        <is>
          <t>Demanda doméstica fixa informada pelo usuário.</t>
        </is>
      </c>
    </row>
    <row r="1920">
      <c r="A1920" s="6" t="inlineStr">
        <is>
          <t>Soja</t>
        </is>
      </c>
      <c r="B1920" s="6" t="inlineStr">
        <is>
          <t>Curitiba - PR</t>
        </is>
      </c>
      <c r="C1920" s="6" t="n">
        <v>-25.4195</v>
      </c>
      <c r="D1920" s="6" t="n">
        <v>-49.2646</v>
      </c>
      <c r="E1920" s="6" t="inlineStr">
        <is>
          <t>2021-11</t>
        </is>
      </c>
      <c r="F1920" s="6" t="n">
        <v>262735.5186545649</v>
      </c>
      <c r="G1920" s="6" t="inlineStr">
        <is>
          <t>DOMESTICA</t>
        </is>
      </c>
      <c r="H1920" s="6" t="inlineStr">
        <is>
          <t>FIXO</t>
        </is>
      </c>
      <c r="I1920" s="11">
        <f>IF($H1920="AUTO_OFERTA_TOTAL_PRODUTO_PERIODO",SUMIFS(Oferta!$F:$F,Oferta!$A:$A,$A1920,Oferta!$E:$E,$E1920),$F1920)</f>
        <v/>
      </c>
      <c r="J1920" s="6" t="inlineStr">
        <is>
          <t>Informado</t>
        </is>
      </c>
      <c r="K1920" s="6" t="inlineStr">
        <is>
          <t>Demanda doméstica fixa informada pelo usuário.</t>
        </is>
      </c>
    </row>
    <row r="1921">
      <c r="A1921" s="6" t="inlineStr">
        <is>
          <t>Soja</t>
        </is>
      </c>
      <c r="B1921" s="6" t="inlineStr">
        <is>
          <t>Curitiba - PR</t>
        </is>
      </c>
      <c r="C1921" s="6" t="n">
        <v>-25.4195</v>
      </c>
      <c r="D1921" s="6" t="n">
        <v>-49.2646</v>
      </c>
      <c r="E1921" s="6" t="inlineStr">
        <is>
          <t>2021-12</t>
        </is>
      </c>
      <c r="F1921" s="6" t="n">
        <v>262735.5186545649</v>
      </c>
      <c r="G1921" s="6" t="inlineStr">
        <is>
          <t>DOMESTICA</t>
        </is>
      </c>
      <c r="H1921" s="6" t="inlineStr">
        <is>
          <t>FIXO</t>
        </is>
      </c>
      <c r="I1921" s="11">
        <f>IF($H1921="AUTO_OFERTA_TOTAL_PRODUTO_PERIODO",SUMIFS(Oferta!$F:$F,Oferta!$A:$A,$A1921,Oferta!$E:$E,$E1921),$F1921)</f>
        <v/>
      </c>
      <c r="J1921" s="6" t="inlineStr">
        <is>
          <t>Informado</t>
        </is>
      </c>
      <c r="K1921" s="6" t="inlineStr">
        <is>
          <t>Demanda doméstica fixa informada pelo usuário.</t>
        </is>
      </c>
    </row>
    <row r="1922">
      <c r="A1922" s="6" t="inlineStr">
        <is>
          <t>Soja</t>
        </is>
      </c>
      <c r="B1922" s="6" t="inlineStr">
        <is>
          <t>Florianópolis - SC</t>
        </is>
      </c>
      <c r="C1922" s="6" t="n">
        <v>-27.5945</v>
      </c>
      <c r="D1922" s="6" t="n">
        <v>-48.5477</v>
      </c>
      <c r="E1922" s="6" t="inlineStr">
        <is>
          <t>2021-01</t>
        </is>
      </c>
      <c r="F1922" s="6" t="n">
        <v>115624.2169041278</v>
      </c>
      <c r="G1922" s="6" t="inlineStr">
        <is>
          <t>DOMESTICA</t>
        </is>
      </c>
      <c r="H1922" s="6" t="inlineStr">
        <is>
          <t>FIXO</t>
        </is>
      </c>
      <c r="I1922" s="11">
        <f>IF($H1922="AUTO_OFERTA_TOTAL_PRODUTO_PERIODO",SUMIFS(Oferta!$F:$F,Oferta!$A:$A,$A1922,Oferta!$E:$E,$E1922),$F1922)</f>
        <v/>
      </c>
      <c r="J1922" s="6" t="inlineStr">
        <is>
          <t>Informado</t>
        </is>
      </c>
      <c r="K1922" s="6" t="inlineStr">
        <is>
          <t>Demanda doméstica fixa informada pelo usuário.</t>
        </is>
      </c>
    </row>
    <row r="1923">
      <c r="A1923" s="6" t="inlineStr">
        <is>
          <t>Soja</t>
        </is>
      </c>
      <c r="B1923" s="6" t="inlineStr">
        <is>
          <t>Florianópolis - SC</t>
        </is>
      </c>
      <c r="C1923" s="6" t="n">
        <v>-27.5945</v>
      </c>
      <c r="D1923" s="6" t="n">
        <v>-48.5477</v>
      </c>
      <c r="E1923" s="6" t="inlineStr">
        <is>
          <t>2021-02</t>
        </is>
      </c>
      <c r="F1923" s="6" t="n">
        <v>115624.2169041278</v>
      </c>
      <c r="G1923" s="6" t="inlineStr">
        <is>
          <t>DOMESTICA</t>
        </is>
      </c>
      <c r="H1923" s="6" t="inlineStr">
        <is>
          <t>FIXO</t>
        </is>
      </c>
      <c r="I1923" s="11">
        <f>IF($H1923="AUTO_OFERTA_TOTAL_PRODUTO_PERIODO",SUMIFS(Oferta!$F:$F,Oferta!$A:$A,$A1923,Oferta!$E:$E,$E1923),$F1923)</f>
        <v/>
      </c>
      <c r="J1923" s="6" t="inlineStr">
        <is>
          <t>Informado</t>
        </is>
      </c>
      <c r="K1923" s="6" t="inlineStr">
        <is>
          <t>Demanda doméstica fixa informada pelo usuário.</t>
        </is>
      </c>
    </row>
    <row r="1924">
      <c r="A1924" s="6" t="inlineStr">
        <is>
          <t>Soja</t>
        </is>
      </c>
      <c r="B1924" s="6" t="inlineStr">
        <is>
          <t>Florianópolis - SC</t>
        </is>
      </c>
      <c r="C1924" s="6" t="n">
        <v>-27.5945</v>
      </c>
      <c r="D1924" s="6" t="n">
        <v>-48.5477</v>
      </c>
      <c r="E1924" s="6" t="inlineStr">
        <is>
          <t>2021-03</t>
        </is>
      </c>
      <c r="F1924" s="6" t="n">
        <v>185435.0648462426</v>
      </c>
      <c r="G1924" s="6" t="inlineStr">
        <is>
          <t>DOMESTICA</t>
        </is>
      </c>
      <c r="H1924" s="6" t="inlineStr">
        <is>
          <t>FIXO</t>
        </is>
      </c>
      <c r="I1924" s="11">
        <f>IF($H1924="AUTO_OFERTA_TOTAL_PRODUTO_PERIODO",SUMIFS(Oferta!$F:$F,Oferta!$A:$A,$A1924,Oferta!$E:$E,$E1924),$F1924)</f>
        <v/>
      </c>
      <c r="J1924" s="6" t="inlineStr">
        <is>
          <t>Informado</t>
        </is>
      </c>
      <c r="K1924" s="6" t="inlineStr">
        <is>
          <t>Demanda doméstica fixa informada pelo usuário.</t>
        </is>
      </c>
    </row>
    <row r="1925">
      <c r="A1925" s="6" t="inlineStr">
        <is>
          <t>Soja</t>
        </is>
      </c>
      <c r="B1925" s="6" t="inlineStr">
        <is>
          <t>Florianópolis - SC</t>
        </is>
      </c>
      <c r="C1925" s="6" t="n">
        <v>-27.5945</v>
      </c>
      <c r="D1925" s="6" t="n">
        <v>-48.5477</v>
      </c>
      <c r="E1925" s="6" t="inlineStr">
        <is>
          <t>2021-04</t>
        </is>
      </c>
      <c r="F1925" s="6" t="n">
        <v>325056.7607304723</v>
      </c>
      <c r="G1925" s="6" t="inlineStr">
        <is>
          <t>DOMESTICA</t>
        </is>
      </c>
      <c r="H1925" s="6" t="inlineStr">
        <is>
          <t>FIXO</t>
        </is>
      </c>
      <c r="I1925" s="11">
        <f>IF($H1925="AUTO_OFERTA_TOTAL_PRODUTO_PERIODO",SUMIFS(Oferta!$F:$F,Oferta!$A:$A,$A1925,Oferta!$E:$E,$E1925),$F1925)</f>
        <v/>
      </c>
      <c r="J1925" s="6" t="inlineStr">
        <is>
          <t>Informado</t>
        </is>
      </c>
      <c r="K1925" s="6" t="inlineStr">
        <is>
          <t>Demanda doméstica fixa informada pelo usuário.</t>
        </is>
      </c>
    </row>
    <row r="1926">
      <c r="A1926" s="6" t="inlineStr">
        <is>
          <t>Soja</t>
        </is>
      </c>
      <c r="B1926" s="6" t="inlineStr">
        <is>
          <t>Florianópolis - SC</t>
        </is>
      </c>
      <c r="C1926" s="6" t="n">
        <v>-27.5945</v>
      </c>
      <c r="D1926" s="6" t="n">
        <v>-48.5477</v>
      </c>
      <c r="E1926" s="6" t="inlineStr">
        <is>
          <t>2021-05</t>
        </is>
      </c>
      <c r="F1926" s="6" t="n">
        <v>464678.456614702</v>
      </c>
      <c r="G1926" s="6" t="inlineStr">
        <is>
          <t>DOMESTICA</t>
        </is>
      </c>
      <c r="H1926" s="6" t="inlineStr">
        <is>
          <t>FIXO</t>
        </is>
      </c>
      <c r="I1926" s="11">
        <f>IF($H1926="AUTO_OFERTA_TOTAL_PRODUTO_PERIODO",SUMIFS(Oferta!$F:$F,Oferta!$A:$A,$A1926,Oferta!$E:$E,$E1926),$F1926)</f>
        <v/>
      </c>
      <c r="J1926" s="6" t="inlineStr">
        <is>
          <t>Informado</t>
        </is>
      </c>
      <c r="K1926" s="6" t="inlineStr">
        <is>
          <t>Demanda doméstica fixa informada pelo usuário.</t>
        </is>
      </c>
    </row>
    <row r="1927">
      <c r="A1927" s="6" t="inlineStr">
        <is>
          <t>Soja</t>
        </is>
      </c>
      <c r="B1927" s="6" t="inlineStr">
        <is>
          <t>Florianópolis - SC</t>
        </is>
      </c>
      <c r="C1927" s="6" t="n">
        <v>-27.5945</v>
      </c>
      <c r="D1927" s="6" t="n">
        <v>-48.5477</v>
      </c>
      <c r="E1927" s="6" t="inlineStr">
        <is>
          <t>2021-06</t>
        </is>
      </c>
      <c r="F1927" s="6" t="n">
        <v>464678.456614702</v>
      </c>
      <c r="G1927" s="6" t="inlineStr">
        <is>
          <t>DOMESTICA</t>
        </is>
      </c>
      <c r="H1927" s="6" t="inlineStr">
        <is>
          <t>FIXO</t>
        </is>
      </c>
      <c r="I1927" s="11">
        <f>IF($H1927="AUTO_OFERTA_TOTAL_PRODUTO_PERIODO",SUMIFS(Oferta!$F:$F,Oferta!$A:$A,$A1927,Oferta!$E:$E,$E1927),$F1927)</f>
        <v/>
      </c>
      <c r="J1927" s="6" t="inlineStr">
        <is>
          <t>Informado</t>
        </is>
      </c>
      <c r="K1927" s="6" t="inlineStr">
        <is>
          <t>Demanda doméstica fixa informada pelo usuário.</t>
        </is>
      </c>
    </row>
    <row r="1928">
      <c r="A1928" s="6" t="inlineStr">
        <is>
          <t>Soja</t>
        </is>
      </c>
      <c r="B1928" s="6" t="inlineStr">
        <is>
          <t>Florianópolis - SC</t>
        </is>
      </c>
      <c r="C1928" s="6" t="n">
        <v>-27.5945</v>
      </c>
      <c r="D1928" s="6" t="n">
        <v>-48.5477</v>
      </c>
      <c r="E1928" s="6" t="inlineStr">
        <is>
          <t>2021-07</t>
        </is>
      </c>
      <c r="F1928" s="6" t="n">
        <v>325056.7607304723</v>
      </c>
      <c r="G1928" s="6" t="inlineStr">
        <is>
          <t>DOMESTICA</t>
        </is>
      </c>
      <c r="H1928" s="6" t="inlineStr">
        <is>
          <t>FIXO</t>
        </is>
      </c>
      <c r="I1928" s="11">
        <f>IF($H1928="AUTO_OFERTA_TOTAL_PRODUTO_PERIODO",SUMIFS(Oferta!$F:$F,Oferta!$A:$A,$A1928,Oferta!$E:$E,$E1928),$F1928)</f>
        <v/>
      </c>
      <c r="J1928" s="6" t="inlineStr">
        <is>
          <t>Informado</t>
        </is>
      </c>
      <c r="K1928" s="6" t="inlineStr">
        <is>
          <t>Demanda doméstica fixa informada pelo usuário.</t>
        </is>
      </c>
    </row>
    <row r="1929">
      <c r="A1929" s="6" t="inlineStr">
        <is>
          <t>Soja</t>
        </is>
      </c>
      <c r="B1929" s="6" t="inlineStr">
        <is>
          <t>Florianópolis - SC</t>
        </is>
      </c>
      <c r="C1929" s="6" t="n">
        <v>-27.5945</v>
      </c>
      <c r="D1929" s="6" t="n">
        <v>-48.5477</v>
      </c>
      <c r="E1929" s="6" t="inlineStr">
        <is>
          <t>2021-08</t>
        </is>
      </c>
      <c r="F1929" s="6" t="n">
        <v>185435.0648462426</v>
      </c>
      <c r="G1929" s="6" t="inlineStr">
        <is>
          <t>DOMESTICA</t>
        </is>
      </c>
      <c r="H1929" s="6" t="inlineStr">
        <is>
          <t>FIXO</t>
        </is>
      </c>
      <c r="I1929" s="11">
        <f>IF($H1929="AUTO_OFERTA_TOTAL_PRODUTO_PERIODO",SUMIFS(Oferta!$F:$F,Oferta!$A:$A,$A1929,Oferta!$E:$E,$E1929),$F1929)</f>
        <v/>
      </c>
      <c r="J1929" s="6" t="inlineStr">
        <is>
          <t>Informado</t>
        </is>
      </c>
      <c r="K1929" s="6" t="inlineStr">
        <is>
          <t>Demanda doméstica fixa informada pelo usuário.</t>
        </is>
      </c>
    </row>
    <row r="1930">
      <c r="A1930" s="6" t="inlineStr">
        <is>
          <t>Soja</t>
        </is>
      </c>
      <c r="B1930" s="6" t="inlineStr">
        <is>
          <t>Florianópolis - SC</t>
        </is>
      </c>
      <c r="C1930" s="6" t="n">
        <v>-27.5945</v>
      </c>
      <c r="D1930" s="6" t="n">
        <v>-48.5477</v>
      </c>
      <c r="E1930" s="6" t="inlineStr">
        <is>
          <t>2021-09</t>
        </is>
      </c>
      <c r="F1930" s="6" t="n">
        <v>115624.2169041278</v>
      </c>
      <c r="G1930" s="6" t="inlineStr">
        <is>
          <t>DOMESTICA</t>
        </is>
      </c>
      <c r="H1930" s="6" t="inlineStr">
        <is>
          <t>FIXO</t>
        </is>
      </c>
      <c r="I1930" s="11">
        <f>IF($H1930="AUTO_OFERTA_TOTAL_PRODUTO_PERIODO",SUMIFS(Oferta!$F:$F,Oferta!$A:$A,$A1930,Oferta!$E:$E,$E1930),$F1930)</f>
        <v/>
      </c>
      <c r="J1930" s="6" t="inlineStr">
        <is>
          <t>Informado</t>
        </is>
      </c>
      <c r="K1930" s="6" t="inlineStr">
        <is>
          <t>Demanda doméstica fixa informada pelo usuário.</t>
        </is>
      </c>
    </row>
    <row r="1931">
      <c r="A1931" s="6" t="inlineStr">
        <is>
          <t>Soja</t>
        </is>
      </c>
      <c r="B1931" s="6" t="inlineStr">
        <is>
          <t>Florianópolis - SC</t>
        </is>
      </c>
      <c r="C1931" s="6" t="n">
        <v>-27.5945</v>
      </c>
      <c r="D1931" s="6" t="n">
        <v>-48.5477</v>
      </c>
      <c r="E1931" s="6" t="inlineStr">
        <is>
          <t>2021-10</t>
        </is>
      </c>
      <c r="F1931" s="6" t="n">
        <v>115624.2169041278</v>
      </c>
      <c r="G1931" s="6" t="inlineStr">
        <is>
          <t>DOMESTICA</t>
        </is>
      </c>
      <c r="H1931" s="6" t="inlineStr">
        <is>
          <t>FIXO</t>
        </is>
      </c>
      <c r="I1931" s="11">
        <f>IF($H1931="AUTO_OFERTA_TOTAL_PRODUTO_PERIODO",SUMIFS(Oferta!$F:$F,Oferta!$A:$A,$A1931,Oferta!$E:$E,$E1931),$F1931)</f>
        <v/>
      </c>
      <c r="J1931" s="6" t="inlineStr">
        <is>
          <t>Informado</t>
        </is>
      </c>
      <c r="K1931" s="6" t="inlineStr">
        <is>
          <t>Demanda doméstica fixa informada pelo usuário.</t>
        </is>
      </c>
    </row>
    <row r="1932">
      <c r="A1932" s="6" t="inlineStr">
        <is>
          <t>Soja</t>
        </is>
      </c>
      <c r="B1932" s="6" t="inlineStr">
        <is>
          <t>Florianópolis - SC</t>
        </is>
      </c>
      <c r="C1932" s="6" t="n">
        <v>-27.5945</v>
      </c>
      <c r="D1932" s="6" t="n">
        <v>-48.5477</v>
      </c>
      <c r="E1932" s="6" t="inlineStr">
        <is>
          <t>2021-11</t>
        </is>
      </c>
      <c r="F1932" s="6" t="n">
        <v>115624.2169041278</v>
      </c>
      <c r="G1932" s="6" t="inlineStr">
        <is>
          <t>DOMESTICA</t>
        </is>
      </c>
      <c r="H1932" s="6" t="inlineStr">
        <is>
          <t>FIXO</t>
        </is>
      </c>
      <c r="I1932" s="11">
        <f>IF($H1932="AUTO_OFERTA_TOTAL_PRODUTO_PERIODO",SUMIFS(Oferta!$F:$F,Oferta!$A:$A,$A1932,Oferta!$E:$E,$E1932),$F1932)</f>
        <v/>
      </c>
      <c r="J1932" s="6" t="inlineStr">
        <is>
          <t>Informado</t>
        </is>
      </c>
      <c r="K1932" s="6" t="inlineStr">
        <is>
          <t>Demanda doméstica fixa informada pelo usuário.</t>
        </is>
      </c>
    </row>
    <row r="1933">
      <c r="A1933" s="6" t="inlineStr">
        <is>
          <t>Soja</t>
        </is>
      </c>
      <c r="B1933" s="6" t="inlineStr">
        <is>
          <t>Florianópolis - SC</t>
        </is>
      </c>
      <c r="C1933" s="6" t="n">
        <v>-27.5945</v>
      </c>
      <c r="D1933" s="6" t="n">
        <v>-48.5477</v>
      </c>
      <c r="E1933" s="6" t="inlineStr">
        <is>
          <t>2021-12</t>
        </is>
      </c>
      <c r="F1933" s="6" t="n">
        <v>115624.2169041278</v>
      </c>
      <c r="G1933" s="6" t="inlineStr">
        <is>
          <t>DOMESTICA</t>
        </is>
      </c>
      <c r="H1933" s="6" t="inlineStr">
        <is>
          <t>FIXO</t>
        </is>
      </c>
      <c r="I1933" s="11">
        <f>IF($H1933="AUTO_OFERTA_TOTAL_PRODUTO_PERIODO",SUMIFS(Oferta!$F:$F,Oferta!$A:$A,$A1933,Oferta!$E:$E,$E1933),$F1933)</f>
        <v/>
      </c>
      <c r="J1933" s="6" t="inlineStr">
        <is>
          <t>Informado</t>
        </is>
      </c>
      <c r="K1933" s="6" t="inlineStr">
        <is>
          <t>Demanda doméstica fixa informada pelo usuário.</t>
        </is>
      </c>
    </row>
    <row r="1934">
      <c r="A1934" s="6" t="inlineStr">
        <is>
          <t>Soja</t>
        </is>
      </c>
      <c r="B1934" s="6" t="inlineStr">
        <is>
          <t>Porto Alegre - RS</t>
        </is>
      </c>
      <c r="C1934" s="6" t="n">
        <v>-30.0318</v>
      </c>
      <c r="D1934" s="6" t="n">
        <v>-51.2065</v>
      </c>
      <c r="E1934" s="6" t="inlineStr">
        <is>
          <t>2021-01</t>
        </is>
      </c>
      <c r="F1934" s="6" t="n">
        <v>237084.3496129983</v>
      </c>
      <c r="G1934" s="6" t="inlineStr">
        <is>
          <t>DOMESTICA</t>
        </is>
      </c>
      <c r="H1934" s="6" t="inlineStr">
        <is>
          <t>FIXO</t>
        </is>
      </c>
      <c r="I1934" s="11">
        <f>IF($H1934="AUTO_OFERTA_TOTAL_PRODUTO_PERIODO",SUMIFS(Oferta!$F:$F,Oferta!$A:$A,$A1934,Oferta!$E:$E,$E1934),$F1934)</f>
        <v/>
      </c>
      <c r="J1934" s="6" t="inlineStr">
        <is>
          <t>Informado</t>
        </is>
      </c>
      <c r="K1934" s="6" t="inlineStr">
        <is>
          <t>Demanda doméstica fixa informada pelo usuário.</t>
        </is>
      </c>
    </row>
    <row r="1935">
      <c r="A1935" s="6" t="inlineStr">
        <is>
          <t>Soja</t>
        </is>
      </c>
      <c r="B1935" s="6" t="inlineStr">
        <is>
          <t>Porto Alegre - RS</t>
        </is>
      </c>
      <c r="C1935" s="6" t="n">
        <v>-30.0318</v>
      </c>
      <c r="D1935" s="6" t="n">
        <v>-51.2065</v>
      </c>
      <c r="E1935" s="6" t="inlineStr">
        <is>
          <t>2021-02</t>
        </is>
      </c>
      <c r="F1935" s="6" t="n">
        <v>308656.9834584316</v>
      </c>
      <c r="G1935" s="6" t="inlineStr">
        <is>
          <t>DOMESTICA</t>
        </is>
      </c>
      <c r="H1935" s="6" t="inlineStr">
        <is>
          <t>FIXO</t>
        </is>
      </c>
      <c r="I1935" s="11">
        <f>IF($H1935="AUTO_OFERTA_TOTAL_PRODUTO_PERIODO",SUMIFS(Oferta!$F:$F,Oferta!$A:$A,$A1935,Oferta!$E:$E,$E1935),$F1935)</f>
        <v/>
      </c>
      <c r="J1935" s="6" t="inlineStr">
        <is>
          <t>Informado</t>
        </is>
      </c>
      <c r="K1935" s="6" t="inlineStr">
        <is>
          <t>Demanda doméstica fixa informada pelo usuário.</t>
        </is>
      </c>
    </row>
    <row r="1936">
      <c r="A1936" s="6" t="inlineStr">
        <is>
          <t>Soja</t>
        </is>
      </c>
      <c r="B1936" s="6" t="inlineStr">
        <is>
          <t>Porto Alegre - RS</t>
        </is>
      </c>
      <c r="C1936" s="6" t="n">
        <v>-30.0318</v>
      </c>
      <c r="D1936" s="6" t="n">
        <v>-51.2065</v>
      </c>
      <c r="E1936" s="6" t="inlineStr">
        <is>
          <t>2021-03</t>
        </is>
      </c>
      <c r="F1936" s="6" t="n">
        <v>451802.2511492984</v>
      </c>
      <c r="G1936" s="6" t="inlineStr">
        <is>
          <t>DOMESTICA</t>
        </is>
      </c>
      <c r="H1936" s="6" t="inlineStr">
        <is>
          <t>FIXO</t>
        </is>
      </c>
      <c r="I1936" s="11">
        <f>IF($H1936="AUTO_OFERTA_TOTAL_PRODUTO_PERIODO",SUMIFS(Oferta!$F:$F,Oferta!$A:$A,$A1936,Oferta!$E:$E,$E1936),$F1936)</f>
        <v/>
      </c>
      <c r="J1936" s="6" t="inlineStr">
        <is>
          <t>Informado</t>
        </is>
      </c>
      <c r="K1936" s="6" t="inlineStr">
        <is>
          <t>Demanda doméstica fixa informada pelo usuário.</t>
        </is>
      </c>
    </row>
    <row r="1937">
      <c r="A1937" s="6" t="inlineStr">
        <is>
          <t>Soja</t>
        </is>
      </c>
      <c r="B1937" s="6" t="inlineStr">
        <is>
          <t>Porto Alegre - RS</t>
        </is>
      </c>
      <c r="C1937" s="6" t="n">
        <v>-30.0318</v>
      </c>
      <c r="D1937" s="6" t="n">
        <v>-51.2065</v>
      </c>
      <c r="E1937" s="6" t="inlineStr">
        <is>
          <t>2021-04</t>
        </is>
      </c>
      <c r="F1937" s="6" t="n">
        <v>881238.0542218991</v>
      </c>
      <c r="G1937" s="6" t="inlineStr">
        <is>
          <t>DOMESTICA</t>
        </is>
      </c>
      <c r="H1937" s="6" t="inlineStr">
        <is>
          <t>FIXO</t>
        </is>
      </c>
      <c r="I1937" s="11">
        <f>IF($H1937="AUTO_OFERTA_TOTAL_PRODUTO_PERIODO",SUMIFS(Oferta!$F:$F,Oferta!$A:$A,$A1937,Oferta!$E:$E,$E1937),$F1937)</f>
        <v/>
      </c>
      <c r="J1937" s="6" t="inlineStr">
        <is>
          <t>Informado</t>
        </is>
      </c>
      <c r="K1937" s="6" t="inlineStr">
        <is>
          <t>Demanda doméstica fixa informada pelo usuário.</t>
        </is>
      </c>
    </row>
    <row r="1938">
      <c r="A1938" s="6" t="inlineStr">
        <is>
          <t>Soja</t>
        </is>
      </c>
      <c r="B1938" s="6" t="inlineStr">
        <is>
          <t>Porto Alegre - RS</t>
        </is>
      </c>
      <c r="C1938" s="6" t="n">
        <v>-30.0318</v>
      </c>
      <c r="D1938" s="6" t="n">
        <v>-51.2065</v>
      </c>
      <c r="E1938" s="6" t="inlineStr">
        <is>
          <t>2021-05</t>
        </is>
      </c>
      <c r="F1938" s="6" t="n">
        <v>952810.6880673324</v>
      </c>
      <c r="G1938" s="6" t="inlineStr">
        <is>
          <t>DOMESTICA</t>
        </is>
      </c>
      <c r="H1938" s="6" t="inlineStr">
        <is>
          <t>FIXO</t>
        </is>
      </c>
      <c r="I1938" s="11">
        <f>IF($H1938="AUTO_OFERTA_TOTAL_PRODUTO_PERIODO",SUMIFS(Oferta!$F:$F,Oferta!$A:$A,$A1938,Oferta!$E:$E,$E1938),$F1938)</f>
        <v/>
      </c>
      <c r="J1938" s="6" t="inlineStr">
        <is>
          <t>Informado</t>
        </is>
      </c>
      <c r="K1938" s="6" t="inlineStr">
        <is>
          <t>Demanda doméstica fixa informada pelo usuário.</t>
        </is>
      </c>
    </row>
    <row r="1939">
      <c r="A1939" s="6" t="inlineStr">
        <is>
          <t>Soja</t>
        </is>
      </c>
      <c r="B1939" s="6" t="inlineStr">
        <is>
          <t>Porto Alegre - RS</t>
        </is>
      </c>
      <c r="C1939" s="6" t="n">
        <v>-30.0318</v>
      </c>
      <c r="D1939" s="6" t="n">
        <v>-51.2065</v>
      </c>
      <c r="E1939" s="6" t="inlineStr">
        <is>
          <t>2021-06</t>
        </is>
      </c>
      <c r="F1939" s="6" t="n">
        <v>881238.0542218991</v>
      </c>
      <c r="G1939" s="6" t="inlineStr">
        <is>
          <t>DOMESTICA</t>
        </is>
      </c>
      <c r="H1939" s="6" t="inlineStr">
        <is>
          <t>FIXO</t>
        </is>
      </c>
      <c r="I1939" s="11">
        <f>IF($H1939="AUTO_OFERTA_TOTAL_PRODUTO_PERIODO",SUMIFS(Oferta!$F:$F,Oferta!$A:$A,$A1939,Oferta!$E:$E,$E1939),$F1939)</f>
        <v/>
      </c>
      <c r="J1939" s="6" t="inlineStr">
        <is>
          <t>Informado</t>
        </is>
      </c>
      <c r="K1939" s="6" t="inlineStr">
        <is>
          <t>Demanda doméstica fixa informada pelo usuário.</t>
        </is>
      </c>
    </row>
    <row r="1940">
      <c r="A1940" s="6" t="inlineStr">
        <is>
          <t>Soja</t>
        </is>
      </c>
      <c r="B1940" s="6" t="inlineStr">
        <is>
          <t>Porto Alegre - RS</t>
        </is>
      </c>
      <c r="C1940" s="6" t="n">
        <v>-30.0318</v>
      </c>
      <c r="D1940" s="6" t="n">
        <v>-51.2065</v>
      </c>
      <c r="E1940" s="6" t="inlineStr">
        <is>
          <t>2021-07</t>
        </is>
      </c>
      <c r="F1940" s="6" t="n">
        <v>451802.2511492985</v>
      </c>
      <c r="G1940" s="6" t="inlineStr">
        <is>
          <t>DOMESTICA</t>
        </is>
      </c>
      <c r="H1940" s="6" t="inlineStr">
        <is>
          <t>FIXO</t>
        </is>
      </c>
      <c r="I1940" s="11">
        <f>IF($H1940="AUTO_OFERTA_TOTAL_PRODUTO_PERIODO",SUMIFS(Oferta!$F:$F,Oferta!$A:$A,$A1940,Oferta!$E:$E,$E1940),$F1940)</f>
        <v/>
      </c>
      <c r="J1940" s="6" t="inlineStr">
        <is>
          <t>Informado</t>
        </is>
      </c>
      <c r="K1940" s="6" t="inlineStr">
        <is>
          <t>Demanda doméstica fixa informada pelo usuário.</t>
        </is>
      </c>
    </row>
    <row r="1941">
      <c r="A1941" s="6" t="inlineStr">
        <is>
          <t>Soja</t>
        </is>
      </c>
      <c r="B1941" s="6" t="inlineStr">
        <is>
          <t>Porto Alegre - RS</t>
        </is>
      </c>
      <c r="C1941" s="6" t="n">
        <v>-30.0318</v>
      </c>
      <c r="D1941" s="6" t="n">
        <v>-51.2065</v>
      </c>
      <c r="E1941" s="6" t="inlineStr">
        <is>
          <t>2021-08</t>
        </is>
      </c>
      <c r="F1941" s="6" t="n">
        <v>308656.9834584316</v>
      </c>
      <c r="G1941" s="6" t="inlineStr">
        <is>
          <t>DOMESTICA</t>
        </is>
      </c>
      <c r="H1941" s="6" t="inlineStr">
        <is>
          <t>FIXO</t>
        </is>
      </c>
      <c r="I1941" s="11">
        <f>IF($H1941="AUTO_OFERTA_TOTAL_PRODUTO_PERIODO",SUMIFS(Oferta!$F:$F,Oferta!$A:$A,$A1941,Oferta!$E:$E,$E1941),$F1941)</f>
        <v/>
      </c>
      <c r="J1941" s="6" t="inlineStr">
        <is>
          <t>Informado</t>
        </is>
      </c>
      <c r="K1941" s="6" t="inlineStr">
        <is>
          <t>Demanda doméstica fixa informada pelo usuário.</t>
        </is>
      </c>
    </row>
    <row r="1942">
      <c r="A1942" s="6" t="inlineStr">
        <is>
          <t>Soja</t>
        </is>
      </c>
      <c r="B1942" s="6" t="inlineStr">
        <is>
          <t>Porto Alegre - RS</t>
        </is>
      </c>
      <c r="C1942" s="6" t="n">
        <v>-30.0318</v>
      </c>
      <c r="D1942" s="6" t="n">
        <v>-51.2065</v>
      </c>
      <c r="E1942" s="6" t="inlineStr">
        <is>
          <t>2021-09</t>
        </is>
      </c>
      <c r="F1942" s="6" t="n">
        <v>237084.3496129983</v>
      </c>
      <c r="G1942" s="6" t="inlineStr">
        <is>
          <t>DOMESTICA</t>
        </is>
      </c>
      <c r="H1942" s="6" t="inlineStr">
        <is>
          <t>FIXO</t>
        </is>
      </c>
      <c r="I1942" s="11">
        <f>IF($H1942="AUTO_OFERTA_TOTAL_PRODUTO_PERIODO",SUMIFS(Oferta!$F:$F,Oferta!$A:$A,$A1942,Oferta!$E:$E,$E1942),$F1942)</f>
        <v/>
      </c>
      <c r="J1942" s="6" t="inlineStr">
        <is>
          <t>Informado</t>
        </is>
      </c>
      <c r="K1942" s="6" t="inlineStr">
        <is>
          <t>Demanda doméstica fixa informada pelo usuário.</t>
        </is>
      </c>
    </row>
    <row r="1943">
      <c r="A1943" s="6" t="inlineStr">
        <is>
          <t>Soja</t>
        </is>
      </c>
      <c r="B1943" s="6" t="inlineStr">
        <is>
          <t>Porto Alegre - RS</t>
        </is>
      </c>
      <c r="C1943" s="6" t="n">
        <v>-30.0318</v>
      </c>
      <c r="D1943" s="6" t="n">
        <v>-51.2065</v>
      </c>
      <c r="E1943" s="6" t="inlineStr">
        <is>
          <t>2021-10</t>
        </is>
      </c>
      <c r="F1943" s="6" t="n">
        <v>237084.3496129983</v>
      </c>
      <c r="G1943" s="6" t="inlineStr">
        <is>
          <t>DOMESTICA</t>
        </is>
      </c>
      <c r="H1943" s="6" t="inlineStr">
        <is>
          <t>FIXO</t>
        </is>
      </c>
      <c r="I1943" s="11">
        <f>IF($H1943="AUTO_OFERTA_TOTAL_PRODUTO_PERIODO",SUMIFS(Oferta!$F:$F,Oferta!$A:$A,$A1943,Oferta!$E:$E,$E1943),$F1943)</f>
        <v/>
      </c>
      <c r="J1943" s="6" t="inlineStr">
        <is>
          <t>Informado</t>
        </is>
      </c>
      <c r="K1943" s="6" t="inlineStr">
        <is>
          <t>Demanda doméstica fixa informada pelo usuário.</t>
        </is>
      </c>
    </row>
    <row r="1944">
      <c r="A1944" s="6" t="inlineStr">
        <is>
          <t>Soja</t>
        </is>
      </c>
      <c r="B1944" s="6" t="inlineStr">
        <is>
          <t>Porto Alegre - RS</t>
        </is>
      </c>
      <c r="C1944" s="6" t="n">
        <v>-30.0318</v>
      </c>
      <c r="D1944" s="6" t="n">
        <v>-51.2065</v>
      </c>
      <c r="E1944" s="6" t="inlineStr">
        <is>
          <t>2021-11</t>
        </is>
      </c>
      <c r="F1944" s="6" t="n">
        <v>237084.3496129983</v>
      </c>
      <c r="G1944" s="6" t="inlineStr">
        <is>
          <t>DOMESTICA</t>
        </is>
      </c>
      <c r="H1944" s="6" t="inlineStr">
        <is>
          <t>FIXO</t>
        </is>
      </c>
      <c r="I1944" s="11">
        <f>IF($H1944="AUTO_OFERTA_TOTAL_PRODUTO_PERIODO",SUMIFS(Oferta!$F:$F,Oferta!$A:$A,$A1944,Oferta!$E:$E,$E1944),$F1944)</f>
        <v/>
      </c>
      <c r="J1944" s="6" t="inlineStr">
        <is>
          <t>Informado</t>
        </is>
      </c>
      <c r="K1944" s="6" t="inlineStr">
        <is>
          <t>Demanda doméstica fixa informada pelo usuário.</t>
        </is>
      </c>
    </row>
    <row r="1945">
      <c r="A1945" s="6" t="inlineStr">
        <is>
          <t>Soja</t>
        </is>
      </c>
      <c r="B1945" s="6" t="inlineStr">
        <is>
          <t>Porto Alegre - RS</t>
        </is>
      </c>
      <c r="C1945" s="6" t="n">
        <v>-30.0318</v>
      </c>
      <c r="D1945" s="6" t="n">
        <v>-51.2065</v>
      </c>
      <c r="E1945" s="6" t="inlineStr">
        <is>
          <t>2021-12</t>
        </is>
      </c>
      <c r="F1945" s="6" t="n">
        <v>237084.3496129983</v>
      </c>
      <c r="G1945" s="6" t="inlineStr">
        <is>
          <t>DOMESTICA</t>
        </is>
      </c>
      <c r="H1945" s="6" t="inlineStr">
        <is>
          <t>FIXO</t>
        </is>
      </c>
      <c r="I1945" s="11">
        <f>IF($H1945="AUTO_OFERTA_TOTAL_PRODUTO_PERIODO",SUMIFS(Oferta!$F:$F,Oferta!$A:$A,$A1945,Oferta!$E:$E,$E1945),$F1945)</f>
        <v/>
      </c>
      <c r="J1945" s="6" t="inlineStr">
        <is>
          <t>Informado</t>
        </is>
      </c>
      <c r="K1945" s="6" t="inlineStr">
        <is>
          <t>Demanda doméstica fixa informada pelo usuário.</t>
        </is>
      </c>
    </row>
    <row r="1946">
      <c r="A1946" s="6" t="inlineStr">
        <is>
          <t>Soja</t>
        </is>
      </c>
      <c r="B1946" s="6" t="inlineStr">
        <is>
          <t>Rio Branco - AC</t>
        </is>
      </c>
      <c r="C1946" s="6" t="n">
        <v>-9.97499</v>
      </c>
      <c r="D1946" s="6" t="n">
        <v>-67.82429999999999</v>
      </c>
      <c r="E1946" s="6" t="inlineStr">
        <is>
          <t>2022-01</t>
        </is>
      </c>
      <c r="F1946" s="6" t="n">
        <v>7282.8049949607</v>
      </c>
      <c r="G1946" s="6" t="inlineStr">
        <is>
          <t>DOMESTICA</t>
        </is>
      </c>
      <c r="H1946" s="6" t="inlineStr">
        <is>
          <t>FIXO</t>
        </is>
      </c>
      <c r="I1946" s="11">
        <f>IF($H1946="AUTO_OFERTA_TOTAL_PRODUTO_PERIODO",SUMIFS(Oferta!$F:$F,Oferta!$A:$A,$A1946,Oferta!$E:$E,$E1946),$F1946)</f>
        <v/>
      </c>
      <c r="J1946" s="6" t="inlineStr">
        <is>
          <t>Informado</t>
        </is>
      </c>
      <c r="K1946" s="6" t="inlineStr">
        <is>
          <t>Demanda doméstica fixa informada pelo usuário.</t>
        </is>
      </c>
    </row>
    <row r="1947">
      <c r="A1947" s="6" t="inlineStr">
        <is>
          <t>Soja</t>
        </is>
      </c>
      <c r="B1947" s="6" t="inlineStr">
        <is>
          <t>Rio Branco - AC</t>
        </is>
      </c>
      <c r="C1947" s="6" t="n">
        <v>-9.97499</v>
      </c>
      <c r="D1947" s="6" t="n">
        <v>-67.82429999999999</v>
      </c>
      <c r="E1947" s="6" t="inlineStr">
        <is>
          <t>2022-02</t>
        </is>
      </c>
      <c r="F1947" s="6" t="n">
        <v>7282.8049949607</v>
      </c>
      <c r="G1947" s="6" t="inlineStr">
        <is>
          <t>DOMESTICA</t>
        </is>
      </c>
      <c r="H1947" s="6" t="inlineStr">
        <is>
          <t>FIXO</t>
        </is>
      </c>
      <c r="I1947" s="11">
        <f>IF($H1947="AUTO_OFERTA_TOTAL_PRODUTO_PERIODO",SUMIFS(Oferta!$F:$F,Oferta!$A:$A,$A1947,Oferta!$E:$E,$E1947),$F1947)</f>
        <v/>
      </c>
      <c r="J1947" s="6" t="inlineStr">
        <is>
          <t>Informado</t>
        </is>
      </c>
      <c r="K1947" s="6" t="inlineStr">
        <is>
          <t>Demanda doméstica fixa informada pelo usuário.</t>
        </is>
      </c>
    </row>
    <row r="1948">
      <c r="A1948" s="6" t="inlineStr">
        <is>
          <t>Soja</t>
        </is>
      </c>
      <c r="B1948" s="6" t="inlineStr">
        <is>
          <t>Rio Branco - AC</t>
        </is>
      </c>
      <c r="C1948" s="6" t="n">
        <v>-9.97499</v>
      </c>
      <c r="D1948" s="6" t="n">
        <v>-67.82429999999999</v>
      </c>
      <c r="E1948" s="6" t="inlineStr">
        <is>
          <t>2022-03</t>
        </is>
      </c>
      <c r="F1948" s="6" t="n">
        <v>7282.8049949607</v>
      </c>
      <c r="G1948" s="6" t="inlineStr">
        <is>
          <t>DOMESTICA</t>
        </is>
      </c>
      <c r="H1948" s="6" t="inlineStr">
        <is>
          <t>FIXO</t>
        </is>
      </c>
      <c r="I1948" s="11">
        <f>IF($H1948="AUTO_OFERTA_TOTAL_PRODUTO_PERIODO",SUMIFS(Oferta!$F:$F,Oferta!$A:$A,$A1948,Oferta!$E:$E,$E1948),$F1948)</f>
        <v/>
      </c>
      <c r="J1948" s="6" t="inlineStr">
        <is>
          <t>Informado</t>
        </is>
      </c>
      <c r="K1948" s="6" t="inlineStr">
        <is>
          <t>Demanda doméstica fixa informada pelo usuário.</t>
        </is>
      </c>
    </row>
    <row r="1949">
      <c r="A1949" s="6" t="inlineStr">
        <is>
          <t>Soja</t>
        </is>
      </c>
      <c r="B1949" s="6" t="inlineStr">
        <is>
          <t>Rio Branco - AC</t>
        </is>
      </c>
      <c r="C1949" s="6" t="n">
        <v>-9.97499</v>
      </c>
      <c r="D1949" s="6" t="n">
        <v>-67.82429999999999</v>
      </c>
      <c r="E1949" s="6" t="inlineStr">
        <is>
          <t>2022-04</t>
        </is>
      </c>
      <c r="F1949" s="6" t="n">
        <v>7282.8049949607</v>
      </c>
      <c r="G1949" s="6" t="inlineStr">
        <is>
          <t>DOMESTICA</t>
        </is>
      </c>
      <c r="H1949" s="6" t="inlineStr">
        <is>
          <t>FIXO</t>
        </is>
      </c>
      <c r="I1949" s="11">
        <f>IF($H1949="AUTO_OFERTA_TOTAL_PRODUTO_PERIODO",SUMIFS(Oferta!$F:$F,Oferta!$A:$A,$A1949,Oferta!$E:$E,$E1949),$F1949)</f>
        <v/>
      </c>
      <c r="J1949" s="6" t="inlineStr">
        <is>
          <t>Informado</t>
        </is>
      </c>
      <c r="K1949" s="6" t="inlineStr">
        <is>
          <t>Demanda doméstica fixa informada pelo usuário.</t>
        </is>
      </c>
    </row>
    <row r="1950">
      <c r="A1950" s="6" t="inlineStr">
        <is>
          <t>Soja</t>
        </is>
      </c>
      <c r="B1950" s="6" t="inlineStr">
        <is>
          <t>Rio Branco - AC</t>
        </is>
      </c>
      <c r="C1950" s="6" t="n">
        <v>-9.97499</v>
      </c>
      <c r="D1950" s="6" t="n">
        <v>-67.82429999999999</v>
      </c>
      <c r="E1950" s="6" t="inlineStr">
        <is>
          <t>2022-05</t>
        </is>
      </c>
      <c r="F1950" s="6" t="n">
        <v>7282.8049949607</v>
      </c>
      <c r="G1950" s="6" t="inlineStr">
        <is>
          <t>DOMESTICA</t>
        </is>
      </c>
      <c r="H1950" s="6" t="inlineStr">
        <is>
          <t>FIXO</t>
        </is>
      </c>
      <c r="I1950" s="11">
        <f>IF($H1950="AUTO_OFERTA_TOTAL_PRODUTO_PERIODO",SUMIFS(Oferta!$F:$F,Oferta!$A:$A,$A1950,Oferta!$E:$E,$E1950),$F1950)</f>
        <v/>
      </c>
      <c r="J1950" s="6" t="inlineStr">
        <is>
          <t>Informado</t>
        </is>
      </c>
      <c r="K1950" s="6" t="inlineStr">
        <is>
          <t>Demanda doméstica fixa informada pelo usuário.</t>
        </is>
      </c>
    </row>
    <row r="1951">
      <c r="A1951" s="6" t="inlineStr">
        <is>
          <t>Soja</t>
        </is>
      </c>
      <c r="B1951" s="6" t="inlineStr">
        <is>
          <t>Rio Branco - AC</t>
        </is>
      </c>
      <c r="C1951" s="6" t="n">
        <v>-9.97499</v>
      </c>
      <c r="D1951" s="6" t="n">
        <v>-67.82429999999999</v>
      </c>
      <c r="E1951" s="6" t="inlineStr">
        <is>
          <t>2022-06</t>
        </is>
      </c>
      <c r="F1951" s="6" t="n">
        <v>7282.8049949607</v>
      </c>
      <c r="G1951" s="6" t="inlineStr">
        <is>
          <t>DOMESTICA</t>
        </is>
      </c>
      <c r="H1951" s="6" t="inlineStr">
        <is>
          <t>FIXO</t>
        </is>
      </c>
      <c r="I1951" s="11">
        <f>IF($H1951="AUTO_OFERTA_TOTAL_PRODUTO_PERIODO",SUMIFS(Oferta!$F:$F,Oferta!$A:$A,$A1951,Oferta!$E:$E,$E1951),$F1951)</f>
        <v/>
      </c>
      <c r="J1951" s="6" t="inlineStr">
        <is>
          <t>Informado</t>
        </is>
      </c>
      <c r="K1951" s="6" t="inlineStr">
        <is>
          <t>Demanda doméstica fixa informada pelo usuário.</t>
        </is>
      </c>
    </row>
    <row r="1952">
      <c r="A1952" s="6" t="inlineStr">
        <is>
          <t>Soja</t>
        </is>
      </c>
      <c r="B1952" s="6" t="inlineStr">
        <is>
          <t>Rio Branco - AC</t>
        </is>
      </c>
      <c r="C1952" s="6" t="n">
        <v>-9.97499</v>
      </c>
      <c r="D1952" s="6" t="n">
        <v>-67.82429999999999</v>
      </c>
      <c r="E1952" s="6" t="inlineStr">
        <is>
          <t>2022-07</t>
        </is>
      </c>
      <c r="F1952" s="6" t="n">
        <v>7282.8049949607</v>
      </c>
      <c r="G1952" s="6" t="inlineStr">
        <is>
          <t>DOMESTICA</t>
        </is>
      </c>
      <c r="H1952" s="6" t="inlineStr">
        <is>
          <t>FIXO</t>
        </is>
      </c>
      <c r="I1952" s="11">
        <f>IF($H1952="AUTO_OFERTA_TOTAL_PRODUTO_PERIODO",SUMIFS(Oferta!$F:$F,Oferta!$A:$A,$A1952,Oferta!$E:$E,$E1952),$F1952)</f>
        <v/>
      </c>
      <c r="J1952" s="6" t="inlineStr">
        <is>
          <t>Informado</t>
        </is>
      </c>
      <c r="K1952" s="6" t="inlineStr">
        <is>
          <t>Demanda doméstica fixa informada pelo usuário.</t>
        </is>
      </c>
    </row>
    <row r="1953">
      <c r="A1953" s="6" t="inlineStr">
        <is>
          <t>Soja</t>
        </is>
      </c>
      <c r="B1953" s="6" t="inlineStr">
        <is>
          <t>Rio Branco - AC</t>
        </is>
      </c>
      <c r="C1953" s="6" t="n">
        <v>-9.97499</v>
      </c>
      <c r="D1953" s="6" t="n">
        <v>-67.82429999999999</v>
      </c>
      <c r="E1953" s="6" t="inlineStr">
        <is>
          <t>2022-08</t>
        </is>
      </c>
      <c r="F1953" s="6" t="n">
        <v>7282.8049949607</v>
      </c>
      <c r="G1953" s="6" t="inlineStr">
        <is>
          <t>DOMESTICA</t>
        </is>
      </c>
      <c r="H1953" s="6" t="inlineStr">
        <is>
          <t>FIXO</t>
        </is>
      </c>
      <c r="I1953" s="11">
        <f>IF($H1953="AUTO_OFERTA_TOTAL_PRODUTO_PERIODO",SUMIFS(Oferta!$F:$F,Oferta!$A:$A,$A1953,Oferta!$E:$E,$E1953),$F1953)</f>
        <v/>
      </c>
      <c r="J1953" s="6" t="inlineStr">
        <is>
          <t>Informado</t>
        </is>
      </c>
      <c r="K1953" s="6" t="inlineStr">
        <is>
          <t>Demanda doméstica fixa informada pelo usuário.</t>
        </is>
      </c>
    </row>
    <row r="1954">
      <c r="A1954" s="6" t="inlineStr">
        <is>
          <t>Soja</t>
        </is>
      </c>
      <c r="B1954" s="6" t="inlineStr">
        <is>
          <t>Rio Branco - AC</t>
        </is>
      </c>
      <c r="C1954" s="6" t="n">
        <v>-9.97499</v>
      </c>
      <c r="D1954" s="6" t="n">
        <v>-67.82429999999999</v>
      </c>
      <c r="E1954" s="6" t="inlineStr">
        <is>
          <t>2022-09</t>
        </is>
      </c>
      <c r="F1954" s="6" t="n">
        <v>7282.8049949607</v>
      </c>
      <c r="G1954" s="6" t="inlineStr">
        <is>
          <t>DOMESTICA</t>
        </is>
      </c>
      <c r="H1954" s="6" t="inlineStr">
        <is>
          <t>FIXO</t>
        </is>
      </c>
      <c r="I1954" s="11">
        <f>IF($H1954="AUTO_OFERTA_TOTAL_PRODUTO_PERIODO",SUMIFS(Oferta!$F:$F,Oferta!$A:$A,$A1954,Oferta!$E:$E,$E1954),$F1954)</f>
        <v/>
      </c>
      <c r="J1954" s="6" t="inlineStr">
        <is>
          <t>Informado</t>
        </is>
      </c>
      <c r="K1954" s="6" t="inlineStr">
        <is>
          <t>Demanda doméstica fixa informada pelo usuário.</t>
        </is>
      </c>
    </row>
    <row r="1955">
      <c r="A1955" s="6" t="inlineStr">
        <is>
          <t>Soja</t>
        </is>
      </c>
      <c r="B1955" s="6" t="inlineStr">
        <is>
          <t>Rio Branco - AC</t>
        </is>
      </c>
      <c r="C1955" s="6" t="n">
        <v>-9.97499</v>
      </c>
      <c r="D1955" s="6" t="n">
        <v>-67.82429999999999</v>
      </c>
      <c r="E1955" s="6" t="inlineStr">
        <is>
          <t>2022-10</t>
        </is>
      </c>
      <c r="F1955" s="6" t="n">
        <v>7282.8049949607</v>
      </c>
      <c r="G1955" s="6" t="inlineStr">
        <is>
          <t>DOMESTICA</t>
        </is>
      </c>
      <c r="H1955" s="6" t="inlineStr">
        <is>
          <t>FIXO</t>
        </is>
      </c>
      <c r="I1955" s="11">
        <f>IF($H1955="AUTO_OFERTA_TOTAL_PRODUTO_PERIODO",SUMIFS(Oferta!$F:$F,Oferta!$A:$A,$A1955,Oferta!$E:$E,$E1955),$F1955)</f>
        <v/>
      </c>
      <c r="J1955" s="6" t="inlineStr">
        <is>
          <t>Informado</t>
        </is>
      </c>
      <c r="K1955" s="6" t="inlineStr">
        <is>
          <t>Demanda doméstica fixa informada pelo usuário.</t>
        </is>
      </c>
    </row>
    <row r="1956">
      <c r="A1956" s="6" t="inlineStr">
        <is>
          <t>Soja</t>
        </is>
      </c>
      <c r="B1956" s="6" t="inlineStr">
        <is>
          <t>Rio Branco - AC</t>
        </is>
      </c>
      <c r="C1956" s="6" t="n">
        <v>-9.97499</v>
      </c>
      <c r="D1956" s="6" t="n">
        <v>-67.82429999999999</v>
      </c>
      <c r="E1956" s="6" t="inlineStr">
        <is>
          <t>2022-11</t>
        </is>
      </c>
      <c r="F1956" s="6" t="n">
        <v>7282.8049949607</v>
      </c>
      <c r="G1956" s="6" t="inlineStr">
        <is>
          <t>DOMESTICA</t>
        </is>
      </c>
      <c r="H1956" s="6" t="inlineStr">
        <is>
          <t>FIXO</t>
        </is>
      </c>
      <c r="I1956" s="11">
        <f>IF($H1956="AUTO_OFERTA_TOTAL_PRODUTO_PERIODO",SUMIFS(Oferta!$F:$F,Oferta!$A:$A,$A1956,Oferta!$E:$E,$E1956),$F1956)</f>
        <v/>
      </c>
      <c r="J1956" s="6" t="inlineStr">
        <is>
          <t>Informado</t>
        </is>
      </c>
      <c r="K1956" s="6" t="inlineStr">
        <is>
          <t>Demanda doméstica fixa informada pelo usuário.</t>
        </is>
      </c>
    </row>
    <row r="1957">
      <c r="A1957" s="6" t="inlineStr">
        <is>
          <t>Soja</t>
        </is>
      </c>
      <c r="B1957" s="6" t="inlineStr">
        <is>
          <t>Rio Branco - AC</t>
        </is>
      </c>
      <c r="C1957" s="6" t="n">
        <v>-9.97499</v>
      </c>
      <c r="D1957" s="6" t="n">
        <v>-67.82429999999999</v>
      </c>
      <c r="E1957" s="6" t="inlineStr">
        <is>
          <t>2022-12</t>
        </is>
      </c>
      <c r="F1957" s="6" t="n">
        <v>7282.8049949607</v>
      </c>
      <c r="G1957" s="6" t="inlineStr">
        <is>
          <t>DOMESTICA</t>
        </is>
      </c>
      <c r="H1957" s="6" t="inlineStr">
        <is>
          <t>FIXO</t>
        </is>
      </c>
      <c r="I1957" s="11">
        <f>IF($H1957="AUTO_OFERTA_TOTAL_PRODUTO_PERIODO",SUMIFS(Oferta!$F:$F,Oferta!$A:$A,$A1957,Oferta!$E:$E,$E1957),$F1957)</f>
        <v/>
      </c>
      <c r="J1957" s="6" t="inlineStr">
        <is>
          <t>Informado</t>
        </is>
      </c>
      <c r="K1957" s="6" t="inlineStr">
        <is>
          <t>Demanda doméstica fixa informada pelo usuário.</t>
        </is>
      </c>
    </row>
    <row r="1958">
      <c r="A1958" s="6" t="inlineStr">
        <is>
          <t>Soja</t>
        </is>
      </c>
      <c r="B1958" s="6" t="inlineStr">
        <is>
          <t>Macapá - AP</t>
        </is>
      </c>
      <c r="C1958" s="6" t="n">
        <v>0.034934</v>
      </c>
      <c r="D1958" s="6" t="n">
        <v>-51.0694</v>
      </c>
      <c r="E1958" s="6" t="inlineStr">
        <is>
          <t>2022-01</t>
        </is>
      </c>
      <c r="F1958" s="6" t="n">
        <v>4946.7941185019</v>
      </c>
      <c r="G1958" s="6" t="inlineStr">
        <is>
          <t>DOMESTICA</t>
        </is>
      </c>
      <c r="H1958" s="6" t="inlineStr">
        <is>
          <t>FIXO</t>
        </is>
      </c>
      <c r="I1958" s="11">
        <f>IF($H1958="AUTO_OFERTA_TOTAL_PRODUTO_PERIODO",SUMIFS(Oferta!$F:$F,Oferta!$A:$A,$A1958,Oferta!$E:$E,$E1958),$F1958)</f>
        <v/>
      </c>
      <c r="J1958" s="6" t="inlineStr">
        <is>
          <t>Informado</t>
        </is>
      </c>
      <c r="K1958" s="6" t="inlineStr">
        <is>
          <t>Demanda doméstica fixa informada pelo usuário.</t>
        </is>
      </c>
    </row>
    <row r="1959">
      <c r="A1959" s="6" t="inlineStr">
        <is>
          <t>Soja</t>
        </is>
      </c>
      <c r="B1959" s="6" t="inlineStr">
        <is>
          <t>Macapá - AP</t>
        </is>
      </c>
      <c r="C1959" s="6" t="n">
        <v>0.034934</v>
      </c>
      <c r="D1959" s="6" t="n">
        <v>-51.0694</v>
      </c>
      <c r="E1959" s="6" t="inlineStr">
        <is>
          <t>2022-02</t>
        </is>
      </c>
      <c r="F1959" s="6" t="n">
        <v>4946.7941185019</v>
      </c>
      <c r="G1959" s="6" t="inlineStr">
        <is>
          <t>DOMESTICA</t>
        </is>
      </c>
      <c r="H1959" s="6" t="inlineStr">
        <is>
          <t>FIXO</t>
        </is>
      </c>
      <c r="I1959" s="11">
        <f>IF($H1959="AUTO_OFERTA_TOTAL_PRODUTO_PERIODO",SUMIFS(Oferta!$F:$F,Oferta!$A:$A,$A1959,Oferta!$E:$E,$E1959),$F1959)</f>
        <v/>
      </c>
      <c r="J1959" s="6" t="inlineStr">
        <is>
          <t>Informado</t>
        </is>
      </c>
      <c r="K1959" s="6" t="inlineStr">
        <is>
          <t>Demanda doméstica fixa informada pelo usuário.</t>
        </is>
      </c>
    </row>
    <row r="1960">
      <c r="A1960" s="6" t="inlineStr">
        <is>
          <t>Soja</t>
        </is>
      </c>
      <c r="B1960" s="6" t="inlineStr">
        <is>
          <t>Macapá - AP</t>
        </is>
      </c>
      <c r="C1960" s="6" t="n">
        <v>0.034934</v>
      </c>
      <c r="D1960" s="6" t="n">
        <v>-51.0694</v>
      </c>
      <c r="E1960" s="6" t="inlineStr">
        <is>
          <t>2022-03</t>
        </is>
      </c>
      <c r="F1960" s="6" t="n">
        <v>4946.7941185019</v>
      </c>
      <c r="G1960" s="6" t="inlineStr">
        <is>
          <t>DOMESTICA</t>
        </is>
      </c>
      <c r="H1960" s="6" t="inlineStr">
        <is>
          <t>FIXO</t>
        </is>
      </c>
      <c r="I1960" s="11">
        <f>IF($H1960="AUTO_OFERTA_TOTAL_PRODUTO_PERIODO",SUMIFS(Oferta!$F:$F,Oferta!$A:$A,$A1960,Oferta!$E:$E,$E1960),$F1960)</f>
        <v/>
      </c>
      <c r="J1960" s="6" t="inlineStr">
        <is>
          <t>Informado</t>
        </is>
      </c>
      <c r="K1960" s="6" t="inlineStr">
        <is>
          <t>Demanda doméstica fixa informada pelo usuário.</t>
        </is>
      </c>
    </row>
    <row r="1961">
      <c r="A1961" s="6" t="inlineStr">
        <is>
          <t>Soja</t>
        </is>
      </c>
      <c r="B1961" s="6" t="inlineStr">
        <is>
          <t>Macapá - AP</t>
        </is>
      </c>
      <c r="C1961" s="6" t="n">
        <v>0.034934</v>
      </c>
      <c r="D1961" s="6" t="n">
        <v>-51.0694</v>
      </c>
      <c r="E1961" s="6" t="inlineStr">
        <is>
          <t>2022-04</t>
        </is>
      </c>
      <c r="F1961" s="6" t="n">
        <v>4946.7941185019</v>
      </c>
      <c r="G1961" s="6" t="inlineStr">
        <is>
          <t>DOMESTICA</t>
        </is>
      </c>
      <c r="H1961" s="6" t="inlineStr">
        <is>
          <t>FIXO</t>
        </is>
      </c>
      <c r="I1961" s="11">
        <f>IF($H1961="AUTO_OFERTA_TOTAL_PRODUTO_PERIODO",SUMIFS(Oferta!$F:$F,Oferta!$A:$A,$A1961,Oferta!$E:$E,$E1961),$F1961)</f>
        <v/>
      </c>
      <c r="J1961" s="6" t="inlineStr">
        <is>
          <t>Informado</t>
        </is>
      </c>
      <c r="K1961" s="6" t="inlineStr">
        <is>
          <t>Demanda doméstica fixa informada pelo usuário.</t>
        </is>
      </c>
    </row>
    <row r="1962">
      <c r="A1962" s="6" t="inlineStr">
        <is>
          <t>Soja</t>
        </is>
      </c>
      <c r="B1962" s="6" t="inlineStr">
        <is>
          <t>Macapá - AP</t>
        </is>
      </c>
      <c r="C1962" s="6" t="n">
        <v>0.034934</v>
      </c>
      <c r="D1962" s="6" t="n">
        <v>-51.0694</v>
      </c>
      <c r="E1962" s="6" t="inlineStr">
        <is>
          <t>2022-05</t>
        </is>
      </c>
      <c r="F1962" s="6" t="n">
        <v>4946.7941185019</v>
      </c>
      <c r="G1962" s="6" t="inlineStr">
        <is>
          <t>DOMESTICA</t>
        </is>
      </c>
      <c r="H1962" s="6" t="inlineStr">
        <is>
          <t>FIXO</t>
        </is>
      </c>
      <c r="I1962" s="11">
        <f>IF($H1962="AUTO_OFERTA_TOTAL_PRODUTO_PERIODO",SUMIFS(Oferta!$F:$F,Oferta!$A:$A,$A1962,Oferta!$E:$E,$E1962),$F1962)</f>
        <v/>
      </c>
      <c r="J1962" s="6" t="inlineStr">
        <is>
          <t>Informado</t>
        </is>
      </c>
      <c r="K1962" s="6" t="inlineStr">
        <is>
          <t>Demanda doméstica fixa informada pelo usuário.</t>
        </is>
      </c>
    </row>
    <row r="1963">
      <c r="A1963" s="6" t="inlineStr">
        <is>
          <t>Soja</t>
        </is>
      </c>
      <c r="B1963" s="6" t="inlineStr">
        <is>
          <t>Macapá - AP</t>
        </is>
      </c>
      <c r="C1963" s="6" t="n">
        <v>0.034934</v>
      </c>
      <c r="D1963" s="6" t="n">
        <v>-51.0694</v>
      </c>
      <c r="E1963" s="6" t="inlineStr">
        <is>
          <t>2022-06</t>
        </is>
      </c>
      <c r="F1963" s="6" t="n">
        <v>4946.7941185019</v>
      </c>
      <c r="G1963" s="6" t="inlineStr">
        <is>
          <t>DOMESTICA</t>
        </is>
      </c>
      <c r="H1963" s="6" t="inlineStr">
        <is>
          <t>FIXO</t>
        </is>
      </c>
      <c r="I1963" s="11">
        <f>IF($H1963="AUTO_OFERTA_TOTAL_PRODUTO_PERIODO",SUMIFS(Oferta!$F:$F,Oferta!$A:$A,$A1963,Oferta!$E:$E,$E1963),$F1963)</f>
        <v/>
      </c>
      <c r="J1963" s="6" t="inlineStr">
        <is>
          <t>Informado</t>
        </is>
      </c>
      <c r="K1963" s="6" t="inlineStr">
        <is>
          <t>Demanda doméstica fixa informada pelo usuário.</t>
        </is>
      </c>
    </row>
    <row r="1964">
      <c r="A1964" s="6" t="inlineStr">
        <is>
          <t>Soja</t>
        </is>
      </c>
      <c r="B1964" s="6" t="inlineStr">
        <is>
          <t>Macapá - AP</t>
        </is>
      </c>
      <c r="C1964" s="6" t="n">
        <v>0.034934</v>
      </c>
      <c r="D1964" s="6" t="n">
        <v>-51.0694</v>
      </c>
      <c r="E1964" s="6" t="inlineStr">
        <is>
          <t>2022-07</t>
        </is>
      </c>
      <c r="F1964" s="6" t="n">
        <v>4946.7941185019</v>
      </c>
      <c r="G1964" s="6" t="inlineStr">
        <is>
          <t>DOMESTICA</t>
        </is>
      </c>
      <c r="H1964" s="6" t="inlineStr">
        <is>
          <t>FIXO</t>
        </is>
      </c>
      <c r="I1964" s="11">
        <f>IF($H1964="AUTO_OFERTA_TOTAL_PRODUTO_PERIODO",SUMIFS(Oferta!$F:$F,Oferta!$A:$A,$A1964,Oferta!$E:$E,$E1964),$F1964)</f>
        <v/>
      </c>
      <c r="J1964" s="6" t="inlineStr">
        <is>
          <t>Informado</t>
        </is>
      </c>
      <c r="K1964" s="6" t="inlineStr">
        <is>
          <t>Demanda doméstica fixa informada pelo usuário.</t>
        </is>
      </c>
    </row>
    <row r="1965">
      <c r="A1965" s="6" t="inlineStr">
        <is>
          <t>Soja</t>
        </is>
      </c>
      <c r="B1965" s="6" t="inlineStr">
        <is>
          <t>Macapá - AP</t>
        </is>
      </c>
      <c r="C1965" s="6" t="n">
        <v>0.034934</v>
      </c>
      <c r="D1965" s="6" t="n">
        <v>-51.0694</v>
      </c>
      <c r="E1965" s="6" t="inlineStr">
        <is>
          <t>2022-08</t>
        </is>
      </c>
      <c r="F1965" s="6" t="n">
        <v>4946.7941185019</v>
      </c>
      <c r="G1965" s="6" t="inlineStr">
        <is>
          <t>DOMESTICA</t>
        </is>
      </c>
      <c r="H1965" s="6" t="inlineStr">
        <is>
          <t>FIXO</t>
        </is>
      </c>
      <c r="I1965" s="11">
        <f>IF($H1965="AUTO_OFERTA_TOTAL_PRODUTO_PERIODO",SUMIFS(Oferta!$F:$F,Oferta!$A:$A,$A1965,Oferta!$E:$E,$E1965),$F1965)</f>
        <v/>
      </c>
      <c r="J1965" s="6" t="inlineStr">
        <is>
          <t>Informado</t>
        </is>
      </c>
      <c r="K1965" s="6" t="inlineStr">
        <is>
          <t>Demanda doméstica fixa informada pelo usuário.</t>
        </is>
      </c>
    </row>
    <row r="1966">
      <c r="A1966" s="6" t="inlineStr">
        <is>
          <t>Soja</t>
        </is>
      </c>
      <c r="B1966" s="6" t="inlineStr">
        <is>
          <t>Macapá - AP</t>
        </is>
      </c>
      <c r="C1966" s="6" t="n">
        <v>0.034934</v>
      </c>
      <c r="D1966" s="6" t="n">
        <v>-51.0694</v>
      </c>
      <c r="E1966" s="6" t="inlineStr">
        <is>
          <t>2022-09</t>
        </is>
      </c>
      <c r="F1966" s="6" t="n">
        <v>4946.7941185019</v>
      </c>
      <c r="G1966" s="6" t="inlineStr">
        <is>
          <t>DOMESTICA</t>
        </is>
      </c>
      <c r="H1966" s="6" t="inlineStr">
        <is>
          <t>FIXO</t>
        </is>
      </c>
      <c r="I1966" s="11">
        <f>IF($H1966="AUTO_OFERTA_TOTAL_PRODUTO_PERIODO",SUMIFS(Oferta!$F:$F,Oferta!$A:$A,$A1966,Oferta!$E:$E,$E1966),$F1966)</f>
        <v/>
      </c>
      <c r="J1966" s="6" t="inlineStr">
        <is>
          <t>Informado</t>
        </is>
      </c>
      <c r="K1966" s="6" t="inlineStr">
        <is>
          <t>Demanda doméstica fixa informada pelo usuário.</t>
        </is>
      </c>
    </row>
    <row r="1967">
      <c r="A1967" s="6" t="inlineStr">
        <is>
          <t>Soja</t>
        </is>
      </c>
      <c r="B1967" s="6" t="inlineStr">
        <is>
          <t>Macapá - AP</t>
        </is>
      </c>
      <c r="C1967" s="6" t="n">
        <v>0.034934</v>
      </c>
      <c r="D1967" s="6" t="n">
        <v>-51.0694</v>
      </c>
      <c r="E1967" s="6" t="inlineStr">
        <is>
          <t>2022-10</t>
        </is>
      </c>
      <c r="F1967" s="6" t="n">
        <v>4946.7941185019</v>
      </c>
      <c r="G1967" s="6" t="inlineStr">
        <is>
          <t>DOMESTICA</t>
        </is>
      </c>
      <c r="H1967" s="6" t="inlineStr">
        <is>
          <t>FIXO</t>
        </is>
      </c>
      <c r="I1967" s="11">
        <f>IF($H1967="AUTO_OFERTA_TOTAL_PRODUTO_PERIODO",SUMIFS(Oferta!$F:$F,Oferta!$A:$A,$A1967,Oferta!$E:$E,$E1967),$F1967)</f>
        <v/>
      </c>
      <c r="J1967" s="6" t="inlineStr">
        <is>
          <t>Informado</t>
        </is>
      </c>
      <c r="K1967" s="6" t="inlineStr">
        <is>
          <t>Demanda doméstica fixa informada pelo usuário.</t>
        </is>
      </c>
    </row>
    <row r="1968">
      <c r="A1968" s="6" t="inlineStr">
        <is>
          <t>Soja</t>
        </is>
      </c>
      <c r="B1968" s="6" t="inlineStr">
        <is>
          <t>Macapá - AP</t>
        </is>
      </c>
      <c r="C1968" s="6" t="n">
        <v>0.034934</v>
      </c>
      <c r="D1968" s="6" t="n">
        <v>-51.0694</v>
      </c>
      <c r="E1968" s="6" t="inlineStr">
        <is>
          <t>2022-11</t>
        </is>
      </c>
      <c r="F1968" s="6" t="n">
        <v>4946.7941185019</v>
      </c>
      <c r="G1968" s="6" t="inlineStr">
        <is>
          <t>DOMESTICA</t>
        </is>
      </c>
      <c r="H1968" s="6" t="inlineStr">
        <is>
          <t>FIXO</t>
        </is>
      </c>
      <c r="I1968" s="11">
        <f>IF($H1968="AUTO_OFERTA_TOTAL_PRODUTO_PERIODO",SUMIFS(Oferta!$F:$F,Oferta!$A:$A,$A1968,Oferta!$E:$E,$E1968),$F1968)</f>
        <v/>
      </c>
      <c r="J1968" s="6" t="inlineStr">
        <is>
          <t>Informado</t>
        </is>
      </c>
      <c r="K1968" s="6" t="inlineStr">
        <is>
          <t>Demanda doméstica fixa informada pelo usuário.</t>
        </is>
      </c>
    </row>
    <row r="1969">
      <c r="A1969" s="6" t="inlineStr">
        <is>
          <t>Soja</t>
        </is>
      </c>
      <c r="B1969" s="6" t="inlineStr">
        <is>
          <t>Macapá - AP</t>
        </is>
      </c>
      <c r="C1969" s="6" t="n">
        <v>0.034934</v>
      </c>
      <c r="D1969" s="6" t="n">
        <v>-51.0694</v>
      </c>
      <c r="E1969" s="6" t="inlineStr">
        <is>
          <t>2022-12</t>
        </is>
      </c>
      <c r="F1969" s="6" t="n">
        <v>4946.7941185019</v>
      </c>
      <c r="G1969" s="6" t="inlineStr">
        <is>
          <t>DOMESTICA</t>
        </is>
      </c>
      <c r="H1969" s="6" t="inlineStr">
        <is>
          <t>FIXO</t>
        </is>
      </c>
      <c r="I1969" s="11">
        <f>IF($H1969="AUTO_OFERTA_TOTAL_PRODUTO_PERIODO",SUMIFS(Oferta!$F:$F,Oferta!$A:$A,$A1969,Oferta!$E:$E,$E1969),$F1969)</f>
        <v/>
      </c>
      <c r="J1969" s="6" t="inlineStr">
        <is>
          <t>Informado</t>
        </is>
      </c>
      <c r="K1969" s="6" t="inlineStr">
        <is>
          <t>Demanda doméstica fixa informada pelo usuário.</t>
        </is>
      </c>
    </row>
    <row r="1970">
      <c r="A1970" s="6" t="inlineStr">
        <is>
          <t>Soja</t>
        </is>
      </c>
      <c r="B1970" s="6" t="inlineStr">
        <is>
          <t>Manaus - AM</t>
        </is>
      </c>
      <c r="C1970" s="6" t="n">
        <v>-3.11866</v>
      </c>
      <c r="D1970" s="6" t="n">
        <v>-60.0212</v>
      </c>
      <c r="E1970" s="6" t="inlineStr">
        <is>
          <t>2022-01</t>
        </is>
      </c>
      <c r="F1970" s="6" t="n">
        <v>32703.7299488915</v>
      </c>
      <c r="G1970" s="6" t="inlineStr">
        <is>
          <t>DOMESTICA</t>
        </is>
      </c>
      <c r="H1970" s="6" t="inlineStr">
        <is>
          <t>FIXO</t>
        </is>
      </c>
      <c r="I1970" s="11">
        <f>IF($H1970="AUTO_OFERTA_TOTAL_PRODUTO_PERIODO",SUMIFS(Oferta!$F:$F,Oferta!$A:$A,$A1970,Oferta!$E:$E,$E1970),$F1970)</f>
        <v/>
      </c>
      <c r="J1970" s="6" t="inlineStr">
        <is>
          <t>Informado</t>
        </is>
      </c>
      <c r="K1970" s="6" t="inlineStr">
        <is>
          <t>Demanda doméstica fixa informada pelo usuário.</t>
        </is>
      </c>
    </row>
    <row r="1971">
      <c r="A1971" s="6" t="inlineStr">
        <is>
          <t>Soja</t>
        </is>
      </c>
      <c r="B1971" s="6" t="inlineStr">
        <is>
          <t>Manaus - AM</t>
        </is>
      </c>
      <c r="C1971" s="6" t="n">
        <v>-3.11866</v>
      </c>
      <c r="D1971" s="6" t="n">
        <v>-60.0212</v>
      </c>
      <c r="E1971" s="6" t="inlineStr">
        <is>
          <t>2022-02</t>
        </is>
      </c>
      <c r="F1971" s="6" t="n">
        <v>63037.6243942402</v>
      </c>
      <c r="G1971" s="6" t="inlineStr">
        <is>
          <t>DOMESTICA</t>
        </is>
      </c>
      <c r="H1971" s="6" t="inlineStr">
        <is>
          <t>FIXO</t>
        </is>
      </c>
      <c r="I1971" s="11">
        <f>IF($H1971="AUTO_OFERTA_TOTAL_PRODUTO_PERIODO",SUMIFS(Oferta!$F:$F,Oferta!$A:$A,$A1971,Oferta!$E:$E,$E1971),$F1971)</f>
        <v/>
      </c>
      <c r="J1971" s="6" t="inlineStr">
        <is>
          <t>Informado</t>
        </is>
      </c>
      <c r="K1971" s="6" t="inlineStr">
        <is>
          <t>Demanda doméstica fixa informada pelo usuário.</t>
        </is>
      </c>
    </row>
    <row r="1972">
      <c r="A1972" s="6" t="inlineStr">
        <is>
          <t>Soja</t>
        </is>
      </c>
      <c r="B1972" s="6" t="inlineStr">
        <is>
          <t>Manaus - AM</t>
        </is>
      </c>
      <c r="C1972" s="6" t="n">
        <v>-3.11866</v>
      </c>
      <c r="D1972" s="6" t="n">
        <v>-60.0212</v>
      </c>
      <c r="E1972" s="6" t="inlineStr">
        <is>
          <t>2022-03</t>
        </is>
      </c>
      <c r="F1972" s="6" t="n">
        <v>93371.5188395888</v>
      </c>
      <c r="G1972" s="6" t="inlineStr">
        <is>
          <t>DOMESTICA</t>
        </is>
      </c>
      <c r="H1972" s="6" t="inlineStr">
        <is>
          <t>FIXO</t>
        </is>
      </c>
      <c r="I1972" s="11">
        <f>IF($H1972="AUTO_OFERTA_TOTAL_PRODUTO_PERIODO",SUMIFS(Oferta!$F:$F,Oferta!$A:$A,$A1972,Oferta!$E:$E,$E1972),$F1972)</f>
        <v/>
      </c>
      <c r="J1972" s="6" t="inlineStr">
        <is>
          <t>Informado</t>
        </is>
      </c>
      <c r="K1972" s="6" t="inlineStr">
        <is>
          <t>Demanda doméstica fixa informada pelo usuário.</t>
        </is>
      </c>
    </row>
    <row r="1973">
      <c r="A1973" s="6" t="inlineStr">
        <is>
          <t>Soja</t>
        </is>
      </c>
      <c r="B1973" s="6" t="inlineStr">
        <is>
          <t>Manaus - AM</t>
        </is>
      </c>
      <c r="C1973" s="6" t="n">
        <v>-3.11866</v>
      </c>
      <c r="D1973" s="6" t="n">
        <v>-60.0212</v>
      </c>
      <c r="E1973" s="6" t="inlineStr">
        <is>
          <t>2022-04</t>
        </is>
      </c>
      <c r="F1973" s="6" t="n">
        <v>100954.992450926</v>
      </c>
      <c r="G1973" s="6" t="inlineStr">
        <is>
          <t>DOMESTICA</t>
        </is>
      </c>
      <c r="H1973" s="6" t="inlineStr">
        <is>
          <t>FIXO</t>
        </is>
      </c>
      <c r="I1973" s="11">
        <f>IF($H1973="AUTO_OFERTA_TOTAL_PRODUTO_PERIODO",SUMIFS(Oferta!$F:$F,Oferta!$A:$A,$A1973,Oferta!$E:$E,$E1973),$F1973)</f>
        <v/>
      </c>
      <c r="J1973" s="6" t="inlineStr">
        <is>
          <t>Informado</t>
        </is>
      </c>
      <c r="K1973" s="6" t="inlineStr">
        <is>
          <t>Demanda doméstica fixa informada pelo usuário.</t>
        </is>
      </c>
    </row>
    <row r="1974">
      <c r="A1974" s="6" t="inlineStr">
        <is>
          <t>Soja</t>
        </is>
      </c>
      <c r="B1974" s="6" t="inlineStr">
        <is>
          <t>Manaus - AM</t>
        </is>
      </c>
      <c r="C1974" s="6" t="n">
        <v>-3.11866</v>
      </c>
      <c r="D1974" s="6" t="n">
        <v>-60.0212</v>
      </c>
      <c r="E1974" s="6" t="inlineStr">
        <is>
          <t>2022-05</t>
        </is>
      </c>
      <c r="F1974" s="6" t="n">
        <v>70621.0980055773</v>
      </c>
      <c r="G1974" s="6" t="inlineStr">
        <is>
          <t>DOMESTICA</t>
        </is>
      </c>
      <c r="H1974" s="6" t="inlineStr">
        <is>
          <t>FIXO</t>
        </is>
      </c>
      <c r="I1974" s="11">
        <f>IF($H1974="AUTO_OFERTA_TOTAL_PRODUTO_PERIODO",SUMIFS(Oferta!$F:$F,Oferta!$A:$A,$A1974,Oferta!$E:$E,$E1974),$F1974)</f>
        <v/>
      </c>
      <c r="J1974" s="6" t="inlineStr">
        <is>
          <t>Informado</t>
        </is>
      </c>
      <c r="K1974" s="6" t="inlineStr">
        <is>
          <t>Demanda doméstica fixa informada pelo usuário.</t>
        </is>
      </c>
    </row>
    <row r="1975">
      <c r="A1975" s="6" t="inlineStr">
        <is>
          <t>Soja</t>
        </is>
      </c>
      <c r="B1975" s="6" t="inlineStr">
        <is>
          <t>Manaus - AM</t>
        </is>
      </c>
      <c r="C1975" s="6" t="n">
        <v>-3.11866</v>
      </c>
      <c r="D1975" s="6" t="n">
        <v>-60.0212</v>
      </c>
      <c r="E1975" s="6" t="inlineStr">
        <is>
          <t>2022-06</t>
        </is>
      </c>
      <c r="F1975" s="6" t="n">
        <v>40287.2035602287</v>
      </c>
      <c r="G1975" s="6" t="inlineStr">
        <is>
          <t>DOMESTICA</t>
        </is>
      </c>
      <c r="H1975" s="6" t="inlineStr">
        <is>
          <t>FIXO</t>
        </is>
      </c>
      <c r="I1975" s="11">
        <f>IF($H1975="AUTO_OFERTA_TOTAL_PRODUTO_PERIODO",SUMIFS(Oferta!$F:$F,Oferta!$A:$A,$A1975,Oferta!$E:$E,$E1975),$F1975)</f>
        <v/>
      </c>
      <c r="J1975" s="6" t="inlineStr">
        <is>
          <t>Informado</t>
        </is>
      </c>
      <c r="K1975" s="6" t="inlineStr">
        <is>
          <t>Demanda doméstica fixa informada pelo usuário.</t>
        </is>
      </c>
    </row>
    <row r="1976">
      <c r="A1976" s="6" t="inlineStr">
        <is>
          <t>Soja</t>
        </is>
      </c>
      <c r="B1976" s="6" t="inlineStr">
        <is>
          <t>Manaus - AM</t>
        </is>
      </c>
      <c r="C1976" s="6" t="n">
        <v>-3.11866</v>
      </c>
      <c r="D1976" s="6" t="n">
        <v>-60.0212</v>
      </c>
      <c r="E1976" s="6" t="inlineStr">
        <is>
          <t>2022-07</t>
        </is>
      </c>
      <c r="F1976" s="6" t="n">
        <v>25120.2563375544</v>
      </c>
      <c r="G1976" s="6" t="inlineStr">
        <is>
          <t>DOMESTICA</t>
        </is>
      </c>
      <c r="H1976" s="6" t="inlineStr">
        <is>
          <t>FIXO</t>
        </is>
      </c>
      <c r="I1976" s="11">
        <f>IF($H1976="AUTO_OFERTA_TOTAL_PRODUTO_PERIODO",SUMIFS(Oferta!$F:$F,Oferta!$A:$A,$A1976,Oferta!$E:$E,$E1976),$F1976)</f>
        <v/>
      </c>
      <c r="J1976" s="6" t="inlineStr">
        <is>
          <t>Informado</t>
        </is>
      </c>
      <c r="K1976" s="6" t="inlineStr">
        <is>
          <t>Demanda doméstica fixa informada pelo usuário.</t>
        </is>
      </c>
    </row>
    <row r="1977">
      <c r="A1977" s="6" t="inlineStr">
        <is>
          <t>Soja</t>
        </is>
      </c>
      <c r="B1977" s="6" t="inlineStr">
        <is>
          <t>Manaus - AM</t>
        </is>
      </c>
      <c r="C1977" s="6" t="n">
        <v>-3.11866</v>
      </c>
      <c r="D1977" s="6" t="n">
        <v>-60.0212</v>
      </c>
      <c r="E1977" s="6" t="inlineStr">
        <is>
          <t>2022-08</t>
        </is>
      </c>
      <c r="F1977" s="6" t="n">
        <v>25120.2563375544</v>
      </c>
      <c r="G1977" s="6" t="inlineStr">
        <is>
          <t>DOMESTICA</t>
        </is>
      </c>
      <c r="H1977" s="6" t="inlineStr">
        <is>
          <t>FIXO</t>
        </is>
      </c>
      <c r="I1977" s="11">
        <f>IF($H1977="AUTO_OFERTA_TOTAL_PRODUTO_PERIODO",SUMIFS(Oferta!$F:$F,Oferta!$A:$A,$A1977,Oferta!$E:$E,$E1977),$F1977)</f>
        <v/>
      </c>
      <c r="J1977" s="6" t="inlineStr">
        <is>
          <t>Informado</t>
        </is>
      </c>
      <c r="K1977" s="6" t="inlineStr">
        <is>
          <t>Demanda doméstica fixa informada pelo usuário.</t>
        </is>
      </c>
    </row>
    <row r="1978">
      <c r="A1978" s="6" t="inlineStr">
        <is>
          <t>Soja</t>
        </is>
      </c>
      <c r="B1978" s="6" t="inlineStr">
        <is>
          <t>Manaus - AM</t>
        </is>
      </c>
      <c r="C1978" s="6" t="n">
        <v>-3.11866</v>
      </c>
      <c r="D1978" s="6" t="n">
        <v>-60.0212</v>
      </c>
      <c r="E1978" s="6" t="inlineStr">
        <is>
          <t>2022-09</t>
        </is>
      </c>
      <c r="F1978" s="6" t="n">
        <v>25120.2563375544</v>
      </c>
      <c r="G1978" s="6" t="inlineStr">
        <is>
          <t>DOMESTICA</t>
        </is>
      </c>
      <c r="H1978" s="6" t="inlineStr">
        <is>
          <t>FIXO</t>
        </is>
      </c>
      <c r="I1978" s="11">
        <f>IF($H1978="AUTO_OFERTA_TOTAL_PRODUTO_PERIODO",SUMIFS(Oferta!$F:$F,Oferta!$A:$A,$A1978,Oferta!$E:$E,$E1978),$F1978)</f>
        <v/>
      </c>
      <c r="J1978" s="6" t="inlineStr">
        <is>
          <t>Informado</t>
        </is>
      </c>
      <c r="K1978" s="6" t="inlineStr">
        <is>
          <t>Demanda doméstica fixa informada pelo usuário.</t>
        </is>
      </c>
    </row>
    <row r="1979">
      <c r="A1979" s="6" t="inlineStr">
        <is>
          <t>Soja</t>
        </is>
      </c>
      <c r="B1979" s="6" t="inlineStr">
        <is>
          <t>Manaus - AM</t>
        </is>
      </c>
      <c r="C1979" s="6" t="n">
        <v>-3.11866</v>
      </c>
      <c r="D1979" s="6" t="n">
        <v>-60.0212</v>
      </c>
      <c r="E1979" s="6" t="inlineStr">
        <is>
          <t>2022-10</t>
        </is>
      </c>
      <c r="F1979" s="6" t="n">
        <v>25120.2563375544</v>
      </c>
      <c r="G1979" s="6" t="inlineStr">
        <is>
          <t>DOMESTICA</t>
        </is>
      </c>
      <c r="H1979" s="6" t="inlineStr">
        <is>
          <t>FIXO</t>
        </is>
      </c>
      <c r="I1979" s="11">
        <f>IF($H1979="AUTO_OFERTA_TOTAL_PRODUTO_PERIODO",SUMIFS(Oferta!$F:$F,Oferta!$A:$A,$A1979,Oferta!$E:$E,$E1979),$F1979)</f>
        <v/>
      </c>
      <c r="J1979" s="6" t="inlineStr">
        <is>
          <t>Informado</t>
        </is>
      </c>
      <c r="K1979" s="6" t="inlineStr">
        <is>
          <t>Demanda doméstica fixa informada pelo usuário.</t>
        </is>
      </c>
    </row>
    <row r="1980">
      <c r="A1980" s="6" t="inlineStr">
        <is>
          <t>Soja</t>
        </is>
      </c>
      <c r="B1980" s="6" t="inlineStr">
        <is>
          <t>Manaus - AM</t>
        </is>
      </c>
      <c r="C1980" s="6" t="n">
        <v>-3.11866</v>
      </c>
      <c r="D1980" s="6" t="n">
        <v>-60.0212</v>
      </c>
      <c r="E1980" s="6" t="inlineStr">
        <is>
          <t>2022-11</t>
        </is>
      </c>
      <c r="F1980" s="6" t="n">
        <v>25120.2563375544</v>
      </c>
      <c r="G1980" s="6" t="inlineStr">
        <is>
          <t>DOMESTICA</t>
        </is>
      </c>
      <c r="H1980" s="6" t="inlineStr">
        <is>
          <t>FIXO</t>
        </is>
      </c>
      <c r="I1980" s="11">
        <f>IF($H1980="AUTO_OFERTA_TOTAL_PRODUTO_PERIODO",SUMIFS(Oferta!$F:$F,Oferta!$A:$A,$A1980,Oferta!$E:$E,$E1980),$F1980)</f>
        <v/>
      </c>
      <c r="J1980" s="6" t="inlineStr">
        <is>
          <t>Informado</t>
        </is>
      </c>
      <c r="K1980" s="6" t="inlineStr">
        <is>
          <t>Demanda doméstica fixa informada pelo usuário.</t>
        </is>
      </c>
    </row>
    <row r="1981">
      <c r="A1981" s="6" t="inlineStr">
        <is>
          <t>Soja</t>
        </is>
      </c>
      <c r="B1981" s="6" t="inlineStr">
        <is>
          <t>Manaus - AM</t>
        </is>
      </c>
      <c r="C1981" s="6" t="n">
        <v>-3.11866</v>
      </c>
      <c r="D1981" s="6" t="n">
        <v>-60.0212</v>
      </c>
      <c r="E1981" s="6" t="inlineStr">
        <is>
          <t>2022-12</t>
        </is>
      </c>
      <c r="F1981" s="6" t="n">
        <v>25120.2563375544</v>
      </c>
      <c r="G1981" s="6" t="inlineStr">
        <is>
          <t>DOMESTICA</t>
        </is>
      </c>
      <c r="H1981" s="6" t="inlineStr">
        <is>
          <t>FIXO</t>
        </is>
      </c>
      <c r="I1981" s="11">
        <f>IF($H1981="AUTO_OFERTA_TOTAL_PRODUTO_PERIODO",SUMIFS(Oferta!$F:$F,Oferta!$A:$A,$A1981,Oferta!$E:$E,$E1981),$F1981)</f>
        <v/>
      </c>
      <c r="J1981" s="6" t="inlineStr">
        <is>
          <t>Informado</t>
        </is>
      </c>
      <c r="K1981" s="6" t="inlineStr">
        <is>
          <t>Demanda doméstica fixa informada pelo usuário.</t>
        </is>
      </c>
    </row>
    <row r="1982">
      <c r="A1982" s="6" t="inlineStr">
        <is>
          <t>Soja</t>
        </is>
      </c>
      <c r="B1982" s="6" t="inlineStr">
        <is>
          <t>Belém - PA</t>
        </is>
      </c>
      <c r="C1982" s="6" t="n">
        <v>-1.4554</v>
      </c>
      <c r="D1982" s="6" t="n">
        <v>-48.4898</v>
      </c>
      <c r="E1982" s="6" t="inlineStr">
        <is>
          <t>2022-01</t>
        </is>
      </c>
      <c r="F1982" s="6" t="n">
        <v>51495.5596825977</v>
      </c>
      <c r="G1982" s="6" t="inlineStr">
        <is>
          <t>DOMESTICA</t>
        </is>
      </c>
      <c r="H1982" s="6" t="inlineStr">
        <is>
          <t>FIXO</t>
        </is>
      </c>
      <c r="I1982" s="11">
        <f>IF($H1982="AUTO_OFERTA_TOTAL_PRODUTO_PERIODO",SUMIFS(Oferta!$F:$F,Oferta!$A:$A,$A1982,Oferta!$E:$E,$E1982),$F1982)</f>
        <v/>
      </c>
      <c r="J1982" s="6" t="inlineStr">
        <is>
          <t>Informado</t>
        </is>
      </c>
      <c r="K1982" s="6" t="inlineStr">
        <is>
          <t>Demanda doméstica fixa informada pelo usuário.</t>
        </is>
      </c>
    </row>
    <row r="1983">
      <c r="A1983" s="6" t="inlineStr">
        <is>
          <t>Soja</t>
        </is>
      </c>
      <c r="B1983" s="6" t="inlineStr">
        <is>
          <t>Belém - PA</t>
        </is>
      </c>
      <c r="C1983" s="6" t="n">
        <v>-1.4554</v>
      </c>
      <c r="D1983" s="6" t="n">
        <v>-48.4898</v>
      </c>
      <c r="E1983" s="6" t="inlineStr">
        <is>
          <t>2022-02</t>
        </is>
      </c>
      <c r="F1983" s="6" t="n">
        <v>51495.5596825977</v>
      </c>
      <c r="G1983" s="6" t="inlineStr">
        <is>
          <t>DOMESTICA</t>
        </is>
      </c>
      <c r="H1983" s="6" t="inlineStr">
        <is>
          <t>FIXO</t>
        </is>
      </c>
      <c r="I1983" s="11">
        <f>IF($H1983="AUTO_OFERTA_TOTAL_PRODUTO_PERIODO",SUMIFS(Oferta!$F:$F,Oferta!$A:$A,$A1983,Oferta!$E:$E,$E1983),$F1983)</f>
        <v/>
      </c>
      <c r="J1983" s="6" t="inlineStr">
        <is>
          <t>Informado</t>
        </is>
      </c>
      <c r="K1983" s="6" t="inlineStr">
        <is>
          <t>Demanda doméstica fixa informada pelo usuário.</t>
        </is>
      </c>
    </row>
    <row r="1984">
      <c r="A1984" s="6" t="inlineStr">
        <is>
          <t>Soja</t>
        </is>
      </c>
      <c r="B1984" s="6" t="inlineStr">
        <is>
          <t>Belém - PA</t>
        </is>
      </c>
      <c r="C1984" s="6" t="n">
        <v>-1.4554</v>
      </c>
      <c r="D1984" s="6" t="n">
        <v>-48.4898</v>
      </c>
      <c r="E1984" s="6" t="inlineStr">
        <is>
          <t>2022-03</t>
        </is>
      </c>
      <c r="F1984" s="6" t="n">
        <v>51495.5596825977</v>
      </c>
      <c r="G1984" s="6" t="inlineStr">
        <is>
          <t>DOMESTICA</t>
        </is>
      </c>
      <c r="H1984" s="6" t="inlineStr">
        <is>
          <t>FIXO</t>
        </is>
      </c>
      <c r="I1984" s="11">
        <f>IF($H1984="AUTO_OFERTA_TOTAL_PRODUTO_PERIODO",SUMIFS(Oferta!$F:$F,Oferta!$A:$A,$A1984,Oferta!$E:$E,$E1984),$F1984)</f>
        <v/>
      </c>
      <c r="J1984" s="6" t="inlineStr">
        <is>
          <t>Informado</t>
        </is>
      </c>
      <c r="K1984" s="6" t="inlineStr">
        <is>
          <t>Demanda doméstica fixa informada pelo usuário.</t>
        </is>
      </c>
    </row>
    <row r="1985">
      <c r="A1985" s="6" t="inlineStr">
        <is>
          <t>Soja</t>
        </is>
      </c>
      <c r="B1985" s="6" t="inlineStr">
        <is>
          <t>Belém - PA</t>
        </is>
      </c>
      <c r="C1985" s="6" t="n">
        <v>-1.4554</v>
      </c>
      <c r="D1985" s="6" t="n">
        <v>-48.4898</v>
      </c>
      <c r="E1985" s="6" t="inlineStr">
        <is>
          <t>2022-04</t>
        </is>
      </c>
      <c r="F1985" s="6" t="n">
        <v>51495.5596825977</v>
      </c>
      <c r="G1985" s="6" t="inlineStr">
        <is>
          <t>DOMESTICA</t>
        </is>
      </c>
      <c r="H1985" s="6" t="inlineStr">
        <is>
          <t>FIXO</t>
        </is>
      </c>
      <c r="I1985" s="11">
        <f>IF($H1985="AUTO_OFERTA_TOTAL_PRODUTO_PERIODO",SUMIFS(Oferta!$F:$F,Oferta!$A:$A,$A1985,Oferta!$E:$E,$E1985),$F1985)</f>
        <v/>
      </c>
      <c r="J1985" s="6" t="inlineStr">
        <is>
          <t>Informado</t>
        </is>
      </c>
      <c r="K1985" s="6" t="inlineStr">
        <is>
          <t>Demanda doméstica fixa informada pelo usuário.</t>
        </is>
      </c>
    </row>
    <row r="1986">
      <c r="A1986" s="6" t="inlineStr">
        <is>
          <t>Soja</t>
        </is>
      </c>
      <c r="B1986" s="6" t="inlineStr">
        <is>
          <t>Belém - PA</t>
        </is>
      </c>
      <c r="C1986" s="6" t="n">
        <v>-1.4554</v>
      </c>
      <c r="D1986" s="6" t="n">
        <v>-48.4898</v>
      </c>
      <c r="E1986" s="6" t="inlineStr">
        <is>
          <t>2022-05</t>
        </is>
      </c>
      <c r="F1986" s="6" t="n">
        <v>51495.5596825977</v>
      </c>
      <c r="G1986" s="6" t="inlineStr">
        <is>
          <t>DOMESTICA</t>
        </is>
      </c>
      <c r="H1986" s="6" t="inlineStr">
        <is>
          <t>FIXO</t>
        </is>
      </c>
      <c r="I1986" s="11">
        <f>IF($H1986="AUTO_OFERTA_TOTAL_PRODUTO_PERIODO",SUMIFS(Oferta!$F:$F,Oferta!$A:$A,$A1986,Oferta!$E:$E,$E1986),$F1986)</f>
        <v/>
      </c>
      <c r="J1986" s="6" t="inlineStr">
        <is>
          <t>Informado</t>
        </is>
      </c>
      <c r="K1986" s="6" t="inlineStr">
        <is>
          <t>Demanda doméstica fixa informada pelo usuário.</t>
        </is>
      </c>
    </row>
    <row r="1987">
      <c r="A1987" s="6" t="inlineStr">
        <is>
          <t>Soja</t>
        </is>
      </c>
      <c r="B1987" s="6" t="inlineStr">
        <is>
          <t>Belém - PA</t>
        </is>
      </c>
      <c r="C1987" s="6" t="n">
        <v>-1.4554</v>
      </c>
      <c r="D1987" s="6" t="n">
        <v>-48.4898</v>
      </c>
      <c r="E1987" s="6" t="inlineStr">
        <is>
          <t>2022-06</t>
        </is>
      </c>
      <c r="F1987" s="6" t="n">
        <v>51495.5596825977</v>
      </c>
      <c r="G1987" s="6" t="inlineStr">
        <is>
          <t>DOMESTICA</t>
        </is>
      </c>
      <c r="H1987" s="6" t="inlineStr">
        <is>
          <t>FIXO</t>
        </is>
      </c>
      <c r="I1987" s="11">
        <f>IF($H1987="AUTO_OFERTA_TOTAL_PRODUTO_PERIODO",SUMIFS(Oferta!$F:$F,Oferta!$A:$A,$A1987,Oferta!$E:$E,$E1987),$F1987)</f>
        <v/>
      </c>
      <c r="J1987" s="6" t="inlineStr">
        <is>
          <t>Informado</t>
        </is>
      </c>
      <c r="K1987" s="6" t="inlineStr">
        <is>
          <t>Demanda doméstica fixa informada pelo usuário.</t>
        </is>
      </c>
    </row>
    <row r="1988">
      <c r="A1988" s="6" t="inlineStr">
        <is>
          <t>Soja</t>
        </is>
      </c>
      <c r="B1988" s="6" t="inlineStr">
        <is>
          <t>Belém - PA</t>
        </is>
      </c>
      <c r="C1988" s="6" t="n">
        <v>-1.4554</v>
      </c>
      <c r="D1988" s="6" t="n">
        <v>-48.4898</v>
      </c>
      <c r="E1988" s="6" t="inlineStr">
        <is>
          <t>2022-07</t>
        </is>
      </c>
      <c r="F1988" s="6" t="n">
        <v>82587.21835888299</v>
      </c>
      <c r="G1988" s="6" t="inlineStr">
        <is>
          <t>DOMESTICA</t>
        </is>
      </c>
      <c r="H1988" s="6" t="inlineStr">
        <is>
          <t>FIXO</t>
        </is>
      </c>
      <c r="I1988" s="11">
        <f>IF($H1988="AUTO_OFERTA_TOTAL_PRODUTO_PERIODO",SUMIFS(Oferta!$F:$F,Oferta!$A:$A,$A1988,Oferta!$E:$E,$E1988),$F1988)</f>
        <v/>
      </c>
      <c r="J1988" s="6" t="inlineStr">
        <is>
          <t>Informado</t>
        </is>
      </c>
      <c r="K1988" s="6" t="inlineStr">
        <is>
          <t>Demanda doméstica fixa informada pelo usuário.</t>
        </is>
      </c>
    </row>
    <row r="1989">
      <c r="A1989" s="6" t="inlineStr">
        <is>
          <t>Soja</t>
        </is>
      </c>
      <c r="B1989" s="6" t="inlineStr">
        <is>
          <t>Belém - PA</t>
        </is>
      </c>
      <c r="C1989" s="6" t="n">
        <v>-1.4554</v>
      </c>
      <c r="D1989" s="6" t="n">
        <v>-48.4898</v>
      </c>
      <c r="E1989" s="6" t="inlineStr">
        <is>
          <t>2022-08</t>
        </is>
      </c>
      <c r="F1989" s="6" t="n">
        <v>175862.1943877392</v>
      </c>
      <c r="G1989" s="6" t="inlineStr">
        <is>
          <t>DOMESTICA</t>
        </is>
      </c>
      <c r="H1989" s="6" t="inlineStr">
        <is>
          <t>FIXO</t>
        </is>
      </c>
      <c r="I1989" s="11">
        <f>IF($H1989="AUTO_OFERTA_TOTAL_PRODUTO_PERIODO",SUMIFS(Oferta!$F:$F,Oferta!$A:$A,$A1989,Oferta!$E:$E,$E1989),$F1989)</f>
        <v/>
      </c>
      <c r="J1989" s="6" t="inlineStr">
        <is>
          <t>Informado</t>
        </is>
      </c>
      <c r="K1989" s="6" t="inlineStr">
        <is>
          <t>Demanda doméstica fixa informada pelo usuário.</t>
        </is>
      </c>
    </row>
    <row r="1990">
      <c r="A1990" s="6" t="inlineStr">
        <is>
          <t>Soja</t>
        </is>
      </c>
      <c r="B1990" s="6" t="inlineStr">
        <is>
          <t>Belém - PA</t>
        </is>
      </c>
      <c r="C1990" s="6" t="n">
        <v>-1.4554</v>
      </c>
      <c r="D1990" s="6" t="n">
        <v>-48.4898</v>
      </c>
      <c r="E1990" s="6" t="inlineStr">
        <is>
          <t>2022-09</t>
        </is>
      </c>
      <c r="F1990" s="6" t="n">
        <v>206953.8530640245</v>
      </c>
      <c r="G1990" s="6" t="inlineStr">
        <is>
          <t>DOMESTICA</t>
        </is>
      </c>
      <c r="H1990" s="6" t="inlineStr">
        <is>
          <t>FIXO</t>
        </is>
      </c>
      <c r="I1990" s="11">
        <f>IF($H1990="AUTO_OFERTA_TOTAL_PRODUTO_PERIODO",SUMIFS(Oferta!$F:$F,Oferta!$A:$A,$A1990,Oferta!$E:$E,$E1990),$F1990)</f>
        <v/>
      </c>
      <c r="J1990" s="6" t="inlineStr">
        <is>
          <t>Informado</t>
        </is>
      </c>
      <c r="K1990" s="6" t="inlineStr">
        <is>
          <t>Demanda doméstica fixa informada pelo usuário.</t>
        </is>
      </c>
    </row>
    <row r="1991">
      <c r="A1991" s="6" t="inlineStr">
        <is>
          <t>Soja</t>
        </is>
      </c>
      <c r="B1991" s="6" t="inlineStr">
        <is>
          <t>Belém - PA</t>
        </is>
      </c>
      <c r="C1991" s="6" t="n">
        <v>-1.4554</v>
      </c>
      <c r="D1991" s="6" t="n">
        <v>-48.4898</v>
      </c>
      <c r="E1991" s="6" t="inlineStr">
        <is>
          <t>2022-10</t>
        </is>
      </c>
      <c r="F1991" s="6" t="n">
        <v>175862.1943877392</v>
      </c>
      <c r="G1991" s="6" t="inlineStr">
        <is>
          <t>DOMESTICA</t>
        </is>
      </c>
      <c r="H1991" s="6" t="inlineStr">
        <is>
          <t>FIXO</t>
        </is>
      </c>
      <c r="I1991" s="11">
        <f>IF($H1991="AUTO_OFERTA_TOTAL_PRODUTO_PERIODO",SUMIFS(Oferta!$F:$F,Oferta!$A:$A,$A1991,Oferta!$E:$E,$E1991),$F1991)</f>
        <v/>
      </c>
      <c r="J1991" s="6" t="inlineStr">
        <is>
          <t>Informado</t>
        </is>
      </c>
      <c r="K1991" s="6" t="inlineStr">
        <is>
          <t>Demanda doméstica fixa informada pelo usuário.</t>
        </is>
      </c>
    </row>
    <row r="1992">
      <c r="A1992" s="6" t="inlineStr">
        <is>
          <t>Soja</t>
        </is>
      </c>
      <c r="B1992" s="6" t="inlineStr">
        <is>
          <t>Belém - PA</t>
        </is>
      </c>
      <c r="C1992" s="6" t="n">
        <v>-1.4554</v>
      </c>
      <c r="D1992" s="6" t="n">
        <v>-48.4898</v>
      </c>
      <c r="E1992" s="6" t="inlineStr">
        <is>
          <t>2022-11</t>
        </is>
      </c>
      <c r="F1992" s="6" t="n">
        <v>82587.21835888299</v>
      </c>
      <c r="G1992" s="6" t="inlineStr">
        <is>
          <t>DOMESTICA</t>
        </is>
      </c>
      <c r="H1992" s="6" t="inlineStr">
        <is>
          <t>FIXO</t>
        </is>
      </c>
      <c r="I1992" s="11">
        <f>IF($H1992="AUTO_OFERTA_TOTAL_PRODUTO_PERIODO",SUMIFS(Oferta!$F:$F,Oferta!$A:$A,$A1992,Oferta!$E:$E,$E1992),$F1992)</f>
        <v/>
      </c>
      <c r="J1992" s="6" t="inlineStr">
        <is>
          <t>Informado</t>
        </is>
      </c>
      <c r="K1992" s="6" t="inlineStr">
        <is>
          <t>Demanda doméstica fixa informada pelo usuário.</t>
        </is>
      </c>
    </row>
    <row r="1993">
      <c r="A1993" s="6" t="inlineStr">
        <is>
          <t>Soja</t>
        </is>
      </c>
      <c r="B1993" s="6" t="inlineStr">
        <is>
          <t>Belém - PA</t>
        </is>
      </c>
      <c r="C1993" s="6" t="n">
        <v>-1.4554</v>
      </c>
      <c r="D1993" s="6" t="n">
        <v>-48.4898</v>
      </c>
      <c r="E1993" s="6" t="inlineStr">
        <is>
          <t>2022-12</t>
        </is>
      </c>
      <c r="F1993" s="6" t="n">
        <v>51495.5596825977</v>
      </c>
      <c r="G1993" s="6" t="inlineStr">
        <is>
          <t>DOMESTICA</t>
        </is>
      </c>
      <c r="H1993" s="6" t="inlineStr">
        <is>
          <t>FIXO</t>
        </is>
      </c>
      <c r="I1993" s="11">
        <f>IF($H1993="AUTO_OFERTA_TOTAL_PRODUTO_PERIODO",SUMIFS(Oferta!$F:$F,Oferta!$A:$A,$A1993,Oferta!$E:$E,$E1993),$F1993)</f>
        <v/>
      </c>
      <c r="J1993" s="6" t="inlineStr">
        <is>
          <t>Informado</t>
        </is>
      </c>
      <c r="K1993" s="6" t="inlineStr">
        <is>
          <t>Demanda doméstica fixa informada pelo usuário.</t>
        </is>
      </c>
    </row>
    <row r="1994">
      <c r="A1994" s="6" t="inlineStr">
        <is>
          <t>Soja</t>
        </is>
      </c>
      <c r="B1994" s="6" t="inlineStr">
        <is>
          <t>Porto Velho - RO</t>
        </is>
      </c>
      <c r="C1994" s="6" t="n">
        <v>-8.760770000000001</v>
      </c>
      <c r="D1994" s="6" t="n">
        <v>-63.8999</v>
      </c>
      <c r="E1994" s="6" t="inlineStr">
        <is>
          <t>2022-01</t>
        </is>
      </c>
      <c r="F1994" s="6" t="n">
        <v>19352.6969262961</v>
      </c>
      <c r="G1994" s="6" t="inlineStr">
        <is>
          <t>DOMESTICA</t>
        </is>
      </c>
      <c r="H1994" s="6" t="inlineStr">
        <is>
          <t>FIXO</t>
        </is>
      </c>
      <c r="I1994" s="11">
        <f>IF($H1994="AUTO_OFERTA_TOTAL_PRODUTO_PERIODO",SUMIFS(Oferta!$F:$F,Oferta!$A:$A,$A1994,Oferta!$E:$E,$E1994),$F1994)</f>
        <v/>
      </c>
      <c r="J1994" s="6" t="inlineStr">
        <is>
          <t>Informado</t>
        </is>
      </c>
      <c r="K1994" s="6" t="inlineStr">
        <is>
          <t>Demanda doméstica fixa informada pelo usuário.</t>
        </is>
      </c>
    </row>
    <row r="1995">
      <c r="A1995" s="6" t="inlineStr">
        <is>
          <t>Soja</t>
        </is>
      </c>
      <c r="B1995" s="6" t="inlineStr">
        <is>
          <t>Porto Velho - RO</t>
        </is>
      </c>
      <c r="C1995" s="6" t="n">
        <v>-8.760770000000001</v>
      </c>
      <c r="D1995" s="6" t="n">
        <v>-63.8999</v>
      </c>
      <c r="E1995" s="6" t="inlineStr">
        <is>
          <t>2022-02</t>
        </is>
      </c>
      <c r="F1995" s="6" t="n">
        <v>19352.6969262961</v>
      </c>
      <c r="G1995" s="6" t="inlineStr">
        <is>
          <t>DOMESTICA</t>
        </is>
      </c>
      <c r="H1995" s="6" t="inlineStr">
        <is>
          <t>FIXO</t>
        </is>
      </c>
      <c r="I1995" s="11">
        <f>IF($H1995="AUTO_OFERTA_TOTAL_PRODUTO_PERIODO",SUMIFS(Oferta!$F:$F,Oferta!$A:$A,$A1995,Oferta!$E:$E,$E1995),$F1995)</f>
        <v/>
      </c>
      <c r="J1995" s="6" t="inlineStr">
        <is>
          <t>Informado</t>
        </is>
      </c>
      <c r="K1995" s="6" t="inlineStr">
        <is>
          <t>Demanda doméstica fixa informada pelo usuário.</t>
        </is>
      </c>
    </row>
    <row r="1996">
      <c r="A1996" s="6" t="inlineStr">
        <is>
          <t>Soja</t>
        </is>
      </c>
      <c r="B1996" s="6" t="inlineStr">
        <is>
          <t>Porto Velho - RO</t>
        </is>
      </c>
      <c r="C1996" s="6" t="n">
        <v>-8.760770000000001</v>
      </c>
      <c r="D1996" s="6" t="n">
        <v>-63.8999</v>
      </c>
      <c r="E1996" s="6" t="inlineStr">
        <is>
          <t>2022-03</t>
        </is>
      </c>
      <c r="F1996" s="6" t="n">
        <v>25195.0205266874</v>
      </c>
      <c r="G1996" s="6" t="inlineStr">
        <is>
          <t>DOMESTICA</t>
        </is>
      </c>
      <c r="H1996" s="6" t="inlineStr">
        <is>
          <t>FIXO</t>
        </is>
      </c>
      <c r="I1996" s="11">
        <f>IF($H1996="AUTO_OFERTA_TOTAL_PRODUTO_PERIODO",SUMIFS(Oferta!$F:$F,Oferta!$A:$A,$A1996,Oferta!$E:$E,$E1996),$F1996)</f>
        <v/>
      </c>
      <c r="J1996" s="6" t="inlineStr">
        <is>
          <t>Informado</t>
        </is>
      </c>
      <c r="K1996" s="6" t="inlineStr">
        <is>
          <t>Demanda doméstica fixa informada pelo usuário.</t>
        </is>
      </c>
    </row>
    <row r="1997">
      <c r="A1997" s="6" t="inlineStr">
        <is>
          <t>Soja</t>
        </is>
      </c>
      <c r="B1997" s="6" t="inlineStr">
        <is>
          <t>Porto Velho - RO</t>
        </is>
      </c>
      <c r="C1997" s="6" t="n">
        <v>-8.760770000000001</v>
      </c>
      <c r="D1997" s="6" t="n">
        <v>-63.8999</v>
      </c>
      <c r="E1997" s="6" t="inlineStr">
        <is>
          <t>2022-04</t>
        </is>
      </c>
      <c r="F1997" s="6" t="n">
        <v>60248.962129035</v>
      </c>
      <c r="G1997" s="6" t="inlineStr">
        <is>
          <t>DOMESTICA</t>
        </is>
      </c>
      <c r="H1997" s="6" t="inlineStr">
        <is>
          <t>FIXO</t>
        </is>
      </c>
      <c r="I1997" s="11">
        <f>IF($H1997="AUTO_OFERTA_TOTAL_PRODUTO_PERIODO",SUMIFS(Oferta!$F:$F,Oferta!$A:$A,$A1997,Oferta!$E:$E,$E1997),$F1997)</f>
        <v/>
      </c>
      <c r="J1997" s="6" t="inlineStr">
        <is>
          <t>Informado</t>
        </is>
      </c>
      <c r="K1997" s="6" t="inlineStr">
        <is>
          <t>Demanda doméstica fixa informada pelo usuário.</t>
        </is>
      </c>
    </row>
    <row r="1998">
      <c r="A1998" s="6" t="inlineStr">
        <is>
          <t>Soja</t>
        </is>
      </c>
      <c r="B1998" s="6" t="inlineStr">
        <is>
          <t>Porto Velho - RO</t>
        </is>
      </c>
      <c r="C1998" s="6" t="n">
        <v>-8.760770000000001</v>
      </c>
      <c r="D1998" s="6" t="n">
        <v>-63.8999</v>
      </c>
      <c r="E1998" s="6" t="inlineStr">
        <is>
          <t>2022-05</t>
        </is>
      </c>
      <c r="F1998" s="6" t="n">
        <v>71933.6093298176</v>
      </c>
      <c r="G1998" s="6" t="inlineStr">
        <is>
          <t>DOMESTICA</t>
        </is>
      </c>
      <c r="H1998" s="6" t="inlineStr">
        <is>
          <t>FIXO</t>
        </is>
      </c>
      <c r="I1998" s="11">
        <f>IF($H1998="AUTO_OFERTA_TOTAL_PRODUTO_PERIODO",SUMIFS(Oferta!$F:$F,Oferta!$A:$A,$A1998,Oferta!$E:$E,$E1998),$F1998)</f>
        <v/>
      </c>
      <c r="J1998" s="6" t="inlineStr">
        <is>
          <t>Informado</t>
        </is>
      </c>
      <c r="K1998" s="6" t="inlineStr">
        <is>
          <t>Demanda doméstica fixa informada pelo usuário.</t>
        </is>
      </c>
    </row>
    <row r="1999">
      <c r="A1999" s="6" t="inlineStr">
        <is>
          <t>Soja</t>
        </is>
      </c>
      <c r="B1999" s="6" t="inlineStr">
        <is>
          <t>Porto Velho - RO</t>
        </is>
      </c>
      <c r="C1999" s="6" t="n">
        <v>-8.760770000000001</v>
      </c>
      <c r="D1999" s="6" t="n">
        <v>-63.8999</v>
      </c>
      <c r="E1999" s="6" t="inlineStr">
        <is>
          <t>2022-06</t>
        </is>
      </c>
      <c r="F1999" s="6" t="n">
        <v>66091.28572942629</v>
      </c>
      <c r="G1999" s="6" t="inlineStr">
        <is>
          <t>DOMESTICA</t>
        </is>
      </c>
      <c r="H1999" s="6" t="inlineStr">
        <is>
          <t>FIXO</t>
        </is>
      </c>
      <c r="I1999" s="11">
        <f>IF($H1999="AUTO_OFERTA_TOTAL_PRODUTO_PERIODO",SUMIFS(Oferta!$F:$F,Oferta!$A:$A,$A1999,Oferta!$E:$E,$E1999),$F1999)</f>
        <v/>
      </c>
      <c r="J1999" s="6" t="inlineStr">
        <is>
          <t>Informado</t>
        </is>
      </c>
      <c r="K1999" s="6" t="inlineStr">
        <is>
          <t>Demanda doméstica fixa informada pelo usuário.</t>
        </is>
      </c>
    </row>
    <row r="2000">
      <c r="A2000" s="6" t="inlineStr">
        <is>
          <t>Soja</t>
        </is>
      </c>
      <c r="B2000" s="6" t="inlineStr">
        <is>
          <t>Porto Velho - RO</t>
        </is>
      </c>
      <c r="C2000" s="6" t="n">
        <v>-8.760770000000001</v>
      </c>
      <c r="D2000" s="6" t="n">
        <v>-63.8999</v>
      </c>
      <c r="E2000" s="6" t="inlineStr">
        <is>
          <t>2022-07</t>
        </is>
      </c>
      <c r="F2000" s="6" t="n">
        <v>31037.3441270786</v>
      </c>
      <c r="G2000" s="6" t="inlineStr">
        <is>
          <t>DOMESTICA</t>
        </is>
      </c>
      <c r="H2000" s="6" t="inlineStr">
        <is>
          <t>FIXO</t>
        </is>
      </c>
      <c r="I2000" s="11">
        <f>IF($H2000="AUTO_OFERTA_TOTAL_PRODUTO_PERIODO",SUMIFS(Oferta!$F:$F,Oferta!$A:$A,$A2000,Oferta!$E:$E,$E2000),$F2000)</f>
        <v/>
      </c>
      <c r="J2000" s="6" t="inlineStr">
        <is>
          <t>Informado</t>
        </is>
      </c>
      <c r="K2000" s="6" t="inlineStr">
        <is>
          <t>Demanda doméstica fixa informada pelo usuário.</t>
        </is>
      </c>
    </row>
    <row r="2001">
      <c r="A2001" s="6" t="inlineStr">
        <is>
          <t>Soja</t>
        </is>
      </c>
      <c r="B2001" s="6" t="inlineStr">
        <is>
          <t>Porto Velho - RO</t>
        </is>
      </c>
      <c r="C2001" s="6" t="n">
        <v>-8.760770000000001</v>
      </c>
      <c r="D2001" s="6" t="n">
        <v>-63.8999</v>
      </c>
      <c r="E2001" s="6" t="inlineStr">
        <is>
          <t>2022-08</t>
        </is>
      </c>
      <c r="F2001" s="6" t="n">
        <v>19352.6969262961</v>
      </c>
      <c r="G2001" s="6" t="inlineStr">
        <is>
          <t>DOMESTICA</t>
        </is>
      </c>
      <c r="H2001" s="6" t="inlineStr">
        <is>
          <t>FIXO</t>
        </is>
      </c>
      <c r="I2001" s="11">
        <f>IF($H2001="AUTO_OFERTA_TOTAL_PRODUTO_PERIODO",SUMIFS(Oferta!$F:$F,Oferta!$A:$A,$A2001,Oferta!$E:$E,$E2001),$F2001)</f>
        <v/>
      </c>
      <c r="J2001" s="6" t="inlineStr">
        <is>
          <t>Informado</t>
        </is>
      </c>
      <c r="K2001" s="6" t="inlineStr">
        <is>
          <t>Demanda doméstica fixa informada pelo usuário.</t>
        </is>
      </c>
    </row>
    <row r="2002">
      <c r="A2002" s="6" t="inlineStr">
        <is>
          <t>Soja</t>
        </is>
      </c>
      <c r="B2002" s="6" t="inlineStr">
        <is>
          <t>Porto Velho - RO</t>
        </is>
      </c>
      <c r="C2002" s="6" t="n">
        <v>-8.760770000000001</v>
      </c>
      <c r="D2002" s="6" t="n">
        <v>-63.8999</v>
      </c>
      <c r="E2002" s="6" t="inlineStr">
        <is>
          <t>2022-09</t>
        </is>
      </c>
      <c r="F2002" s="6" t="n">
        <v>19352.6969262961</v>
      </c>
      <c r="G2002" s="6" t="inlineStr">
        <is>
          <t>DOMESTICA</t>
        </is>
      </c>
      <c r="H2002" s="6" t="inlineStr">
        <is>
          <t>FIXO</t>
        </is>
      </c>
      <c r="I2002" s="11">
        <f>IF($H2002="AUTO_OFERTA_TOTAL_PRODUTO_PERIODO",SUMIFS(Oferta!$F:$F,Oferta!$A:$A,$A2002,Oferta!$E:$E,$E2002),$F2002)</f>
        <v/>
      </c>
      <c r="J2002" s="6" t="inlineStr">
        <is>
          <t>Informado</t>
        </is>
      </c>
      <c r="K2002" s="6" t="inlineStr">
        <is>
          <t>Demanda doméstica fixa informada pelo usuário.</t>
        </is>
      </c>
    </row>
    <row r="2003">
      <c r="A2003" s="6" t="inlineStr">
        <is>
          <t>Soja</t>
        </is>
      </c>
      <c r="B2003" s="6" t="inlineStr">
        <is>
          <t>Porto Velho - RO</t>
        </is>
      </c>
      <c r="C2003" s="6" t="n">
        <v>-8.760770000000001</v>
      </c>
      <c r="D2003" s="6" t="n">
        <v>-63.8999</v>
      </c>
      <c r="E2003" s="6" t="inlineStr">
        <is>
          <t>2022-10</t>
        </is>
      </c>
      <c r="F2003" s="6" t="n">
        <v>19352.6969262961</v>
      </c>
      <c r="G2003" s="6" t="inlineStr">
        <is>
          <t>DOMESTICA</t>
        </is>
      </c>
      <c r="H2003" s="6" t="inlineStr">
        <is>
          <t>FIXO</t>
        </is>
      </c>
      <c r="I2003" s="11">
        <f>IF($H2003="AUTO_OFERTA_TOTAL_PRODUTO_PERIODO",SUMIFS(Oferta!$F:$F,Oferta!$A:$A,$A2003,Oferta!$E:$E,$E2003),$F2003)</f>
        <v/>
      </c>
      <c r="J2003" s="6" t="inlineStr">
        <is>
          <t>Informado</t>
        </is>
      </c>
      <c r="K2003" s="6" t="inlineStr">
        <is>
          <t>Demanda doméstica fixa informada pelo usuário.</t>
        </is>
      </c>
    </row>
    <row r="2004">
      <c r="A2004" s="6" t="inlineStr">
        <is>
          <t>Soja</t>
        </is>
      </c>
      <c r="B2004" s="6" t="inlineStr">
        <is>
          <t>Porto Velho - RO</t>
        </is>
      </c>
      <c r="C2004" s="6" t="n">
        <v>-8.760770000000001</v>
      </c>
      <c r="D2004" s="6" t="n">
        <v>-63.8999</v>
      </c>
      <c r="E2004" s="6" t="inlineStr">
        <is>
          <t>2022-11</t>
        </is>
      </c>
      <c r="F2004" s="6" t="n">
        <v>19352.6969262961</v>
      </c>
      <c r="G2004" s="6" t="inlineStr">
        <is>
          <t>DOMESTICA</t>
        </is>
      </c>
      <c r="H2004" s="6" t="inlineStr">
        <is>
          <t>FIXO</t>
        </is>
      </c>
      <c r="I2004" s="11">
        <f>IF($H2004="AUTO_OFERTA_TOTAL_PRODUTO_PERIODO",SUMIFS(Oferta!$F:$F,Oferta!$A:$A,$A2004,Oferta!$E:$E,$E2004),$F2004)</f>
        <v/>
      </c>
      <c r="J2004" s="6" t="inlineStr">
        <is>
          <t>Informado</t>
        </is>
      </c>
      <c r="K2004" s="6" t="inlineStr">
        <is>
          <t>Demanda doméstica fixa informada pelo usuário.</t>
        </is>
      </c>
    </row>
    <row r="2005">
      <c r="A2005" s="6" t="inlineStr">
        <is>
          <t>Soja</t>
        </is>
      </c>
      <c r="B2005" s="6" t="inlineStr">
        <is>
          <t>Porto Velho - RO</t>
        </is>
      </c>
      <c r="C2005" s="6" t="n">
        <v>-8.760770000000001</v>
      </c>
      <c r="D2005" s="6" t="n">
        <v>-63.8999</v>
      </c>
      <c r="E2005" s="6" t="inlineStr">
        <is>
          <t>2022-12</t>
        </is>
      </c>
      <c r="F2005" s="6" t="n">
        <v>19352.6969262961</v>
      </c>
      <c r="G2005" s="6" t="inlineStr">
        <is>
          <t>DOMESTICA</t>
        </is>
      </c>
      <c r="H2005" s="6" t="inlineStr">
        <is>
          <t>FIXO</t>
        </is>
      </c>
      <c r="I2005" s="11">
        <f>IF($H2005="AUTO_OFERTA_TOTAL_PRODUTO_PERIODO",SUMIFS(Oferta!$F:$F,Oferta!$A:$A,$A2005,Oferta!$E:$E,$E2005),$F2005)</f>
        <v/>
      </c>
      <c r="J2005" s="6" t="inlineStr">
        <is>
          <t>Informado</t>
        </is>
      </c>
      <c r="K2005" s="6" t="inlineStr">
        <is>
          <t>Demanda doméstica fixa informada pelo usuário.</t>
        </is>
      </c>
    </row>
    <row r="2006">
      <c r="A2006" s="6" t="inlineStr">
        <is>
          <t>Soja</t>
        </is>
      </c>
      <c r="B2006" s="6" t="inlineStr">
        <is>
          <t>Boa Vista - RR</t>
        </is>
      </c>
      <c r="C2006" s="6" t="n">
        <v>2.82384</v>
      </c>
      <c r="D2006" s="6" t="n">
        <v>-60.6753</v>
      </c>
      <c r="E2006" s="6" t="inlineStr">
        <is>
          <t>2022-01</t>
        </is>
      </c>
      <c r="F2006" s="6" t="n">
        <v>3238.9860207803</v>
      </c>
      <c r="G2006" s="6" t="inlineStr">
        <is>
          <t>DOMESTICA</t>
        </is>
      </c>
      <c r="H2006" s="6" t="inlineStr">
        <is>
          <t>FIXO</t>
        </is>
      </c>
      <c r="I2006" s="11">
        <f>IF($H2006="AUTO_OFERTA_TOTAL_PRODUTO_PERIODO",SUMIFS(Oferta!$F:$F,Oferta!$A:$A,$A2006,Oferta!$E:$E,$E2006),$F2006)</f>
        <v/>
      </c>
      <c r="J2006" s="6" t="inlineStr">
        <is>
          <t>Informado</t>
        </is>
      </c>
      <c r="K2006" s="6" t="inlineStr">
        <is>
          <t>Demanda doméstica fixa informada pelo usuário.</t>
        </is>
      </c>
    </row>
    <row r="2007">
      <c r="A2007" s="6" t="inlineStr">
        <is>
          <t>Soja</t>
        </is>
      </c>
      <c r="B2007" s="6" t="inlineStr">
        <is>
          <t>Boa Vista - RR</t>
        </is>
      </c>
      <c r="C2007" s="6" t="n">
        <v>2.82384</v>
      </c>
      <c r="D2007" s="6" t="n">
        <v>-60.6753</v>
      </c>
      <c r="E2007" s="6" t="inlineStr">
        <is>
          <t>2022-02</t>
        </is>
      </c>
      <c r="F2007" s="6" t="n">
        <v>2212.7726280578</v>
      </c>
      <c r="G2007" s="6" t="inlineStr">
        <is>
          <t>DOMESTICA</t>
        </is>
      </c>
      <c r="H2007" s="6" t="inlineStr">
        <is>
          <t>FIXO</t>
        </is>
      </c>
      <c r="I2007" s="11">
        <f>IF($H2007="AUTO_OFERTA_TOTAL_PRODUTO_PERIODO",SUMIFS(Oferta!$F:$F,Oferta!$A:$A,$A2007,Oferta!$E:$E,$E2007),$F2007)</f>
        <v/>
      </c>
      <c r="J2007" s="6" t="inlineStr">
        <is>
          <t>Informado</t>
        </is>
      </c>
      <c r="K2007" s="6" t="inlineStr">
        <is>
          <t>Demanda doméstica fixa informada pelo usuário.</t>
        </is>
      </c>
    </row>
    <row r="2008">
      <c r="A2008" s="6" t="inlineStr">
        <is>
          <t>Soja</t>
        </is>
      </c>
      <c r="B2008" s="6" t="inlineStr">
        <is>
          <t>Boa Vista - RR</t>
        </is>
      </c>
      <c r="C2008" s="6" t="n">
        <v>2.82384</v>
      </c>
      <c r="D2008" s="6" t="n">
        <v>-60.6753</v>
      </c>
      <c r="E2008" s="6" t="inlineStr">
        <is>
          <t>2022-03</t>
        </is>
      </c>
      <c r="F2008" s="6" t="n">
        <v>1699.6659316966</v>
      </c>
      <c r="G2008" s="6" t="inlineStr">
        <is>
          <t>DOMESTICA</t>
        </is>
      </c>
      <c r="H2008" s="6" t="inlineStr">
        <is>
          <t>FIXO</t>
        </is>
      </c>
      <c r="I2008" s="11">
        <f>IF($H2008="AUTO_OFERTA_TOTAL_PRODUTO_PERIODO",SUMIFS(Oferta!$F:$F,Oferta!$A:$A,$A2008,Oferta!$E:$E,$E2008),$F2008)</f>
        <v/>
      </c>
      <c r="J2008" s="6" t="inlineStr">
        <is>
          <t>Informado</t>
        </is>
      </c>
      <c r="K2008" s="6" t="inlineStr">
        <is>
          <t>Demanda doméstica fixa informada pelo usuário.</t>
        </is>
      </c>
    </row>
    <row r="2009">
      <c r="A2009" s="6" t="inlineStr">
        <is>
          <t>Soja</t>
        </is>
      </c>
      <c r="B2009" s="6" t="inlineStr">
        <is>
          <t>Boa Vista - RR</t>
        </is>
      </c>
      <c r="C2009" s="6" t="n">
        <v>2.82384</v>
      </c>
      <c r="D2009" s="6" t="n">
        <v>-60.6753</v>
      </c>
      <c r="E2009" s="6" t="inlineStr">
        <is>
          <t>2022-04</t>
        </is>
      </c>
      <c r="F2009" s="6" t="n">
        <v>1699.6659316966</v>
      </c>
      <c r="G2009" s="6" t="inlineStr">
        <is>
          <t>DOMESTICA</t>
        </is>
      </c>
      <c r="H2009" s="6" t="inlineStr">
        <is>
          <t>FIXO</t>
        </is>
      </c>
      <c r="I2009" s="11">
        <f>IF($H2009="AUTO_OFERTA_TOTAL_PRODUTO_PERIODO",SUMIFS(Oferta!$F:$F,Oferta!$A:$A,$A2009,Oferta!$E:$E,$E2009),$F2009)</f>
        <v/>
      </c>
      <c r="J2009" s="6" t="inlineStr">
        <is>
          <t>Informado</t>
        </is>
      </c>
      <c r="K2009" s="6" t="inlineStr">
        <is>
          <t>Demanda doméstica fixa informada pelo usuário.</t>
        </is>
      </c>
    </row>
    <row r="2010">
      <c r="A2010" s="6" t="inlineStr">
        <is>
          <t>Soja</t>
        </is>
      </c>
      <c r="B2010" s="6" t="inlineStr">
        <is>
          <t>Boa Vista - RR</t>
        </is>
      </c>
      <c r="C2010" s="6" t="n">
        <v>2.82384</v>
      </c>
      <c r="D2010" s="6" t="n">
        <v>-60.6753</v>
      </c>
      <c r="E2010" s="6" t="inlineStr">
        <is>
          <t>2022-05</t>
        </is>
      </c>
      <c r="F2010" s="6" t="n">
        <v>1699.6659316966</v>
      </c>
      <c r="G2010" s="6" t="inlineStr">
        <is>
          <t>DOMESTICA</t>
        </is>
      </c>
      <c r="H2010" s="6" t="inlineStr">
        <is>
          <t>FIXO</t>
        </is>
      </c>
      <c r="I2010" s="11">
        <f>IF($H2010="AUTO_OFERTA_TOTAL_PRODUTO_PERIODO",SUMIFS(Oferta!$F:$F,Oferta!$A:$A,$A2010,Oferta!$E:$E,$E2010),$F2010)</f>
        <v/>
      </c>
      <c r="J2010" s="6" t="inlineStr">
        <is>
          <t>Informado</t>
        </is>
      </c>
      <c r="K2010" s="6" t="inlineStr">
        <is>
          <t>Demanda doméstica fixa informada pelo usuário.</t>
        </is>
      </c>
    </row>
    <row r="2011">
      <c r="A2011" s="6" t="inlineStr">
        <is>
          <t>Soja</t>
        </is>
      </c>
      <c r="B2011" s="6" t="inlineStr">
        <is>
          <t>Boa Vista - RR</t>
        </is>
      </c>
      <c r="C2011" s="6" t="n">
        <v>2.82384</v>
      </c>
      <c r="D2011" s="6" t="n">
        <v>-60.6753</v>
      </c>
      <c r="E2011" s="6" t="inlineStr">
        <is>
          <t>2022-06</t>
        </is>
      </c>
      <c r="F2011" s="6" t="n">
        <v>1699.6659316966</v>
      </c>
      <c r="G2011" s="6" t="inlineStr">
        <is>
          <t>DOMESTICA</t>
        </is>
      </c>
      <c r="H2011" s="6" t="inlineStr">
        <is>
          <t>FIXO</t>
        </is>
      </c>
      <c r="I2011" s="11">
        <f>IF($H2011="AUTO_OFERTA_TOTAL_PRODUTO_PERIODO",SUMIFS(Oferta!$F:$F,Oferta!$A:$A,$A2011,Oferta!$E:$E,$E2011),$F2011)</f>
        <v/>
      </c>
      <c r="J2011" s="6" t="inlineStr">
        <is>
          <t>Informado</t>
        </is>
      </c>
      <c r="K2011" s="6" t="inlineStr">
        <is>
          <t>Demanda doméstica fixa informada pelo usuário.</t>
        </is>
      </c>
    </row>
    <row r="2012">
      <c r="A2012" s="6" t="inlineStr">
        <is>
          <t>Soja</t>
        </is>
      </c>
      <c r="B2012" s="6" t="inlineStr">
        <is>
          <t>Boa Vista - RR</t>
        </is>
      </c>
      <c r="C2012" s="6" t="n">
        <v>2.82384</v>
      </c>
      <c r="D2012" s="6" t="n">
        <v>-60.6753</v>
      </c>
      <c r="E2012" s="6" t="inlineStr">
        <is>
          <t>2022-07</t>
        </is>
      </c>
      <c r="F2012" s="6" t="n">
        <v>1699.6659316966</v>
      </c>
      <c r="G2012" s="6" t="inlineStr">
        <is>
          <t>DOMESTICA</t>
        </is>
      </c>
      <c r="H2012" s="6" t="inlineStr">
        <is>
          <t>FIXO</t>
        </is>
      </c>
      <c r="I2012" s="11">
        <f>IF($H2012="AUTO_OFERTA_TOTAL_PRODUTO_PERIODO",SUMIFS(Oferta!$F:$F,Oferta!$A:$A,$A2012,Oferta!$E:$E,$E2012),$F2012)</f>
        <v/>
      </c>
      <c r="J2012" s="6" t="inlineStr">
        <is>
          <t>Informado</t>
        </is>
      </c>
      <c r="K2012" s="6" t="inlineStr">
        <is>
          <t>Demanda doméstica fixa informada pelo usuário.</t>
        </is>
      </c>
    </row>
    <row r="2013">
      <c r="A2013" s="6" t="inlineStr">
        <is>
          <t>Soja</t>
        </is>
      </c>
      <c r="B2013" s="6" t="inlineStr">
        <is>
          <t>Boa Vista - RR</t>
        </is>
      </c>
      <c r="C2013" s="6" t="n">
        <v>2.82384</v>
      </c>
      <c r="D2013" s="6" t="n">
        <v>-60.6753</v>
      </c>
      <c r="E2013" s="6" t="inlineStr">
        <is>
          <t>2022-08</t>
        </is>
      </c>
      <c r="F2013" s="6" t="n">
        <v>2212.7726280578</v>
      </c>
      <c r="G2013" s="6" t="inlineStr">
        <is>
          <t>DOMESTICA</t>
        </is>
      </c>
      <c r="H2013" s="6" t="inlineStr">
        <is>
          <t>FIXO</t>
        </is>
      </c>
      <c r="I2013" s="11">
        <f>IF($H2013="AUTO_OFERTA_TOTAL_PRODUTO_PERIODO",SUMIFS(Oferta!$F:$F,Oferta!$A:$A,$A2013,Oferta!$E:$E,$E2013),$F2013)</f>
        <v/>
      </c>
      <c r="J2013" s="6" t="inlineStr">
        <is>
          <t>Informado</t>
        </is>
      </c>
      <c r="K2013" s="6" t="inlineStr">
        <is>
          <t>Demanda doméstica fixa informada pelo usuário.</t>
        </is>
      </c>
    </row>
    <row r="2014">
      <c r="A2014" s="6" t="inlineStr">
        <is>
          <t>Soja</t>
        </is>
      </c>
      <c r="B2014" s="6" t="inlineStr">
        <is>
          <t>Boa Vista - RR</t>
        </is>
      </c>
      <c r="C2014" s="6" t="n">
        <v>2.82384</v>
      </c>
      <c r="D2014" s="6" t="n">
        <v>-60.6753</v>
      </c>
      <c r="E2014" s="6" t="inlineStr">
        <is>
          <t>2022-09</t>
        </is>
      </c>
      <c r="F2014" s="6" t="n">
        <v>3238.9860207803</v>
      </c>
      <c r="G2014" s="6" t="inlineStr">
        <is>
          <t>DOMESTICA</t>
        </is>
      </c>
      <c r="H2014" s="6" t="inlineStr">
        <is>
          <t>FIXO</t>
        </is>
      </c>
      <c r="I2014" s="11">
        <f>IF($H2014="AUTO_OFERTA_TOTAL_PRODUTO_PERIODO",SUMIFS(Oferta!$F:$F,Oferta!$A:$A,$A2014,Oferta!$E:$E,$E2014),$F2014)</f>
        <v/>
      </c>
      <c r="J2014" s="6" t="inlineStr">
        <is>
          <t>Informado</t>
        </is>
      </c>
      <c r="K2014" s="6" t="inlineStr">
        <is>
          <t>Demanda doméstica fixa informada pelo usuário.</t>
        </is>
      </c>
    </row>
    <row r="2015">
      <c r="A2015" s="6" t="inlineStr">
        <is>
          <t>Soja</t>
        </is>
      </c>
      <c r="B2015" s="6" t="inlineStr">
        <is>
          <t>Boa Vista - RR</t>
        </is>
      </c>
      <c r="C2015" s="6" t="n">
        <v>2.82384</v>
      </c>
      <c r="D2015" s="6" t="n">
        <v>-60.6753</v>
      </c>
      <c r="E2015" s="6" t="inlineStr">
        <is>
          <t>2022-10</t>
        </is>
      </c>
      <c r="F2015" s="6" t="n">
        <v>6317.6261989477</v>
      </c>
      <c r="G2015" s="6" t="inlineStr">
        <is>
          <t>DOMESTICA</t>
        </is>
      </c>
      <c r="H2015" s="6" t="inlineStr">
        <is>
          <t>FIXO</t>
        </is>
      </c>
      <c r="I2015" s="11">
        <f>IF($H2015="AUTO_OFERTA_TOTAL_PRODUTO_PERIODO",SUMIFS(Oferta!$F:$F,Oferta!$A:$A,$A2015,Oferta!$E:$E,$E2015),$F2015)</f>
        <v/>
      </c>
      <c r="J2015" s="6" t="inlineStr">
        <is>
          <t>Informado</t>
        </is>
      </c>
      <c r="K2015" s="6" t="inlineStr">
        <is>
          <t>Demanda doméstica fixa informada pelo usuário.</t>
        </is>
      </c>
    </row>
    <row r="2016">
      <c r="A2016" s="6" t="inlineStr">
        <is>
          <t>Soja</t>
        </is>
      </c>
      <c r="B2016" s="6" t="inlineStr">
        <is>
          <t>Boa Vista - RR</t>
        </is>
      </c>
      <c r="C2016" s="6" t="n">
        <v>2.82384</v>
      </c>
      <c r="D2016" s="6" t="n">
        <v>-60.6753</v>
      </c>
      <c r="E2016" s="6" t="inlineStr">
        <is>
          <t>2022-11</t>
        </is>
      </c>
      <c r="F2016" s="6" t="n">
        <v>6830.732895309</v>
      </c>
      <c r="G2016" s="6" t="inlineStr">
        <is>
          <t>DOMESTICA</t>
        </is>
      </c>
      <c r="H2016" s="6" t="inlineStr">
        <is>
          <t>FIXO</t>
        </is>
      </c>
      <c r="I2016" s="11">
        <f>IF($H2016="AUTO_OFERTA_TOTAL_PRODUTO_PERIODO",SUMIFS(Oferta!$F:$F,Oferta!$A:$A,$A2016,Oferta!$E:$E,$E2016),$F2016)</f>
        <v/>
      </c>
      <c r="J2016" s="6" t="inlineStr">
        <is>
          <t>Informado</t>
        </is>
      </c>
      <c r="K2016" s="6" t="inlineStr">
        <is>
          <t>Demanda doméstica fixa informada pelo usuário.</t>
        </is>
      </c>
    </row>
    <row r="2017">
      <c r="A2017" s="6" t="inlineStr">
        <is>
          <t>Soja</t>
        </is>
      </c>
      <c r="B2017" s="6" t="inlineStr">
        <is>
          <t>Boa Vista - RR</t>
        </is>
      </c>
      <c r="C2017" s="6" t="n">
        <v>2.82384</v>
      </c>
      <c r="D2017" s="6" t="n">
        <v>-60.6753</v>
      </c>
      <c r="E2017" s="6" t="inlineStr">
        <is>
          <t>2022-12</t>
        </is>
      </c>
      <c r="F2017" s="6" t="n">
        <v>6317.6261989477</v>
      </c>
      <c r="G2017" s="6" t="inlineStr">
        <is>
          <t>DOMESTICA</t>
        </is>
      </c>
      <c r="H2017" s="6" t="inlineStr">
        <is>
          <t>FIXO</t>
        </is>
      </c>
      <c r="I2017" s="11">
        <f>IF($H2017="AUTO_OFERTA_TOTAL_PRODUTO_PERIODO",SUMIFS(Oferta!$F:$F,Oferta!$A:$A,$A2017,Oferta!$E:$E,$E2017),$F2017)</f>
        <v/>
      </c>
      <c r="J2017" s="6" t="inlineStr">
        <is>
          <t>Informado</t>
        </is>
      </c>
      <c r="K2017" s="6" t="inlineStr">
        <is>
          <t>Demanda doméstica fixa informada pelo usuário.</t>
        </is>
      </c>
    </row>
    <row r="2018">
      <c r="A2018" s="6" t="inlineStr">
        <is>
          <t>Soja</t>
        </is>
      </c>
      <c r="B2018" s="6" t="inlineStr">
        <is>
          <t>Palmas - TO</t>
        </is>
      </c>
      <c r="C2018" s="6" t="n">
        <v>-10.24</v>
      </c>
      <c r="D2018" s="6" t="n">
        <v>-48.3558</v>
      </c>
      <c r="E2018" s="6" t="inlineStr">
        <is>
          <t>2022-01</t>
        </is>
      </c>
      <c r="F2018" s="6" t="n">
        <v>15016.4652646698</v>
      </c>
      <c r="G2018" s="6" t="inlineStr">
        <is>
          <t>DOMESTICA</t>
        </is>
      </c>
      <c r="H2018" s="6" t="inlineStr">
        <is>
          <t>FIXO</t>
        </is>
      </c>
      <c r="I2018" s="11">
        <f>IF($H2018="AUTO_OFERTA_TOTAL_PRODUTO_PERIODO",SUMIFS(Oferta!$F:$F,Oferta!$A:$A,$A2018,Oferta!$E:$E,$E2018),$F2018)</f>
        <v/>
      </c>
      <c r="J2018" s="6" t="inlineStr">
        <is>
          <t>Informado</t>
        </is>
      </c>
      <c r="K2018" s="6" t="inlineStr">
        <is>
          <t>Demanda doméstica fixa informada pelo usuário.</t>
        </is>
      </c>
    </row>
    <row r="2019">
      <c r="A2019" s="6" t="inlineStr">
        <is>
          <t>Soja</t>
        </is>
      </c>
      <c r="B2019" s="6" t="inlineStr">
        <is>
          <t>Palmas - TO</t>
        </is>
      </c>
      <c r="C2019" s="6" t="n">
        <v>-10.24</v>
      </c>
      <c r="D2019" s="6" t="n">
        <v>-48.3558</v>
      </c>
      <c r="E2019" s="6" t="inlineStr">
        <is>
          <t>2022-02</t>
        </is>
      </c>
      <c r="F2019" s="6" t="n">
        <v>15016.4652646698</v>
      </c>
      <c r="G2019" s="6" t="inlineStr">
        <is>
          <t>DOMESTICA</t>
        </is>
      </c>
      <c r="H2019" s="6" t="inlineStr">
        <is>
          <t>FIXO</t>
        </is>
      </c>
      <c r="I2019" s="11">
        <f>IF($H2019="AUTO_OFERTA_TOTAL_PRODUTO_PERIODO",SUMIFS(Oferta!$F:$F,Oferta!$A:$A,$A2019,Oferta!$E:$E,$E2019),$F2019)</f>
        <v/>
      </c>
      <c r="J2019" s="6" t="inlineStr">
        <is>
          <t>Informado</t>
        </is>
      </c>
      <c r="K2019" s="6" t="inlineStr">
        <is>
          <t>Demanda doméstica fixa informada pelo usuário.</t>
        </is>
      </c>
    </row>
    <row r="2020">
      <c r="A2020" s="6" t="inlineStr">
        <is>
          <t>Soja</t>
        </is>
      </c>
      <c r="B2020" s="6" t="inlineStr">
        <is>
          <t>Palmas - TO</t>
        </is>
      </c>
      <c r="C2020" s="6" t="n">
        <v>-10.24</v>
      </c>
      <c r="D2020" s="6" t="n">
        <v>-48.3558</v>
      </c>
      <c r="E2020" s="6" t="inlineStr">
        <is>
          <t>2022-03</t>
        </is>
      </c>
      <c r="F2020" s="6" t="n">
        <v>24083.0103301308</v>
      </c>
      <c r="G2020" s="6" t="inlineStr">
        <is>
          <t>DOMESTICA</t>
        </is>
      </c>
      <c r="H2020" s="6" t="inlineStr">
        <is>
          <t>FIXO</t>
        </is>
      </c>
      <c r="I2020" s="11">
        <f>IF($H2020="AUTO_OFERTA_TOTAL_PRODUTO_PERIODO",SUMIFS(Oferta!$F:$F,Oferta!$A:$A,$A2020,Oferta!$E:$E,$E2020),$F2020)</f>
        <v/>
      </c>
      <c r="J2020" s="6" t="inlineStr">
        <is>
          <t>Informado</t>
        </is>
      </c>
      <c r="K2020" s="6" t="inlineStr">
        <is>
          <t>Demanda doméstica fixa informada pelo usuário.</t>
        </is>
      </c>
    </row>
    <row r="2021">
      <c r="A2021" s="6" t="inlineStr">
        <is>
          <t>Soja</t>
        </is>
      </c>
      <c r="B2021" s="6" t="inlineStr">
        <is>
          <t>Palmas - TO</t>
        </is>
      </c>
      <c r="C2021" s="6" t="n">
        <v>-10.24</v>
      </c>
      <c r="D2021" s="6" t="n">
        <v>-48.3558</v>
      </c>
      <c r="E2021" s="6" t="inlineStr">
        <is>
          <t>2022-04</t>
        </is>
      </c>
      <c r="F2021" s="6" t="n">
        <v>42216.1004610528</v>
      </c>
      <c r="G2021" s="6" t="inlineStr">
        <is>
          <t>DOMESTICA</t>
        </is>
      </c>
      <c r="H2021" s="6" t="inlineStr">
        <is>
          <t>FIXO</t>
        </is>
      </c>
      <c r="I2021" s="11">
        <f>IF($H2021="AUTO_OFERTA_TOTAL_PRODUTO_PERIODO",SUMIFS(Oferta!$F:$F,Oferta!$A:$A,$A2021,Oferta!$E:$E,$E2021),$F2021)</f>
        <v/>
      </c>
      <c r="J2021" s="6" t="inlineStr">
        <is>
          <t>Informado</t>
        </is>
      </c>
      <c r="K2021" s="6" t="inlineStr">
        <is>
          <t>Demanda doméstica fixa informada pelo usuário.</t>
        </is>
      </c>
    </row>
    <row r="2022">
      <c r="A2022" s="6" t="inlineStr">
        <is>
          <t>Soja</t>
        </is>
      </c>
      <c r="B2022" s="6" t="inlineStr">
        <is>
          <t>Palmas - TO</t>
        </is>
      </c>
      <c r="C2022" s="6" t="n">
        <v>-10.24</v>
      </c>
      <c r="D2022" s="6" t="n">
        <v>-48.3558</v>
      </c>
      <c r="E2022" s="6" t="inlineStr">
        <is>
          <t>2022-05</t>
        </is>
      </c>
      <c r="F2022" s="6" t="n">
        <v>60349.1905919748</v>
      </c>
      <c r="G2022" s="6" t="inlineStr">
        <is>
          <t>DOMESTICA</t>
        </is>
      </c>
      <c r="H2022" s="6" t="inlineStr">
        <is>
          <t>FIXO</t>
        </is>
      </c>
      <c r="I2022" s="11">
        <f>IF($H2022="AUTO_OFERTA_TOTAL_PRODUTO_PERIODO",SUMIFS(Oferta!$F:$F,Oferta!$A:$A,$A2022,Oferta!$E:$E,$E2022),$F2022)</f>
        <v/>
      </c>
      <c r="J2022" s="6" t="inlineStr">
        <is>
          <t>Informado</t>
        </is>
      </c>
      <c r="K2022" s="6" t="inlineStr">
        <is>
          <t>Demanda doméstica fixa informada pelo usuário.</t>
        </is>
      </c>
    </row>
    <row r="2023">
      <c r="A2023" s="6" t="inlineStr">
        <is>
          <t>Soja</t>
        </is>
      </c>
      <c r="B2023" s="6" t="inlineStr">
        <is>
          <t>Palmas - TO</t>
        </is>
      </c>
      <c r="C2023" s="6" t="n">
        <v>-10.24</v>
      </c>
      <c r="D2023" s="6" t="n">
        <v>-48.3558</v>
      </c>
      <c r="E2023" s="6" t="inlineStr">
        <is>
          <t>2022-06</t>
        </is>
      </c>
      <c r="F2023" s="6" t="n">
        <v>60349.1905919748</v>
      </c>
      <c r="G2023" s="6" t="inlineStr">
        <is>
          <t>DOMESTICA</t>
        </is>
      </c>
      <c r="H2023" s="6" t="inlineStr">
        <is>
          <t>FIXO</t>
        </is>
      </c>
      <c r="I2023" s="11">
        <f>IF($H2023="AUTO_OFERTA_TOTAL_PRODUTO_PERIODO",SUMIFS(Oferta!$F:$F,Oferta!$A:$A,$A2023,Oferta!$E:$E,$E2023),$F2023)</f>
        <v/>
      </c>
      <c r="J2023" s="6" t="inlineStr">
        <is>
          <t>Informado</t>
        </is>
      </c>
      <c r="K2023" s="6" t="inlineStr">
        <is>
          <t>Demanda doméstica fixa informada pelo usuário.</t>
        </is>
      </c>
    </row>
    <row r="2024">
      <c r="A2024" s="6" t="inlineStr">
        <is>
          <t>Soja</t>
        </is>
      </c>
      <c r="B2024" s="6" t="inlineStr">
        <is>
          <t>Palmas - TO</t>
        </is>
      </c>
      <c r="C2024" s="6" t="n">
        <v>-10.24</v>
      </c>
      <c r="D2024" s="6" t="n">
        <v>-48.3558</v>
      </c>
      <c r="E2024" s="6" t="inlineStr">
        <is>
          <t>2022-07</t>
        </is>
      </c>
      <c r="F2024" s="6" t="n">
        <v>42216.1004610528</v>
      </c>
      <c r="G2024" s="6" t="inlineStr">
        <is>
          <t>DOMESTICA</t>
        </is>
      </c>
      <c r="H2024" s="6" t="inlineStr">
        <is>
          <t>FIXO</t>
        </is>
      </c>
      <c r="I2024" s="11">
        <f>IF($H2024="AUTO_OFERTA_TOTAL_PRODUTO_PERIODO",SUMIFS(Oferta!$F:$F,Oferta!$A:$A,$A2024,Oferta!$E:$E,$E2024),$F2024)</f>
        <v/>
      </c>
      <c r="J2024" s="6" t="inlineStr">
        <is>
          <t>Informado</t>
        </is>
      </c>
      <c r="K2024" s="6" t="inlineStr">
        <is>
          <t>Demanda doméstica fixa informada pelo usuário.</t>
        </is>
      </c>
    </row>
    <row r="2025">
      <c r="A2025" s="6" t="inlineStr">
        <is>
          <t>Soja</t>
        </is>
      </c>
      <c r="B2025" s="6" t="inlineStr">
        <is>
          <t>Palmas - TO</t>
        </is>
      </c>
      <c r="C2025" s="6" t="n">
        <v>-10.24</v>
      </c>
      <c r="D2025" s="6" t="n">
        <v>-48.3558</v>
      </c>
      <c r="E2025" s="6" t="inlineStr">
        <is>
          <t>2022-08</t>
        </is>
      </c>
      <c r="F2025" s="6" t="n">
        <v>24083.0103301308</v>
      </c>
      <c r="G2025" s="6" t="inlineStr">
        <is>
          <t>DOMESTICA</t>
        </is>
      </c>
      <c r="H2025" s="6" t="inlineStr">
        <is>
          <t>FIXO</t>
        </is>
      </c>
      <c r="I2025" s="11">
        <f>IF($H2025="AUTO_OFERTA_TOTAL_PRODUTO_PERIODO",SUMIFS(Oferta!$F:$F,Oferta!$A:$A,$A2025,Oferta!$E:$E,$E2025),$F2025)</f>
        <v/>
      </c>
      <c r="J2025" s="6" t="inlineStr">
        <is>
          <t>Informado</t>
        </is>
      </c>
      <c r="K2025" s="6" t="inlineStr">
        <is>
          <t>Demanda doméstica fixa informada pelo usuário.</t>
        </is>
      </c>
    </row>
    <row r="2026">
      <c r="A2026" s="6" t="inlineStr">
        <is>
          <t>Soja</t>
        </is>
      </c>
      <c r="B2026" s="6" t="inlineStr">
        <is>
          <t>Palmas - TO</t>
        </is>
      </c>
      <c r="C2026" s="6" t="n">
        <v>-10.24</v>
      </c>
      <c r="D2026" s="6" t="n">
        <v>-48.3558</v>
      </c>
      <c r="E2026" s="6" t="inlineStr">
        <is>
          <t>2022-09</t>
        </is>
      </c>
      <c r="F2026" s="6" t="n">
        <v>15016.4652646698</v>
      </c>
      <c r="G2026" s="6" t="inlineStr">
        <is>
          <t>DOMESTICA</t>
        </is>
      </c>
      <c r="H2026" s="6" t="inlineStr">
        <is>
          <t>FIXO</t>
        </is>
      </c>
      <c r="I2026" s="11">
        <f>IF($H2026="AUTO_OFERTA_TOTAL_PRODUTO_PERIODO",SUMIFS(Oferta!$F:$F,Oferta!$A:$A,$A2026,Oferta!$E:$E,$E2026),$F2026)</f>
        <v/>
      </c>
      <c r="J2026" s="6" t="inlineStr">
        <is>
          <t>Informado</t>
        </is>
      </c>
      <c r="K2026" s="6" t="inlineStr">
        <is>
          <t>Demanda doméstica fixa informada pelo usuário.</t>
        </is>
      </c>
    </row>
    <row r="2027">
      <c r="A2027" s="6" t="inlineStr">
        <is>
          <t>Soja</t>
        </is>
      </c>
      <c r="B2027" s="6" t="inlineStr">
        <is>
          <t>Palmas - TO</t>
        </is>
      </c>
      <c r="C2027" s="6" t="n">
        <v>-10.24</v>
      </c>
      <c r="D2027" s="6" t="n">
        <v>-48.3558</v>
      </c>
      <c r="E2027" s="6" t="inlineStr">
        <is>
          <t>2022-10</t>
        </is>
      </c>
      <c r="F2027" s="6" t="n">
        <v>15016.4652646698</v>
      </c>
      <c r="G2027" s="6" t="inlineStr">
        <is>
          <t>DOMESTICA</t>
        </is>
      </c>
      <c r="H2027" s="6" t="inlineStr">
        <is>
          <t>FIXO</t>
        </is>
      </c>
      <c r="I2027" s="11">
        <f>IF($H2027="AUTO_OFERTA_TOTAL_PRODUTO_PERIODO",SUMIFS(Oferta!$F:$F,Oferta!$A:$A,$A2027,Oferta!$E:$E,$E2027),$F2027)</f>
        <v/>
      </c>
      <c r="J2027" s="6" t="inlineStr">
        <is>
          <t>Informado</t>
        </is>
      </c>
      <c r="K2027" s="6" t="inlineStr">
        <is>
          <t>Demanda doméstica fixa informada pelo usuário.</t>
        </is>
      </c>
    </row>
    <row r="2028">
      <c r="A2028" s="6" t="inlineStr">
        <is>
          <t>Soja</t>
        </is>
      </c>
      <c r="B2028" s="6" t="inlineStr">
        <is>
          <t>Palmas - TO</t>
        </is>
      </c>
      <c r="C2028" s="6" t="n">
        <v>-10.24</v>
      </c>
      <c r="D2028" s="6" t="n">
        <v>-48.3558</v>
      </c>
      <c r="E2028" s="6" t="inlineStr">
        <is>
          <t>2022-11</t>
        </is>
      </c>
      <c r="F2028" s="6" t="n">
        <v>15016.4652646698</v>
      </c>
      <c r="G2028" s="6" t="inlineStr">
        <is>
          <t>DOMESTICA</t>
        </is>
      </c>
      <c r="H2028" s="6" t="inlineStr">
        <is>
          <t>FIXO</t>
        </is>
      </c>
      <c r="I2028" s="11">
        <f>IF($H2028="AUTO_OFERTA_TOTAL_PRODUTO_PERIODO",SUMIFS(Oferta!$F:$F,Oferta!$A:$A,$A2028,Oferta!$E:$E,$E2028),$F2028)</f>
        <v/>
      </c>
      <c r="J2028" s="6" t="inlineStr">
        <is>
          <t>Informado</t>
        </is>
      </c>
      <c r="K2028" s="6" t="inlineStr">
        <is>
          <t>Demanda doméstica fixa informada pelo usuário.</t>
        </is>
      </c>
    </row>
    <row r="2029">
      <c r="A2029" s="6" t="inlineStr">
        <is>
          <t>Soja</t>
        </is>
      </c>
      <c r="B2029" s="6" t="inlineStr">
        <is>
          <t>Palmas - TO</t>
        </is>
      </c>
      <c r="C2029" s="6" t="n">
        <v>-10.24</v>
      </c>
      <c r="D2029" s="6" t="n">
        <v>-48.3558</v>
      </c>
      <c r="E2029" s="6" t="inlineStr">
        <is>
          <t>2022-12</t>
        </is>
      </c>
      <c r="F2029" s="6" t="n">
        <v>15016.4652646698</v>
      </c>
      <c r="G2029" s="6" t="inlineStr">
        <is>
          <t>DOMESTICA</t>
        </is>
      </c>
      <c r="H2029" s="6" t="inlineStr">
        <is>
          <t>FIXO</t>
        </is>
      </c>
      <c r="I2029" s="11">
        <f>IF($H2029="AUTO_OFERTA_TOTAL_PRODUTO_PERIODO",SUMIFS(Oferta!$F:$F,Oferta!$A:$A,$A2029,Oferta!$E:$E,$E2029),$F2029)</f>
        <v/>
      </c>
      <c r="J2029" s="6" t="inlineStr">
        <is>
          <t>Informado</t>
        </is>
      </c>
      <c r="K2029" s="6" t="inlineStr">
        <is>
          <t>Demanda doméstica fixa informada pelo usuário.</t>
        </is>
      </c>
    </row>
    <row r="2030">
      <c r="A2030" s="6" t="inlineStr">
        <is>
          <t>Soja</t>
        </is>
      </c>
      <c r="B2030" s="6" t="inlineStr">
        <is>
          <t>Maceió - AL</t>
        </is>
      </c>
      <c r="C2030" s="6" t="n">
        <v>-9.665990000000001</v>
      </c>
      <c r="D2030" s="6" t="n">
        <v>-35.735</v>
      </c>
      <c r="E2030" s="6" t="inlineStr">
        <is>
          <t>2022-01</t>
        </is>
      </c>
      <c r="F2030" s="6" t="n">
        <v>32852.5418757033</v>
      </c>
      <c r="G2030" s="6" t="inlineStr">
        <is>
          <t>DOMESTICA</t>
        </is>
      </c>
      <c r="H2030" s="6" t="inlineStr">
        <is>
          <t>FIXO</t>
        </is>
      </c>
      <c r="I2030" s="11">
        <f>IF($H2030="AUTO_OFERTA_TOTAL_PRODUTO_PERIODO",SUMIFS(Oferta!$F:$F,Oferta!$A:$A,$A2030,Oferta!$E:$E,$E2030),$F2030)</f>
        <v/>
      </c>
      <c r="J2030" s="6" t="inlineStr">
        <is>
          <t>Informado</t>
        </is>
      </c>
      <c r="K2030" s="6" t="inlineStr">
        <is>
          <t>Demanda doméstica fixa informada pelo usuário.</t>
        </is>
      </c>
    </row>
    <row r="2031">
      <c r="A2031" s="6" t="inlineStr">
        <is>
          <t>Soja</t>
        </is>
      </c>
      <c r="B2031" s="6" t="inlineStr">
        <is>
          <t>Maceió - AL</t>
        </is>
      </c>
      <c r="C2031" s="6" t="n">
        <v>-9.665990000000001</v>
      </c>
      <c r="D2031" s="6" t="n">
        <v>-35.735</v>
      </c>
      <c r="E2031" s="6" t="inlineStr">
        <is>
          <t>2022-02</t>
        </is>
      </c>
      <c r="F2031" s="6" t="n">
        <v>32852.5418757033</v>
      </c>
      <c r="G2031" s="6" t="inlineStr">
        <is>
          <t>DOMESTICA</t>
        </is>
      </c>
      <c r="H2031" s="6" t="inlineStr">
        <is>
          <t>FIXO</t>
        </is>
      </c>
      <c r="I2031" s="11">
        <f>IF($H2031="AUTO_OFERTA_TOTAL_PRODUTO_PERIODO",SUMIFS(Oferta!$F:$F,Oferta!$A:$A,$A2031,Oferta!$E:$E,$E2031),$F2031)</f>
        <v/>
      </c>
      <c r="J2031" s="6" t="inlineStr">
        <is>
          <t>Informado</t>
        </is>
      </c>
      <c r="K2031" s="6" t="inlineStr">
        <is>
          <t>Demanda doméstica fixa informada pelo usuário.</t>
        </is>
      </c>
    </row>
    <row r="2032">
      <c r="A2032" s="6" t="inlineStr">
        <is>
          <t>Soja</t>
        </is>
      </c>
      <c r="B2032" s="6" t="inlineStr">
        <is>
          <t>Maceió - AL</t>
        </is>
      </c>
      <c r="C2032" s="6" t="n">
        <v>-9.665990000000001</v>
      </c>
      <c r="D2032" s="6" t="n">
        <v>-35.735</v>
      </c>
      <c r="E2032" s="6" t="inlineStr">
        <is>
          <t>2022-03</t>
        </is>
      </c>
      <c r="F2032" s="6" t="n">
        <v>32852.5418757033</v>
      </c>
      <c r="G2032" s="6" t="inlineStr">
        <is>
          <t>DOMESTICA</t>
        </is>
      </c>
      <c r="H2032" s="6" t="inlineStr">
        <is>
          <t>FIXO</t>
        </is>
      </c>
      <c r="I2032" s="11">
        <f>IF($H2032="AUTO_OFERTA_TOTAL_PRODUTO_PERIODO",SUMIFS(Oferta!$F:$F,Oferta!$A:$A,$A2032,Oferta!$E:$E,$E2032),$F2032)</f>
        <v/>
      </c>
      <c r="J2032" s="6" t="inlineStr">
        <is>
          <t>Informado</t>
        </is>
      </c>
      <c r="K2032" s="6" t="inlineStr">
        <is>
          <t>Demanda doméstica fixa informada pelo usuário.</t>
        </is>
      </c>
    </row>
    <row r="2033">
      <c r="A2033" s="6" t="inlineStr">
        <is>
          <t>Soja</t>
        </is>
      </c>
      <c r="B2033" s="6" t="inlineStr">
        <is>
          <t>Maceió - AL</t>
        </is>
      </c>
      <c r="C2033" s="6" t="n">
        <v>-9.665990000000001</v>
      </c>
      <c r="D2033" s="6" t="n">
        <v>-35.735</v>
      </c>
      <c r="E2033" s="6" t="inlineStr">
        <is>
          <t>2022-04</t>
        </is>
      </c>
      <c r="F2033" s="6" t="n">
        <v>32852.5418757033</v>
      </c>
      <c r="G2033" s="6" t="inlineStr">
        <is>
          <t>DOMESTICA</t>
        </is>
      </c>
      <c r="H2033" s="6" t="inlineStr">
        <is>
          <t>FIXO</t>
        </is>
      </c>
      <c r="I2033" s="11">
        <f>IF($H2033="AUTO_OFERTA_TOTAL_PRODUTO_PERIODO",SUMIFS(Oferta!$F:$F,Oferta!$A:$A,$A2033,Oferta!$E:$E,$E2033),$F2033)</f>
        <v/>
      </c>
      <c r="J2033" s="6" t="inlineStr">
        <is>
          <t>Informado</t>
        </is>
      </c>
      <c r="K2033" s="6" t="inlineStr">
        <is>
          <t>Demanda doméstica fixa informada pelo usuário.</t>
        </is>
      </c>
    </row>
    <row r="2034">
      <c r="A2034" s="6" t="inlineStr">
        <is>
          <t>Soja</t>
        </is>
      </c>
      <c r="B2034" s="6" t="inlineStr">
        <is>
          <t>Maceió - AL</t>
        </is>
      </c>
      <c r="C2034" s="6" t="n">
        <v>-9.665990000000001</v>
      </c>
      <c r="D2034" s="6" t="n">
        <v>-35.735</v>
      </c>
      <c r="E2034" s="6" t="inlineStr">
        <is>
          <t>2022-05</t>
        </is>
      </c>
      <c r="F2034" s="6" t="n">
        <v>32852.5418757033</v>
      </c>
      <c r="G2034" s="6" t="inlineStr">
        <is>
          <t>DOMESTICA</t>
        </is>
      </c>
      <c r="H2034" s="6" t="inlineStr">
        <is>
          <t>FIXO</t>
        </is>
      </c>
      <c r="I2034" s="11">
        <f>IF($H2034="AUTO_OFERTA_TOTAL_PRODUTO_PERIODO",SUMIFS(Oferta!$F:$F,Oferta!$A:$A,$A2034,Oferta!$E:$E,$E2034),$F2034)</f>
        <v/>
      </c>
      <c r="J2034" s="6" t="inlineStr">
        <is>
          <t>Informado</t>
        </is>
      </c>
      <c r="K2034" s="6" t="inlineStr">
        <is>
          <t>Demanda doméstica fixa informada pelo usuário.</t>
        </is>
      </c>
    </row>
    <row r="2035">
      <c r="A2035" s="6" t="inlineStr">
        <is>
          <t>Soja</t>
        </is>
      </c>
      <c r="B2035" s="6" t="inlineStr">
        <is>
          <t>Maceió - AL</t>
        </is>
      </c>
      <c r="C2035" s="6" t="n">
        <v>-9.665990000000001</v>
      </c>
      <c r="D2035" s="6" t="n">
        <v>-35.735</v>
      </c>
      <c r="E2035" s="6" t="inlineStr">
        <is>
          <t>2022-06</t>
        </is>
      </c>
      <c r="F2035" s="6" t="n">
        <v>32852.5418757033</v>
      </c>
      <c r="G2035" s="6" t="inlineStr">
        <is>
          <t>DOMESTICA</t>
        </is>
      </c>
      <c r="H2035" s="6" t="inlineStr">
        <is>
          <t>FIXO</t>
        </is>
      </c>
      <c r="I2035" s="11">
        <f>IF($H2035="AUTO_OFERTA_TOTAL_PRODUTO_PERIODO",SUMIFS(Oferta!$F:$F,Oferta!$A:$A,$A2035,Oferta!$E:$E,$E2035),$F2035)</f>
        <v/>
      </c>
      <c r="J2035" s="6" t="inlineStr">
        <is>
          <t>Informado</t>
        </is>
      </c>
      <c r="K2035" s="6" t="inlineStr">
        <is>
          <t>Demanda doméstica fixa informada pelo usuário.</t>
        </is>
      </c>
    </row>
    <row r="2036">
      <c r="A2036" s="6" t="inlineStr">
        <is>
          <t>Soja</t>
        </is>
      </c>
      <c r="B2036" s="6" t="inlineStr">
        <is>
          <t>Maceió - AL</t>
        </is>
      </c>
      <c r="C2036" s="6" t="n">
        <v>-9.665990000000001</v>
      </c>
      <c r="D2036" s="6" t="n">
        <v>-35.735</v>
      </c>
      <c r="E2036" s="6" t="inlineStr">
        <is>
          <t>2022-07</t>
        </is>
      </c>
      <c r="F2036" s="6" t="n">
        <v>32852.5418757033</v>
      </c>
      <c r="G2036" s="6" t="inlineStr">
        <is>
          <t>DOMESTICA</t>
        </is>
      </c>
      <c r="H2036" s="6" t="inlineStr">
        <is>
          <t>FIXO</t>
        </is>
      </c>
      <c r="I2036" s="11">
        <f>IF($H2036="AUTO_OFERTA_TOTAL_PRODUTO_PERIODO",SUMIFS(Oferta!$F:$F,Oferta!$A:$A,$A2036,Oferta!$E:$E,$E2036),$F2036)</f>
        <v/>
      </c>
      <c r="J2036" s="6" t="inlineStr">
        <is>
          <t>Informado</t>
        </is>
      </c>
      <c r="K2036" s="6" t="inlineStr">
        <is>
          <t>Demanda doméstica fixa informada pelo usuário.</t>
        </is>
      </c>
    </row>
    <row r="2037">
      <c r="A2037" s="6" t="inlineStr">
        <is>
          <t>Soja</t>
        </is>
      </c>
      <c r="B2037" s="6" t="inlineStr">
        <is>
          <t>Maceió - AL</t>
        </is>
      </c>
      <c r="C2037" s="6" t="n">
        <v>-9.665990000000001</v>
      </c>
      <c r="D2037" s="6" t="n">
        <v>-35.735</v>
      </c>
      <c r="E2037" s="6" t="inlineStr">
        <is>
          <t>2022-08</t>
        </is>
      </c>
      <c r="F2037" s="6" t="n">
        <v>32852.5418757033</v>
      </c>
      <c r="G2037" s="6" t="inlineStr">
        <is>
          <t>DOMESTICA</t>
        </is>
      </c>
      <c r="H2037" s="6" t="inlineStr">
        <is>
          <t>FIXO</t>
        </is>
      </c>
      <c r="I2037" s="11">
        <f>IF($H2037="AUTO_OFERTA_TOTAL_PRODUTO_PERIODO",SUMIFS(Oferta!$F:$F,Oferta!$A:$A,$A2037,Oferta!$E:$E,$E2037),$F2037)</f>
        <v/>
      </c>
      <c r="J2037" s="6" t="inlineStr">
        <is>
          <t>Informado</t>
        </is>
      </c>
      <c r="K2037" s="6" t="inlineStr">
        <is>
          <t>Demanda doméstica fixa informada pelo usuário.</t>
        </is>
      </c>
    </row>
    <row r="2038">
      <c r="A2038" s="6" t="inlineStr">
        <is>
          <t>Soja</t>
        </is>
      </c>
      <c r="B2038" s="6" t="inlineStr">
        <is>
          <t>Maceió - AL</t>
        </is>
      </c>
      <c r="C2038" s="6" t="n">
        <v>-9.665990000000001</v>
      </c>
      <c r="D2038" s="6" t="n">
        <v>-35.735</v>
      </c>
      <c r="E2038" s="6" t="inlineStr">
        <is>
          <t>2022-09</t>
        </is>
      </c>
      <c r="F2038" s="6" t="n">
        <v>32852.5418757033</v>
      </c>
      <c r="G2038" s="6" t="inlineStr">
        <is>
          <t>DOMESTICA</t>
        </is>
      </c>
      <c r="H2038" s="6" t="inlineStr">
        <is>
          <t>FIXO</t>
        </is>
      </c>
      <c r="I2038" s="11">
        <f>IF($H2038="AUTO_OFERTA_TOTAL_PRODUTO_PERIODO",SUMIFS(Oferta!$F:$F,Oferta!$A:$A,$A2038,Oferta!$E:$E,$E2038),$F2038)</f>
        <v/>
      </c>
      <c r="J2038" s="6" t="inlineStr">
        <is>
          <t>Informado</t>
        </is>
      </c>
      <c r="K2038" s="6" t="inlineStr">
        <is>
          <t>Demanda doméstica fixa informada pelo usuário.</t>
        </is>
      </c>
    </row>
    <row r="2039">
      <c r="A2039" s="6" t="inlineStr">
        <is>
          <t>Soja</t>
        </is>
      </c>
      <c r="B2039" s="6" t="inlineStr">
        <is>
          <t>Maceió - AL</t>
        </is>
      </c>
      <c r="C2039" s="6" t="n">
        <v>-9.665990000000001</v>
      </c>
      <c r="D2039" s="6" t="n">
        <v>-35.735</v>
      </c>
      <c r="E2039" s="6" t="inlineStr">
        <is>
          <t>2022-10</t>
        </is>
      </c>
      <c r="F2039" s="6" t="n">
        <v>32852.5418757033</v>
      </c>
      <c r="G2039" s="6" t="inlineStr">
        <is>
          <t>DOMESTICA</t>
        </is>
      </c>
      <c r="H2039" s="6" t="inlineStr">
        <is>
          <t>FIXO</t>
        </is>
      </c>
      <c r="I2039" s="11">
        <f>IF($H2039="AUTO_OFERTA_TOTAL_PRODUTO_PERIODO",SUMIFS(Oferta!$F:$F,Oferta!$A:$A,$A2039,Oferta!$E:$E,$E2039),$F2039)</f>
        <v/>
      </c>
      <c r="J2039" s="6" t="inlineStr">
        <is>
          <t>Informado</t>
        </is>
      </c>
      <c r="K2039" s="6" t="inlineStr">
        <is>
          <t>Demanda doméstica fixa informada pelo usuário.</t>
        </is>
      </c>
    </row>
    <row r="2040">
      <c r="A2040" s="6" t="inlineStr">
        <is>
          <t>Soja</t>
        </is>
      </c>
      <c r="B2040" s="6" t="inlineStr">
        <is>
          <t>Maceió - AL</t>
        </is>
      </c>
      <c r="C2040" s="6" t="n">
        <v>-9.665990000000001</v>
      </c>
      <c r="D2040" s="6" t="n">
        <v>-35.735</v>
      </c>
      <c r="E2040" s="6" t="inlineStr">
        <is>
          <t>2022-11</t>
        </is>
      </c>
      <c r="F2040" s="6" t="n">
        <v>32852.5418757033</v>
      </c>
      <c r="G2040" s="6" t="inlineStr">
        <is>
          <t>DOMESTICA</t>
        </is>
      </c>
      <c r="H2040" s="6" t="inlineStr">
        <is>
          <t>FIXO</t>
        </is>
      </c>
      <c r="I2040" s="11">
        <f>IF($H2040="AUTO_OFERTA_TOTAL_PRODUTO_PERIODO",SUMIFS(Oferta!$F:$F,Oferta!$A:$A,$A2040,Oferta!$E:$E,$E2040),$F2040)</f>
        <v/>
      </c>
      <c r="J2040" s="6" t="inlineStr">
        <is>
          <t>Informado</t>
        </is>
      </c>
      <c r="K2040" s="6" t="inlineStr">
        <is>
          <t>Demanda doméstica fixa informada pelo usuário.</t>
        </is>
      </c>
    </row>
    <row r="2041">
      <c r="A2041" s="6" t="inlineStr">
        <is>
          <t>Soja</t>
        </is>
      </c>
      <c r="B2041" s="6" t="inlineStr">
        <is>
          <t>Maceió - AL</t>
        </is>
      </c>
      <c r="C2041" s="6" t="n">
        <v>-9.665990000000001</v>
      </c>
      <c r="D2041" s="6" t="n">
        <v>-35.735</v>
      </c>
      <c r="E2041" s="6" t="inlineStr">
        <is>
          <t>2022-12</t>
        </is>
      </c>
      <c r="F2041" s="6" t="n">
        <v>32852.5418757033</v>
      </c>
      <c r="G2041" s="6" t="inlineStr">
        <is>
          <t>DOMESTICA</t>
        </is>
      </c>
      <c r="H2041" s="6" t="inlineStr">
        <is>
          <t>FIXO</t>
        </is>
      </c>
      <c r="I2041" s="11">
        <f>IF($H2041="AUTO_OFERTA_TOTAL_PRODUTO_PERIODO",SUMIFS(Oferta!$F:$F,Oferta!$A:$A,$A2041,Oferta!$E:$E,$E2041),$F2041)</f>
        <v/>
      </c>
      <c r="J2041" s="6" t="inlineStr">
        <is>
          <t>Informado</t>
        </is>
      </c>
      <c r="K2041" s="6" t="inlineStr">
        <is>
          <t>Demanda doméstica fixa informada pelo usuário.</t>
        </is>
      </c>
    </row>
    <row r="2042">
      <c r="A2042" s="6" t="inlineStr">
        <is>
          <t>Soja</t>
        </is>
      </c>
      <c r="B2042" s="6" t="inlineStr">
        <is>
          <t>Salvador - BA</t>
        </is>
      </c>
      <c r="C2042" s="6" t="n">
        <v>-12.9718</v>
      </c>
      <c r="D2042" s="6" t="n">
        <v>-38.5011</v>
      </c>
      <c r="E2042" s="6" t="inlineStr">
        <is>
          <t>2022-01</t>
        </is>
      </c>
      <c r="F2042" s="6" t="n">
        <v>109012.7841537249</v>
      </c>
      <c r="G2042" s="6" t="inlineStr">
        <is>
          <t>DOMESTICA</t>
        </is>
      </c>
      <c r="H2042" s="6" t="inlineStr">
        <is>
          <t>FIXO</t>
        </is>
      </c>
      <c r="I2042" s="11">
        <f>IF($H2042="AUTO_OFERTA_TOTAL_PRODUTO_PERIODO",SUMIFS(Oferta!$F:$F,Oferta!$A:$A,$A2042,Oferta!$E:$E,$E2042),$F2042)</f>
        <v/>
      </c>
      <c r="J2042" s="6" t="inlineStr">
        <is>
          <t>Informado</t>
        </is>
      </c>
      <c r="K2042" s="6" t="inlineStr">
        <is>
          <t>Demanda doméstica fixa informada pelo usuário.</t>
        </is>
      </c>
    </row>
    <row r="2043">
      <c r="A2043" s="6" t="inlineStr">
        <is>
          <t>Soja</t>
        </is>
      </c>
      <c r="B2043" s="6" t="inlineStr">
        <is>
          <t>Salvador - BA</t>
        </is>
      </c>
      <c r="C2043" s="6" t="n">
        <v>-12.9718</v>
      </c>
      <c r="D2043" s="6" t="n">
        <v>-38.5011</v>
      </c>
      <c r="E2043" s="6" t="inlineStr">
        <is>
          <t>2022-02</t>
        </is>
      </c>
      <c r="F2043" s="6" t="n">
        <v>109012.7841537249</v>
      </c>
      <c r="G2043" s="6" t="inlineStr">
        <is>
          <t>DOMESTICA</t>
        </is>
      </c>
      <c r="H2043" s="6" t="inlineStr">
        <is>
          <t>FIXO</t>
        </is>
      </c>
      <c r="I2043" s="11">
        <f>IF($H2043="AUTO_OFERTA_TOTAL_PRODUTO_PERIODO",SUMIFS(Oferta!$F:$F,Oferta!$A:$A,$A2043,Oferta!$E:$E,$E2043),$F2043)</f>
        <v/>
      </c>
      <c r="J2043" s="6" t="inlineStr">
        <is>
          <t>Informado</t>
        </is>
      </c>
      <c r="K2043" s="6" t="inlineStr">
        <is>
          <t>Demanda doméstica fixa informada pelo usuário.</t>
        </is>
      </c>
    </row>
    <row r="2044">
      <c r="A2044" s="6" t="inlineStr">
        <is>
          <t>Soja</t>
        </is>
      </c>
      <c r="B2044" s="6" t="inlineStr">
        <is>
          <t>Salvador - BA</t>
        </is>
      </c>
      <c r="C2044" s="6" t="n">
        <v>-12.9718</v>
      </c>
      <c r="D2044" s="6" t="n">
        <v>-38.5011</v>
      </c>
      <c r="E2044" s="6" t="inlineStr">
        <is>
          <t>2022-03</t>
        </is>
      </c>
      <c r="F2044" s="6" t="n">
        <v>174831.8236427663</v>
      </c>
      <c r="G2044" s="6" t="inlineStr">
        <is>
          <t>DOMESTICA</t>
        </is>
      </c>
      <c r="H2044" s="6" t="inlineStr">
        <is>
          <t>FIXO</t>
        </is>
      </c>
      <c r="I2044" s="11">
        <f>IF($H2044="AUTO_OFERTA_TOTAL_PRODUTO_PERIODO",SUMIFS(Oferta!$F:$F,Oferta!$A:$A,$A2044,Oferta!$E:$E,$E2044),$F2044)</f>
        <v/>
      </c>
      <c r="J2044" s="6" t="inlineStr">
        <is>
          <t>Informado</t>
        </is>
      </c>
      <c r="K2044" s="6" t="inlineStr">
        <is>
          <t>Demanda doméstica fixa informada pelo usuário.</t>
        </is>
      </c>
    </row>
    <row r="2045">
      <c r="A2045" s="6" t="inlineStr">
        <is>
          <t>Soja</t>
        </is>
      </c>
      <c r="B2045" s="6" t="inlineStr">
        <is>
          <t>Salvador - BA</t>
        </is>
      </c>
      <c r="C2045" s="6" t="n">
        <v>-12.9718</v>
      </c>
      <c r="D2045" s="6" t="n">
        <v>-38.5011</v>
      </c>
      <c r="E2045" s="6" t="inlineStr">
        <is>
          <t>2022-04</t>
        </is>
      </c>
      <c r="F2045" s="6" t="n">
        <v>306469.9026208491</v>
      </c>
      <c r="G2045" s="6" t="inlineStr">
        <is>
          <t>DOMESTICA</t>
        </is>
      </c>
      <c r="H2045" s="6" t="inlineStr">
        <is>
          <t>FIXO</t>
        </is>
      </c>
      <c r="I2045" s="11">
        <f>IF($H2045="AUTO_OFERTA_TOTAL_PRODUTO_PERIODO",SUMIFS(Oferta!$F:$F,Oferta!$A:$A,$A2045,Oferta!$E:$E,$E2045),$F2045)</f>
        <v/>
      </c>
      <c r="J2045" s="6" t="inlineStr">
        <is>
          <t>Informado</t>
        </is>
      </c>
      <c r="K2045" s="6" t="inlineStr">
        <is>
          <t>Demanda doméstica fixa informada pelo usuário.</t>
        </is>
      </c>
    </row>
    <row r="2046">
      <c r="A2046" s="6" t="inlineStr">
        <is>
          <t>Soja</t>
        </is>
      </c>
      <c r="B2046" s="6" t="inlineStr">
        <is>
          <t>Salvador - BA</t>
        </is>
      </c>
      <c r="C2046" s="6" t="n">
        <v>-12.9718</v>
      </c>
      <c r="D2046" s="6" t="n">
        <v>-38.5011</v>
      </c>
      <c r="E2046" s="6" t="inlineStr">
        <is>
          <t>2022-05</t>
        </is>
      </c>
      <c r="F2046" s="6" t="n">
        <v>438107.9815989321</v>
      </c>
      <c r="G2046" s="6" t="inlineStr">
        <is>
          <t>DOMESTICA</t>
        </is>
      </c>
      <c r="H2046" s="6" t="inlineStr">
        <is>
          <t>FIXO</t>
        </is>
      </c>
      <c r="I2046" s="11">
        <f>IF($H2046="AUTO_OFERTA_TOTAL_PRODUTO_PERIODO",SUMIFS(Oferta!$F:$F,Oferta!$A:$A,$A2046,Oferta!$E:$E,$E2046),$F2046)</f>
        <v/>
      </c>
      <c r="J2046" s="6" t="inlineStr">
        <is>
          <t>Informado</t>
        </is>
      </c>
      <c r="K2046" s="6" t="inlineStr">
        <is>
          <t>Demanda doméstica fixa informada pelo usuário.</t>
        </is>
      </c>
    </row>
    <row r="2047">
      <c r="A2047" s="6" t="inlineStr">
        <is>
          <t>Soja</t>
        </is>
      </c>
      <c r="B2047" s="6" t="inlineStr">
        <is>
          <t>Salvador - BA</t>
        </is>
      </c>
      <c r="C2047" s="6" t="n">
        <v>-12.9718</v>
      </c>
      <c r="D2047" s="6" t="n">
        <v>-38.5011</v>
      </c>
      <c r="E2047" s="6" t="inlineStr">
        <is>
          <t>2022-06</t>
        </is>
      </c>
      <c r="F2047" s="6" t="n">
        <v>405198.4618544113</v>
      </c>
      <c r="G2047" s="6" t="inlineStr">
        <is>
          <t>DOMESTICA</t>
        </is>
      </c>
      <c r="H2047" s="6" t="inlineStr">
        <is>
          <t>FIXO</t>
        </is>
      </c>
      <c r="I2047" s="11">
        <f>IF($H2047="AUTO_OFERTA_TOTAL_PRODUTO_PERIODO",SUMIFS(Oferta!$F:$F,Oferta!$A:$A,$A2047,Oferta!$E:$E,$E2047),$F2047)</f>
        <v/>
      </c>
      <c r="J2047" s="6" t="inlineStr">
        <is>
          <t>Informado</t>
        </is>
      </c>
      <c r="K2047" s="6" t="inlineStr">
        <is>
          <t>Demanda doméstica fixa informada pelo usuário.</t>
        </is>
      </c>
    </row>
    <row r="2048">
      <c r="A2048" s="6" t="inlineStr">
        <is>
          <t>Soja</t>
        </is>
      </c>
      <c r="B2048" s="6" t="inlineStr">
        <is>
          <t>Salvador - BA</t>
        </is>
      </c>
      <c r="C2048" s="6" t="n">
        <v>-12.9718</v>
      </c>
      <c r="D2048" s="6" t="n">
        <v>-38.5011</v>
      </c>
      <c r="E2048" s="6" t="inlineStr">
        <is>
          <t>2022-07</t>
        </is>
      </c>
      <c r="F2048" s="6" t="n">
        <v>273560.3828763285</v>
      </c>
      <c r="G2048" s="6" t="inlineStr">
        <is>
          <t>DOMESTICA</t>
        </is>
      </c>
      <c r="H2048" s="6" t="inlineStr">
        <is>
          <t>FIXO</t>
        </is>
      </c>
      <c r="I2048" s="11">
        <f>IF($H2048="AUTO_OFERTA_TOTAL_PRODUTO_PERIODO",SUMIFS(Oferta!$F:$F,Oferta!$A:$A,$A2048,Oferta!$E:$E,$E2048),$F2048)</f>
        <v/>
      </c>
      <c r="J2048" s="6" t="inlineStr">
        <is>
          <t>Informado</t>
        </is>
      </c>
      <c r="K2048" s="6" t="inlineStr">
        <is>
          <t>Demanda doméstica fixa informada pelo usuário.</t>
        </is>
      </c>
    </row>
    <row r="2049">
      <c r="A2049" s="6" t="inlineStr">
        <is>
          <t>Soja</t>
        </is>
      </c>
      <c r="B2049" s="6" t="inlineStr">
        <is>
          <t>Salvador - BA</t>
        </is>
      </c>
      <c r="C2049" s="6" t="n">
        <v>-12.9718</v>
      </c>
      <c r="D2049" s="6" t="n">
        <v>-38.5011</v>
      </c>
      <c r="E2049" s="6" t="inlineStr">
        <is>
          <t>2022-08</t>
        </is>
      </c>
      <c r="F2049" s="6" t="n">
        <v>141922.3038982456</v>
      </c>
      <c r="G2049" s="6" t="inlineStr">
        <is>
          <t>DOMESTICA</t>
        </is>
      </c>
      <c r="H2049" s="6" t="inlineStr">
        <is>
          <t>FIXO</t>
        </is>
      </c>
      <c r="I2049" s="11">
        <f>IF($H2049="AUTO_OFERTA_TOTAL_PRODUTO_PERIODO",SUMIFS(Oferta!$F:$F,Oferta!$A:$A,$A2049,Oferta!$E:$E,$E2049),$F2049)</f>
        <v/>
      </c>
      <c r="J2049" s="6" t="inlineStr">
        <is>
          <t>Informado</t>
        </is>
      </c>
      <c r="K2049" s="6" t="inlineStr">
        <is>
          <t>Demanda doméstica fixa informada pelo usuário.</t>
        </is>
      </c>
    </row>
    <row r="2050">
      <c r="A2050" s="6" t="inlineStr">
        <is>
          <t>Soja</t>
        </is>
      </c>
      <c r="B2050" s="6" t="inlineStr">
        <is>
          <t>Salvador - BA</t>
        </is>
      </c>
      <c r="C2050" s="6" t="n">
        <v>-12.9718</v>
      </c>
      <c r="D2050" s="6" t="n">
        <v>-38.5011</v>
      </c>
      <c r="E2050" s="6" t="inlineStr">
        <is>
          <t>2022-09</t>
        </is>
      </c>
      <c r="F2050" s="6" t="n">
        <v>109012.7841537249</v>
      </c>
      <c r="G2050" s="6" t="inlineStr">
        <is>
          <t>DOMESTICA</t>
        </is>
      </c>
      <c r="H2050" s="6" t="inlineStr">
        <is>
          <t>FIXO</t>
        </is>
      </c>
      <c r="I2050" s="11">
        <f>IF($H2050="AUTO_OFERTA_TOTAL_PRODUTO_PERIODO",SUMIFS(Oferta!$F:$F,Oferta!$A:$A,$A2050,Oferta!$E:$E,$E2050),$F2050)</f>
        <v/>
      </c>
      <c r="J2050" s="6" t="inlineStr">
        <is>
          <t>Informado</t>
        </is>
      </c>
      <c r="K2050" s="6" t="inlineStr">
        <is>
          <t>Demanda doméstica fixa informada pelo usuário.</t>
        </is>
      </c>
    </row>
    <row r="2051">
      <c r="A2051" s="6" t="inlineStr">
        <is>
          <t>Soja</t>
        </is>
      </c>
      <c r="B2051" s="6" t="inlineStr">
        <is>
          <t>Salvador - BA</t>
        </is>
      </c>
      <c r="C2051" s="6" t="n">
        <v>-12.9718</v>
      </c>
      <c r="D2051" s="6" t="n">
        <v>-38.5011</v>
      </c>
      <c r="E2051" s="6" t="inlineStr">
        <is>
          <t>2022-10</t>
        </is>
      </c>
      <c r="F2051" s="6" t="n">
        <v>109012.7841537249</v>
      </c>
      <c r="G2051" s="6" t="inlineStr">
        <is>
          <t>DOMESTICA</t>
        </is>
      </c>
      <c r="H2051" s="6" t="inlineStr">
        <is>
          <t>FIXO</t>
        </is>
      </c>
      <c r="I2051" s="11">
        <f>IF($H2051="AUTO_OFERTA_TOTAL_PRODUTO_PERIODO",SUMIFS(Oferta!$F:$F,Oferta!$A:$A,$A2051,Oferta!$E:$E,$E2051),$F2051)</f>
        <v/>
      </c>
      <c r="J2051" s="6" t="inlineStr">
        <is>
          <t>Informado</t>
        </is>
      </c>
      <c r="K2051" s="6" t="inlineStr">
        <is>
          <t>Demanda doméstica fixa informada pelo usuário.</t>
        </is>
      </c>
    </row>
    <row r="2052">
      <c r="A2052" s="6" t="inlineStr">
        <is>
          <t>Soja</t>
        </is>
      </c>
      <c r="B2052" s="6" t="inlineStr">
        <is>
          <t>Salvador - BA</t>
        </is>
      </c>
      <c r="C2052" s="6" t="n">
        <v>-12.9718</v>
      </c>
      <c r="D2052" s="6" t="n">
        <v>-38.5011</v>
      </c>
      <c r="E2052" s="6" t="inlineStr">
        <is>
          <t>2022-11</t>
        </is>
      </c>
      <c r="F2052" s="6" t="n">
        <v>109012.7841537249</v>
      </c>
      <c r="G2052" s="6" t="inlineStr">
        <is>
          <t>DOMESTICA</t>
        </is>
      </c>
      <c r="H2052" s="6" t="inlineStr">
        <is>
          <t>FIXO</t>
        </is>
      </c>
      <c r="I2052" s="11">
        <f>IF($H2052="AUTO_OFERTA_TOTAL_PRODUTO_PERIODO",SUMIFS(Oferta!$F:$F,Oferta!$A:$A,$A2052,Oferta!$E:$E,$E2052),$F2052)</f>
        <v/>
      </c>
      <c r="J2052" s="6" t="inlineStr">
        <is>
          <t>Informado</t>
        </is>
      </c>
      <c r="K2052" s="6" t="inlineStr">
        <is>
          <t>Demanda doméstica fixa informada pelo usuário.</t>
        </is>
      </c>
    </row>
    <row r="2053">
      <c r="A2053" s="6" t="inlineStr">
        <is>
          <t>Soja</t>
        </is>
      </c>
      <c r="B2053" s="6" t="inlineStr">
        <is>
          <t>Salvador - BA</t>
        </is>
      </c>
      <c r="C2053" s="6" t="n">
        <v>-12.9718</v>
      </c>
      <c r="D2053" s="6" t="n">
        <v>-38.5011</v>
      </c>
      <c r="E2053" s="6" t="inlineStr">
        <is>
          <t>2022-12</t>
        </is>
      </c>
      <c r="F2053" s="6" t="n">
        <v>109012.7841537249</v>
      </c>
      <c r="G2053" s="6" t="inlineStr">
        <is>
          <t>DOMESTICA</t>
        </is>
      </c>
      <c r="H2053" s="6" t="inlineStr">
        <is>
          <t>FIXO</t>
        </is>
      </c>
      <c r="I2053" s="11">
        <f>IF($H2053="AUTO_OFERTA_TOTAL_PRODUTO_PERIODO",SUMIFS(Oferta!$F:$F,Oferta!$A:$A,$A2053,Oferta!$E:$E,$E2053),$F2053)</f>
        <v/>
      </c>
      <c r="J2053" s="6" t="inlineStr">
        <is>
          <t>Informado</t>
        </is>
      </c>
      <c r="K2053" s="6" t="inlineStr">
        <is>
          <t>Demanda doméstica fixa informada pelo usuário.</t>
        </is>
      </c>
    </row>
    <row r="2054">
      <c r="A2054" s="6" t="inlineStr">
        <is>
          <t>Soja</t>
        </is>
      </c>
      <c r="B2054" s="6" t="inlineStr">
        <is>
          <t>Fortaleza - CE</t>
        </is>
      </c>
      <c r="C2054" s="6" t="n">
        <v>-3.71664</v>
      </c>
      <c r="D2054" s="6" t="n">
        <v>-38.5423</v>
      </c>
      <c r="E2054" s="6" t="inlineStr">
        <is>
          <t>2022-01</t>
        </is>
      </c>
      <c r="F2054" s="6" t="n">
        <v>74149.1891079872</v>
      </c>
      <c r="G2054" s="6" t="inlineStr">
        <is>
          <t>DOMESTICA</t>
        </is>
      </c>
      <c r="H2054" s="6" t="inlineStr">
        <is>
          <t>FIXO</t>
        </is>
      </c>
      <c r="I2054" s="11">
        <f>IF($H2054="AUTO_OFERTA_TOTAL_PRODUTO_PERIODO",SUMIFS(Oferta!$F:$F,Oferta!$A:$A,$A2054,Oferta!$E:$E,$E2054),$F2054)</f>
        <v/>
      </c>
      <c r="J2054" s="6" t="inlineStr">
        <is>
          <t>Informado</t>
        </is>
      </c>
      <c r="K2054" s="6" t="inlineStr">
        <is>
          <t>Demanda doméstica fixa informada pelo usuário.</t>
        </is>
      </c>
    </row>
    <row r="2055">
      <c r="A2055" s="6" t="inlineStr">
        <is>
          <t>Soja</t>
        </is>
      </c>
      <c r="B2055" s="6" t="inlineStr">
        <is>
          <t>Fortaleza - CE</t>
        </is>
      </c>
      <c r="C2055" s="6" t="n">
        <v>-3.71664</v>
      </c>
      <c r="D2055" s="6" t="n">
        <v>-38.5423</v>
      </c>
      <c r="E2055" s="6" t="inlineStr">
        <is>
          <t>2022-02</t>
        </is>
      </c>
      <c r="F2055" s="6" t="n">
        <v>74149.1891079872</v>
      </c>
      <c r="G2055" s="6" t="inlineStr">
        <is>
          <t>DOMESTICA</t>
        </is>
      </c>
      <c r="H2055" s="6" t="inlineStr">
        <is>
          <t>FIXO</t>
        </is>
      </c>
      <c r="I2055" s="11">
        <f>IF($H2055="AUTO_OFERTA_TOTAL_PRODUTO_PERIODO",SUMIFS(Oferta!$F:$F,Oferta!$A:$A,$A2055,Oferta!$E:$E,$E2055),$F2055)</f>
        <v/>
      </c>
      <c r="J2055" s="6" t="inlineStr">
        <is>
          <t>Informado</t>
        </is>
      </c>
      <c r="K2055" s="6" t="inlineStr">
        <is>
          <t>Demanda doméstica fixa informada pelo usuário.</t>
        </is>
      </c>
    </row>
    <row r="2056">
      <c r="A2056" s="6" t="inlineStr">
        <is>
          <t>Soja</t>
        </is>
      </c>
      <c r="B2056" s="6" t="inlineStr">
        <is>
          <t>Fortaleza - CE</t>
        </is>
      </c>
      <c r="C2056" s="6" t="n">
        <v>-3.71664</v>
      </c>
      <c r="D2056" s="6" t="n">
        <v>-38.5423</v>
      </c>
      <c r="E2056" s="6" t="inlineStr">
        <is>
          <t>2022-03</t>
        </is>
      </c>
      <c r="F2056" s="6" t="n">
        <v>74149.1891079872</v>
      </c>
      <c r="G2056" s="6" t="inlineStr">
        <is>
          <t>DOMESTICA</t>
        </is>
      </c>
      <c r="H2056" s="6" t="inlineStr">
        <is>
          <t>FIXO</t>
        </is>
      </c>
      <c r="I2056" s="11">
        <f>IF($H2056="AUTO_OFERTA_TOTAL_PRODUTO_PERIODO",SUMIFS(Oferta!$F:$F,Oferta!$A:$A,$A2056,Oferta!$E:$E,$E2056),$F2056)</f>
        <v/>
      </c>
      <c r="J2056" s="6" t="inlineStr">
        <is>
          <t>Informado</t>
        </is>
      </c>
      <c r="K2056" s="6" t="inlineStr">
        <is>
          <t>Demanda doméstica fixa informada pelo usuário.</t>
        </is>
      </c>
    </row>
    <row r="2057">
      <c r="A2057" s="6" t="inlineStr">
        <is>
          <t>Soja</t>
        </is>
      </c>
      <c r="B2057" s="6" t="inlineStr">
        <is>
          <t>Fortaleza - CE</t>
        </is>
      </c>
      <c r="C2057" s="6" t="n">
        <v>-3.71664</v>
      </c>
      <c r="D2057" s="6" t="n">
        <v>-38.5423</v>
      </c>
      <c r="E2057" s="6" t="inlineStr">
        <is>
          <t>2022-04</t>
        </is>
      </c>
      <c r="F2057" s="6" t="n">
        <v>74149.1891079872</v>
      </c>
      <c r="G2057" s="6" t="inlineStr">
        <is>
          <t>DOMESTICA</t>
        </is>
      </c>
      <c r="H2057" s="6" t="inlineStr">
        <is>
          <t>FIXO</t>
        </is>
      </c>
      <c r="I2057" s="11">
        <f>IF($H2057="AUTO_OFERTA_TOTAL_PRODUTO_PERIODO",SUMIFS(Oferta!$F:$F,Oferta!$A:$A,$A2057,Oferta!$E:$E,$E2057),$F2057)</f>
        <v/>
      </c>
      <c r="J2057" s="6" t="inlineStr">
        <is>
          <t>Informado</t>
        </is>
      </c>
      <c r="K2057" s="6" t="inlineStr">
        <is>
          <t>Demanda doméstica fixa informada pelo usuário.</t>
        </is>
      </c>
    </row>
    <row r="2058">
      <c r="A2058" s="6" t="inlineStr">
        <is>
          <t>Soja</t>
        </is>
      </c>
      <c r="B2058" s="6" t="inlineStr">
        <is>
          <t>Fortaleza - CE</t>
        </is>
      </c>
      <c r="C2058" s="6" t="n">
        <v>-3.71664</v>
      </c>
      <c r="D2058" s="6" t="n">
        <v>-38.5423</v>
      </c>
      <c r="E2058" s="6" t="inlineStr">
        <is>
          <t>2022-05</t>
        </is>
      </c>
      <c r="F2058" s="6" t="n">
        <v>74149.1891079872</v>
      </c>
      <c r="G2058" s="6" t="inlineStr">
        <is>
          <t>DOMESTICA</t>
        </is>
      </c>
      <c r="H2058" s="6" t="inlineStr">
        <is>
          <t>FIXO</t>
        </is>
      </c>
      <c r="I2058" s="11">
        <f>IF($H2058="AUTO_OFERTA_TOTAL_PRODUTO_PERIODO",SUMIFS(Oferta!$F:$F,Oferta!$A:$A,$A2058,Oferta!$E:$E,$E2058),$F2058)</f>
        <v/>
      </c>
      <c r="J2058" s="6" t="inlineStr">
        <is>
          <t>Informado</t>
        </is>
      </c>
      <c r="K2058" s="6" t="inlineStr">
        <is>
          <t>Demanda doméstica fixa informada pelo usuário.</t>
        </is>
      </c>
    </row>
    <row r="2059">
      <c r="A2059" s="6" t="inlineStr">
        <is>
          <t>Soja</t>
        </is>
      </c>
      <c r="B2059" s="6" t="inlineStr">
        <is>
          <t>Fortaleza - CE</t>
        </is>
      </c>
      <c r="C2059" s="6" t="n">
        <v>-3.71664</v>
      </c>
      <c r="D2059" s="6" t="n">
        <v>-38.5423</v>
      </c>
      <c r="E2059" s="6" t="inlineStr">
        <is>
          <t>2022-06</t>
        </is>
      </c>
      <c r="F2059" s="6" t="n">
        <v>74149.1891079872</v>
      </c>
      <c r="G2059" s="6" t="inlineStr">
        <is>
          <t>DOMESTICA</t>
        </is>
      </c>
      <c r="H2059" s="6" t="inlineStr">
        <is>
          <t>FIXO</t>
        </is>
      </c>
      <c r="I2059" s="11">
        <f>IF($H2059="AUTO_OFERTA_TOTAL_PRODUTO_PERIODO",SUMIFS(Oferta!$F:$F,Oferta!$A:$A,$A2059,Oferta!$E:$E,$E2059),$F2059)</f>
        <v/>
      </c>
      <c r="J2059" s="6" t="inlineStr">
        <is>
          <t>Informado</t>
        </is>
      </c>
      <c r="K2059" s="6" t="inlineStr">
        <is>
          <t>Demanda doméstica fixa informada pelo usuário.</t>
        </is>
      </c>
    </row>
    <row r="2060">
      <c r="A2060" s="6" t="inlineStr">
        <is>
          <t>Soja</t>
        </is>
      </c>
      <c r="B2060" s="6" t="inlineStr">
        <is>
          <t>Fortaleza - CE</t>
        </is>
      </c>
      <c r="C2060" s="6" t="n">
        <v>-3.71664</v>
      </c>
      <c r="D2060" s="6" t="n">
        <v>-38.5423</v>
      </c>
      <c r="E2060" s="6" t="inlineStr">
        <is>
          <t>2022-07</t>
        </is>
      </c>
      <c r="F2060" s="6" t="n">
        <v>74149.1891079872</v>
      </c>
      <c r="G2060" s="6" t="inlineStr">
        <is>
          <t>DOMESTICA</t>
        </is>
      </c>
      <c r="H2060" s="6" t="inlineStr">
        <is>
          <t>FIXO</t>
        </is>
      </c>
      <c r="I2060" s="11">
        <f>IF($H2060="AUTO_OFERTA_TOTAL_PRODUTO_PERIODO",SUMIFS(Oferta!$F:$F,Oferta!$A:$A,$A2060,Oferta!$E:$E,$E2060),$F2060)</f>
        <v/>
      </c>
      <c r="J2060" s="6" t="inlineStr">
        <is>
          <t>Informado</t>
        </is>
      </c>
      <c r="K2060" s="6" t="inlineStr">
        <is>
          <t>Demanda doméstica fixa informada pelo usuário.</t>
        </is>
      </c>
    </row>
    <row r="2061">
      <c r="A2061" s="6" t="inlineStr">
        <is>
          <t>Soja</t>
        </is>
      </c>
      <c r="B2061" s="6" t="inlineStr">
        <is>
          <t>Fortaleza - CE</t>
        </is>
      </c>
      <c r="C2061" s="6" t="n">
        <v>-3.71664</v>
      </c>
      <c r="D2061" s="6" t="n">
        <v>-38.5423</v>
      </c>
      <c r="E2061" s="6" t="inlineStr">
        <is>
          <t>2022-08</t>
        </is>
      </c>
      <c r="F2061" s="6" t="n">
        <v>74149.1891079872</v>
      </c>
      <c r="G2061" s="6" t="inlineStr">
        <is>
          <t>DOMESTICA</t>
        </is>
      </c>
      <c r="H2061" s="6" t="inlineStr">
        <is>
          <t>FIXO</t>
        </is>
      </c>
      <c r="I2061" s="11">
        <f>IF($H2061="AUTO_OFERTA_TOTAL_PRODUTO_PERIODO",SUMIFS(Oferta!$F:$F,Oferta!$A:$A,$A2061,Oferta!$E:$E,$E2061),$F2061)</f>
        <v/>
      </c>
      <c r="J2061" s="6" t="inlineStr">
        <is>
          <t>Informado</t>
        </is>
      </c>
      <c r="K2061" s="6" t="inlineStr">
        <is>
          <t>Demanda doméstica fixa informada pelo usuário.</t>
        </is>
      </c>
    </row>
    <row r="2062">
      <c r="A2062" s="6" t="inlineStr">
        <is>
          <t>Soja</t>
        </is>
      </c>
      <c r="B2062" s="6" t="inlineStr">
        <is>
          <t>Fortaleza - CE</t>
        </is>
      </c>
      <c r="C2062" s="6" t="n">
        <v>-3.71664</v>
      </c>
      <c r="D2062" s="6" t="n">
        <v>-38.5423</v>
      </c>
      <c r="E2062" s="6" t="inlineStr">
        <is>
          <t>2022-09</t>
        </is>
      </c>
      <c r="F2062" s="6" t="n">
        <v>74149.1891079872</v>
      </c>
      <c r="G2062" s="6" t="inlineStr">
        <is>
          <t>DOMESTICA</t>
        </is>
      </c>
      <c r="H2062" s="6" t="inlineStr">
        <is>
          <t>FIXO</t>
        </is>
      </c>
      <c r="I2062" s="11">
        <f>IF($H2062="AUTO_OFERTA_TOTAL_PRODUTO_PERIODO",SUMIFS(Oferta!$F:$F,Oferta!$A:$A,$A2062,Oferta!$E:$E,$E2062),$F2062)</f>
        <v/>
      </c>
      <c r="J2062" s="6" t="inlineStr">
        <is>
          <t>Informado</t>
        </is>
      </c>
      <c r="K2062" s="6" t="inlineStr">
        <is>
          <t>Demanda doméstica fixa informada pelo usuário.</t>
        </is>
      </c>
    </row>
    <row r="2063">
      <c r="A2063" s="6" t="inlineStr">
        <is>
          <t>Soja</t>
        </is>
      </c>
      <c r="B2063" s="6" t="inlineStr">
        <is>
          <t>Fortaleza - CE</t>
        </is>
      </c>
      <c r="C2063" s="6" t="n">
        <v>-3.71664</v>
      </c>
      <c r="D2063" s="6" t="n">
        <v>-38.5423</v>
      </c>
      <c r="E2063" s="6" t="inlineStr">
        <is>
          <t>2022-10</t>
        </is>
      </c>
      <c r="F2063" s="6" t="n">
        <v>74149.1891079872</v>
      </c>
      <c r="G2063" s="6" t="inlineStr">
        <is>
          <t>DOMESTICA</t>
        </is>
      </c>
      <c r="H2063" s="6" t="inlineStr">
        <is>
          <t>FIXO</t>
        </is>
      </c>
      <c r="I2063" s="11">
        <f>IF($H2063="AUTO_OFERTA_TOTAL_PRODUTO_PERIODO",SUMIFS(Oferta!$F:$F,Oferta!$A:$A,$A2063,Oferta!$E:$E,$E2063),$F2063)</f>
        <v/>
      </c>
      <c r="J2063" s="6" t="inlineStr">
        <is>
          <t>Informado</t>
        </is>
      </c>
      <c r="K2063" s="6" t="inlineStr">
        <is>
          <t>Demanda doméstica fixa informada pelo usuário.</t>
        </is>
      </c>
    </row>
    <row r="2064">
      <c r="A2064" s="6" t="inlineStr">
        <is>
          <t>Soja</t>
        </is>
      </c>
      <c r="B2064" s="6" t="inlineStr">
        <is>
          <t>Fortaleza - CE</t>
        </is>
      </c>
      <c r="C2064" s="6" t="n">
        <v>-3.71664</v>
      </c>
      <c r="D2064" s="6" t="n">
        <v>-38.5423</v>
      </c>
      <c r="E2064" s="6" t="inlineStr">
        <is>
          <t>2022-11</t>
        </is>
      </c>
      <c r="F2064" s="6" t="n">
        <v>74149.1891079872</v>
      </c>
      <c r="G2064" s="6" t="inlineStr">
        <is>
          <t>DOMESTICA</t>
        </is>
      </c>
      <c r="H2064" s="6" t="inlineStr">
        <is>
          <t>FIXO</t>
        </is>
      </c>
      <c r="I2064" s="11">
        <f>IF($H2064="AUTO_OFERTA_TOTAL_PRODUTO_PERIODO",SUMIFS(Oferta!$F:$F,Oferta!$A:$A,$A2064,Oferta!$E:$E,$E2064),$F2064)</f>
        <v/>
      </c>
      <c r="J2064" s="6" t="inlineStr">
        <is>
          <t>Informado</t>
        </is>
      </c>
      <c r="K2064" s="6" t="inlineStr">
        <is>
          <t>Demanda doméstica fixa informada pelo usuário.</t>
        </is>
      </c>
    </row>
    <row r="2065">
      <c r="A2065" s="6" t="inlineStr">
        <is>
          <t>Soja</t>
        </is>
      </c>
      <c r="B2065" s="6" t="inlineStr">
        <is>
          <t>Fortaleza - CE</t>
        </is>
      </c>
      <c r="C2065" s="6" t="n">
        <v>-3.71664</v>
      </c>
      <c r="D2065" s="6" t="n">
        <v>-38.5423</v>
      </c>
      <c r="E2065" s="6" t="inlineStr">
        <is>
          <t>2022-12</t>
        </is>
      </c>
      <c r="F2065" s="6" t="n">
        <v>74149.1891079872</v>
      </c>
      <c r="G2065" s="6" t="inlineStr">
        <is>
          <t>DOMESTICA</t>
        </is>
      </c>
      <c r="H2065" s="6" t="inlineStr">
        <is>
          <t>FIXO</t>
        </is>
      </c>
      <c r="I2065" s="11">
        <f>IF($H2065="AUTO_OFERTA_TOTAL_PRODUTO_PERIODO",SUMIFS(Oferta!$F:$F,Oferta!$A:$A,$A2065,Oferta!$E:$E,$E2065),$F2065)</f>
        <v/>
      </c>
      <c r="J2065" s="6" t="inlineStr">
        <is>
          <t>Informado</t>
        </is>
      </c>
      <c r="K2065" s="6" t="inlineStr">
        <is>
          <t>Demanda doméstica fixa informada pelo usuário.</t>
        </is>
      </c>
    </row>
    <row r="2066">
      <c r="A2066" s="6" t="inlineStr">
        <is>
          <t>Soja</t>
        </is>
      </c>
      <c r="B2066" s="6" t="inlineStr">
        <is>
          <t>São Luís - MA</t>
        </is>
      </c>
      <c r="C2066" s="6" t="n">
        <v>-2.53874</v>
      </c>
      <c r="D2066" s="6" t="n">
        <v>-44.2825</v>
      </c>
      <c r="E2066" s="6" t="inlineStr">
        <is>
          <t>2022-01</t>
        </is>
      </c>
      <c r="F2066" s="6" t="n">
        <v>35455.405027871</v>
      </c>
      <c r="G2066" s="6" t="inlineStr">
        <is>
          <t>DOMESTICA</t>
        </is>
      </c>
      <c r="H2066" s="6" t="inlineStr">
        <is>
          <t>FIXO</t>
        </is>
      </c>
      <c r="I2066" s="11">
        <f>IF($H2066="AUTO_OFERTA_TOTAL_PRODUTO_PERIODO",SUMIFS(Oferta!$F:$F,Oferta!$A:$A,$A2066,Oferta!$E:$E,$E2066),$F2066)</f>
        <v/>
      </c>
      <c r="J2066" s="6" t="inlineStr">
        <is>
          <t>Informado</t>
        </is>
      </c>
      <c r="K2066" s="6" t="inlineStr">
        <is>
          <t>Demanda doméstica fixa informada pelo usuário.</t>
        </is>
      </c>
    </row>
    <row r="2067">
      <c r="A2067" s="6" t="inlineStr">
        <is>
          <t>Soja</t>
        </is>
      </c>
      <c r="B2067" s="6" t="inlineStr">
        <is>
          <t>São Luís - MA</t>
        </is>
      </c>
      <c r="C2067" s="6" t="n">
        <v>-2.53874</v>
      </c>
      <c r="D2067" s="6" t="n">
        <v>-44.2825</v>
      </c>
      <c r="E2067" s="6" t="inlineStr">
        <is>
          <t>2022-02</t>
        </is>
      </c>
      <c r="F2067" s="6" t="n">
        <v>35455.405027871</v>
      </c>
      <c r="G2067" s="6" t="inlineStr">
        <is>
          <t>DOMESTICA</t>
        </is>
      </c>
      <c r="H2067" s="6" t="inlineStr">
        <is>
          <t>FIXO</t>
        </is>
      </c>
      <c r="I2067" s="11">
        <f>IF($H2067="AUTO_OFERTA_TOTAL_PRODUTO_PERIODO",SUMIFS(Oferta!$F:$F,Oferta!$A:$A,$A2067,Oferta!$E:$E,$E2067),$F2067)</f>
        <v/>
      </c>
      <c r="J2067" s="6" t="inlineStr">
        <is>
          <t>Informado</t>
        </is>
      </c>
      <c r="K2067" s="6" t="inlineStr">
        <is>
          <t>Demanda doméstica fixa informada pelo usuário.</t>
        </is>
      </c>
    </row>
    <row r="2068">
      <c r="A2068" s="6" t="inlineStr">
        <is>
          <t>Soja</t>
        </is>
      </c>
      <c r="B2068" s="6" t="inlineStr">
        <is>
          <t>São Luís - MA</t>
        </is>
      </c>
      <c r="C2068" s="6" t="n">
        <v>-2.53874</v>
      </c>
      <c r="D2068" s="6" t="n">
        <v>-44.2825</v>
      </c>
      <c r="E2068" s="6" t="inlineStr">
        <is>
          <t>2022-03</t>
        </is>
      </c>
      <c r="F2068" s="6" t="n">
        <v>46158.9235268509</v>
      </c>
      <c r="G2068" s="6" t="inlineStr">
        <is>
          <t>DOMESTICA</t>
        </is>
      </c>
      <c r="H2068" s="6" t="inlineStr">
        <is>
          <t>FIXO</t>
        </is>
      </c>
      <c r="I2068" s="11">
        <f>IF($H2068="AUTO_OFERTA_TOTAL_PRODUTO_PERIODO",SUMIFS(Oferta!$F:$F,Oferta!$A:$A,$A2068,Oferta!$E:$E,$E2068),$F2068)</f>
        <v/>
      </c>
      <c r="J2068" s="6" t="inlineStr">
        <is>
          <t>Informado</t>
        </is>
      </c>
      <c r="K2068" s="6" t="inlineStr">
        <is>
          <t>Demanda doméstica fixa informada pelo usuário.</t>
        </is>
      </c>
    </row>
    <row r="2069">
      <c r="A2069" s="6" t="inlineStr">
        <is>
          <t>Soja</t>
        </is>
      </c>
      <c r="B2069" s="6" t="inlineStr">
        <is>
          <t>São Luís - MA</t>
        </is>
      </c>
      <c r="C2069" s="6" t="n">
        <v>-2.53874</v>
      </c>
      <c r="D2069" s="6" t="n">
        <v>-44.2825</v>
      </c>
      <c r="E2069" s="6" t="inlineStr">
        <is>
          <t>2022-04</t>
        </is>
      </c>
      <c r="F2069" s="6" t="n">
        <v>88972.9975227706</v>
      </c>
      <c r="G2069" s="6" t="inlineStr">
        <is>
          <t>DOMESTICA</t>
        </is>
      </c>
      <c r="H2069" s="6" t="inlineStr">
        <is>
          <t>FIXO</t>
        </is>
      </c>
      <c r="I2069" s="11">
        <f>IF($H2069="AUTO_OFERTA_TOTAL_PRODUTO_PERIODO",SUMIFS(Oferta!$F:$F,Oferta!$A:$A,$A2069,Oferta!$E:$E,$E2069),$F2069)</f>
        <v/>
      </c>
      <c r="J2069" s="6" t="inlineStr">
        <is>
          <t>Informado</t>
        </is>
      </c>
      <c r="K2069" s="6" t="inlineStr">
        <is>
          <t>Demanda doméstica fixa informada pelo usuário.</t>
        </is>
      </c>
    </row>
    <row r="2070">
      <c r="A2070" s="6" t="inlineStr">
        <is>
          <t>Soja</t>
        </is>
      </c>
      <c r="B2070" s="6" t="inlineStr">
        <is>
          <t>São Luís - MA</t>
        </is>
      </c>
      <c r="C2070" s="6" t="n">
        <v>-2.53874</v>
      </c>
      <c r="D2070" s="6" t="n">
        <v>-44.2825</v>
      </c>
      <c r="E2070" s="6" t="inlineStr">
        <is>
          <t>2022-05</t>
        </is>
      </c>
      <c r="F2070" s="6" t="n">
        <v>131787.0715186902</v>
      </c>
      <c r="G2070" s="6" t="inlineStr">
        <is>
          <t>DOMESTICA</t>
        </is>
      </c>
      <c r="H2070" s="6" t="inlineStr">
        <is>
          <t>FIXO</t>
        </is>
      </c>
      <c r="I2070" s="11">
        <f>IF($H2070="AUTO_OFERTA_TOTAL_PRODUTO_PERIODO",SUMIFS(Oferta!$F:$F,Oferta!$A:$A,$A2070,Oferta!$E:$E,$E2070),$F2070)</f>
        <v/>
      </c>
      <c r="J2070" s="6" t="inlineStr">
        <is>
          <t>Informado</t>
        </is>
      </c>
      <c r="K2070" s="6" t="inlineStr">
        <is>
          <t>Demanda doméstica fixa informada pelo usuário.</t>
        </is>
      </c>
    </row>
    <row r="2071">
      <c r="A2071" s="6" t="inlineStr">
        <is>
          <t>Soja</t>
        </is>
      </c>
      <c r="B2071" s="6" t="inlineStr">
        <is>
          <t>São Luís - MA</t>
        </is>
      </c>
      <c r="C2071" s="6" t="n">
        <v>-2.53874</v>
      </c>
      <c r="D2071" s="6" t="n">
        <v>-44.2825</v>
      </c>
      <c r="E2071" s="6" t="inlineStr">
        <is>
          <t>2022-06</t>
        </is>
      </c>
      <c r="F2071" s="6" t="n">
        <v>142490.5900176701</v>
      </c>
      <c r="G2071" s="6" t="inlineStr">
        <is>
          <t>DOMESTICA</t>
        </is>
      </c>
      <c r="H2071" s="6" t="inlineStr">
        <is>
          <t>FIXO</t>
        </is>
      </c>
      <c r="I2071" s="11">
        <f>IF($H2071="AUTO_OFERTA_TOTAL_PRODUTO_PERIODO",SUMIFS(Oferta!$F:$F,Oferta!$A:$A,$A2071,Oferta!$E:$E,$E2071),$F2071)</f>
        <v/>
      </c>
      <c r="J2071" s="6" t="inlineStr">
        <is>
          <t>Informado</t>
        </is>
      </c>
      <c r="K2071" s="6" t="inlineStr">
        <is>
          <t>Demanda doméstica fixa informada pelo usuário.</t>
        </is>
      </c>
    </row>
    <row r="2072">
      <c r="A2072" s="6" t="inlineStr">
        <is>
          <t>Soja</t>
        </is>
      </c>
      <c r="B2072" s="6" t="inlineStr">
        <is>
          <t>São Luís - MA</t>
        </is>
      </c>
      <c r="C2072" s="6" t="n">
        <v>-2.53874</v>
      </c>
      <c r="D2072" s="6" t="n">
        <v>-44.2825</v>
      </c>
      <c r="E2072" s="6" t="inlineStr">
        <is>
          <t>2022-07</t>
        </is>
      </c>
      <c r="F2072" s="6" t="n">
        <v>99676.5160217505</v>
      </c>
      <c r="G2072" s="6" t="inlineStr">
        <is>
          <t>DOMESTICA</t>
        </is>
      </c>
      <c r="H2072" s="6" t="inlineStr">
        <is>
          <t>FIXO</t>
        </is>
      </c>
      <c r="I2072" s="11">
        <f>IF($H2072="AUTO_OFERTA_TOTAL_PRODUTO_PERIODO",SUMIFS(Oferta!$F:$F,Oferta!$A:$A,$A2072,Oferta!$E:$E,$E2072),$F2072)</f>
        <v/>
      </c>
      <c r="J2072" s="6" t="inlineStr">
        <is>
          <t>Informado</t>
        </is>
      </c>
      <c r="K2072" s="6" t="inlineStr">
        <is>
          <t>Demanda doméstica fixa informada pelo usuário.</t>
        </is>
      </c>
    </row>
    <row r="2073">
      <c r="A2073" s="6" t="inlineStr">
        <is>
          <t>Soja</t>
        </is>
      </c>
      <c r="B2073" s="6" t="inlineStr">
        <is>
          <t>São Luís - MA</t>
        </is>
      </c>
      <c r="C2073" s="6" t="n">
        <v>-2.53874</v>
      </c>
      <c r="D2073" s="6" t="n">
        <v>-44.2825</v>
      </c>
      <c r="E2073" s="6" t="inlineStr">
        <is>
          <t>2022-08</t>
        </is>
      </c>
      <c r="F2073" s="6" t="n">
        <v>56862.4420258308</v>
      </c>
      <c r="G2073" s="6" t="inlineStr">
        <is>
          <t>DOMESTICA</t>
        </is>
      </c>
      <c r="H2073" s="6" t="inlineStr">
        <is>
          <t>FIXO</t>
        </is>
      </c>
      <c r="I2073" s="11">
        <f>IF($H2073="AUTO_OFERTA_TOTAL_PRODUTO_PERIODO",SUMIFS(Oferta!$F:$F,Oferta!$A:$A,$A2073,Oferta!$E:$E,$E2073),$F2073)</f>
        <v/>
      </c>
      <c r="J2073" s="6" t="inlineStr">
        <is>
          <t>Informado</t>
        </is>
      </c>
      <c r="K2073" s="6" t="inlineStr">
        <is>
          <t>Demanda doméstica fixa informada pelo usuário.</t>
        </is>
      </c>
    </row>
    <row r="2074">
      <c r="A2074" s="6" t="inlineStr">
        <is>
          <t>Soja</t>
        </is>
      </c>
      <c r="B2074" s="6" t="inlineStr">
        <is>
          <t>São Luís - MA</t>
        </is>
      </c>
      <c r="C2074" s="6" t="n">
        <v>-2.53874</v>
      </c>
      <c r="D2074" s="6" t="n">
        <v>-44.2825</v>
      </c>
      <c r="E2074" s="6" t="inlineStr">
        <is>
          <t>2022-09</t>
        </is>
      </c>
      <c r="F2074" s="6" t="n">
        <v>35455.405027871</v>
      </c>
      <c r="G2074" s="6" t="inlineStr">
        <is>
          <t>DOMESTICA</t>
        </is>
      </c>
      <c r="H2074" s="6" t="inlineStr">
        <is>
          <t>FIXO</t>
        </is>
      </c>
      <c r="I2074" s="11">
        <f>IF($H2074="AUTO_OFERTA_TOTAL_PRODUTO_PERIODO",SUMIFS(Oferta!$F:$F,Oferta!$A:$A,$A2074,Oferta!$E:$E,$E2074),$F2074)</f>
        <v/>
      </c>
      <c r="J2074" s="6" t="inlineStr">
        <is>
          <t>Informado</t>
        </is>
      </c>
      <c r="K2074" s="6" t="inlineStr">
        <is>
          <t>Demanda doméstica fixa informada pelo usuário.</t>
        </is>
      </c>
    </row>
    <row r="2075">
      <c r="A2075" s="6" t="inlineStr">
        <is>
          <t>Soja</t>
        </is>
      </c>
      <c r="B2075" s="6" t="inlineStr">
        <is>
          <t>São Luís - MA</t>
        </is>
      </c>
      <c r="C2075" s="6" t="n">
        <v>-2.53874</v>
      </c>
      <c r="D2075" s="6" t="n">
        <v>-44.2825</v>
      </c>
      <c r="E2075" s="6" t="inlineStr">
        <is>
          <t>2022-10</t>
        </is>
      </c>
      <c r="F2075" s="6" t="n">
        <v>35455.405027871</v>
      </c>
      <c r="G2075" s="6" t="inlineStr">
        <is>
          <t>DOMESTICA</t>
        </is>
      </c>
      <c r="H2075" s="6" t="inlineStr">
        <is>
          <t>FIXO</t>
        </is>
      </c>
      <c r="I2075" s="11">
        <f>IF($H2075="AUTO_OFERTA_TOTAL_PRODUTO_PERIODO",SUMIFS(Oferta!$F:$F,Oferta!$A:$A,$A2075,Oferta!$E:$E,$E2075),$F2075)</f>
        <v/>
      </c>
      <c r="J2075" s="6" t="inlineStr">
        <is>
          <t>Informado</t>
        </is>
      </c>
      <c r="K2075" s="6" t="inlineStr">
        <is>
          <t>Demanda doméstica fixa informada pelo usuário.</t>
        </is>
      </c>
    </row>
    <row r="2076">
      <c r="A2076" s="6" t="inlineStr">
        <is>
          <t>Soja</t>
        </is>
      </c>
      <c r="B2076" s="6" t="inlineStr">
        <is>
          <t>São Luís - MA</t>
        </is>
      </c>
      <c r="C2076" s="6" t="n">
        <v>-2.53874</v>
      </c>
      <c r="D2076" s="6" t="n">
        <v>-44.2825</v>
      </c>
      <c r="E2076" s="6" t="inlineStr">
        <is>
          <t>2022-11</t>
        </is>
      </c>
      <c r="F2076" s="6" t="n">
        <v>35455.405027871</v>
      </c>
      <c r="G2076" s="6" t="inlineStr">
        <is>
          <t>DOMESTICA</t>
        </is>
      </c>
      <c r="H2076" s="6" t="inlineStr">
        <is>
          <t>FIXO</t>
        </is>
      </c>
      <c r="I2076" s="11">
        <f>IF($H2076="AUTO_OFERTA_TOTAL_PRODUTO_PERIODO",SUMIFS(Oferta!$F:$F,Oferta!$A:$A,$A2076,Oferta!$E:$E,$E2076),$F2076)</f>
        <v/>
      </c>
      <c r="J2076" s="6" t="inlineStr">
        <is>
          <t>Informado</t>
        </is>
      </c>
      <c r="K2076" s="6" t="inlineStr">
        <is>
          <t>Demanda doméstica fixa informada pelo usuário.</t>
        </is>
      </c>
    </row>
    <row r="2077">
      <c r="A2077" s="6" t="inlineStr">
        <is>
          <t>Soja</t>
        </is>
      </c>
      <c r="B2077" s="6" t="inlineStr">
        <is>
          <t>São Luís - MA</t>
        </is>
      </c>
      <c r="C2077" s="6" t="n">
        <v>-2.53874</v>
      </c>
      <c r="D2077" s="6" t="n">
        <v>-44.2825</v>
      </c>
      <c r="E2077" s="6" t="inlineStr">
        <is>
          <t>2022-12</t>
        </is>
      </c>
      <c r="F2077" s="6" t="n">
        <v>35455.405027871</v>
      </c>
      <c r="G2077" s="6" t="inlineStr">
        <is>
          <t>DOMESTICA</t>
        </is>
      </c>
      <c r="H2077" s="6" t="inlineStr">
        <is>
          <t>FIXO</t>
        </is>
      </c>
      <c r="I2077" s="11">
        <f>IF($H2077="AUTO_OFERTA_TOTAL_PRODUTO_PERIODO",SUMIFS(Oferta!$F:$F,Oferta!$A:$A,$A2077,Oferta!$E:$E,$E2077),$F2077)</f>
        <v/>
      </c>
      <c r="J2077" s="6" t="inlineStr">
        <is>
          <t>Informado</t>
        </is>
      </c>
      <c r="K2077" s="6" t="inlineStr">
        <is>
          <t>Demanda doméstica fixa informada pelo usuário.</t>
        </is>
      </c>
    </row>
    <row r="2078">
      <c r="A2078" s="6" t="inlineStr">
        <is>
          <t>Soja</t>
        </is>
      </c>
      <c r="B2078" s="6" t="inlineStr">
        <is>
          <t>João Pessoa - PB</t>
        </is>
      </c>
      <c r="C2078" s="6" t="n">
        <v>-7.11509</v>
      </c>
      <c r="D2078" s="6" t="n">
        <v>-34.8641</v>
      </c>
      <c r="E2078" s="6" t="inlineStr">
        <is>
          <t>2022-01</t>
        </is>
      </c>
      <c r="F2078" s="6" t="n">
        <v>31620.0372283277</v>
      </c>
      <c r="G2078" s="6" t="inlineStr">
        <is>
          <t>DOMESTICA</t>
        </is>
      </c>
      <c r="H2078" s="6" t="inlineStr">
        <is>
          <t>FIXO</t>
        </is>
      </c>
      <c r="I2078" s="11">
        <f>IF($H2078="AUTO_OFERTA_TOTAL_PRODUTO_PERIODO",SUMIFS(Oferta!$F:$F,Oferta!$A:$A,$A2078,Oferta!$E:$E,$E2078),$F2078)</f>
        <v/>
      </c>
      <c r="J2078" s="6" t="inlineStr">
        <is>
          <t>Informado</t>
        </is>
      </c>
      <c r="K2078" s="6" t="inlineStr">
        <is>
          <t>Demanda doméstica fixa informada pelo usuário.</t>
        </is>
      </c>
    </row>
    <row r="2079">
      <c r="A2079" s="6" t="inlineStr">
        <is>
          <t>Soja</t>
        </is>
      </c>
      <c r="B2079" s="6" t="inlineStr">
        <is>
          <t>João Pessoa - PB</t>
        </is>
      </c>
      <c r="C2079" s="6" t="n">
        <v>-7.11509</v>
      </c>
      <c r="D2079" s="6" t="n">
        <v>-34.8641</v>
      </c>
      <c r="E2079" s="6" t="inlineStr">
        <is>
          <t>2022-02</t>
        </is>
      </c>
      <c r="F2079" s="6" t="n">
        <v>31620.0372283277</v>
      </c>
      <c r="G2079" s="6" t="inlineStr">
        <is>
          <t>DOMESTICA</t>
        </is>
      </c>
      <c r="H2079" s="6" t="inlineStr">
        <is>
          <t>FIXO</t>
        </is>
      </c>
      <c r="I2079" s="11">
        <f>IF($H2079="AUTO_OFERTA_TOTAL_PRODUTO_PERIODO",SUMIFS(Oferta!$F:$F,Oferta!$A:$A,$A2079,Oferta!$E:$E,$E2079),$F2079)</f>
        <v/>
      </c>
      <c r="J2079" s="6" t="inlineStr">
        <is>
          <t>Informado</t>
        </is>
      </c>
      <c r="K2079" s="6" t="inlineStr">
        <is>
          <t>Demanda doméstica fixa informada pelo usuário.</t>
        </is>
      </c>
    </row>
    <row r="2080">
      <c r="A2080" s="6" t="inlineStr">
        <is>
          <t>Soja</t>
        </is>
      </c>
      <c r="B2080" s="6" t="inlineStr">
        <is>
          <t>João Pessoa - PB</t>
        </is>
      </c>
      <c r="C2080" s="6" t="n">
        <v>-7.11509</v>
      </c>
      <c r="D2080" s="6" t="n">
        <v>-34.8641</v>
      </c>
      <c r="E2080" s="6" t="inlineStr">
        <is>
          <t>2022-03</t>
        </is>
      </c>
      <c r="F2080" s="6" t="n">
        <v>31620.0372283277</v>
      </c>
      <c r="G2080" s="6" t="inlineStr">
        <is>
          <t>DOMESTICA</t>
        </is>
      </c>
      <c r="H2080" s="6" t="inlineStr">
        <is>
          <t>FIXO</t>
        </is>
      </c>
      <c r="I2080" s="11">
        <f>IF($H2080="AUTO_OFERTA_TOTAL_PRODUTO_PERIODO",SUMIFS(Oferta!$F:$F,Oferta!$A:$A,$A2080,Oferta!$E:$E,$E2080),$F2080)</f>
        <v/>
      </c>
      <c r="J2080" s="6" t="inlineStr">
        <is>
          <t>Informado</t>
        </is>
      </c>
      <c r="K2080" s="6" t="inlineStr">
        <is>
          <t>Demanda doméstica fixa informada pelo usuário.</t>
        </is>
      </c>
    </row>
    <row r="2081">
      <c r="A2081" s="6" t="inlineStr">
        <is>
          <t>Soja</t>
        </is>
      </c>
      <c r="B2081" s="6" t="inlineStr">
        <is>
          <t>João Pessoa - PB</t>
        </is>
      </c>
      <c r="C2081" s="6" t="n">
        <v>-7.11509</v>
      </c>
      <c r="D2081" s="6" t="n">
        <v>-34.8641</v>
      </c>
      <c r="E2081" s="6" t="inlineStr">
        <is>
          <t>2022-04</t>
        </is>
      </c>
      <c r="F2081" s="6" t="n">
        <v>31620.0372283277</v>
      </c>
      <c r="G2081" s="6" t="inlineStr">
        <is>
          <t>DOMESTICA</t>
        </is>
      </c>
      <c r="H2081" s="6" t="inlineStr">
        <is>
          <t>FIXO</t>
        </is>
      </c>
      <c r="I2081" s="11">
        <f>IF($H2081="AUTO_OFERTA_TOTAL_PRODUTO_PERIODO",SUMIFS(Oferta!$F:$F,Oferta!$A:$A,$A2081,Oferta!$E:$E,$E2081),$F2081)</f>
        <v/>
      </c>
      <c r="J2081" s="6" t="inlineStr">
        <is>
          <t>Informado</t>
        </is>
      </c>
      <c r="K2081" s="6" t="inlineStr">
        <is>
          <t>Demanda doméstica fixa informada pelo usuário.</t>
        </is>
      </c>
    </row>
    <row r="2082">
      <c r="A2082" s="6" t="inlineStr">
        <is>
          <t>Soja</t>
        </is>
      </c>
      <c r="B2082" s="6" t="inlineStr">
        <is>
          <t>João Pessoa - PB</t>
        </is>
      </c>
      <c r="C2082" s="6" t="n">
        <v>-7.11509</v>
      </c>
      <c r="D2082" s="6" t="n">
        <v>-34.8641</v>
      </c>
      <c r="E2082" s="6" t="inlineStr">
        <is>
          <t>2022-05</t>
        </is>
      </c>
      <c r="F2082" s="6" t="n">
        <v>31620.0372283277</v>
      </c>
      <c r="G2082" s="6" t="inlineStr">
        <is>
          <t>DOMESTICA</t>
        </is>
      </c>
      <c r="H2082" s="6" t="inlineStr">
        <is>
          <t>FIXO</t>
        </is>
      </c>
      <c r="I2082" s="11">
        <f>IF($H2082="AUTO_OFERTA_TOTAL_PRODUTO_PERIODO",SUMIFS(Oferta!$F:$F,Oferta!$A:$A,$A2082,Oferta!$E:$E,$E2082),$F2082)</f>
        <v/>
      </c>
      <c r="J2082" s="6" t="inlineStr">
        <is>
          <t>Informado</t>
        </is>
      </c>
      <c r="K2082" s="6" t="inlineStr">
        <is>
          <t>Demanda doméstica fixa informada pelo usuário.</t>
        </is>
      </c>
    </row>
    <row r="2083">
      <c r="A2083" s="6" t="inlineStr">
        <is>
          <t>Soja</t>
        </is>
      </c>
      <c r="B2083" s="6" t="inlineStr">
        <is>
          <t>João Pessoa - PB</t>
        </is>
      </c>
      <c r="C2083" s="6" t="n">
        <v>-7.11509</v>
      </c>
      <c r="D2083" s="6" t="n">
        <v>-34.8641</v>
      </c>
      <c r="E2083" s="6" t="inlineStr">
        <is>
          <t>2022-06</t>
        </is>
      </c>
      <c r="F2083" s="6" t="n">
        <v>31620.0372283277</v>
      </c>
      <c r="G2083" s="6" t="inlineStr">
        <is>
          <t>DOMESTICA</t>
        </is>
      </c>
      <c r="H2083" s="6" t="inlineStr">
        <is>
          <t>FIXO</t>
        </is>
      </c>
      <c r="I2083" s="11">
        <f>IF($H2083="AUTO_OFERTA_TOTAL_PRODUTO_PERIODO",SUMIFS(Oferta!$F:$F,Oferta!$A:$A,$A2083,Oferta!$E:$E,$E2083),$F2083)</f>
        <v/>
      </c>
      <c r="J2083" s="6" t="inlineStr">
        <is>
          <t>Informado</t>
        </is>
      </c>
      <c r="K2083" s="6" t="inlineStr">
        <is>
          <t>Demanda doméstica fixa informada pelo usuário.</t>
        </is>
      </c>
    </row>
    <row r="2084">
      <c r="A2084" s="6" t="inlineStr">
        <is>
          <t>Soja</t>
        </is>
      </c>
      <c r="B2084" s="6" t="inlineStr">
        <is>
          <t>João Pessoa - PB</t>
        </is>
      </c>
      <c r="C2084" s="6" t="n">
        <v>-7.11509</v>
      </c>
      <c r="D2084" s="6" t="n">
        <v>-34.8641</v>
      </c>
      <c r="E2084" s="6" t="inlineStr">
        <is>
          <t>2022-07</t>
        </is>
      </c>
      <c r="F2084" s="6" t="n">
        <v>31620.0372283277</v>
      </c>
      <c r="G2084" s="6" t="inlineStr">
        <is>
          <t>DOMESTICA</t>
        </is>
      </c>
      <c r="H2084" s="6" t="inlineStr">
        <is>
          <t>FIXO</t>
        </is>
      </c>
      <c r="I2084" s="11">
        <f>IF($H2084="AUTO_OFERTA_TOTAL_PRODUTO_PERIODO",SUMIFS(Oferta!$F:$F,Oferta!$A:$A,$A2084,Oferta!$E:$E,$E2084),$F2084)</f>
        <v/>
      </c>
      <c r="J2084" s="6" t="inlineStr">
        <is>
          <t>Informado</t>
        </is>
      </c>
      <c r="K2084" s="6" t="inlineStr">
        <is>
          <t>Demanda doméstica fixa informada pelo usuário.</t>
        </is>
      </c>
    </row>
    <row r="2085">
      <c r="A2085" s="6" t="inlineStr">
        <is>
          <t>Soja</t>
        </is>
      </c>
      <c r="B2085" s="6" t="inlineStr">
        <is>
          <t>João Pessoa - PB</t>
        </is>
      </c>
      <c r="C2085" s="6" t="n">
        <v>-7.11509</v>
      </c>
      <c r="D2085" s="6" t="n">
        <v>-34.8641</v>
      </c>
      <c r="E2085" s="6" t="inlineStr">
        <is>
          <t>2022-08</t>
        </is>
      </c>
      <c r="F2085" s="6" t="n">
        <v>31620.0372283277</v>
      </c>
      <c r="G2085" s="6" t="inlineStr">
        <is>
          <t>DOMESTICA</t>
        </is>
      </c>
      <c r="H2085" s="6" t="inlineStr">
        <is>
          <t>FIXO</t>
        </is>
      </c>
      <c r="I2085" s="11">
        <f>IF($H2085="AUTO_OFERTA_TOTAL_PRODUTO_PERIODO",SUMIFS(Oferta!$F:$F,Oferta!$A:$A,$A2085,Oferta!$E:$E,$E2085),$F2085)</f>
        <v/>
      </c>
      <c r="J2085" s="6" t="inlineStr">
        <is>
          <t>Informado</t>
        </is>
      </c>
      <c r="K2085" s="6" t="inlineStr">
        <is>
          <t>Demanda doméstica fixa informada pelo usuário.</t>
        </is>
      </c>
    </row>
    <row r="2086">
      <c r="A2086" s="6" t="inlineStr">
        <is>
          <t>Soja</t>
        </is>
      </c>
      <c r="B2086" s="6" t="inlineStr">
        <is>
          <t>João Pessoa - PB</t>
        </is>
      </c>
      <c r="C2086" s="6" t="n">
        <v>-7.11509</v>
      </c>
      <c r="D2086" s="6" t="n">
        <v>-34.8641</v>
      </c>
      <c r="E2086" s="6" t="inlineStr">
        <is>
          <t>2022-09</t>
        </is>
      </c>
      <c r="F2086" s="6" t="n">
        <v>31620.0372283277</v>
      </c>
      <c r="G2086" s="6" t="inlineStr">
        <is>
          <t>DOMESTICA</t>
        </is>
      </c>
      <c r="H2086" s="6" t="inlineStr">
        <is>
          <t>FIXO</t>
        </is>
      </c>
      <c r="I2086" s="11">
        <f>IF($H2086="AUTO_OFERTA_TOTAL_PRODUTO_PERIODO",SUMIFS(Oferta!$F:$F,Oferta!$A:$A,$A2086,Oferta!$E:$E,$E2086),$F2086)</f>
        <v/>
      </c>
      <c r="J2086" s="6" t="inlineStr">
        <is>
          <t>Informado</t>
        </is>
      </c>
      <c r="K2086" s="6" t="inlineStr">
        <is>
          <t>Demanda doméstica fixa informada pelo usuário.</t>
        </is>
      </c>
    </row>
    <row r="2087">
      <c r="A2087" s="6" t="inlineStr">
        <is>
          <t>Soja</t>
        </is>
      </c>
      <c r="B2087" s="6" t="inlineStr">
        <is>
          <t>João Pessoa - PB</t>
        </is>
      </c>
      <c r="C2087" s="6" t="n">
        <v>-7.11509</v>
      </c>
      <c r="D2087" s="6" t="n">
        <v>-34.8641</v>
      </c>
      <c r="E2087" s="6" t="inlineStr">
        <is>
          <t>2022-10</t>
        </is>
      </c>
      <c r="F2087" s="6" t="n">
        <v>31620.0372283277</v>
      </c>
      <c r="G2087" s="6" t="inlineStr">
        <is>
          <t>DOMESTICA</t>
        </is>
      </c>
      <c r="H2087" s="6" t="inlineStr">
        <is>
          <t>FIXO</t>
        </is>
      </c>
      <c r="I2087" s="11">
        <f>IF($H2087="AUTO_OFERTA_TOTAL_PRODUTO_PERIODO",SUMIFS(Oferta!$F:$F,Oferta!$A:$A,$A2087,Oferta!$E:$E,$E2087),$F2087)</f>
        <v/>
      </c>
      <c r="J2087" s="6" t="inlineStr">
        <is>
          <t>Informado</t>
        </is>
      </c>
      <c r="K2087" s="6" t="inlineStr">
        <is>
          <t>Demanda doméstica fixa informada pelo usuário.</t>
        </is>
      </c>
    </row>
    <row r="2088">
      <c r="A2088" s="6" t="inlineStr">
        <is>
          <t>Soja</t>
        </is>
      </c>
      <c r="B2088" s="6" t="inlineStr">
        <is>
          <t>João Pessoa - PB</t>
        </is>
      </c>
      <c r="C2088" s="6" t="n">
        <v>-7.11509</v>
      </c>
      <c r="D2088" s="6" t="n">
        <v>-34.8641</v>
      </c>
      <c r="E2088" s="6" t="inlineStr">
        <is>
          <t>2022-11</t>
        </is>
      </c>
      <c r="F2088" s="6" t="n">
        <v>31620.0372283277</v>
      </c>
      <c r="G2088" s="6" t="inlineStr">
        <is>
          <t>DOMESTICA</t>
        </is>
      </c>
      <c r="H2088" s="6" t="inlineStr">
        <is>
          <t>FIXO</t>
        </is>
      </c>
      <c r="I2088" s="11">
        <f>IF($H2088="AUTO_OFERTA_TOTAL_PRODUTO_PERIODO",SUMIFS(Oferta!$F:$F,Oferta!$A:$A,$A2088,Oferta!$E:$E,$E2088),$F2088)</f>
        <v/>
      </c>
      <c r="J2088" s="6" t="inlineStr">
        <is>
          <t>Informado</t>
        </is>
      </c>
      <c r="K2088" s="6" t="inlineStr">
        <is>
          <t>Demanda doméstica fixa informada pelo usuário.</t>
        </is>
      </c>
    </row>
    <row r="2089">
      <c r="A2089" s="6" t="inlineStr">
        <is>
          <t>Soja</t>
        </is>
      </c>
      <c r="B2089" s="6" t="inlineStr">
        <is>
          <t>João Pessoa - PB</t>
        </is>
      </c>
      <c r="C2089" s="6" t="n">
        <v>-7.11509</v>
      </c>
      <c r="D2089" s="6" t="n">
        <v>-34.8641</v>
      </c>
      <c r="E2089" s="6" t="inlineStr">
        <is>
          <t>2022-12</t>
        </is>
      </c>
      <c r="F2089" s="6" t="n">
        <v>31620.0372283277</v>
      </c>
      <c r="G2089" s="6" t="inlineStr">
        <is>
          <t>DOMESTICA</t>
        </is>
      </c>
      <c r="H2089" s="6" t="inlineStr">
        <is>
          <t>FIXO</t>
        </is>
      </c>
      <c r="I2089" s="11">
        <f>IF($H2089="AUTO_OFERTA_TOTAL_PRODUTO_PERIODO",SUMIFS(Oferta!$F:$F,Oferta!$A:$A,$A2089,Oferta!$E:$E,$E2089),$F2089)</f>
        <v/>
      </c>
      <c r="J2089" s="6" t="inlineStr">
        <is>
          <t>Informado</t>
        </is>
      </c>
      <c r="K2089" s="6" t="inlineStr">
        <is>
          <t>Demanda doméstica fixa informada pelo usuário.</t>
        </is>
      </c>
    </row>
    <row r="2090">
      <c r="A2090" s="6" t="inlineStr">
        <is>
          <t>Soja</t>
        </is>
      </c>
      <c r="B2090" s="6" t="inlineStr">
        <is>
          <t>Recife - PE</t>
        </is>
      </c>
      <c r="C2090" s="6" t="n">
        <v>-8.046659999999999</v>
      </c>
      <c r="D2090" s="6" t="n">
        <v>-34.8771</v>
      </c>
      <c r="E2090" s="6" t="inlineStr">
        <is>
          <t>2022-01</t>
        </is>
      </c>
      <c r="F2090" s="6" t="n">
        <v>98085.44239767409</v>
      </c>
      <c r="G2090" s="6" t="inlineStr">
        <is>
          <t>DOMESTICA</t>
        </is>
      </c>
      <c r="H2090" s="6" t="inlineStr">
        <is>
          <t>FIXO</t>
        </is>
      </c>
      <c r="I2090" s="11">
        <f>IF($H2090="AUTO_OFERTA_TOTAL_PRODUTO_PERIODO",SUMIFS(Oferta!$F:$F,Oferta!$A:$A,$A2090,Oferta!$E:$E,$E2090),$F2090)</f>
        <v/>
      </c>
      <c r="J2090" s="6" t="inlineStr">
        <is>
          <t>Informado</t>
        </is>
      </c>
      <c r="K2090" s="6" t="inlineStr">
        <is>
          <t>Demanda doméstica fixa informada pelo usuário.</t>
        </is>
      </c>
    </row>
    <row r="2091">
      <c r="A2091" s="6" t="inlineStr">
        <is>
          <t>Soja</t>
        </is>
      </c>
      <c r="B2091" s="6" t="inlineStr">
        <is>
          <t>Recife - PE</t>
        </is>
      </c>
      <c r="C2091" s="6" t="n">
        <v>-8.046659999999999</v>
      </c>
      <c r="D2091" s="6" t="n">
        <v>-34.8771</v>
      </c>
      <c r="E2091" s="6" t="inlineStr">
        <is>
          <t>2022-02</t>
        </is>
      </c>
      <c r="F2091" s="6" t="n">
        <v>98085.44239767409</v>
      </c>
      <c r="G2091" s="6" t="inlineStr">
        <is>
          <t>DOMESTICA</t>
        </is>
      </c>
      <c r="H2091" s="6" t="inlineStr">
        <is>
          <t>FIXO</t>
        </is>
      </c>
      <c r="I2091" s="11">
        <f>IF($H2091="AUTO_OFERTA_TOTAL_PRODUTO_PERIODO",SUMIFS(Oferta!$F:$F,Oferta!$A:$A,$A2091,Oferta!$E:$E,$E2091),$F2091)</f>
        <v/>
      </c>
      <c r="J2091" s="6" t="inlineStr">
        <is>
          <t>Informado</t>
        </is>
      </c>
      <c r="K2091" s="6" t="inlineStr">
        <is>
          <t>Demanda doméstica fixa informada pelo usuário.</t>
        </is>
      </c>
    </row>
    <row r="2092">
      <c r="A2092" s="6" t="inlineStr">
        <is>
          <t>Soja</t>
        </is>
      </c>
      <c r="B2092" s="6" t="inlineStr">
        <is>
          <t>Recife - PE</t>
        </is>
      </c>
      <c r="C2092" s="6" t="n">
        <v>-8.046659999999999</v>
      </c>
      <c r="D2092" s="6" t="n">
        <v>-34.8771</v>
      </c>
      <c r="E2092" s="6" t="inlineStr">
        <is>
          <t>2022-03</t>
        </is>
      </c>
      <c r="F2092" s="6" t="n">
        <v>98085.44239767409</v>
      </c>
      <c r="G2092" s="6" t="inlineStr">
        <is>
          <t>DOMESTICA</t>
        </is>
      </c>
      <c r="H2092" s="6" t="inlineStr">
        <is>
          <t>FIXO</t>
        </is>
      </c>
      <c r="I2092" s="11">
        <f>IF($H2092="AUTO_OFERTA_TOTAL_PRODUTO_PERIODO",SUMIFS(Oferta!$F:$F,Oferta!$A:$A,$A2092,Oferta!$E:$E,$E2092),$F2092)</f>
        <v/>
      </c>
      <c r="J2092" s="6" t="inlineStr">
        <is>
          <t>Informado</t>
        </is>
      </c>
      <c r="K2092" s="6" t="inlineStr">
        <is>
          <t>Demanda doméstica fixa informada pelo usuário.</t>
        </is>
      </c>
    </row>
    <row r="2093">
      <c r="A2093" s="6" t="inlineStr">
        <is>
          <t>Soja</t>
        </is>
      </c>
      <c r="B2093" s="6" t="inlineStr">
        <is>
          <t>Recife - PE</t>
        </is>
      </c>
      <c r="C2093" s="6" t="n">
        <v>-8.046659999999999</v>
      </c>
      <c r="D2093" s="6" t="n">
        <v>-34.8771</v>
      </c>
      <c r="E2093" s="6" t="inlineStr">
        <is>
          <t>2022-04</t>
        </is>
      </c>
      <c r="F2093" s="6" t="n">
        <v>98085.44239767409</v>
      </c>
      <c r="G2093" s="6" t="inlineStr">
        <is>
          <t>DOMESTICA</t>
        </is>
      </c>
      <c r="H2093" s="6" t="inlineStr">
        <is>
          <t>FIXO</t>
        </is>
      </c>
      <c r="I2093" s="11">
        <f>IF($H2093="AUTO_OFERTA_TOTAL_PRODUTO_PERIODO",SUMIFS(Oferta!$F:$F,Oferta!$A:$A,$A2093,Oferta!$E:$E,$E2093),$F2093)</f>
        <v/>
      </c>
      <c r="J2093" s="6" t="inlineStr">
        <is>
          <t>Informado</t>
        </is>
      </c>
      <c r="K2093" s="6" t="inlineStr">
        <is>
          <t>Demanda doméstica fixa informada pelo usuário.</t>
        </is>
      </c>
    </row>
    <row r="2094">
      <c r="A2094" s="6" t="inlineStr">
        <is>
          <t>Soja</t>
        </is>
      </c>
      <c r="B2094" s="6" t="inlineStr">
        <is>
          <t>Recife - PE</t>
        </is>
      </c>
      <c r="C2094" s="6" t="n">
        <v>-8.046659999999999</v>
      </c>
      <c r="D2094" s="6" t="n">
        <v>-34.8771</v>
      </c>
      <c r="E2094" s="6" t="inlineStr">
        <is>
          <t>2022-05</t>
        </is>
      </c>
      <c r="F2094" s="6" t="n">
        <v>98085.44239767409</v>
      </c>
      <c r="G2094" s="6" t="inlineStr">
        <is>
          <t>DOMESTICA</t>
        </is>
      </c>
      <c r="H2094" s="6" t="inlineStr">
        <is>
          <t>FIXO</t>
        </is>
      </c>
      <c r="I2094" s="11">
        <f>IF($H2094="AUTO_OFERTA_TOTAL_PRODUTO_PERIODO",SUMIFS(Oferta!$F:$F,Oferta!$A:$A,$A2094,Oferta!$E:$E,$E2094),$F2094)</f>
        <v/>
      </c>
      <c r="J2094" s="6" t="inlineStr">
        <is>
          <t>Informado</t>
        </is>
      </c>
      <c r="K2094" s="6" t="inlineStr">
        <is>
          <t>Demanda doméstica fixa informada pelo usuário.</t>
        </is>
      </c>
    </row>
    <row r="2095">
      <c r="A2095" s="6" t="inlineStr">
        <is>
          <t>Soja</t>
        </is>
      </c>
      <c r="B2095" s="6" t="inlineStr">
        <is>
          <t>Recife - PE</t>
        </is>
      </c>
      <c r="C2095" s="6" t="n">
        <v>-8.046659999999999</v>
      </c>
      <c r="D2095" s="6" t="n">
        <v>-34.8771</v>
      </c>
      <c r="E2095" s="6" t="inlineStr">
        <is>
          <t>2022-06</t>
        </is>
      </c>
      <c r="F2095" s="6" t="n">
        <v>98085.44239767409</v>
      </c>
      <c r="G2095" s="6" t="inlineStr">
        <is>
          <t>DOMESTICA</t>
        </is>
      </c>
      <c r="H2095" s="6" t="inlineStr">
        <is>
          <t>FIXO</t>
        </is>
      </c>
      <c r="I2095" s="11">
        <f>IF($H2095="AUTO_OFERTA_TOTAL_PRODUTO_PERIODO",SUMIFS(Oferta!$F:$F,Oferta!$A:$A,$A2095,Oferta!$E:$E,$E2095),$F2095)</f>
        <v/>
      </c>
      <c r="J2095" s="6" t="inlineStr">
        <is>
          <t>Informado</t>
        </is>
      </c>
      <c r="K2095" s="6" t="inlineStr">
        <is>
          <t>Demanda doméstica fixa informada pelo usuário.</t>
        </is>
      </c>
    </row>
    <row r="2096">
      <c r="A2096" s="6" t="inlineStr">
        <is>
          <t>Soja</t>
        </is>
      </c>
      <c r="B2096" s="6" t="inlineStr">
        <is>
          <t>Recife - PE</t>
        </is>
      </c>
      <c r="C2096" s="6" t="n">
        <v>-8.046659999999999</v>
      </c>
      <c r="D2096" s="6" t="n">
        <v>-34.8771</v>
      </c>
      <c r="E2096" s="6" t="inlineStr">
        <is>
          <t>2022-07</t>
        </is>
      </c>
      <c r="F2096" s="6" t="n">
        <v>98085.44239767409</v>
      </c>
      <c r="G2096" s="6" t="inlineStr">
        <is>
          <t>DOMESTICA</t>
        </is>
      </c>
      <c r="H2096" s="6" t="inlineStr">
        <is>
          <t>FIXO</t>
        </is>
      </c>
      <c r="I2096" s="11">
        <f>IF($H2096="AUTO_OFERTA_TOTAL_PRODUTO_PERIODO",SUMIFS(Oferta!$F:$F,Oferta!$A:$A,$A2096,Oferta!$E:$E,$E2096),$F2096)</f>
        <v/>
      </c>
      <c r="J2096" s="6" t="inlineStr">
        <is>
          <t>Informado</t>
        </is>
      </c>
      <c r="K2096" s="6" t="inlineStr">
        <is>
          <t>Demanda doméstica fixa informada pelo usuário.</t>
        </is>
      </c>
    </row>
    <row r="2097">
      <c r="A2097" s="6" t="inlineStr">
        <is>
          <t>Soja</t>
        </is>
      </c>
      <c r="B2097" s="6" t="inlineStr">
        <is>
          <t>Recife - PE</t>
        </is>
      </c>
      <c r="C2097" s="6" t="n">
        <v>-8.046659999999999</v>
      </c>
      <c r="D2097" s="6" t="n">
        <v>-34.8771</v>
      </c>
      <c r="E2097" s="6" t="inlineStr">
        <is>
          <t>2022-08</t>
        </is>
      </c>
      <c r="F2097" s="6" t="n">
        <v>98085.44239767409</v>
      </c>
      <c r="G2097" s="6" t="inlineStr">
        <is>
          <t>DOMESTICA</t>
        </is>
      </c>
      <c r="H2097" s="6" t="inlineStr">
        <is>
          <t>FIXO</t>
        </is>
      </c>
      <c r="I2097" s="11">
        <f>IF($H2097="AUTO_OFERTA_TOTAL_PRODUTO_PERIODO",SUMIFS(Oferta!$F:$F,Oferta!$A:$A,$A2097,Oferta!$E:$E,$E2097),$F2097)</f>
        <v/>
      </c>
      <c r="J2097" s="6" t="inlineStr">
        <is>
          <t>Informado</t>
        </is>
      </c>
      <c r="K2097" s="6" t="inlineStr">
        <is>
          <t>Demanda doméstica fixa informada pelo usuário.</t>
        </is>
      </c>
    </row>
    <row r="2098">
      <c r="A2098" s="6" t="inlineStr">
        <is>
          <t>Soja</t>
        </is>
      </c>
      <c r="B2098" s="6" t="inlineStr">
        <is>
          <t>Recife - PE</t>
        </is>
      </c>
      <c r="C2098" s="6" t="n">
        <v>-8.046659999999999</v>
      </c>
      <c r="D2098" s="6" t="n">
        <v>-34.8771</v>
      </c>
      <c r="E2098" s="6" t="inlineStr">
        <is>
          <t>2022-09</t>
        </is>
      </c>
      <c r="F2098" s="6" t="n">
        <v>98085.44239767409</v>
      </c>
      <c r="G2098" s="6" t="inlineStr">
        <is>
          <t>DOMESTICA</t>
        </is>
      </c>
      <c r="H2098" s="6" t="inlineStr">
        <is>
          <t>FIXO</t>
        </is>
      </c>
      <c r="I2098" s="11">
        <f>IF($H2098="AUTO_OFERTA_TOTAL_PRODUTO_PERIODO",SUMIFS(Oferta!$F:$F,Oferta!$A:$A,$A2098,Oferta!$E:$E,$E2098),$F2098)</f>
        <v/>
      </c>
      <c r="J2098" s="6" t="inlineStr">
        <is>
          <t>Informado</t>
        </is>
      </c>
      <c r="K2098" s="6" t="inlineStr">
        <is>
          <t>Demanda doméstica fixa informada pelo usuário.</t>
        </is>
      </c>
    </row>
    <row r="2099">
      <c r="A2099" s="6" t="inlineStr">
        <is>
          <t>Soja</t>
        </is>
      </c>
      <c r="B2099" s="6" t="inlineStr">
        <is>
          <t>Recife - PE</t>
        </is>
      </c>
      <c r="C2099" s="6" t="n">
        <v>-8.046659999999999</v>
      </c>
      <c r="D2099" s="6" t="n">
        <v>-34.8771</v>
      </c>
      <c r="E2099" s="6" t="inlineStr">
        <is>
          <t>2022-10</t>
        </is>
      </c>
      <c r="F2099" s="6" t="n">
        <v>98085.44239767409</v>
      </c>
      <c r="G2099" s="6" t="inlineStr">
        <is>
          <t>DOMESTICA</t>
        </is>
      </c>
      <c r="H2099" s="6" t="inlineStr">
        <is>
          <t>FIXO</t>
        </is>
      </c>
      <c r="I2099" s="11">
        <f>IF($H2099="AUTO_OFERTA_TOTAL_PRODUTO_PERIODO",SUMIFS(Oferta!$F:$F,Oferta!$A:$A,$A2099,Oferta!$E:$E,$E2099),$F2099)</f>
        <v/>
      </c>
      <c r="J2099" s="6" t="inlineStr">
        <is>
          <t>Informado</t>
        </is>
      </c>
      <c r="K2099" s="6" t="inlineStr">
        <is>
          <t>Demanda doméstica fixa informada pelo usuário.</t>
        </is>
      </c>
    </row>
    <row r="2100">
      <c r="A2100" s="6" t="inlineStr">
        <is>
          <t>Soja</t>
        </is>
      </c>
      <c r="B2100" s="6" t="inlineStr">
        <is>
          <t>Recife - PE</t>
        </is>
      </c>
      <c r="C2100" s="6" t="n">
        <v>-8.046659999999999</v>
      </c>
      <c r="D2100" s="6" t="n">
        <v>-34.8771</v>
      </c>
      <c r="E2100" s="6" t="inlineStr">
        <is>
          <t>2022-11</t>
        </is>
      </c>
      <c r="F2100" s="6" t="n">
        <v>98085.44239767409</v>
      </c>
      <c r="G2100" s="6" t="inlineStr">
        <is>
          <t>DOMESTICA</t>
        </is>
      </c>
      <c r="H2100" s="6" t="inlineStr">
        <is>
          <t>FIXO</t>
        </is>
      </c>
      <c r="I2100" s="11">
        <f>IF($H2100="AUTO_OFERTA_TOTAL_PRODUTO_PERIODO",SUMIFS(Oferta!$F:$F,Oferta!$A:$A,$A2100,Oferta!$E:$E,$E2100),$F2100)</f>
        <v/>
      </c>
      <c r="J2100" s="6" t="inlineStr">
        <is>
          <t>Informado</t>
        </is>
      </c>
      <c r="K2100" s="6" t="inlineStr">
        <is>
          <t>Demanda doméstica fixa informada pelo usuário.</t>
        </is>
      </c>
    </row>
    <row r="2101">
      <c r="A2101" s="6" t="inlineStr">
        <is>
          <t>Soja</t>
        </is>
      </c>
      <c r="B2101" s="6" t="inlineStr">
        <is>
          <t>Recife - PE</t>
        </is>
      </c>
      <c r="C2101" s="6" t="n">
        <v>-8.046659999999999</v>
      </c>
      <c r="D2101" s="6" t="n">
        <v>-34.8771</v>
      </c>
      <c r="E2101" s="6" t="inlineStr">
        <is>
          <t>2022-12</t>
        </is>
      </c>
      <c r="F2101" s="6" t="n">
        <v>98085.44239767409</v>
      </c>
      <c r="G2101" s="6" t="inlineStr">
        <is>
          <t>DOMESTICA</t>
        </is>
      </c>
      <c r="H2101" s="6" t="inlineStr">
        <is>
          <t>FIXO</t>
        </is>
      </c>
      <c r="I2101" s="11">
        <f>IF($H2101="AUTO_OFERTA_TOTAL_PRODUTO_PERIODO",SUMIFS(Oferta!$F:$F,Oferta!$A:$A,$A2101,Oferta!$E:$E,$E2101),$F2101)</f>
        <v/>
      </c>
      <c r="J2101" s="6" t="inlineStr">
        <is>
          <t>Informado</t>
        </is>
      </c>
      <c r="K2101" s="6" t="inlineStr">
        <is>
          <t>Demanda doméstica fixa informada pelo usuário.</t>
        </is>
      </c>
    </row>
    <row r="2102">
      <c r="A2102" s="6" t="inlineStr">
        <is>
          <t>Soja</t>
        </is>
      </c>
      <c r="B2102" s="6" t="inlineStr">
        <is>
          <t>Teresina - PI</t>
        </is>
      </c>
      <c r="C2102" s="6" t="n">
        <v>-5.09194</v>
      </c>
      <c r="D2102" s="6" t="n">
        <v>-42.8034</v>
      </c>
      <c r="E2102" s="6" t="inlineStr">
        <is>
          <t>2022-01</t>
        </is>
      </c>
      <c r="F2102" s="6" t="n">
        <v>19549.8901192365</v>
      </c>
      <c r="G2102" s="6" t="inlineStr">
        <is>
          <t>DOMESTICA</t>
        </is>
      </c>
      <c r="H2102" s="6" t="inlineStr">
        <is>
          <t>FIXO</t>
        </is>
      </c>
      <c r="I2102" s="11">
        <f>IF($H2102="AUTO_OFERTA_TOTAL_PRODUTO_PERIODO",SUMIFS(Oferta!$F:$F,Oferta!$A:$A,$A2102,Oferta!$E:$E,$E2102),$F2102)</f>
        <v/>
      </c>
      <c r="J2102" s="6" t="inlineStr">
        <is>
          <t>Informado</t>
        </is>
      </c>
      <c r="K2102" s="6" t="inlineStr">
        <is>
          <t>Demanda doméstica fixa informada pelo usuário.</t>
        </is>
      </c>
    </row>
    <row r="2103">
      <c r="A2103" s="6" t="inlineStr">
        <is>
          <t>Soja</t>
        </is>
      </c>
      <c r="B2103" s="6" t="inlineStr">
        <is>
          <t>Teresina - PI</t>
        </is>
      </c>
      <c r="C2103" s="6" t="n">
        <v>-5.09194</v>
      </c>
      <c r="D2103" s="6" t="n">
        <v>-42.8034</v>
      </c>
      <c r="E2103" s="6" t="inlineStr">
        <is>
          <t>2022-02</t>
        </is>
      </c>
      <c r="F2103" s="6" t="n">
        <v>19549.8901192365</v>
      </c>
      <c r="G2103" s="6" t="inlineStr">
        <is>
          <t>DOMESTICA</t>
        </is>
      </c>
      <c r="H2103" s="6" t="inlineStr">
        <is>
          <t>FIXO</t>
        </is>
      </c>
      <c r="I2103" s="11">
        <f>IF($H2103="AUTO_OFERTA_TOTAL_PRODUTO_PERIODO",SUMIFS(Oferta!$F:$F,Oferta!$A:$A,$A2103,Oferta!$E:$E,$E2103),$F2103)</f>
        <v/>
      </c>
      <c r="J2103" s="6" t="inlineStr">
        <is>
          <t>Informado</t>
        </is>
      </c>
      <c r="K2103" s="6" t="inlineStr">
        <is>
          <t>Demanda doméstica fixa informada pelo usuário.</t>
        </is>
      </c>
    </row>
    <row r="2104">
      <c r="A2104" s="6" t="inlineStr">
        <is>
          <t>Soja</t>
        </is>
      </c>
      <c r="B2104" s="6" t="inlineStr">
        <is>
          <t>Teresina - PI</t>
        </is>
      </c>
      <c r="C2104" s="6" t="n">
        <v>-5.09194</v>
      </c>
      <c r="D2104" s="6" t="n">
        <v>-42.8034</v>
      </c>
      <c r="E2104" s="6" t="inlineStr">
        <is>
          <t>2022-03</t>
        </is>
      </c>
      <c r="F2104" s="6" t="n">
        <v>31353.5973610397</v>
      </c>
      <c r="G2104" s="6" t="inlineStr">
        <is>
          <t>DOMESTICA</t>
        </is>
      </c>
      <c r="H2104" s="6" t="inlineStr">
        <is>
          <t>FIXO</t>
        </is>
      </c>
      <c r="I2104" s="11">
        <f>IF($H2104="AUTO_OFERTA_TOTAL_PRODUTO_PERIODO",SUMIFS(Oferta!$F:$F,Oferta!$A:$A,$A2104,Oferta!$E:$E,$E2104),$F2104)</f>
        <v/>
      </c>
      <c r="J2104" s="6" t="inlineStr">
        <is>
          <t>Informado</t>
        </is>
      </c>
      <c r="K2104" s="6" t="inlineStr">
        <is>
          <t>Demanda doméstica fixa informada pelo usuário.</t>
        </is>
      </c>
    </row>
    <row r="2105">
      <c r="A2105" s="6" t="inlineStr">
        <is>
          <t>Soja</t>
        </is>
      </c>
      <c r="B2105" s="6" t="inlineStr">
        <is>
          <t>Teresina - PI</t>
        </is>
      </c>
      <c r="C2105" s="6" t="n">
        <v>-5.09194</v>
      </c>
      <c r="D2105" s="6" t="n">
        <v>-42.8034</v>
      </c>
      <c r="E2105" s="6" t="inlineStr">
        <is>
          <t>2022-04</t>
        </is>
      </c>
      <c r="F2105" s="6" t="n">
        <v>43157.3046028428</v>
      </c>
      <c r="G2105" s="6" t="inlineStr">
        <is>
          <t>DOMESTICA</t>
        </is>
      </c>
      <c r="H2105" s="6" t="inlineStr">
        <is>
          <t>FIXO</t>
        </is>
      </c>
      <c r="I2105" s="11">
        <f>IF($H2105="AUTO_OFERTA_TOTAL_PRODUTO_PERIODO",SUMIFS(Oferta!$F:$F,Oferta!$A:$A,$A2105,Oferta!$E:$E,$E2105),$F2105)</f>
        <v/>
      </c>
      <c r="J2105" s="6" t="inlineStr">
        <is>
          <t>Informado</t>
        </is>
      </c>
      <c r="K2105" s="6" t="inlineStr">
        <is>
          <t>Demanda doméstica fixa informada pelo usuário.</t>
        </is>
      </c>
    </row>
    <row r="2106">
      <c r="A2106" s="6" t="inlineStr">
        <is>
          <t>Soja</t>
        </is>
      </c>
      <c r="B2106" s="6" t="inlineStr">
        <is>
          <t>Teresina - PI</t>
        </is>
      </c>
      <c r="C2106" s="6" t="n">
        <v>-5.09194</v>
      </c>
      <c r="D2106" s="6" t="n">
        <v>-42.8034</v>
      </c>
      <c r="E2106" s="6" t="inlineStr">
        <is>
          <t>2022-05</t>
        </is>
      </c>
      <c r="F2106" s="6" t="n">
        <v>78568.4263282523</v>
      </c>
      <c r="G2106" s="6" t="inlineStr">
        <is>
          <t>DOMESTICA</t>
        </is>
      </c>
      <c r="H2106" s="6" t="inlineStr">
        <is>
          <t>FIXO</t>
        </is>
      </c>
      <c r="I2106" s="11">
        <f>IF($H2106="AUTO_OFERTA_TOTAL_PRODUTO_PERIODO",SUMIFS(Oferta!$F:$F,Oferta!$A:$A,$A2106,Oferta!$E:$E,$E2106),$F2106)</f>
        <v/>
      </c>
      <c r="J2106" s="6" t="inlineStr">
        <is>
          <t>Informado</t>
        </is>
      </c>
      <c r="K2106" s="6" t="inlineStr">
        <is>
          <t>Demanda doméstica fixa informada pelo usuário.</t>
        </is>
      </c>
    </row>
    <row r="2107">
      <c r="A2107" s="6" t="inlineStr">
        <is>
          <t>Soja</t>
        </is>
      </c>
      <c r="B2107" s="6" t="inlineStr">
        <is>
          <t>Teresina - PI</t>
        </is>
      </c>
      <c r="C2107" s="6" t="n">
        <v>-5.09194</v>
      </c>
      <c r="D2107" s="6" t="n">
        <v>-42.8034</v>
      </c>
      <c r="E2107" s="6" t="inlineStr">
        <is>
          <t>2022-06</t>
        </is>
      </c>
      <c r="F2107" s="6" t="n">
        <v>78568.4263282523</v>
      </c>
      <c r="G2107" s="6" t="inlineStr">
        <is>
          <t>DOMESTICA</t>
        </is>
      </c>
      <c r="H2107" s="6" t="inlineStr">
        <is>
          <t>FIXO</t>
        </is>
      </c>
      <c r="I2107" s="11">
        <f>IF($H2107="AUTO_OFERTA_TOTAL_PRODUTO_PERIODO",SUMIFS(Oferta!$F:$F,Oferta!$A:$A,$A2107,Oferta!$E:$E,$E2107),$F2107)</f>
        <v/>
      </c>
      <c r="J2107" s="6" t="inlineStr">
        <is>
          <t>Informado</t>
        </is>
      </c>
      <c r="K2107" s="6" t="inlineStr">
        <is>
          <t>Demanda doméstica fixa informada pelo usuário.</t>
        </is>
      </c>
    </row>
    <row r="2108">
      <c r="A2108" s="6" t="inlineStr">
        <is>
          <t>Soja</t>
        </is>
      </c>
      <c r="B2108" s="6" t="inlineStr">
        <is>
          <t>Teresina - PI</t>
        </is>
      </c>
      <c r="C2108" s="6" t="n">
        <v>-5.09194</v>
      </c>
      <c r="D2108" s="6" t="n">
        <v>-42.8034</v>
      </c>
      <c r="E2108" s="6" t="inlineStr">
        <is>
          <t>2022-07</t>
        </is>
      </c>
      <c r="F2108" s="6" t="n">
        <v>66764.7190864492</v>
      </c>
      <c r="G2108" s="6" t="inlineStr">
        <is>
          <t>DOMESTICA</t>
        </is>
      </c>
      <c r="H2108" s="6" t="inlineStr">
        <is>
          <t>FIXO</t>
        </is>
      </c>
      <c r="I2108" s="11">
        <f>IF($H2108="AUTO_OFERTA_TOTAL_PRODUTO_PERIODO",SUMIFS(Oferta!$F:$F,Oferta!$A:$A,$A2108,Oferta!$E:$E,$E2108),$F2108)</f>
        <v/>
      </c>
      <c r="J2108" s="6" t="inlineStr">
        <is>
          <t>Informado</t>
        </is>
      </c>
      <c r="K2108" s="6" t="inlineStr">
        <is>
          <t>Demanda doméstica fixa informada pelo usuário.</t>
        </is>
      </c>
    </row>
    <row r="2109">
      <c r="A2109" s="6" t="inlineStr">
        <is>
          <t>Soja</t>
        </is>
      </c>
      <c r="B2109" s="6" t="inlineStr">
        <is>
          <t>Teresina - PI</t>
        </is>
      </c>
      <c r="C2109" s="6" t="n">
        <v>-5.09194</v>
      </c>
      <c r="D2109" s="6" t="n">
        <v>-42.8034</v>
      </c>
      <c r="E2109" s="6" t="inlineStr">
        <is>
          <t>2022-08</t>
        </is>
      </c>
      <c r="F2109" s="6" t="n">
        <v>31353.5973610397</v>
      </c>
      <c r="G2109" s="6" t="inlineStr">
        <is>
          <t>DOMESTICA</t>
        </is>
      </c>
      <c r="H2109" s="6" t="inlineStr">
        <is>
          <t>FIXO</t>
        </is>
      </c>
      <c r="I2109" s="11">
        <f>IF($H2109="AUTO_OFERTA_TOTAL_PRODUTO_PERIODO",SUMIFS(Oferta!$F:$F,Oferta!$A:$A,$A2109,Oferta!$E:$E,$E2109),$F2109)</f>
        <v/>
      </c>
      <c r="J2109" s="6" t="inlineStr">
        <is>
          <t>Informado</t>
        </is>
      </c>
      <c r="K2109" s="6" t="inlineStr">
        <is>
          <t>Demanda doméstica fixa informada pelo usuário.</t>
        </is>
      </c>
    </row>
    <row r="2110">
      <c r="A2110" s="6" t="inlineStr">
        <is>
          <t>Soja</t>
        </is>
      </c>
      <c r="B2110" s="6" t="inlineStr">
        <is>
          <t>Teresina - PI</t>
        </is>
      </c>
      <c r="C2110" s="6" t="n">
        <v>-5.09194</v>
      </c>
      <c r="D2110" s="6" t="n">
        <v>-42.8034</v>
      </c>
      <c r="E2110" s="6" t="inlineStr">
        <is>
          <t>2022-09</t>
        </is>
      </c>
      <c r="F2110" s="6" t="n">
        <v>19549.8901192365</v>
      </c>
      <c r="G2110" s="6" t="inlineStr">
        <is>
          <t>DOMESTICA</t>
        </is>
      </c>
      <c r="H2110" s="6" t="inlineStr">
        <is>
          <t>FIXO</t>
        </is>
      </c>
      <c r="I2110" s="11">
        <f>IF($H2110="AUTO_OFERTA_TOTAL_PRODUTO_PERIODO",SUMIFS(Oferta!$F:$F,Oferta!$A:$A,$A2110,Oferta!$E:$E,$E2110),$F2110)</f>
        <v/>
      </c>
      <c r="J2110" s="6" t="inlineStr">
        <is>
          <t>Informado</t>
        </is>
      </c>
      <c r="K2110" s="6" t="inlineStr">
        <is>
          <t>Demanda doméstica fixa informada pelo usuário.</t>
        </is>
      </c>
    </row>
    <row r="2111">
      <c r="A2111" s="6" t="inlineStr">
        <is>
          <t>Soja</t>
        </is>
      </c>
      <c r="B2111" s="6" t="inlineStr">
        <is>
          <t>Teresina - PI</t>
        </is>
      </c>
      <c r="C2111" s="6" t="n">
        <v>-5.09194</v>
      </c>
      <c r="D2111" s="6" t="n">
        <v>-42.8034</v>
      </c>
      <c r="E2111" s="6" t="inlineStr">
        <is>
          <t>2022-10</t>
        </is>
      </c>
      <c r="F2111" s="6" t="n">
        <v>19549.8901192365</v>
      </c>
      <c r="G2111" s="6" t="inlineStr">
        <is>
          <t>DOMESTICA</t>
        </is>
      </c>
      <c r="H2111" s="6" t="inlineStr">
        <is>
          <t>FIXO</t>
        </is>
      </c>
      <c r="I2111" s="11">
        <f>IF($H2111="AUTO_OFERTA_TOTAL_PRODUTO_PERIODO",SUMIFS(Oferta!$F:$F,Oferta!$A:$A,$A2111,Oferta!$E:$E,$E2111),$F2111)</f>
        <v/>
      </c>
      <c r="J2111" s="6" t="inlineStr">
        <is>
          <t>Informado</t>
        </is>
      </c>
      <c r="K2111" s="6" t="inlineStr">
        <is>
          <t>Demanda doméstica fixa informada pelo usuário.</t>
        </is>
      </c>
    </row>
    <row r="2112">
      <c r="A2112" s="6" t="inlineStr">
        <is>
          <t>Soja</t>
        </is>
      </c>
      <c r="B2112" s="6" t="inlineStr">
        <is>
          <t>Teresina - PI</t>
        </is>
      </c>
      <c r="C2112" s="6" t="n">
        <v>-5.09194</v>
      </c>
      <c r="D2112" s="6" t="n">
        <v>-42.8034</v>
      </c>
      <c r="E2112" s="6" t="inlineStr">
        <is>
          <t>2022-11</t>
        </is>
      </c>
      <c r="F2112" s="6" t="n">
        <v>19549.8901192365</v>
      </c>
      <c r="G2112" s="6" t="inlineStr">
        <is>
          <t>DOMESTICA</t>
        </is>
      </c>
      <c r="H2112" s="6" t="inlineStr">
        <is>
          <t>FIXO</t>
        </is>
      </c>
      <c r="I2112" s="11">
        <f>IF($H2112="AUTO_OFERTA_TOTAL_PRODUTO_PERIODO",SUMIFS(Oferta!$F:$F,Oferta!$A:$A,$A2112,Oferta!$E:$E,$E2112),$F2112)</f>
        <v/>
      </c>
      <c r="J2112" s="6" t="inlineStr">
        <is>
          <t>Informado</t>
        </is>
      </c>
      <c r="K2112" s="6" t="inlineStr">
        <is>
          <t>Demanda doméstica fixa informada pelo usuário.</t>
        </is>
      </c>
    </row>
    <row r="2113">
      <c r="A2113" s="6" t="inlineStr">
        <is>
          <t>Soja</t>
        </is>
      </c>
      <c r="B2113" s="6" t="inlineStr">
        <is>
          <t>Teresina - PI</t>
        </is>
      </c>
      <c r="C2113" s="6" t="n">
        <v>-5.09194</v>
      </c>
      <c r="D2113" s="6" t="n">
        <v>-42.8034</v>
      </c>
      <c r="E2113" s="6" t="inlineStr">
        <is>
          <t>2022-12</t>
        </is>
      </c>
      <c r="F2113" s="6" t="n">
        <v>19549.8901192365</v>
      </c>
      <c r="G2113" s="6" t="inlineStr">
        <is>
          <t>DOMESTICA</t>
        </is>
      </c>
      <c r="H2113" s="6" t="inlineStr">
        <is>
          <t>FIXO</t>
        </is>
      </c>
      <c r="I2113" s="11">
        <f>IF($H2113="AUTO_OFERTA_TOTAL_PRODUTO_PERIODO",SUMIFS(Oferta!$F:$F,Oferta!$A:$A,$A2113,Oferta!$E:$E,$E2113),$F2113)</f>
        <v/>
      </c>
      <c r="J2113" s="6" t="inlineStr">
        <is>
          <t>Informado</t>
        </is>
      </c>
      <c r="K2113" s="6" t="inlineStr">
        <is>
          <t>Demanda doméstica fixa informada pelo usuário.</t>
        </is>
      </c>
    </row>
    <row r="2114">
      <c r="A2114" s="6" t="inlineStr">
        <is>
          <t>Soja</t>
        </is>
      </c>
      <c r="B2114" s="6" t="inlineStr">
        <is>
          <t>Aracaju - SE</t>
        </is>
      </c>
      <c r="C2114" s="6" t="n">
        <v>-10.9091</v>
      </c>
      <c r="D2114" s="6" t="n">
        <v>-37.0677</v>
      </c>
      <c r="E2114" s="6" t="inlineStr">
        <is>
          <t>2022-01</t>
        </is>
      </c>
      <c r="F2114" s="6" t="n">
        <v>21588.6679410109</v>
      </c>
      <c r="G2114" s="6" t="inlineStr">
        <is>
          <t>DOMESTICA</t>
        </is>
      </c>
      <c r="H2114" s="6" t="inlineStr">
        <is>
          <t>FIXO</t>
        </is>
      </c>
      <c r="I2114" s="11">
        <f>IF($H2114="AUTO_OFERTA_TOTAL_PRODUTO_PERIODO",SUMIFS(Oferta!$F:$F,Oferta!$A:$A,$A2114,Oferta!$E:$E,$E2114),$F2114)</f>
        <v/>
      </c>
      <c r="J2114" s="6" t="inlineStr">
        <is>
          <t>Informado</t>
        </is>
      </c>
      <c r="K2114" s="6" t="inlineStr">
        <is>
          <t>Demanda doméstica fixa informada pelo usuário.</t>
        </is>
      </c>
    </row>
    <row r="2115">
      <c r="A2115" s="6" t="inlineStr">
        <is>
          <t>Soja</t>
        </is>
      </c>
      <c r="B2115" s="6" t="inlineStr">
        <is>
          <t>Aracaju - SE</t>
        </is>
      </c>
      <c r="C2115" s="6" t="n">
        <v>-10.9091</v>
      </c>
      <c r="D2115" s="6" t="n">
        <v>-37.0677</v>
      </c>
      <c r="E2115" s="6" t="inlineStr">
        <is>
          <t>2022-02</t>
        </is>
      </c>
      <c r="F2115" s="6" t="n">
        <v>21588.6679410109</v>
      </c>
      <c r="G2115" s="6" t="inlineStr">
        <is>
          <t>DOMESTICA</t>
        </is>
      </c>
      <c r="H2115" s="6" t="inlineStr">
        <is>
          <t>FIXO</t>
        </is>
      </c>
      <c r="I2115" s="11">
        <f>IF($H2115="AUTO_OFERTA_TOTAL_PRODUTO_PERIODO",SUMIFS(Oferta!$F:$F,Oferta!$A:$A,$A2115,Oferta!$E:$E,$E2115),$F2115)</f>
        <v/>
      </c>
      <c r="J2115" s="6" t="inlineStr">
        <is>
          <t>Informado</t>
        </is>
      </c>
      <c r="K2115" s="6" t="inlineStr">
        <is>
          <t>Demanda doméstica fixa informada pelo usuário.</t>
        </is>
      </c>
    </row>
    <row r="2116">
      <c r="A2116" s="6" t="inlineStr">
        <is>
          <t>Soja</t>
        </is>
      </c>
      <c r="B2116" s="6" t="inlineStr">
        <is>
          <t>Aracaju - SE</t>
        </is>
      </c>
      <c r="C2116" s="6" t="n">
        <v>-10.9091</v>
      </c>
      <c r="D2116" s="6" t="n">
        <v>-37.0677</v>
      </c>
      <c r="E2116" s="6" t="inlineStr">
        <is>
          <t>2022-03</t>
        </is>
      </c>
      <c r="F2116" s="6" t="n">
        <v>21588.6679410109</v>
      </c>
      <c r="G2116" s="6" t="inlineStr">
        <is>
          <t>DOMESTICA</t>
        </is>
      </c>
      <c r="H2116" s="6" t="inlineStr">
        <is>
          <t>FIXO</t>
        </is>
      </c>
      <c r="I2116" s="11">
        <f>IF($H2116="AUTO_OFERTA_TOTAL_PRODUTO_PERIODO",SUMIFS(Oferta!$F:$F,Oferta!$A:$A,$A2116,Oferta!$E:$E,$E2116),$F2116)</f>
        <v/>
      </c>
      <c r="J2116" s="6" t="inlineStr">
        <is>
          <t>Informado</t>
        </is>
      </c>
      <c r="K2116" s="6" t="inlineStr">
        <is>
          <t>Demanda doméstica fixa informada pelo usuário.</t>
        </is>
      </c>
    </row>
    <row r="2117">
      <c r="A2117" s="6" t="inlineStr">
        <is>
          <t>Soja</t>
        </is>
      </c>
      <c r="B2117" s="6" t="inlineStr">
        <is>
          <t>Aracaju - SE</t>
        </is>
      </c>
      <c r="C2117" s="6" t="n">
        <v>-10.9091</v>
      </c>
      <c r="D2117" s="6" t="n">
        <v>-37.0677</v>
      </c>
      <c r="E2117" s="6" t="inlineStr">
        <is>
          <t>2022-04</t>
        </is>
      </c>
      <c r="F2117" s="6" t="n">
        <v>21588.6679410109</v>
      </c>
      <c r="G2117" s="6" t="inlineStr">
        <is>
          <t>DOMESTICA</t>
        </is>
      </c>
      <c r="H2117" s="6" t="inlineStr">
        <is>
          <t>FIXO</t>
        </is>
      </c>
      <c r="I2117" s="11">
        <f>IF($H2117="AUTO_OFERTA_TOTAL_PRODUTO_PERIODO",SUMIFS(Oferta!$F:$F,Oferta!$A:$A,$A2117,Oferta!$E:$E,$E2117),$F2117)</f>
        <v/>
      </c>
      <c r="J2117" s="6" t="inlineStr">
        <is>
          <t>Informado</t>
        </is>
      </c>
      <c r="K2117" s="6" t="inlineStr">
        <is>
          <t>Demanda doméstica fixa informada pelo usuário.</t>
        </is>
      </c>
    </row>
    <row r="2118">
      <c r="A2118" s="6" t="inlineStr">
        <is>
          <t>Soja</t>
        </is>
      </c>
      <c r="B2118" s="6" t="inlineStr">
        <is>
          <t>Aracaju - SE</t>
        </is>
      </c>
      <c r="C2118" s="6" t="n">
        <v>-10.9091</v>
      </c>
      <c r="D2118" s="6" t="n">
        <v>-37.0677</v>
      </c>
      <c r="E2118" s="6" t="inlineStr">
        <is>
          <t>2022-05</t>
        </is>
      </c>
      <c r="F2118" s="6" t="n">
        <v>21588.6679410109</v>
      </c>
      <c r="G2118" s="6" t="inlineStr">
        <is>
          <t>DOMESTICA</t>
        </is>
      </c>
      <c r="H2118" s="6" t="inlineStr">
        <is>
          <t>FIXO</t>
        </is>
      </c>
      <c r="I2118" s="11">
        <f>IF($H2118="AUTO_OFERTA_TOTAL_PRODUTO_PERIODO",SUMIFS(Oferta!$F:$F,Oferta!$A:$A,$A2118,Oferta!$E:$E,$E2118),$F2118)</f>
        <v/>
      </c>
      <c r="J2118" s="6" t="inlineStr">
        <is>
          <t>Informado</t>
        </is>
      </c>
      <c r="K2118" s="6" t="inlineStr">
        <is>
          <t>Demanda doméstica fixa informada pelo usuário.</t>
        </is>
      </c>
    </row>
    <row r="2119">
      <c r="A2119" s="6" t="inlineStr">
        <is>
          <t>Soja</t>
        </is>
      </c>
      <c r="B2119" s="6" t="inlineStr">
        <is>
          <t>Aracaju - SE</t>
        </is>
      </c>
      <c r="C2119" s="6" t="n">
        <v>-10.9091</v>
      </c>
      <c r="D2119" s="6" t="n">
        <v>-37.0677</v>
      </c>
      <c r="E2119" s="6" t="inlineStr">
        <is>
          <t>2022-06</t>
        </is>
      </c>
      <c r="F2119" s="6" t="n">
        <v>21588.6679410109</v>
      </c>
      <c r="G2119" s="6" t="inlineStr">
        <is>
          <t>DOMESTICA</t>
        </is>
      </c>
      <c r="H2119" s="6" t="inlineStr">
        <is>
          <t>FIXO</t>
        </is>
      </c>
      <c r="I2119" s="11">
        <f>IF($H2119="AUTO_OFERTA_TOTAL_PRODUTO_PERIODO",SUMIFS(Oferta!$F:$F,Oferta!$A:$A,$A2119,Oferta!$E:$E,$E2119),$F2119)</f>
        <v/>
      </c>
      <c r="J2119" s="6" t="inlineStr">
        <is>
          <t>Informado</t>
        </is>
      </c>
      <c r="K2119" s="6" t="inlineStr">
        <is>
          <t>Demanda doméstica fixa informada pelo usuário.</t>
        </is>
      </c>
    </row>
    <row r="2120">
      <c r="A2120" s="6" t="inlineStr">
        <is>
          <t>Soja</t>
        </is>
      </c>
      <c r="B2120" s="6" t="inlineStr">
        <is>
          <t>Aracaju - SE</t>
        </is>
      </c>
      <c r="C2120" s="6" t="n">
        <v>-10.9091</v>
      </c>
      <c r="D2120" s="6" t="n">
        <v>-37.0677</v>
      </c>
      <c r="E2120" s="6" t="inlineStr">
        <is>
          <t>2022-07</t>
        </is>
      </c>
      <c r="F2120" s="6" t="n">
        <v>21588.6679410109</v>
      </c>
      <c r="G2120" s="6" t="inlineStr">
        <is>
          <t>DOMESTICA</t>
        </is>
      </c>
      <c r="H2120" s="6" t="inlineStr">
        <is>
          <t>FIXO</t>
        </is>
      </c>
      <c r="I2120" s="11">
        <f>IF($H2120="AUTO_OFERTA_TOTAL_PRODUTO_PERIODO",SUMIFS(Oferta!$F:$F,Oferta!$A:$A,$A2120,Oferta!$E:$E,$E2120),$F2120)</f>
        <v/>
      </c>
      <c r="J2120" s="6" t="inlineStr">
        <is>
          <t>Informado</t>
        </is>
      </c>
      <c r="K2120" s="6" t="inlineStr">
        <is>
          <t>Demanda doméstica fixa informada pelo usuário.</t>
        </is>
      </c>
    </row>
    <row r="2121">
      <c r="A2121" s="6" t="inlineStr">
        <is>
          <t>Soja</t>
        </is>
      </c>
      <c r="B2121" s="6" t="inlineStr">
        <is>
          <t>Aracaju - SE</t>
        </is>
      </c>
      <c r="C2121" s="6" t="n">
        <v>-10.9091</v>
      </c>
      <c r="D2121" s="6" t="n">
        <v>-37.0677</v>
      </c>
      <c r="E2121" s="6" t="inlineStr">
        <is>
          <t>2022-08</t>
        </is>
      </c>
      <c r="F2121" s="6" t="n">
        <v>21588.6679410109</v>
      </c>
      <c r="G2121" s="6" t="inlineStr">
        <is>
          <t>DOMESTICA</t>
        </is>
      </c>
      <c r="H2121" s="6" t="inlineStr">
        <is>
          <t>FIXO</t>
        </is>
      </c>
      <c r="I2121" s="11">
        <f>IF($H2121="AUTO_OFERTA_TOTAL_PRODUTO_PERIODO",SUMIFS(Oferta!$F:$F,Oferta!$A:$A,$A2121,Oferta!$E:$E,$E2121),$F2121)</f>
        <v/>
      </c>
      <c r="J2121" s="6" t="inlineStr">
        <is>
          <t>Informado</t>
        </is>
      </c>
      <c r="K2121" s="6" t="inlineStr">
        <is>
          <t>Demanda doméstica fixa informada pelo usuário.</t>
        </is>
      </c>
    </row>
    <row r="2122">
      <c r="A2122" s="6" t="inlineStr">
        <is>
          <t>Soja</t>
        </is>
      </c>
      <c r="B2122" s="6" t="inlineStr">
        <is>
          <t>Aracaju - SE</t>
        </is>
      </c>
      <c r="C2122" s="6" t="n">
        <v>-10.9091</v>
      </c>
      <c r="D2122" s="6" t="n">
        <v>-37.0677</v>
      </c>
      <c r="E2122" s="6" t="inlineStr">
        <is>
          <t>2022-09</t>
        </is>
      </c>
      <c r="F2122" s="6" t="n">
        <v>21588.6679410109</v>
      </c>
      <c r="G2122" s="6" t="inlineStr">
        <is>
          <t>DOMESTICA</t>
        </is>
      </c>
      <c r="H2122" s="6" t="inlineStr">
        <is>
          <t>FIXO</t>
        </is>
      </c>
      <c r="I2122" s="11">
        <f>IF($H2122="AUTO_OFERTA_TOTAL_PRODUTO_PERIODO",SUMIFS(Oferta!$F:$F,Oferta!$A:$A,$A2122,Oferta!$E:$E,$E2122),$F2122)</f>
        <v/>
      </c>
      <c r="J2122" s="6" t="inlineStr">
        <is>
          <t>Informado</t>
        </is>
      </c>
      <c r="K2122" s="6" t="inlineStr">
        <is>
          <t>Demanda doméstica fixa informada pelo usuário.</t>
        </is>
      </c>
    </row>
    <row r="2123">
      <c r="A2123" s="6" t="inlineStr">
        <is>
          <t>Soja</t>
        </is>
      </c>
      <c r="B2123" s="6" t="inlineStr">
        <is>
          <t>Aracaju - SE</t>
        </is>
      </c>
      <c r="C2123" s="6" t="n">
        <v>-10.9091</v>
      </c>
      <c r="D2123" s="6" t="n">
        <v>-37.0677</v>
      </c>
      <c r="E2123" s="6" t="inlineStr">
        <is>
          <t>2022-10</t>
        </is>
      </c>
      <c r="F2123" s="6" t="n">
        <v>21588.6679410109</v>
      </c>
      <c r="G2123" s="6" t="inlineStr">
        <is>
          <t>DOMESTICA</t>
        </is>
      </c>
      <c r="H2123" s="6" t="inlineStr">
        <is>
          <t>FIXO</t>
        </is>
      </c>
      <c r="I2123" s="11">
        <f>IF($H2123="AUTO_OFERTA_TOTAL_PRODUTO_PERIODO",SUMIFS(Oferta!$F:$F,Oferta!$A:$A,$A2123,Oferta!$E:$E,$E2123),$F2123)</f>
        <v/>
      </c>
      <c r="J2123" s="6" t="inlineStr">
        <is>
          <t>Informado</t>
        </is>
      </c>
      <c r="K2123" s="6" t="inlineStr">
        <is>
          <t>Demanda doméstica fixa informada pelo usuário.</t>
        </is>
      </c>
    </row>
    <row r="2124">
      <c r="A2124" s="6" t="inlineStr">
        <is>
          <t>Soja</t>
        </is>
      </c>
      <c r="B2124" s="6" t="inlineStr">
        <is>
          <t>Aracaju - SE</t>
        </is>
      </c>
      <c r="C2124" s="6" t="n">
        <v>-10.9091</v>
      </c>
      <c r="D2124" s="6" t="n">
        <v>-37.0677</v>
      </c>
      <c r="E2124" s="6" t="inlineStr">
        <is>
          <t>2022-11</t>
        </is>
      </c>
      <c r="F2124" s="6" t="n">
        <v>21588.6679410109</v>
      </c>
      <c r="G2124" s="6" t="inlineStr">
        <is>
          <t>DOMESTICA</t>
        </is>
      </c>
      <c r="H2124" s="6" t="inlineStr">
        <is>
          <t>FIXO</t>
        </is>
      </c>
      <c r="I2124" s="11">
        <f>IF($H2124="AUTO_OFERTA_TOTAL_PRODUTO_PERIODO",SUMIFS(Oferta!$F:$F,Oferta!$A:$A,$A2124,Oferta!$E:$E,$E2124),$F2124)</f>
        <v/>
      </c>
      <c r="J2124" s="6" t="inlineStr">
        <is>
          <t>Informado</t>
        </is>
      </c>
      <c r="K2124" s="6" t="inlineStr">
        <is>
          <t>Demanda doméstica fixa informada pelo usuário.</t>
        </is>
      </c>
    </row>
    <row r="2125">
      <c r="A2125" s="6" t="inlineStr">
        <is>
          <t>Soja</t>
        </is>
      </c>
      <c r="B2125" s="6" t="inlineStr">
        <is>
          <t>Aracaju - SE</t>
        </is>
      </c>
      <c r="C2125" s="6" t="n">
        <v>-10.9091</v>
      </c>
      <c r="D2125" s="6" t="n">
        <v>-37.0677</v>
      </c>
      <c r="E2125" s="6" t="inlineStr">
        <is>
          <t>2022-12</t>
        </is>
      </c>
      <c r="F2125" s="6" t="n">
        <v>21588.6679410109</v>
      </c>
      <c r="G2125" s="6" t="inlineStr">
        <is>
          <t>DOMESTICA</t>
        </is>
      </c>
      <c r="H2125" s="6" t="inlineStr">
        <is>
          <t>FIXO</t>
        </is>
      </c>
      <c r="I2125" s="11">
        <f>IF($H2125="AUTO_OFERTA_TOTAL_PRODUTO_PERIODO",SUMIFS(Oferta!$F:$F,Oferta!$A:$A,$A2125,Oferta!$E:$E,$E2125),$F2125)</f>
        <v/>
      </c>
      <c r="J2125" s="6" t="inlineStr">
        <is>
          <t>Informado</t>
        </is>
      </c>
      <c r="K2125" s="6" t="inlineStr">
        <is>
          <t>Demanda doméstica fixa informada pelo usuário.</t>
        </is>
      </c>
    </row>
    <row r="2126">
      <c r="A2126" s="6" t="inlineStr">
        <is>
          <t>Soja</t>
        </is>
      </c>
      <c r="B2126" s="6" t="inlineStr">
        <is>
          <t>Natal - RN</t>
        </is>
      </c>
      <c r="C2126" s="6" t="n">
        <v>-5.79357</v>
      </c>
      <c r="D2126" s="6" t="n">
        <v>-35.1986</v>
      </c>
      <c r="E2126" s="6" t="inlineStr">
        <is>
          <t>2022-01</t>
        </is>
      </c>
      <c r="F2126" s="6" t="n">
        <v>28487.4930838713</v>
      </c>
      <c r="G2126" s="6" t="inlineStr">
        <is>
          <t>DOMESTICA</t>
        </is>
      </c>
      <c r="H2126" s="6" t="inlineStr">
        <is>
          <t>FIXO</t>
        </is>
      </c>
      <c r="I2126" s="11">
        <f>IF($H2126="AUTO_OFERTA_TOTAL_PRODUTO_PERIODO",SUMIFS(Oferta!$F:$F,Oferta!$A:$A,$A2126,Oferta!$E:$E,$E2126),$F2126)</f>
        <v/>
      </c>
      <c r="J2126" s="6" t="inlineStr">
        <is>
          <t>Informado</t>
        </is>
      </c>
      <c r="K2126" s="6" t="inlineStr">
        <is>
          <t>Demanda doméstica fixa informada pelo usuário.</t>
        </is>
      </c>
    </row>
    <row r="2127">
      <c r="A2127" s="6" t="inlineStr">
        <is>
          <t>Soja</t>
        </is>
      </c>
      <c r="B2127" s="6" t="inlineStr">
        <is>
          <t>Natal - RN</t>
        </is>
      </c>
      <c r="C2127" s="6" t="n">
        <v>-5.79357</v>
      </c>
      <c r="D2127" s="6" t="n">
        <v>-35.1986</v>
      </c>
      <c r="E2127" s="6" t="inlineStr">
        <is>
          <t>2022-02</t>
        </is>
      </c>
      <c r="F2127" s="6" t="n">
        <v>28487.4930838713</v>
      </c>
      <c r="G2127" s="6" t="inlineStr">
        <is>
          <t>DOMESTICA</t>
        </is>
      </c>
      <c r="H2127" s="6" t="inlineStr">
        <is>
          <t>FIXO</t>
        </is>
      </c>
      <c r="I2127" s="11">
        <f>IF($H2127="AUTO_OFERTA_TOTAL_PRODUTO_PERIODO",SUMIFS(Oferta!$F:$F,Oferta!$A:$A,$A2127,Oferta!$E:$E,$E2127),$F2127)</f>
        <v/>
      </c>
      <c r="J2127" s="6" t="inlineStr">
        <is>
          <t>Informado</t>
        </is>
      </c>
      <c r="K2127" s="6" t="inlineStr">
        <is>
          <t>Demanda doméstica fixa informada pelo usuário.</t>
        </is>
      </c>
    </row>
    <row r="2128">
      <c r="A2128" s="6" t="inlineStr">
        <is>
          <t>Soja</t>
        </is>
      </c>
      <c r="B2128" s="6" t="inlineStr">
        <is>
          <t>Natal - RN</t>
        </is>
      </c>
      <c r="C2128" s="6" t="n">
        <v>-5.79357</v>
      </c>
      <c r="D2128" s="6" t="n">
        <v>-35.1986</v>
      </c>
      <c r="E2128" s="6" t="inlineStr">
        <is>
          <t>2022-03</t>
        </is>
      </c>
      <c r="F2128" s="6" t="n">
        <v>28487.4930838713</v>
      </c>
      <c r="G2128" s="6" t="inlineStr">
        <is>
          <t>DOMESTICA</t>
        </is>
      </c>
      <c r="H2128" s="6" t="inlineStr">
        <is>
          <t>FIXO</t>
        </is>
      </c>
      <c r="I2128" s="11">
        <f>IF($H2128="AUTO_OFERTA_TOTAL_PRODUTO_PERIODO",SUMIFS(Oferta!$F:$F,Oferta!$A:$A,$A2128,Oferta!$E:$E,$E2128),$F2128)</f>
        <v/>
      </c>
      <c r="J2128" s="6" t="inlineStr">
        <is>
          <t>Informado</t>
        </is>
      </c>
      <c r="K2128" s="6" t="inlineStr">
        <is>
          <t>Demanda doméstica fixa informada pelo usuário.</t>
        </is>
      </c>
    </row>
    <row r="2129">
      <c r="A2129" s="6" t="inlineStr">
        <is>
          <t>Soja</t>
        </is>
      </c>
      <c r="B2129" s="6" t="inlineStr">
        <is>
          <t>Natal - RN</t>
        </is>
      </c>
      <c r="C2129" s="6" t="n">
        <v>-5.79357</v>
      </c>
      <c r="D2129" s="6" t="n">
        <v>-35.1986</v>
      </c>
      <c r="E2129" s="6" t="inlineStr">
        <is>
          <t>2022-04</t>
        </is>
      </c>
      <c r="F2129" s="6" t="n">
        <v>28487.4930838713</v>
      </c>
      <c r="G2129" s="6" t="inlineStr">
        <is>
          <t>DOMESTICA</t>
        </is>
      </c>
      <c r="H2129" s="6" t="inlineStr">
        <is>
          <t>FIXO</t>
        </is>
      </c>
      <c r="I2129" s="11">
        <f>IF($H2129="AUTO_OFERTA_TOTAL_PRODUTO_PERIODO",SUMIFS(Oferta!$F:$F,Oferta!$A:$A,$A2129,Oferta!$E:$E,$E2129),$F2129)</f>
        <v/>
      </c>
      <c r="J2129" s="6" t="inlineStr">
        <is>
          <t>Informado</t>
        </is>
      </c>
      <c r="K2129" s="6" t="inlineStr">
        <is>
          <t>Demanda doméstica fixa informada pelo usuário.</t>
        </is>
      </c>
    </row>
    <row r="2130">
      <c r="A2130" s="6" t="inlineStr">
        <is>
          <t>Soja</t>
        </is>
      </c>
      <c r="B2130" s="6" t="inlineStr">
        <is>
          <t>Natal - RN</t>
        </is>
      </c>
      <c r="C2130" s="6" t="n">
        <v>-5.79357</v>
      </c>
      <c r="D2130" s="6" t="n">
        <v>-35.1986</v>
      </c>
      <c r="E2130" s="6" t="inlineStr">
        <is>
          <t>2022-05</t>
        </is>
      </c>
      <c r="F2130" s="6" t="n">
        <v>28487.4930838713</v>
      </c>
      <c r="G2130" s="6" t="inlineStr">
        <is>
          <t>DOMESTICA</t>
        </is>
      </c>
      <c r="H2130" s="6" t="inlineStr">
        <is>
          <t>FIXO</t>
        </is>
      </c>
      <c r="I2130" s="11">
        <f>IF($H2130="AUTO_OFERTA_TOTAL_PRODUTO_PERIODO",SUMIFS(Oferta!$F:$F,Oferta!$A:$A,$A2130,Oferta!$E:$E,$E2130),$F2130)</f>
        <v/>
      </c>
      <c r="J2130" s="6" t="inlineStr">
        <is>
          <t>Informado</t>
        </is>
      </c>
      <c r="K2130" s="6" t="inlineStr">
        <is>
          <t>Demanda doméstica fixa informada pelo usuário.</t>
        </is>
      </c>
    </row>
    <row r="2131">
      <c r="A2131" s="6" t="inlineStr">
        <is>
          <t>Soja</t>
        </is>
      </c>
      <c r="B2131" s="6" t="inlineStr">
        <is>
          <t>Natal - RN</t>
        </is>
      </c>
      <c r="C2131" s="6" t="n">
        <v>-5.79357</v>
      </c>
      <c r="D2131" s="6" t="n">
        <v>-35.1986</v>
      </c>
      <c r="E2131" s="6" t="inlineStr">
        <is>
          <t>2022-06</t>
        </is>
      </c>
      <c r="F2131" s="6" t="n">
        <v>28487.4930838713</v>
      </c>
      <c r="G2131" s="6" t="inlineStr">
        <is>
          <t>DOMESTICA</t>
        </is>
      </c>
      <c r="H2131" s="6" t="inlineStr">
        <is>
          <t>FIXO</t>
        </is>
      </c>
      <c r="I2131" s="11">
        <f>IF($H2131="AUTO_OFERTA_TOTAL_PRODUTO_PERIODO",SUMIFS(Oferta!$F:$F,Oferta!$A:$A,$A2131,Oferta!$E:$E,$E2131),$F2131)</f>
        <v/>
      </c>
      <c r="J2131" s="6" t="inlineStr">
        <is>
          <t>Informado</t>
        </is>
      </c>
      <c r="K2131" s="6" t="inlineStr">
        <is>
          <t>Demanda doméstica fixa informada pelo usuário.</t>
        </is>
      </c>
    </row>
    <row r="2132">
      <c r="A2132" s="6" t="inlineStr">
        <is>
          <t>Soja</t>
        </is>
      </c>
      <c r="B2132" s="6" t="inlineStr">
        <is>
          <t>Natal - RN</t>
        </is>
      </c>
      <c r="C2132" s="6" t="n">
        <v>-5.79357</v>
      </c>
      <c r="D2132" s="6" t="n">
        <v>-35.1986</v>
      </c>
      <c r="E2132" s="6" t="inlineStr">
        <is>
          <t>2022-07</t>
        </is>
      </c>
      <c r="F2132" s="6" t="n">
        <v>28487.4930838713</v>
      </c>
      <c r="G2132" s="6" t="inlineStr">
        <is>
          <t>DOMESTICA</t>
        </is>
      </c>
      <c r="H2132" s="6" t="inlineStr">
        <is>
          <t>FIXO</t>
        </is>
      </c>
      <c r="I2132" s="11">
        <f>IF($H2132="AUTO_OFERTA_TOTAL_PRODUTO_PERIODO",SUMIFS(Oferta!$F:$F,Oferta!$A:$A,$A2132,Oferta!$E:$E,$E2132),$F2132)</f>
        <v/>
      </c>
      <c r="J2132" s="6" t="inlineStr">
        <is>
          <t>Informado</t>
        </is>
      </c>
      <c r="K2132" s="6" t="inlineStr">
        <is>
          <t>Demanda doméstica fixa informada pelo usuário.</t>
        </is>
      </c>
    </row>
    <row r="2133">
      <c r="A2133" s="6" t="inlineStr">
        <is>
          <t>Soja</t>
        </is>
      </c>
      <c r="B2133" s="6" t="inlineStr">
        <is>
          <t>Natal - RN</t>
        </is>
      </c>
      <c r="C2133" s="6" t="n">
        <v>-5.79357</v>
      </c>
      <c r="D2133" s="6" t="n">
        <v>-35.1986</v>
      </c>
      <c r="E2133" s="6" t="inlineStr">
        <is>
          <t>2022-08</t>
        </is>
      </c>
      <c r="F2133" s="6" t="n">
        <v>28487.4930838713</v>
      </c>
      <c r="G2133" s="6" t="inlineStr">
        <is>
          <t>DOMESTICA</t>
        </is>
      </c>
      <c r="H2133" s="6" t="inlineStr">
        <is>
          <t>FIXO</t>
        </is>
      </c>
      <c r="I2133" s="11">
        <f>IF($H2133="AUTO_OFERTA_TOTAL_PRODUTO_PERIODO",SUMIFS(Oferta!$F:$F,Oferta!$A:$A,$A2133,Oferta!$E:$E,$E2133),$F2133)</f>
        <v/>
      </c>
      <c r="J2133" s="6" t="inlineStr">
        <is>
          <t>Informado</t>
        </is>
      </c>
      <c r="K2133" s="6" t="inlineStr">
        <is>
          <t>Demanda doméstica fixa informada pelo usuário.</t>
        </is>
      </c>
    </row>
    <row r="2134">
      <c r="A2134" s="6" t="inlineStr">
        <is>
          <t>Soja</t>
        </is>
      </c>
      <c r="B2134" s="6" t="inlineStr">
        <is>
          <t>Natal - RN</t>
        </is>
      </c>
      <c r="C2134" s="6" t="n">
        <v>-5.79357</v>
      </c>
      <c r="D2134" s="6" t="n">
        <v>-35.1986</v>
      </c>
      <c r="E2134" s="6" t="inlineStr">
        <is>
          <t>2022-09</t>
        </is>
      </c>
      <c r="F2134" s="6" t="n">
        <v>28487.4930838713</v>
      </c>
      <c r="G2134" s="6" t="inlineStr">
        <is>
          <t>DOMESTICA</t>
        </is>
      </c>
      <c r="H2134" s="6" t="inlineStr">
        <is>
          <t>FIXO</t>
        </is>
      </c>
      <c r="I2134" s="11">
        <f>IF($H2134="AUTO_OFERTA_TOTAL_PRODUTO_PERIODO",SUMIFS(Oferta!$F:$F,Oferta!$A:$A,$A2134,Oferta!$E:$E,$E2134),$F2134)</f>
        <v/>
      </c>
      <c r="J2134" s="6" t="inlineStr">
        <is>
          <t>Informado</t>
        </is>
      </c>
      <c r="K2134" s="6" t="inlineStr">
        <is>
          <t>Demanda doméstica fixa informada pelo usuário.</t>
        </is>
      </c>
    </row>
    <row r="2135">
      <c r="A2135" s="6" t="inlineStr">
        <is>
          <t>Soja</t>
        </is>
      </c>
      <c r="B2135" s="6" t="inlineStr">
        <is>
          <t>Natal - RN</t>
        </is>
      </c>
      <c r="C2135" s="6" t="n">
        <v>-5.79357</v>
      </c>
      <c r="D2135" s="6" t="n">
        <v>-35.1986</v>
      </c>
      <c r="E2135" s="6" t="inlineStr">
        <is>
          <t>2022-10</t>
        </is>
      </c>
      <c r="F2135" s="6" t="n">
        <v>28487.4930838713</v>
      </c>
      <c r="G2135" s="6" t="inlineStr">
        <is>
          <t>DOMESTICA</t>
        </is>
      </c>
      <c r="H2135" s="6" t="inlineStr">
        <is>
          <t>FIXO</t>
        </is>
      </c>
      <c r="I2135" s="11">
        <f>IF($H2135="AUTO_OFERTA_TOTAL_PRODUTO_PERIODO",SUMIFS(Oferta!$F:$F,Oferta!$A:$A,$A2135,Oferta!$E:$E,$E2135),$F2135)</f>
        <v/>
      </c>
      <c r="J2135" s="6" t="inlineStr">
        <is>
          <t>Informado</t>
        </is>
      </c>
      <c r="K2135" s="6" t="inlineStr">
        <is>
          <t>Demanda doméstica fixa informada pelo usuário.</t>
        </is>
      </c>
    </row>
    <row r="2136">
      <c r="A2136" s="6" t="inlineStr">
        <is>
          <t>Soja</t>
        </is>
      </c>
      <c r="B2136" s="6" t="inlineStr">
        <is>
          <t>Natal - RN</t>
        </is>
      </c>
      <c r="C2136" s="6" t="n">
        <v>-5.79357</v>
      </c>
      <c r="D2136" s="6" t="n">
        <v>-35.1986</v>
      </c>
      <c r="E2136" s="6" t="inlineStr">
        <is>
          <t>2022-11</t>
        </is>
      </c>
      <c r="F2136" s="6" t="n">
        <v>28487.4930838713</v>
      </c>
      <c r="G2136" s="6" t="inlineStr">
        <is>
          <t>DOMESTICA</t>
        </is>
      </c>
      <c r="H2136" s="6" t="inlineStr">
        <is>
          <t>FIXO</t>
        </is>
      </c>
      <c r="I2136" s="11">
        <f>IF($H2136="AUTO_OFERTA_TOTAL_PRODUTO_PERIODO",SUMIFS(Oferta!$F:$F,Oferta!$A:$A,$A2136,Oferta!$E:$E,$E2136),$F2136)</f>
        <v/>
      </c>
      <c r="J2136" s="6" t="inlineStr">
        <is>
          <t>Informado</t>
        </is>
      </c>
      <c r="K2136" s="6" t="inlineStr">
        <is>
          <t>Demanda doméstica fixa informada pelo usuário.</t>
        </is>
      </c>
    </row>
    <row r="2137">
      <c r="A2137" s="6" t="inlineStr">
        <is>
          <t>Soja</t>
        </is>
      </c>
      <c r="B2137" s="6" t="inlineStr">
        <is>
          <t>Natal - RN</t>
        </is>
      </c>
      <c r="C2137" s="6" t="n">
        <v>-5.79357</v>
      </c>
      <c r="D2137" s="6" t="n">
        <v>-35.1986</v>
      </c>
      <c r="E2137" s="6" t="inlineStr">
        <is>
          <t>2022-12</t>
        </is>
      </c>
      <c r="F2137" s="6" t="n">
        <v>28487.4930838713</v>
      </c>
      <c r="G2137" s="6" t="inlineStr">
        <is>
          <t>DOMESTICA</t>
        </is>
      </c>
      <c r="H2137" s="6" t="inlineStr">
        <is>
          <t>FIXO</t>
        </is>
      </c>
      <c r="I2137" s="11">
        <f>IF($H2137="AUTO_OFERTA_TOTAL_PRODUTO_PERIODO",SUMIFS(Oferta!$F:$F,Oferta!$A:$A,$A2137,Oferta!$E:$E,$E2137),$F2137)</f>
        <v/>
      </c>
      <c r="J2137" s="6" t="inlineStr">
        <is>
          <t>Informado</t>
        </is>
      </c>
      <c r="K2137" s="6" t="inlineStr">
        <is>
          <t>Demanda doméstica fixa informada pelo usuário.</t>
        </is>
      </c>
    </row>
    <row r="2138">
      <c r="A2138" s="6" t="inlineStr">
        <is>
          <t>Soja</t>
        </is>
      </c>
      <c r="B2138" s="6" t="inlineStr">
        <is>
          <t>Brasília - DF</t>
        </is>
      </c>
      <c r="C2138" s="6" t="n">
        <v>-15.7795</v>
      </c>
      <c r="D2138" s="6" t="n">
        <v>-47.9297</v>
      </c>
      <c r="E2138" s="6" t="inlineStr">
        <is>
          <t>2022-01</t>
        </is>
      </c>
      <c r="F2138" s="6" t="n">
        <v>16214.017363526</v>
      </c>
      <c r="G2138" s="6" t="inlineStr">
        <is>
          <t>DOMESTICA</t>
        </is>
      </c>
      <c r="H2138" s="6" t="inlineStr">
        <is>
          <t>FIXO</t>
        </is>
      </c>
      <c r="I2138" s="11">
        <f>IF($H2138="AUTO_OFERTA_TOTAL_PRODUTO_PERIODO",SUMIFS(Oferta!$F:$F,Oferta!$A:$A,$A2138,Oferta!$E:$E,$E2138),$F2138)</f>
        <v/>
      </c>
      <c r="J2138" s="6" t="inlineStr">
        <is>
          <t>Informado</t>
        </is>
      </c>
      <c r="K2138" s="6" t="inlineStr">
        <is>
          <t>Demanda doméstica fixa informada pelo usuário.</t>
        </is>
      </c>
    </row>
    <row r="2139">
      <c r="A2139" s="6" t="inlineStr">
        <is>
          <t>Soja</t>
        </is>
      </c>
      <c r="B2139" s="6" t="inlineStr">
        <is>
          <t>Brasília - DF</t>
        </is>
      </c>
      <c r="C2139" s="6" t="n">
        <v>-15.7795</v>
      </c>
      <c r="D2139" s="6" t="n">
        <v>-47.9297</v>
      </c>
      <c r="E2139" s="6" t="inlineStr">
        <is>
          <t>2022-02</t>
        </is>
      </c>
      <c r="F2139" s="6" t="n">
        <v>16214.017363526</v>
      </c>
      <c r="G2139" s="6" t="inlineStr">
        <is>
          <t>DOMESTICA</t>
        </is>
      </c>
      <c r="H2139" s="6" t="inlineStr">
        <is>
          <t>FIXO</t>
        </is>
      </c>
      <c r="I2139" s="11">
        <f>IF($H2139="AUTO_OFERTA_TOTAL_PRODUTO_PERIODO",SUMIFS(Oferta!$F:$F,Oferta!$A:$A,$A2139,Oferta!$E:$E,$E2139),$F2139)</f>
        <v/>
      </c>
      <c r="J2139" s="6" t="inlineStr">
        <is>
          <t>Informado</t>
        </is>
      </c>
      <c r="K2139" s="6" t="inlineStr">
        <is>
          <t>Demanda doméstica fixa informada pelo usuário.</t>
        </is>
      </c>
    </row>
    <row r="2140">
      <c r="A2140" s="6" t="inlineStr">
        <is>
          <t>Soja</t>
        </is>
      </c>
      <c r="B2140" s="6" t="inlineStr">
        <is>
          <t>Brasília - DF</t>
        </is>
      </c>
      <c r="C2140" s="6" t="n">
        <v>-15.7795</v>
      </c>
      <c r="D2140" s="6" t="n">
        <v>-47.9297</v>
      </c>
      <c r="E2140" s="6" t="inlineStr">
        <is>
          <t>2022-03</t>
        </is>
      </c>
      <c r="F2140" s="6" t="n">
        <v>26003.6127528248</v>
      </c>
      <c r="G2140" s="6" t="inlineStr">
        <is>
          <t>DOMESTICA</t>
        </is>
      </c>
      <c r="H2140" s="6" t="inlineStr">
        <is>
          <t>FIXO</t>
        </is>
      </c>
      <c r="I2140" s="11">
        <f>IF($H2140="AUTO_OFERTA_TOTAL_PRODUTO_PERIODO",SUMIFS(Oferta!$F:$F,Oferta!$A:$A,$A2140,Oferta!$E:$E,$E2140),$F2140)</f>
        <v/>
      </c>
      <c r="J2140" s="6" t="inlineStr">
        <is>
          <t>Informado</t>
        </is>
      </c>
      <c r="K2140" s="6" t="inlineStr">
        <is>
          <t>Demanda doméstica fixa informada pelo usuário.</t>
        </is>
      </c>
    </row>
    <row r="2141">
      <c r="A2141" s="6" t="inlineStr">
        <is>
          <t>Soja</t>
        </is>
      </c>
      <c r="B2141" s="6" t="inlineStr">
        <is>
          <t>Brasília - DF</t>
        </is>
      </c>
      <c r="C2141" s="6" t="n">
        <v>-15.7795</v>
      </c>
      <c r="D2141" s="6" t="n">
        <v>-47.9297</v>
      </c>
      <c r="E2141" s="6" t="inlineStr">
        <is>
          <t>2022-04</t>
        </is>
      </c>
      <c r="F2141" s="6" t="n">
        <v>35793.2081421235</v>
      </c>
      <c r="G2141" s="6" t="inlineStr">
        <is>
          <t>DOMESTICA</t>
        </is>
      </c>
      <c r="H2141" s="6" t="inlineStr">
        <is>
          <t>FIXO</t>
        </is>
      </c>
      <c r="I2141" s="11">
        <f>IF($H2141="AUTO_OFERTA_TOTAL_PRODUTO_PERIODO",SUMIFS(Oferta!$F:$F,Oferta!$A:$A,$A2141,Oferta!$E:$E,$E2141),$F2141)</f>
        <v/>
      </c>
      <c r="J2141" s="6" t="inlineStr">
        <is>
          <t>Informado</t>
        </is>
      </c>
      <c r="K2141" s="6" t="inlineStr">
        <is>
          <t>Demanda doméstica fixa informada pelo usuário.</t>
        </is>
      </c>
    </row>
    <row r="2142">
      <c r="A2142" s="6" t="inlineStr">
        <is>
          <t>Soja</t>
        </is>
      </c>
      <c r="B2142" s="6" t="inlineStr">
        <is>
          <t>Brasília - DF</t>
        </is>
      </c>
      <c r="C2142" s="6" t="n">
        <v>-15.7795</v>
      </c>
      <c r="D2142" s="6" t="n">
        <v>-47.9297</v>
      </c>
      <c r="E2142" s="6" t="inlineStr">
        <is>
          <t>2022-05</t>
        </is>
      </c>
      <c r="F2142" s="6" t="n">
        <v>65161.9943100197</v>
      </c>
      <c r="G2142" s="6" t="inlineStr">
        <is>
          <t>DOMESTICA</t>
        </is>
      </c>
      <c r="H2142" s="6" t="inlineStr">
        <is>
          <t>FIXO</t>
        </is>
      </c>
      <c r="I2142" s="11">
        <f>IF($H2142="AUTO_OFERTA_TOTAL_PRODUTO_PERIODO",SUMIFS(Oferta!$F:$F,Oferta!$A:$A,$A2142,Oferta!$E:$E,$E2142),$F2142)</f>
        <v/>
      </c>
      <c r="J2142" s="6" t="inlineStr">
        <is>
          <t>Informado</t>
        </is>
      </c>
      <c r="K2142" s="6" t="inlineStr">
        <is>
          <t>Demanda doméstica fixa informada pelo usuário.</t>
        </is>
      </c>
    </row>
    <row r="2143">
      <c r="A2143" s="6" t="inlineStr">
        <is>
          <t>Soja</t>
        </is>
      </c>
      <c r="B2143" s="6" t="inlineStr">
        <is>
          <t>Brasília - DF</t>
        </is>
      </c>
      <c r="C2143" s="6" t="n">
        <v>-15.7795</v>
      </c>
      <c r="D2143" s="6" t="n">
        <v>-47.9297</v>
      </c>
      <c r="E2143" s="6" t="inlineStr">
        <is>
          <t>2022-06</t>
        </is>
      </c>
      <c r="F2143" s="6" t="n">
        <v>65161.9943100197</v>
      </c>
      <c r="G2143" s="6" t="inlineStr">
        <is>
          <t>DOMESTICA</t>
        </is>
      </c>
      <c r="H2143" s="6" t="inlineStr">
        <is>
          <t>FIXO</t>
        </is>
      </c>
      <c r="I2143" s="11">
        <f>IF($H2143="AUTO_OFERTA_TOTAL_PRODUTO_PERIODO",SUMIFS(Oferta!$F:$F,Oferta!$A:$A,$A2143,Oferta!$E:$E,$E2143),$F2143)</f>
        <v/>
      </c>
      <c r="J2143" s="6" t="inlineStr">
        <is>
          <t>Informado</t>
        </is>
      </c>
      <c r="K2143" s="6" t="inlineStr">
        <is>
          <t>Demanda doméstica fixa informada pelo usuário.</t>
        </is>
      </c>
    </row>
    <row r="2144">
      <c r="A2144" s="6" t="inlineStr">
        <is>
          <t>Soja</t>
        </is>
      </c>
      <c r="B2144" s="6" t="inlineStr">
        <is>
          <t>Brasília - DF</t>
        </is>
      </c>
      <c r="C2144" s="6" t="n">
        <v>-15.7795</v>
      </c>
      <c r="D2144" s="6" t="n">
        <v>-47.9297</v>
      </c>
      <c r="E2144" s="6" t="inlineStr">
        <is>
          <t>2022-07</t>
        </is>
      </c>
      <c r="F2144" s="6" t="n">
        <v>55372.398920721</v>
      </c>
      <c r="G2144" s="6" t="inlineStr">
        <is>
          <t>DOMESTICA</t>
        </is>
      </c>
      <c r="H2144" s="6" t="inlineStr">
        <is>
          <t>FIXO</t>
        </is>
      </c>
      <c r="I2144" s="11">
        <f>IF($H2144="AUTO_OFERTA_TOTAL_PRODUTO_PERIODO",SUMIFS(Oferta!$F:$F,Oferta!$A:$A,$A2144,Oferta!$E:$E,$E2144),$F2144)</f>
        <v/>
      </c>
      <c r="J2144" s="6" t="inlineStr">
        <is>
          <t>Informado</t>
        </is>
      </c>
      <c r="K2144" s="6" t="inlineStr">
        <is>
          <t>Demanda doméstica fixa informada pelo usuário.</t>
        </is>
      </c>
    </row>
    <row r="2145">
      <c r="A2145" s="6" t="inlineStr">
        <is>
          <t>Soja</t>
        </is>
      </c>
      <c r="B2145" s="6" t="inlineStr">
        <is>
          <t>Brasília - DF</t>
        </is>
      </c>
      <c r="C2145" s="6" t="n">
        <v>-15.7795</v>
      </c>
      <c r="D2145" s="6" t="n">
        <v>-47.9297</v>
      </c>
      <c r="E2145" s="6" t="inlineStr">
        <is>
          <t>2022-08</t>
        </is>
      </c>
      <c r="F2145" s="6" t="n">
        <v>26003.6127528248</v>
      </c>
      <c r="G2145" s="6" t="inlineStr">
        <is>
          <t>DOMESTICA</t>
        </is>
      </c>
      <c r="H2145" s="6" t="inlineStr">
        <is>
          <t>FIXO</t>
        </is>
      </c>
      <c r="I2145" s="11">
        <f>IF($H2145="AUTO_OFERTA_TOTAL_PRODUTO_PERIODO",SUMIFS(Oferta!$F:$F,Oferta!$A:$A,$A2145,Oferta!$E:$E,$E2145),$F2145)</f>
        <v/>
      </c>
      <c r="J2145" s="6" t="inlineStr">
        <is>
          <t>Informado</t>
        </is>
      </c>
      <c r="K2145" s="6" t="inlineStr">
        <is>
          <t>Demanda doméstica fixa informada pelo usuário.</t>
        </is>
      </c>
    </row>
    <row r="2146">
      <c r="A2146" s="6" t="inlineStr">
        <is>
          <t>Soja</t>
        </is>
      </c>
      <c r="B2146" s="6" t="inlineStr">
        <is>
          <t>Brasília - DF</t>
        </is>
      </c>
      <c r="C2146" s="6" t="n">
        <v>-15.7795</v>
      </c>
      <c r="D2146" s="6" t="n">
        <v>-47.9297</v>
      </c>
      <c r="E2146" s="6" t="inlineStr">
        <is>
          <t>2022-09</t>
        </is>
      </c>
      <c r="F2146" s="6" t="n">
        <v>16214.017363526</v>
      </c>
      <c r="G2146" s="6" t="inlineStr">
        <is>
          <t>DOMESTICA</t>
        </is>
      </c>
      <c r="H2146" s="6" t="inlineStr">
        <is>
          <t>FIXO</t>
        </is>
      </c>
      <c r="I2146" s="11">
        <f>IF($H2146="AUTO_OFERTA_TOTAL_PRODUTO_PERIODO",SUMIFS(Oferta!$F:$F,Oferta!$A:$A,$A2146,Oferta!$E:$E,$E2146),$F2146)</f>
        <v/>
      </c>
      <c r="J2146" s="6" t="inlineStr">
        <is>
          <t>Informado</t>
        </is>
      </c>
      <c r="K2146" s="6" t="inlineStr">
        <is>
          <t>Demanda doméstica fixa informada pelo usuário.</t>
        </is>
      </c>
    </row>
    <row r="2147">
      <c r="A2147" s="6" t="inlineStr">
        <is>
          <t>Soja</t>
        </is>
      </c>
      <c r="B2147" s="6" t="inlineStr">
        <is>
          <t>Brasília - DF</t>
        </is>
      </c>
      <c r="C2147" s="6" t="n">
        <v>-15.7795</v>
      </c>
      <c r="D2147" s="6" t="n">
        <v>-47.9297</v>
      </c>
      <c r="E2147" s="6" t="inlineStr">
        <is>
          <t>2022-10</t>
        </is>
      </c>
      <c r="F2147" s="6" t="n">
        <v>16214.017363526</v>
      </c>
      <c r="G2147" s="6" t="inlineStr">
        <is>
          <t>DOMESTICA</t>
        </is>
      </c>
      <c r="H2147" s="6" t="inlineStr">
        <is>
          <t>FIXO</t>
        </is>
      </c>
      <c r="I2147" s="11">
        <f>IF($H2147="AUTO_OFERTA_TOTAL_PRODUTO_PERIODO",SUMIFS(Oferta!$F:$F,Oferta!$A:$A,$A2147,Oferta!$E:$E,$E2147),$F2147)</f>
        <v/>
      </c>
      <c r="J2147" s="6" t="inlineStr">
        <is>
          <t>Informado</t>
        </is>
      </c>
      <c r="K2147" s="6" t="inlineStr">
        <is>
          <t>Demanda doméstica fixa informada pelo usuário.</t>
        </is>
      </c>
    </row>
    <row r="2148">
      <c r="A2148" s="6" t="inlineStr">
        <is>
          <t>Soja</t>
        </is>
      </c>
      <c r="B2148" s="6" t="inlineStr">
        <is>
          <t>Brasília - DF</t>
        </is>
      </c>
      <c r="C2148" s="6" t="n">
        <v>-15.7795</v>
      </c>
      <c r="D2148" s="6" t="n">
        <v>-47.9297</v>
      </c>
      <c r="E2148" s="6" t="inlineStr">
        <is>
          <t>2022-11</t>
        </is>
      </c>
      <c r="F2148" s="6" t="n">
        <v>16214.017363526</v>
      </c>
      <c r="G2148" s="6" t="inlineStr">
        <is>
          <t>DOMESTICA</t>
        </is>
      </c>
      <c r="H2148" s="6" t="inlineStr">
        <is>
          <t>FIXO</t>
        </is>
      </c>
      <c r="I2148" s="11">
        <f>IF($H2148="AUTO_OFERTA_TOTAL_PRODUTO_PERIODO",SUMIFS(Oferta!$F:$F,Oferta!$A:$A,$A2148,Oferta!$E:$E,$E2148),$F2148)</f>
        <v/>
      </c>
      <c r="J2148" s="6" t="inlineStr">
        <is>
          <t>Informado</t>
        </is>
      </c>
      <c r="K2148" s="6" t="inlineStr">
        <is>
          <t>Demanda doméstica fixa informada pelo usuário.</t>
        </is>
      </c>
    </row>
    <row r="2149">
      <c r="A2149" s="6" t="inlineStr">
        <is>
          <t>Soja</t>
        </is>
      </c>
      <c r="B2149" s="6" t="inlineStr">
        <is>
          <t>Brasília - DF</t>
        </is>
      </c>
      <c r="C2149" s="6" t="n">
        <v>-15.7795</v>
      </c>
      <c r="D2149" s="6" t="n">
        <v>-47.9297</v>
      </c>
      <c r="E2149" s="6" t="inlineStr">
        <is>
          <t>2022-12</t>
        </is>
      </c>
      <c r="F2149" s="6" t="n">
        <v>16214.017363526</v>
      </c>
      <c r="G2149" s="6" t="inlineStr">
        <is>
          <t>DOMESTICA</t>
        </is>
      </c>
      <c r="H2149" s="6" t="inlineStr">
        <is>
          <t>FIXO</t>
        </is>
      </c>
      <c r="I2149" s="11">
        <f>IF($H2149="AUTO_OFERTA_TOTAL_PRODUTO_PERIODO",SUMIFS(Oferta!$F:$F,Oferta!$A:$A,$A2149,Oferta!$E:$E,$E2149),$F2149)</f>
        <v/>
      </c>
      <c r="J2149" s="6" t="inlineStr">
        <is>
          <t>Informado</t>
        </is>
      </c>
      <c r="K2149" s="6" t="inlineStr">
        <is>
          <t>Demanda doméstica fixa informada pelo usuário.</t>
        </is>
      </c>
    </row>
    <row r="2150">
      <c r="A2150" s="6" t="inlineStr">
        <is>
          <t>Soja</t>
        </is>
      </c>
      <c r="B2150" s="6" t="inlineStr">
        <is>
          <t>Goiânia - GO</t>
        </is>
      </c>
      <c r="C2150" s="6" t="n">
        <v>-16.6864</v>
      </c>
      <c r="D2150" s="6" t="n">
        <v>-49.2643</v>
      </c>
      <c r="E2150" s="6" t="inlineStr">
        <is>
          <t>2022-01</t>
        </is>
      </c>
      <c r="F2150" s="6" t="n">
        <v>141501.4736123323</v>
      </c>
      <c r="G2150" s="6" t="inlineStr">
        <is>
          <t>DOMESTICA</t>
        </is>
      </c>
      <c r="H2150" s="6" t="inlineStr">
        <is>
          <t>FIXO</t>
        </is>
      </c>
      <c r="I2150" s="11">
        <f>IF($H2150="AUTO_OFERTA_TOTAL_PRODUTO_PERIODO",SUMIFS(Oferta!$F:$F,Oferta!$A:$A,$A2150,Oferta!$E:$E,$E2150),$F2150)</f>
        <v/>
      </c>
      <c r="J2150" s="6" t="inlineStr">
        <is>
          <t>Informado</t>
        </is>
      </c>
      <c r="K2150" s="6" t="inlineStr">
        <is>
          <t>Demanda doméstica fixa informada pelo usuário.</t>
        </is>
      </c>
    </row>
    <row r="2151">
      <c r="A2151" s="6" t="inlineStr">
        <is>
          <t>Soja</t>
        </is>
      </c>
      <c r="B2151" s="6" t="inlineStr">
        <is>
          <t>Goiânia - GO</t>
        </is>
      </c>
      <c r="C2151" s="6" t="n">
        <v>-16.6864</v>
      </c>
      <c r="D2151" s="6" t="n">
        <v>-49.2643</v>
      </c>
      <c r="E2151" s="6" t="inlineStr">
        <is>
          <t>2022-02</t>
        </is>
      </c>
      <c r="F2151" s="6" t="n">
        <v>141501.4736123323</v>
      </c>
      <c r="G2151" s="6" t="inlineStr">
        <is>
          <t>DOMESTICA</t>
        </is>
      </c>
      <c r="H2151" s="6" t="inlineStr">
        <is>
          <t>FIXO</t>
        </is>
      </c>
      <c r="I2151" s="11">
        <f>IF($H2151="AUTO_OFERTA_TOTAL_PRODUTO_PERIODO",SUMIFS(Oferta!$F:$F,Oferta!$A:$A,$A2151,Oferta!$E:$E,$E2151),$F2151)</f>
        <v/>
      </c>
      <c r="J2151" s="6" t="inlineStr">
        <is>
          <t>Informado</t>
        </is>
      </c>
      <c r="K2151" s="6" t="inlineStr">
        <is>
          <t>Demanda doméstica fixa informada pelo usuário.</t>
        </is>
      </c>
    </row>
    <row r="2152">
      <c r="A2152" s="6" t="inlineStr">
        <is>
          <t>Soja</t>
        </is>
      </c>
      <c r="B2152" s="6" t="inlineStr">
        <is>
          <t>Goiânia - GO</t>
        </is>
      </c>
      <c r="C2152" s="6" t="n">
        <v>-16.6864</v>
      </c>
      <c r="D2152" s="6" t="n">
        <v>-49.2643</v>
      </c>
      <c r="E2152" s="6" t="inlineStr">
        <is>
          <t>2022-03</t>
        </is>
      </c>
      <c r="F2152" s="6" t="n">
        <v>226936.3256046838</v>
      </c>
      <c r="G2152" s="6" t="inlineStr">
        <is>
          <t>DOMESTICA</t>
        </is>
      </c>
      <c r="H2152" s="6" t="inlineStr">
        <is>
          <t>FIXO</t>
        </is>
      </c>
      <c r="I2152" s="11">
        <f>IF($H2152="AUTO_OFERTA_TOTAL_PRODUTO_PERIODO",SUMIFS(Oferta!$F:$F,Oferta!$A:$A,$A2152,Oferta!$E:$E,$E2152),$F2152)</f>
        <v/>
      </c>
      <c r="J2152" s="6" t="inlineStr">
        <is>
          <t>Informado</t>
        </is>
      </c>
      <c r="K2152" s="6" t="inlineStr">
        <is>
          <t>Demanda doméstica fixa informada pelo usuário.</t>
        </is>
      </c>
    </row>
    <row r="2153">
      <c r="A2153" s="6" t="inlineStr">
        <is>
          <t>Soja</t>
        </is>
      </c>
      <c r="B2153" s="6" t="inlineStr">
        <is>
          <t>Goiânia - GO</t>
        </is>
      </c>
      <c r="C2153" s="6" t="n">
        <v>-16.6864</v>
      </c>
      <c r="D2153" s="6" t="n">
        <v>-49.2643</v>
      </c>
      <c r="E2153" s="6" t="inlineStr">
        <is>
          <t>2022-04</t>
        </is>
      </c>
      <c r="F2153" s="6" t="n">
        <v>483240.8815817385</v>
      </c>
      <c r="G2153" s="6" t="inlineStr">
        <is>
          <t>DOMESTICA</t>
        </is>
      </c>
      <c r="H2153" s="6" t="inlineStr">
        <is>
          <t>FIXO</t>
        </is>
      </c>
      <c r="I2153" s="11">
        <f>IF($H2153="AUTO_OFERTA_TOTAL_PRODUTO_PERIODO",SUMIFS(Oferta!$F:$F,Oferta!$A:$A,$A2153,Oferta!$E:$E,$E2153),$F2153)</f>
        <v/>
      </c>
      <c r="J2153" s="6" t="inlineStr">
        <is>
          <t>Informado</t>
        </is>
      </c>
      <c r="K2153" s="6" t="inlineStr">
        <is>
          <t>Demanda doméstica fixa informada pelo usuário.</t>
        </is>
      </c>
    </row>
    <row r="2154">
      <c r="A2154" s="6" t="inlineStr">
        <is>
          <t>Soja</t>
        </is>
      </c>
      <c r="B2154" s="6" t="inlineStr">
        <is>
          <t>Goiânia - GO</t>
        </is>
      </c>
      <c r="C2154" s="6" t="n">
        <v>-16.6864</v>
      </c>
      <c r="D2154" s="6" t="n">
        <v>-49.2643</v>
      </c>
      <c r="E2154" s="6" t="inlineStr">
        <is>
          <t>2022-05</t>
        </is>
      </c>
      <c r="F2154" s="6" t="n">
        <v>568675.7335740899</v>
      </c>
      <c r="G2154" s="6" t="inlineStr">
        <is>
          <t>DOMESTICA</t>
        </is>
      </c>
      <c r="H2154" s="6" t="inlineStr">
        <is>
          <t>FIXO</t>
        </is>
      </c>
      <c r="I2154" s="11">
        <f>IF($H2154="AUTO_OFERTA_TOTAL_PRODUTO_PERIODO",SUMIFS(Oferta!$F:$F,Oferta!$A:$A,$A2154,Oferta!$E:$E,$E2154),$F2154)</f>
        <v/>
      </c>
      <c r="J2154" s="6" t="inlineStr">
        <is>
          <t>Informado</t>
        </is>
      </c>
      <c r="K2154" s="6" t="inlineStr">
        <is>
          <t>Demanda doméstica fixa informada pelo usuário.</t>
        </is>
      </c>
    </row>
    <row r="2155">
      <c r="A2155" s="6" t="inlineStr">
        <is>
          <t>Soja</t>
        </is>
      </c>
      <c r="B2155" s="6" t="inlineStr">
        <is>
          <t>Goiânia - GO</t>
        </is>
      </c>
      <c r="C2155" s="6" t="n">
        <v>-16.6864</v>
      </c>
      <c r="D2155" s="6" t="n">
        <v>-49.2643</v>
      </c>
      <c r="E2155" s="6" t="inlineStr">
        <is>
          <t>2022-06</t>
        </is>
      </c>
      <c r="F2155" s="6" t="n">
        <v>483240.8815817385</v>
      </c>
      <c r="G2155" s="6" t="inlineStr">
        <is>
          <t>DOMESTICA</t>
        </is>
      </c>
      <c r="H2155" s="6" t="inlineStr">
        <is>
          <t>FIXO</t>
        </is>
      </c>
      <c r="I2155" s="11">
        <f>IF($H2155="AUTO_OFERTA_TOTAL_PRODUTO_PERIODO",SUMIFS(Oferta!$F:$F,Oferta!$A:$A,$A2155,Oferta!$E:$E,$E2155),$F2155)</f>
        <v/>
      </c>
      <c r="J2155" s="6" t="inlineStr">
        <is>
          <t>Informado</t>
        </is>
      </c>
      <c r="K2155" s="6" t="inlineStr">
        <is>
          <t>Demanda doméstica fixa informada pelo usuário.</t>
        </is>
      </c>
    </row>
    <row r="2156">
      <c r="A2156" s="6" t="inlineStr">
        <is>
          <t>Soja</t>
        </is>
      </c>
      <c r="B2156" s="6" t="inlineStr">
        <is>
          <t>Goiânia - GO</t>
        </is>
      </c>
      <c r="C2156" s="6" t="n">
        <v>-16.6864</v>
      </c>
      <c r="D2156" s="6" t="n">
        <v>-49.2643</v>
      </c>
      <c r="E2156" s="6" t="inlineStr">
        <is>
          <t>2022-07</t>
        </is>
      </c>
      <c r="F2156" s="6" t="n">
        <v>226936.3256046838</v>
      </c>
      <c r="G2156" s="6" t="inlineStr">
        <is>
          <t>DOMESTICA</t>
        </is>
      </c>
      <c r="H2156" s="6" t="inlineStr">
        <is>
          <t>FIXO</t>
        </is>
      </c>
      <c r="I2156" s="11">
        <f>IF($H2156="AUTO_OFERTA_TOTAL_PRODUTO_PERIODO",SUMIFS(Oferta!$F:$F,Oferta!$A:$A,$A2156,Oferta!$E:$E,$E2156),$F2156)</f>
        <v/>
      </c>
      <c r="J2156" s="6" t="inlineStr">
        <is>
          <t>Informado</t>
        </is>
      </c>
      <c r="K2156" s="6" t="inlineStr">
        <is>
          <t>Demanda doméstica fixa informada pelo usuário.</t>
        </is>
      </c>
    </row>
    <row r="2157">
      <c r="A2157" s="6" t="inlineStr">
        <is>
          <t>Soja</t>
        </is>
      </c>
      <c r="B2157" s="6" t="inlineStr">
        <is>
          <t>Goiânia - GO</t>
        </is>
      </c>
      <c r="C2157" s="6" t="n">
        <v>-16.6864</v>
      </c>
      <c r="D2157" s="6" t="n">
        <v>-49.2643</v>
      </c>
      <c r="E2157" s="6" t="inlineStr">
        <is>
          <t>2022-08</t>
        </is>
      </c>
      <c r="F2157" s="6" t="n">
        <v>141501.4736123323</v>
      </c>
      <c r="G2157" s="6" t="inlineStr">
        <is>
          <t>DOMESTICA</t>
        </is>
      </c>
      <c r="H2157" s="6" t="inlineStr">
        <is>
          <t>FIXO</t>
        </is>
      </c>
      <c r="I2157" s="11">
        <f>IF($H2157="AUTO_OFERTA_TOTAL_PRODUTO_PERIODO",SUMIFS(Oferta!$F:$F,Oferta!$A:$A,$A2157,Oferta!$E:$E,$E2157),$F2157)</f>
        <v/>
      </c>
      <c r="J2157" s="6" t="inlineStr">
        <is>
          <t>Informado</t>
        </is>
      </c>
      <c r="K2157" s="6" t="inlineStr">
        <is>
          <t>Demanda doméstica fixa informada pelo usuário.</t>
        </is>
      </c>
    </row>
    <row r="2158">
      <c r="A2158" s="6" t="inlineStr">
        <is>
          <t>Soja</t>
        </is>
      </c>
      <c r="B2158" s="6" t="inlineStr">
        <is>
          <t>Goiânia - GO</t>
        </is>
      </c>
      <c r="C2158" s="6" t="n">
        <v>-16.6864</v>
      </c>
      <c r="D2158" s="6" t="n">
        <v>-49.2643</v>
      </c>
      <c r="E2158" s="6" t="inlineStr">
        <is>
          <t>2022-09</t>
        </is>
      </c>
      <c r="F2158" s="6" t="n">
        <v>141501.4736123323</v>
      </c>
      <c r="G2158" s="6" t="inlineStr">
        <is>
          <t>DOMESTICA</t>
        </is>
      </c>
      <c r="H2158" s="6" t="inlineStr">
        <is>
          <t>FIXO</t>
        </is>
      </c>
      <c r="I2158" s="11">
        <f>IF($H2158="AUTO_OFERTA_TOTAL_PRODUTO_PERIODO",SUMIFS(Oferta!$F:$F,Oferta!$A:$A,$A2158,Oferta!$E:$E,$E2158),$F2158)</f>
        <v/>
      </c>
      <c r="J2158" s="6" t="inlineStr">
        <is>
          <t>Informado</t>
        </is>
      </c>
      <c r="K2158" s="6" t="inlineStr">
        <is>
          <t>Demanda doméstica fixa informada pelo usuário.</t>
        </is>
      </c>
    </row>
    <row r="2159">
      <c r="A2159" s="6" t="inlineStr">
        <is>
          <t>Soja</t>
        </is>
      </c>
      <c r="B2159" s="6" t="inlineStr">
        <is>
          <t>Goiânia - GO</t>
        </is>
      </c>
      <c r="C2159" s="6" t="n">
        <v>-16.6864</v>
      </c>
      <c r="D2159" s="6" t="n">
        <v>-49.2643</v>
      </c>
      <c r="E2159" s="6" t="inlineStr">
        <is>
          <t>2022-10</t>
        </is>
      </c>
      <c r="F2159" s="6" t="n">
        <v>141501.4736123323</v>
      </c>
      <c r="G2159" s="6" t="inlineStr">
        <is>
          <t>DOMESTICA</t>
        </is>
      </c>
      <c r="H2159" s="6" t="inlineStr">
        <is>
          <t>FIXO</t>
        </is>
      </c>
      <c r="I2159" s="11">
        <f>IF($H2159="AUTO_OFERTA_TOTAL_PRODUTO_PERIODO",SUMIFS(Oferta!$F:$F,Oferta!$A:$A,$A2159,Oferta!$E:$E,$E2159),$F2159)</f>
        <v/>
      </c>
      <c r="J2159" s="6" t="inlineStr">
        <is>
          <t>Informado</t>
        </is>
      </c>
      <c r="K2159" s="6" t="inlineStr">
        <is>
          <t>Demanda doméstica fixa informada pelo usuário.</t>
        </is>
      </c>
    </row>
    <row r="2160">
      <c r="A2160" s="6" t="inlineStr">
        <is>
          <t>Soja</t>
        </is>
      </c>
      <c r="B2160" s="6" t="inlineStr">
        <is>
          <t>Goiânia - GO</t>
        </is>
      </c>
      <c r="C2160" s="6" t="n">
        <v>-16.6864</v>
      </c>
      <c r="D2160" s="6" t="n">
        <v>-49.2643</v>
      </c>
      <c r="E2160" s="6" t="inlineStr">
        <is>
          <t>2022-11</t>
        </is>
      </c>
      <c r="F2160" s="6" t="n">
        <v>141501.4736123323</v>
      </c>
      <c r="G2160" s="6" t="inlineStr">
        <is>
          <t>DOMESTICA</t>
        </is>
      </c>
      <c r="H2160" s="6" t="inlineStr">
        <is>
          <t>FIXO</t>
        </is>
      </c>
      <c r="I2160" s="11">
        <f>IF($H2160="AUTO_OFERTA_TOTAL_PRODUTO_PERIODO",SUMIFS(Oferta!$F:$F,Oferta!$A:$A,$A2160,Oferta!$E:$E,$E2160),$F2160)</f>
        <v/>
      </c>
      <c r="J2160" s="6" t="inlineStr">
        <is>
          <t>Informado</t>
        </is>
      </c>
      <c r="K2160" s="6" t="inlineStr">
        <is>
          <t>Demanda doméstica fixa informada pelo usuário.</t>
        </is>
      </c>
    </row>
    <row r="2161">
      <c r="A2161" s="6" t="inlineStr">
        <is>
          <t>Soja</t>
        </is>
      </c>
      <c r="B2161" s="6" t="inlineStr">
        <is>
          <t>Goiânia - GO</t>
        </is>
      </c>
      <c r="C2161" s="6" t="n">
        <v>-16.6864</v>
      </c>
      <c r="D2161" s="6" t="n">
        <v>-49.2643</v>
      </c>
      <c r="E2161" s="6" t="inlineStr">
        <is>
          <t>2022-12</t>
        </is>
      </c>
      <c r="F2161" s="6" t="n">
        <v>141501.4736123323</v>
      </c>
      <c r="G2161" s="6" t="inlineStr">
        <is>
          <t>DOMESTICA</t>
        </is>
      </c>
      <c r="H2161" s="6" t="inlineStr">
        <is>
          <t>FIXO</t>
        </is>
      </c>
      <c r="I2161" s="11">
        <f>IF($H2161="AUTO_OFERTA_TOTAL_PRODUTO_PERIODO",SUMIFS(Oferta!$F:$F,Oferta!$A:$A,$A2161,Oferta!$E:$E,$E2161),$F2161)</f>
        <v/>
      </c>
      <c r="J2161" s="6" t="inlineStr">
        <is>
          <t>Informado</t>
        </is>
      </c>
      <c r="K2161" s="6" t="inlineStr">
        <is>
          <t>Demanda doméstica fixa informada pelo usuário.</t>
        </is>
      </c>
    </row>
    <row r="2162">
      <c r="A2162" s="6" t="inlineStr">
        <is>
          <t>Soja</t>
        </is>
      </c>
      <c r="B2162" s="6" t="inlineStr">
        <is>
          <t>Cuiabá - MT</t>
        </is>
      </c>
      <c r="C2162" s="6" t="n">
        <v>-15.601</v>
      </c>
      <c r="D2162" s="6" t="n">
        <v>-56.0974</v>
      </c>
      <c r="E2162" s="6" t="inlineStr">
        <is>
          <t>2022-01</t>
        </is>
      </c>
      <c r="F2162" s="6" t="n">
        <v>173459.2788548093</v>
      </c>
      <c r="G2162" s="6" t="inlineStr">
        <is>
          <t>DOMESTICA</t>
        </is>
      </c>
      <c r="H2162" s="6" t="inlineStr">
        <is>
          <t>FIXO</t>
        </is>
      </c>
      <c r="I2162" s="11">
        <f>IF($H2162="AUTO_OFERTA_TOTAL_PRODUTO_PERIODO",SUMIFS(Oferta!$F:$F,Oferta!$A:$A,$A2162,Oferta!$E:$E,$E2162),$F2162)</f>
        <v/>
      </c>
      <c r="J2162" s="6" t="inlineStr">
        <is>
          <t>Informado</t>
        </is>
      </c>
      <c r="K2162" s="6" t="inlineStr">
        <is>
          <t>Demanda doméstica fixa informada pelo usuário.</t>
        </is>
      </c>
    </row>
    <row r="2163">
      <c r="A2163" s="6" t="inlineStr">
        <is>
          <t>Soja</t>
        </is>
      </c>
      <c r="B2163" s="6" t="inlineStr">
        <is>
          <t>Cuiabá - MT</t>
        </is>
      </c>
      <c r="C2163" s="6" t="n">
        <v>-15.601</v>
      </c>
      <c r="D2163" s="6" t="n">
        <v>-56.0974</v>
      </c>
      <c r="E2163" s="6" t="inlineStr">
        <is>
          <t>2022-02</t>
        </is>
      </c>
      <c r="F2163" s="6" t="n">
        <v>278189.4094841281</v>
      </c>
      <c r="G2163" s="6" t="inlineStr">
        <is>
          <t>DOMESTICA</t>
        </is>
      </c>
      <c r="H2163" s="6" t="inlineStr">
        <is>
          <t>FIXO</t>
        </is>
      </c>
      <c r="I2163" s="11">
        <f>IF($H2163="AUTO_OFERTA_TOTAL_PRODUTO_PERIODO",SUMIFS(Oferta!$F:$F,Oferta!$A:$A,$A2163,Oferta!$E:$E,$E2163),$F2163)</f>
        <v/>
      </c>
      <c r="J2163" s="6" t="inlineStr">
        <is>
          <t>Informado</t>
        </is>
      </c>
      <c r="K2163" s="6" t="inlineStr">
        <is>
          <t>Demanda doméstica fixa informada pelo usuário.</t>
        </is>
      </c>
    </row>
    <row r="2164">
      <c r="A2164" s="6" t="inlineStr">
        <is>
          <t>Soja</t>
        </is>
      </c>
      <c r="B2164" s="6" t="inlineStr">
        <is>
          <t>Cuiabá - MT</t>
        </is>
      </c>
      <c r="C2164" s="6" t="n">
        <v>-15.601</v>
      </c>
      <c r="D2164" s="6" t="n">
        <v>-56.0974</v>
      </c>
      <c r="E2164" s="6" t="inlineStr">
        <is>
          <t>2022-03</t>
        </is>
      </c>
      <c r="F2164" s="6" t="n">
        <v>487649.6707427657</v>
      </c>
      <c r="G2164" s="6" t="inlineStr">
        <is>
          <t>DOMESTICA</t>
        </is>
      </c>
      <c r="H2164" s="6" t="inlineStr">
        <is>
          <t>FIXO</t>
        </is>
      </c>
      <c r="I2164" s="11">
        <f>IF($H2164="AUTO_OFERTA_TOTAL_PRODUTO_PERIODO",SUMIFS(Oferta!$F:$F,Oferta!$A:$A,$A2164,Oferta!$E:$E,$E2164),$F2164)</f>
        <v/>
      </c>
      <c r="J2164" s="6" t="inlineStr">
        <is>
          <t>Informado</t>
        </is>
      </c>
      <c r="K2164" s="6" t="inlineStr">
        <is>
          <t>Demanda doméstica fixa informada pelo usuário.</t>
        </is>
      </c>
    </row>
    <row r="2165">
      <c r="A2165" s="6" t="inlineStr">
        <is>
          <t>Soja</t>
        </is>
      </c>
      <c r="B2165" s="6" t="inlineStr">
        <is>
          <t>Cuiabá - MT</t>
        </is>
      </c>
      <c r="C2165" s="6" t="n">
        <v>-15.601</v>
      </c>
      <c r="D2165" s="6" t="n">
        <v>-56.0974</v>
      </c>
      <c r="E2165" s="6" t="inlineStr">
        <is>
          <t>2022-04</t>
        </is>
      </c>
      <c r="F2165" s="6" t="n">
        <v>697109.9320014033</v>
      </c>
      <c r="G2165" s="6" t="inlineStr">
        <is>
          <t>DOMESTICA</t>
        </is>
      </c>
      <c r="H2165" s="6" t="inlineStr">
        <is>
          <t>FIXO</t>
        </is>
      </c>
      <c r="I2165" s="11">
        <f>IF($H2165="AUTO_OFERTA_TOTAL_PRODUTO_PERIODO",SUMIFS(Oferta!$F:$F,Oferta!$A:$A,$A2165,Oferta!$E:$E,$E2165),$F2165)</f>
        <v/>
      </c>
      <c r="J2165" s="6" t="inlineStr">
        <is>
          <t>Informado</t>
        </is>
      </c>
      <c r="K2165" s="6" t="inlineStr">
        <is>
          <t>Demanda doméstica fixa informada pelo usuário.</t>
        </is>
      </c>
    </row>
    <row r="2166">
      <c r="A2166" s="6" t="inlineStr">
        <is>
          <t>Soja</t>
        </is>
      </c>
      <c r="B2166" s="6" t="inlineStr">
        <is>
          <t>Cuiabá - MT</t>
        </is>
      </c>
      <c r="C2166" s="6" t="n">
        <v>-15.601</v>
      </c>
      <c r="D2166" s="6" t="n">
        <v>-56.0974</v>
      </c>
      <c r="E2166" s="6" t="inlineStr">
        <is>
          <t>2022-05</t>
        </is>
      </c>
      <c r="F2166" s="6" t="n">
        <v>697109.9320014033</v>
      </c>
      <c r="G2166" s="6" t="inlineStr">
        <is>
          <t>DOMESTICA</t>
        </is>
      </c>
      <c r="H2166" s="6" t="inlineStr">
        <is>
          <t>FIXO</t>
        </is>
      </c>
      <c r="I2166" s="11">
        <f>IF($H2166="AUTO_OFERTA_TOTAL_PRODUTO_PERIODO",SUMIFS(Oferta!$F:$F,Oferta!$A:$A,$A2166,Oferta!$E:$E,$E2166),$F2166)</f>
        <v/>
      </c>
      <c r="J2166" s="6" t="inlineStr">
        <is>
          <t>Informado</t>
        </is>
      </c>
      <c r="K2166" s="6" t="inlineStr">
        <is>
          <t>Demanda doméstica fixa informada pelo usuário.</t>
        </is>
      </c>
    </row>
    <row r="2167">
      <c r="A2167" s="6" t="inlineStr">
        <is>
          <t>Soja</t>
        </is>
      </c>
      <c r="B2167" s="6" t="inlineStr">
        <is>
          <t>Cuiabá - MT</t>
        </is>
      </c>
      <c r="C2167" s="6" t="n">
        <v>-15.601</v>
      </c>
      <c r="D2167" s="6" t="n">
        <v>-56.0974</v>
      </c>
      <c r="E2167" s="6" t="inlineStr">
        <is>
          <t>2022-06</t>
        </is>
      </c>
      <c r="F2167" s="6" t="n">
        <v>487649.6707427657</v>
      </c>
      <c r="G2167" s="6" t="inlineStr">
        <is>
          <t>DOMESTICA</t>
        </is>
      </c>
      <c r="H2167" s="6" t="inlineStr">
        <is>
          <t>FIXO</t>
        </is>
      </c>
      <c r="I2167" s="11">
        <f>IF($H2167="AUTO_OFERTA_TOTAL_PRODUTO_PERIODO",SUMIFS(Oferta!$F:$F,Oferta!$A:$A,$A2167,Oferta!$E:$E,$E2167),$F2167)</f>
        <v/>
      </c>
      <c r="J2167" s="6" t="inlineStr">
        <is>
          <t>Informado</t>
        </is>
      </c>
      <c r="K2167" s="6" t="inlineStr">
        <is>
          <t>Demanda doméstica fixa informada pelo usuário.</t>
        </is>
      </c>
    </row>
    <row r="2168">
      <c r="A2168" s="6" t="inlineStr">
        <is>
          <t>Soja</t>
        </is>
      </c>
      <c r="B2168" s="6" t="inlineStr">
        <is>
          <t>Cuiabá - MT</t>
        </is>
      </c>
      <c r="C2168" s="6" t="n">
        <v>-15.601</v>
      </c>
      <c r="D2168" s="6" t="n">
        <v>-56.0974</v>
      </c>
      <c r="E2168" s="6" t="inlineStr">
        <is>
          <t>2022-07</t>
        </is>
      </c>
      <c r="F2168" s="6" t="n">
        <v>278189.4094841281</v>
      </c>
      <c r="G2168" s="6" t="inlineStr">
        <is>
          <t>DOMESTICA</t>
        </is>
      </c>
      <c r="H2168" s="6" t="inlineStr">
        <is>
          <t>FIXO</t>
        </is>
      </c>
      <c r="I2168" s="11">
        <f>IF($H2168="AUTO_OFERTA_TOTAL_PRODUTO_PERIODO",SUMIFS(Oferta!$F:$F,Oferta!$A:$A,$A2168,Oferta!$E:$E,$E2168),$F2168)</f>
        <v/>
      </c>
      <c r="J2168" s="6" t="inlineStr">
        <is>
          <t>Informado</t>
        </is>
      </c>
      <c r="K2168" s="6" t="inlineStr">
        <is>
          <t>Demanda doméstica fixa informada pelo usuário.</t>
        </is>
      </c>
    </row>
    <row r="2169">
      <c r="A2169" s="6" t="inlineStr">
        <is>
          <t>Soja</t>
        </is>
      </c>
      <c r="B2169" s="6" t="inlineStr">
        <is>
          <t>Cuiabá - MT</t>
        </is>
      </c>
      <c r="C2169" s="6" t="n">
        <v>-15.601</v>
      </c>
      <c r="D2169" s="6" t="n">
        <v>-56.0974</v>
      </c>
      <c r="E2169" s="6" t="inlineStr">
        <is>
          <t>2022-08</t>
        </is>
      </c>
      <c r="F2169" s="6" t="n">
        <v>173459.2788548093</v>
      </c>
      <c r="G2169" s="6" t="inlineStr">
        <is>
          <t>DOMESTICA</t>
        </is>
      </c>
      <c r="H2169" s="6" t="inlineStr">
        <is>
          <t>FIXO</t>
        </is>
      </c>
      <c r="I2169" s="11">
        <f>IF($H2169="AUTO_OFERTA_TOTAL_PRODUTO_PERIODO",SUMIFS(Oferta!$F:$F,Oferta!$A:$A,$A2169,Oferta!$E:$E,$E2169),$F2169)</f>
        <v/>
      </c>
      <c r="J2169" s="6" t="inlineStr">
        <is>
          <t>Informado</t>
        </is>
      </c>
      <c r="K2169" s="6" t="inlineStr">
        <is>
          <t>Demanda doméstica fixa informada pelo usuário.</t>
        </is>
      </c>
    </row>
    <row r="2170">
      <c r="A2170" s="6" t="inlineStr">
        <is>
          <t>Soja</t>
        </is>
      </c>
      <c r="B2170" s="6" t="inlineStr">
        <is>
          <t>Cuiabá - MT</t>
        </is>
      </c>
      <c r="C2170" s="6" t="n">
        <v>-15.601</v>
      </c>
      <c r="D2170" s="6" t="n">
        <v>-56.0974</v>
      </c>
      <c r="E2170" s="6" t="inlineStr">
        <is>
          <t>2022-09</t>
        </is>
      </c>
      <c r="F2170" s="6" t="n">
        <v>173459.2788548093</v>
      </c>
      <c r="G2170" s="6" t="inlineStr">
        <is>
          <t>DOMESTICA</t>
        </is>
      </c>
      <c r="H2170" s="6" t="inlineStr">
        <is>
          <t>FIXO</t>
        </is>
      </c>
      <c r="I2170" s="11">
        <f>IF($H2170="AUTO_OFERTA_TOTAL_PRODUTO_PERIODO",SUMIFS(Oferta!$F:$F,Oferta!$A:$A,$A2170,Oferta!$E:$E,$E2170),$F2170)</f>
        <v/>
      </c>
      <c r="J2170" s="6" t="inlineStr">
        <is>
          <t>Informado</t>
        </is>
      </c>
      <c r="K2170" s="6" t="inlineStr">
        <is>
          <t>Demanda doméstica fixa informada pelo usuário.</t>
        </is>
      </c>
    </row>
    <row r="2171">
      <c r="A2171" s="6" t="inlineStr">
        <is>
          <t>Soja</t>
        </is>
      </c>
      <c r="B2171" s="6" t="inlineStr">
        <is>
          <t>Cuiabá - MT</t>
        </is>
      </c>
      <c r="C2171" s="6" t="n">
        <v>-15.601</v>
      </c>
      <c r="D2171" s="6" t="n">
        <v>-56.0974</v>
      </c>
      <c r="E2171" s="6" t="inlineStr">
        <is>
          <t>2022-10</t>
        </is>
      </c>
      <c r="F2171" s="6" t="n">
        <v>173459.2788548093</v>
      </c>
      <c r="G2171" s="6" t="inlineStr">
        <is>
          <t>DOMESTICA</t>
        </is>
      </c>
      <c r="H2171" s="6" t="inlineStr">
        <is>
          <t>FIXO</t>
        </is>
      </c>
      <c r="I2171" s="11">
        <f>IF($H2171="AUTO_OFERTA_TOTAL_PRODUTO_PERIODO",SUMIFS(Oferta!$F:$F,Oferta!$A:$A,$A2171,Oferta!$E:$E,$E2171),$F2171)</f>
        <v/>
      </c>
      <c r="J2171" s="6" t="inlineStr">
        <is>
          <t>Informado</t>
        </is>
      </c>
      <c r="K2171" s="6" t="inlineStr">
        <is>
          <t>Demanda doméstica fixa informada pelo usuário.</t>
        </is>
      </c>
    </row>
    <row r="2172">
      <c r="A2172" s="6" t="inlineStr">
        <is>
          <t>Soja</t>
        </is>
      </c>
      <c r="B2172" s="6" t="inlineStr">
        <is>
          <t>Cuiabá - MT</t>
        </is>
      </c>
      <c r="C2172" s="6" t="n">
        <v>-15.601</v>
      </c>
      <c r="D2172" s="6" t="n">
        <v>-56.0974</v>
      </c>
      <c r="E2172" s="6" t="inlineStr">
        <is>
          <t>2022-11</t>
        </is>
      </c>
      <c r="F2172" s="6" t="n">
        <v>173459.2788548093</v>
      </c>
      <c r="G2172" s="6" t="inlineStr">
        <is>
          <t>DOMESTICA</t>
        </is>
      </c>
      <c r="H2172" s="6" t="inlineStr">
        <is>
          <t>FIXO</t>
        </is>
      </c>
      <c r="I2172" s="11">
        <f>IF($H2172="AUTO_OFERTA_TOTAL_PRODUTO_PERIODO",SUMIFS(Oferta!$F:$F,Oferta!$A:$A,$A2172,Oferta!$E:$E,$E2172),$F2172)</f>
        <v/>
      </c>
      <c r="J2172" s="6" t="inlineStr">
        <is>
          <t>Informado</t>
        </is>
      </c>
      <c r="K2172" s="6" t="inlineStr">
        <is>
          <t>Demanda doméstica fixa informada pelo usuário.</t>
        </is>
      </c>
    </row>
    <row r="2173">
      <c r="A2173" s="6" t="inlineStr">
        <is>
          <t>Soja</t>
        </is>
      </c>
      <c r="B2173" s="6" t="inlineStr">
        <is>
          <t>Cuiabá - MT</t>
        </is>
      </c>
      <c r="C2173" s="6" t="n">
        <v>-15.601</v>
      </c>
      <c r="D2173" s="6" t="n">
        <v>-56.0974</v>
      </c>
      <c r="E2173" s="6" t="inlineStr">
        <is>
          <t>2022-12</t>
        </is>
      </c>
      <c r="F2173" s="6" t="n">
        <v>173459.2788548093</v>
      </c>
      <c r="G2173" s="6" t="inlineStr">
        <is>
          <t>DOMESTICA</t>
        </is>
      </c>
      <c r="H2173" s="6" t="inlineStr">
        <is>
          <t>FIXO</t>
        </is>
      </c>
      <c r="I2173" s="11">
        <f>IF($H2173="AUTO_OFERTA_TOTAL_PRODUTO_PERIODO",SUMIFS(Oferta!$F:$F,Oferta!$A:$A,$A2173,Oferta!$E:$E,$E2173),$F2173)</f>
        <v/>
      </c>
      <c r="J2173" s="6" t="inlineStr">
        <is>
          <t>Informado</t>
        </is>
      </c>
      <c r="K2173" s="6" t="inlineStr">
        <is>
          <t>Demanda doméstica fixa informada pelo usuário.</t>
        </is>
      </c>
    </row>
    <row r="2174">
      <c r="A2174" s="6" t="inlineStr">
        <is>
          <t>Soja</t>
        </is>
      </c>
      <c r="B2174" s="6" t="inlineStr">
        <is>
          <t>Campo Grande - MS</t>
        </is>
      </c>
      <c r="C2174" s="6" t="n">
        <v>-20.4486</v>
      </c>
      <c r="D2174" s="6" t="n">
        <v>-54.6295</v>
      </c>
      <c r="E2174" s="6" t="inlineStr">
        <is>
          <t>2022-01</t>
        </is>
      </c>
      <c r="F2174" s="6" t="n">
        <v>56992.0988406442</v>
      </c>
      <c r="G2174" s="6" t="inlineStr">
        <is>
          <t>DOMESTICA</t>
        </is>
      </c>
      <c r="H2174" s="6" t="inlineStr">
        <is>
          <t>FIXO</t>
        </is>
      </c>
      <c r="I2174" s="11">
        <f>IF($H2174="AUTO_OFERTA_TOTAL_PRODUTO_PERIODO",SUMIFS(Oferta!$F:$F,Oferta!$A:$A,$A2174,Oferta!$E:$E,$E2174),$F2174)</f>
        <v/>
      </c>
      <c r="J2174" s="6" t="inlineStr">
        <is>
          <t>Informado</t>
        </is>
      </c>
      <c r="K2174" s="6" t="inlineStr">
        <is>
          <t>Demanda doméstica fixa informada pelo usuário.</t>
        </is>
      </c>
    </row>
    <row r="2175">
      <c r="A2175" s="6" t="inlineStr">
        <is>
          <t>Soja</t>
        </is>
      </c>
      <c r="B2175" s="6" t="inlineStr">
        <is>
          <t>Campo Grande - MS</t>
        </is>
      </c>
      <c r="C2175" s="6" t="n">
        <v>-20.4486</v>
      </c>
      <c r="D2175" s="6" t="n">
        <v>-54.6295</v>
      </c>
      <c r="E2175" s="6" t="inlineStr">
        <is>
          <t>2022-02</t>
        </is>
      </c>
      <c r="F2175" s="6" t="n">
        <v>56992.0988406442</v>
      </c>
      <c r="G2175" s="6" t="inlineStr">
        <is>
          <t>DOMESTICA</t>
        </is>
      </c>
      <c r="H2175" s="6" t="inlineStr">
        <is>
          <t>FIXO</t>
        </is>
      </c>
      <c r="I2175" s="11">
        <f>IF($H2175="AUTO_OFERTA_TOTAL_PRODUTO_PERIODO",SUMIFS(Oferta!$F:$F,Oferta!$A:$A,$A2175,Oferta!$E:$E,$E2175),$F2175)</f>
        <v/>
      </c>
      <c r="J2175" s="6" t="inlineStr">
        <is>
          <t>Informado</t>
        </is>
      </c>
      <c r="K2175" s="6" t="inlineStr">
        <is>
          <t>Demanda doméstica fixa informada pelo usuário.</t>
        </is>
      </c>
    </row>
    <row r="2176">
      <c r="A2176" s="6" t="inlineStr">
        <is>
          <t>Soja</t>
        </is>
      </c>
      <c r="B2176" s="6" t="inlineStr">
        <is>
          <t>Campo Grande - MS</t>
        </is>
      </c>
      <c r="C2176" s="6" t="n">
        <v>-20.4486</v>
      </c>
      <c r="D2176" s="6" t="n">
        <v>-54.6295</v>
      </c>
      <c r="E2176" s="6" t="inlineStr">
        <is>
          <t>2022-03</t>
        </is>
      </c>
      <c r="F2176" s="6" t="n">
        <v>91402.4226689577</v>
      </c>
      <c r="G2176" s="6" t="inlineStr">
        <is>
          <t>DOMESTICA</t>
        </is>
      </c>
      <c r="H2176" s="6" t="inlineStr">
        <is>
          <t>FIXO</t>
        </is>
      </c>
      <c r="I2176" s="11">
        <f>IF($H2176="AUTO_OFERTA_TOTAL_PRODUTO_PERIODO",SUMIFS(Oferta!$F:$F,Oferta!$A:$A,$A2176,Oferta!$E:$E,$E2176),$F2176)</f>
        <v/>
      </c>
      <c r="J2176" s="6" t="inlineStr">
        <is>
          <t>Informado</t>
        </is>
      </c>
      <c r="K2176" s="6" t="inlineStr">
        <is>
          <t>Demanda doméstica fixa informada pelo usuário.</t>
        </is>
      </c>
    </row>
    <row r="2177">
      <c r="A2177" s="6" t="inlineStr">
        <is>
          <t>Soja</t>
        </is>
      </c>
      <c r="B2177" s="6" t="inlineStr">
        <is>
          <t>Campo Grande - MS</t>
        </is>
      </c>
      <c r="C2177" s="6" t="n">
        <v>-20.4486</v>
      </c>
      <c r="D2177" s="6" t="n">
        <v>-54.6295</v>
      </c>
      <c r="E2177" s="6" t="inlineStr">
        <is>
          <t>2022-04</t>
        </is>
      </c>
      <c r="F2177" s="6" t="n">
        <v>194633.3941538982</v>
      </c>
      <c r="G2177" s="6" t="inlineStr">
        <is>
          <t>DOMESTICA</t>
        </is>
      </c>
      <c r="H2177" s="6" t="inlineStr">
        <is>
          <t>FIXO</t>
        </is>
      </c>
      <c r="I2177" s="11">
        <f>IF($H2177="AUTO_OFERTA_TOTAL_PRODUTO_PERIODO",SUMIFS(Oferta!$F:$F,Oferta!$A:$A,$A2177,Oferta!$E:$E,$E2177),$F2177)</f>
        <v/>
      </c>
      <c r="J2177" s="6" t="inlineStr">
        <is>
          <t>Informado</t>
        </is>
      </c>
      <c r="K2177" s="6" t="inlineStr">
        <is>
          <t>Demanda doméstica fixa informada pelo usuário.</t>
        </is>
      </c>
    </row>
    <row r="2178">
      <c r="A2178" s="6" t="inlineStr">
        <is>
          <t>Soja</t>
        </is>
      </c>
      <c r="B2178" s="6" t="inlineStr">
        <is>
          <t>Campo Grande - MS</t>
        </is>
      </c>
      <c r="C2178" s="6" t="n">
        <v>-20.4486</v>
      </c>
      <c r="D2178" s="6" t="n">
        <v>-54.6295</v>
      </c>
      <c r="E2178" s="6" t="inlineStr">
        <is>
          <t>2022-05</t>
        </is>
      </c>
      <c r="F2178" s="6" t="n">
        <v>229043.7179822116</v>
      </c>
      <c r="G2178" s="6" t="inlineStr">
        <is>
          <t>DOMESTICA</t>
        </is>
      </c>
      <c r="H2178" s="6" t="inlineStr">
        <is>
          <t>FIXO</t>
        </is>
      </c>
      <c r="I2178" s="11">
        <f>IF($H2178="AUTO_OFERTA_TOTAL_PRODUTO_PERIODO",SUMIFS(Oferta!$F:$F,Oferta!$A:$A,$A2178,Oferta!$E:$E,$E2178),$F2178)</f>
        <v/>
      </c>
      <c r="J2178" s="6" t="inlineStr">
        <is>
          <t>Informado</t>
        </is>
      </c>
      <c r="K2178" s="6" t="inlineStr">
        <is>
          <t>Demanda doméstica fixa informada pelo usuário.</t>
        </is>
      </c>
    </row>
    <row r="2179">
      <c r="A2179" s="6" t="inlineStr">
        <is>
          <t>Soja</t>
        </is>
      </c>
      <c r="B2179" s="6" t="inlineStr">
        <is>
          <t>Campo Grande - MS</t>
        </is>
      </c>
      <c r="C2179" s="6" t="n">
        <v>-20.4486</v>
      </c>
      <c r="D2179" s="6" t="n">
        <v>-54.6295</v>
      </c>
      <c r="E2179" s="6" t="inlineStr">
        <is>
          <t>2022-06</t>
        </is>
      </c>
      <c r="F2179" s="6" t="n">
        <v>194633.3941538982</v>
      </c>
      <c r="G2179" s="6" t="inlineStr">
        <is>
          <t>DOMESTICA</t>
        </is>
      </c>
      <c r="H2179" s="6" t="inlineStr">
        <is>
          <t>FIXO</t>
        </is>
      </c>
      <c r="I2179" s="11">
        <f>IF($H2179="AUTO_OFERTA_TOTAL_PRODUTO_PERIODO",SUMIFS(Oferta!$F:$F,Oferta!$A:$A,$A2179,Oferta!$E:$E,$E2179),$F2179)</f>
        <v/>
      </c>
      <c r="J2179" s="6" t="inlineStr">
        <is>
          <t>Informado</t>
        </is>
      </c>
      <c r="K2179" s="6" t="inlineStr">
        <is>
          <t>Demanda doméstica fixa informada pelo usuário.</t>
        </is>
      </c>
    </row>
    <row r="2180">
      <c r="A2180" s="6" t="inlineStr">
        <is>
          <t>Soja</t>
        </is>
      </c>
      <c r="B2180" s="6" t="inlineStr">
        <is>
          <t>Campo Grande - MS</t>
        </is>
      </c>
      <c r="C2180" s="6" t="n">
        <v>-20.4486</v>
      </c>
      <c r="D2180" s="6" t="n">
        <v>-54.6295</v>
      </c>
      <c r="E2180" s="6" t="inlineStr">
        <is>
          <t>2022-07</t>
        </is>
      </c>
      <c r="F2180" s="6" t="n">
        <v>91402.4226689577</v>
      </c>
      <c r="G2180" s="6" t="inlineStr">
        <is>
          <t>DOMESTICA</t>
        </is>
      </c>
      <c r="H2180" s="6" t="inlineStr">
        <is>
          <t>FIXO</t>
        </is>
      </c>
      <c r="I2180" s="11">
        <f>IF($H2180="AUTO_OFERTA_TOTAL_PRODUTO_PERIODO",SUMIFS(Oferta!$F:$F,Oferta!$A:$A,$A2180,Oferta!$E:$E,$E2180),$F2180)</f>
        <v/>
      </c>
      <c r="J2180" s="6" t="inlineStr">
        <is>
          <t>Informado</t>
        </is>
      </c>
      <c r="K2180" s="6" t="inlineStr">
        <is>
          <t>Demanda doméstica fixa informada pelo usuário.</t>
        </is>
      </c>
    </row>
    <row r="2181">
      <c r="A2181" s="6" t="inlineStr">
        <is>
          <t>Soja</t>
        </is>
      </c>
      <c r="B2181" s="6" t="inlineStr">
        <is>
          <t>Campo Grande - MS</t>
        </is>
      </c>
      <c r="C2181" s="6" t="n">
        <v>-20.4486</v>
      </c>
      <c r="D2181" s="6" t="n">
        <v>-54.6295</v>
      </c>
      <c r="E2181" s="6" t="inlineStr">
        <is>
          <t>2022-08</t>
        </is>
      </c>
      <c r="F2181" s="6" t="n">
        <v>56992.0988406442</v>
      </c>
      <c r="G2181" s="6" t="inlineStr">
        <is>
          <t>DOMESTICA</t>
        </is>
      </c>
      <c r="H2181" s="6" t="inlineStr">
        <is>
          <t>FIXO</t>
        </is>
      </c>
      <c r="I2181" s="11">
        <f>IF($H2181="AUTO_OFERTA_TOTAL_PRODUTO_PERIODO",SUMIFS(Oferta!$F:$F,Oferta!$A:$A,$A2181,Oferta!$E:$E,$E2181),$F2181)</f>
        <v/>
      </c>
      <c r="J2181" s="6" t="inlineStr">
        <is>
          <t>Informado</t>
        </is>
      </c>
      <c r="K2181" s="6" t="inlineStr">
        <is>
          <t>Demanda doméstica fixa informada pelo usuário.</t>
        </is>
      </c>
    </row>
    <row r="2182">
      <c r="A2182" s="6" t="inlineStr">
        <is>
          <t>Soja</t>
        </is>
      </c>
      <c r="B2182" s="6" t="inlineStr">
        <is>
          <t>Campo Grande - MS</t>
        </is>
      </c>
      <c r="C2182" s="6" t="n">
        <v>-20.4486</v>
      </c>
      <c r="D2182" s="6" t="n">
        <v>-54.6295</v>
      </c>
      <c r="E2182" s="6" t="inlineStr">
        <is>
          <t>2022-09</t>
        </is>
      </c>
      <c r="F2182" s="6" t="n">
        <v>56992.0988406442</v>
      </c>
      <c r="G2182" s="6" t="inlineStr">
        <is>
          <t>DOMESTICA</t>
        </is>
      </c>
      <c r="H2182" s="6" t="inlineStr">
        <is>
          <t>FIXO</t>
        </is>
      </c>
      <c r="I2182" s="11">
        <f>IF($H2182="AUTO_OFERTA_TOTAL_PRODUTO_PERIODO",SUMIFS(Oferta!$F:$F,Oferta!$A:$A,$A2182,Oferta!$E:$E,$E2182),$F2182)</f>
        <v/>
      </c>
      <c r="J2182" s="6" t="inlineStr">
        <is>
          <t>Informado</t>
        </is>
      </c>
      <c r="K2182" s="6" t="inlineStr">
        <is>
          <t>Demanda doméstica fixa informada pelo usuário.</t>
        </is>
      </c>
    </row>
    <row r="2183">
      <c r="A2183" s="6" t="inlineStr">
        <is>
          <t>Soja</t>
        </is>
      </c>
      <c r="B2183" s="6" t="inlineStr">
        <is>
          <t>Campo Grande - MS</t>
        </is>
      </c>
      <c r="C2183" s="6" t="n">
        <v>-20.4486</v>
      </c>
      <c r="D2183" s="6" t="n">
        <v>-54.6295</v>
      </c>
      <c r="E2183" s="6" t="inlineStr">
        <is>
          <t>2022-10</t>
        </is>
      </c>
      <c r="F2183" s="6" t="n">
        <v>56992.0988406442</v>
      </c>
      <c r="G2183" s="6" t="inlineStr">
        <is>
          <t>DOMESTICA</t>
        </is>
      </c>
      <c r="H2183" s="6" t="inlineStr">
        <is>
          <t>FIXO</t>
        </is>
      </c>
      <c r="I2183" s="11">
        <f>IF($H2183="AUTO_OFERTA_TOTAL_PRODUTO_PERIODO",SUMIFS(Oferta!$F:$F,Oferta!$A:$A,$A2183,Oferta!$E:$E,$E2183),$F2183)</f>
        <v/>
      </c>
      <c r="J2183" s="6" t="inlineStr">
        <is>
          <t>Informado</t>
        </is>
      </c>
      <c r="K2183" s="6" t="inlineStr">
        <is>
          <t>Demanda doméstica fixa informada pelo usuário.</t>
        </is>
      </c>
    </row>
    <row r="2184">
      <c r="A2184" s="6" t="inlineStr">
        <is>
          <t>Soja</t>
        </is>
      </c>
      <c r="B2184" s="6" t="inlineStr">
        <is>
          <t>Campo Grande - MS</t>
        </is>
      </c>
      <c r="C2184" s="6" t="n">
        <v>-20.4486</v>
      </c>
      <c r="D2184" s="6" t="n">
        <v>-54.6295</v>
      </c>
      <c r="E2184" s="6" t="inlineStr">
        <is>
          <t>2022-11</t>
        </is>
      </c>
      <c r="F2184" s="6" t="n">
        <v>56992.0988406442</v>
      </c>
      <c r="G2184" s="6" t="inlineStr">
        <is>
          <t>DOMESTICA</t>
        </is>
      </c>
      <c r="H2184" s="6" t="inlineStr">
        <is>
          <t>FIXO</t>
        </is>
      </c>
      <c r="I2184" s="11">
        <f>IF($H2184="AUTO_OFERTA_TOTAL_PRODUTO_PERIODO",SUMIFS(Oferta!$F:$F,Oferta!$A:$A,$A2184,Oferta!$E:$E,$E2184),$F2184)</f>
        <v/>
      </c>
      <c r="J2184" s="6" t="inlineStr">
        <is>
          <t>Informado</t>
        </is>
      </c>
      <c r="K2184" s="6" t="inlineStr">
        <is>
          <t>Demanda doméstica fixa informada pelo usuário.</t>
        </is>
      </c>
    </row>
    <row r="2185">
      <c r="A2185" s="6" t="inlineStr">
        <is>
          <t>Soja</t>
        </is>
      </c>
      <c r="B2185" s="6" t="inlineStr">
        <is>
          <t>Campo Grande - MS</t>
        </is>
      </c>
      <c r="C2185" s="6" t="n">
        <v>-20.4486</v>
      </c>
      <c r="D2185" s="6" t="n">
        <v>-54.6295</v>
      </c>
      <c r="E2185" s="6" t="inlineStr">
        <is>
          <t>2022-12</t>
        </is>
      </c>
      <c r="F2185" s="6" t="n">
        <v>56992.0988406442</v>
      </c>
      <c r="G2185" s="6" t="inlineStr">
        <is>
          <t>DOMESTICA</t>
        </is>
      </c>
      <c r="H2185" s="6" t="inlineStr">
        <is>
          <t>FIXO</t>
        </is>
      </c>
      <c r="I2185" s="11">
        <f>IF($H2185="AUTO_OFERTA_TOTAL_PRODUTO_PERIODO",SUMIFS(Oferta!$F:$F,Oferta!$A:$A,$A2185,Oferta!$E:$E,$E2185),$F2185)</f>
        <v/>
      </c>
      <c r="J2185" s="6" t="inlineStr">
        <is>
          <t>Informado</t>
        </is>
      </c>
      <c r="K2185" s="6" t="inlineStr">
        <is>
          <t>Demanda doméstica fixa informada pelo usuário.</t>
        </is>
      </c>
    </row>
    <row r="2186">
      <c r="A2186" s="6" t="inlineStr">
        <is>
          <t>Soja</t>
        </is>
      </c>
      <c r="B2186" s="6" t="inlineStr">
        <is>
          <t>Vitória - ES</t>
        </is>
      </c>
      <c r="C2186" s="6" t="n">
        <v>-20.3155</v>
      </c>
      <c r="D2186" s="6" t="n">
        <v>-40.3128</v>
      </c>
      <c r="E2186" s="6" t="inlineStr">
        <is>
          <t>2022-01</t>
        </is>
      </c>
      <c r="F2186" s="6" t="n">
        <v>78145.11740978441</v>
      </c>
      <c r="G2186" s="6" t="inlineStr">
        <is>
          <t>DOMESTICA</t>
        </is>
      </c>
      <c r="H2186" s="6" t="inlineStr">
        <is>
          <t>FIXO</t>
        </is>
      </c>
      <c r="I2186" s="11">
        <f>IF($H2186="AUTO_OFERTA_TOTAL_PRODUTO_PERIODO",SUMIFS(Oferta!$F:$F,Oferta!$A:$A,$A2186,Oferta!$E:$E,$E2186),$F2186)</f>
        <v/>
      </c>
      <c r="J2186" s="6" t="inlineStr">
        <is>
          <t>Informado</t>
        </is>
      </c>
      <c r="K2186" s="6" t="inlineStr">
        <is>
          <t>Demanda doméstica fixa informada pelo usuário.</t>
        </is>
      </c>
    </row>
    <row r="2187">
      <c r="A2187" s="6" t="inlineStr">
        <is>
          <t>Soja</t>
        </is>
      </c>
      <c r="B2187" s="6" t="inlineStr">
        <is>
          <t>Vitória - ES</t>
        </is>
      </c>
      <c r="C2187" s="6" t="n">
        <v>-20.3155</v>
      </c>
      <c r="D2187" s="6" t="n">
        <v>-40.3128</v>
      </c>
      <c r="E2187" s="6" t="inlineStr">
        <is>
          <t>2022-02</t>
        </is>
      </c>
      <c r="F2187" s="6" t="n">
        <v>78145.11740978441</v>
      </c>
      <c r="G2187" s="6" t="inlineStr">
        <is>
          <t>DOMESTICA</t>
        </is>
      </c>
      <c r="H2187" s="6" t="inlineStr">
        <is>
          <t>FIXO</t>
        </is>
      </c>
      <c r="I2187" s="11">
        <f>IF($H2187="AUTO_OFERTA_TOTAL_PRODUTO_PERIODO",SUMIFS(Oferta!$F:$F,Oferta!$A:$A,$A2187,Oferta!$E:$E,$E2187),$F2187)</f>
        <v/>
      </c>
      <c r="J2187" s="6" t="inlineStr">
        <is>
          <t>Informado</t>
        </is>
      </c>
      <c r="K2187" s="6" t="inlineStr">
        <is>
          <t>Demanda doméstica fixa informada pelo usuário.</t>
        </is>
      </c>
    </row>
    <row r="2188">
      <c r="A2188" s="6" t="inlineStr">
        <is>
          <t>Soja</t>
        </is>
      </c>
      <c r="B2188" s="6" t="inlineStr">
        <is>
          <t>Vitória - ES</t>
        </is>
      </c>
      <c r="C2188" s="6" t="n">
        <v>-20.3155</v>
      </c>
      <c r="D2188" s="6" t="n">
        <v>-40.3128</v>
      </c>
      <c r="E2188" s="6" t="inlineStr">
        <is>
          <t>2022-03</t>
        </is>
      </c>
      <c r="F2188" s="6" t="n">
        <v>78145.11740978441</v>
      </c>
      <c r="G2188" s="6" t="inlineStr">
        <is>
          <t>DOMESTICA</t>
        </is>
      </c>
      <c r="H2188" s="6" t="inlineStr">
        <is>
          <t>FIXO</t>
        </is>
      </c>
      <c r="I2188" s="11">
        <f>IF($H2188="AUTO_OFERTA_TOTAL_PRODUTO_PERIODO",SUMIFS(Oferta!$F:$F,Oferta!$A:$A,$A2188,Oferta!$E:$E,$E2188),$F2188)</f>
        <v/>
      </c>
      <c r="J2188" s="6" t="inlineStr">
        <is>
          <t>Informado</t>
        </is>
      </c>
      <c r="K2188" s="6" t="inlineStr">
        <is>
          <t>Demanda doméstica fixa informada pelo usuário.</t>
        </is>
      </c>
    </row>
    <row r="2189">
      <c r="A2189" s="6" t="inlineStr">
        <is>
          <t>Soja</t>
        </is>
      </c>
      <c r="B2189" s="6" t="inlineStr">
        <is>
          <t>Vitória - ES</t>
        </is>
      </c>
      <c r="C2189" s="6" t="n">
        <v>-20.3155</v>
      </c>
      <c r="D2189" s="6" t="n">
        <v>-40.3128</v>
      </c>
      <c r="E2189" s="6" t="inlineStr">
        <is>
          <t>2022-04</t>
        </is>
      </c>
      <c r="F2189" s="6" t="n">
        <v>78145.11740978441</v>
      </c>
      <c r="G2189" s="6" t="inlineStr">
        <is>
          <t>DOMESTICA</t>
        </is>
      </c>
      <c r="H2189" s="6" t="inlineStr">
        <is>
          <t>FIXO</t>
        </is>
      </c>
      <c r="I2189" s="11">
        <f>IF($H2189="AUTO_OFERTA_TOTAL_PRODUTO_PERIODO",SUMIFS(Oferta!$F:$F,Oferta!$A:$A,$A2189,Oferta!$E:$E,$E2189),$F2189)</f>
        <v/>
      </c>
      <c r="J2189" s="6" t="inlineStr">
        <is>
          <t>Informado</t>
        </is>
      </c>
      <c r="K2189" s="6" t="inlineStr">
        <is>
          <t>Demanda doméstica fixa informada pelo usuário.</t>
        </is>
      </c>
    </row>
    <row r="2190">
      <c r="A2190" s="6" t="inlineStr">
        <is>
          <t>Soja</t>
        </is>
      </c>
      <c r="B2190" s="6" t="inlineStr">
        <is>
          <t>Vitória - ES</t>
        </is>
      </c>
      <c r="C2190" s="6" t="n">
        <v>-20.3155</v>
      </c>
      <c r="D2190" s="6" t="n">
        <v>-40.3128</v>
      </c>
      <c r="E2190" s="6" t="inlineStr">
        <is>
          <t>2022-05</t>
        </is>
      </c>
      <c r="F2190" s="6" t="n">
        <v>78145.11740978441</v>
      </c>
      <c r="G2190" s="6" t="inlineStr">
        <is>
          <t>DOMESTICA</t>
        </is>
      </c>
      <c r="H2190" s="6" t="inlineStr">
        <is>
          <t>FIXO</t>
        </is>
      </c>
      <c r="I2190" s="11">
        <f>IF($H2190="AUTO_OFERTA_TOTAL_PRODUTO_PERIODO",SUMIFS(Oferta!$F:$F,Oferta!$A:$A,$A2190,Oferta!$E:$E,$E2190),$F2190)</f>
        <v/>
      </c>
      <c r="J2190" s="6" t="inlineStr">
        <is>
          <t>Informado</t>
        </is>
      </c>
      <c r="K2190" s="6" t="inlineStr">
        <is>
          <t>Demanda doméstica fixa informada pelo usuário.</t>
        </is>
      </c>
    </row>
    <row r="2191">
      <c r="A2191" s="6" t="inlineStr">
        <is>
          <t>Soja</t>
        </is>
      </c>
      <c r="B2191" s="6" t="inlineStr">
        <is>
          <t>Vitória - ES</t>
        </is>
      </c>
      <c r="C2191" s="6" t="n">
        <v>-20.3155</v>
      </c>
      <c r="D2191" s="6" t="n">
        <v>-40.3128</v>
      </c>
      <c r="E2191" s="6" t="inlineStr">
        <is>
          <t>2022-06</t>
        </is>
      </c>
      <c r="F2191" s="6" t="n">
        <v>78145.11740978441</v>
      </c>
      <c r="G2191" s="6" t="inlineStr">
        <is>
          <t>DOMESTICA</t>
        </is>
      </c>
      <c r="H2191" s="6" t="inlineStr">
        <is>
          <t>FIXO</t>
        </is>
      </c>
      <c r="I2191" s="11">
        <f>IF($H2191="AUTO_OFERTA_TOTAL_PRODUTO_PERIODO",SUMIFS(Oferta!$F:$F,Oferta!$A:$A,$A2191,Oferta!$E:$E,$E2191),$F2191)</f>
        <v/>
      </c>
      <c r="J2191" s="6" t="inlineStr">
        <is>
          <t>Informado</t>
        </is>
      </c>
      <c r="K2191" s="6" t="inlineStr">
        <is>
          <t>Demanda doméstica fixa informada pelo usuário.</t>
        </is>
      </c>
    </row>
    <row r="2192">
      <c r="A2192" s="6" t="inlineStr">
        <is>
          <t>Soja</t>
        </is>
      </c>
      <c r="B2192" s="6" t="inlineStr">
        <is>
          <t>Vitória - ES</t>
        </is>
      </c>
      <c r="C2192" s="6" t="n">
        <v>-20.3155</v>
      </c>
      <c r="D2192" s="6" t="n">
        <v>-40.3128</v>
      </c>
      <c r="E2192" s="6" t="inlineStr">
        <is>
          <t>2022-07</t>
        </is>
      </c>
      <c r="F2192" s="6" t="n">
        <v>78145.11740978441</v>
      </c>
      <c r="G2192" s="6" t="inlineStr">
        <is>
          <t>DOMESTICA</t>
        </is>
      </c>
      <c r="H2192" s="6" t="inlineStr">
        <is>
          <t>FIXO</t>
        </is>
      </c>
      <c r="I2192" s="11">
        <f>IF($H2192="AUTO_OFERTA_TOTAL_PRODUTO_PERIODO",SUMIFS(Oferta!$F:$F,Oferta!$A:$A,$A2192,Oferta!$E:$E,$E2192),$F2192)</f>
        <v/>
      </c>
      <c r="J2192" s="6" t="inlineStr">
        <is>
          <t>Informado</t>
        </is>
      </c>
      <c r="K2192" s="6" t="inlineStr">
        <is>
          <t>Demanda doméstica fixa informada pelo usuário.</t>
        </is>
      </c>
    </row>
    <row r="2193">
      <c r="A2193" s="6" t="inlineStr">
        <is>
          <t>Soja</t>
        </is>
      </c>
      <c r="B2193" s="6" t="inlineStr">
        <is>
          <t>Vitória - ES</t>
        </is>
      </c>
      <c r="C2193" s="6" t="n">
        <v>-20.3155</v>
      </c>
      <c r="D2193" s="6" t="n">
        <v>-40.3128</v>
      </c>
      <c r="E2193" s="6" t="inlineStr">
        <is>
          <t>2022-08</t>
        </is>
      </c>
      <c r="F2193" s="6" t="n">
        <v>78145.11740978441</v>
      </c>
      <c r="G2193" s="6" t="inlineStr">
        <is>
          <t>DOMESTICA</t>
        </is>
      </c>
      <c r="H2193" s="6" t="inlineStr">
        <is>
          <t>FIXO</t>
        </is>
      </c>
      <c r="I2193" s="11">
        <f>IF($H2193="AUTO_OFERTA_TOTAL_PRODUTO_PERIODO",SUMIFS(Oferta!$F:$F,Oferta!$A:$A,$A2193,Oferta!$E:$E,$E2193),$F2193)</f>
        <v/>
      </c>
      <c r="J2193" s="6" t="inlineStr">
        <is>
          <t>Informado</t>
        </is>
      </c>
      <c r="K2193" s="6" t="inlineStr">
        <is>
          <t>Demanda doméstica fixa informada pelo usuário.</t>
        </is>
      </c>
    </row>
    <row r="2194">
      <c r="A2194" s="6" t="inlineStr">
        <is>
          <t>Soja</t>
        </is>
      </c>
      <c r="B2194" s="6" t="inlineStr">
        <is>
          <t>Vitória - ES</t>
        </is>
      </c>
      <c r="C2194" s="6" t="n">
        <v>-20.3155</v>
      </c>
      <c r="D2194" s="6" t="n">
        <v>-40.3128</v>
      </c>
      <c r="E2194" s="6" t="inlineStr">
        <is>
          <t>2022-09</t>
        </is>
      </c>
      <c r="F2194" s="6" t="n">
        <v>78145.11740978441</v>
      </c>
      <c r="G2194" s="6" t="inlineStr">
        <is>
          <t>DOMESTICA</t>
        </is>
      </c>
      <c r="H2194" s="6" t="inlineStr">
        <is>
          <t>FIXO</t>
        </is>
      </c>
      <c r="I2194" s="11">
        <f>IF($H2194="AUTO_OFERTA_TOTAL_PRODUTO_PERIODO",SUMIFS(Oferta!$F:$F,Oferta!$A:$A,$A2194,Oferta!$E:$E,$E2194),$F2194)</f>
        <v/>
      </c>
      <c r="J2194" s="6" t="inlineStr">
        <is>
          <t>Informado</t>
        </is>
      </c>
      <c r="K2194" s="6" t="inlineStr">
        <is>
          <t>Demanda doméstica fixa informada pelo usuário.</t>
        </is>
      </c>
    </row>
    <row r="2195">
      <c r="A2195" s="6" t="inlineStr">
        <is>
          <t>Soja</t>
        </is>
      </c>
      <c r="B2195" s="6" t="inlineStr">
        <is>
          <t>Vitória - ES</t>
        </is>
      </c>
      <c r="C2195" s="6" t="n">
        <v>-20.3155</v>
      </c>
      <c r="D2195" s="6" t="n">
        <v>-40.3128</v>
      </c>
      <c r="E2195" s="6" t="inlineStr">
        <is>
          <t>2022-10</t>
        </is>
      </c>
      <c r="F2195" s="6" t="n">
        <v>78145.11740978441</v>
      </c>
      <c r="G2195" s="6" t="inlineStr">
        <is>
          <t>DOMESTICA</t>
        </is>
      </c>
      <c r="H2195" s="6" t="inlineStr">
        <is>
          <t>FIXO</t>
        </is>
      </c>
      <c r="I2195" s="11">
        <f>IF($H2195="AUTO_OFERTA_TOTAL_PRODUTO_PERIODO",SUMIFS(Oferta!$F:$F,Oferta!$A:$A,$A2195,Oferta!$E:$E,$E2195),$F2195)</f>
        <v/>
      </c>
      <c r="J2195" s="6" t="inlineStr">
        <is>
          <t>Informado</t>
        </is>
      </c>
      <c r="K2195" s="6" t="inlineStr">
        <is>
          <t>Demanda doméstica fixa informada pelo usuário.</t>
        </is>
      </c>
    </row>
    <row r="2196">
      <c r="A2196" s="6" t="inlineStr">
        <is>
          <t>Soja</t>
        </is>
      </c>
      <c r="B2196" s="6" t="inlineStr">
        <is>
          <t>Vitória - ES</t>
        </is>
      </c>
      <c r="C2196" s="6" t="n">
        <v>-20.3155</v>
      </c>
      <c r="D2196" s="6" t="n">
        <v>-40.3128</v>
      </c>
      <c r="E2196" s="6" t="inlineStr">
        <is>
          <t>2022-11</t>
        </is>
      </c>
      <c r="F2196" s="6" t="n">
        <v>78145.11740978441</v>
      </c>
      <c r="G2196" s="6" t="inlineStr">
        <is>
          <t>DOMESTICA</t>
        </is>
      </c>
      <c r="H2196" s="6" t="inlineStr">
        <is>
          <t>FIXO</t>
        </is>
      </c>
      <c r="I2196" s="11">
        <f>IF($H2196="AUTO_OFERTA_TOTAL_PRODUTO_PERIODO",SUMIFS(Oferta!$F:$F,Oferta!$A:$A,$A2196,Oferta!$E:$E,$E2196),$F2196)</f>
        <v/>
      </c>
      <c r="J2196" s="6" t="inlineStr">
        <is>
          <t>Informado</t>
        </is>
      </c>
      <c r="K2196" s="6" t="inlineStr">
        <is>
          <t>Demanda doméstica fixa informada pelo usuário.</t>
        </is>
      </c>
    </row>
    <row r="2197">
      <c r="A2197" s="6" t="inlineStr">
        <is>
          <t>Soja</t>
        </is>
      </c>
      <c r="B2197" s="6" t="inlineStr">
        <is>
          <t>Vitória - ES</t>
        </is>
      </c>
      <c r="C2197" s="6" t="n">
        <v>-20.3155</v>
      </c>
      <c r="D2197" s="6" t="n">
        <v>-40.3128</v>
      </c>
      <c r="E2197" s="6" t="inlineStr">
        <is>
          <t>2022-12</t>
        </is>
      </c>
      <c r="F2197" s="6" t="n">
        <v>78145.11740978441</v>
      </c>
      <c r="G2197" s="6" t="inlineStr">
        <is>
          <t>DOMESTICA</t>
        </is>
      </c>
      <c r="H2197" s="6" t="inlineStr">
        <is>
          <t>FIXO</t>
        </is>
      </c>
      <c r="I2197" s="11">
        <f>IF($H2197="AUTO_OFERTA_TOTAL_PRODUTO_PERIODO",SUMIFS(Oferta!$F:$F,Oferta!$A:$A,$A2197,Oferta!$E:$E,$E2197),$F2197)</f>
        <v/>
      </c>
      <c r="J2197" s="6" t="inlineStr">
        <is>
          <t>Informado</t>
        </is>
      </c>
      <c r="K2197" s="6" t="inlineStr">
        <is>
          <t>Demanda doméstica fixa informada pelo usuário.</t>
        </is>
      </c>
    </row>
    <row r="2198">
      <c r="A2198" s="6" t="inlineStr">
        <is>
          <t>Soja</t>
        </is>
      </c>
      <c r="B2198" s="6" t="inlineStr">
        <is>
          <t>Belo Horizonte - MG</t>
        </is>
      </c>
      <c r="C2198" s="6" t="n">
        <v>-19.9102</v>
      </c>
      <c r="D2198" s="6" t="n">
        <v>-43.9266</v>
      </c>
      <c r="E2198" s="6" t="inlineStr">
        <is>
          <t>2022-01</t>
        </is>
      </c>
      <c r="F2198" s="6" t="n">
        <v>284356.5085684055</v>
      </c>
      <c r="G2198" s="6" t="inlineStr">
        <is>
          <t>DOMESTICA</t>
        </is>
      </c>
      <c r="H2198" s="6" t="inlineStr">
        <is>
          <t>FIXO</t>
        </is>
      </c>
      <c r="I2198" s="11">
        <f>IF($H2198="AUTO_OFERTA_TOTAL_PRODUTO_PERIODO",SUMIFS(Oferta!$F:$F,Oferta!$A:$A,$A2198,Oferta!$E:$E,$E2198),$F2198)</f>
        <v/>
      </c>
      <c r="J2198" s="6" t="inlineStr">
        <is>
          <t>Informado</t>
        </is>
      </c>
      <c r="K2198" s="6" t="inlineStr">
        <is>
          <t>Demanda doméstica fixa informada pelo usuário.</t>
        </is>
      </c>
    </row>
    <row r="2199">
      <c r="A2199" s="6" t="inlineStr">
        <is>
          <t>Soja</t>
        </is>
      </c>
      <c r="B2199" s="6" t="inlineStr">
        <is>
          <t>Belo Horizonte - MG</t>
        </is>
      </c>
      <c r="C2199" s="6" t="n">
        <v>-19.9102</v>
      </c>
      <c r="D2199" s="6" t="n">
        <v>-43.9266</v>
      </c>
      <c r="E2199" s="6" t="inlineStr">
        <is>
          <t>2022-02</t>
        </is>
      </c>
      <c r="F2199" s="6" t="n">
        <v>284356.5085684055</v>
      </c>
      <c r="G2199" s="6" t="inlineStr">
        <is>
          <t>DOMESTICA</t>
        </is>
      </c>
      <c r="H2199" s="6" t="inlineStr">
        <is>
          <t>FIXO</t>
        </is>
      </c>
      <c r="I2199" s="11">
        <f>IF($H2199="AUTO_OFERTA_TOTAL_PRODUTO_PERIODO",SUMIFS(Oferta!$F:$F,Oferta!$A:$A,$A2199,Oferta!$E:$E,$E2199),$F2199)</f>
        <v/>
      </c>
      <c r="J2199" s="6" t="inlineStr">
        <is>
          <t>Informado</t>
        </is>
      </c>
      <c r="K2199" s="6" t="inlineStr">
        <is>
          <t>Demanda doméstica fixa informada pelo usuário.</t>
        </is>
      </c>
    </row>
    <row r="2200">
      <c r="A2200" s="6" t="inlineStr">
        <is>
          <t>Soja</t>
        </is>
      </c>
      <c r="B2200" s="6" t="inlineStr">
        <is>
          <t>Belo Horizonte - MG</t>
        </is>
      </c>
      <c r="C2200" s="6" t="n">
        <v>-19.9102</v>
      </c>
      <c r="D2200" s="6" t="n">
        <v>-43.9266</v>
      </c>
      <c r="E2200" s="6" t="inlineStr">
        <is>
          <t>2022-03</t>
        </is>
      </c>
      <c r="F2200" s="6" t="n">
        <v>370199.9828532071</v>
      </c>
      <c r="G2200" s="6" t="inlineStr">
        <is>
          <t>DOMESTICA</t>
        </is>
      </c>
      <c r="H2200" s="6" t="inlineStr">
        <is>
          <t>FIXO</t>
        </is>
      </c>
      <c r="I2200" s="11">
        <f>IF($H2200="AUTO_OFERTA_TOTAL_PRODUTO_PERIODO",SUMIFS(Oferta!$F:$F,Oferta!$A:$A,$A2200,Oferta!$E:$E,$E2200),$F2200)</f>
        <v/>
      </c>
      <c r="J2200" s="6" t="inlineStr">
        <is>
          <t>Informado</t>
        </is>
      </c>
      <c r="K2200" s="6" t="inlineStr">
        <is>
          <t>Demanda doméstica fixa informada pelo usuário.</t>
        </is>
      </c>
    </row>
    <row r="2201">
      <c r="A2201" s="6" t="inlineStr">
        <is>
          <t>Soja</t>
        </is>
      </c>
      <c r="B2201" s="6" t="inlineStr">
        <is>
          <t>Belo Horizonte - MG</t>
        </is>
      </c>
      <c r="C2201" s="6" t="n">
        <v>-19.9102</v>
      </c>
      <c r="D2201" s="6" t="n">
        <v>-43.9266</v>
      </c>
      <c r="E2201" s="6" t="inlineStr">
        <is>
          <t>2022-04</t>
        </is>
      </c>
      <c r="F2201" s="6" t="n">
        <v>541886.9314228103</v>
      </c>
      <c r="G2201" s="6" t="inlineStr">
        <is>
          <t>DOMESTICA</t>
        </is>
      </c>
      <c r="H2201" s="6" t="inlineStr">
        <is>
          <t>FIXO</t>
        </is>
      </c>
      <c r="I2201" s="11">
        <f>IF($H2201="AUTO_OFERTA_TOTAL_PRODUTO_PERIODO",SUMIFS(Oferta!$F:$F,Oferta!$A:$A,$A2201,Oferta!$E:$E,$E2201),$F2201)</f>
        <v/>
      </c>
      <c r="J2201" s="6" t="inlineStr">
        <is>
          <t>Informado</t>
        </is>
      </c>
      <c r="K2201" s="6" t="inlineStr">
        <is>
          <t>Demanda doméstica fixa informada pelo usuário.</t>
        </is>
      </c>
    </row>
    <row r="2202">
      <c r="A2202" s="6" t="inlineStr">
        <is>
          <t>Soja</t>
        </is>
      </c>
      <c r="B2202" s="6" t="inlineStr">
        <is>
          <t>Belo Horizonte - MG</t>
        </is>
      </c>
      <c r="C2202" s="6" t="n">
        <v>-19.9102</v>
      </c>
      <c r="D2202" s="6" t="n">
        <v>-43.9266</v>
      </c>
      <c r="E2202" s="6" t="inlineStr">
        <is>
          <t>2022-05</t>
        </is>
      </c>
      <c r="F2202" s="6" t="n">
        <v>1056947.77713162</v>
      </c>
      <c r="G2202" s="6" t="inlineStr">
        <is>
          <t>DOMESTICA</t>
        </is>
      </c>
      <c r="H2202" s="6" t="inlineStr">
        <is>
          <t>FIXO</t>
        </is>
      </c>
      <c r="I2202" s="11">
        <f>IF($H2202="AUTO_OFERTA_TOTAL_PRODUTO_PERIODO",SUMIFS(Oferta!$F:$F,Oferta!$A:$A,$A2202,Oferta!$E:$E,$E2202),$F2202)</f>
        <v/>
      </c>
      <c r="J2202" s="6" t="inlineStr">
        <is>
          <t>Informado</t>
        </is>
      </c>
      <c r="K2202" s="6" t="inlineStr">
        <is>
          <t>Demanda doméstica fixa informada pelo usuário.</t>
        </is>
      </c>
    </row>
    <row r="2203">
      <c r="A2203" s="6" t="inlineStr">
        <is>
          <t>Soja</t>
        </is>
      </c>
      <c r="B2203" s="6" t="inlineStr">
        <is>
          <t>Belo Horizonte - MG</t>
        </is>
      </c>
      <c r="C2203" s="6" t="n">
        <v>-19.9102</v>
      </c>
      <c r="D2203" s="6" t="n">
        <v>-43.9266</v>
      </c>
      <c r="E2203" s="6" t="inlineStr">
        <is>
          <t>2022-06</t>
        </is>
      </c>
      <c r="F2203" s="6" t="n">
        <v>1056947.77713162</v>
      </c>
      <c r="G2203" s="6" t="inlineStr">
        <is>
          <t>DOMESTICA</t>
        </is>
      </c>
      <c r="H2203" s="6" t="inlineStr">
        <is>
          <t>FIXO</t>
        </is>
      </c>
      <c r="I2203" s="11">
        <f>IF($H2203="AUTO_OFERTA_TOTAL_PRODUTO_PERIODO",SUMIFS(Oferta!$F:$F,Oferta!$A:$A,$A2203,Oferta!$E:$E,$E2203),$F2203)</f>
        <v/>
      </c>
      <c r="J2203" s="6" t="inlineStr">
        <is>
          <t>Informado</t>
        </is>
      </c>
      <c r="K2203" s="6" t="inlineStr">
        <is>
          <t>Demanda doméstica fixa informada pelo usuário.</t>
        </is>
      </c>
    </row>
    <row r="2204">
      <c r="A2204" s="6" t="inlineStr">
        <is>
          <t>Soja</t>
        </is>
      </c>
      <c r="B2204" s="6" t="inlineStr">
        <is>
          <t>Belo Horizonte - MG</t>
        </is>
      </c>
      <c r="C2204" s="6" t="n">
        <v>-19.9102</v>
      </c>
      <c r="D2204" s="6" t="n">
        <v>-43.9266</v>
      </c>
      <c r="E2204" s="6" t="inlineStr">
        <is>
          <t>2022-07</t>
        </is>
      </c>
      <c r="F2204" s="6" t="n">
        <v>885260.8285620171</v>
      </c>
      <c r="G2204" s="6" t="inlineStr">
        <is>
          <t>DOMESTICA</t>
        </is>
      </c>
      <c r="H2204" s="6" t="inlineStr">
        <is>
          <t>FIXO</t>
        </is>
      </c>
      <c r="I2204" s="11">
        <f>IF($H2204="AUTO_OFERTA_TOTAL_PRODUTO_PERIODO",SUMIFS(Oferta!$F:$F,Oferta!$A:$A,$A2204,Oferta!$E:$E,$E2204),$F2204)</f>
        <v/>
      </c>
      <c r="J2204" s="6" t="inlineStr">
        <is>
          <t>Informado</t>
        </is>
      </c>
      <c r="K2204" s="6" t="inlineStr">
        <is>
          <t>Demanda doméstica fixa informada pelo usuário.</t>
        </is>
      </c>
    </row>
    <row r="2205">
      <c r="A2205" s="6" t="inlineStr">
        <is>
          <t>Soja</t>
        </is>
      </c>
      <c r="B2205" s="6" t="inlineStr">
        <is>
          <t>Belo Horizonte - MG</t>
        </is>
      </c>
      <c r="C2205" s="6" t="n">
        <v>-19.9102</v>
      </c>
      <c r="D2205" s="6" t="n">
        <v>-43.9266</v>
      </c>
      <c r="E2205" s="6" t="inlineStr">
        <is>
          <t>2022-08</t>
        </is>
      </c>
      <c r="F2205" s="6" t="n">
        <v>370199.9828532071</v>
      </c>
      <c r="G2205" s="6" t="inlineStr">
        <is>
          <t>DOMESTICA</t>
        </is>
      </c>
      <c r="H2205" s="6" t="inlineStr">
        <is>
          <t>FIXO</t>
        </is>
      </c>
      <c r="I2205" s="11">
        <f>IF($H2205="AUTO_OFERTA_TOTAL_PRODUTO_PERIODO",SUMIFS(Oferta!$F:$F,Oferta!$A:$A,$A2205,Oferta!$E:$E,$E2205),$F2205)</f>
        <v/>
      </c>
      <c r="J2205" s="6" t="inlineStr">
        <is>
          <t>Informado</t>
        </is>
      </c>
      <c r="K2205" s="6" t="inlineStr">
        <is>
          <t>Demanda doméstica fixa informada pelo usuário.</t>
        </is>
      </c>
    </row>
    <row r="2206">
      <c r="A2206" s="6" t="inlineStr">
        <is>
          <t>Soja</t>
        </is>
      </c>
      <c r="B2206" s="6" t="inlineStr">
        <is>
          <t>Belo Horizonte - MG</t>
        </is>
      </c>
      <c r="C2206" s="6" t="n">
        <v>-19.9102</v>
      </c>
      <c r="D2206" s="6" t="n">
        <v>-43.9266</v>
      </c>
      <c r="E2206" s="6" t="inlineStr">
        <is>
          <t>2022-09</t>
        </is>
      </c>
      <c r="F2206" s="6" t="n">
        <v>284356.5085684055</v>
      </c>
      <c r="G2206" s="6" t="inlineStr">
        <is>
          <t>DOMESTICA</t>
        </is>
      </c>
      <c r="H2206" s="6" t="inlineStr">
        <is>
          <t>FIXO</t>
        </is>
      </c>
      <c r="I2206" s="11">
        <f>IF($H2206="AUTO_OFERTA_TOTAL_PRODUTO_PERIODO",SUMIFS(Oferta!$F:$F,Oferta!$A:$A,$A2206,Oferta!$E:$E,$E2206),$F2206)</f>
        <v/>
      </c>
      <c r="J2206" s="6" t="inlineStr">
        <is>
          <t>Informado</t>
        </is>
      </c>
      <c r="K2206" s="6" t="inlineStr">
        <is>
          <t>Demanda doméstica fixa informada pelo usuário.</t>
        </is>
      </c>
    </row>
    <row r="2207">
      <c r="A2207" s="6" t="inlineStr">
        <is>
          <t>Soja</t>
        </is>
      </c>
      <c r="B2207" s="6" t="inlineStr">
        <is>
          <t>Belo Horizonte - MG</t>
        </is>
      </c>
      <c r="C2207" s="6" t="n">
        <v>-19.9102</v>
      </c>
      <c r="D2207" s="6" t="n">
        <v>-43.9266</v>
      </c>
      <c r="E2207" s="6" t="inlineStr">
        <is>
          <t>2022-10</t>
        </is>
      </c>
      <c r="F2207" s="6" t="n">
        <v>284356.5085684055</v>
      </c>
      <c r="G2207" s="6" t="inlineStr">
        <is>
          <t>DOMESTICA</t>
        </is>
      </c>
      <c r="H2207" s="6" t="inlineStr">
        <is>
          <t>FIXO</t>
        </is>
      </c>
      <c r="I2207" s="11">
        <f>IF($H2207="AUTO_OFERTA_TOTAL_PRODUTO_PERIODO",SUMIFS(Oferta!$F:$F,Oferta!$A:$A,$A2207,Oferta!$E:$E,$E2207),$F2207)</f>
        <v/>
      </c>
      <c r="J2207" s="6" t="inlineStr">
        <is>
          <t>Informado</t>
        </is>
      </c>
      <c r="K2207" s="6" t="inlineStr">
        <is>
          <t>Demanda doméstica fixa informada pelo usuário.</t>
        </is>
      </c>
    </row>
    <row r="2208">
      <c r="A2208" s="6" t="inlineStr">
        <is>
          <t>Soja</t>
        </is>
      </c>
      <c r="B2208" s="6" t="inlineStr">
        <is>
          <t>Belo Horizonte - MG</t>
        </is>
      </c>
      <c r="C2208" s="6" t="n">
        <v>-19.9102</v>
      </c>
      <c r="D2208" s="6" t="n">
        <v>-43.9266</v>
      </c>
      <c r="E2208" s="6" t="inlineStr">
        <is>
          <t>2022-11</t>
        </is>
      </c>
      <c r="F2208" s="6" t="n">
        <v>284356.5085684055</v>
      </c>
      <c r="G2208" s="6" t="inlineStr">
        <is>
          <t>DOMESTICA</t>
        </is>
      </c>
      <c r="H2208" s="6" t="inlineStr">
        <is>
          <t>FIXO</t>
        </is>
      </c>
      <c r="I2208" s="11">
        <f>IF($H2208="AUTO_OFERTA_TOTAL_PRODUTO_PERIODO",SUMIFS(Oferta!$F:$F,Oferta!$A:$A,$A2208,Oferta!$E:$E,$E2208),$F2208)</f>
        <v/>
      </c>
      <c r="J2208" s="6" t="inlineStr">
        <is>
          <t>Informado</t>
        </is>
      </c>
      <c r="K2208" s="6" t="inlineStr">
        <is>
          <t>Demanda doméstica fixa informada pelo usuário.</t>
        </is>
      </c>
    </row>
    <row r="2209">
      <c r="A2209" s="6" t="inlineStr">
        <is>
          <t>Soja</t>
        </is>
      </c>
      <c r="B2209" s="6" t="inlineStr">
        <is>
          <t>Belo Horizonte - MG</t>
        </is>
      </c>
      <c r="C2209" s="6" t="n">
        <v>-19.9102</v>
      </c>
      <c r="D2209" s="6" t="n">
        <v>-43.9266</v>
      </c>
      <c r="E2209" s="6" t="inlineStr">
        <is>
          <t>2022-12</t>
        </is>
      </c>
      <c r="F2209" s="6" t="n">
        <v>284356.5085684055</v>
      </c>
      <c r="G2209" s="6" t="inlineStr">
        <is>
          <t>DOMESTICA</t>
        </is>
      </c>
      <c r="H2209" s="6" t="inlineStr">
        <is>
          <t>FIXO</t>
        </is>
      </c>
      <c r="I2209" s="11">
        <f>IF($H2209="AUTO_OFERTA_TOTAL_PRODUTO_PERIODO",SUMIFS(Oferta!$F:$F,Oferta!$A:$A,$A2209,Oferta!$E:$E,$E2209),$F2209)</f>
        <v/>
      </c>
      <c r="J2209" s="6" t="inlineStr">
        <is>
          <t>Informado</t>
        </is>
      </c>
      <c r="K2209" s="6" t="inlineStr">
        <is>
          <t>Demanda doméstica fixa informada pelo usuário.</t>
        </is>
      </c>
    </row>
    <row r="2210">
      <c r="A2210" s="6" t="inlineStr">
        <is>
          <t>Soja</t>
        </is>
      </c>
      <c r="B2210" s="6" t="inlineStr">
        <is>
          <t>Rio de Janeiro - RJ</t>
        </is>
      </c>
      <c r="C2210" s="6" t="n">
        <v>-22.9129</v>
      </c>
      <c r="D2210" s="6" t="n">
        <v>-43.2003</v>
      </c>
      <c r="E2210" s="6" t="inlineStr">
        <is>
          <t>2022-01</t>
        </is>
      </c>
      <c r="F2210" s="6" t="n">
        <v>136084.466168493</v>
      </c>
      <c r="G2210" s="6" t="inlineStr">
        <is>
          <t>DOMESTICA</t>
        </is>
      </c>
      <c r="H2210" s="6" t="inlineStr">
        <is>
          <t>FIXO</t>
        </is>
      </c>
      <c r="I2210" s="11">
        <f>IF($H2210="AUTO_OFERTA_TOTAL_PRODUTO_PERIODO",SUMIFS(Oferta!$F:$F,Oferta!$A:$A,$A2210,Oferta!$E:$E,$E2210),$F2210)</f>
        <v/>
      </c>
      <c r="J2210" s="6" t="inlineStr">
        <is>
          <t>Informado</t>
        </is>
      </c>
      <c r="K2210" s="6" t="inlineStr">
        <is>
          <t>Demanda doméstica fixa informada pelo usuário.</t>
        </is>
      </c>
    </row>
    <row r="2211">
      <c r="A2211" s="6" t="inlineStr">
        <is>
          <t>Soja</t>
        </is>
      </c>
      <c r="B2211" s="6" t="inlineStr">
        <is>
          <t>Rio de Janeiro - RJ</t>
        </is>
      </c>
      <c r="C2211" s="6" t="n">
        <v>-22.9129</v>
      </c>
      <c r="D2211" s="6" t="n">
        <v>-43.2003</v>
      </c>
      <c r="E2211" s="6" t="inlineStr">
        <is>
          <t>2022-02</t>
        </is>
      </c>
      <c r="F2211" s="6" t="n">
        <v>136084.466168493</v>
      </c>
      <c r="G2211" s="6" t="inlineStr">
        <is>
          <t>DOMESTICA</t>
        </is>
      </c>
      <c r="H2211" s="6" t="inlineStr">
        <is>
          <t>FIXO</t>
        </is>
      </c>
      <c r="I2211" s="11">
        <f>IF($H2211="AUTO_OFERTA_TOTAL_PRODUTO_PERIODO",SUMIFS(Oferta!$F:$F,Oferta!$A:$A,$A2211,Oferta!$E:$E,$E2211),$F2211)</f>
        <v/>
      </c>
      <c r="J2211" s="6" t="inlineStr">
        <is>
          <t>Informado</t>
        </is>
      </c>
      <c r="K2211" s="6" t="inlineStr">
        <is>
          <t>Demanda doméstica fixa informada pelo usuário.</t>
        </is>
      </c>
    </row>
    <row r="2212">
      <c r="A2212" s="6" t="inlineStr">
        <is>
          <t>Soja</t>
        </is>
      </c>
      <c r="B2212" s="6" t="inlineStr">
        <is>
          <t>Rio de Janeiro - RJ</t>
        </is>
      </c>
      <c r="C2212" s="6" t="n">
        <v>-22.9129</v>
      </c>
      <c r="D2212" s="6" t="n">
        <v>-43.2003</v>
      </c>
      <c r="E2212" s="6" t="inlineStr">
        <is>
          <t>2022-03</t>
        </is>
      </c>
      <c r="F2212" s="6" t="n">
        <v>136084.466168493</v>
      </c>
      <c r="G2212" s="6" t="inlineStr">
        <is>
          <t>DOMESTICA</t>
        </is>
      </c>
      <c r="H2212" s="6" t="inlineStr">
        <is>
          <t>FIXO</t>
        </is>
      </c>
      <c r="I2212" s="11">
        <f>IF($H2212="AUTO_OFERTA_TOTAL_PRODUTO_PERIODO",SUMIFS(Oferta!$F:$F,Oferta!$A:$A,$A2212,Oferta!$E:$E,$E2212),$F2212)</f>
        <v/>
      </c>
      <c r="J2212" s="6" t="inlineStr">
        <is>
          <t>Informado</t>
        </is>
      </c>
      <c r="K2212" s="6" t="inlineStr">
        <is>
          <t>Demanda doméstica fixa informada pelo usuário.</t>
        </is>
      </c>
    </row>
    <row r="2213">
      <c r="A2213" s="6" t="inlineStr">
        <is>
          <t>Soja</t>
        </is>
      </c>
      <c r="B2213" s="6" t="inlineStr">
        <is>
          <t>Rio de Janeiro - RJ</t>
        </is>
      </c>
      <c r="C2213" s="6" t="n">
        <v>-22.9129</v>
      </c>
      <c r="D2213" s="6" t="n">
        <v>-43.2003</v>
      </c>
      <c r="E2213" s="6" t="inlineStr">
        <is>
          <t>2022-04</t>
        </is>
      </c>
      <c r="F2213" s="6" t="n">
        <v>136084.466168493</v>
      </c>
      <c r="G2213" s="6" t="inlineStr">
        <is>
          <t>DOMESTICA</t>
        </is>
      </c>
      <c r="H2213" s="6" t="inlineStr">
        <is>
          <t>FIXO</t>
        </is>
      </c>
      <c r="I2213" s="11">
        <f>IF($H2213="AUTO_OFERTA_TOTAL_PRODUTO_PERIODO",SUMIFS(Oferta!$F:$F,Oferta!$A:$A,$A2213,Oferta!$E:$E,$E2213),$F2213)</f>
        <v/>
      </c>
      <c r="J2213" s="6" t="inlineStr">
        <is>
          <t>Informado</t>
        </is>
      </c>
      <c r="K2213" s="6" t="inlineStr">
        <is>
          <t>Demanda doméstica fixa informada pelo usuário.</t>
        </is>
      </c>
    </row>
    <row r="2214">
      <c r="A2214" s="6" t="inlineStr">
        <is>
          <t>Soja</t>
        </is>
      </c>
      <c r="B2214" s="6" t="inlineStr">
        <is>
          <t>Rio de Janeiro - RJ</t>
        </is>
      </c>
      <c r="C2214" s="6" t="n">
        <v>-22.9129</v>
      </c>
      <c r="D2214" s="6" t="n">
        <v>-43.2003</v>
      </c>
      <c r="E2214" s="6" t="inlineStr">
        <is>
          <t>2022-05</t>
        </is>
      </c>
      <c r="F2214" s="6" t="n">
        <v>136084.466168493</v>
      </c>
      <c r="G2214" s="6" t="inlineStr">
        <is>
          <t>DOMESTICA</t>
        </is>
      </c>
      <c r="H2214" s="6" t="inlineStr">
        <is>
          <t>FIXO</t>
        </is>
      </c>
      <c r="I2214" s="11">
        <f>IF($H2214="AUTO_OFERTA_TOTAL_PRODUTO_PERIODO",SUMIFS(Oferta!$F:$F,Oferta!$A:$A,$A2214,Oferta!$E:$E,$E2214),$F2214)</f>
        <v/>
      </c>
      <c r="J2214" s="6" t="inlineStr">
        <is>
          <t>Informado</t>
        </is>
      </c>
      <c r="K2214" s="6" t="inlineStr">
        <is>
          <t>Demanda doméstica fixa informada pelo usuário.</t>
        </is>
      </c>
    </row>
    <row r="2215">
      <c r="A2215" s="6" t="inlineStr">
        <is>
          <t>Soja</t>
        </is>
      </c>
      <c r="B2215" s="6" t="inlineStr">
        <is>
          <t>Rio de Janeiro - RJ</t>
        </is>
      </c>
      <c r="C2215" s="6" t="n">
        <v>-22.9129</v>
      </c>
      <c r="D2215" s="6" t="n">
        <v>-43.2003</v>
      </c>
      <c r="E2215" s="6" t="inlineStr">
        <is>
          <t>2022-06</t>
        </is>
      </c>
      <c r="F2215" s="6" t="n">
        <v>136084.466168493</v>
      </c>
      <c r="G2215" s="6" t="inlineStr">
        <is>
          <t>DOMESTICA</t>
        </is>
      </c>
      <c r="H2215" s="6" t="inlineStr">
        <is>
          <t>FIXO</t>
        </is>
      </c>
      <c r="I2215" s="11">
        <f>IF($H2215="AUTO_OFERTA_TOTAL_PRODUTO_PERIODO",SUMIFS(Oferta!$F:$F,Oferta!$A:$A,$A2215,Oferta!$E:$E,$E2215),$F2215)</f>
        <v/>
      </c>
      <c r="J2215" s="6" t="inlineStr">
        <is>
          <t>Informado</t>
        </is>
      </c>
      <c r="K2215" s="6" t="inlineStr">
        <is>
          <t>Demanda doméstica fixa informada pelo usuário.</t>
        </is>
      </c>
    </row>
    <row r="2216">
      <c r="A2216" s="6" t="inlineStr">
        <is>
          <t>Soja</t>
        </is>
      </c>
      <c r="B2216" s="6" t="inlineStr">
        <is>
          <t>Rio de Janeiro - RJ</t>
        </is>
      </c>
      <c r="C2216" s="6" t="n">
        <v>-22.9129</v>
      </c>
      <c r="D2216" s="6" t="n">
        <v>-43.2003</v>
      </c>
      <c r="E2216" s="6" t="inlineStr">
        <is>
          <t>2022-07</t>
        </is>
      </c>
      <c r="F2216" s="6" t="n">
        <v>136084.466168493</v>
      </c>
      <c r="G2216" s="6" t="inlineStr">
        <is>
          <t>DOMESTICA</t>
        </is>
      </c>
      <c r="H2216" s="6" t="inlineStr">
        <is>
          <t>FIXO</t>
        </is>
      </c>
      <c r="I2216" s="11">
        <f>IF($H2216="AUTO_OFERTA_TOTAL_PRODUTO_PERIODO",SUMIFS(Oferta!$F:$F,Oferta!$A:$A,$A2216,Oferta!$E:$E,$E2216),$F2216)</f>
        <v/>
      </c>
      <c r="J2216" s="6" t="inlineStr">
        <is>
          <t>Informado</t>
        </is>
      </c>
      <c r="K2216" s="6" t="inlineStr">
        <is>
          <t>Demanda doméstica fixa informada pelo usuário.</t>
        </is>
      </c>
    </row>
    <row r="2217">
      <c r="A2217" s="6" t="inlineStr">
        <is>
          <t>Soja</t>
        </is>
      </c>
      <c r="B2217" s="6" t="inlineStr">
        <is>
          <t>Rio de Janeiro - RJ</t>
        </is>
      </c>
      <c r="C2217" s="6" t="n">
        <v>-22.9129</v>
      </c>
      <c r="D2217" s="6" t="n">
        <v>-43.2003</v>
      </c>
      <c r="E2217" s="6" t="inlineStr">
        <is>
          <t>2022-08</t>
        </is>
      </c>
      <c r="F2217" s="6" t="n">
        <v>136084.466168493</v>
      </c>
      <c r="G2217" s="6" t="inlineStr">
        <is>
          <t>DOMESTICA</t>
        </is>
      </c>
      <c r="H2217" s="6" t="inlineStr">
        <is>
          <t>FIXO</t>
        </is>
      </c>
      <c r="I2217" s="11">
        <f>IF($H2217="AUTO_OFERTA_TOTAL_PRODUTO_PERIODO",SUMIFS(Oferta!$F:$F,Oferta!$A:$A,$A2217,Oferta!$E:$E,$E2217),$F2217)</f>
        <v/>
      </c>
      <c r="J2217" s="6" t="inlineStr">
        <is>
          <t>Informado</t>
        </is>
      </c>
      <c r="K2217" s="6" t="inlineStr">
        <is>
          <t>Demanda doméstica fixa informada pelo usuário.</t>
        </is>
      </c>
    </row>
    <row r="2218">
      <c r="A2218" s="6" t="inlineStr">
        <is>
          <t>Soja</t>
        </is>
      </c>
      <c r="B2218" s="6" t="inlineStr">
        <is>
          <t>Rio de Janeiro - RJ</t>
        </is>
      </c>
      <c r="C2218" s="6" t="n">
        <v>-22.9129</v>
      </c>
      <c r="D2218" s="6" t="n">
        <v>-43.2003</v>
      </c>
      <c r="E2218" s="6" t="inlineStr">
        <is>
          <t>2022-09</t>
        </is>
      </c>
      <c r="F2218" s="6" t="n">
        <v>136084.466168493</v>
      </c>
      <c r="G2218" s="6" t="inlineStr">
        <is>
          <t>DOMESTICA</t>
        </is>
      </c>
      <c r="H2218" s="6" t="inlineStr">
        <is>
          <t>FIXO</t>
        </is>
      </c>
      <c r="I2218" s="11">
        <f>IF($H2218="AUTO_OFERTA_TOTAL_PRODUTO_PERIODO",SUMIFS(Oferta!$F:$F,Oferta!$A:$A,$A2218,Oferta!$E:$E,$E2218),$F2218)</f>
        <v/>
      </c>
      <c r="J2218" s="6" t="inlineStr">
        <is>
          <t>Informado</t>
        </is>
      </c>
      <c r="K2218" s="6" t="inlineStr">
        <is>
          <t>Demanda doméstica fixa informada pelo usuário.</t>
        </is>
      </c>
    </row>
    <row r="2219">
      <c r="A2219" s="6" t="inlineStr">
        <is>
          <t>Soja</t>
        </is>
      </c>
      <c r="B2219" s="6" t="inlineStr">
        <is>
          <t>Rio de Janeiro - RJ</t>
        </is>
      </c>
      <c r="C2219" s="6" t="n">
        <v>-22.9129</v>
      </c>
      <c r="D2219" s="6" t="n">
        <v>-43.2003</v>
      </c>
      <c r="E2219" s="6" t="inlineStr">
        <is>
          <t>2022-10</t>
        </is>
      </c>
      <c r="F2219" s="6" t="n">
        <v>136084.466168493</v>
      </c>
      <c r="G2219" s="6" t="inlineStr">
        <is>
          <t>DOMESTICA</t>
        </is>
      </c>
      <c r="H2219" s="6" t="inlineStr">
        <is>
          <t>FIXO</t>
        </is>
      </c>
      <c r="I2219" s="11">
        <f>IF($H2219="AUTO_OFERTA_TOTAL_PRODUTO_PERIODO",SUMIFS(Oferta!$F:$F,Oferta!$A:$A,$A2219,Oferta!$E:$E,$E2219),$F2219)</f>
        <v/>
      </c>
      <c r="J2219" s="6" t="inlineStr">
        <is>
          <t>Informado</t>
        </is>
      </c>
      <c r="K2219" s="6" t="inlineStr">
        <is>
          <t>Demanda doméstica fixa informada pelo usuário.</t>
        </is>
      </c>
    </row>
    <row r="2220">
      <c r="A2220" s="6" t="inlineStr">
        <is>
          <t>Soja</t>
        </is>
      </c>
      <c r="B2220" s="6" t="inlineStr">
        <is>
          <t>Rio de Janeiro - RJ</t>
        </is>
      </c>
      <c r="C2220" s="6" t="n">
        <v>-22.9129</v>
      </c>
      <c r="D2220" s="6" t="n">
        <v>-43.2003</v>
      </c>
      <c r="E2220" s="6" t="inlineStr">
        <is>
          <t>2022-11</t>
        </is>
      </c>
      <c r="F2220" s="6" t="n">
        <v>136084.466168493</v>
      </c>
      <c r="G2220" s="6" t="inlineStr">
        <is>
          <t>DOMESTICA</t>
        </is>
      </c>
      <c r="H2220" s="6" t="inlineStr">
        <is>
          <t>FIXO</t>
        </is>
      </c>
      <c r="I2220" s="11">
        <f>IF($H2220="AUTO_OFERTA_TOTAL_PRODUTO_PERIODO",SUMIFS(Oferta!$F:$F,Oferta!$A:$A,$A2220,Oferta!$E:$E,$E2220),$F2220)</f>
        <v/>
      </c>
      <c r="J2220" s="6" t="inlineStr">
        <is>
          <t>Informado</t>
        </is>
      </c>
      <c r="K2220" s="6" t="inlineStr">
        <is>
          <t>Demanda doméstica fixa informada pelo usuário.</t>
        </is>
      </c>
    </row>
    <row r="2221">
      <c r="A2221" s="6" t="inlineStr">
        <is>
          <t>Soja</t>
        </is>
      </c>
      <c r="B2221" s="6" t="inlineStr">
        <is>
          <t>Rio de Janeiro - RJ</t>
        </is>
      </c>
      <c r="C2221" s="6" t="n">
        <v>-22.9129</v>
      </c>
      <c r="D2221" s="6" t="n">
        <v>-43.2003</v>
      </c>
      <c r="E2221" s="6" t="inlineStr">
        <is>
          <t>2022-12</t>
        </is>
      </c>
      <c r="F2221" s="6" t="n">
        <v>136084.466168493</v>
      </c>
      <c r="G2221" s="6" t="inlineStr">
        <is>
          <t>DOMESTICA</t>
        </is>
      </c>
      <c r="H2221" s="6" t="inlineStr">
        <is>
          <t>FIXO</t>
        </is>
      </c>
      <c r="I2221" s="11">
        <f>IF($H2221="AUTO_OFERTA_TOTAL_PRODUTO_PERIODO",SUMIFS(Oferta!$F:$F,Oferta!$A:$A,$A2221,Oferta!$E:$E,$E2221),$F2221)</f>
        <v/>
      </c>
      <c r="J2221" s="6" t="inlineStr">
        <is>
          <t>Informado</t>
        </is>
      </c>
      <c r="K2221" s="6" t="inlineStr">
        <is>
          <t>Demanda doméstica fixa informada pelo usuário.</t>
        </is>
      </c>
    </row>
    <row r="2222">
      <c r="A2222" s="6" t="inlineStr">
        <is>
          <t>Soja</t>
        </is>
      </c>
      <c r="B2222" s="6" t="inlineStr">
        <is>
          <t>São Paulo - SP</t>
        </is>
      </c>
      <c r="C2222" s="6" t="n">
        <v>-23.5329</v>
      </c>
      <c r="D2222" s="6" t="n">
        <v>-46.6395</v>
      </c>
      <c r="E2222" s="6" t="inlineStr">
        <is>
          <t>2022-01</t>
        </is>
      </c>
      <c r="F2222" s="6" t="n">
        <v>519714.4005045476</v>
      </c>
      <c r="G2222" s="6" t="inlineStr">
        <is>
          <t>DOMESTICA</t>
        </is>
      </c>
      <c r="H2222" s="6" t="inlineStr">
        <is>
          <t>FIXO</t>
        </is>
      </c>
      <c r="I2222" s="11">
        <f>IF($H2222="AUTO_OFERTA_TOTAL_PRODUTO_PERIODO",SUMIFS(Oferta!$F:$F,Oferta!$A:$A,$A2222,Oferta!$E:$E,$E2222),$F2222)</f>
        <v/>
      </c>
      <c r="J2222" s="6" t="inlineStr">
        <is>
          <t>Informado</t>
        </is>
      </c>
      <c r="K2222" s="6" t="inlineStr">
        <is>
          <t>Demanda doméstica fixa informada pelo usuário.</t>
        </is>
      </c>
    </row>
    <row r="2223">
      <c r="A2223" s="6" t="inlineStr">
        <is>
          <t>Soja</t>
        </is>
      </c>
      <c r="B2223" s="6" t="inlineStr">
        <is>
          <t>São Paulo - SP</t>
        </is>
      </c>
      <c r="C2223" s="6" t="n">
        <v>-23.5329</v>
      </c>
      <c r="D2223" s="6" t="n">
        <v>-46.6395</v>
      </c>
      <c r="E2223" s="6" t="inlineStr">
        <is>
          <t>2022-02</t>
        </is>
      </c>
      <c r="F2223" s="6" t="n">
        <v>833504.2272242744</v>
      </c>
      <c r="G2223" s="6" t="inlineStr">
        <is>
          <t>DOMESTICA</t>
        </is>
      </c>
      <c r="H2223" s="6" t="inlineStr">
        <is>
          <t>FIXO</t>
        </is>
      </c>
      <c r="I2223" s="11">
        <f>IF($H2223="AUTO_OFERTA_TOTAL_PRODUTO_PERIODO",SUMIFS(Oferta!$F:$F,Oferta!$A:$A,$A2223,Oferta!$E:$E,$E2223),$F2223)</f>
        <v/>
      </c>
      <c r="J2223" s="6" t="inlineStr">
        <is>
          <t>Informado</t>
        </is>
      </c>
      <c r="K2223" s="6" t="inlineStr">
        <is>
          <t>Demanda doméstica fixa informada pelo usuário.</t>
        </is>
      </c>
    </row>
    <row r="2224">
      <c r="A2224" s="6" t="inlineStr">
        <is>
          <t>Soja</t>
        </is>
      </c>
      <c r="B2224" s="6" t="inlineStr">
        <is>
          <t>São Paulo - SP</t>
        </is>
      </c>
      <c r="C2224" s="6" t="n">
        <v>-23.5329</v>
      </c>
      <c r="D2224" s="6" t="n">
        <v>-46.6395</v>
      </c>
      <c r="E2224" s="6" t="inlineStr">
        <is>
          <t>2022-03</t>
        </is>
      </c>
      <c r="F2224" s="6" t="n">
        <v>1147294.053944001</v>
      </c>
      <c r="G2224" s="6" t="inlineStr">
        <is>
          <t>DOMESTICA</t>
        </is>
      </c>
      <c r="H2224" s="6" t="inlineStr">
        <is>
          <t>FIXO</t>
        </is>
      </c>
      <c r="I2224" s="11">
        <f>IF($H2224="AUTO_OFERTA_TOTAL_PRODUTO_PERIODO",SUMIFS(Oferta!$F:$F,Oferta!$A:$A,$A2224,Oferta!$E:$E,$E2224),$F2224)</f>
        <v/>
      </c>
      <c r="J2224" s="6" t="inlineStr">
        <is>
          <t>Informado</t>
        </is>
      </c>
      <c r="K2224" s="6" t="inlineStr">
        <is>
          <t>Demanda doméstica fixa informada pelo usuário.</t>
        </is>
      </c>
    </row>
    <row r="2225">
      <c r="A2225" s="6" t="inlineStr">
        <is>
          <t>Soja</t>
        </is>
      </c>
      <c r="B2225" s="6" t="inlineStr">
        <is>
          <t>São Paulo - SP</t>
        </is>
      </c>
      <c r="C2225" s="6" t="n">
        <v>-23.5329</v>
      </c>
      <c r="D2225" s="6" t="n">
        <v>-46.6395</v>
      </c>
      <c r="E2225" s="6" t="inlineStr">
        <is>
          <t>2022-04</t>
        </is>
      </c>
      <c r="F2225" s="6" t="n">
        <v>2088663.534103181</v>
      </c>
      <c r="G2225" s="6" t="inlineStr">
        <is>
          <t>DOMESTICA</t>
        </is>
      </c>
      <c r="H2225" s="6" t="inlineStr">
        <is>
          <t>FIXO</t>
        </is>
      </c>
      <c r="I2225" s="11">
        <f>IF($H2225="AUTO_OFERTA_TOTAL_PRODUTO_PERIODO",SUMIFS(Oferta!$F:$F,Oferta!$A:$A,$A2225,Oferta!$E:$E,$E2225),$F2225)</f>
        <v/>
      </c>
      <c r="J2225" s="6" t="inlineStr">
        <is>
          <t>Informado</t>
        </is>
      </c>
      <c r="K2225" s="6" t="inlineStr">
        <is>
          <t>Demanda doméstica fixa informada pelo usuário.</t>
        </is>
      </c>
    </row>
    <row r="2226">
      <c r="A2226" s="6" t="inlineStr">
        <is>
          <t>Soja</t>
        </is>
      </c>
      <c r="B2226" s="6" t="inlineStr">
        <is>
          <t>São Paulo - SP</t>
        </is>
      </c>
      <c r="C2226" s="6" t="n">
        <v>-23.5329</v>
      </c>
      <c r="D2226" s="6" t="n">
        <v>-46.6395</v>
      </c>
      <c r="E2226" s="6" t="inlineStr">
        <is>
          <t>2022-05</t>
        </is>
      </c>
      <c r="F2226" s="6" t="n">
        <v>2088663.534103181</v>
      </c>
      <c r="G2226" s="6" t="inlineStr">
        <is>
          <t>DOMESTICA</t>
        </is>
      </c>
      <c r="H2226" s="6" t="inlineStr">
        <is>
          <t>FIXO</t>
        </is>
      </c>
      <c r="I2226" s="11">
        <f>IF($H2226="AUTO_OFERTA_TOTAL_PRODUTO_PERIODO",SUMIFS(Oferta!$F:$F,Oferta!$A:$A,$A2226,Oferta!$E:$E,$E2226),$F2226)</f>
        <v/>
      </c>
      <c r="J2226" s="6" t="inlineStr">
        <is>
          <t>Informado</t>
        </is>
      </c>
      <c r="K2226" s="6" t="inlineStr">
        <is>
          <t>Demanda doméstica fixa informada pelo usuário.</t>
        </is>
      </c>
    </row>
    <row r="2227">
      <c r="A2227" s="6" t="inlineStr">
        <is>
          <t>Soja</t>
        </is>
      </c>
      <c r="B2227" s="6" t="inlineStr">
        <is>
          <t>São Paulo - SP</t>
        </is>
      </c>
      <c r="C2227" s="6" t="n">
        <v>-23.5329</v>
      </c>
      <c r="D2227" s="6" t="n">
        <v>-46.6395</v>
      </c>
      <c r="E2227" s="6" t="inlineStr">
        <is>
          <t>2022-06</t>
        </is>
      </c>
      <c r="F2227" s="6" t="n">
        <v>1774873.707383455</v>
      </c>
      <c r="G2227" s="6" t="inlineStr">
        <is>
          <t>DOMESTICA</t>
        </is>
      </c>
      <c r="H2227" s="6" t="inlineStr">
        <is>
          <t>FIXO</t>
        </is>
      </c>
      <c r="I2227" s="11">
        <f>IF($H2227="AUTO_OFERTA_TOTAL_PRODUTO_PERIODO",SUMIFS(Oferta!$F:$F,Oferta!$A:$A,$A2227,Oferta!$E:$E,$E2227),$F2227)</f>
        <v/>
      </c>
      <c r="J2227" s="6" t="inlineStr">
        <is>
          <t>Informado</t>
        </is>
      </c>
      <c r="K2227" s="6" t="inlineStr">
        <is>
          <t>Demanda doméstica fixa informada pelo usuário.</t>
        </is>
      </c>
    </row>
    <row r="2228">
      <c r="A2228" s="6" t="inlineStr">
        <is>
          <t>Soja</t>
        </is>
      </c>
      <c r="B2228" s="6" t="inlineStr">
        <is>
          <t>São Paulo - SP</t>
        </is>
      </c>
      <c r="C2228" s="6" t="n">
        <v>-23.5329</v>
      </c>
      <c r="D2228" s="6" t="n">
        <v>-46.6395</v>
      </c>
      <c r="E2228" s="6" t="inlineStr">
        <is>
          <t>2022-07</t>
        </is>
      </c>
      <c r="F2228" s="6" t="n">
        <v>833504.2272242744</v>
      </c>
      <c r="G2228" s="6" t="inlineStr">
        <is>
          <t>DOMESTICA</t>
        </is>
      </c>
      <c r="H2228" s="6" t="inlineStr">
        <is>
          <t>FIXO</t>
        </is>
      </c>
      <c r="I2228" s="11">
        <f>IF($H2228="AUTO_OFERTA_TOTAL_PRODUTO_PERIODO",SUMIFS(Oferta!$F:$F,Oferta!$A:$A,$A2228,Oferta!$E:$E,$E2228),$F2228)</f>
        <v/>
      </c>
      <c r="J2228" s="6" t="inlineStr">
        <is>
          <t>Informado</t>
        </is>
      </c>
      <c r="K2228" s="6" t="inlineStr">
        <is>
          <t>Demanda doméstica fixa informada pelo usuário.</t>
        </is>
      </c>
    </row>
    <row r="2229">
      <c r="A2229" s="6" t="inlineStr">
        <is>
          <t>Soja</t>
        </is>
      </c>
      <c r="B2229" s="6" t="inlineStr">
        <is>
          <t>São Paulo - SP</t>
        </is>
      </c>
      <c r="C2229" s="6" t="n">
        <v>-23.5329</v>
      </c>
      <c r="D2229" s="6" t="n">
        <v>-46.6395</v>
      </c>
      <c r="E2229" s="6" t="inlineStr">
        <is>
          <t>2022-08</t>
        </is>
      </c>
      <c r="F2229" s="6" t="n">
        <v>519714.4005045476</v>
      </c>
      <c r="G2229" s="6" t="inlineStr">
        <is>
          <t>DOMESTICA</t>
        </is>
      </c>
      <c r="H2229" s="6" t="inlineStr">
        <is>
          <t>FIXO</t>
        </is>
      </c>
      <c r="I2229" s="11">
        <f>IF($H2229="AUTO_OFERTA_TOTAL_PRODUTO_PERIODO",SUMIFS(Oferta!$F:$F,Oferta!$A:$A,$A2229,Oferta!$E:$E,$E2229),$F2229)</f>
        <v/>
      </c>
      <c r="J2229" s="6" t="inlineStr">
        <is>
          <t>Informado</t>
        </is>
      </c>
      <c r="K2229" s="6" t="inlineStr">
        <is>
          <t>Demanda doméstica fixa informada pelo usuário.</t>
        </is>
      </c>
    </row>
    <row r="2230">
      <c r="A2230" s="6" t="inlineStr">
        <is>
          <t>Soja</t>
        </is>
      </c>
      <c r="B2230" s="6" t="inlineStr">
        <is>
          <t>São Paulo - SP</t>
        </is>
      </c>
      <c r="C2230" s="6" t="n">
        <v>-23.5329</v>
      </c>
      <c r="D2230" s="6" t="n">
        <v>-46.6395</v>
      </c>
      <c r="E2230" s="6" t="inlineStr">
        <is>
          <t>2022-09</t>
        </is>
      </c>
      <c r="F2230" s="6" t="n">
        <v>519714.4005045476</v>
      </c>
      <c r="G2230" s="6" t="inlineStr">
        <is>
          <t>DOMESTICA</t>
        </is>
      </c>
      <c r="H2230" s="6" t="inlineStr">
        <is>
          <t>FIXO</t>
        </is>
      </c>
      <c r="I2230" s="11">
        <f>IF($H2230="AUTO_OFERTA_TOTAL_PRODUTO_PERIODO",SUMIFS(Oferta!$F:$F,Oferta!$A:$A,$A2230,Oferta!$E:$E,$E2230),$F2230)</f>
        <v/>
      </c>
      <c r="J2230" s="6" t="inlineStr">
        <is>
          <t>Informado</t>
        </is>
      </c>
      <c r="K2230" s="6" t="inlineStr">
        <is>
          <t>Demanda doméstica fixa informada pelo usuário.</t>
        </is>
      </c>
    </row>
    <row r="2231">
      <c r="A2231" s="6" t="inlineStr">
        <is>
          <t>Soja</t>
        </is>
      </c>
      <c r="B2231" s="6" t="inlineStr">
        <is>
          <t>São Paulo - SP</t>
        </is>
      </c>
      <c r="C2231" s="6" t="n">
        <v>-23.5329</v>
      </c>
      <c r="D2231" s="6" t="n">
        <v>-46.6395</v>
      </c>
      <c r="E2231" s="6" t="inlineStr">
        <is>
          <t>2022-10</t>
        </is>
      </c>
      <c r="F2231" s="6" t="n">
        <v>519714.4005045476</v>
      </c>
      <c r="G2231" s="6" t="inlineStr">
        <is>
          <t>DOMESTICA</t>
        </is>
      </c>
      <c r="H2231" s="6" t="inlineStr">
        <is>
          <t>FIXO</t>
        </is>
      </c>
      <c r="I2231" s="11">
        <f>IF($H2231="AUTO_OFERTA_TOTAL_PRODUTO_PERIODO",SUMIFS(Oferta!$F:$F,Oferta!$A:$A,$A2231,Oferta!$E:$E,$E2231),$F2231)</f>
        <v/>
      </c>
      <c r="J2231" s="6" t="inlineStr">
        <is>
          <t>Informado</t>
        </is>
      </c>
      <c r="K2231" s="6" t="inlineStr">
        <is>
          <t>Demanda doméstica fixa informada pelo usuário.</t>
        </is>
      </c>
    </row>
    <row r="2232">
      <c r="A2232" s="6" t="inlineStr">
        <is>
          <t>Soja</t>
        </is>
      </c>
      <c r="B2232" s="6" t="inlineStr">
        <is>
          <t>São Paulo - SP</t>
        </is>
      </c>
      <c r="C2232" s="6" t="n">
        <v>-23.5329</v>
      </c>
      <c r="D2232" s="6" t="n">
        <v>-46.6395</v>
      </c>
      <c r="E2232" s="6" t="inlineStr">
        <is>
          <t>2022-11</t>
        </is>
      </c>
      <c r="F2232" s="6" t="n">
        <v>519714.4005045476</v>
      </c>
      <c r="G2232" s="6" t="inlineStr">
        <is>
          <t>DOMESTICA</t>
        </is>
      </c>
      <c r="H2232" s="6" t="inlineStr">
        <is>
          <t>FIXO</t>
        </is>
      </c>
      <c r="I2232" s="11">
        <f>IF($H2232="AUTO_OFERTA_TOTAL_PRODUTO_PERIODO",SUMIFS(Oferta!$F:$F,Oferta!$A:$A,$A2232,Oferta!$E:$E,$E2232),$F2232)</f>
        <v/>
      </c>
      <c r="J2232" s="6" t="inlineStr">
        <is>
          <t>Informado</t>
        </is>
      </c>
      <c r="K2232" s="6" t="inlineStr">
        <is>
          <t>Demanda doméstica fixa informada pelo usuário.</t>
        </is>
      </c>
    </row>
    <row r="2233">
      <c r="A2233" s="6" t="inlineStr">
        <is>
          <t>Soja</t>
        </is>
      </c>
      <c r="B2233" s="6" t="inlineStr">
        <is>
          <t>São Paulo - SP</t>
        </is>
      </c>
      <c r="C2233" s="6" t="n">
        <v>-23.5329</v>
      </c>
      <c r="D2233" s="6" t="n">
        <v>-46.6395</v>
      </c>
      <c r="E2233" s="6" t="inlineStr">
        <is>
          <t>2022-12</t>
        </is>
      </c>
      <c r="F2233" s="6" t="n">
        <v>519714.4005045476</v>
      </c>
      <c r="G2233" s="6" t="inlineStr">
        <is>
          <t>DOMESTICA</t>
        </is>
      </c>
      <c r="H2233" s="6" t="inlineStr">
        <is>
          <t>FIXO</t>
        </is>
      </c>
      <c r="I2233" s="11">
        <f>IF($H2233="AUTO_OFERTA_TOTAL_PRODUTO_PERIODO",SUMIFS(Oferta!$F:$F,Oferta!$A:$A,$A2233,Oferta!$E:$E,$E2233),$F2233)</f>
        <v/>
      </c>
      <c r="J2233" s="6" t="inlineStr">
        <is>
          <t>Informado</t>
        </is>
      </c>
      <c r="K2233" s="6" t="inlineStr">
        <is>
          <t>Demanda doméstica fixa informada pelo usuário.</t>
        </is>
      </c>
    </row>
    <row r="2234">
      <c r="A2234" s="6" t="inlineStr">
        <is>
          <t>Soja</t>
        </is>
      </c>
      <c r="B2234" s="6" t="inlineStr">
        <is>
          <t>Curitiba - PR</t>
        </is>
      </c>
      <c r="C2234" s="6" t="n">
        <v>-25.4195</v>
      </c>
      <c r="D2234" s="6" t="n">
        <v>-49.2646</v>
      </c>
      <c r="E2234" s="6" t="inlineStr">
        <is>
          <t>2022-01</t>
        </is>
      </c>
      <c r="F2234" s="6" t="n">
        <v>270482.4166603263</v>
      </c>
      <c r="G2234" s="6" t="inlineStr">
        <is>
          <t>DOMESTICA</t>
        </is>
      </c>
      <c r="H2234" s="6" t="inlineStr">
        <is>
          <t>FIXO</t>
        </is>
      </c>
      <c r="I2234" s="11">
        <f>IF($H2234="AUTO_OFERTA_TOTAL_PRODUTO_PERIODO",SUMIFS(Oferta!$F:$F,Oferta!$A:$A,$A2234,Oferta!$E:$E,$E2234),$F2234)</f>
        <v/>
      </c>
      <c r="J2234" s="6" t="inlineStr">
        <is>
          <t>Informado</t>
        </is>
      </c>
      <c r="K2234" s="6" t="inlineStr">
        <is>
          <t>Demanda doméstica fixa informada pelo usuário.</t>
        </is>
      </c>
    </row>
    <row r="2235">
      <c r="A2235" s="6" t="inlineStr">
        <is>
          <t>Soja</t>
        </is>
      </c>
      <c r="B2235" s="6" t="inlineStr">
        <is>
          <t>Curitiba - PR</t>
        </is>
      </c>
      <c r="C2235" s="6" t="n">
        <v>-25.4195</v>
      </c>
      <c r="D2235" s="6" t="n">
        <v>-49.2646</v>
      </c>
      <c r="E2235" s="6" t="inlineStr">
        <is>
          <t>2022-02</t>
        </is>
      </c>
      <c r="F2235" s="6" t="n">
        <v>352137.4858408021</v>
      </c>
      <c r="G2235" s="6" t="inlineStr">
        <is>
          <t>DOMESTICA</t>
        </is>
      </c>
      <c r="H2235" s="6" t="inlineStr">
        <is>
          <t>FIXO</t>
        </is>
      </c>
      <c r="I2235" s="11">
        <f>IF($H2235="AUTO_OFERTA_TOTAL_PRODUTO_PERIODO",SUMIFS(Oferta!$F:$F,Oferta!$A:$A,$A2235,Oferta!$E:$E,$E2235),$F2235)</f>
        <v/>
      </c>
      <c r="J2235" s="6" t="inlineStr">
        <is>
          <t>Informado</t>
        </is>
      </c>
      <c r="K2235" s="6" t="inlineStr">
        <is>
          <t>Demanda doméstica fixa informada pelo usuário.</t>
        </is>
      </c>
    </row>
    <row r="2236">
      <c r="A2236" s="6" t="inlineStr">
        <is>
          <t>Soja</t>
        </is>
      </c>
      <c r="B2236" s="6" t="inlineStr">
        <is>
          <t>Curitiba - PR</t>
        </is>
      </c>
      <c r="C2236" s="6" t="n">
        <v>-25.4195</v>
      </c>
      <c r="D2236" s="6" t="n">
        <v>-49.2646</v>
      </c>
      <c r="E2236" s="6" t="inlineStr">
        <is>
          <t>2022-03</t>
        </is>
      </c>
      <c r="F2236" s="6" t="n">
        <v>515447.6242017538</v>
      </c>
      <c r="G2236" s="6" t="inlineStr">
        <is>
          <t>DOMESTICA</t>
        </is>
      </c>
      <c r="H2236" s="6" t="inlineStr">
        <is>
          <t>FIXO</t>
        </is>
      </c>
      <c r="I2236" s="11">
        <f>IF($H2236="AUTO_OFERTA_TOTAL_PRODUTO_PERIODO",SUMIFS(Oferta!$F:$F,Oferta!$A:$A,$A2236,Oferta!$E:$E,$E2236),$F2236)</f>
        <v/>
      </c>
      <c r="J2236" s="6" t="inlineStr">
        <is>
          <t>Informado</t>
        </is>
      </c>
      <c r="K2236" s="6" t="inlineStr">
        <is>
          <t>Demanda doméstica fixa informada pelo usuário.</t>
        </is>
      </c>
    </row>
    <row r="2237">
      <c r="A2237" s="6" t="inlineStr">
        <is>
          <t>Soja</t>
        </is>
      </c>
      <c r="B2237" s="6" t="inlineStr">
        <is>
          <t>Curitiba - PR</t>
        </is>
      </c>
      <c r="C2237" s="6" t="n">
        <v>-25.4195</v>
      </c>
      <c r="D2237" s="6" t="n">
        <v>-49.2646</v>
      </c>
      <c r="E2237" s="6" t="inlineStr">
        <is>
          <t>2022-04</t>
        </is>
      </c>
      <c r="F2237" s="6" t="n">
        <v>842067.9009236572</v>
      </c>
      <c r="G2237" s="6" t="inlineStr">
        <is>
          <t>DOMESTICA</t>
        </is>
      </c>
      <c r="H2237" s="6" t="inlineStr">
        <is>
          <t>FIXO</t>
        </is>
      </c>
      <c r="I2237" s="11">
        <f>IF($H2237="AUTO_OFERTA_TOTAL_PRODUTO_PERIODO",SUMIFS(Oferta!$F:$F,Oferta!$A:$A,$A2237,Oferta!$E:$E,$E2237),$F2237)</f>
        <v/>
      </c>
      <c r="J2237" s="6" t="inlineStr">
        <is>
          <t>Informado</t>
        </is>
      </c>
      <c r="K2237" s="6" t="inlineStr">
        <is>
          <t>Demanda doméstica fixa informada pelo usuário.</t>
        </is>
      </c>
    </row>
    <row r="2238">
      <c r="A2238" s="6" t="inlineStr">
        <is>
          <t>Soja</t>
        </is>
      </c>
      <c r="B2238" s="6" t="inlineStr">
        <is>
          <t>Curitiba - PR</t>
        </is>
      </c>
      <c r="C2238" s="6" t="n">
        <v>-25.4195</v>
      </c>
      <c r="D2238" s="6" t="n">
        <v>-49.2646</v>
      </c>
      <c r="E2238" s="6" t="inlineStr">
        <is>
          <t>2022-05</t>
        </is>
      </c>
      <c r="F2238" s="6" t="n">
        <v>923722.9701041334</v>
      </c>
      <c r="G2238" s="6" t="inlineStr">
        <is>
          <t>DOMESTICA</t>
        </is>
      </c>
      <c r="H2238" s="6" t="inlineStr">
        <is>
          <t>FIXO</t>
        </is>
      </c>
      <c r="I2238" s="11">
        <f>IF($H2238="AUTO_OFERTA_TOTAL_PRODUTO_PERIODO",SUMIFS(Oferta!$F:$F,Oferta!$A:$A,$A2238,Oferta!$E:$E,$E2238),$F2238)</f>
        <v/>
      </c>
      <c r="J2238" s="6" t="inlineStr">
        <is>
          <t>Informado</t>
        </is>
      </c>
      <c r="K2238" s="6" t="inlineStr">
        <is>
          <t>Demanda doméstica fixa informada pelo usuário.</t>
        </is>
      </c>
    </row>
    <row r="2239">
      <c r="A2239" s="6" t="inlineStr">
        <is>
          <t>Soja</t>
        </is>
      </c>
      <c r="B2239" s="6" t="inlineStr">
        <is>
          <t>Curitiba - PR</t>
        </is>
      </c>
      <c r="C2239" s="6" t="n">
        <v>-25.4195</v>
      </c>
      <c r="D2239" s="6" t="n">
        <v>-49.2646</v>
      </c>
      <c r="E2239" s="6" t="inlineStr">
        <is>
          <t>2022-06</t>
        </is>
      </c>
      <c r="F2239" s="6" t="n">
        <v>760412.8317431813</v>
      </c>
      <c r="G2239" s="6" t="inlineStr">
        <is>
          <t>DOMESTICA</t>
        </is>
      </c>
      <c r="H2239" s="6" t="inlineStr">
        <is>
          <t>FIXO</t>
        </is>
      </c>
      <c r="I2239" s="11">
        <f>IF($H2239="AUTO_OFERTA_TOTAL_PRODUTO_PERIODO",SUMIFS(Oferta!$F:$F,Oferta!$A:$A,$A2239,Oferta!$E:$E,$E2239),$F2239)</f>
        <v/>
      </c>
      <c r="J2239" s="6" t="inlineStr">
        <is>
          <t>Informado</t>
        </is>
      </c>
      <c r="K2239" s="6" t="inlineStr">
        <is>
          <t>Demanda doméstica fixa informada pelo usuário.</t>
        </is>
      </c>
    </row>
    <row r="2240">
      <c r="A2240" s="6" t="inlineStr">
        <is>
          <t>Soja</t>
        </is>
      </c>
      <c r="B2240" s="6" t="inlineStr">
        <is>
          <t>Curitiba - PR</t>
        </is>
      </c>
      <c r="C2240" s="6" t="n">
        <v>-25.4195</v>
      </c>
      <c r="D2240" s="6" t="n">
        <v>-49.2646</v>
      </c>
      <c r="E2240" s="6" t="inlineStr">
        <is>
          <t>2022-07</t>
        </is>
      </c>
      <c r="F2240" s="6" t="n">
        <v>433792.5550212779</v>
      </c>
      <c r="G2240" s="6" t="inlineStr">
        <is>
          <t>DOMESTICA</t>
        </is>
      </c>
      <c r="H2240" s="6" t="inlineStr">
        <is>
          <t>FIXO</t>
        </is>
      </c>
      <c r="I2240" s="11">
        <f>IF($H2240="AUTO_OFERTA_TOTAL_PRODUTO_PERIODO",SUMIFS(Oferta!$F:$F,Oferta!$A:$A,$A2240,Oferta!$E:$E,$E2240),$F2240)</f>
        <v/>
      </c>
      <c r="J2240" s="6" t="inlineStr">
        <is>
          <t>Informado</t>
        </is>
      </c>
      <c r="K2240" s="6" t="inlineStr">
        <is>
          <t>Demanda doméstica fixa informada pelo usuário.</t>
        </is>
      </c>
    </row>
    <row r="2241">
      <c r="A2241" s="6" t="inlineStr">
        <is>
          <t>Soja</t>
        </is>
      </c>
      <c r="B2241" s="6" t="inlineStr">
        <is>
          <t>Curitiba - PR</t>
        </is>
      </c>
      <c r="C2241" s="6" t="n">
        <v>-25.4195</v>
      </c>
      <c r="D2241" s="6" t="n">
        <v>-49.2646</v>
      </c>
      <c r="E2241" s="6" t="inlineStr">
        <is>
          <t>2022-08</t>
        </is>
      </c>
      <c r="F2241" s="6" t="n">
        <v>270482.4166603263</v>
      </c>
      <c r="G2241" s="6" t="inlineStr">
        <is>
          <t>DOMESTICA</t>
        </is>
      </c>
      <c r="H2241" s="6" t="inlineStr">
        <is>
          <t>FIXO</t>
        </is>
      </c>
      <c r="I2241" s="11">
        <f>IF($H2241="AUTO_OFERTA_TOTAL_PRODUTO_PERIODO",SUMIFS(Oferta!$F:$F,Oferta!$A:$A,$A2241,Oferta!$E:$E,$E2241),$F2241)</f>
        <v/>
      </c>
      <c r="J2241" s="6" t="inlineStr">
        <is>
          <t>Informado</t>
        </is>
      </c>
      <c r="K2241" s="6" t="inlineStr">
        <is>
          <t>Demanda doméstica fixa informada pelo usuário.</t>
        </is>
      </c>
    </row>
    <row r="2242">
      <c r="A2242" s="6" t="inlineStr">
        <is>
          <t>Soja</t>
        </is>
      </c>
      <c r="B2242" s="6" t="inlineStr">
        <is>
          <t>Curitiba - PR</t>
        </is>
      </c>
      <c r="C2242" s="6" t="n">
        <v>-25.4195</v>
      </c>
      <c r="D2242" s="6" t="n">
        <v>-49.2646</v>
      </c>
      <c r="E2242" s="6" t="inlineStr">
        <is>
          <t>2022-09</t>
        </is>
      </c>
      <c r="F2242" s="6" t="n">
        <v>270482.4166603263</v>
      </c>
      <c r="G2242" s="6" t="inlineStr">
        <is>
          <t>DOMESTICA</t>
        </is>
      </c>
      <c r="H2242" s="6" t="inlineStr">
        <is>
          <t>FIXO</t>
        </is>
      </c>
      <c r="I2242" s="11">
        <f>IF($H2242="AUTO_OFERTA_TOTAL_PRODUTO_PERIODO",SUMIFS(Oferta!$F:$F,Oferta!$A:$A,$A2242,Oferta!$E:$E,$E2242),$F2242)</f>
        <v/>
      </c>
      <c r="J2242" s="6" t="inlineStr">
        <is>
          <t>Informado</t>
        </is>
      </c>
      <c r="K2242" s="6" t="inlineStr">
        <is>
          <t>Demanda doméstica fixa informada pelo usuário.</t>
        </is>
      </c>
    </row>
    <row r="2243">
      <c r="A2243" s="6" t="inlineStr">
        <is>
          <t>Soja</t>
        </is>
      </c>
      <c r="B2243" s="6" t="inlineStr">
        <is>
          <t>Curitiba - PR</t>
        </is>
      </c>
      <c r="C2243" s="6" t="n">
        <v>-25.4195</v>
      </c>
      <c r="D2243" s="6" t="n">
        <v>-49.2646</v>
      </c>
      <c r="E2243" s="6" t="inlineStr">
        <is>
          <t>2022-10</t>
        </is>
      </c>
      <c r="F2243" s="6" t="n">
        <v>270482.4166603263</v>
      </c>
      <c r="G2243" s="6" t="inlineStr">
        <is>
          <t>DOMESTICA</t>
        </is>
      </c>
      <c r="H2243" s="6" t="inlineStr">
        <is>
          <t>FIXO</t>
        </is>
      </c>
      <c r="I2243" s="11">
        <f>IF($H2243="AUTO_OFERTA_TOTAL_PRODUTO_PERIODO",SUMIFS(Oferta!$F:$F,Oferta!$A:$A,$A2243,Oferta!$E:$E,$E2243),$F2243)</f>
        <v/>
      </c>
      <c r="J2243" s="6" t="inlineStr">
        <is>
          <t>Informado</t>
        </is>
      </c>
      <c r="K2243" s="6" t="inlineStr">
        <is>
          <t>Demanda doméstica fixa informada pelo usuário.</t>
        </is>
      </c>
    </row>
    <row r="2244">
      <c r="A2244" s="6" t="inlineStr">
        <is>
          <t>Soja</t>
        </is>
      </c>
      <c r="B2244" s="6" t="inlineStr">
        <is>
          <t>Curitiba - PR</t>
        </is>
      </c>
      <c r="C2244" s="6" t="n">
        <v>-25.4195</v>
      </c>
      <c r="D2244" s="6" t="n">
        <v>-49.2646</v>
      </c>
      <c r="E2244" s="6" t="inlineStr">
        <is>
          <t>2022-11</t>
        </is>
      </c>
      <c r="F2244" s="6" t="n">
        <v>270482.4166603263</v>
      </c>
      <c r="G2244" s="6" t="inlineStr">
        <is>
          <t>DOMESTICA</t>
        </is>
      </c>
      <c r="H2244" s="6" t="inlineStr">
        <is>
          <t>FIXO</t>
        </is>
      </c>
      <c r="I2244" s="11">
        <f>IF($H2244="AUTO_OFERTA_TOTAL_PRODUTO_PERIODO",SUMIFS(Oferta!$F:$F,Oferta!$A:$A,$A2244,Oferta!$E:$E,$E2244),$F2244)</f>
        <v/>
      </c>
      <c r="J2244" s="6" t="inlineStr">
        <is>
          <t>Informado</t>
        </is>
      </c>
      <c r="K2244" s="6" t="inlineStr">
        <is>
          <t>Demanda doméstica fixa informada pelo usuário.</t>
        </is>
      </c>
    </row>
    <row r="2245">
      <c r="A2245" s="6" t="inlineStr">
        <is>
          <t>Soja</t>
        </is>
      </c>
      <c r="B2245" s="6" t="inlineStr">
        <is>
          <t>Curitiba - PR</t>
        </is>
      </c>
      <c r="C2245" s="6" t="n">
        <v>-25.4195</v>
      </c>
      <c r="D2245" s="6" t="n">
        <v>-49.2646</v>
      </c>
      <c r="E2245" s="6" t="inlineStr">
        <is>
          <t>2022-12</t>
        </is>
      </c>
      <c r="F2245" s="6" t="n">
        <v>270482.4166603263</v>
      </c>
      <c r="G2245" s="6" t="inlineStr">
        <is>
          <t>DOMESTICA</t>
        </is>
      </c>
      <c r="H2245" s="6" t="inlineStr">
        <is>
          <t>FIXO</t>
        </is>
      </c>
      <c r="I2245" s="11">
        <f>IF($H2245="AUTO_OFERTA_TOTAL_PRODUTO_PERIODO",SUMIFS(Oferta!$F:$F,Oferta!$A:$A,$A2245,Oferta!$E:$E,$E2245),$F2245)</f>
        <v/>
      </c>
      <c r="J2245" s="6" t="inlineStr">
        <is>
          <t>Informado</t>
        </is>
      </c>
      <c r="K2245" s="6" t="inlineStr">
        <is>
          <t>Demanda doméstica fixa informada pelo usuário.</t>
        </is>
      </c>
    </row>
    <row r="2246">
      <c r="A2246" s="6" t="inlineStr">
        <is>
          <t>Soja</t>
        </is>
      </c>
      <c r="B2246" s="6" t="inlineStr">
        <is>
          <t>Florianópolis - SC</t>
        </is>
      </c>
      <c r="C2246" s="6" t="n">
        <v>-27.5945</v>
      </c>
      <c r="D2246" s="6" t="n">
        <v>-48.5477</v>
      </c>
      <c r="E2246" s="6" t="inlineStr">
        <is>
          <t>2022-01</t>
        </is>
      </c>
      <c r="F2246" s="6" t="n">
        <v>119033.4590954357</v>
      </c>
      <c r="G2246" s="6" t="inlineStr">
        <is>
          <t>DOMESTICA</t>
        </is>
      </c>
      <c r="H2246" s="6" t="inlineStr">
        <is>
          <t>FIXO</t>
        </is>
      </c>
      <c r="I2246" s="11">
        <f>IF($H2246="AUTO_OFERTA_TOTAL_PRODUTO_PERIODO",SUMIFS(Oferta!$F:$F,Oferta!$A:$A,$A2246,Oferta!$E:$E,$E2246),$F2246)</f>
        <v/>
      </c>
      <c r="J2246" s="6" t="inlineStr">
        <is>
          <t>Informado</t>
        </is>
      </c>
      <c r="K2246" s="6" t="inlineStr">
        <is>
          <t>Demanda doméstica fixa informada pelo usuário.</t>
        </is>
      </c>
    </row>
    <row r="2247">
      <c r="A2247" s="6" t="inlineStr">
        <is>
          <t>Soja</t>
        </is>
      </c>
      <c r="B2247" s="6" t="inlineStr">
        <is>
          <t>Florianópolis - SC</t>
        </is>
      </c>
      <c r="C2247" s="6" t="n">
        <v>-27.5945</v>
      </c>
      <c r="D2247" s="6" t="n">
        <v>-48.5477</v>
      </c>
      <c r="E2247" s="6" t="inlineStr">
        <is>
          <t>2022-02</t>
        </is>
      </c>
      <c r="F2247" s="6" t="n">
        <v>119033.4590954357</v>
      </c>
      <c r="G2247" s="6" t="inlineStr">
        <is>
          <t>DOMESTICA</t>
        </is>
      </c>
      <c r="H2247" s="6" t="inlineStr">
        <is>
          <t>FIXO</t>
        </is>
      </c>
      <c r="I2247" s="11">
        <f>IF($H2247="AUTO_OFERTA_TOTAL_PRODUTO_PERIODO",SUMIFS(Oferta!$F:$F,Oferta!$A:$A,$A2247,Oferta!$E:$E,$E2247),$F2247)</f>
        <v/>
      </c>
      <c r="J2247" s="6" t="inlineStr">
        <is>
          <t>Informado</t>
        </is>
      </c>
      <c r="K2247" s="6" t="inlineStr">
        <is>
          <t>Demanda doméstica fixa informada pelo usuário.</t>
        </is>
      </c>
    </row>
    <row r="2248">
      <c r="A2248" s="6" t="inlineStr">
        <is>
          <t>Soja</t>
        </is>
      </c>
      <c r="B2248" s="6" t="inlineStr">
        <is>
          <t>Florianópolis - SC</t>
        </is>
      </c>
      <c r="C2248" s="6" t="n">
        <v>-27.5945</v>
      </c>
      <c r="D2248" s="6" t="n">
        <v>-48.5477</v>
      </c>
      <c r="E2248" s="6" t="inlineStr">
        <is>
          <t>2022-03</t>
        </is>
      </c>
      <c r="F2248" s="6" t="n">
        <v>190902.7174172081</v>
      </c>
      <c r="G2248" s="6" t="inlineStr">
        <is>
          <t>DOMESTICA</t>
        </is>
      </c>
      <c r="H2248" s="6" t="inlineStr">
        <is>
          <t>FIXO</t>
        </is>
      </c>
      <c r="I2248" s="11">
        <f>IF($H2248="AUTO_OFERTA_TOTAL_PRODUTO_PERIODO",SUMIFS(Oferta!$F:$F,Oferta!$A:$A,$A2248,Oferta!$E:$E,$E2248),$F2248)</f>
        <v/>
      </c>
      <c r="J2248" s="6" t="inlineStr">
        <is>
          <t>Informado</t>
        </is>
      </c>
      <c r="K2248" s="6" t="inlineStr">
        <is>
          <t>Demanda doméstica fixa informada pelo usuário.</t>
        </is>
      </c>
    </row>
    <row r="2249">
      <c r="A2249" s="6" t="inlineStr">
        <is>
          <t>Soja</t>
        </is>
      </c>
      <c r="B2249" s="6" t="inlineStr">
        <is>
          <t>Florianópolis - SC</t>
        </is>
      </c>
      <c r="C2249" s="6" t="n">
        <v>-27.5945</v>
      </c>
      <c r="D2249" s="6" t="n">
        <v>-48.5477</v>
      </c>
      <c r="E2249" s="6" t="inlineStr">
        <is>
          <t>2022-04</t>
        </is>
      </c>
      <c r="F2249" s="6" t="n">
        <v>334641.2340607531</v>
      </c>
      <c r="G2249" s="6" t="inlineStr">
        <is>
          <t>DOMESTICA</t>
        </is>
      </c>
      <c r="H2249" s="6" t="inlineStr">
        <is>
          <t>FIXO</t>
        </is>
      </c>
      <c r="I2249" s="11">
        <f>IF($H2249="AUTO_OFERTA_TOTAL_PRODUTO_PERIODO",SUMIFS(Oferta!$F:$F,Oferta!$A:$A,$A2249,Oferta!$E:$E,$E2249),$F2249)</f>
        <v/>
      </c>
      <c r="J2249" s="6" t="inlineStr">
        <is>
          <t>Informado</t>
        </is>
      </c>
      <c r="K2249" s="6" t="inlineStr">
        <is>
          <t>Demanda doméstica fixa informada pelo usuário.</t>
        </is>
      </c>
    </row>
    <row r="2250">
      <c r="A2250" s="6" t="inlineStr">
        <is>
          <t>Soja</t>
        </is>
      </c>
      <c r="B2250" s="6" t="inlineStr">
        <is>
          <t>Florianópolis - SC</t>
        </is>
      </c>
      <c r="C2250" s="6" t="n">
        <v>-27.5945</v>
      </c>
      <c r="D2250" s="6" t="n">
        <v>-48.5477</v>
      </c>
      <c r="E2250" s="6" t="inlineStr">
        <is>
          <t>2022-05</t>
        </is>
      </c>
      <c r="F2250" s="6" t="n">
        <v>478379.750704298</v>
      </c>
      <c r="G2250" s="6" t="inlineStr">
        <is>
          <t>DOMESTICA</t>
        </is>
      </c>
      <c r="H2250" s="6" t="inlineStr">
        <is>
          <t>FIXO</t>
        </is>
      </c>
      <c r="I2250" s="11">
        <f>IF($H2250="AUTO_OFERTA_TOTAL_PRODUTO_PERIODO",SUMIFS(Oferta!$F:$F,Oferta!$A:$A,$A2250,Oferta!$E:$E,$E2250),$F2250)</f>
        <v/>
      </c>
      <c r="J2250" s="6" t="inlineStr">
        <is>
          <t>Informado</t>
        </is>
      </c>
      <c r="K2250" s="6" t="inlineStr">
        <is>
          <t>Demanda doméstica fixa informada pelo usuário.</t>
        </is>
      </c>
    </row>
    <row r="2251">
      <c r="A2251" s="6" t="inlineStr">
        <is>
          <t>Soja</t>
        </is>
      </c>
      <c r="B2251" s="6" t="inlineStr">
        <is>
          <t>Florianópolis - SC</t>
        </is>
      </c>
      <c r="C2251" s="6" t="n">
        <v>-27.5945</v>
      </c>
      <c r="D2251" s="6" t="n">
        <v>-48.5477</v>
      </c>
      <c r="E2251" s="6" t="inlineStr">
        <is>
          <t>2022-06</t>
        </is>
      </c>
      <c r="F2251" s="6" t="n">
        <v>478379.750704298</v>
      </c>
      <c r="G2251" s="6" t="inlineStr">
        <is>
          <t>DOMESTICA</t>
        </is>
      </c>
      <c r="H2251" s="6" t="inlineStr">
        <is>
          <t>FIXO</t>
        </is>
      </c>
      <c r="I2251" s="11">
        <f>IF($H2251="AUTO_OFERTA_TOTAL_PRODUTO_PERIODO",SUMIFS(Oferta!$F:$F,Oferta!$A:$A,$A2251,Oferta!$E:$E,$E2251),$F2251)</f>
        <v/>
      </c>
      <c r="J2251" s="6" t="inlineStr">
        <is>
          <t>Informado</t>
        </is>
      </c>
      <c r="K2251" s="6" t="inlineStr">
        <is>
          <t>Demanda doméstica fixa informada pelo usuário.</t>
        </is>
      </c>
    </row>
    <row r="2252">
      <c r="A2252" s="6" t="inlineStr">
        <is>
          <t>Soja</t>
        </is>
      </c>
      <c r="B2252" s="6" t="inlineStr">
        <is>
          <t>Florianópolis - SC</t>
        </is>
      </c>
      <c r="C2252" s="6" t="n">
        <v>-27.5945</v>
      </c>
      <c r="D2252" s="6" t="n">
        <v>-48.5477</v>
      </c>
      <c r="E2252" s="6" t="inlineStr">
        <is>
          <t>2022-07</t>
        </is>
      </c>
      <c r="F2252" s="6" t="n">
        <v>334641.2340607531</v>
      </c>
      <c r="G2252" s="6" t="inlineStr">
        <is>
          <t>DOMESTICA</t>
        </is>
      </c>
      <c r="H2252" s="6" t="inlineStr">
        <is>
          <t>FIXO</t>
        </is>
      </c>
      <c r="I2252" s="11">
        <f>IF($H2252="AUTO_OFERTA_TOTAL_PRODUTO_PERIODO",SUMIFS(Oferta!$F:$F,Oferta!$A:$A,$A2252,Oferta!$E:$E,$E2252),$F2252)</f>
        <v/>
      </c>
      <c r="J2252" s="6" t="inlineStr">
        <is>
          <t>Informado</t>
        </is>
      </c>
      <c r="K2252" s="6" t="inlineStr">
        <is>
          <t>Demanda doméstica fixa informada pelo usuário.</t>
        </is>
      </c>
    </row>
    <row r="2253">
      <c r="A2253" s="6" t="inlineStr">
        <is>
          <t>Soja</t>
        </is>
      </c>
      <c r="B2253" s="6" t="inlineStr">
        <is>
          <t>Florianópolis - SC</t>
        </is>
      </c>
      <c r="C2253" s="6" t="n">
        <v>-27.5945</v>
      </c>
      <c r="D2253" s="6" t="n">
        <v>-48.5477</v>
      </c>
      <c r="E2253" s="6" t="inlineStr">
        <is>
          <t>2022-08</t>
        </is>
      </c>
      <c r="F2253" s="6" t="n">
        <v>190902.7174172081</v>
      </c>
      <c r="G2253" s="6" t="inlineStr">
        <is>
          <t>DOMESTICA</t>
        </is>
      </c>
      <c r="H2253" s="6" t="inlineStr">
        <is>
          <t>FIXO</t>
        </is>
      </c>
      <c r="I2253" s="11">
        <f>IF($H2253="AUTO_OFERTA_TOTAL_PRODUTO_PERIODO",SUMIFS(Oferta!$F:$F,Oferta!$A:$A,$A2253,Oferta!$E:$E,$E2253),$F2253)</f>
        <v/>
      </c>
      <c r="J2253" s="6" t="inlineStr">
        <is>
          <t>Informado</t>
        </is>
      </c>
      <c r="K2253" s="6" t="inlineStr">
        <is>
          <t>Demanda doméstica fixa informada pelo usuário.</t>
        </is>
      </c>
    </row>
    <row r="2254">
      <c r="A2254" s="6" t="inlineStr">
        <is>
          <t>Soja</t>
        </is>
      </c>
      <c r="B2254" s="6" t="inlineStr">
        <is>
          <t>Florianópolis - SC</t>
        </is>
      </c>
      <c r="C2254" s="6" t="n">
        <v>-27.5945</v>
      </c>
      <c r="D2254" s="6" t="n">
        <v>-48.5477</v>
      </c>
      <c r="E2254" s="6" t="inlineStr">
        <is>
          <t>2022-09</t>
        </is>
      </c>
      <c r="F2254" s="6" t="n">
        <v>119033.4590954357</v>
      </c>
      <c r="G2254" s="6" t="inlineStr">
        <is>
          <t>DOMESTICA</t>
        </is>
      </c>
      <c r="H2254" s="6" t="inlineStr">
        <is>
          <t>FIXO</t>
        </is>
      </c>
      <c r="I2254" s="11">
        <f>IF($H2254="AUTO_OFERTA_TOTAL_PRODUTO_PERIODO",SUMIFS(Oferta!$F:$F,Oferta!$A:$A,$A2254,Oferta!$E:$E,$E2254),$F2254)</f>
        <v/>
      </c>
      <c r="J2254" s="6" t="inlineStr">
        <is>
          <t>Informado</t>
        </is>
      </c>
      <c r="K2254" s="6" t="inlineStr">
        <is>
          <t>Demanda doméstica fixa informada pelo usuário.</t>
        </is>
      </c>
    </row>
    <row r="2255">
      <c r="A2255" s="6" t="inlineStr">
        <is>
          <t>Soja</t>
        </is>
      </c>
      <c r="B2255" s="6" t="inlineStr">
        <is>
          <t>Florianópolis - SC</t>
        </is>
      </c>
      <c r="C2255" s="6" t="n">
        <v>-27.5945</v>
      </c>
      <c r="D2255" s="6" t="n">
        <v>-48.5477</v>
      </c>
      <c r="E2255" s="6" t="inlineStr">
        <is>
          <t>2022-10</t>
        </is>
      </c>
      <c r="F2255" s="6" t="n">
        <v>119033.4590954357</v>
      </c>
      <c r="G2255" s="6" t="inlineStr">
        <is>
          <t>DOMESTICA</t>
        </is>
      </c>
      <c r="H2255" s="6" t="inlineStr">
        <is>
          <t>FIXO</t>
        </is>
      </c>
      <c r="I2255" s="11">
        <f>IF($H2255="AUTO_OFERTA_TOTAL_PRODUTO_PERIODO",SUMIFS(Oferta!$F:$F,Oferta!$A:$A,$A2255,Oferta!$E:$E,$E2255),$F2255)</f>
        <v/>
      </c>
      <c r="J2255" s="6" t="inlineStr">
        <is>
          <t>Informado</t>
        </is>
      </c>
      <c r="K2255" s="6" t="inlineStr">
        <is>
          <t>Demanda doméstica fixa informada pelo usuário.</t>
        </is>
      </c>
    </row>
    <row r="2256">
      <c r="A2256" s="6" t="inlineStr">
        <is>
          <t>Soja</t>
        </is>
      </c>
      <c r="B2256" s="6" t="inlineStr">
        <is>
          <t>Florianópolis - SC</t>
        </is>
      </c>
      <c r="C2256" s="6" t="n">
        <v>-27.5945</v>
      </c>
      <c r="D2256" s="6" t="n">
        <v>-48.5477</v>
      </c>
      <c r="E2256" s="6" t="inlineStr">
        <is>
          <t>2022-11</t>
        </is>
      </c>
      <c r="F2256" s="6" t="n">
        <v>119033.4590954357</v>
      </c>
      <c r="G2256" s="6" t="inlineStr">
        <is>
          <t>DOMESTICA</t>
        </is>
      </c>
      <c r="H2256" s="6" t="inlineStr">
        <is>
          <t>FIXO</t>
        </is>
      </c>
      <c r="I2256" s="11">
        <f>IF($H2256="AUTO_OFERTA_TOTAL_PRODUTO_PERIODO",SUMIFS(Oferta!$F:$F,Oferta!$A:$A,$A2256,Oferta!$E:$E,$E2256),$F2256)</f>
        <v/>
      </c>
      <c r="J2256" s="6" t="inlineStr">
        <is>
          <t>Informado</t>
        </is>
      </c>
      <c r="K2256" s="6" t="inlineStr">
        <is>
          <t>Demanda doméstica fixa informada pelo usuário.</t>
        </is>
      </c>
    </row>
    <row r="2257">
      <c r="A2257" s="6" t="inlineStr">
        <is>
          <t>Soja</t>
        </is>
      </c>
      <c r="B2257" s="6" t="inlineStr">
        <is>
          <t>Florianópolis - SC</t>
        </is>
      </c>
      <c r="C2257" s="6" t="n">
        <v>-27.5945</v>
      </c>
      <c r="D2257" s="6" t="n">
        <v>-48.5477</v>
      </c>
      <c r="E2257" s="6" t="inlineStr">
        <is>
          <t>2022-12</t>
        </is>
      </c>
      <c r="F2257" s="6" t="n">
        <v>119033.4590954357</v>
      </c>
      <c r="G2257" s="6" t="inlineStr">
        <is>
          <t>DOMESTICA</t>
        </is>
      </c>
      <c r="H2257" s="6" t="inlineStr">
        <is>
          <t>FIXO</t>
        </is>
      </c>
      <c r="I2257" s="11">
        <f>IF($H2257="AUTO_OFERTA_TOTAL_PRODUTO_PERIODO",SUMIFS(Oferta!$F:$F,Oferta!$A:$A,$A2257,Oferta!$E:$E,$E2257),$F2257)</f>
        <v/>
      </c>
      <c r="J2257" s="6" t="inlineStr">
        <is>
          <t>Informado</t>
        </is>
      </c>
      <c r="K2257" s="6" t="inlineStr">
        <is>
          <t>Demanda doméstica fixa informada pelo usuário.</t>
        </is>
      </c>
    </row>
    <row r="2258">
      <c r="A2258" s="6" t="inlineStr">
        <is>
          <t>Soja</t>
        </is>
      </c>
      <c r="B2258" s="6" t="inlineStr">
        <is>
          <t>Porto Alegre - RS</t>
        </is>
      </c>
      <c r="C2258" s="6" t="n">
        <v>-30.0318</v>
      </c>
      <c r="D2258" s="6" t="n">
        <v>-51.2065</v>
      </c>
      <c r="E2258" s="6" t="inlineStr">
        <is>
          <t>2022-01</t>
        </is>
      </c>
      <c r="F2258" s="6" t="n">
        <v>244074.9091103191</v>
      </c>
      <c r="G2258" s="6" t="inlineStr">
        <is>
          <t>DOMESTICA</t>
        </is>
      </c>
      <c r="H2258" s="6" t="inlineStr">
        <is>
          <t>FIXO</t>
        </is>
      </c>
      <c r="I2258" s="11">
        <f>IF($H2258="AUTO_OFERTA_TOTAL_PRODUTO_PERIODO",SUMIFS(Oferta!$F:$F,Oferta!$A:$A,$A2258,Oferta!$E:$E,$E2258),$F2258)</f>
        <v/>
      </c>
      <c r="J2258" s="6" t="inlineStr">
        <is>
          <t>Informado</t>
        </is>
      </c>
      <c r="K2258" s="6" t="inlineStr">
        <is>
          <t>Demanda doméstica fixa informada pelo usuário.</t>
        </is>
      </c>
    </row>
    <row r="2259">
      <c r="A2259" s="6" t="inlineStr">
        <is>
          <t>Soja</t>
        </is>
      </c>
      <c r="B2259" s="6" t="inlineStr">
        <is>
          <t>Porto Alegre - RS</t>
        </is>
      </c>
      <c r="C2259" s="6" t="n">
        <v>-30.0318</v>
      </c>
      <c r="D2259" s="6" t="n">
        <v>-51.2065</v>
      </c>
      <c r="E2259" s="6" t="inlineStr">
        <is>
          <t>2022-02</t>
        </is>
      </c>
      <c r="F2259" s="6" t="n">
        <v>317757.9005398493</v>
      </c>
      <c r="G2259" s="6" t="inlineStr">
        <is>
          <t>DOMESTICA</t>
        </is>
      </c>
      <c r="H2259" s="6" t="inlineStr">
        <is>
          <t>FIXO</t>
        </is>
      </c>
      <c r="I2259" s="11">
        <f>IF($H2259="AUTO_OFERTA_TOTAL_PRODUTO_PERIODO",SUMIFS(Oferta!$F:$F,Oferta!$A:$A,$A2259,Oferta!$E:$E,$E2259),$F2259)</f>
        <v/>
      </c>
      <c r="J2259" s="6" t="inlineStr">
        <is>
          <t>Informado</t>
        </is>
      </c>
      <c r="K2259" s="6" t="inlineStr">
        <is>
          <t>Demanda doméstica fixa informada pelo usuário.</t>
        </is>
      </c>
    </row>
    <row r="2260">
      <c r="A2260" s="6" t="inlineStr">
        <is>
          <t>Soja</t>
        </is>
      </c>
      <c r="B2260" s="6" t="inlineStr">
        <is>
          <t>Porto Alegre - RS</t>
        </is>
      </c>
      <c r="C2260" s="6" t="n">
        <v>-30.0318</v>
      </c>
      <c r="D2260" s="6" t="n">
        <v>-51.2065</v>
      </c>
      <c r="E2260" s="6" t="inlineStr">
        <is>
          <t>2022-03</t>
        </is>
      </c>
      <c r="F2260" s="6" t="n">
        <v>465123.8833989098</v>
      </c>
      <c r="G2260" s="6" t="inlineStr">
        <is>
          <t>DOMESTICA</t>
        </is>
      </c>
      <c r="H2260" s="6" t="inlineStr">
        <is>
          <t>FIXO</t>
        </is>
      </c>
      <c r="I2260" s="11">
        <f>IF($H2260="AUTO_OFERTA_TOTAL_PRODUTO_PERIODO",SUMIFS(Oferta!$F:$F,Oferta!$A:$A,$A2260,Oferta!$E:$E,$E2260),$F2260)</f>
        <v/>
      </c>
      <c r="J2260" s="6" t="inlineStr">
        <is>
          <t>Informado</t>
        </is>
      </c>
      <c r="K2260" s="6" t="inlineStr">
        <is>
          <t>Demanda doméstica fixa informada pelo usuário.</t>
        </is>
      </c>
    </row>
    <row r="2261">
      <c r="A2261" s="6" t="inlineStr">
        <is>
          <t>Soja</t>
        </is>
      </c>
      <c r="B2261" s="6" t="inlineStr">
        <is>
          <t>Porto Alegre - RS</t>
        </is>
      </c>
      <c r="C2261" s="6" t="n">
        <v>-30.0318</v>
      </c>
      <c r="D2261" s="6" t="n">
        <v>-51.2065</v>
      </c>
      <c r="E2261" s="6" t="inlineStr">
        <is>
          <t>2022-04</t>
        </is>
      </c>
      <c r="F2261" s="6" t="n">
        <v>907221.8319760916</v>
      </c>
      <c r="G2261" s="6" t="inlineStr">
        <is>
          <t>DOMESTICA</t>
        </is>
      </c>
      <c r="H2261" s="6" t="inlineStr">
        <is>
          <t>FIXO</t>
        </is>
      </c>
      <c r="I2261" s="11">
        <f>IF($H2261="AUTO_OFERTA_TOTAL_PRODUTO_PERIODO",SUMIFS(Oferta!$F:$F,Oferta!$A:$A,$A2261,Oferta!$E:$E,$E2261),$F2261)</f>
        <v/>
      </c>
      <c r="J2261" s="6" t="inlineStr">
        <is>
          <t>Informado</t>
        </is>
      </c>
      <c r="K2261" s="6" t="inlineStr">
        <is>
          <t>Demanda doméstica fixa informada pelo usuário.</t>
        </is>
      </c>
    </row>
    <row r="2262">
      <c r="A2262" s="6" t="inlineStr">
        <is>
          <t>Soja</t>
        </is>
      </c>
      <c r="B2262" s="6" t="inlineStr">
        <is>
          <t>Porto Alegre - RS</t>
        </is>
      </c>
      <c r="C2262" s="6" t="n">
        <v>-30.0318</v>
      </c>
      <c r="D2262" s="6" t="n">
        <v>-51.2065</v>
      </c>
      <c r="E2262" s="6" t="inlineStr">
        <is>
          <t>2022-05</t>
        </is>
      </c>
      <c r="F2262" s="6" t="n">
        <v>980904.8234056216</v>
      </c>
      <c r="G2262" s="6" t="inlineStr">
        <is>
          <t>DOMESTICA</t>
        </is>
      </c>
      <c r="H2262" s="6" t="inlineStr">
        <is>
          <t>FIXO</t>
        </is>
      </c>
      <c r="I2262" s="11">
        <f>IF($H2262="AUTO_OFERTA_TOTAL_PRODUTO_PERIODO",SUMIFS(Oferta!$F:$F,Oferta!$A:$A,$A2262,Oferta!$E:$E,$E2262),$F2262)</f>
        <v/>
      </c>
      <c r="J2262" s="6" t="inlineStr">
        <is>
          <t>Informado</t>
        </is>
      </c>
      <c r="K2262" s="6" t="inlineStr">
        <is>
          <t>Demanda doméstica fixa informada pelo usuário.</t>
        </is>
      </c>
    </row>
    <row r="2263">
      <c r="A2263" s="6" t="inlineStr">
        <is>
          <t>Soja</t>
        </is>
      </c>
      <c r="B2263" s="6" t="inlineStr">
        <is>
          <t>Porto Alegre - RS</t>
        </is>
      </c>
      <c r="C2263" s="6" t="n">
        <v>-30.0318</v>
      </c>
      <c r="D2263" s="6" t="n">
        <v>-51.2065</v>
      </c>
      <c r="E2263" s="6" t="inlineStr">
        <is>
          <t>2022-06</t>
        </is>
      </c>
      <c r="F2263" s="6" t="n">
        <v>907221.8319760916</v>
      </c>
      <c r="G2263" s="6" t="inlineStr">
        <is>
          <t>DOMESTICA</t>
        </is>
      </c>
      <c r="H2263" s="6" t="inlineStr">
        <is>
          <t>FIXO</t>
        </is>
      </c>
      <c r="I2263" s="11">
        <f>IF($H2263="AUTO_OFERTA_TOTAL_PRODUTO_PERIODO",SUMIFS(Oferta!$F:$F,Oferta!$A:$A,$A2263,Oferta!$E:$E,$E2263),$F2263)</f>
        <v/>
      </c>
      <c r="J2263" s="6" t="inlineStr">
        <is>
          <t>Informado</t>
        </is>
      </c>
      <c r="K2263" s="6" t="inlineStr">
        <is>
          <t>Demanda doméstica fixa informada pelo usuário.</t>
        </is>
      </c>
    </row>
    <row r="2264">
      <c r="A2264" s="6" t="inlineStr">
        <is>
          <t>Soja</t>
        </is>
      </c>
      <c r="B2264" s="6" t="inlineStr">
        <is>
          <t>Porto Alegre - RS</t>
        </is>
      </c>
      <c r="C2264" s="6" t="n">
        <v>-30.0318</v>
      </c>
      <c r="D2264" s="6" t="n">
        <v>-51.2065</v>
      </c>
      <c r="E2264" s="6" t="inlineStr">
        <is>
          <t>2022-07</t>
        </is>
      </c>
      <c r="F2264" s="6" t="n">
        <v>465123.8833989099</v>
      </c>
      <c r="G2264" s="6" t="inlineStr">
        <is>
          <t>DOMESTICA</t>
        </is>
      </c>
      <c r="H2264" s="6" t="inlineStr">
        <is>
          <t>FIXO</t>
        </is>
      </c>
      <c r="I2264" s="11">
        <f>IF($H2264="AUTO_OFERTA_TOTAL_PRODUTO_PERIODO",SUMIFS(Oferta!$F:$F,Oferta!$A:$A,$A2264,Oferta!$E:$E,$E2264),$F2264)</f>
        <v/>
      </c>
      <c r="J2264" s="6" t="inlineStr">
        <is>
          <t>Informado</t>
        </is>
      </c>
      <c r="K2264" s="6" t="inlineStr">
        <is>
          <t>Demanda doméstica fixa informada pelo usuário.</t>
        </is>
      </c>
    </row>
    <row r="2265">
      <c r="A2265" s="6" t="inlineStr">
        <is>
          <t>Soja</t>
        </is>
      </c>
      <c r="B2265" s="6" t="inlineStr">
        <is>
          <t>Porto Alegre - RS</t>
        </is>
      </c>
      <c r="C2265" s="6" t="n">
        <v>-30.0318</v>
      </c>
      <c r="D2265" s="6" t="n">
        <v>-51.2065</v>
      </c>
      <c r="E2265" s="6" t="inlineStr">
        <is>
          <t>2022-08</t>
        </is>
      </c>
      <c r="F2265" s="6" t="n">
        <v>317757.9005398493</v>
      </c>
      <c r="G2265" s="6" t="inlineStr">
        <is>
          <t>DOMESTICA</t>
        </is>
      </c>
      <c r="H2265" s="6" t="inlineStr">
        <is>
          <t>FIXO</t>
        </is>
      </c>
      <c r="I2265" s="11">
        <f>IF($H2265="AUTO_OFERTA_TOTAL_PRODUTO_PERIODO",SUMIFS(Oferta!$F:$F,Oferta!$A:$A,$A2265,Oferta!$E:$E,$E2265),$F2265)</f>
        <v/>
      </c>
      <c r="J2265" s="6" t="inlineStr">
        <is>
          <t>Informado</t>
        </is>
      </c>
      <c r="K2265" s="6" t="inlineStr">
        <is>
          <t>Demanda doméstica fixa informada pelo usuário.</t>
        </is>
      </c>
    </row>
    <row r="2266">
      <c r="A2266" s="6" t="inlineStr">
        <is>
          <t>Soja</t>
        </is>
      </c>
      <c r="B2266" s="6" t="inlineStr">
        <is>
          <t>Porto Alegre - RS</t>
        </is>
      </c>
      <c r="C2266" s="6" t="n">
        <v>-30.0318</v>
      </c>
      <c r="D2266" s="6" t="n">
        <v>-51.2065</v>
      </c>
      <c r="E2266" s="6" t="inlineStr">
        <is>
          <t>2022-09</t>
        </is>
      </c>
      <c r="F2266" s="6" t="n">
        <v>244074.9091103191</v>
      </c>
      <c r="G2266" s="6" t="inlineStr">
        <is>
          <t>DOMESTICA</t>
        </is>
      </c>
      <c r="H2266" s="6" t="inlineStr">
        <is>
          <t>FIXO</t>
        </is>
      </c>
      <c r="I2266" s="11">
        <f>IF($H2266="AUTO_OFERTA_TOTAL_PRODUTO_PERIODO",SUMIFS(Oferta!$F:$F,Oferta!$A:$A,$A2266,Oferta!$E:$E,$E2266),$F2266)</f>
        <v/>
      </c>
      <c r="J2266" s="6" t="inlineStr">
        <is>
          <t>Informado</t>
        </is>
      </c>
      <c r="K2266" s="6" t="inlineStr">
        <is>
          <t>Demanda doméstica fixa informada pelo usuário.</t>
        </is>
      </c>
    </row>
    <row r="2267">
      <c r="A2267" s="6" t="inlineStr">
        <is>
          <t>Soja</t>
        </is>
      </c>
      <c r="B2267" s="6" t="inlineStr">
        <is>
          <t>Porto Alegre - RS</t>
        </is>
      </c>
      <c r="C2267" s="6" t="n">
        <v>-30.0318</v>
      </c>
      <c r="D2267" s="6" t="n">
        <v>-51.2065</v>
      </c>
      <c r="E2267" s="6" t="inlineStr">
        <is>
          <t>2022-10</t>
        </is>
      </c>
      <c r="F2267" s="6" t="n">
        <v>244074.9091103191</v>
      </c>
      <c r="G2267" s="6" t="inlineStr">
        <is>
          <t>DOMESTICA</t>
        </is>
      </c>
      <c r="H2267" s="6" t="inlineStr">
        <is>
          <t>FIXO</t>
        </is>
      </c>
      <c r="I2267" s="11">
        <f>IF($H2267="AUTO_OFERTA_TOTAL_PRODUTO_PERIODO",SUMIFS(Oferta!$F:$F,Oferta!$A:$A,$A2267,Oferta!$E:$E,$E2267),$F2267)</f>
        <v/>
      </c>
      <c r="J2267" s="6" t="inlineStr">
        <is>
          <t>Informado</t>
        </is>
      </c>
      <c r="K2267" s="6" t="inlineStr">
        <is>
          <t>Demanda doméstica fixa informada pelo usuário.</t>
        </is>
      </c>
    </row>
    <row r="2268">
      <c r="A2268" s="6" t="inlineStr">
        <is>
          <t>Soja</t>
        </is>
      </c>
      <c r="B2268" s="6" t="inlineStr">
        <is>
          <t>Porto Alegre - RS</t>
        </is>
      </c>
      <c r="C2268" s="6" t="n">
        <v>-30.0318</v>
      </c>
      <c r="D2268" s="6" t="n">
        <v>-51.2065</v>
      </c>
      <c r="E2268" s="6" t="inlineStr">
        <is>
          <t>2022-11</t>
        </is>
      </c>
      <c r="F2268" s="6" t="n">
        <v>244074.9091103191</v>
      </c>
      <c r="G2268" s="6" t="inlineStr">
        <is>
          <t>DOMESTICA</t>
        </is>
      </c>
      <c r="H2268" s="6" t="inlineStr">
        <is>
          <t>FIXO</t>
        </is>
      </c>
      <c r="I2268" s="11">
        <f>IF($H2268="AUTO_OFERTA_TOTAL_PRODUTO_PERIODO",SUMIFS(Oferta!$F:$F,Oferta!$A:$A,$A2268,Oferta!$E:$E,$E2268),$F2268)</f>
        <v/>
      </c>
      <c r="J2268" s="6" t="inlineStr">
        <is>
          <t>Informado</t>
        </is>
      </c>
      <c r="K2268" s="6" t="inlineStr">
        <is>
          <t>Demanda doméstica fixa informada pelo usuário.</t>
        </is>
      </c>
    </row>
    <row r="2269">
      <c r="A2269" s="6" t="inlineStr">
        <is>
          <t>Soja</t>
        </is>
      </c>
      <c r="B2269" s="6" t="inlineStr">
        <is>
          <t>Porto Alegre - RS</t>
        </is>
      </c>
      <c r="C2269" s="6" t="n">
        <v>-30.0318</v>
      </c>
      <c r="D2269" s="6" t="n">
        <v>-51.2065</v>
      </c>
      <c r="E2269" s="6" t="inlineStr">
        <is>
          <t>2022-12</t>
        </is>
      </c>
      <c r="F2269" s="6" t="n">
        <v>244074.9091103191</v>
      </c>
      <c r="G2269" s="6" t="inlineStr">
        <is>
          <t>DOMESTICA</t>
        </is>
      </c>
      <c r="H2269" s="6" t="inlineStr">
        <is>
          <t>FIXO</t>
        </is>
      </c>
      <c r="I2269" s="11">
        <f>IF($H2269="AUTO_OFERTA_TOTAL_PRODUTO_PERIODO",SUMIFS(Oferta!$F:$F,Oferta!$A:$A,$A2269,Oferta!$E:$E,$E2269),$F2269)</f>
        <v/>
      </c>
      <c r="J2269" s="6" t="inlineStr">
        <is>
          <t>Informado</t>
        </is>
      </c>
      <c r="K2269" s="6" t="inlineStr">
        <is>
          <t>Demanda doméstica fixa informada pelo usuário.</t>
        </is>
      </c>
    </row>
    <row r="2270">
      <c r="A2270" s="6" t="inlineStr">
        <is>
          <t>Soja</t>
        </is>
      </c>
      <c r="B2270" s="6" t="inlineStr">
        <is>
          <t>Rio Branco - AC</t>
        </is>
      </c>
      <c r="C2270" s="6" t="n">
        <v>-9.97499</v>
      </c>
      <c r="D2270" s="6" t="n">
        <v>-67.82429999999999</v>
      </c>
      <c r="E2270" s="6" t="inlineStr">
        <is>
          <t>2023-01</t>
        </is>
      </c>
      <c r="F2270" s="6" t="n">
        <v>7790.7733543612</v>
      </c>
      <c r="G2270" s="6" t="inlineStr">
        <is>
          <t>DOMESTICA</t>
        </is>
      </c>
      <c r="H2270" s="6" t="inlineStr">
        <is>
          <t>FIXO</t>
        </is>
      </c>
      <c r="I2270" s="11">
        <f>IF($H2270="AUTO_OFERTA_TOTAL_PRODUTO_PERIODO",SUMIFS(Oferta!$F:$F,Oferta!$A:$A,$A2270,Oferta!$E:$E,$E2270),$F2270)</f>
        <v/>
      </c>
      <c r="J2270" s="6" t="inlineStr">
        <is>
          <t>Informado</t>
        </is>
      </c>
      <c r="K2270" s="6" t="inlineStr">
        <is>
          <t>Demanda doméstica fixa informada pelo usuário.</t>
        </is>
      </c>
    </row>
    <row r="2271">
      <c r="A2271" s="6" t="inlineStr">
        <is>
          <t>Soja</t>
        </is>
      </c>
      <c r="B2271" s="6" t="inlineStr">
        <is>
          <t>Rio Branco - AC</t>
        </is>
      </c>
      <c r="C2271" s="6" t="n">
        <v>-9.97499</v>
      </c>
      <c r="D2271" s="6" t="n">
        <v>-67.82429999999999</v>
      </c>
      <c r="E2271" s="6" t="inlineStr">
        <is>
          <t>2023-02</t>
        </is>
      </c>
      <c r="F2271" s="6" t="n">
        <v>7790.7733543612</v>
      </c>
      <c r="G2271" s="6" t="inlineStr">
        <is>
          <t>DOMESTICA</t>
        </is>
      </c>
      <c r="H2271" s="6" t="inlineStr">
        <is>
          <t>FIXO</t>
        </is>
      </c>
      <c r="I2271" s="11">
        <f>IF($H2271="AUTO_OFERTA_TOTAL_PRODUTO_PERIODO",SUMIFS(Oferta!$F:$F,Oferta!$A:$A,$A2271,Oferta!$E:$E,$E2271),$F2271)</f>
        <v/>
      </c>
      <c r="J2271" s="6" t="inlineStr">
        <is>
          <t>Informado</t>
        </is>
      </c>
      <c r="K2271" s="6" t="inlineStr">
        <is>
          <t>Demanda doméstica fixa informada pelo usuário.</t>
        </is>
      </c>
    </row>
    <row r="2272">
      <c r="A2272" s="6" t="inlineStr">
        <is>
          <t>Soja</t>
        </is>
      </c>
      <c r="B2272" s="6" t="inlineStr">
        <is>
          <t>Rio Branco - AC</t>
        </is>
      </c>
      <c r="C2272" s="6" t="n">
        <v>-9.97499</v>
      </c>
      <c r="D2272" s="6" t="n">
        <v>-67.82429999999999</v>
      </c>
      <c r="E2272" s="6" t="inlineStr">
        <is>
          <t>2023-03</t>
        </is>
      </c>
      <c r="F2272" s="6" t="n">
        <v>7790.7733543612</v>
      </c>
      <c r="G2272" s="6" t="inlineStr">
        <is>
          <t>DOMESTICA</t>
        </is>
      </c>
      <c r="H2272" s="6" t="inlineStr">
        <is>
          <t>FIXO</t>
        </is>
      </c>
      <c r="I2272" s="11">
        <f>IF($H2272="AUTO_OFERTA_TOTAL_PRODUTO_PERIODO",SUMIFS(Oferta!$F:$F,Oferta!$A:$A,$A2272,Oferta!$E:$E,$E2272),$F2272)</f>
        <v/>
      </c>
      <c r="J2272" s="6" t="inlineStr">
        <is>
          <t>Informado</t>
        </is>
      </c>
      <c r="K2272" s="6" t="inlineStr">
        <is>
          <t>Demanda doméstica fixa informada pelo usuário.</t>
        </is>
      </c>
    </row>
    <row r="2273">
      <c r="A2273" s="6" t="inlineStr">
        <is>
          <t>Soja</t>
        </is>
      </c>
      <c r="B2273" s="6" t="inlineStr">
        <is>
          <t>Rio Branco - AC</t>
        </is>
      </c>
      <c r="C2273" s="6" t="n">
        <v>-9.97499</v>
      </c>
      <c r="D2273" s="6" t="n">
        <v>-67.82429999999999</v>
      </c>
      <c r="E2273" s="6" t="inlineStr">
        <is>
          <t>2023-04</t>
        </is>
      </c>
      <c r="F2273" s="6" t="n">
        <v>7790.7733543612</v>
      </c>
      <c r="G2273" s="6" t="inlineStr">
        <is>
          <t>DOMESTICA</t>
        </is>
      </c>
      <c r="H2273" s="6" t="inlineStr">
        <is>
          <t>FIXO</t>
        </is>
      </c>
      <c r="I2273" s="11">
        <f>IF($H2273="AUTO_OFERTA_TOTAL_PRODUTO_PERIODO",SUMIFS(Oferta!$F:$F,Oferta!$A:$A,$A2273,Oferta!$E:$E,$E2273),$F2273)</f>
        <v/>
      </c>
      <c r="J2273" s="6" t="inlineStr">
        <is>
          <t>Informado</t>
        </is>
      </c>
      <c r="K2273" s="6" t="inlineStr">
        <is>
          <t>Demanda doméstica fixa informada pelo usuário.</t>
        </is>
      </c>
    </row>
    <row r="2274">
      <c r="A2274" s="6" t="inlineStr">
        <is>
          <t>Soja</t>
        </is>
      </c>
      <c r="B2274" s="6" t="inlineStr">
        <is>
          <t>Rio Branco - AC</t>
        </is>
      </c>
      <c r="C2274" s="6" t="n">
        <v>-9.97499</v>
      </c>
      <c r="D2274" s="6" t="n">
        <v>-67.82429999999999</v>
      </c>
      <c r="E2274" s="6" t="inlineStr">
        <is>
          <t>2023-05</t>
        </is>
      </c>
      <c r="F2274" s="6" t="n">
        <v>7790.7733543612</v>
      </c>
      <c r="G2274" s="6" t="inlineStr">
        <is>
          <t>DOMESTICA</t>
        </is>
      </c>
      <c r="H2274" s="6" t="inlineStr">
        <is>
          <t>FIXO</t>
        </is>
      </c>
      <c r="I2274" s="11">
        <f>IF($H2274="AUTO_OFERTA_TOTAL_PRODUTO_PERIODO",SUMIFS(Oferta!$F:$F,Oferta!$A:$A,$A2274,Oferta!$E:$E,$E2274),$F2274)</f>
        <v/>
      </c>
      <c r="J2274" s="6" t="inlineStr">
        <is>
          <t>Informado</t>
        </is>
      </c>
      <c r="K2274" s="6" t="inlineStr">
        <is>
          <t>Demanda doméstica fixa informada pelo usuário.</t>
        </is>
      </c>
    </row>
    <row r="2275">
      <c r="A2275" s="6" t="inlineStr">
        <is>
          <t>Soja</t>
        </is>
      </c>
      <c r="B2275" s="6" t="inlineStr">
        <is>
          <t>Rio Branco - AC</t>
        </is>
      </c>
      <c r="C2275" s="6" t="n">
        <v>-9.97499</v>
      </c>
      <c r="D2275" s="6" t="n">
        <v>-67.82429999999999</v>
      </c>
      <c r="E2275" s="6" t="inlineStr">
        <is>
          <t>2023-06</t>
        </is>
      </c>
      <c r="F2275" s="6" t="n">
        <v>7790.7733543612</v>
      </c>
      <c r="G2275" s="6" t="inlineStr">
        <is>
          <t>DOMESTICA</t>
        </is>
      </c>
      <c r="H2275" s="6" t="inlineStr">
        <is>
          <t>FIXO</t>
        </is>
      </c>
      <c r="I2275" s="11">
        <f>IF($H2275="AUTO_OFERTA_TOTAL_PRODUTO_PERIODO",SUMIFS(Oferta!$F:$F,Oferta!$A:$A,$A2275,Oferta!$E:$E,$E2275),$F2275)</f>
        <v/>
      </c>
      <c r="J2275" s="6" t="inlineStr">
        <is>
          <t>Informado</t>
        </is>
      </c>
      <c r="K2275" s="6" t="inlineStr">
        <is>
          <t>Demanda doméstica fixa informada pelo usuário.</t>
        </is>
      </c>
    </row>
    <row r="2276">
      <c r="A2276" s="6" t="inlineStr">
        <is>
          <t>Soja</t>
        </is>
      </c>
      <c r="B2276" s="6" t="inlineStr">
        <is>
          <t>Rio Branco - AC</t>
        </is>
      </c>
      <c r="C2276" s="6" t="n">
        <v>-9.97499</v>
      </c>
      <c r="D2276" s="6" t="n">
        <v>-67.82429999999999</v>
      </c>
      <c r="E2276" s="6" t="inlineStr">
        <is>
          <t>2023-07</t>
        </is>
      </c>
      <c r="F2276" s="6" t="n">
        <v>7790.7733543612</v>
      </c>
      <c r="G2276" s="6" t="inlineStr">
        <is>
          <t>DOMESTICA</t>
        </is>
      </c>
      <c r="H2276" s="6" t="inlineStr">
        <is>
          <t>FIXO</t>
        </is>
      </c>
      <c r="I2276" s="11">
        <f>IF($H2276="AUTO_OFERTA_TOTAL_PRODUTO_PERIODO",SUMIFS(Oferta!$F:$F,Oferta!$A:$A,$A2276,Oferta!$E:$E,$E2276),$F2276)</f>
        <v/>
      </c>
      <c r="J2276" s="6" t="inlineStr">
        <is>
          <t>Informado</t>
        </is>
      </c>
      <c r="K2276" s="6" t="inlineStr">
        <is>
          <t>Demanda doméstica fixa informada pelo usuário.</t>
        </is>
      </c>
    </row>
    <row r="2277">
      <c r="A2277" s="6" t="inlineStr">
        <is>
          <t>Soja</t>
        </is>
      </c>
      <c r="B2277" s="6" t="inlineStr">
        <is>
          <t>Rio Branco - AC</t>
        </is>
      </c>
      <c r="C2277" s="6" t="n">
        <v>-9.97499</v>
      </c>
      <c r="D2277" s="6" t="n">
        <v>-67.82429999999999</v>
      </c>
      <c r="E2277" s="6" t="inlineStr">
        <is>
          <t>2023-08</t>
        </is>
      </c>
      <c r="F2277" s="6" t="n">
        <v>7790.7733543612</v>
      </c>
      <c r="G2277" s="6" t="inlineStr">
        <is>
          <t>DOMESTICA</t>
        </is>
      </c>
      <c r="H2277" s="6" t="inlineStr">
        <is>
          <t>FIXO</t>
        </is>
      </c>
      <c r="I2277" s="11">
        <f>IF($H2277="AUTO_OFERTA_TOTAL_PRODUTO_PERIODO",SUMIFS(Oferta!$F:$F,Oferta!$A:$A,$A2277,Oferta!$E:$E,$E2277),$F2277)</f>
        <v/>
      </c>
      <c r="J2277" s="6" t="inlineStr">
        <is>
          <t>Informado</t>
        </is>
      </c>
      <c r="K2277" s="6" t="inlineStr">
        <is>
          <t>Demanda doméstica fixa informada pelo usuário.</t>
        </is>
      </c>
    </row>
    <row r="2278">
      <c r="A2278" s="6" t="inlineStr">
        <is>
          <t>Soja</t>
        </is>
      </c>
      <c r="B2278" s="6" t="inlineStr">
        <is>
          <t>Rio Branco - AC</t>
        </is>
      </c>
      <c r="C2278" s="6" t="n">
        <v>-9.97499</v>
      </c>
      <c r="D2278" s="6" t="n">
        <v>-67.82429999999999</v>
      </c>
      <c r="E2278" s="6" t="inlineStr">
        <is>
          <t>2023-09</t>
        </is>
      </c>
      <c r="F2278" s="6" t="n">
        <v>7790.7733543612</v>
      </c>
      <c r="G2278" s="6" t="inlineStr">
        <is>
          <t>DOMESTICA</t>
        </is>
      </c>
      <c r="H2278" s="6" t="inlineStr">
        <is>
          <t>FIXO</t>
        </is>
      </c>
      <c r="I2278" s="11">
        <f>IF($H2278="AUTO_OFERTA_TOTAL_PRODUTO_PERIODO",SUMIFS(Oferta!$F:$F,Oferta!$A:$A,$A2278,Oferta!$E:$E,$E2278),$F2278)</f>
        <v/>
      </c>
      <c r="J2278" s="6" t="inlineStr">
        <is>
          <t>Informado</t>
        </is>
      </c>
      <c r="K2278" s="6" t="inlineStr">
        <is>
          <t>Demanda doméstica fixa informada pelo usuário.</t>
        </is>
      </c>
    </row>
    <row r="2279">
      <c r="A2279" s="6" t="inlineStr">
        <is>
          <t>Soja</t>
        </is>
      </c>
      <c r="B2279" s="6" t="inlineStr">
        <is>
          <t>Rio Branco - AC</t>
        </is>
      </c>
      <c r="C2279" s="6" t="n">
        <v>-9.97499</v>
      </c>
      <c r="D2279" s="6" t="n">
        <v>-67.82429999999999</v>
      </c>
      <c r="E2279" s="6" t="inlineStr">
        <is>
          <t>2023-10</t>
        </is>
      </c>
      <c r="F2279" s="6" t="n">
        <v>7790.7733543612</v>
      </c>
      <c r="G2279" s="6" t="inlineStr">
        <is>
          <t>DOMESTICA</t>
        </is>
      </c>
      <c r="H2279" s="6" t="inlineStr">
        <is>
          <t>FIXO</t>
        </is>
      </c>
      <c r="I2279" s="11">
        <f>IF($H2279="AUTO_OFERTA_TOTAL_PRODUTO_PERIODO",SUMIFS(Oferta!$F:$F,Oferta!$A:$A,$A2279,Oferta!$E:$E,$E2279),$F2279)</f>
        <v/>
      </c>
      <c r="J2279" s="6" t="inlineStr">
        <is>
          <t>Informado</t>
        </is>
      </c>
      <c r="K2279" s="6" t="inlineStr">
        <is>
          <t>Demanda doméstica fixa informada pelo usuário.</t>
        </is>
      </c>
    </row>
    <row r="2280">
      <c r="A2280" s="6" t="inlineStr">
        <is>
          <t>Soja</t>
        </is>
      </c>
      <c r="B2280" s="6" t="inlineStr">
        <is>
          <t>Rio Branco - AC</t>
        </is>
      </c>
      <c r="C2280" s="6" t="n">
        <v>-9.97499</v>
      </c>
      <c r="D2280" s="6" t="n">
        <v>-67.82429999999999</v>
      </c>
      <c r="E2280" s="6" t="inlineStr">
        <is>
          <t>2023-11</t>
        </is>
      </c>
      <c r="F2280" s="6" t="n">
        <v>7790.7733543612</v>
      </c>
      <c r="G2280" s="6" t="inlineStr">
        <is>
          <t>DOMESTICA</t>
        </is>
      </c>
      <c r="H2280" s="6" t="inlineStr">
        <is>
          <t>FIXO</t>
        </is>
      </c>
      <c r="I2280" s="11">
        <f>IF($H2280="AUTO_OFERTA_TOTAL_PRODUTO_PERIODO",SUMIFS(Oferta!$F:$F,Oferta!$A:$A,$A2280,Oferta!$E:$E,$E2280),$F2280)</f>
        <v/>
      </c>
      <c r="J2280" s="6" t="inlineStr">
        <is>
          <t>Informado</t>
        </is>
      </c>
      <c r="K2280" s="6" t="inlineStr">
        <is>
          <t>Demanda doméstica fixa informada pelo usuário.</t>
        </is>
      </c>
    </row>
    <row r="2281">
      <c r="A2281" s="6" t="inlineStr">
        <is>
          <t>Soja</t>
        </is>
      </c>
      <c r="B2281" s="6" t="inlineStr">
        <is>
          <t>Rio Branco - AC</t>
        </is>
      </c>
      <c r="C2281" s="6" t="n">
        <v>-9.97499</v>
      </c>
      <c r="D2281" s="6" t="n">
        <v>-67.82429999999999</v>
      </c>
      <c r="E2281" s="6" t="inlineStr">
        <is>
          <t>2023-12</t>
        </is>
      </c>
      <c r="F2281" s="6" t="n">
        <v>7790.7733543612</v>
      </c>
      <c r="G2281" s="6" t="inlineStr">
        <is>
          <t>DOMESTICA</t>
        </is>
      </c>
      <c r="H2281" s="6" t="inlineStr">
        <is>
          <t>FIXO</t>
        </is>
      </c>
      <c r="I2281" s="11">
        <f>IF($H2281="AUTO_OFERTA_TOTAL_PRODUTO_PERIODO",SUMIFS(Oferta!$F:$F,Oferta!$A:$A,$A2281,Oferta!$E:$E,$E2281),$F2281)</f>
        <v/>
      </c>
      <c r="J2281" s="6" t="inlineStr">
        <is>
          <t>Informado</t>
        </is>
      </c>
      <c r="K2281" s="6" t="inlineStr">
        <is>
          <t>Demanda doméstica fixa informada pelo usuário.</t>
        </is>
      </c>
    </row>
    <row r="2282">
      <c r="A2282" s="6" t="inlineStr">
        <is>
          <t>Soja</t>
        </is>
      </c>
      <c r="B2282" s="6" t="inlineStr">
        <is>
          <t>Macapá - AP</t>
        </is>
      </c>
      <c r="C2282" s="6" t="n">
        <v>0.034934</v>
      </c>
      <c r="D2282" s="6" t="n">
        <v>-51.0694</v>
      </c>
      <c r="E2282" s="6" t="inlineStr">
        <is>
          <t>2023-01</t>
        </is>
      </c>
      <c r="F2282" s="6" t="n">
        <v>5291.8280572667</v>
      </c>
      <c r="G2282" s="6" t="inlineStr">
        <is>
          <t>DOMESTICA</t>
        </is>
      </c>
      <c r="H2282" s="6" t="inlineStr">
        <is>
          <t>FIXO</t>
        </is>
      </c>
      <c r="I2282" s="11">
        <f>IF($H2282="AUTO_OFERTA_TOTAL_PRODUTO_PERIODO",SUMIFS(Oferta!$F:$F,Oferta!$A:$A,$A2282,Oferta!$E:$E,$E2282),$F2282)</f>
        <v/>
      </c>
      <c r="J2282" s="6" t="inlineStr">
        <is>
          <t>Informado</t>
        </is>
      </c>
      <c r="K2282" s="6" t="inlineStr">
        <is>
          <t>Demanda doméstica fixa informada pelo usuário.</t>
        </is>
      </c>
    </row>
    <row r="2283">
      <c r="A2283" s="6" t="inlineStr">
        <is>
          <t>Soja</t>
        </is>
      </c>
      <c r="B2283" s="6" t="inlineStr">
        <is>
          <t>Macapá - AP</t>
        </is>
      </c>
      <c r="C2283" s="6" t="n">
        <v>0.034934</v>
      </c>
      <c r="D2283" s="6" t="n">
        <v>-51.0694</v>
      </c>
      <c r="E2283" s="6" t="inlineStr">
        <is>
          <t>2023-02</t>
        </is>
      </c>
      <c r="F2283" s="6" t="n">
        <v>5291.8280572667</v>
      </c>
      <c r="G2283" s="6" t="inlineStr">
        <is>
          <t>DOMESTICA</t>
        </is>
      </c>
      <c r="H2283" s="6" t="inlineStr">
        <is>
          <t>FIXO</t>
        </is>
      </c>
      <c r="I2283" s="11">
        <f>IF($H2283="AUTO_OFERTA_TOTAL_PRODUTO_PERIODO",SUMIFS(Oferta!$F:$F,Oferta!$A:$A,$A2283,Oferta!$E:$E,$E2283),$F2283)</f>
        <v/>
      </c>
      <c r="J2283" s="6" t="inlineStr">
        <is>
          <t>Informado</t>
        </is>
      </c>
      <c r="K2283" s="6" t="inlineStr">
        <is>
          <t>Demanda doméstica fixa informada pelo usuário.</t>
        </is>
      </c>
    </row>
    <row r="2284">
      <c r="A2284" s="6" t="inlineStr">
        <is>
          <t>Soja</t>
        </is>
      </c>
      <c r="B2284" s="6" t="inlineStr">
        <is>
          <t>Macapá - AP</t>
        </is>
      </c>
      <c r="C2284" s="6" t="n">
        <v>0.034934</v>
      </c>
      <c r="D2284" s="6" t="n">
        <v>-51.0694</v>
      </c>
      <c r="E2284" s="6" t="inlineStr">
        <is>
          <t>2023-03</t>
        </is>
      </c>
      <c r="F2284" s="6" t="n">
        <v>5291.8280572667</v>
      </c>
      <c r="G2284" s="6" t="inlineStr">
        <is>
          <t>DOMESTICA</t>
        </is>
      </c>
      <c r="H2284" s="6" t="inlineStr">
        <is>
          <t>FIXO</t>
        </is>
      </c>
      <c r="I2284" s="11">
        <f>IF($H2284="AUTO_OFERTA_TOTAL_PRODUTO_PERIODO",SUMIFS(Oferta!$F:$F,Oferta!$A:$A,$A2284,Oferta!$E:$E,$E2284),$F2284)</f>
        <v/>
      </c>
      <c r="J2284" s="6" t="inlineStr">
        <is>
          <t>Informado</t>
        </is>
      </c>
      <c r="K2284" s="6" t="inlineStr">
        <is>
          <t>Demanda doméstica fixa informada pelo usuário.</t>
        </is>
      </c>
    </row>
    <row r="2285">
      <c r="A2285" s="6" t="inlineStr">
        <is>
          <t>Soja</t>
        </is>
      </c>
      <c r="B2285" s="6" t="inlineStr">
        <is>
          <t>Macapá - AP</t>
        </is>
      </c>
      <c r="C2285" s="6" t="n">
        <v>0.034934</v>
      </c>
      <c r="D2285" s="6" t="n">
        <v>-51.0694</v>
      </c>
      <c r="E2285" s="6" t="inlineStr">
        <is>
          <t>2023-04</t>
        </is>
      </c>
      <c r="F2285" s="6" t="n">
        <v>5291.8280572667</v>
      </c>
      <c r="G2285" s="6" t="inlineStr">
        <is>
          <t>DOMESTICA</t>
        </is>
      </c>
      <c r="H2285" s="6" t="inlineStr">
        <is>
          <t>FIXO</t>
        </is>
      </c>
      <c r="I2285" s="11">
        <f>IF($H2285="AUTO_OFERTA_TOTAL_PRODUTO_PERIODO",SUMIFS(Oferta!$F:$F,Oferta!$A:$A,$A2285,Oferta!$E:$E,$E2285),$F2285)</f>
        <v/>
      </c>
      <c r="J2285" s="6" t="inlineStr">
        <is>
          <t>Informado</t>
        </is>
      </c>
      <c r="K2285" s="6" t="inlineStr">
        <is>
          <t>Demanda doméstica fixa informada pelo usuário.</t>
        </is>
      </c>
    </row>
    <row r="2286">
      <c r="A2286" s="6" t="inlineStr">
        <is>
          <t>Soja</t>
        </is>
      </c>
      <c r="B2286" s="6" t="inlineStr">
        <is>
          <t>Macapá - AP</t>
        </is>
      </c>
      <c r="C2286" s="6" t="n">
        <v>0.034934</v>
      </c>
      <c r="D2286" s="6" t="n">
        <v>-51.0694</v>
      </c>
      <c r="E2286" s="6" t="inlineStr">
        <is>
          <t>2023-05</t>
        </is>
      </c>
      <c r="F2286" s="6" t="n">
        <v>5291.8280572667</v>
      </c>
      <c r="G2286" s="6" t="inlineStr">
        <is>
          <t>DOMESTICA</t>
        </is>
      </c>
      <c r="H2286" s="6" t="inlineStr">
        <is>
          <t>FIXO</t>
        </is>
      </c>
      <c r="I2286" s="11">
        <f>IF($H2286="AUTO_OFERTA_TOTAL_PRODUTO_PERIODO",SUMIFS(Oferta!$F:$F,Oferta!$A:$A,$A2286,Oferta!$E:$E,$E2286),$F2286)</f>
        <v/>
      </c>
      <c r="J2286" s="6" t="inlineStr">
        <is>
          <t>Informado</t>
        </is>
      </c>
      <c r="K2286" s="6" t="inlineStr">
        <is>
          <t>Demanda doméstica fixa informada pelo usuário.</t>
        </is>
      </c>
    </row>
    <row r="2287">
      <c r="A2287" s="6" t="inlineStr">
        <is>
          <t>Soja</t>
        </is>
      </c>
      <c r="B2287" s="6" t="inlineStr">
        <is>
          <t>Macapá - AP</t>
        </is>
      </c>
      <c r="C2287" s="6" t="n">
        <v>0.034934</v>
      </c>
      <c r="D2287" s="6" t="n">
        <v>-51.0694</v>
      </c>
      <c r="E2287" s="6" t="inlineStr">
        <is>
          <t>2023-06</t>
        </is>
      </c>
      <c r="F2287" s="6" t="n">
        <v>5291.8280572667</v>
      </c>
      <c r="G2287" s="6" t="inlineStr">
        <is>
          <t>DOMESTICA</t>
        </is>
      </c>
      <c r="H2287" s="6" t="inlineStr">
        <is>
          <t>FIXO</t>
        </is>
      </c>
      <c r="I2287" s="11">
        <f>IF($H2287="AUTO_OFERTA_TOTAL_PRODUTO_PERIODO",SUMIFS(Oferta!$F:$F,Oferta!$A:$A,$A2287,Oferta!$E:$E,$E2287),$F2287)</f>
        <v/>
      </c>
      <c r="J2287" s="6" t="inlineStr">
        <is>
          <t>Informado</t>
        </is>
      </c>
      <c r="K2287" s="6" t="inlineStr">
        <is>
          <t>Demanda doméstica fixa informada pelo usuário.</t>
        </is>
      </c>
    </row>
    <row r="2288">
      <c r="A2288" s="6" t="inlineStr">
        <is>
          <t>Soja</t>
        </is>
      </c>
      <c r="B2288" s="6" t="inlineStr">
        <is>
          <t>Macapá - AP</t>
        </is>
      </c>
      <c r="C2288" s="6" t="n">
        <v>0.034934</v>
      </c>
      <c r="D2288" s="6" t="n">
        <v>-51.0694</v>
      </c>
      <c r="E2288" s="6" t="inlineStr">
        <is>
          <t>2023-07</t>
        </is>
      </c>
      <c r="F2288" s="6" t="n">
        <v>5291.8280572667</v>
      </c>
      <c r="G2288" s="6" t="inlineStr">
        <is>
          <t>DOMESTICA</t>
        </is>
      </c>
      <c r="H2288" s="6" t="inlineStr">
        <is>
          <t>FIXO</t>
        </is>
      </c>
      <c r="I2288" s="11">
        <f>IF($H2288="AUTO_OFERTA_TOTAL_PRODUTO_PERIODO",SUMIFS(Oferta!$F:$F,Oferta!$A:$A,$A2288,Oferta!$E:$E,$E2288),$F2288)</f>
        <v/>
      </c>
      <c r="J2288" s="6" t="inlineStr">
        <is>
          <t>Informado</t>
        </is>
      </c>
      <c r="K2288" s="6" t="inlineStr">
        <is>
          <t>Demanda doméstica fixa informada pelo usuário.</t>
        </is>
      </c>
    </row>
    <row r="2289">
      <c r="A2289" s="6" t="inlineStr">
        <is>
          <t>Soja</t>
        </is>
      </c>
      <c r="B2289" s="6" t="inlineStr">
        <is>
          <t>Macapá - AP</t>
        </is>
      </c>
      <c r="C2289" s="6" t="n">
        <v>0.034934</v>
      </c>
      <c r="D2289" s="6" t="n">
        <v>-51.0694</v>
      </c>
      <c r="E2289" s="6" t="inlineStr">
        <is>
          <t>2023-08</t>
        </is>
      </c>
      <c r="F2289" s="6" t="n">
        <v>5291.8280572667</v>
      </c>
      <c r="G2289" s="6" t="inlineStr">
        <is>
          <t>DOMESTICA</t>
        </is>
      </c>
      <c r="H2289" s="6" t="inlineStr">
        <is>
          <t>FIXO</t>
        </is>
      </c>
      <c r="I2289" s="11">
        <f>IF($H2289="AUTO_OFERTA_TOTAL_PRODUTO_PERIODO",SUMIFS(Oferta!$F:$F,Oferta!$A:$A,$A2289,Oferta!$E:$E,$E2289),$F2289)</f>
        <v/>
      </c>
      <c r="J2289" s="6" t="inlineStr">
        <is>
          <t>Informado</t>
        </is>
      </c>
      <c r="K2289" s="6" t="inlineStr">
        <is>
          <t>Demanda doméstica fixa informada pelo usuário.</t>
        </is>
      </c>
    </row>
    <row r="2290">
      <c r="A2290" s="6" t="inlineStr">
        <is>
          <t>Soja</t>
        </is>
      </c>
      <c r="B2290" s="6" t="inlineStr">
        <is>
          <t>Macapá - AP</t>
        </is>
      </c>
      <c r="C2290" s="6" t="n">
        <v>0.034934</v>
      </c>
      <c r="D2290" s="6" t="n">
        <v>-51.0694</v>
      </c>
      <c r="E2290" s="6" t="inlineStr">
        <is>
          <t>2023-09</t>
        </is>
      </c>
      <c r="F2290" s="6" t="n">
        <v>5291.8280572667</v>
      </c>
      <c r="G2290" s="6" t="inlineStr">
        <is>
          <t>DOMESTICA</t>
        </is>
      </c>
      <c r="H2290" s="6" t="inlineStr">
        <is>
          <t>FIXO</t>
        </is>
      </c>
      <c r="I2290" s="11">
        <f>IF($H2290="AUTO_OFERTA_TOTAL_PRODUTO_PERIODO",SUMIFS(Oferta!$F:$F,Oferta!$A:$A,$A2290,Oferta!$E:$E,$E2290),$F2290)</f>
        <v/>
      </c>
      <c r="J2290" s="6" t="inlineStr">
        <is>
          <t>Informado</t>
        </is>
      </c>
      <c r="K2290" s="6" t="inlineStr">
        <is>
          <t>Demanda doméstica fixa informada pelo usuário.</t>
        </is>
      </c>
    </row>
    <row r="2291">
      <c r="A2291" s="6" t="inlineStr">
        <is>
          <t>Soja</t>
        </is>
      </c>
      <c r="B2291" s="6" t="inlineStr">
        <is>
          <t>Macapá - AP</t>
        </is>
      </c>
      <c r="C2291" s="6" t="n">
        <v>0.034934</v>
      </c>
      <c r="D2291" s="6" t="n">
        <v>-51.0694</v>
      </c>
      <c r="E2291" s="6" t="inlineStr">
        <is>
          <t>2023-10</t>
        </is>
      </c>
      <c r="F2291" s="6" t="n">
        <v>5291.8280572667</v>
      </c>
      <c r="G2291" s="6" t="inlineStr">
        <is>
          <t>DOMESTICA</t>
        </is>
      </c>
      <c r="H2291" s="6" t="inlineStr">
        <is>
          <t>FIXO</t>
        </is>
      </c>
      <c r="I2291" s="11">
        <f>IF($H2291="AUTO_OFERTA_TOTAL_PRODUTO_PERIODO",SUMIFS(Oferta!$F:$F,Oferta!$A:$A,$A2291,Oferta!$E:$E,$E2291),$F2291)</f>
        <v/>
      </c>
      <c r="J2291" s="6" t="inlineStr">
        <is>
          <t>Informado</t>
        </is>
      </c>
      <c r="K2291" s="6" t="inlineStr">
        <is>
          <t>Demanda doméstica fixa informada pelo usuário.</t>
        </is>
      </c>
    </row>
    <row r="2292">
      <c r="A2292" s="6" t="inlineStr">
        <is>
          <t>Soja</t>
        </is>
      </c>
      <c r="B2292" s="6" t="inlineStr">
        <is>
          <t>Macapá - AP</t>
        </is>
      </c>
      <c r="C2292" s="6" t="n">
        <v>0.034934</v>
      </c>
      <c r="D2292" s="6" t="n">
        <v>-51.0694</v>
      </c>
      <c r="E2292" s="6" t="inlineStr">
        <is>
          <t>2023-11</t>
        </is>
      </c>
      <c r="F2292" s="6" t="n">
        <v>5291.8280572667</v>
      </c>
      <c r="G2292" s="6" t="inlineStr">
        <is>
          <t>DOMESTICA</t>
        </is>
      </c>
      <c r="H2292" s="6" t="inlineStr">
        <is>
          <t>FIXO</t>
        </is>
      </c>
      <c r="I2292" s="11">
        <f>IF($H2292="AUTO_OFERTA_TOTAL_PRODUTO_PERIODO",SUMIFS(Oferta!$F:$F,Oferta!$A:$A,$A2292,Oferta!$E:$E,$E2292),$F2292)</f>
        <v/>
      </c>
      <c r="J2292" s="6" t="inlineStr">
        <is>
          <t>Informado</t>
        </is>
      </c>
      <c r="K2292" s="6" t="inlineStr">
        <is>
          <t>Demanda doméstica fixa informada pelo usuário.</t>
        </is>
      </c>
    </row>
    <row r="2293">
      <c r="A2293" s="6" t="inlineStr">
        <is>
          <t>Soja</t>
        </is>
      </c>
      <c r="B2293" s="6" t="inlineStr">
        <is>
          <t>Macapá - AP</t>
        </is>
      </c>
      <c r="C2293" s="6" t="n">
        <v>0.034934</v>
      </c>
      <c r="D2293" s="6" t="n">
        <v>-51.0694</v>
      </c>
      <c r="E2293" s="6" t="inlineStr">
        <is>
          <t>2023-12</t>
        </is>
      </c>
      <c r="F2293" s="6" t="n">
        <v>5291.8280572667</v>
      </c>
      <c r="G2293" s="6" t="inlineStr">
        <is>
          <t>DOMESTICA</t>
        </is>
      </c>
      <c r="H2293" s="6" t="inlineStr">
        <is>
          <t>FIXO</t>
        </is>
      </c>
      <c r="I2293" s="11">
        <f>IF($H2293="AUTO_OFERTA_TOTAL_PRODUTO_PERIODO",SUMIFS(Oferta!$F:$F,Oferta!$A:$A,$A2293,Oferta!$E:$E,$E2293),$F2293)</f>
        <v/>
      </c>
      <c r="J2293" s="6" t="inlineStr">
        <is>
          <t>Informado</t>
        </is>
      </c>
      <c r="K2293" s="6" t="inlineStr">
        <is>
          <t>Demanda doméstica fixa informada pelo usuário.</t>
        </is>
      </c>
    </row>
    <row r="2294">
      <c r="A2294" s="6" t="inlineStr">
        <is>
          <t>Soja</t>
        </is>
      </c>
      <c r="B2294" s="6" t="inlineStr">
        <is>
          <t>Manaus - AM</t>
        </is>
      </c>
      <c r="C2294" s="6" t="n">
        <v>-3.11866</v>
      </c>
      <c r="D2294" s="6" t="n">
        <v>-60.0212</v>
      </c>
      <c r="E2294" s="6" t="inlineStr">
        <is>
          <t>2023-01</t>
        </is>
      </c>
      <c r="F2294" s="6" t="n">
        <v>34984.7823812867</v>
      </c>
      <c r="G2294" s="6" t="inlineStr">
        <is>
          <t>DOMESTICA</t>
        </is>
      </c>
      <c r="H2294" s="6" t="inlineStr">
        <is>
          <t>FIXO</t>
        </is>
      </c>
      <c r="I2294" s="11">
        <f>IF($H2294="AUTO_OFERTA_TOTAL_PRODUTO_PERIODO",SUMIFS(Oferta!$F:$F,Oferta!$A:$A,$A2294,Oferta!$E:$E,$E2294),$F2294)</f>
        <v/>
      </c>
      <c r="J2294" s="6" t="inlineStr">
        <is>
          <t>Informado</t>
        </is>
      </c>
      <c r="K2294" s="6" t="inlineStr">
        <is>
          <t>Demanda doméstica fixa informada pelo usuário.</t>
        </is>
      </c>
    </row>
    <row r="2295">
      <c r="A2295" s="6" t="inlineStr">
        <is>
          <t>Soja</t>
        </is>
      </c>
      <c r="B2295" s="6" t="inlineStr">
        <is>
          <t>Manaus - AM</t>
        </is>
      </c>
      <c r="C2295" s="6" t="n">
        <v>-3.11866</v>
      </c>
      <c r="D2295" s="6" t="n">
        <v>-60.0212</v>
      </c>
      <c r="E2295" s="6" t="inlineStr">
        <is>
          <t>2023-02</t>
        </is>
      </c>
      <c r="F2295" s="6" t="n">
        <v>67434.4356045091</v>
      </c>
      <c r="G2295" s="6" t="inlineStr">
        <is>
          <t>DOMESTICA</t>
        </is>
      </c>
      <c r="H2295" s="6" t="inlineStr">
        <is>
          <t>FIXO</t>
        </is>
      </c>
      <c r="I2295" s="11">
        <f>IF($H2295="AUTO_OFERTA_TOTAL_PRODUTO_PERIODO",SUMIFS(Oferta!$F:$F,Oferta!$A:$A,$A2295,Oferta!$E:$E,$E2295),$F2295)</f>
        <v/>
      </c>
      <c r="J2295" s="6" t="inlineStr">
        <is>
          <t>Informado</t>
        </is>
      </c>
      <c r="K2295" s="6" t="inlineStr">
        <is>
          <t>Demanda doméstica fixa informada pelo usuário.</t>
        </is>
      </c>
    </row>
    <row r="2296">
      <c r="A2296" s="6" t="inlineStr">
        <is>
          <t>Soja</t>
        </is>
      </c>
      <c r="B2296" s="6" t="inlineStr">
        <is>
          <t>Manaus - AM</t>
        </is>
      </c>
      <c r="C2296" s="6" t="n">
        <v>-3.11866</v>
      </c>
      <c r="D2296" s="6" t="n">
        <v>-60.0212</v>
      </c>
      <c r="E2296" s="6" t="inlineStr">
        <is>
          <t>2023-03</t>
        </is>
      </c>
      <c r="F2296" s="6" t="n">
        <v>99884.0888277315</v>
      </c>
      <c r="G2296" s="6" t="inlineStr">
        <is>
          <t>DOMESTICA</t>
        </is>
      </c>
      <c r="H2296" s="6" t="inlineStr">
        <is>
          <t>FIXO</t>
        </is>
      </c>
      <c r="I2296" s="11">
        <f>IF($H2296="AUTO_OFERTA_TOTAL_PRODUTO_PERIODO",SUMIFS(Oferta!$F:$F,Oferta!$A:$A,$A2296,Oferta!$E:$E,$E2296),$F2296)</f>
        <v/>
      </c>
      <c r="J2296" s="6" t="inlineStr">
        <is>
          <t>Informado</t>
        </is>
      </c>
      <c r="K2296" s="6" t="inlineStr">
        <is>
          <t>Demanda doméstica fixa informada pelo usuário.</t>
        </is>
      </c>
    </row>
    <row r="2297">
      <c r="A2297" s="6" t="inlineStr">
        <is>
          <t>Soja</t>
        </is>
      </c>
      <c r="B2297" s="6" t="inlineStr">
        <is>
          <t>Manaus - AM</t>
        </is>
      </c>
      <c r="C2297" s="6" t="n">
        <v>-3.11866</v>
      </c>
      <c r="D2297" s="6" t="n">
        <v>-60.0212</v>
      </c>
      <c r="E2297" s="6" t="inlineStr">
        <is>
          <t>2023-04</t>
        </is>
      </c>
      <c r="F2297" s="6" t="n">
        <v>107996.5021335371</v>
      </c>
      <c r="G2297" s="6" t="inlineStr">
        <is>
          <t>DOMESTICA</t>
        </is>
      </c>
      <c r="H2297" s="6" t="inlineStr">
        <is>
          <t>FIXO</t>
        </is>
      </c>
      <c r="I2297" s="11">
        <f>IF($H2297="AUTO_OFERTA_TOTAL_PRODUTO_PERIODO",SUMIFS(Oferta!$F:$F,Oferta!$A:$A,$A2297,Oferta!$E:$E,$E2297),$F2297)</f>
        <v/>
      </c>
      <c r="J2297" s="6" t="inlineStr">
        <is>
          <t>Informado</t>
        </is>
      </c>
      <c r="K2297" s="6" t="inlineStr">
        <is>
          <t>Demanda doméstica fixa informada pelo usuário.</t>
        </is>
      </c>
    </row>
    <row r="2298">
      <c r="A2298" s="6" t="inlineStr">
        <is>
          <t>Soja</t>
        </is>
      </c>
      <c r="B2298" s="6" t="inlineStr">
        <is>
          <t>Manaus - AM</t>
        </is>
      </c>
      <c r="C2298" s="6" t="n">
        <v>-3.11866</v>
      </c>
      <c r="D2298" s="6" t="n">
        <v>-60.0212</v>
      </c>
      <c r="E2298" s="6" t="inlineStr">
        <is>
          <t>2023-05</t>
        </is>
      </c>
      <c r="F2298" s="6" t="n">
        <v>75546.8489103147</v>
      </c>
      <c r="G2298" s="6" t="inlineStr">
        <is>
          <t>DOMESTICA</t>
        </is>
      </c>
      <c r="H2298" s="6" t="inlineStr">
        <is>
          <t>FIXO</t>
        </is>
      </c>
      <c r="I2298" s="11">
        <f>IF($H2298="AUTO_OFERTA_TOTAL_PRODUTO_PERIODO",SUMIFS(Oferta!$F:$F,Oferta!$A:$A,$A2298,Oferta!$E:$E,$E2298),$F2298)</f>
        <v/>
      </c>
      <c r="J2298" s="6" t="inlineStr">
        <is>
          <t>Informado</t>
        </is>
      </c>
      <c r="K2298" s="6" t="inlineStr">
        <is>
          <t>Demanda doméstica fixa informada pelo usuário.</t>
        </is>
      </c>
    </row>
    <row r="2299">
      <c r="A2299" s="6" t="inlineStr">
        <is>
          <t>Soja</t>
        </is>
      </c>
      <c r="B2299" s="6" t="inlineStr">
        <is>
          <t>Manaus - AM</t>
        </is>
      </c>
      <c r="C2299" s="6" t="n">
        <v>-3.11866</v>
      </c>
      <c r="D2299" s="6" t="n">
        <v>-60.0212</v>
      </c>
      <c r="E2299" s="6" t="inlineStr">
        <is>
          <t>2023-06</t>
        </is>
      </c>
      <c r="F2299" s="6" t="n">
        <v>43097.1956870923</v>
      </c>
      <c r="G2299" s="6" t="inlineStr">
        <is>
          <t>DOMESTICA</t>
        </is>
      </c>
      <c r="H2299" s="6" t="inlineStr">
        <is>
          <t>FIXO</t>
        </is>
      </c>
      <c r="I2299" s="11">
        <f>IF($H2299="AUTO_OFERTA_TOTAL_PRODUTO_PERIODO",SUMIFS(Oferta!$F:$F,Oferta!$A:$A,$A2299,Oferta!$E:$E,$E2299),$F2299)</f>
        <v/>
      </c>
      <c r="J2299" s="6" t="inlineStr">
        <is>
          <t>Informado</t>
        </is>
      </c>
      <c r="K2299" s="6" t="inlineStr">
        <is>
          <t>Demanda doméstica fixa informada pelo usuário.</t>
        </is>
      </c>
    </row>
    <row r="2300">
      <c r="A2300" s="6" t="inlineStr">
        <is>
          <t>Soja</t>
        </is>
      </c>
      <c r="B2300" s="6" t="inlineStr">
        <is>
          <t>Manaus - AM</t>
        </is>
      </c>
      <c r="C2300" s="6" t="n">
        <v>-3.11866</v>
      </c>
      <c r="D2300" s="6" t="n">
        <v>-60.0212</v>
      </c>
      <c r="E2300" s="6" t="inlineStr">
        <is>
          <t>2023-07</t>
        </is>
      </c>
      <c r="F2300" s="6" t="n">
        <v>26872.3690754811</v>
      </c>
      <c r="G2300" s="6" t="inlineStr">
        <is>
          <t>DOMESTICA</t>
        </is>
      </c>
      <c r="H2300" s="6" t="inlineStr">
        <is>
          <t>FIXO</t>
        </is>
      </c>
      <c r="I2300" s="11">
        <f>IF($H2300="AUTO_OFERTA_TOTAL_PRODUTO_PERIODO",SUMIFS(Oferta!$F:$F,Oferta!$A:$A,$A2300,Oferta!$E:$E,$E2300),$F2300)</f>
        <v/>
      </c>
      <c r="J2300" s="6" t="inlineStr">
        <is>
          <t>Informado</t>
        </is>
      </c>
      <c r="K2300" s="6" t="inlineStr">
        <is>
          <t>Demanda doméstica fixa informada pelo usuário.</t>
        </is>
      </c>
    </row>
    <row r="2301">
      <c r="A2301" s="6" t="inlineStr">
        <is>
          <t>Soja</t>
        </is>
      </c>
      <c r="B2301" s="6" t="inlineStr">
        <is>
          <t>Manaus - AM</t>
        </is>
      </c>
      <c r="C2301" s="6" t="n">
        <v>-3.11866</v>
      </c>
      <c r="D2301" s="6" t="n">
        <v>-60.0212</v>
      </c>
      <c r="E2301" s="6" t="inlineStr">
        <is>
          <t>2023-08</t>
        </is>
      </c>
      <c r="F2301" s="6" t="n">
        <v>26872.3690754811</v>
      </c>
      <c r="G2301" s="6" t="inlineStr">
        <is>
          <t>DOMESTICA</t>
        </is>
      </c>
      <c r="H2301" s="6" t="inlineStr">
        <is>
          <t>FIXO</t>
        </is>
      </c>
      <c r="I2301" s="11">
        <f>IF($H2301="AUTO_OFERTA_TOTAL_PRODUTO_PERIODO",SUMIFS(Oferta!$F:$F,Oferta!$A:$A,$A2301,Oferta!$E:$E,$E2301),$F2301)</f>
        <v/>
      </c>
      <c r="J2301" s="6" t="inlineStr">
        <is>
          <t>Informado</t>
        </is>
      </c>
      <c r="K2301" s="6" t="inlineStr">
        <is>
          <t>Demanda doméstica fixa informada pelo usuário.</t>
        </is>
      </c>
    </row>
    <row r="2302">
      <c r="A2302" s="6" t="inlineStr">
        <is>
          <t>Soja</t>
        </is>
      </c>
      <c r="B2302" s="6" t="inlineStr">
        <is>
          <t>Manaus - AM</t>
        </is>
      </c>
      <c r="C2302" s="6" t="n">
        <v>-3.11866</v>
      </c>
      <c r="D2302" s="6" t="n">
        <v>-60.0212</v>
      </c>
      <c r="E2302" s="6" t="inlineStr">
        <is>
          <t>2023-09</t>
        </is>
      </c>
      <c r="F2302" s="6" t="n">
        <v>26872.3690754811</v>
      </c>
      <c r="G2302" s="6" t="inlineStr">
        <is>
          <t>DOMESTICA</t>
        </is>
      </c>
      <c r="H2302" s="6" t="inlineStr">
        <is>
          <t>FIXO</t>
        </is>
      </c>
      <c r="I2302" s="11">
        <f>IF($H2302="AUTO_OFERTA_TOTAL_PRODUTO_PERIODO",SUMIFS(Oferta!$F:$F,Oferta!$A:$A,$A2302,Oferta!$E:$E,$E2302),$F2302)</f>
        <v/>
      </c>
      <c r="J2302" s="6" t="inlineStr">
        <is>
          <t>Informado</t>
        </is>
      </c>
      <c r="K2302" s="6" t="inlineStr">
        <is>
          <t>Demanda doméstica fixa informada pelo usuário.</t>
        </is>
      </c>
    </row>
    <row r="2303">
      <c r="A2303" s="6" t="inlineStr">
        <is>
          <t>Soja</t>
        </is>
      </c>
      <c r="B2303" s="6" t="inlineStr">
        <is>
          <t>Manaus - AM</t>
        </is>
      </c>
      <c r="C2303" s="6" t="n">
        <v>-3.11866</v>
      </c>
      <c r="D2303" s="6" t="n">
        <v>-60.0212</v>
      </c>
      <c r="E2303" s="6" t="inlineStr">
        <is>
          <t>2023-10</t>
        </is>
      </c>
      <c r="F2303" s="6" t="n">
        <v>26872.3690754811</v>
      </c>
      <c r="G2303" s="6" t="inlineStr">
        <is>
          <t>DOMESTICA</t>
        </is>
      </c>
      <c r="H2303" s="6" t="inlineStr">
        <is>
          <t>FIXO</t>
        </is>
      </c>
      <c r="I2303" s="11">
        <f>IF($H2303="AUTO_OFERTA_TOTAL_PRODUTO_PERIODO",SUMIFS(Oferta!$F:$F,Oferta!$A:$A,$A2303,Oferta!$E:$E,$E2303),$F2303)</f>
        <v/>
      </c>
      <c r="J2303" s="6" t="inlineStr">
        <is>
          <t>Informado</t>
        </is>
      </c>
      <c r="K2303" s="6" t="inlineStr">
        <is>
          <t>Demanda doméstica fixa informada pelo usuário.</t>
        </is>
      </c>
    </row>
    <row r="2304">
      <c r="A2304" s="6" t="inlineStr">
        <is>
          <t>Soja</t>
        </is>
      </c>
      <c r="B2304" s="6" t="inlineStr">
        <is>
          <t>Manaus - AM</t>
        </is>
      </c>
      <c r="C2304" s="6" t="n">
        <v>-3.11866</v>
      </c>
      <c r="D2304" s="6" t="n">
        <v>-60.0212</v>
      </c>
      <c r="E2304" s="6" t="inlineStr">
        <is>
          <t>2023-11</t>
        </is>
      </c>
      <c r="F2304" s="6" t="n">
        <v>26872.3690754811</v>
      </c>
      <c r="G2304" s="6" t="inlineStr">
        <is>
          <t>DOMESTICA</t>
        </is>
      </c>
      <c r="H2304" s="6" t="inlineStr">
        <is>
          <t>FIXO</t>
        </is>
      </c>
      <c r="I2304" s="11">
        <f>IF($H2304="AUTO_OFERTA_TOTAL_PRODUTO_PERIODO",SUMIFS(Oferta!$F:$F,Oferta!$A:$A,$A2304,Oferta!$E:$E,$E2304),$F2304)</f>
        <v/>
      </c>
      <c r="J2304" s="6" t="inlineStr">
        <is>
          <t>Informado</t>
        </is>
      </c>
      <c r="K2304" s="6" t="inlineStr">
        <is>
          <t>Demanda doméstica fixa informada pelo usuário.</t>
        </is>
      </c>
    </row>
    <row r="2305">
      <c r="A2305" s="6" t="inlineStr">
        <is>
          <t>Soja</t>
        </is>
      </c>
      <c r="B2305" s="6" t="inlineStr">
        <is>
          <t>Manaus - AM</t>
        </is>
      </c>
      <c r="C2305" s="6" t="n">
        <v>-3.11866</v>
      </c>
      <c r="D2305" s="6" t="n">
        <v>-60.0212</v>
      </c>
      <c r="E2305" s="6" t="inlineStr">
        <is>
          <t>2023-12</t>
        </is>
      </c>
      <c r="F2305" s="6" t="n">
        <v>26872.3690754811</v>
      </c>
      <c r="G2305" s="6" t="inlineStr">
        <is>
          <t>DOMESTICA</t>
        </is>
      </c>
      <c r="H2305" s="6" t="inlineStr">
        <is>
          <t>FIXO</t>
        </is>
      </c>
      <c r="I2305" s="11">
        <f>IF($H2305="AUTO_OFERTA_TOTAL_PRODUTO_PERIODO",SUMIFS(Oferta!$F:$F,Oferta!$A:$A,$A2305,Oferta!$E:$E,$E2305),$F2305)</f>
        <v/>
      </c>
      <c r="J2305" s="6" t="inlineStr">
        <is>
          <t>Informado</t>
        </is>
      </c>
      <c r="K2305" s="6" t="inlineStr">
        <is>
          <t>Demanda doméstica fixa informada pelo usuário.</t>
        </is>
      </c>
    </row>
    <row r="2306">
      <c r="A2306" s="6" t="inlineStr">
        <is>
          <t>Soja</t>
        </is>
      </c>
      <c r="B2306" s="6" t="inlineStr">
        <is>
          <t>Belém - PA</t>
        </is>
      </c>
      <c r="C2306" s="6" t="n">
        <v>-1.4554</v>
      </c>
      <c r="D2306" s="6" t="n">
        <v>-48.4898</v>
      </c>
      <c r="E2306" s="6" t="inlineStr">
        <is>
          <t>2023-01</t>
        </is>
      </c>
      <c r="F2306" s="6" t="n">
        <v>55087.3234311092</v>
      </c>
      <c r="G2306" s="6" t="inlineStr">
        <is>
          <t>DOMESTICA</t>
        </is>
      </c>
      <c r="H2306" s="6" t="inlineStr">
        <is>
          <t>FIXO</t>
        </is>
      </c>
      <c r="I2306" s="11">
        <f>IF($H2306="AUTO_OFERTA_TOTAL_PRODUTO_PERIODO",SUMIFS(Oferta!$F:$F,Oferta!$A:$A,$A2306,Oferta!$E:$E,$E2306),$F2306)</f>
        <v/>
      </c>
      <c r="J2306" s="6" t="inlineStr">
        <is>
          <t>Informado</t>
        </is>
      </c>
      <c r="K2306" s="6" t="inlineStr">
        <is>
          <t>Demanda doméstica fixa informada pelo usuário.</t>
        </is>
      </c>
    </row>
    <row r="2307">
      <c r="A2307" s="6" t="inlineStr">
        <is>
          <t>Soja</t>
        </is>
      </c>
      <c r="B2307" s="6" t="inlineStr">
        <is>
          <t>Belém - PA</t>
        </is>
      </c>
      <c r="C2307" s="6" t="n">
        <v>-1.4554</v>
      </c>
      <c r="D2307" s="6" t="n">
        <v>-48.4898</v>
      </c>
      <c r="E2307" s="6" t="inlineStr">
        <is>
          <t>2023-02</t>
        </is>
      </c>
      <c r="F2307" s="6" t="n">
        <v>55087.3234311092</v>
      </c>
      <c r="G2307" s="6" t="inlineStr">
        <is>
          <t>DOMESTICA</t>
        </is>
      </c>
      <c r="H2307" s="6" t="inlineStr">
        <is>
          <t>FIXO</t>
        </is>
      </c>
      <c r="I2307" s="11">
        <f>IF($H2307="AUTO_OFERTA_TOTAL_PRODUTO_PERIODO",SUMIFS(Oferta!$F:$F,Oferta!$A:$A,$A2307,Oferta!$E:$E,$E2307),$F2307)</f>
        <v/>
      </c>
      <c r="J2307" s="6" t="inlineStr">
        <is>
          <t>Informado</t>
        </is>
      </c>
      <c r="K2307" s="6" t="inlineStr">
        <is>
          <t>Demanda doméstica fixa informada pelo usuário.</t>
        </is>
      </c>
    </row>
    <row r="2308">
      <c r="A2308" s="6" t="inlineStr">
        <is>
          <t>Soja</t>
        </is>
      </c>
      <c r="B2308" s="6" t="inlineStr">
        <is>
          <t>Belém - PA</t>
        </is>
      </c>
      <c r="C2308" s="6" t="n">
        <v>-1.4554</v>
      </c>
      <c r="D2308" s="6" t="n">
        <v>-48.4898</v>
      </c>
      <c r="E2308" s="6" t="inlineStr">
        <is>
          <t>2023-03</t>
        </is>
      </c>
      <c r="F2308" s="6" t="n">
        <v>55087.3234311092</v>
      </c>
      <c r="G2308" s="6" t="inlineStr">
        <is>
          <t>DOMESTICA</t>
        </is>
      </c>
      <c r="H2308" s="6" t="inlineStr">
        <is>
          <t>FIXO</t>
        </is>
      </c>
      <c r="I2308" s="11">
        <f>IF($H2308="AUTO_OFERTA_TOTAL_PRODUTO_PERIODO",SUMIFS(Oferta!$F:$F,Oferta!$A:$A,$A2308,Oferta!$E:$E,$E2308),$F2308)</f>
        <v/>
      </c>
      <c r="J2308" s="6" t="inlineStr">
        <is>
          <t>Informado</t>
        </is>
      </c>
      <c r="K2308" s="6" t="inlineStr">
        <is>
          <t>Demanda doméstica fixa informada pelo usuário.</t>
        </is>
      </c>
    </row>
    <row r="2309">
      <c r="A2309" s="6" t="inlineStr">
        <is>
          <t>Soja</t>
        </is>
      </c>
      <c r="B2309" s="6" t="inlineStr">
        <is>
          <t>Belém - PA</t>
        </is>
      </c>
      <c r="C2309" s="6" t="n">
        <v>-1.4554</v>
      </c>
      <c r="D2309" s="6" t="n">
        <v>-48.4898</v>
      </c>
      <c r="E2309" s="6" t="inlineStr">
        <is>
          <t>2023-04</t>
        </is>
      </c>
      <c r="F2309" s="6" t="n">
        <v>55087.3234311092</v>
      </c>
      <c r="G2309" s="6" t="inlineStr">
        <is>
          <t>DOMESTICA</t>
        </is>
      </c>
      <c r="H2309" s="6" t="inlineStr">
        <is>
          <t>FIXO</t>
        </is>
      </c>
      <c r="I2309" s="11">
        <f>IF($H2309="AUTO_OFERTA_TOTAL_PRODUTO_PERIODO",SUMIFS(Oferta!$F:$F,Oferta!$A:$A,$A2309,Oferta!$E:$E,$E2309),$F2309)</f>
        <v/>
      </c>
      <c r="J2309" s="6" t="inlineStr">
        <is>
          <t>Informado</t>
        </is>
      </c>
      <c r="K2309" s="6" t="inlineStr">
        <is>
          <t>Demanda doméstica fixa informada pelo usuário.</t>
        </is>
      </c>
    </row>
    <row r="2310">
      <c r="A2310" s="6" t="inlineStr">
        <is>
          <t>Soja</t>
        </is>
      </c>
      <c r="B2310" s="6" t="inlineStr">
        <is>
          <t>Belém - PA</t>
        </is>
      </c>
      <c r="C2310" s="6" t="n">
        <v>-1.4554</v>
      </c>
      <c r="D2310" s="6" t="n">
        <v>-48.4898</v>
      </c>
      <c r="E2310" s="6" t="inlineStr">
        <is>
          <t>2023-05</t>
        </is>
      </c>
      <c r="F2310" s="6" t="n">
        <v>55087.3234311092</v>
      </c>
      <c r="G2310" s="6" t="inlineStr">
        <is>
          <t>DOMESTICA</t>
        </is>
      </c>
      <c r="H2310" s="6" t="inlineStr">
        <is>
          <t>FIXO</t>
        </is>
      </c>
      <c r="I2310" s="11">
        <f>IF($H2310="AUTO_OFERTA_TOTAL_PRODUTO_PERIODO",SUMIFS(Oferta!$F:$F,Oferta!$A:$A,$A2310,Oferta!$E:$E,$E2310),$F2310)</f>
        <v/>
      </c>
      <c r="J2310" s="6" t="inlineStr">
        <is>
          <t>Informado</t>
        </is>
      </c>
      <c r="K2310" s="6" t="inlineStr">
        <is>
          <t>Demanda doméstica fixa informada pelo usuário.</t>
        </is>
      </c>
    </row>
    <row r="2311">
      <c r="A2311" s="6" t="inlineStr">
        <is>
          <t>Soja</t>
        </is>
      </c>
      <c r="B2311" s="6" t="inlineStr">
        <is>
          <t>Belém - PA</t>
        </is>
      </c>
      <c r="C2311" s="6" t="n">
        <v>-1.4554</v>
      </c>
      <c r="D2311" s="6" t="n">
        <v>-48.4898</v>
      </c>
      <c r="E2311" s="6" t="inlineStr">
        <is>
          <t>2023-06</t>
        </is>
      </c>
      <c r="F2311" s="6" t="n">
        <v>55087.3234311092</v>
      </c>
      <c r="G2311" s="6" t="inlineStr">
        <is>
          <t>DOMESTICA</t>
        </is>
      </c>
      <c r="H2311" s="6" t="inlineStr">
        <is>
          <t>FIXO</t>
        </is>
      </c>
      <c r="I2311" s="11">
        <f>IF($H2311="AUTO_OFERTA_TOTAL_PRODUTO_PERIODO",SUMIFS(Oferta!$F:$F,Oferta!$A:$A,$A2311,Oferta!$E:$E,$E2311),$F2311)</f>
        <v/>
      </c>
      <c r="J2311" s="6" t="inlineStr">
        <is>
          <t>Informado</t>
        </is>
      </c>
      <c r="K2311" s="6" t="inlineStr">
        <is>
          <t>Demanda doméstica fixa informada pelo usuário.</t>
        </is>
      </c>
    </row>
    <row r="2312">
      <c r="A2312" s="6" t="inlineStr">
        <is>
          <t>Soja</t>
        </is>
      </c>
      <c r="B2312" s="6" t="inlineStr">
        <is>
          <t>Belém - PA</t>
        </is>
      </c>
      <c r="C2312" s="6" t="n">
        <v>-1.4554</v>
      </c>
      <c r="D2312" s="6" t="n">
        <v>-48.4898</v>
      </c>
      <c r="E2312" s="6" t="inlineStr">
        <is>
          <t>2023-07</t>
        </is>
      </c>
      <c r="F2312" s="6" t="n">
        <v>88347.59418196751</v>
      </c>
      <c r="G2312" s="6" t="inlineStr">
        <is>
          <t>DOMESTICA</t>
        </is>
      </c>
      <c r="H2312" s="6" t="inlineStr">
        <is>
          <t>FIXO</t>
        </is>
      </c>
      <c r="I2312" s="11">
        <f>IF($H2312="AUTO_OFERTA_TOTAL_PRODUTO_PERIODO",SUMIFS(Oferta!$F:$F,Oferta!$A:$A,$A2312,Oferta!$E:$E,$E2312),$F2312)</f>
        <v/>
      </c>
      <c r="J2312" s="6" t="inlineStr">
        <is>
          <t>Informado</t>
        </is>
      </c>
      <c r="K2312" s="6" t="inlineStr">
        <is>
          <t>Demanda doméstica fixa informada pelo usuário.</t>
        </is>
      </c>
    </row>
    <row r="2313">
      <c r="A2313" s="6" t="inlineStr">
        <is>
          <t>Soja</t>
        </is>
      </c>
      <c r="B2313" s="6" t="inlineStr">
        <is>
          <t>Belém - PA</t>
        </is>
      </c>
      <c r="C2313" s="6" t="n">
        <v>-1.4554</v>
      </c>
      <c r="D2313" s="6" t="n">
        <v>-48.4898</v>
      </c>
      <c r="E2313" s="6" t="inlineStr">
        <is>
          <t>2023-08</t>
        </is>
      </c>
      <c r="F2313" s="6" t="n">
        <v>188128.4064345426</v>
      </c>
      <c r="G2313" s="6" t="inlineStr">
        <is>
          <t>DOMESTICA</t>
        </is>
      </c>
      <c r="H2313" s="6" t="inlineStr">
        <is>
          <t>FIXO</t>
        </is>
      </c>
      <c r="I2313" s="11">
        <f>IF($H2313="AUTO_OFERTA_TOTAL_PRODUTO_PERIODO",SUMIFS(Oferta!$F:$F,Oferta!$A:$A,$A2313,Oferta!$E:$E,$E2313),$F2313)</f>
        <v/>
      </c>
      <c r="J2313" s="6" t="inlineStr">
        <is>
          <t>Informado</t>
        </is>
      </c>
      <c r="K2313" s="6" t="inlineStr">
        <is>
          <t>Demanda doméstica fixa informada pelo usuário.</t>
        </is>
      </c>
    </row>
    <row r="2314">
      <c r="A2314" s="6" t="inlineStr">
        <is>
          <t>Soja</t>
        </is>
      </c>
      <c r="B2314" s="6" t="inlineStr">
        <is>
          <t>Belém - PA</t>
        </is>
      </c>
      <c r="C2314" s="6" t="n">
        <v>-1.4554</v>
      </c>
      <c r="D2314" s="6" t="n">
        <v>-48.4898</v>
      </c>
      <c r="E2314" s="6" t="inlineStr">
        <is>
          <t>2023-09</t>
        </is>
      </c>
      <c r="F2314" s="6" t="n">
        <v>221388.6771854009</v>
      </c>
      <c r="G2314" s="6" t="inlineStr">
        <is>
          <t>DOMESTICA</t>
        </is>
      </c>
      <c r="H2314" s="6" t="inlineStr">
        <is>
          <t>FIXO</t>
        </is>
      </c>
      <c r="I2314" s="11">
        <f>IF($H2314="AUTO_OFERTA_TOTAL_PRODUTO_PERIODO",SUMIFS(Oferta!$F:$F,Oferta!$A:$A,$A2314,Oferta!$E:$E,$E2314),$F2314)</f>
        <v/>
      </c>
      <c r="J2314" s="6" t="inlineStr">
        <is>
          <t>Informado</t>
        </is>
      </c>
      <c r="K2314" s="6" t="inlineStr">
        <is>
          <t>Demanda doméstica fixa informada pelo usuário.</t>
        </is>
      </c>
    </row>
    <row r="2315">
      <c r="A2315" s="6" t="inlineStr">
        <is>
          <t>Soja</t>
        </is>
      </c>
      <c r="B2315" s="6" t="inlineStr">
        <is>
          <t>Belém - PA</t>
        </is>
      </c>
      <c r="C2315" s="6" t="n">
        <v>-1.4554</v>
      </c>
      <c r="D2315" s="6" t="n">
        <v>-48.4898</v>
      </c>
      <c r="E2315" s="6" t="inlineStr">
        <is>
          <t>2023-10</t>
        </is>
      </c>
      <c r="F2315" s="6" t="n">
        <v>188128.4064345426</v>
      </c>
      <c r="G2315" s="6" t="inlineStr">
        <is>
          <t>DOMESTICA</t>
        </is>
      </c>
      <c r="H2315" s="6" t="inlineStr">
        <is>
          <t>FIXO</t>
        </is>
      </c>
      <c r="I2315" s="11">
        <f>IF($H2315="AUTO_OFERTA_TOTAL_PRODUTO_PERIODO",SUMIFS(Oferta!$F:$F,Oferta!$A:$A,$A2315,Oferta!$E:$E,$E2315),$F2315)</f>
        <v/>
      </c>
      <c r="J2315" s="6" t="inlineStr">
        <is>
          <t>Informado</t>
        </is>
      </c>
      <c r="K2315" s="6" t="inlineStr">
        <is>
          <t>Demanda doméstica fixa informada pelo usuário.</t>
        </is>
      </c>
    </row>
    <row r="2316">
      <c r="A2316" s="6" t="inlineStr">
        <is>
          <t>Soja</t>
        </is>
      </c>
      <c r="B2316" s="6" t="inlineStr">
        <is>
          <t>Belém - PA</t>
        </is>
      </c>
      <c r="C2316" s="6" t="n">
        <v>-1.4554</v>
      </c>
      <c r="D2316" s="6" t="n">
        <v>-48.4898</v>
      </c>
      <c r="E2316" s="6" t="inlineStr">
        <is>
          <t>2023-11</t>
        </is>
      </c>
      <c r="F2316" s="6" t="n">
        <v>88347.59418196751</v>
      </c>
      <c r="G2316" s="6" t="inlineStr">
        <is>
          <t>DOMESTICA</t>
        </is>
      </c>
      <c r="H2316" s="6" t="inlineStr">
        <is>
          <t>FIXO</t>
        </is>
      </c>
      <c r="I2316" s="11">
        <f>IF($H2316="AUTO_OFERTA_TOTAL_PRODUTO_PERIODO",SUMIFS(Oferta!$F:$F,Oferta!$A:$A,$A2316,Oferta!$E:$E,$E2316),$F2316)</f>
        <v/>
      </c>
      <c r="J2316" s="6" t="inlineStr">
        <is>
          <t>Informado</t>
        </is>
      </c>
      <c r="K2316" s="6" t="inlineStr">
        <is>
          <t>Demanda doméstica fixa informada pelo usuário.</t>
        </is>
      </c>
    </row>
    <row r="2317">
      <c r="A2317" s="6" t="inlineStr">
        <is>
          <t>Soja</t>
        </is>
      </c>
      <c r="B2317" s="6" t="inlineStr">
        <is>
          <t>Belém - PA</t>
        </is>
      </c>
      <c r="C2317" s="6" t="n">
        <v>-1.4554</v>
      </c>
      <c r="D2317" s="6" t="n">
        <v>-48.4898</v>
      </c>
      <c r="E2317" s="6" t="inlineStr">
        <is>
          <t>2023-12</t>
        </is>
      </c>
      <c r="F2317" s="6" t="n">
        <v>55087.3234311092</v>
      </c>
      <c r="G2317" s="6" t="inlineStr">
        <is>
          <t>DOMESTICA</t>
        </is>
      </c>
      <c r="H2317" s="6" t="inlineStr">
        <is>
          <t>FIXO</t>
        </is>
      </c>
      <c r="I2317" s="11">
        <f>IF($H2317="AUTO_OFERTA_TOTAL_PRODUTO_PERIODO",SUMIFS(Oferta!$F:$F,Oferta!$A:$A,$A2317,Oferta!$E:$E,$E2317),$F2317)</f>
        <v/>
      </c>
      <c r="J2317" s="6" t="inlineStr">
        <is>
          <t>Informado</t>
        </is>
      </c>
      <c r="K2317" s="6" t="inlineStr">
        <is>
          <t>Demanda doméstica fixa informada pelo usuário.</t>
        </is>
      </c>
    </row>
    <row r="2318">
      <c r="A2318" s="6" t="inlineStr">
        <is>
          <t>Soja</t>
        </is>
      </c>
      <c r="B2318" s="6" t="inlineStr">
        <is>
          <t>Porto Velho - RO</t>
        </is>
      </c>
      <c r="C2318" s="6" t="n">
        <v>-8.760770000000001</v>
      </c>
      <c r="D2318" s="6" t="n">
        <v>-63.8999</v>
      </c>
      <c r="E2318" s="6" t="inlineStr">
        <is>
          <t>2023-01</t>
        </is>
      </c>
      <c r="F2318" s="6" t="n">
        <v>20702.5281677515</v>
      </c>
      <c r="G2318" s="6" t="inlineStr">
        <is>
          <t>DOMESTICA</t>
        </is>
      </c>
      <c r="H2318" s="6" t="inlineStr">
        <is>
          <t>FIXO</t>
        </is>
      </c>
      <c r="I2318" s="11">
        <f>IF($H2318="AUTO_OFERTA_TOTAL_PRODUTO_PERIODO",SUMIFS(Oferta!$F:$F,Oferta!$A:$A,$A2318,Oferta!$E:$E,$E2318),$F2318)</f>
        <v/>
      </c>
      <c r="J2318" s="6" t="inlineStr">
        <is>
          <t>Informado</t>
        </is>
      </c>
      <c r="K2318" s="6" t="inlineStr">
        <is>
          <t>Demanda doméstica fixa informada pelo usuário.</t>
        </is>
      </c>
    </row>
    <row r="2319">
      <c r="A2319" s="6" t="inlineStr">
        <is>
          <t>Soja</t>
        </is>
      </c>
      <c r="B2319" s="6" t="inlineStr">
        <is>
          <t>Porto Velho - RO</t>
        </is>
      </c>
      <c r="C2319" s="6" t="n">
        <v>-8.760770000000001</v>
      </c>
      <c r="D2319" s="6" t="n">
        <v>-63.8999</v>
      </c>
      <c r="E2319" s="6" t="inlineStr">
        <is>
          <t>2023-02</t>
        </is>
      </c>
      <c r="F2319" s="6" t="n">
        <v>20702.5281677515</v>
      </c>
      <c r="G2319" s="6" t="inlineStr">
        <is>
          <t>DOMESTICA</t>
        </is>
      </c>
      <c r="H2319" s="6" t="inlineStr">
        <is>
          <t>FIXO</t>
        </is>
      </c>
      <c r="I2319" s="11">
        <f>IF($H2319="AUTO_OFERTA_TOTAL_PRODUTO_PERIODO",SUMIFS(Oferta!$F:$F,Oferta!$A:$A,$A2319,Oferta!$E:$E,$E2319),$F2319)</f>
        <v/>
      </c>
      <c r="J2319" s="6" t="inlineStr">
        <is>
          <t>Informado</t>
        </is>
      </c>
      <c r="K2319" s="6" t="inlineStr">
        <is>
          <t>Demanda doméstica fixa informada pelo usuário.</t>
        </is>
      </c>
    </row>
    <row r="2320">
      <c r="A2320" s="6" t="inlineStr">
        <is>
          <t>Soja</t>
        </is>
      </c>
      <c r="B2320" s="6" t="inlineStr">
        <is>
          <t>Porto Velho - RO</t>
        </is>
      </c>
      <c r="C2320" s="6" t="n">
        <v>-8.760770000000001</v>
      </c>
      <c r="D2320" s="6" t="n">
        <v>-63.8999</v>
      </c>
      <c r="E2320" s="6" t="inlineStr">
        <is>
          <t>2023-03</t>
        </is>
      </c>
      <c r="F2320" s="6" t="n">
        <v>26952.3479919783</v>
      </c>
      <c r="G2320" s="6" t="inlineStr">
        <is>
          <t>DOMESTICA</t>
        </is>
      </c>
      <c r="H2320" s="6" t="inlineStr">
        <is>
          <t>FIXO</t>
        </is>
      </c>
      <c r="I2320" s="11">
        <f>IF($H2320="AUTO_OFERTA_TOTAL_PRODUTO_PERIODO",SUMIFS(Oferta!$F:$F,Oferta!$A:$A,$A2320,Oferta!$E:$E,$E2320),$F2320)</f>
        <v/>
      </c>
      <c r="J2320" s="6" t="inlineStr">
        <is>
          <t>Informado</t>
        </is>
      </c>
      <c r="K2320" s="6" t="inlineStr">
        <is>
          <t>Demanda doméstica fixa informada pelo usuário.</t>
        </is>
      </c>
    </row>
    <row r="2321">
      <c r="A2321" s="6" t="inlineStr">
        <is>
          <t>Soja</t>
        </is>
      </c>
      <c r="B2321" s="6" t="inlineStr">
        <is>
          <t>Porto Velho - RO</t>
        </is>
      </c>
      <c r="C2321" s="6" t="n">
        <v>-8.760770000000001</v>
      </c>
      <c r="D2321" s="6" t="n">
        <v>-63.8999</v>
      </c>
      <c r="E2321" s="6" t="inlineStr">
        <is>
          <t>2023-04</t>
        </is>
      </c>
      <c r="F2321" s="6" t="n">
        <v>64451.2669373395</v>
      </c>
      <c r="G2321" s="6" t="inlineStr">
        <is>
          <t>DOMESTICA</t>
        </is>
      </c>
      <c r="H2321" s="6" t="inlineStr">
        <is>
          <t>FIXO</t>
        </is>
      </c>
      <c r="I2321" s="11">
        <f>IF($H2321="AUTO_OFERTA_TOTAL_PRODUTO_PERIODO",SUMIFS(Oferta!$F:$F,Oferta!$A:$A,$A2321,Oferta!$E:$E,$E2321),$F2321)</f>
        <v/>
      </c>
      <c r="J2321" s="6" t="inlineStr">
        <is>
          <t>Informado</t>
        </is>
      </c>
      <c r="K2321" s="6" t="inlineStr">
        <is>
          <t>Demanda doméstica fixa informada pelo usuário.</t>
        </is>
      </c>
    </row>
    <row r="2322">
      <c r="A2322" s="6" t="inlineStr">
        <is>
          <t>Soja</t>
        </is>
      </c>
      <c r="B2322" s="6" t="inlineStr">
        <is>
          <t>Porto Velho - RO</t>
        </is>
      </c>
      <c r="C2322" s="6" t="n">
        <v>-8.760770000000001</v>
      </c>
      <c r="D2322" s="6" t="n">
        <v>-63.8999</v>
      </c>
      <c r="E2322" s="6" t="inlineStr">
        <is>
          <t>2023-05</t>
        </is>
      </c>
      <c r="F2322" s="6" t="n">
        <v>76950.9065857932</v>
      </c>
      <c r="G2322" s="6" t="inlineStr">
        <is>
          <t>DOMESTICA</t>
        </is>
      </c>
      <c r="H2322" s="6" t="inlineStr">
        <is>
          <t>FIXO</t>
        </is>
      </c>
      <c r="I2322" s="11">
        <f>IF($H2322="AUTO_OFERTA_TOTAL_PRODUTO_PERIODO",SUMIFS(Oferta!$F:$F,Oferta!$A:$A,$A2322,Oferta!$E:$E,$E2322),$F2322)</f>
        <v/>
      </c>
      <c r="J2322" s="6" t="inlineStr">
        <is>
          <t>Informado</t>
        </is>
      </c>
      <c r="K2322" s="6" t="inlineStr">
        <is>
          <t>Demanda doméstica fixa informada pelo usuário.</t>
        </is>
      </c>
    </row>
    <row r="2323">
      <c r="A2323" s="6" t="inlineStr">
        <is>
          <t>Soja</t>
        </is>
      </c>
      <c r="B2323" s="6" t="inlineStr">
        <is>
          <t>Porto Velho - RO</t>
        </is>
      </c>
      <c r="C2323" s="6" t="n">
        <v>-8.760770000000001</v>
      </c>
      <c r="D2323" s="6" t="n">
        <v>-63.8999</v>
      </c>
      <c r="E2323" s="6" t="inlineStr">
        <is>
          <t>2023-06</t>
        </is>
      </c>
      <c r="F2323" s="6" t="n">
        <v>70701.0867615664</v>
      </c>
      <c r="G2323" s="6" t="inlineStr">
        <is>
          <t>DOMESTICA</t>
        </is>
      </c>
      <c r="H2323" s="6" t="inlineStr">
        <is>
          <t>FIXO</t>
        </is>
      </c>
      <c r="I2323" s="11">
        <f>IF($H2323="AUTO_OFERTA_TOTAL_PRODUTO_PERIODO",SUMIFS(Oferta!$F:$F,Oferta!$A:$A,$A2323,Oferta!$E:$E,$E2323),$F2323)</f>
        <v/>
      </c>
      <c r="J2323" s="6" t="inlineStr">
        <is>
          <t>Informado</t>
        </is>
      </c>
      <c r="K2323" s="6" t="inlineStr">
        <is>
          <t>Demanda doméstica fixa informada pelo usuário.</t>
        </is>
      </c>
    </row>
    <row r="2324">
      <c r="A2324" s="6" t="inlineStr">
        <is>
          <t>Soja</t>
        </is>
      </c>
      <c r="B2324" s="6" t="inlineStr">
        <is>
          <t>Porto Velho - RO</t>
        </is>
      </c>
      <c r="C2324" s="6" t="n">
        <v>-8.760770000000001</v>
      </c>
      <c r="D2324" s="6" t="n">
        <v>-63.8999</v>
      </c>
      <c r="E2324" s="6" t="inlineStr">
        <is>
          <t>2023-07</t>
        </is>
      </c>
      <c r="F2324" s="6" t="n">
        <v>33202.1678162052</v>
      </c>
      <c r="G2324" s="6" t="inlineStr">
        <is>
          <t>DOMESTICA</t>
        </is>
      </c>
      <c r="H2324" s="6" t="inlineStr">
        <is>
          <t>FIXO</t>
        </is>
      </c>
      <c r="I2324" s="11">
        <f>IF($H2324="AUTO_OFERTA_TOTAL_PRODUTO_PERIODO",SUMIFS(Oferta!$F:$F,Oferta!$A:$A,$A2324,Oferta!$E:$E,$E2324),$F2324)</f>
        <v/>
      </c>
      <c r="J2324" s="6" t="inlineStr">
        <is>
          <t>Informado</t>
        </is>
      </c>
      <c r="K2324" s="6" t="inlineStr">
        <is>
          <t>Demanda doméstica fixa informada pelo usuário.</t>
        </is>
      </c>
    </row>
    <row r="2325">
      <c r="A2325" s="6" t="inlineStr">
        <is>
          <t>Soja</t>
        </is>
      </c>
      <c r="B2325" s="6" t="inlineStr">
        <is>
          <t>Porto Velho - RO</t>
        </is>
      </c>
      <c r="C2325" s="6" t="n">
        <v>-8.760770000000001</v>
      </c>
      <c r="D2325" s="6" t="n">
        <v>-63.8999</v>
      </c>
      <c r="E2325" s="6" t="inlineStr">
        <is>
          <t>2023-08</t>
        </is>
      </c>
      <c r="F2325" s="6" t="n">
        <v>20702.5281677515</v>
      </c>
      <c r="G2325" s="6" t="inlineStr">
        <is>
          <t>DOMESTICA</t>
        </is>
      </c>
      <c r="H2325" s="6" t="inlineStr">
        <is>
          <t>FIXO</t>
        </is>
      </c>
      <c r="I2325" s="11">
        <f>IF($H2325="AUTO_OFERTA_TOTAL_PRODUTO_PERIODO",SUMIFS(Oferta!$F:$F,Oferta!$A:$A,$A2325,Oferta!$E:$E,$E2325),$F2325)</f>
        <v/>
      </c>
      <c r="J2325" s="6" t="inlineStr">
        <is>
          <t>Informado</t>
        </is>
      </c>
      <c r="K2325" s="6" t="inlineStr">
        <is>
          <t>Demanda doméstica fixa informada pelo usuário.</t>
        </is>
      </c>
    </row>
    <row r="2326">
      <c r="A2326" s="6" t="inlineStr">
        <is>
          <t>Soja</t>
        </is>
      </c>
      <c r="B2326" s="6" t="inlineStr">
        <is>
          <t>Porto Velho - RO</t>
        </is>
      </c>
      <c r="C2326" s="6" t="n">
        <v>-8.760770000000001</v>
      </c>
      <c r="D2326" s="6" t="n">
        <v>-63.8999</v>
      </c>
      <c r="E2326" s="6" t="inlineStr">
        <is>
          <t>2023-09</t>
        </is>
      </c>
      <c r="F2326" s="6" t="n">
        <v>20702.5281677515</v>
      </c>
      <c r="G2326" s="6" t="inlineStr">
        <is>
          <t>DOMESTICA</t>
        </is>
      </c>
      <c r="H2326" s="6" t="inlineStr">
        <is>
          <t>FIXO</t>
        </is>
      </c>
      <c r="I2326" s="11">
        <f>IF($H2326="AUTO_OFERTA_TOTAL_PRODUTO_PERIODO",SUMIFS(Oferta!$F:$F,Oferta!$A:$A,$A2326,Oferta!$E:$E,$E2326),$F2326)</f>
        <v/>
      </c>
      <c r="J2326" s="6" t="inlineStr">
        <is>
          <t>Informado</t>
        </is>
      </c>
      <c r="K2326" s="6" t="inlineStr">
        <is>
          <t>Demanda doméstica fixa informada pelo usuário.</t>
        </is>
      </c>
    </row>
    <row r="2327">
      <c r="A2327" s="6" t="inlineStr">
        <is>
          <t>Soja</t>
        </is>
      </c>
      <c r="B2327" s="6" t="inlineStr">
        <is>
          <t>Porto Velho - RO</t>
        </is>
      </c>
      <c r="C2327" s="6" t="n">
        <v>-8.760770000000001</v>
      </c>
      <c r="D2327" s="6" t="n">
        <v>-63.8999</v>
      </c>
      <c r="E2327" s="6" t="inlineStr">
        <is>
          <t>2023-10</t>
        </is>
      </c>
      <c r="F2327" s="6" t="n">
        <v>20702.5281677515</v>
      </c>
      <c r="G2327" s="6" t="inlineStr">
        <is>
          <t>DOMESTICA</t>
        </is>
      </c>
      <c r="H2327" s="6" t="inlineStr">
        <is>
          <t>FIXO</t>
        </is>
      </c>
      <c r="I2327" s="11">
        <f>IF($H2327="AUTO_OFERTA_TOTAL_PRODUTO_PERIODO",SUMIFS(Oferta!$F:$F,Oferta!$A:$A,$A2327,Oferta!$E:$E,$E2327),$F2327)</f>
        <v/>
      </c>
      <c r="J2327" s="6" t="inlineStr">
        <is>
          <t>Informado</t>
        </is>
      </c>
      <c r="K2327" s="6" t="inlineStr">
        <is>
          <t>Demanda doméstica fixa informada pelo usuário.</t>
        </is>
      </c>
    </row>
    <row r="2328">
      <c r="A2328" s="6" t="inlineStr">
        <is>
          <t>Soja</t>
        </is>
      </c>
      <c r="B2328" s="6" t="inlineStr">
        <is>
          <t>Porto Velho - RO</t>
        </is>
      </c>
      <c r="C2328" s="6" t="n">
        <v>-8.760770000000001</v>
      </c>
      <c r="D2328" s="6" t="n">
        <v>-63.8999</v>
      </c>
      <c r="E2328" s="6" t="inlineStr">
        <is>
          <t>2023-11</t>
        </is>
      </c>
      <c r="F2328" s="6" t="n">
        <v>20702.5281677515</v>
      </c>
      <c r="G2328" s="6" t="inlineStr">
        <is>
          <t>DOMESTICA</t>
        </is>
      </c>
      <c r="H2328" s="6" t="inlineStr">
        <is>
          <t>FIXO</t>
        </is>
      </c>
      <c r="I2328" s="11">
        <f>IF($H2328="AUTO_OFERTA_TOTAL_PRODUTO_PERIODO",SUMIFS(Oferta!$F:$F,Oferta!$A:$A,$A2328,Oferta!$E:$E,$E2328),$F2328)</f>
        <v/>
      </c>
      <c r="J2328" s="6" t="inlineStr">
        <is>
          <t>Informado</t>
        </is>
      </c>
      <c r="K2328" s="6" t="inlineStr">
        <is>
          <t>Demanda doméstica fixa informada pelo usuário.</t>
        </is>
      </c>
    </row>
    <row r="2329">
      <c r="A2329" s="6" t="inlineStr">
        <is>
          <t>Soja</t>
        </is>
      </c>
      <c r="B2329" s="6" t="inlineStr">
        <is>
          <t>Porto Velho - RO</t>
        </is>
      </c>
      <c r="C2329" s="6" t="n">
        <v>-8.760770000000001</v>
      </c>
      <c r="D2329" s="6" t="n">
        <v>-63.8999</v>
      </c>
      <c r="E2329" s="6" t="inlineStr">
        <is>
          <t>2023-12</t>
        </is>
      </c>
      <c r="F2329" s="6" t="n">
        <v>20702.5281677515</v>
      </c>
      <c r="G2329" s="6" t="inlineStr">
        <is>
          <t>DOMESTICA</t>
        </is>
      </c>
      <c r="H2329" s="6" t="inlineStr">
        <is>
          <t>FIXO</t>
        </is>
      </c>
      <c r="I2329" s="11">
        <f>IF($H2329="AUTO_OFERTA_TOTAL_PRODUTO_PERIODO",SUMIFS(Oferta!$F:$F,Oferta!$A:$A,$A2329,Oferta!$E:$E,$E2329),$F2329)</f>
        <v/>
      </c>
      <c r="J2329" s="6" t="inlineStr">
        <is>
          <t>Informado</t>
        </is>
      </c>
      <c r="K2329" s="6" t="inlineStr">
        <is>
          <t>Demanda doméstica fixa informada pelo usuário.</t>
        </is>
      </c>
    </row>
    <row r="2330">
      <c r="A2330" s="6" t="inlineStr">
        <is>
          <t>Soja</t>
        </is>
      </c>
      <c r="B2330" s="6" t="inlineStr">
        <is>
          <t>Boa Vista - RR</t>
        </is>
      </c>
      <c r="C2330" s="6" t="n">
        <v>2.82384</v>
      </c>
      <c r="D2330" s="6" t="n">
        <v>-60.6753</v>
      </c>
      <c r="E2330" s="6" t="inlineStr">
        <is>
          <t>2023-01</t>
        </is>
      </c>
      <c r="F2330" s="6" t="n">
        <v>3464.9020539894</v>
      </c>
      <c r="G2330" s="6" t="inlineStr">
        <is>
          <t>DOMESTICA</t>
        </is>
      </c>
      <c r="H2330" s="6" t="inlineStr">
        <is>
          <t>FIXO</t>
        </is>
      </c>
      <c r="I2330" s="11">
        <f>IF($H2330="AUTO_OFERTA_TOTAL_PRODUTO_PERIODO",SUMIFS(Oferta!$F:$F,Oferta!$A:$A,$A2330,Oferta!$E:$E,$E2330),$F2330)</f>
        <v/>
      </c>
      <c r="J2330" s="6" t="inlineStr">
        <is>
          <t>Informado</t>
        </is>
      </c>
      <c r="K2330" s="6" t="inlineStr">
        <is>
          <t>Demanda doméstica fixa informada pelo usuário.</t>
        </is>
      </c>
    </row>
    <row r="2331">
      <c r="A2331" s="6" t="inlineStr">
        <is>
          <t>Soja</t>
        </is>
      </c>
      <c r="B2331" s="6" t="inlineStr">
        <is>
          <t>Boa Vista - RR</t>
        </is>
      </c>
      <c r="C2331" s="6" t="n">
        <v>2.82384</v>
      </c>
      <c r="D2331" s="6" t="n">
        <v>-60.6753</v>
      </c>
      <c r="E2331" s="6" t="inlineStr">
        <is>
          <t>2023-02</t>
        </is>
      </c>
      <c r="F2331" s="6" t="n">
        <v>2367.1113042106</v>
      </c>
      <c r="G2331" s="6" t="inlineStr">
        <is>
          <t>DOMESTICA</t>
        </is>
      </c>
      <c r="H2331" s="6" t="inlineStr">
        <is>
          <t>FIXO</t>
        </is>
      </c>
      <c r="I2331" s="11">
        <f>IF($H2331="AUTO_OFERTA_TOTAL_PRODUTO_PERIODO",SUMIFS(Oferta!$F:$F,Oferta!$A:$A,$A2331,Oferta!$E:$E,$E2331),$F2331)</f>
        <v/>
      </c>
      <c r="J2331" s="6" t="inlineStr">
        <is>
          <t>Informado</t>
        </is>
      </c>
      <c r="K2331" s="6" t="inlineStr">
        <is>
          <t>Demanda doméstica fixa informada pelo usuário.</t>
        </is>
      </c>
    </row>
    <row r="2332">
      <c r="A2332" s="6" t="inlineStr">
        <is>
          <t>Soja</t>
        </is>
      </c>
      <c r="B2332" s="6" t="inlineStr">
        <is>
          <t>Boa Vista - RR</t>
        </is>
      </c>
      <c r="C2332" s="6" t="n">
        <v>2.82384</v>
      </c>
      <c r="D2332" s="6" t="n">
        <v>-60.6753</v>
      </c>
      <c r="E2332" s="6" t="inlineStr">
        <is>
          <t>2023-03</t>
        </is>
      </c>
      <c r="F2332" s="6" t="n">
        <v>1818.2159293212</v>
      </c>
      <c r="G2332" s="6" t="inlineStr">
        <is>
          <t>DOMESTICA</t>
        </is>
      </c>
      <c r="H2332" s="6" t="inlineStr">
        <is>
          <t>FIXO</t>
        </is>
      </c>
      <c r="I2332" s="11">
        <f>IF($H2332="AUTO_OFERTA_TOTAL_PRODUTO_PERIODO",SUMIFS(Oferta!$F:$F,Oferta!$A:$A,$A2332,Oferta!$E:$E,$E2332),$F2332)</f>
        <v/>
      </c>
      <c r="J2332" s="6" t="inlineStr">
        <is>
          <t>Informado</t>
        </is>
      </c>
      <c r="K2332" s="6" t="inlineStr">
        <is>
          <t>Demanda doméstica fixa informada pelo usuário.</t>
        </is>
      </c>
    </row>
    <row r="2333">
      <c r="A2333" s="6" t="inlineStr">
        <is>
          <t>Soja</t>
        </is>
      </c>
      <c r="B2333" s="6" t="inlineStr">
        <is>
          <t>Boa Vista - RR</t>
        </is>
      </c>
      <c r="C2333" s="6" t="n">
        <v>2.82384</v>
      </c>
      <c r="D2333" s="6" t="n">
        <v>-60.6753</v>
      </c>
      <c r="E2333" s="6" t="inlineStr">
        <is>
          <t>2023-04</t>
        </is>
      </c>
      <c r="F2333" s="6" t="n">
        <v>1818.2159293212</v>
      </c>
      <c r="G2333" s="6" t="inlineStr">
        <is>
          <t>DOMESTICA</t>
        </is>
      </c>
      <c r="H2333" s="6" t="inlineStr">
        <is>
          <t>FIXO</t>
        </is>
      </c>
      <c r="I2333" s="11">
        <f>IF($H2333="AUTO_OFERTA_TOTAL_PRODUTO_PERIODO",SUMIFS(Oferta!$F:$F,Oferta!$A:$A,$A2333,Oferta!$E:$E,$E2333),$F2333)</f>
        <v/>
      </c>
      <c r="J2333" s="6" t="inlineStr">
        <is>
          <t>Informado</t>
        </is>
      </c>
      <c r="K2333" s="6" t="inlineStr">
        <is>
          <t>Demanda doméstica fixa informada pelo usuário.</t>
        </is>
      </c>
    </row>
    <row r="2334">
      <c r="A2334" s="6" t="inlineStr">
        <is>
          <t>Soja</t>
        </is>
      </c>
      <c r="B2334" s="6" t="inlineStr">
        <is>
          <t>Boa Vista - RR</t>
        </is>
      </c>
      <c r="C2334" s="6" t="n">
        <v>2.82384</v>
      </c>
      <c r="D2334" s="6" t="n">
        <v>-60.6753</v>
      </c>
      <c r="E2334" s="6" t="inlineStr">
        <is>
          <t>2023-05</t>
        </is>
      </c>
      <c r="F2334" s="6" t="n">
        <v>1818.2159293212</v>
      </c>
      <c r="G2334" s="6" t="inlineStr">
        <is>
          <t>DOMESTICA</t>
        </is>
      </c>
      <c r="H2334" s="6" t="inlineStr">
        <is>
          <t>FIXO</t>
        </is>
      </c>
      <c r="I2334" s="11">
        <f>IF($H2334="AUTO_OFERTA_TOTAL_PRODUTO_PERIODO",SUMIFS(Oferta!$F:$F,Oferta!$A:$A,$A2334,Oferta!$E:$E,$E2334),$F2334)</f>
        <v/>
      </c>
      <c r="J2334" s="6" t="inlineStr">
        <is>
          <t>Informado</t>
        </is>
      </c>
      <c r="K2334" s="6" t="inlineStr">
        <is>
          <t>Demanda doméstica fixa informada pelo usuário.</t>
        </is>
      </c>
    </row>
    <row r="2335">
      <c r="A2335" s="6" t="inlineStr">
        <is>
          <t>Soja</t>
        </is>
      </c>
      <c r="B2335" s="6" t="inlineStr">
        <is>
          <t>Boa Vista - RR</t>
        </is>
      </c>
      <c r="C2335" s="6" t="n">
        <v>2.82384</v>
      </c>
      <c r="D2335" s="6" t="n">
        <v>-60.6753</v>
      </c>
      <c r="E2335" s="6" t="inlineStr">
        <is>
          <t>2023-06</t>
        </is>
      </c>
      <c r="F2335" s="6" t="n">
        <v>1818.2159293212</v>
      </c>
      <c r="G2335" s="6" t="inlineStr">
        <is>
          <t>DOMESTICA</t>
        </is>
      </c>
      <c r="H2335" s="6" t="inlineStr">
        <is>
          <t>FIXO</t>
        </is>
      </c>
      <c r="I2335" s="11">
        <f>IF($H2335="AUTO_OFERTA_TOTAL_PRODUTO_PERIODO",SUMIFS(Oferta!$F:$F,Oferta!$A:$A,$A2335,Oferta!$E:$E,$E2335),$F2335)</f>
        <v/>
      </c>
      <c r="J2335" s="6" t="inlineStr">
        <is>
          <t>Informado</t>
        </is>
      </c>
      <c r="K2335" s="6" t="inlineStr">
        <is>
          <t>Demanda doméstica fixa informada pelo usuário.</t>
        </is>
      </c>
    </row>
    <row r="2336">
      <c r="A2336" s="6" t="inlineStr">
        <is>
          <t>Soja</t>
        </is>
      </c>
      <c r="B2336" s="6" t="inlineStr">
        <is>
          <t>Boa Vista - RR</t>
        </is>
      </c>
      <c r="C2336" s="6" t="n">
        <v>2.82384</v>
      </c>
      <c r="D2336" s="6" t="n">
        <v>-60.6753</v>
      </c>
      <c r="E2336" s="6" t="inlineStr">
        <is>
          <t>2023-07</t>
        </is>
      </c>
      <c r="F2336" s="6" t="n">
        <v>1818.2159293212</v>
      </c>
      <c r="G2336" s="6" t="inlineStr">
        <is>
          <t>DOMESTICA</t>
        </is>
      </c>
      <c r="H2336" s="6" t="inlineStr">
        <is>
          <t>FIXO</t>
        </is>
      </c>
      <c r="I2336" s="11">
        <f>IF($H2336="AUTO_OFERTA_TOTAL_PRODUTO_PERIODO",SUMIFS(Oferta!$F:$F,Oferta!$A:$A,$A2336,Oferta!$E:$E,$E2336),$F2336)</f>
        <v/>
      </c>
      <c r="J2336" s="6" t="inlineStr">
        <is>
          <t>Informado</t>
        </is>
      </c>
      <c r="K2336" s="6" t="inlineStr">
        <is>
          <t>Demanda doméstica fixa informada pelo usuário.</t>
        </is>
      </c>
    </row>
    <row r="2337">
      <c r="A2337" s="6" t="inlineStr">
        <is>
          <t>Soja</t>
        </is>
      </c>
      <c r="B2337" s="6" t="inlineStr">
        <is>
          <t>Boa Vista - RR</t>
        </is>
      </c>
      <c r="C2337" s="6" t="n">
        <v>2.82384</v>
      </c>
      <c r="D2337" s="6" t="n">
        <v>-60.6753</v>
      </c>
      <c r="E2337" s="6" t="inlineStr">
        <is>
          <t>2023-08</t>
        </is>
      </c>
      <c r="F2337" s="6" t="n">
        <v>2367.1113042106</v>
      </c>
      <c r="G2337" s="6" t="inlineStr">
        <is>
          <t>DOMESTICA</t>
        </is>
      </c>
      <c r="H2337" s="6" t="inlineStr">
        <is>
          <t>FIXO</t>
        </is>
      </c>
      <c r="I2337" s="11">
        <f>IF($H2337="AUTO_OFERTA_TOTAL_PRODUTO_PERIODO",SUMIFS(Oferta!$F:$F,Oferta!$A:$A,$A2337,Oferta!$E:$E,$E2337),$F2337)</f>
        <v/>
      </c>
      <c r="J2337" s="6" t="inlineStr">
        <is>
          <t>Informado</t>
        </is>
      </c>
      <c r="K2337" s="6" t="inlineStr">
        <is>
          <t>Demanda doméstica fixa informada pelo usuário.</t>
        </is>
      </c>
    </row>
    <row r="2338">
      <c r="A2338" s="6" t="inlineStr">
        <is>
          <t>Soja</t>
        </is>
      </c>
      <c r="B2338" s="6" t="inlineStr">
        <is>
          <t>Boa Vista - RR</t>
        </is>
      </c>
      <c r="C2338" s="6" t="n">
        <v>2.82384</v>
      </c>
      <c r="D2338" s="6" t="n">
        <v>-60.6753</v>
      </c>
      <c r="E2338" s="6" t="inlineStr">
        <is>
          <t>2023-09</t>
        </is>
      </c>
      <c r="F2338" s="6" t="n">
        <v>3464.9020539894</v>
      </c>
      <c r="G2338" s="6" t="inlineStr">
        <is>
          <t>DOMESTICA</t>
        </is>
      </c>
      <c r="H2338" s="6" t="inlineStr">
        <is>
          <t>FIXO</t>
        </is>
      </c>
      <c r="I2338" s="11">
        <f>IF($H2338="AUTO_OFERTA_TOTAL_PRODUTO_PERIODO",SUMIFS(Oferta!$F:$F,Oferta!$A:$A,$A2338,Oferta!$E:$E,$E2338),$F2338)</f>
        <v/>
      </c>
      <c r="J2338" s="6" t="inlineStr">
        <is>
          <t>Informado</t>
        </is>
      </c>
      <c r="K2338" s="6" t="inlineStr">
        <is>
          <t>Demanda doméstica fixa informada pelo usuário.</t>
        </is>
      </c>
    </row>
    <row r="2339">
      <c r="A2339" s="6" t="inlineStr">
        <is>
          <t>Soja</t>
        </is>
      </c>
      <c r="B2339" s="6" t="inlineStr">
        <is>
          <t>Boa Vista - RR</t>
        </is>
      </c>
      <c r="C2339" s="6" t="n">
        <v>2.82384</v>
      </c>
      <c r="D2339" s="6" t="n">
        <v>-60.6753</v>
      </c>
      <c r="E2339" s="6" t="inlineStr">
        <is>
          <t>2023-10</t>
        </is>
      </c>
      <c r="F2339" s="6" t="n">
        <v>6758.2743033259</v>
      </c>
      <c r="G2339" s="6" t="inlineStr">
        <is>
          <t>DOMESTICA</t>
        </is>
      </c>
      <c r="H2339" s="6" t="inlineStr">
        <is>
          <t>FIXO</t>
        </is>
      </c>
      <c r="I2339" s="11">
        <f>IF($H2339="AUTO_OFERTA_TOTAL_PRODUTO_PERIODO",SUMIFS(Oferta!$F:$F,Oferta!$A:$A,$A2339,Oferta!$E:$E,$E2339),$F2339)</f>
        <v/>
      </c>
      <c r="J2339" s="6" t="inlineStr">
        <is>
          <t>Informado</t>
        </is>
      </c>
      <c r="K2339" s="6" t="inlineStr">
        <is>
          <t>Demanda doméstica fixa informada pelo usuário.</t>
        </is>
      </c>
    </row>
    <row r="2340">
      <c r="A2340" s="6" t="inlineStr">
        <is>
          <t>Soja</t>
        </is>
      </c>
      <c r="B2340" s="6" t="inlineStr">
        <is>
          <t>Boa Vista - RR</t>
        </is>
      </c>
      <c r="C2340" s="6" t="n">
        <v>2.82384</v>
      </c>
      <c r="D2340" s="6" t="n">
        <v>-60.6753</v>
      </c>
      <c r="E2340" s="6" t="inlineStr">
        <is>
          <t>2023-11</t>
        </is>
      </c>
      <c r="F2340" s="6" t="n">
        <v>7307.1696782153</v>
      </c>
      <c r="G2340" s="6" t="inlineStr">
        <is>
          <t>DOMESTICA</t>
        </is>
      </c>
      <c r="H2340" s="6" t="inlineStr">
        <is>
          <t>FIXO</t>
        </is>
      </c>
      <c r="I2340" s="11">
        <f>IF($H2340="AUTO_OFERTA_TOTAL_PRODUTO_PERIODO",SUMIFS(Oferta!$F:$F,Oferta!$A:$A,$A2340,Oferta!$E:$E,$E2340),$F2340)</f>
        <v/>
      </c>
      <c r="J2340" s="6" t="inlineStr">
        <is>
          <t>Informado</t>
        </is>
      </c>
      <c r="K2340" s="6" t="inlineStr">
        <is>
          <t>Demanda doméstica fixa informada pelo usuário.</t>
        </is>
      </c>
    </row>
    <row r="2341">
      <c r="A2341" s="6" t="inlineStr">
        <is>
          <t>Soja</t>
        </is>
      </c>
      <c r="B2341" s="6" t="inlineStr">
        <is>
          <t>Boa Vista - RR</t>
        </is>
      </c>
      <c r="C2341" s="6" t="n">
        <v>2.82384</v>
      </c>
      <c r="D2341" s="6" t="n">
        <v>-60.6753</v>
      </c>
      <c r="E2341" s="6" t="inlineStr">
        <is>
          <t>2023-12</t>
        </is>
      </c>
      <c r="F2341" s="6" t="n">
        <v>6758.2743033259</v>
      </c>
      <c r="G2341" s="6" t="inlineStr">
        <is>
          <t>DOMESTICA</t>
        </is>
      </c>
      <c r="H2341" s="6" t="inlineStr">
        <is>
          <t>FIXO</t>
        </is>
      </c>
      <c r="I2341" s="11">
        <f>IF($H2341="AUTO_OFERTA_TOTAL_PRODUTO_PERIODO",SUMIFS(Oferta!$F:$F,Oferta!$A:$A,$A2341,Oferta!$E:$E,$E2341),$F2341)</f>
        <v/>
      </c>
      <c r="J2341" s="6" t="inlineStr">
        <is>
          <t>Informado</t>
        </is>
      </c>
      <c r="K2341" s="6" t="inlineStr">
        <is>
          <t>Demanda doméstica fixa informada pelo usuário.</t>
        </is>
      </c>
    </row>
    <row r="2342">
      <c r="A2342" s="6" t="inlineStr">
        <is>
          <t>Soja</t>
        </is>
      </c>
      <c r="B2342" s="6" t="inlineStr">
        <is>
          <t>Palmas - TO</t>
        </is>
      </c>
      <c r="C2342" s="6" t="n">
        <v>-10.24</v>
      </c>
      <c r="D2342" s="6" t="n">
        <v>-48.3558</v>
      </c>
      <c r="E2342" s="6" t="inlineStr">
        <is>
          <t>2023-01</t>
        </is>
      </c>
      <c r="F2342" s="6" t="n">
        <v>16063.8486876458</v>
      </c>
      <c r="G2342" s="6" t="inlineStr">
        <is>
          <t>DOMESTICA</t>
        </is>
      </c>
      <c r="H2342" s="6" t="inlineStr">
        <is>
          <t>FIXO</t>
        </is>
      </c>
      <c r="I2342" s="11">
        <f>IF($H2342="AUTO_OFERTA_TOTAL_PRODUTO_PERIODO",SUMIFS(Oferta!$F:$F,Oferta!$A:$A,$A2342,Oferta!$E:$E,$E2342),$F2342)</f>
        <v/>
      </c>
      <c r="J2342" s="6" t="inlineStr">
        <is>
          <t>Informado</t>
        </is>
      </c>
      <c r="K2342" s="6" t="inlineStr">
        <is>
          <t>Demanda doméstica fixa informada pelo usuário.</t>
        </is>
      </c>
    </row>
    <row r="2343">
      <c r="A2343" s="6" t="inlineStr">
        <is>
          <t>Soja</t>
        </is>
      </c>
      <c r="B2343" s="6" t="inlineStr">
        <is>
          <t>Palmas - TO</t>
        </is>
      </c>
      <c r="C2343" s="6" t="n">
        <v>-10.24</v>
      </c>
      <c r="D2343" s="6" t="n">
        <v>-48.3558</v>
      </c>
      <c r="E2343" s="6" t="inlineStr">
        <is>
          <t>2023-02</t>
        </is>
      </c>
      <c r="F2343" s="6" t="n">
        <v>16063.8486876458</v>
      </c>
      <c r="G2343" s="6" t="inlineStr">
        <is>
          <t>DOMESTICA</t>
        </is>
      </c>
      <c r="H2343" s="6" t="inlineStr">
        <is>
          <t>FIXO</t>
        </is>
      </c>
      <c r="I2343" s="11">
        <f>IF($H2343="AUTO_OFERTA_TOTAL_PRODUTO_PERIODO",SUMIFS(Oferta!$F:$F,Oferta!$A:$A,$A2343,Oferta!$E:$E,$E2343),$F2343)</f>
        <v/>
      </c>
      <c r="J2343" s="6" t="inlineStr">
        <is>
          <t>Informado</t>
        </is>
      </c>
      <c r="K2343" s="6" t="inlineStr">
        <is>
          <t>Demanda doméstica fixa informada pelo usuário.</t>
        </is>
      </c>
    </row>
    <row r="2344">
      <c r="A2344" s="6" t="inlineStr">
        <is>
          <t>Soja</t>
        </is>
      </c>
      <c r="B2344" s="6" t="inlineStr">
        <is>
          <t>Palmas - TO</t>
        </is>
      </c>
      <c r="C2344" s="6" t="n">
        <v>-10.24</v>
      </c>
      <c r="D2344" s="6" t="n">
        <v>-48.3558</v>
      </c>
      <c r="E2344" s="6" t="inlineStr">
        <is>
          <t>2023-03</t>
        </is>
      </c>
      <c r="F2344" s="6" t="n">
        <v>25762.7761971677</v>
      </c>
      <c r="G2344" s="6" t="inlineStr">
        <is>
          <t>DOMESTICA</t>
        </is>
      </c>
      <c r="H2344" s="6" t="inlineStr">
        <is>
          <t>FIXO</t>
        </is>
      </c>
      <c r="I2344" s="11">
        <f>IF($H2344="AUTO_OFERTA_TOTAL_PRODUTO_PERIODO",SUMIFS(Oferta!$F:$F,Oferta!$A:$A,$A2344,Oferta!$E:$E,$E2344),$F2344)</f>
        <v/>
      </c>
      <c r="J2344" s="6" t="inlineStr">
        <is>
          <t>Informado</t>
        </is>
      </c>
      <c r="K2344" s="6" t="inlineStr">
        <is>
          <t>Demanda doméstica fixa informada pelo usuário.</t>
        </is>
      </c>
    </row>
    <row r="2345">
      <c r="A2345" s="6" t="inlineStr">
        <is>
          <t>Soja</t>
        </is>
      </c>
      <c r="B2345" s="6" t="inlineStr">
        <is>
          <t>Palmas - TO</t>
        </is>
      </c>
      <c r="C2345" s="6" t="n">
        <v>-10.24</v>
      </c>
      <c r="D2345" s="6" t="n">
        <v>-48.3558</v>
      </c>
      <c r="E2345" s="6" t="inlineStr">
        <is>
          <t>2023-04</t>
        </is>
      </c>
      <c r="F2345" s="6" t="n">
        <v>45160.6312162117</v>
      </c>
      <c r="G2345" s="6" t="inlineStr">
        <is>
          <t>DOMESTICA</t>
        </is>
      </c>
      <c r="H2345" s="6" t="inlineStr">
        <is>
          <t>FIXO</t>
        </is>
      </c>
      <c r="I2345" s="11">
        <f>IF($H2345="AUTO_OFERTA_TOTAL_PRODUTO_PERIODO",SUMIFS(Oferta!$F:$F,Oferta!$A:$A,$A2345,Oferta!$E:$E,$E2345),$F2345)</f>
        <v/>
      </c>
      <c r="J2345" s="6" t="inlineStr">
        <is>
          <t>Informado</t>
        </is>
      </c>
      <c r="K2345" s="6" t="inlineStr">
        <is>
          <t>Demanda doméstica fixa informada pelo usuário.</t>
        </is>
      </c>
    </row>
    <row r="2346">
      <c r="A2346" s="6" t="inlineStr">
        <is>
          <t>Soja</t>
        </is>
      </c>
      <c r="B2346" s="6" t="inlineStr">
        <is>
          <t>Palmas - TO</t>
        </is>
      </c>
      <c r="C2346" s="6" t="n">
        <v>-10.24</v>
      </c>
      <c r="D2346" s="6" t="n">
        <v>-48.3558</v>
      </c>
      <c r="E2346" s="6" t="inlineStr">
        <is>
          <t>2023-05</t>
        </is>
      </c>
      <c r="F2346" s="6" t="n">
        <v>64558.4862352556</v>
      </c>
      <c r="G2346" s="6" t="inlineStr">
        <is>
          <t>DOMESTICA</t>
        </is>
      </c>
      <c r="H2346" s="6" t="inlineStr">
        <is>
          <t>FIXO</t>
        </is>
      </c>
      <c r="I2346" s="11">
        <f>IF($H2346="AUTO_OFERTA_TOTAL_PRODUTO_PERIODO",SUMIFS(Oferta!$F:$F,Oferta!$A:$A,$A2346,Oferta!$E:$E,$E2346),$F2346)</f>
        <v/>
      </c>
      <c r="J2346" s="6" t="inlineStr">
        <is>
          <t>Informado</t>
        </is>
      </c>
      <c r="K2346" s="6" t="inlineStr">
        <is>
          <t>Demanda doméstica fixa informada pelo usuário.</t>
        </is>
      </c>
    </row>
    <row r="2347">
      <c r="A2347" s="6" t="inlineStr">
        <is>
          <t>Soja</t>
        </is>
      </c>
      <c r="B2347" s="6" t="inlineStr">
        <is>
          <t>Palmas - TO</t>
        </is>
      </c>
      <c r="C2347" s="6" t="n">
        <v>-10.24</v>
      </c>
      <c r="D2347" s="6" t="n">
        <v>-48.3558</v>
      </c>
      <c r="E2347" s="6" t="inlineStr">
        <is>
          <t>2023-06</t>
        </is>
      </c>
      <c r="F2347" s="6" t="n">
        <v>64558.4862352556</v>
      </c>
      <c r="G2347" s="6" t="inlineStr">
        <is>
          <t>DOMESTICA</t>
        </is>
      </c>
      <c r="H2347" s="6" t="inlineStr">
        <is>
          <t>FIXO</t>
        </is>
      </c>
      <c r="I2347" s="11">
        <f>IF($H2347="AUTO_OFERTA_TOTAL_PRODUTO_PERIODO",SUMIFS(Oferta!$F:$F,Oferta!$A:$A,$A2347,Oferta!$E:$E,$E2347),$F2347)</f>
        <v/>
      </c>
      <c r="J2347" s="6" t="inlineStr">
        <is>
          <t>Informado</t>
        </is>
      </c>
      <c r="K2347" s="6" t="inlineStr">
        <is>
          <t>Demanda doméstica fixa informada pelo usuário.</t>
        </is>
      </c>
    </row>
    <row r="2348">
      <c r="A2348" s="6" t="inlineStr">
        <is>
          <t>Soja</t>
        </is>
      </c>
      <c r="B2348" s="6" t="inlineStr">
        <is>
          <t>Palmas - TO</t>
        </is>
      </c>
      <c r="C2348" s="6" t="n">
        <v>-10.24</v>
      </c>
      <c r="D2348" s="6" t="n">
        <v>-48.3558</v>
      </c>
      <c r="E2348" s="6" t="inlineStr">
        <is>
          <t>2023-07</t>
        </is>
      </c>
      <c r="F2348" s="6" t="n">
        <v>45160.6312162117</v>
      </c>
      <c r="G2348" s="6" t="inlineStr">
        <is>
          <t>DOMESTICA</t>
        </is>
      </c>
      <c r="H2348" s="6" t="inlineStr">
        <is>
          <t>FIXO</t>
        </is>
      </c>
      <c r="I2348" s="11">
        <f>IF($H2348="AUTO_OFERTA_TOTAL_PRODUTO_PERIODO",SUMIFS(Oferta!$F:$F,Oferta!$A:$A,$A2348,Oferta!$E:$E,$E2348),$F2348)</f>
        <v/>
      </c>
      <c r="J2348" s="6" t="inlineStr">
        <is>
          <t>Informado</t>
        </is>
      </c>
      <c r="K2348" s="6" t="inlineStr">
        <is>
          <t>Demanda doméstica fixa informada pelo usuário.</t>
        </is>
      </c>
    </row>
    <row r="2349">
      <c r="A2349" s="6" t="inlineStr">
        <is>
          <t>Soja</t>
        </is>
      </c>
      <c r="B2349" s="6" t="inlineStr">
        <is>
          <t>Palmas - TO</t>
        </is>
      </c>
      <c r="C2349" s="6" t="n">
        <v>-10.24</v>
      </c>
      <c r="D2349" s="6" t="n">
        <v>-48.3558</v>
      </c>
      <c r="E2349" s="6" t="inlineStr">
        <is>
          <t>2023-08</t>
        </is>
      </c>
      <c r="F2349" s="6" t="n">
        <v>25762.7761971677</v>
      </c>
      <c r="G2349" s="6" t="inlineStr">
        <is>
          <t>DOMESTICA</t>
        </is>
      </c>
      <c r="H2349" s="6" t="inlineStr">
        <is>
          <t>FIXO</t>
        </is>
      </c>
      <c r="I2349" s="11">
        <f>IF($H2349="AUTO_OFERTA_TOTAL_PRODUTO_PERIODO",SUMIFS(Oferta!$F:$F,Oferta!$A:$A,$A2349,Oferta!$E:$E,$E2349),$F2349)</f>
        <v/>
      </c>
      <c r="J2349" s="6" t="inlineStr">
        <is>
          <t>Informado</t>
        </is>
      </c>
      <c r="K2349" s="6" t="inlineStr">
        <is>
          <t>Demanda doméstica fixa informada pelo usuário.</t>
        </is>
      </c>
    </row>
    <row r="2350">
      <c r="A2350" s="6" t="inlineStr">
        <is>
          <t>Soja</t>
        </is>
      </c>
      <c r="B2350" s="6" t="inlineStr">
        <is>
          <t>Palmas - TO</t>
        </is>
      </c>
      <c r="C2350" s="6" t="n">
        <v>-10.24</v>
      </c>
      <c r="D2350" s="6" t="n">
        <v>-48.3558</v>
      </c>
      <c r="E2350" s="6" t="inlineStr">
        <is>
          <t>2023-09</t>
        </is>
      </c>
      <c r="F2350" s="6" t="n">
        <v>16063.8486876458</v>
      </c>
      <c r="G2350" s="6" t="inlineStr">
        <is>
          <t>DOMESTICA</t>
        </is>
      </c>
      <c r="H2350" s="6" t="inlineStr">
        <is>
          <t>FIXO</t>
        </is>
      </c>
      <c r="I2350" s="11">
        <f>IF($H2350="AUTO_OFERTA_TOTAL_PRODUTO_PERIODO",SUMIFS(Oferta!$F:$F,Oferta!$A:$A,$A2350,Oferta!$E:$E,$E2350),$F2350)</f>
        <v/>
      </c>
      <c r="J2350" s="6" t="inlineStr">
        <is>
          <t>Informado</t>
        </is>
      </c>
      <c r="K2350" s="6" t="inlineStr">
        <is>
          <t>Demanda doméstica fixa informada pelo usuário.</t>
        </is>
      </c>
    </row>
    <row r="2351">
      <c r="A2351" s="6" t="inlineStr">
        <is>
          <t>Soja</t>
        </is>
      </c>
      <c r="B2351" s="6" t="inlineStr">
        <is>
          <t>Palmas - TO</t>
        </is>
      </c>
      <c r="C2351" s="6" t="n">
        <v>-10.24</v>
      </c>
      <c r="D2351" s="6" t="n">
        <v>-48.3558</v>
      </c>
      <c r="E2351" s="6" t="inlineStr">
        <is>
          <t>2023-10</t>
        </is>
      </c>
      <c r="F2351" s="6" t="n">
        <v>16063.8486876458</v>
      </c>
      <c r="G2351" s="6" t="inlineStr">
        <is>
          <t>DOMESTICA</t>
        </is>
      </c>
      <c r="H2351" s="6" t="inlineStr">
        <is>
          <t>FIXO</t>
        </is>
      </c>
      <c r="I2351" s="11">
        <f>IF($H2351="AUTO_OFERTA_TOTAL_PRODUTO_PERIODO",SUMIFS(Oferta!$F:$F,Oferta!$A:$A,$A2351,Oferta!$E:$E,$E2351),$F2351)</f>
        <v/>
      </c>
      <c r="J2351" s="6" t="inlineStr">
        <is>
          <t>Informado</t>
        </is>
      </c>
      <c r="K2351" s="6" t="inlineStr">
        <is>
          <t>Demanda doméstica fixa informada pelo usuário.</t>
        </is>
      </c>
    </row>
    <row r="2352">
      <c r="A2352" s="6" t="inlineStr">
        <is>
          <t>Soja</t>
        </is>
      </c>
      <c r="B2352" s="6" t="inlineStr">
        <is>
          <t>Palmas - TO</t>
        </is>
      </c>
      <c r="C2352" s="6" t="n">
        <v>-10.24</v>
      </c>
      <c r="D2352" s="6" t="n">
        <v>-48.3558</v>
      </c>
      <c r="E2352" s="6" t="inlineStr">
        <is>
          <t>2023-11</t>
        </is>
      </c>
      <c r="F2352" s="6" t="n">
        <v>16063.8486876458</v>
      </c>
      <c r="G2352" s="6" t="inlineStr">
        <is>
          <t>DOMESTICA</t>
        </is>
      </c>
      <c r="H2352" s="6" t="inlineStr">
        <is>
          <t>FIXO</t>
        </is>
      </c>
      <c r="I2352" s="11">
        <f>IF($H2352="AUTO_OFERTA_TOTAL_PRODUTO_PERIODO",SUMIFS(Oferta!$F:$F,Oferta!$A:$A,$A2352,Oferta!$E:$E,$E2352),$F2352)</f>
        <v/>
      </c>
      <c r="J2352" s="6" t="inlineStr">
        <is>
          <t>Informado</t>
        </is>
      </c>
      <c r="K2352" s="6" t="inlineStr">
        <is>
          <t>Demanda doméstica fixa informada pelo usuário.</t>
        </is>
      </c>
    </row>
    <row r="2353">
      <c r="A2353" s="6" t="inlineStr">
        <is>
          <t>Soja</t>
        </is>
      </c>
      <c r="B2353" s="6" t="inlineStr">
        <is>
          <t>Palmas - TO</t>
        </is>
      </c>
      <c r="C2353" s="6" t="n">
        <v>-10.24</v>
      </c>
      <c r="D2353" s="6" t="n">
        <v>-48.3558</v>
      </c>
      <c r="E2353" s="6" t="inlineStr">
        <is>
          <t>2023-12</t>
        </is>
      </c>
      <c r="F2353" s="6" t="n">
        <v>16063.8486876458</v>
      </c>
      <c r="G2353" s="6" t="inlineStr">
        <is>
          <t>DOMESTICA</t>
        </is>
      </c>
      <c r="H2353" s="6" t="inlineStr">
        <is>
          <t>FIXO</t>
        </is>
      </c>
      <c r="I2353" s="11">
        <f>IF($H2353="AUTO_OFERTA_TOTAL_PRODUTO_PERIODO",SUMIFS(Oferta!$F:$F,Oferta!$A:$A,$A2353,Oferta!$E:$E,$E2353),$F2353)</f>
        <v/>
      </c>
      <c r="J2353" s="6" t="inlineStr">
        <is>
          <t>Informado</t>
        </is>
      </c>
      <c r="K2353" s="6" t="inlineStr">
        <is>
          <t>Demanda doméstica fixa informada pelo usuário.</t>
        </is>
      </c>
    </row>
    <row r="2354">
      <c r="A2354" s="6" t="inlineStr">
        <is>
          <t>Soja</t>
        </is>
      </c>
      <c r="B2354" s="6" t="inlineStr">
        <is>
          <t>Maceió - AL</t>
        </is>
      </c>
      <c r="C2354" s="6" t="n">
        <v>-9.665990000000001</v>
      </c>
      <c r="D2354" s="6" t="n">
        <v>-35.735</v>
      </c>
      <c r="E2354" s="6" t="inlineStr">
        <is>
          <t>2023-01</t>
        </is>
      </c>
      <c r="F2354" s="6" t="n">
        <v>35143.9737910551</v>
      </c>
      <c r="G2354" s="6" t="inlineStr">
        <is>
          <t>DOMESTICA</t>
        </is>
      </c>
      <c r="H2354" s="6" t="inlineStr">
        <is>
          <t>FIXO</t>
        </is>
      </c>
      <c r="I2354" s="11">
        <f>IF($H2354="AUTO_OFERTA_TOTAL_PRODUTO_PERIODO",SUMIFS(Oferta!$F:$F,Oferta!$A:$A,$A2354,Oferta!$E:$E,$E2354),$F2354)</f>
        <v/>
      </c>
      <c r="J2354" s="6" t="inlineStr">
        <is>
          <t>Informado</t>
        </is>
      </c>
      <c r="K2354" s="6" t="inlineStr">
        <is>
          <t>Demanda doméstica fixa informada pelo usuário.</t>
        </is>
      </c>
    </row>
    <row r="2355">
      <c r="A2355" s="6" t="inlineStr">
        <is>
          <t>Soja</t>
        </is>
      </c>
      <c r="B2355" s="6" t="inlineStr">
        <is>
          <t>Maceió - AL</t>
        </is>
      </c>
      <c r="C2355" s="6" t="n">
        <v>-9.665990000000001</v>
      </c>
      <c r="D2355" s="6" t="n">
        <v>-35.735</v>
      </c>
      <c r="E2355" s="6" t="inlineStr">
        <is>
          <t>2023-02</t>
        </is>
      </c>
      <c r="F2355" s="6" t="n">
        <v>35143.9737910551</v>
      </c>
      <c r="G2355" s="6" t="inlineStr">
        <is>
          <t>DOMESTICA</t>
        </is>
      </c>
      <c r="H2355" s="6" t="inlineStr">
        <is>
          <t>FIXO</t>
        </is>
      </c>
      <c r="I2355" s="11">
        <f>IF($H2355="AUTO_OFERTA_TOTAL_PRODUTO_PERIODO",SUMIFS(Oferta!$F:$F,Oferta!$A:$A,$A2355,Oferta!$E:$E,$E2355),$F2355)</f>
        <v/>
      </c>
      <c r="J2355" s="6" t="inlineStr">
        <is>
          <t>Informado</t>
        </is>
      </c>
      <c r="K2355" s="6" t="inlineStr">
        <is>
          <t>Demanda doméstica fixa informada pelo usuário.</t>
        </is>
      </c>
    </row>
    <row r="2356">
      <c r="A2356" s="6" t="inlineStr">
        <is>
          <t>Soja</t>
        </is>
      </c>
      <c r="B2356" s="6" t="inlineStr">
        <is>
          <t>Maceió - AL</t>
        </is>
      </c>
      <c r="C2356" s="6" t="n">
        <v>-9.665990000000001</v>
      </c>
      <c r="D2356" s="6" t="n">
        <v>-35.735</v>
      </c>
      <c r="E2356" s="6" t="inlineStr">
        <is>
          <t>2023-03</t>
        </is>
      </c>
      <c r="F2356" s="6" t="n">
        <v>35143.9737910551</v>
      </c>
      <c r="G2356" s="6" t="inlineStr">
        <is>
          <t>DOMESTICA</t>
        </is>
      </c>
      <c r="H2356" s="6" t="inlineStr">
        <is>
          <t>FIXO</t>
        </is>
      </c>
      <c r="I2356" s="11">
        <f>IF($H2356="AUTO_OFERTA_TOTAL_PRODUTO_PERIODO",SUMIFS(Oferta!$F:$F,Oferta!$A:$A,$A2356,Oferta!$E:$E,$E2356),$F2356)</f>
        <v/>
      </c>
      <c r="J2356" s="6" t="inlineStr">
        <is>
          <t>Informado</t>
        </is>
      </c>
      <c r="K2356" s="6" t="inlineStr">
        <is>
          <t>Demanda doméstica fixa informada pelo usuário.</t>
        </is>
      </c>
    </row>
    <row r="2357">
      <c r="A2357" s="6" t="inlineStr">
        <is>
          <t>Soja</t>
        </is>
      </c>
      <c r="B2357" s="6" t="inlineStr">
        <is>
          <t>Maceió - AL</t>
        </is>
      </c>
      <c r="C2357" s="6" t="n">
        <v>-9.665990000000001</v>
      </c>
      <c r="D2357" s="6" t="n">
        <v>-35.735</v>
      </c>
      <c r="E2357" s="6" t="inlineStr">
        <is>
          <t>2023-04</t>
        </is>
      </c>
      <c r="F2357" s="6" t="n">
        <v>35143.9737910551</v>
      </c>
      <c r="G2357" s="6" t="inlineStr">
        <is>
          <t>DOMESTICA</t>
        </is>
      </c>
      <c r="H2357" s="6" t="inlineStr">
        <is>
          <t>FIXO</t>
        </is>
      </c>
      <c r="I2357" s="11">
        <f>IF($H2357="AUTO_OFERTA_TOTAL_PRODUTO_PERIODO",SUMIFS(Oferta!$F:$F,Oferta!$A:$A,$A2357,Oferta!$E:$E,$E2357),$F2357)</f>
        <v/>
      </c>
      <c r="J2357" s="6" t="inlineStr">
        <is>
          <t>Informado</t>
        </is>
      </c>
      <c r="K2357" s="6" t="inlineStr">
        <is>
          <t>Demanda doméstica fixa informada pelo usuário.</t>
        </is>
      </c>
    </row>
    <row r="2358">
      <c r="A2358" s="6" t="inlineStr">
        <is>
          <t>Soja</t>
        </is>
      </c>
      <c r="B2358" s="6" t="inlineStr">
        <is>
          <t>Maceió - AL</t>
        </is>
      </c>
      <c r="C2358" s="6" t="n">
        <v>-9.665990000000001</v>
      </c>
      <c r="D2358" s="6" t="n">
        <v>-35.735</v>
      </c>
      <c r="E2358" s="6" t="inlineStr">
        <is>
          <t>2023-05</t>
        </is>
      </c>
      <c r="F2358" s="6" t="n">
        <v>35143.9737910551</v>
      </c>
      <c r="G2358" s="6" t="inlineStr">
        <is>
          <t>DOMESTICA</t>
        </is>
      </c>
      <c r="H2358" s="6" t="inlineStr">
        <is>
          <t>FIXO</t>
        </is>
      </c>
      <c r="I2358" s="11">
        <f>IF($H2358="AUTO_OFERTA_TOTAL_PRODUTO_PERIODO",SUMIFS(Oferta!$F:$F,Oferta!$A:$A,$A2358,Oferta!$E:$E,$E2358),$F2358)</f>
        <v/>
      </c>
      <c r="J2358" s="6" t="inlineStr">
        <is>
          <t>Informado</t>
        </is>
      </c>
      <c r="K2358" s="6" t="inlineStr">
        <is>
          <t>Demanda doméstica fixa informada pelo usuário.</t>
        </is>
      </c>
    </row>
    <row r="2359">
      <c r="A2359" s="6" t="inlineStr">
        <is>
          <t>Soja</t>
        </is>
      </c>
      <c r="B2359" s="6" t="inlineStr">
        <is>
          <t>Maceió - AL</t>
        </is>
      </c>
      <c r="C2359" s="6" t="n">
        <v>-9.665990000000001</v>
      </c>
      <c r="D2359" s="6" t="n">
        <v>-35.735</v>
      </c>
      <c r="E2359" s="6" t="inlineStr">
        <is>
          <t>2023-06</t>
        </is>
      </c>
      <c r="F2359" s="6" t="n">
        <v>35143.9737910551</v>
      </c>
      <c r="G2359" s="6" t="inlineStr">
        <is>
          <t>DOMESTICA</t>
        </is>
      </c>
      <c r="H2359" s="6" t="inlineStr">
        <is>
          <t>FIXO</t>
        </is>
      </c>
      <c r="I2359" s="11">
        <f>IF($H2359="AUTO_OFERTA_TOTAL_PRODUTO_PERIODO",SUMIFS(Oferta!$F:$F,Oferta!$A:$A,$A2359,Oferta!$E:$E,$E2359),$F2359)</f>
        <v/>
      </c>
      <c r="J2359" s="6" t="inlineStr">
        <is>
          <t>Informado</t>
        </is>
      </c>
      <c r="K2359" s="6" t="inlineStr">
        <is>
          <t>Demanda doméstica fixa informada pelo usuário.</t>
        </is>
      </c>
    </row>
    <row r="2360">
      <c r="A2360" s="6" t="inlineStr">
        <is>
          <t>Soja</t>
        </is>
      </c>
      <c r="B2360" s="6" t="inlineStr">
        <is>
          <t>Maceió - AL</t>
        </is>
      </c>
      <c r="C2360" s="6" t="n">
        <v>-9.665990000000001</v>
      </c>
      <c r="D2360" s="6" t="n">
        <v>-35.735</v>
      </c>
      <c r="E2360" s="6" t="inlineStr">
        <is>
          <t>2023-07</t>
        </is>
      </c>
      <c r="F2360" s="6" t="n">
        <v>35143.9737910551</v>
      </c>
      <c r="G2360" s="6" t="inlineStr">
        <is>
          <t>DOMESTICA</t>
        </is>
      </c>
      <c r="H2360" s="6" t="inlineStr">
        <is>
          <t>FIXO</t>
        </is>
      </c>
      <c r="I2360" s="11">
        <f>IF($H2360="AUTO_OFERTA_TOTAL_PRODUTO_PERIODO",SUMIFS(Oferta!$F:$F,Oferta!$A:$A,$A2360,Oferta!$E:$E,$E2360),$F2360)</f>
        <v/>
      </c>
      <c r="J2360" s="6" t="inlineStr">
        <is>
          <t>Informado</t>
        </is>
      </c>
      <c r="K2360" s="6" t="inlineStr">
        <is>
          <t>Demanda doméstica fixa informada pelo usuário.</t>
        </is>
      </c>
    </row>
    <row r="2361">
      <c r="A2361" s="6" t="inlineStr">
        <is>
          <t>Soja</t>
        </is>
      </c>
      <c r="B2361" s="6" t="inlineStr">
        <is>
          <t>Maceió - AL</t>
        </is>
      </c>
      <c r="C2361" s="6" t="n">
        <v>-9.665990000000001</v>
      </c>
      <c r="D2361" s="6" t="n">
        <v>-35.735</v>
      </c>
      <c r="E2361" s="6" t="inlineStr">
        <is>
          <t>2023-08</t>
        </is>
      </c>
      <c r="F2361" s="6" t="n">
        <v>35143.9737910551</v>
      </c>
      <c r="G2361" s="6" t="inlineStr">
        <is>
          <t>DOMESTICA</t>
        </is>
      </c>
      <c r="H2361" s="6" t="inlineStr">
        <is>
          <t>FIXO</t>
        </is>
      </c>
      <c r="I2361" s="11">
        <f>IF($H2361="AUTO_OFERTA_TOTAL_PRODUTO_PERIODO",SUMIFS(Oferta!$F:$F,Oferta!$A:$A,$A2361,Oferta!$E:$E,$E2361),$F2361)</f>
        <v/>
      </c>
      <c r="J2361" s="6" t="inlineStr">
        <is>
          <t>Informado</t>
        </is>
      </c>
      <c r="K2361" s="6" t="inlineStr">
        <is>
          <t>Demanda doméstica fixa informada pelo usuário.</t>
        </is>
      </c>
    </row>
    <row r="2362">
      <c r="A2362" s="6" t="inlineStr">
        <is>
          <t>Soja</t>
        </is>
      </c>
      <c r="B2362" s="6" t="inlineStr">
        <is>
          <t>Maceió - AL</t>
        </is>
      </c>
      <c r="C2362" s="6" t="n">
        <v>-9.665990000000001</v>
      </c>
      <c r="D2362" s="6" t="n">
        <v>-35.735</v>
      </c>
      <c r="E2362" s="6" t="inlineStr">
        <is>
          <t>2023-09</t>
        </is>
      </c>
      <c r="F2362" s="6" t="n">
        <v>35143.9737910551</v>
      </c>
      <c r="G2362" s="6" t="inlineStr">
        <is>
          <t>DOMESTICA</t>
        </is>
      </c>
      <c r="H2362" s="6" t="inlineStr">
        <is>
          <t>FIXO</t>
        </is>
      </c>
      <c r="I2362" s="11">
        <f>IF($H2362="AUTO_OFERTA_TOTAL_PRODUTO_PERIODO",SUMIFS(Oferta!$F:$F,Oferta!$A:$A,$A2362,Oferta!$E:$E,$E2362),$F2362)</f>
        <v/>
      </c>
      <c r="J2362" s="6" t="inlineStr">
        <is>
          <t>Informado</t>
        </is>
      </c>
      <c r="K2362" s="6" t="inlineStr">
        <is>
          <t>Demanda doméstica fixa informada pelo usuário.</t>
        </is>
      </c>
    </row>
    <row r="2363">
      <c r="A2363" s="6" t="inlineStr">
        <is>
          <t>Soja</t>
        </is>
      </c>
      <c r="B2363" s="6" t="inlineStr">
        <is>
          <t>Maceió - AL</t>
        </is>
      </c>
      <c r="C2363" s="6" t="n">
        <v>-9.665990000000001</v>
      </c>
      <c r="D2363" s="6" t="n">
        <v>-35.735</v>
      </c>
      <c r="E2363" s="6" t="inlineStr">
        <is>
          <t>2023-10</t>
        </is>
      </c>
      <c r="F2363" s="6" t="n">
        <v>35143.9737910551</v>
      </c>
      <c r="G2363" s="6" t="inlineStr">
        <is>
          <t>DOMESTICA</t>
        </is>
      </c>
      <c r="H2363" s="6" t="inlineStr">
        <is>
          <t>FIXO</t>
        </is>
      </c>
      <c r="I2363" s="11">
        <f>IF($H2363="AUTO_OFERTA_TOTAL_PRODUTO_PERIODO",SUMIFS(Oferta!$F:$F,Oferta!$A:$A,$A2363,Oferta!$E:$E,$E2363),$F2363)</f>
        <v/>
      </c>
      <c r="J2363" s="6" t="inlineStr">
        <is>
          <t>Informado</t>
        </is>
      </c>
      <c r="K2363" s="6" t="inlineStr">
        <is>
          <t>Demanda doméstica fixa informada pelo usuário.</t>
        </is>
      </c>
    </row>
    <row r="2364">
      <c r="A2364" s="6" t="inlineStr">
        <is>
          <t>Soja</t>
        </is>
      </c>
      <c r="B2364" s="6" t="inlineStr">
        <is>
          <t>Maceió - AL</t>
        </is>
      </c>
      <c r="C2364" s="6" t="n">
        <v>-9.665990000000001</v>
      </c>
      <c r="D2364" s="6" t="n">
        <v>-35.735</v>
      </c>
      <c r="E2364" s="6" t="inlineStr">
        <is>
          <t>2023-11</t>
        </is>
      </c>
      <c r="F2364" s="6" t="n">
        <v>35143.9737910551</v>
      </c>
      <c r="G2364" s="6" t="inlineStr">
        <is>
          <t>DOMESTICA</t>
        </is>
      </c>
      <c r="H2364" s="6" t="inlineStr">
        <is>
          <t>FIXO</t>
        </is>
      </c>
      <c r="I2364" s="11">
        <f>IF($H2364="AUTO_OFERTA_TOTAL_PRODUTO_PERIODO",SUMIFS(Oferta!$F:$F,Oferta!$A:$A,$A2364,Oferta!$E:$E,$E2364),$F2364)</f>
        <v/>
      </c>
      <c r="J2364" s="6" t="inlineStr">
        <is>
          <t>Informado</t>
        </is>
      </c>
      <c r="K2364" s="6" t="inlineStr">
        <is>
          <t>Demanda doméstica fixa informada pelo usuário.</t>
        </is>
      </c>
    </row>
    <row r="2365">
      <c r="A2365" s="6" t="inlineStr">
        <is>
          <t>Soja</t>
        </is>
      </c>
      <c r="B2365" s="6" t="inlineStr">
        <is>
          <t>Maceió - AL</t>
        </is>
      </c>
      <c r="C2365" s="6" t="n">
        <v>-9.665990000000001</v>
      </c>
      <c r="D2365" s="6" t="n">
        <v>-35.735</v>
      </c>
      <c r="E2365" s="6" t="inlineStr">
        <is>
          <t>2023-12</t>
        </is>
      </c>
      <c r="F2365" s="6" t="n">
        <v>35143.9737910551</v>
      </c>
      <c r="G2365" s="6" t="inlineStr">
        <is>
          <t>DOMESTICA</t>
        </is>
      </c>
      <c r="H2365" s="6" t="inlineStr">
        <is>
          <t>FIXO</t>
        </is>
      </c>
      <c r="I2365" s="11">
        <f>IF($H2365="AUTO_OFERTA_TOTAL_PRODUTO_PERIODO",SUMIFS(Oferta!$F:$F,Oferta!$A:$A,$A2365,Oferta!$E:$E,$E2365),$F2365)</f>
        <v/>
      </c>
      <c r="J2365" s="6" t="inlineStr">
        <is>
          <t>Informado</t>
        </is>
      </c>
      <c r="K2365" s="6" t="inlineStr">
        <is>
          <t>Demanda doméstica fixa informada pelo usuário.</t>
        </is>
      </c>
    </row>
    <row r="2366">
      <c r="A2366" s="6" t="inlineStr">
        <is>
          <t>Soja</t>
        </is>
      </c>
      <c r="B2366" s="6" t="inlineStr">
        <is>
          <t>Salvador - BA</t>
        </is>
      </c>
      <c r="C2366" s="6" t="n">
        <v>-12.9718</v>
      </c>
      <c r="D2366" s="6" t="n">
        <v>-38.5011</v>
      </c>
      <c r="E2366" s="6" t="inlineStr">
        <is>
          <t>2023-01</t>
        </is>
      </c>
      <c r="F2366" s="6" t="n">
        <v>116616.3167429624</v>
      </c>
      <c r="G2366" s="6" t="inlineStr">
        <is>
          <t>DOMESTICA</t>
        </is>
      </c>
      <c r="H2366" s="6" t="inlineStr">
        <is>
          <t>FIXO</t>
        </is>
      </c>
      <c r="I2366" s="11">
        <f>IF($H2366="AUTO_OFERTA_TOTAL_PRODUTO_PERIODO",SUMIFS(Oferta!$F:$F,Oferta!$A:$A,$A2366,Oferta!$E:$E,$E2366),$F2366)</f>
        <v/>
      </c>
      <c r="J2366" s="6" t="inlineStr">
        <is>
          <t>Informado</t>
        </is>
      </c>
      <c r="K2366" s="6" t="inlineStr">
        <is>
          <t>Demanda doméstica fixa informada pelo usuário.</t>
        </is>
      </c>
    </row>
    <row r="2367">
      <c r="A2367" s="6" t="inlineStr">
        <is>
          <t>Soja</t>
        </is>
      </c>
      <c r="B2367" s="6" t="inlineStr">
        <is>
          <t>Salvador - BA</t>
        </is>
      </c>
      <c r="C2367" s="6" t="n">
        <v>-12.9718</v>
      </c>
      <c r="D2367" s="6" t="n">
        <v>-38.5011</v>
      </c>
      <c r="E2367" s="6" t="inlineStr">
        <is>
          <t>2023-02</t>
        </is>
      </c>
      <c r="F2367" s="6" t="n">
        <v>116616.3167429624</v>
      </c>
      <c r="G2367" s="6" t="inlineStr">
        <is>
          <t>DOMESTICA</t>
        </is>
      </c>
      <c r="H2367" s="6" t="inlineStr">
        <is>
          <t>FIXO</t>
        </is>
      </c>
      <c r="I2367" s="11">
        <f>IF($H2367="AUTO_OFERTA_TOTAL_PRODUTO_PERIODO",SUMIFS(Oferta!$F:$F,Oferta!$A:$A,$A2367,Oferta!$E:$E,$E2367),$F2367)</f>
        <v/>
      </c>
      <c r="J2367" s="6" t="inlineStr">
        <is>
          <t>Informado</t>
        </is>
      </c>
      <c r="K2367" s="6" t="inlineStr">
        <is>
          <t>Demanda doméstica fixa informada pelo usuário.</t>
        </is>
      </c>
    </row>
    <row r="2368">
      <c r="A2368" s="6" t="inlineStr">
        <is>
          <t>Soja</t>
        </is>
      </c>
      <c r="B2368" s="6" t="inlineStr">
        <is>
          <t>Salvador - BA</t>
        </is>
      </c>
      <c r="C2368" s="6" t="n">
        <v>-12.9718</v>
      </c>
      <c r="D2368" s="6" t="n">
        <v>-38.5011</v>
      </c>
      <c r="E2368" s="6" t="inlineStr">
        <is>
          <t>2023-03</t>
        </is>
      </c>
      <c r="F2368" s="6" t="n">
        <v>187026.1683613548</v>
      </c>
      <c r="G2368" s="6" t="inlineStr">
        <is>
          <t>DOMESTICA</t>
        </is>
      </c>
      <c r="H2368" s="6" t="inlineStr">
        <is>
          <t>FIXO</t>
        </is>
      </c>
      <c r="I2368" s="11">
        <f>IF($H2368="AUTO_OFERTA_TOTAL_PRODUTO_PERIODO",SUMIFS(Oferta!$F:$F,Oferta!$A:$A,$A2368,Oferta!$E:$E,$E2368),$F2368)</f>
        <v/>
      </c>
      <c r="J2368" s="6" t="inlineStr">
        <is>
          <t>Informado</t>
        </is>
      </c>
      <c r="K2368" s="6" t="inlineStr">
        <is>
          <t>Demanda doméstica fixa informada pelo usuário.</t>
        </is>
      </c>
    </row>
    <row r="2369">
      <c r="A2369" s="6" t="inlineStr">
        <is>
          <t>Soja</t>
        </is>
      </c>
      <c r="B2369" s="6" t="inlineStr">
        <is>
          <t>Salvador - BA</t>
        </is>
      </c>
      <c r="C2369" s="6" t="n">
        <v>-12.9718</v>
      </c>
      <c r="D2369" s="6" t="n">
        <v>-38.5011</v>
      </c>
      <c r="E2369" s="6" t="inlineStr">
        <is>
          <t>2023-04</t>
        </is>
      </c>
      <c r="F2369" s="6" t="n">
        <v>327845.8715981396</v>
      </c>
      <c r="G2369" s="6" t="inlineStr">
        <is>
          <t>DOMESTICA</t>
        </is>
      </c>
      <c r="H2369" s="6" t="inlineStr">
        <is>
          <t>FIXO</t>
        </is>
      </c>
      <c r="I2369" s="11">
        <f>IF($H2369="AUTO_OFERTA_TOTAL_PRODUTO_PERIODO",SUMIFS(Oferta!$F:$F,Oferta!$A:$A,$A2369,Oferta!$E:$E,$E2369),$F2369)</f>
        <v/>
      </c>
      <c r="J2369" s="6" t="inlineStr">
        <is>
          <t>Informado</t>
        </is>
      </c>
      <c r="K2369" s="6" t="inlineStr">
        <is>
          <t>Demanda doméstica fixa informada pelo usuário.</t>
        </is>
      </c>
    </row>
    <row r="2370">
      <c r="A2370" s="6" t="inlineStr">
        <is>
          <t>Soja</t>
        </is>
      </c>
      <c r="B2370" s="6" t="inlineStr">
        <is>
          <t>Salvador - BA</t>
        </is>
      </c>
      <c r="C2370" s="6" t="n">
        <v>-12.9718</v>
      </c>
      <c r="D2370" s="6" t="n">
        <v>-38.5011</v>
      </c>
      <c r="E2370" s="6" t="inlineStr">
        <is>
          <t>2023-05</t>
        </is>
      </c>
      <c r="F2370" s="6" t="n">
        <v>468665.5748349245</v>
      </c>
      <c r="G2370" s="6" t="inlineStr">
        <is>
          <t>DOMESTICA</t>
        </is>
      </c>
      <c r="H2370" s="6" t="inlineStr">
        <is>
          <t>FIXO</t>
        </is>
      </c>
      <c r="I2370" s="11">
        <f>IF($H2370="AUTO_OFERTA_TOTAL_PRODUTO_PERIODO",SUMIFS(Oferta!$F:$F,Oferta!$A:$A,$A2370,Oferta!$E:$E,$E2370),$F2370)</f>
        <v/>
      </c>
      <c r="J2370" s="6" t="inlineStr">
        <is>
          <t>Informado</t>
        </is>
      </c>
      <c r="K2370" s="6" t="inlineStr">
        <is>
          <t>Demanda doméstica fixa informada pelo usuário.</t>
        </is>
      </c>
    </row>
    <row r="2371">
      <c r="A2371" s="6" t="inlineStr">
        <is>
          <t>Soja</t>
        </is>
      </c>
      <c r="B2371" s="6" t="inlineStr">
        <is>
          <t>Salvador - BA</t>
        </is>
      </c>
      <c r="C2371" s="6" t="n">
        <v>-12.9718</v>
      </c>
      <c r="D2371" s="6" t="n">
        <v>-38.5011</v>
      </c>
      <c r="E2371" s="6" t="inlineStr">
        <is>
          <t>2023-06</t>
        </is>
      </c>
      <c r="F2371" s="6" t="n">
        <v>433460.6490257283</v>
      </c>
      <c r="G2371" s="6" t="inlineStr">
        <is>
          <t>DOMESTICA</t>
        </is>
      </c>
      <c r="H2371" s="6" t="inlineStr">
        <is>
          <t>FIXO</t>
        </is>
      </c>
      <c r="I2371" s="11">
        <f>IF($H2371="AUTO_OFERTA_TOTAL_PRODUTO_PERIODO",SUMIFS(Oferta!$F:$F,Oferta!$A:$A,$A2371,Oferta!$E:$E,$E2371),$F2371)</f>
        <v/>
      </c>
      <c r="J2371" s="6" t="inlineStr">
        <is>
          <t>Informado</t>
        </is>
      </c>
      <c r="K2371" s="6" t="inlineStr">
        <is>
          <t>Demanda doméstica fixa informada pelo usuário.</t>
        </is>
      </c>
    </row>
    <row r="2372">
      <c r="A2372" s="6" t="inlineStr">
        <is>
          <t>Soja</t>
        </is>
      </c>
      <c r="B2372" s="6" t="inlineStr">
        <is>
          <t>Salvador - BA</t>
        </is>
      </c>
      <c r="C2372" s="6" t="n">
        <v>-12.9718</v>
      </c>
      <c r="D2372" s="6" t="n">
        <v>-38.5011</v>
      </c>
      <c r="E2372" s="6" t="inlineStr">
        <is>
          <t>2023-07</t>
        </is>
      </c>
      <c r="F2372" s="6" t="n">
        <v>292640.9457889434</v>
      </c>
      <c r="G2372" s="6" t="inlineStr">
        <is>
          <t>DOMESTICA</t>
        </is>
      </c>
      <c r="H2372" s="6" t="inlineStr">
        <is>
          <t>FIXO</t>
        </is>
      </c>
      <c r="I2372" s="11">
        <f>IF($H2372="AUTO_OFERTA_TOTAL_PRODUTO_PERIODO",SUMIFS(Oferta!$F:$F,Oferta!$A:$A,$A2372,Oferta!$E:$E,$E2372),$F2372)</f>
        <v/>
      </c>
      <c r="J2372" s="6" t="inlineStr">
        <is>
          <t>Informado</t>
        </is>
      </c>
      <c r="K2372" s="6" t="inlineStr">
        <is>
          <t>Demanda doméstica fixa informada pelo usuário.</t>
        </is>
      </c>
    </row>
    <row r="2373">
      <c r="A2373" s="6" t="inlineStr">
        <is>
          <t>Soja</t>
        </is>
      </c>
      <c r="B2373" s="6" t="inlineStr">
        <is>
          <t>Salvador - BA</t>
        </is>
      </c>
      <c r="C2373" s="6" t="n">
        <v>-12.9718</v>
      </c>
      <c r="D2373" s="6" t="n">
        <v>-38.5011</v>
      </c>
      <c r="E2373" s="6" t="inlineStr">
        <is>
          <t>2023-08</t>
        </is>
      </c>
      <c r="F2373" s="6" t="n">
        <v>151821.2425521586</v>
      </c>
      <c r="G2373" s="6" t="inlineStr">
        <is>
          <t>DOMESTICA</t>
        </is>
      </c>
      <c r="H2373" s="6" t="inlineStr">
        <is>
          <t>FIXO</t>
        </is>
      </c>
      <c r="I2373" s="11">
        <f>IF($H2373="AUTO_OFERTA_TOTAL_PRODUTO_PERIODO",SUMIFS(Oferta!$F:$F,Oferta!$A:$A,$A2373,Oferta!$E:$E,$E2373),$F2373)</f>
        <v/>
      </c>
      <c r="J2373" s="6" t="inlineStr">
        <is>
          <t>Informado</t>
        </is>
      </c>
      <c r="K2373" s="6" t="inlineStr">
        <is>
          <t>Demanda doméstica fixa informada pelo usuário.</t>
        </is>
      </c>
    </row>
    <row r="2374">
      <c r="A2374" s="6" t="inlineStr">
        <is>
          <t>Soja</t>
        </is>
      </c>
      <c r="B2374" s="6" t="inlineStr">
        <is>
          <t>Salvador - BA</t>
        </is>
      </c>
      <c r="C2374" s="6" t="n">
        <v>-12.9718</v>
      </c>
      <c r="D2374" s="6" t="n">
        <v>-38.5011</v>
      </c>
      <c r="E2374" s="6" t="inlineStr">
        <is>
          <t>2023-09</t>
        </is>
      </c>
      <c r="F2374" s="6" t="n">
        <v>116616.3167429624</v>
      </c>
      <c r="G2374" s="6" t="inlineStr">
        <is>
          <t>DOMESTICA</t>
        </is>
      </c>
      <c r="H2374" s="6" t="inlineStr">
        <is>
          <t>FIXO</t>
        </is>
      </c>
      <c r="I2374" s="11">
        <f>IF($H2374="AUTO_OFERTA_TOTAL_PRODUTO_PERIODO",SUMIFS(Oferta!$F:$F,Oferta!$A:$A,$A2374,Oferta!$E:$E,$E2374),$F2374)</f>
        <v/>
      </c>
      <c r="J2374" s="6" t="inlineStr">
        <is>
          <t>Informado</t>
        </is>
      </c>
      <c r="K2374" s="6" t="inlineStr">
        <is>
          <t>Demanda doméstica fixa informada pelo usuário.</t>
        </is>
      </c>
    </row>
    <row r="2375">
      <c r="A2375" s="6" t="inlineStr">
        <is>
          <t>Soja</t>
        </is>
      </c>
      <c r="B2375" s="6" t="inlineStr">
        <is>
          <t>Salvador - BA</t>
        </is>
      </c>
      <c r="C2375" s="6" t="n">
        <v>-12.9718</v>
      </c>
      <c r="D2375" s="6" t="n">
        <v>-38.5011</v>
      </c>
      <c r="E2375" s="6" t="inlineStr">
        <is>
          <t>2023-10</t>
        </is>
      </c>
      <c r="F2375" s="6" t="n">
        <v>116616.3167429624</v>
      </c>
      <c r="G2375" s="6" t="inlineStr">
        <is>
          <t>DOMESTICA</t>
        </is>
      </c>
      <c r="H2375" s="6" t="inlineStr">
        <is>
          <t>FIXO</t>
        </is>
      </c>
      <c r="I2375" s="11">
        <f>IF($H2375="AUTO_OFERTA_TOTAL_PRODUTO_PERIODO",SUMIFS(Oferta!$F:$F,Oferta!$A:$A,$A2375,Oferta!$E:$E,$E2375),$F2375)</f>
        <v/>
      </c>
      <c r="J2375" s="6" t="inlineStr">
        <is>
          <t>Informado</t>
        </is>
      </c>
      <c r="K2375" s="6" t="inlineStr">
        <is>
          <t>Demanda doméstica fixa informada pelo usuário.</t>
        </is>
      </c>
    </row>
    <row r="2376">
      <c r="A2376" s="6" t="inlineStr">
        <is>
          <t>Soja</t>
        </is>
      </c>
      <c r="B2376" s="6" t="inlineStr">
        <is>
          <t>Salvador - BA</t>
        </is>
      </c>
      <c r="C2376" s="6" t="n">
        <v>-12.9718</v>
      </c>
      <c r="D2376" s="6" t="n">
        <v>-38.5011</v>
      </c>
      <c r="E2376" s="6" t="inlineStr">
        <is>
          <t>2023-11</t>
        </is>
      </c>
      <c r="F2376" s="6" t="n">
        <v>116616.3167429624</v>
      </c>
      <c r="G2376" s="6" t="inlineStr">
        <is>
          <t>DOMESTICA</t>
        </is>
      </c>
      <c r="H2376" s="6" t="inlineStr">
        <is>
          <t>FIXO</t>
        </is>
      </c>
      <c r="I2376" s="11">
        <f>IF($H2376="AUTO_OFERTA_TOTAL_PRODUTO_PERIODO",SUMIFS(Oferta!$F:$F,Oferta!$A:$A,$A2376,Oferta!$E:$E,$E2376),$F2376)</f>
        <v/>
      </c>
      <c r="J2376" s="6" t="inlineStr">
        <is>
          <t>Informado</t>
        </is>
      </c>
      <c r="K2376" s="6" t="inlineStr">
        <is>
          <t>Demanda doméstica fixa informada pelo usuário.</t>
        </is>
      </c>
    </row>
    <row r="2377">
      <c r="A2377" s="6" t="inlineStr">
        <is>
          <t>Soja</t>
        </is>
      </c>
      <c r="B2377" s="6" t="inlineStr">
        <is>
          <t>Salvador - BA</t>
        </is>
      </c>
      <c r="C2377" s="6" t="n">
        <v>-12.9718</v>
      </c>
      <c r="D2377" s="6" t="n">
        <v>-38.5011</v>
      </c>
      <c r="E2377" s="6" t="inlineStr">
        <is>
          <t>2023-12</t>
        </is>
      </c>
      <c r="F2377" s="6" t="n">
        <v>116616.3167429624</v>
      </c>
      <c r="G2377" s="6" t="inlineStr">
        <is>
          <t>DOMESTICA</t>
        </is>
      </c>
      <c r="H2377" s="6" t="inlineStr">
        <is>
          <t>FIXO</t>
        </is>
      </c>
      <c r="I2377" s="11">
        <f>IF($H2377="AUTO_OFERTA_TOTAL_PRODUTO_PERIODO",SUMIFS(Oferta!$F:$F,Oferta!$A:$A,$A2377,Oferta!$E:$E,$E2377),$F2377)</f>
        <v/>
      </c>
      <c r="J2377" s="6" t="inlineStr">
        <is>
          <t>Informado</t>
        </is>
      </c>
      <c r="K2377" s="6" t="inlineStr">
        <is>
          <t>Demanda doméstica fixa informada pelo usuário.</t>
        </is>
      </c>
    </row>
    <row r="2378">
      <c r="A2378" s="6" t="inlineStr">
        <is>
          <t>Soja</t>
        </is>
      </c>
      <c r="B2378" s="6" t="inlineStr">
        <is>
          <t>Fortaleza - CE</t>
        </is>
      </c>
      <c r="C2378" s="6" t="n">
        <v>-3.71664</v>
      </c>
      <c r="D2378" s="6" t="n">
        <v>-38.5423</v>
      </c>
      <c r="E2378" s="6" t="inlineStr">
        <is>
          <t>2023-01</t>
        </is>
      </c>
      <c r="F2378" s="6" t="n">
        <v>79321.02083602631</v>
      </c>
      <c r="G2378" s="6" t="inlineStr">
        <is>
          <t>DOMESTICA</t>
        </is>
      </c>
      <c r="H2378" s="6" t="inlineStr">
        <is>
          <t>FIXO</t>
        </is>
      </c>
      <c r="I2378" s="11">
        <f>IF($H2378="AUTO_OFERTA_TOTAL_PRODUTO_PERIODO",SUMIFS(Oferta!$F:$F,Oferta!$A:$A,$A2378,Oferta!$E:$E,$E2378),$F2378)</f>
        <v/>
      </c>
      <c r="J2378" s="6" t="inlineStr">
        <is>
          <t>Informado</t>
        </is>
      </c>
      <c r="K2378" s="6" t="inlineStr">
        <is>
          <t>Demanda doméstica fixa informada pelo usuário.</t>
        </is>
      </c>
    </row>
    <row r="2379">
      <c r="A2379" s="6" t="inlineStr">
        <is>
          <t>Soja</t>
        </is>
      </c>
      <c r="B2379" s="6" t="inlineStr">
        <is>
          <t>Fortaleza - CE</t>
        </is>
      </c>
      <c r="C2379" s="6" t="n">
        <v>-3.71664</v>
      </c>
      <c r="D2379" s="6" t="n">
        <v>-38.5423</v>
      </c>
      <c r="E2379" s="6" t="inlineStr">
        <is>
          <t>2023-02</t>
        </is>
      </c>
      <c r="F2379" s="6" t="n">
        <v>79321.02083602631</v>
      </c>
      <c r="G2379" s="6" t="inlineStr">
        <is>
          <t>DOMESTICA</t>
        </is>
      </c>
      <c r="H2379" s="6" t="inlineStr">
        <is>
          <t>FIXO</t>
        </is>
      </c>
      <c r="I2379" s="11">
        <f>IF($H2379="AUTO_OFERTA_TOTAL_PRODUTO_PERIODO",SUMIFS(Oferta!$F:$F,Oferta!$A:$A,$A2379,Oferta!$E:$E,$E2379),$F2379)</f>
        <v/>
      </c>
      <c r="J2379" s="6" t="inlineStr">
        <is>
          <t>Informado</t>
        </is>
      </c>
      <c r="K2379" s="6" t="inlineStr">
        <is>
          <t>Demanda doméstica fixa informada pelo usuário.</t>
        </is>
      </c>
    </row>
    <row r="2380">
      <c r="A2380" s="6" t="inlineStr">
        <is>
          <t>Soja</t>
        </is>
      </c>
      <c r="B2380" s="6" t="inlineStr">
        <is>
          <t>Fortaleza - CE</t>
        </is>
      </c>
      <c r="C2380" s="6" t="n">
        <v>-3.71664</v>
      </c>
      <c r="D2380" s="6" t="n">
        <v>-38.5423</v>
      </c>
      <c r="E2380" s="6" t="inlineStr">
        <is>
          <t>2023-03</t>
        </is>
      </c>
      <c r="F2380" s="6" t="n">
        <v>79321.02083602631</v>
      </c>
      <c r="G2380" s="6" t="inlineStr">
        <is>
          <t>DOMESTICA</t>
        </is>
      </c>
      <c r="H2380" s="6" t="inlineStr">
        <is>
          <t>FIXO</t>
        </is>
      </c>
      <c r="I2380" s="11">
        <f>IF($H2380="AUTO_OFERTA_TOTAL_PRODUTO_PERIODO",SUMIFS(Oferta!$F:$F,Oferta!$A:$A,$A2380,Oferta!$E:$E,$E2380),$F2380)</f>
        <v/>
      </c>
      <c r="J2380" s="6" t="inlineStr">
        <is>
          <t>Informado</t>
        </is>
      </c>
      <c r="K2380" s="6" t="inlineStr">
        <is>
          <t>Demanda doméstica fixa informada pelo usuário.</t>
        </is>
      </c>
    </row>
    <row r="2381">
      <c r="A2381" s="6" t="inlineStr">
        <is>
          <t>Soja</t>
        </is>
      </c>
      <c r="B2381" s="6" t="inlineStr">
        <is>
          <t>Fortaleza - CE</t>
        </is>
      </c>
      <c r="C2381" s="6" t="n">
        <v>-3.71664</v>
      </c>
      <c r="D2381" s="6" t="n">
        <v>-38.5423</v>
      </c>
      <c r="E2381" s="6" t="inlineStr">
        <is>
          <t>2023-04</t>
        </is>
      </c>
      <c r="F2381" s="6" t="n">
        <v>79321.02083602631</v>
      </c>
      <c r="G2381" s="6" t="inlineStr">
        <is>
          <t>DOMESTICA</t>
        </is>
      </c>
      <c r="H2381" s="6" t="inlineStr">
        <is>
          <t>FIXO</t>
        </is>
      </c>
      <c r="I2381" s="11">
        <f>IF($H2381="AUTO_OFERTA_TOTAL_PRODUTO_PERIODO",SUMIFS(Oferta!$F:$F,Oferta!$A:$A,$A2381,Oferta!$E:$E,$E2381),$F2381)</f>
        <v/>
      </c>
      <c r="J2381" s="6" t="inlineStr">
        <is>
          <t>Informado</t>
        </is>
      </c>
      <c r="K2381" s="6" t="inlineStr">
        <is>
          <t>Demanda doméstica fixa informada pelo usuário.</t>
        </is>
      </c>
    </row>
    <row r="2382">
      <c r="A2382" s="6" t="inlineStr">
        <is>
          <t>Soja</t>
        </is>
      </c>
      <c r="B2382" s="6" t="inlineStr">
        <is>
          <t>Fortaleza - CE</t>
        </is>
      </c>
      <c r="C2382" s="6" t="n">
        <v>-3.71664</v>
      </c>
      <c r="D2382" s="6" t="n">
        <v>-38.5423</v>
      </c>
      <c r="E2382" s="6" t="inlineStr">
        <is>
          <t>2023-05</t>
        </is>
      </c>
      <c r="F2382" s="6" t="n">
        <v>79321.02083602631</v>
      </c>
      <c r="G2382" s="6" t="inlineStr">
        <is>
          <t>DOMESTICA</t>
        </is>
      </c>
      <c r="H2382" s="6" t="inlineStr">
        <is>
          <t>FIXO</t>
        </is>
      </c>
      <c r="I2382" s="11">
        <f>IF($H2382="AUTO_OFERTA_TOTAL_PRODUTO_PERIODO",SUMIFS(Oferta!$F:$F,Oferta!$A:$A,$A2382,Oferta!$E:$E,$E2382),$F2382)</f>
        <v/>
      </c>
      <c r="J2382" s="6" t="inlineStr">
        <is>
          <t>Informado</t>
        </is>
      </c>
      <c r="K2382" s="6" t="inlineStr">
        <is>
          <t>Demanda doméstica fixa informada pelo usuário.</t>
        </is>
      </c>
    </row>
    <row r="2383">
      <c r="A2383" s="6" t="inlineStr">
        <is>
          <t>Soja</t>
        </is>
      </c>
      <c r="B2383" s="6" t="inlineStr">
        <is>
          <t>Fortaleza - CE</t>
        </is>
      </c>
      <c r="C2383" s="6" t="n">
        <v>-3.71664</v>
      </c>
      <c r="D2383" s="6" t="n">
        <v>-38.5423</v>
      </c>
      <c r="E2383" s="6" t="inlineStr">
        <is>
          <t>2023-06</t>
        </is>
      </c>
      <c r="F2383" s="6" t="n">
        <v>79321.02083602631</v>
      </c>
      <c r="G2383" s="6" t="inlineStr">
        <is>
          <t>DOMESTICA</t>
        </is>
      </c>
      <c r="H2383" s="6" t="inlineStr">
        <is>
          <t>FIXO</t>
        </is>
      </c>
      <c r="I2383" s="11">
        <f>IF($H2383="AUTO_OFERTA_TOTAL_PRODUTO_PERIODO",SUMIFS(Oferta!$F:$F,Oferta!$A:$A,$A2383,Oferta!$E:$E,$E2383),$F2383)</f>
        <v/>
      </c>
      <c r="J2383" s="6" t="inlineStr">
        <is>
          <t>Informado</t>
        </is>
      </c>
      <c r="K2383" s="6" t="inlineStr">
        <is>
          <t>Demanda doméstica fixa informada pelo usuário.</t>
        </is>
      </c>
    </row>
    <row r="2384">
      <c r="A2384" s="6" t="inlineStr">
        <is>
          <t>Soja</t>
        </is>
      </c>
      <c r="B2384" s="6" t="inlineStr">
        <is>
          <t>Fortaleza - CE</t>
        </is>
      </c>
      <c r="C2384" s="6" t="n">
        <v>-3.71664</v>
      </c>
      <c r="D2384" s="6" t="n">
        <v>-38.5423</v>
      </c>
      <c r="E2384" s="6" t="inlineStr">
        <is>
          <t>2023-07</t>
        </is>
      </c>
      <c r="F2384" s="6" t="n">
        <v>79321.02083602631</v>
      </c>
      <c r="G2384" s="6" t="inlineStr">
        <is>
          <t>DOMESTICA</t>
        </is>
      </c>
      <c r="H2384" s="6" t="inlineStr">
        <is>
          <t>FIXO</t>
        </is>
      </c>
      <c r="I2384" s="11">
        <f>IF($H2384="AUTO_OFERTA_TOTAL_PRODUTO_PERIODO",SUMIFS(Oferta!$F:$F,Oferta!$A:$A,$A2384,Oferta!$E:$E,$E2384),$F2384)</f>
        <v/>
      </c>
      <c r="J2384" s="6" t="inlineStr">
        <is>
          <t>Informado</t>
        </is>
      </c>
      <c r="K2384" s="6" t="inlineStr">
        <is>
          <t>Demanda doméstica fixa informada pelo usuário.</t>
        </is>
      </c>
    </row>
    <row r="2385">
      <c r="A2385" s="6" t="inlineStr">
        <is>
          <t>Soja</t>
        </is>
      </c>
      <c r="B2385" s="6" t="inlineStr">
        <is>
          <t>Fortaleza - CE</t>
        </is>
      </c>
      <c r="C2385" s="6" t="n">
        <v>-3.71664</v>
      </c>
      <c r="D2385" s="6" t="n">
        <v>-38.5423</v>
      </c>
      <c r="E2385" s="6" t="inlineStr">
        <is>
          <t>2023-08</t>
        </is>
      </c>
      <c r="F2385" s="6" t="n">
        <v>79321.02083602631</v>
      </c>
      <c r="G2385" s="6" t="inlineStr">
        <is>
          <t>DOMESTICA</t>
        </is>
      </c>
      <c r="H2385" s="6" t="inlineStr">
        <is>
          <t>FIXO</t>
        </is>
      </c>
      <c r="I2385" s="11">
        <f>IF($H2385="AUTO_OFERTA_TOTAL_PRODUTO_PERIODO",SUMIFS(Oferta!$F:$F,Oferta!$A:$A,$A2385,Oferta!$E:$E,$E2385),$F2385)</f>
        <v/>
      </c>
      <c r="J2385" s="6" t="inlineStr">
        <is>
          <t>Informado</t>
        </is>
      </c>
      <c r="K2385" s="6" t="inlineStr">
        <is>
          <t>Demanda doméstica fixa informada pelo usuário.</t>
        </is>
      </c>
    </row>
    <row r="2386">
      <c r="A2386" s="6" t="inlineStr">
        <is>
          <t>Soja</t>
        </is>
      </c>
      <c r="B2386" s="6" t="inlineStr">
        <is>
          <t>Fortaleza - CE</t>
        </is>
      </c>
      <c r="C2386" s="6" t="n">
        <v>-3.71664</v>
      </c>
      <c r="D2386" s="6" t="n">
        <v>-38.5423</v>
      </c>
      <c r="E2386" s="6" t="inlineStr">
        <is>
          <t>2023-09</t>
        </is>
      </c>
      <c r="F2386" s="6" t="n">
        <v>79321.02083602631</v>
      </c>
      <c r="G2386" s="6" t="inlineStr">
        <is>
          <t>DOMESTICA</t>
        </is>
      </c>
      <c r="H2386" s="6" t="inlineStr">
        <is>
          <t>FIXO</t>
        </is>
      </c>
      <c r="I2386" s="11">
        <f>IF($H2386="AUTO_OFERTA_TOTAL_PRODUTO_PERIODO",SUMIFS(Oferta!$F:$F,Oferta!$A:$A,$A2386,Oferta!$E:$E,$E2386),$F2386)</f>
        <v/>
      </c>
      <c r="J2386" s="6" t="inlineStr">
        <is>
          <t>Informado</t>
        </is>
      </c>
      <c r="K2386" s="6" t="inlineStr">
        <is>
          <t>Demanda doméstica fixa informada pelo usuário.</t>
        </is>
      </c>
    </row>
    <row r="2387">
      <c r="A2387" s="6" t="inlineStr">
        <is>
          <t>Soja</t>
        </is>
      </c>
      <c r="B2387" s="6" t="inlineStr">
        <is>
          <t>Fortaleza - CE</t>
        </is>
      </c>
      <c r="C2387" s="6" t="n">
        <v>-3.71664</v>
      </c>
      <c r="D2387" s="6" t="n">
        <v>-38.5423</v>
      </c>
      <c r="E2387" s="6" t="inlineStr">
        <is>
          <t>2023-10</t>
        </is>
      </c>
      <c r="F2387" s="6" t="n">
        <v>79321.02083602631</v>
      </c>
      <c r="G2387" s="6" t="inlineStr">
        <is>
          <t>DOMESTICA</t>
        </is>
      </c>
      <c r="H2387" s="6" t="inlineStr">
        <is>
          <t>FIXO</t>
        </is>
      </c>
      <c r="I2387" s="11">
        <f>IF($H2387="AUTO_OFERTA_TOTAL_PRODUTO_PERIODO",SUMIFS(Oferta!$F:$F,Oferta!$A:$A,$A2387,Oferta!$E:$E,$E2387),$F2387)</f>
        <v/>
      </c>
      <c r="J2387" s="6" t="inlineStr">
        <is>
          <t>Informado</t>
        </is>
      </c>
      <c r="K2387" s="6" t="inlineStr">
        <is>
          <t>Demanda doméstica fixa informada pelo usuário.</t>
        </is>
      </c>
    </row>
    <row r="2388">
      <c r="A2388" s="6" t="inlineStr">
        <is>
          <t>Soja</t>
        </is>
      </c>
      <c r="B2388" s="6" t="inlineStr">
        <is>
          <t>Fortaleza - CE</t>
        </is>
      </c>
      <c r="C2388" s="6" t="n">
        <v>-3.71664</v>
      </c>
      <c r="D2388" s="6" t="n">
        <v>-38.5423</v>
      </c>
      <c r="E2388" s="6" t="inlineStr">
        <is>
          <t>2023-11</t>
        </is>
      </c>
      <c r="F2388" s="6" t="n">
        <v>79321.02083602631</v>
      </c>
      <c r="G2388" s="6" t="inlineStr">
        <is>
          <t>DOMESTICA</t>
        </is>
      </c>
      <c r="H2388" s="6" t="inlineStr">
        <is>
          <t>FIXO</t>
        </is>
      </c>
      <c r="I2388" s="11">
        <f>IF($H2388="AUTO_OFERTA_TOTAL_PRODUTO_PERIODO",SUMIFS(Oferta!$F:$F,Oferta!$A:$A,$A2388,Oferta!$E:$E,$E2388),$F2388)</f>
        <v/>
      </c>
      <c r="J2388" s="6" t="inlineStr">
        <is>
          <t>Informado</t>
        </is>
      </c>
      <c r="K2388" s="6" t="inlineStr">
        <is>
          <t>Demanda doméstica fixa informada pelo usuário.</t>
        </is>
      </c>
    </row>
    <row r="2389">
      <c r="A2389" s="6" t="inlineStr">
        <is>
          <t>Soja</t>
        </is>
      </c>
      <c r="B2389" s="6" t="inlineStr">
        <is>
          <t>Fortaleza - CE</t>
        </is>
      </c>
      <c r="C2389" s="6" t="n">
        <v>-3.71664</v>
      </c>
      <c r="D2389" s="6" t="n">
        <v>-38.5423</v>
      </c>
      <c r="E2389" s="6" t="inlineStr">
        <is>
          <t>2023-12</t>
        </is>
      </c>
      <c r="F2389" s="6" t="n">
        <v>79321.02083602631</v>
      </c>
      <c r="G2389" s="6" t="inlineStr">
        <is>
          <t>DOMESTICA</t>
        </is>
      </c>
      <c r="H2389" s="6" t="inlineStr">
        <is>
          <t>FIXO</t>
        </is>
      </c>
      <c r="I2389" s="11">
        <f>IF($H2389="AUTO_OFERTA_TOTAL_PRODUTO_PERIODO",SUMIFS(Oferta!$F:$F,Oferta!$A:$A,$A2389,Oferta!$E:$E,$E2389),$F2389)</f>
        <v/>
      </c>
      <c r="J2389" s="6" t="inlineStr">
        <is>
          <t>Informado</t>
        </is>
      </c>
      <c r="K2389" s="6" t="inlineStr">
        <is>
          <t>Demanda doméstica fixa informada pelo usuário.</t>
        </is>
      </c>
    </row>
    <row r="2390">
      <c r="A2390" s="6" t="inlineStr">
        <is>
          <t>Soja</t>
        </is>
      </c>
      <c r="B2390" s="6" t="inlineStr">
        <is>
          <t>São Luís - MA</t>
        </is>
      </c>
      <c r="C2390" s="6" t="n">
        <v>-2.53874</v>
      </c>
      <c r="D2390" s="6" t="n">
        <v>-44.2825</v>
      </c>
      <c r="E2390" s="6" t="inlineStr">
        <is>
          <t>2023-01</t>
        </is>
      </c>
      <c r="F2390" s="6" t="n">
        <v>37928.3840430099</v>
      </c>
      <c r="G2390" s="6" t="inlineStr">
        <is>
          <t>DOMESTICA</t>
        </is>
      </c>
      <c r="H2390" s="6" t="inlineStr">
        <is>
          <t>FIXO</t>
        </is>
      </c>
      <c r="I2390" s="11">
        <f>IF($H2390="AUTO_OFERTA_TOTAL_PRODUTO_PERIODO",SUMIFS(Oferta!$F:$F,Oferta!$A:$A,$A2390,Oferta!$E:$E,$E2390),$F2390)</f>
        <v/>
      </c>
      <c r="J2390" s="6" t="inlineStr">
        <is>
          <t>Informado</t>
        </is>
      </c>
      <c r="K2390" s="6" t="inlineStr">
        <is>
          <t>Demanda doméstica fixa informada pelo usuário.</t>
        </is>
      </c>
    </row>
    <row r="2391">
      <c r="A2391" s="6" t="inlineStr">
        <is>
          <t>Soja</t>
        </is>
      </c>
      <c r="B2391" s="6" t="inlineStr">
        <is>
          <t>São Luís - MA</t>
        </is>
      </c>
      <c r="C2391" s="6" t="n">
        <v>-2.53874</v>
      </c>
      <c r="D2391" s="6" t="n">
        <v>-44.2825</v>
      </c>
      <c r="E2391" s="6" t="inlineStr">
        <is>
          <t>2023-02</t>
        </is>
      </c>
      <c r="F2391" s="6" t="n">
        <v>37928.3840430099</v>
      </c>
      <c r="G2391" s="6" t="inlineStr">
        <is>
          <t>DOMESTICA</t>
        </is>
      </c>
      <c r="H2391" s="6" t="inlineStr">
        <is>
          <t>FIXO</t>
        </is>
      </c>
      <c r="I2391" s="11">
        <f>IF($H2391="AUTO_OFERTA_TOTAL_PRODUTO_PERIODO",SUMIFS(Oferta!$F:$F,Oferta!$A:$A,$A2391,Oferta!$E:$E,$E2391),$F2391)</f>
        <v/>
      </c>
      <c r="J2391" s="6" t="inlineStr">
        <is>
          <t>Informado</t>
        </is>
      </c>
      <c r="K2391" s="6" t="inlineStr">
        <is>
          <t>Demanda doméstica fixa informada pelo usuário.</t>
        </is>
      </c>
    </row>
    <row r="2392">
      <c r="A2392" s="6" t="inlineStr">
        <is>
          <t>Soja</t>
        </is>
      </c>
      <c r="B2392" s="6" t="inlineStr">
        <is>
          <t>São Luís - MA</t>
        </is>
      </c>
      <c r="C2392" s="6" t="n">
        <v>-2.53874</v>
      </c>
      <c r="D2392" s="6" t="n">
        <v>-44.2825</v>
      </c>
      <c r="E2392" s="6" t="inlineStr">
        <is>
          <t>2023-03</t>
        </is>
      </c>
      <c r="F2392" s="6" t="n">
        <v>49378.4622446733</v>
      </c>
      <c r="G2392" s="6" t="inlineStr">
        <is>
          <t>DOMESTICA</t>
        </is>
      </c>
      <c r="H2392" s="6" t="inlineStr">
        <is>
          <t>FIXO</t>
        </is>
      </c>
      <c r="I2392" s="11">
        <f>IF($H2392="AUTO_OFERTA_TOTAL_PRODUTO_PERIODO",SUMIFS(Oferta!$F:$F,Oferta!$A:$A,$A2392,Oferta!$E:$E,$E2392),$F2392)</f>
        <v/>
      </c>
      <c r="J2392" s="6" t="inlineStr">
        <is>
          <t>Informado</t>
        </is>
      </c>
      <c r="K2392" s="6" t="inlineStr">
        <is>
          <t>Demanda doméstica fixa informada pelo usuário.</t>
        </is>
      </c>
    </row>
    <row r="2393">
      <c r="A2393" s="6" t="inlineStr">
        <is>
          <t>Soja</t>
        </is>
      </c>
      <c r="B2393" s="6" t="inlineStr">
        <is>
          <t>São Luís - MA</t>
        </is>
      </c>
      <c r="C2393" s="6" t="n">
        <v>-2.53874</v>
      </c>
      <c r="D2393" s="6" t="n">
        <v>-44.2825</v>
      </c>
      <c r="E2393" s="6" t="inlineStr">
        <is>
          <t>2023-04</t>
        </is>
      </c>
      <c r="F2393" s="6" t="n">
        <v>95178.7750513268</v>
      </c>
      <c r="G2393" s="6" t="inlineStr">
        <is>
          <t>DOMESTICA</t>
        </is>
      </c>
      <c r="H2393" s="6" t="inlineStr">
        <is>
          <t>FIXO</t>
        </is>
      </c>
      <c r="I2393" s="11">
        <f>IF($H2393="AUTO_OFERTA_TOTAL_PRODUTO_PERIODO",SUMIFS(Oferta!$F:$F,Oferta!$A:$A,$A2393,Oferta!$E:$E,$E2393),$F2393)</f>
        <v/>
      </c>
      <c r="J2393" s="6" t="inlineStr">
        <is>
          <t>Informado</t>
        </is>
      </c>
      <c r="K2393" s="6" t="inlineStr">
        <is>
          <t>Demanda doméstica fixa informada pelo usuário.</t>
        </is>
      </c>
    </row>
    <row r="2394">
      <c r="A2394" s="6" t="inlineStr">
        <is>
          <t>Soja</t>
        </is>
      </c>
      <c r="B2394" s="6" t="inlineStr">
        <is>
          <t>São Luís - MA</t>
        </is>
      </c>
      <c r="C2394" s="6" t="n">
        <v>-2.53874</v>
      </c>
      <c r="D2394" s="6" t="n">
        <v>-44.2825</v>
      </c>
      <c r="E2394" s="6" t="inlineStr">
        <is>
          <t>2023-05</t>
        </is>
      </c>
      <c r="F2394" s="6" t="n">
        <v>140979.0878579803</v>
      </c>
      <c r="G2394" s="6" t="inlineStr">
        <is>
          <t>DOMESTICA</t>
        </is>
      </c>
      <c r="H2394" s="6" t="inlineStr">
        <is>
          <t>FIXO</t>
        </is>
      </c>
      <c r="I2394" s="11">
        <f>IF($H2394="AUTO_OFERTA_TOTAL_PRODUTO_PERIODO",SUMIFS(Oferta!$F:$F,Oferta!$A:$A,$A2394,Oferta!$E:$E,$E2394),$F2394)</f>
        <v/>
      </c>
      <c r="J2394" s="6" t="inlineStr">
        <is>
          <t>Informado</t>
        </is>
      </c>
      <c r="K2394" s="6" t="inlineStr">
        <is>
          <t>Demanda doméstica fixa informada pelo usuário.</t>
        </is>
      </c>
    </row>
    <row r="2395">
      <c r="A2395" s="6" t="inlineStr">
        <is>
          <t>Soja</t>
        </is>
      </c>
      <c r="B2395" s="6" t="inlineStr">
        <is>
          <t>São Luís - MA</t>
        </is>
      </c>
      <c r="C2395" s="6" t="n">
        <v>-2.53874</v>
      </c>
      <c r="D2395" s="6" t="n">
        <v>-44.2825</v>
      </c>
      <c r="E2395" s="6" t="inlineStr">
        <is>
          <t>2023-06</t>
        </is>
      </c>
      <c r="F2395" s="6" t="n">
        <v>152429.1660596437</v>
      </c>
      <c r="G2395" s="6" t="inlineStr">
        <is>
          <t>DOMESTICA</t>
        </is>
      </c>
      <c r="H2395" s="6" t="inlineStr">
        <is>
          <t>FIXO</t>
        </is>
      </c>
      <c r="I2395" s="11">
        <f>IF($H2395="AUTO_OFERTA_TOTAL_PRODUTO_PERIODO",SUMIFS(Oferta!$F:$F,Oferta!$A:$A,$A2395,Oferta!$E:$E,$E2395),$F2395)</f>
        <v/>
      </c>
      <c r="J2395" s="6" t="inlineStr">
        <is>
          <t>Informado</t>
        </is>
      </c>
      <c r="K2395" s="6" t="inlineStr">
        <is>
          <t>Demanda doméstica fixa informada pelo usuário.</t>
        </is>
      </c>
    </row>
    <row r="2396">
      <c r="A2396" s="6" t="inlineStr">
        <is>
          <t>Soja</t>
        </is>
      </c>
      <c r="B2396" s="6" t="inlineStr">
        <is>
          <t>São Luís - MA</t>
        </is>
      </c>
      <c r="C2396" s="6" t="n">
        <v>-2.53874</v>
      </c>
      <c r="D2396" s="6" t="n">
        <v>-44.2825</v>
      </c>
      <c r="E2396" s="6" t="inlineStr">
        <is>
          <t>2023-07</t>
        </is>
      </c>
      <c r="F2396" s="6" t="n">
        <v>106628.8532529902</v>
      </c>
      <c r="G2396" s="6" t="inlineStr">
        <is>
          <t>DOMESTICA</t>
        </is>
      </c>
      <c r="H2396" s="6" t="inlineStr">
        <is>
          <t>FIXO</t>
        </is>
      </c>
      <c r="I2396" s="11">
        <f>IF($H2396="AUTO_OFERTA_TOTAL_PRODUTO_PERIODO",SUMIFS(Oferta!$F:$F,Oferta!$A:$A,$A2396,Oferta!$E:$E,$E2396),$F2396)</f>
        <v/>
      </c>
      <c r="J2396" s="6" t="inlineStr">
        <is>
          <t>Informado</t>
        </is>
      </c>
      <c r="K2396" s="6" t="inlineStr">
        <is>
          <t>Demanda doméstica fixa informada pelo usuário.</t>
        </is>
      </c>
    </row>
    <row r="2397">
      <c r="A2397" s="6" t="inlineStr">
        <is>
          <t>Soja</t>
        </is>
      </c>
      <c r="B2397" s="6" t="inlineStr">
        <is>
          <t>São Luís - MA</t>
        </is>
      </c>
      <c r="C2397" s="6" t="n">
        <v>-2.53874</v>
      </c>
      <c r="D2397" s="6" t="n">
        <v>-44.2825</v>
      </c>
      <c r="E2397" s="6" t="inlineStr">
        <is>
          <t>2023-08</t>
        </is>
      </c>
      <c r="F2397" s="6" t="n">
        <v>60828.5404463367</v>
      </c>
      <c r="G2397" s="6" t="inlineStr">
        <is>
          <t>DOMESTICA</t>
        </is>
      </c>
      <c r="H2397" s="6" t="inlineStr">
        <is>
          <t>FIXO</t>
        </is>
      </c>
      <c r="I2397" s="11">
        <f>IF($H2397="AUTO_OFERTA_TOTAL_PRODUTO_PERIODO",SUMIFS(Oferta!$F:$F,Oferta!$A:$A,$A2397,Oferta!$E:$E,$E2397),$F2397)</f>
        <v/>
      </c>
      <c r="J2397" s="6" t="inlineStr">
        <is>
          <t>Informado</t>
        </is>
      </c>
      <c r="K2397" s="6" t="inlineStr">
        <is>
          <t>Demanda doméstica fixa informada pelo usuário.</t>
        </is>
      </c>
    </row>
    <row r="2398">
      <c r="A2398" s="6" t="inlineStr">
        <is>
          <t>Soja</t>
        </is>
      </c>
      <c r="B2398" s="6" t="inlineStr">
        <is>
          <t>São Luís - MA</t>
        </is>
      </c>
      <c r="C2398" s="6" t="n">
        <v>-2.53874</v>
      </c>
      <c r="D2398" s="6" t="n">
        <v>-44.2825</v>
      </c>
      <c r="E2398" s="6" t="inlineStr">
        <is>
          <t>2023-09</t>
        </is>
      </c>
      <c r="F2398" s="6" t="n">
        <v>37928.3840430099</v>
      </c>
      <c r="G2398" s="6" t="inlineStr">
        <is>
          <t>DOMESTICA</t>
        </is>
      </c>
      <c r="H2398" s="6" t="inlineStr">
        <is>
          <t>FIXO</t>
        </is>
      </c>
      <c r="I2398" s="11">
        <f>IF($H2398="AUTO_OFERTA_TOTAL_PRODUTO_PERIODO",SUMIFS(Oferta!$F:$F,Oferta!$A:$A,$A2398,Oferta!$E:$E,$E2398),$F2398)</f>
        <v/>
      </c>
      <c r="J2398" s="6" t="inlineStr">
        <is>
          <t>Informado</t>
        </is>
      </c>
      <c r="K2398" s="6" t="inlineStr">
        <is>
          <t>Demanda doméstica fixa informada pelo usuário.</t>
        </is>
      </c>
    </row>
    <row r="2399">
      <c r="A2399" s="6" t="inlineStr">
        <is>
          <t>Soja</t>
        </is>
      </c>
      <c r="B2399" s="6" t="inlineStr">
        <is>
          <t>São Luís - MA</t>
        </is>
      </c>
      <c r="C2399" s="6" t="n">
        <v>-2.53874</v>
      </c>
      <c r="D2399" s="6" t="n">
        <v>-44.2825</v>
      </c>
      <c r="E2399" s="6" t="inlineStr">
        <is>
          <t>2023-10</t>
        </is>
      </c>
      <c r="F2399" s="6" t="n">
        <v>37928.3840430099</v>
      </c>
      <c r="G2399" s="6" t="inlineStr">
        <is>
          <t>DOMESTICA</t>
        </is>
      </c>
      <c r="H2399" s="6" t="inlineStr">
        <is>
          <t>FIXO</t>
        </is>
      </c>
      <c r="I2399" s="11">
        <f>IF($H2399="AUTO_OFERTA_TOTAL_PRODUTO_PERIODO",SUMIFS(Oferta!$F:$F,Oferta!$A:$A,$A2399,Oferta!$E:$E,$E2399),$F2399)</f>
        <v/>
      </c>
      <c r="J2399" s="6" t="inlineStr">
        <is>
          <t>Informado</t>
        </is>
      </c>
      <c r="K2399" s="6" t="inlineStr">
        <is>
          <t>Demanda doméstica fixa informada pelo usuário.</t>
        </is>
      </c>
    </row>
    <row r="2400">
      <c r="A2400" s="6" t="inlineStr">
        <is>
          <t>Soja</t>
        </is>
      </c>
      <c r="B2400" s="6" t="inlineStr">
        <is>
          <t>São Luís - MA</t>
        </is>
      </c>
      <c r="C2400" s="6" t="n">
        <v>-2.53874</v>
      </c>
      <c r="D2400" s="6" t="n">
        <v>-44.2825</v>
      </c>
      <c r="E2400" s="6" t="inlineStr">
        <is>
          <t>2023-11</t>
        </is>
      </c>
      <c r="F2400" s="6" t="n">
        <v>37928.3840430099</v>
      </c>
      <c r="G2400" s="6" t="inlineStr">
        <is>
          <t>DOMESTICA</t>
        </is>
      </c>
      <c r="H2400" s="6" t="inlineStr">
        <is>
          <t>FIXO</t>
        </is>
      </c>
      <c r="I2400" s="11">
        <f>IF($H2400="AUTO_OFERTA_TOTAL_PRODUTO_PERIODO",SUMIFS(Oferta!$F:$F,Oferta!$A:$A,$A2400,Oferta!$E:$E,$E2400),$F2400)</f>
        <v/>
      </c>
      <c r="J2400" s="6" t="inlineStr">
        <is>
          <t>Informado</t>
        </is>
      </c>
      <c r="K2400" s="6" t="inlineStr">
        <is>
          <t>Demanda doméstica fixa informada pelo usuário.</t>
        </is>
      </c>
    </row>
    <row r="2401">
      <c r="A2401" s="6" t="inlineStr">
        <is>
          <t>Soja</t>
        </is>
      </c>
      <c r="B2401" s="6" t="inlineStr">
        <is>
          <t>São Luís - MA</t>
        </is>
      </c>
      <c r="C2401" s="6" t="n">
        <v>-2.53874</v>
      </c>
      <c r="D2401" s="6" t="n">
        <v>-44.2825</v>
      </c>
      <c r="E2401" s="6" t="inlineStr">
        <is>
          <t>2023-12</t>
        </is>
      </c>
      <c r="F2401" s="6" t="n">
        <v>37928.3840430099</v>
      </c>
      <c r="G2401" s="6" t="inlineStr">
        <is>
          <t>DOMESTICA</t>
        </is>
      </c>
      <c r="H2401" s="6" t="inlineStr">
        <is>
          <t>FIXO</t>
        </is>
      </c>
      <c r="I2401" s="11">
        <f>IF($H2401="AUTO_OFERTA_TOTAL_PRODUTO_PERIODO",SUMIFS(Oferta!$F:$F,Oferta!$A:$A,$A2401,Oferta!$E:$E,$E2401),$F2401)</f>
        <v/>
      </c>
      <c r="J2401" s="6" t="inlineStr">
        <is>
          <t>Informado</t>
        </is>
      </c>
      <c r="K2401" s="6" t="inlineStr">
        <is>
          <t>Demanda doméstica fixa informada pelo usuário.</t>
        </is>
      </c>
    </row>
    <row r="2402">
      <c r="A2402" s="6" t="inlineStr">
        <is>
          <t>Soja</t>
        </is>
      </c>
      <c r="B2402" s="6" t="inlineStr">
        <is>
          <t>João Pessoa - PB</t>
        </is>
      </c>
      <c r="C2402" s="6" t="n">
        <v>-7.11509</v>
      </c>
      <c r="D2402" s="6" t="n">
        <v>-34.8641</v>
      </c>
      <c r="E2402" s="6" t="inlineStr">
        <is>
          <t>2023-01</t>
        </is>
      </c>
      <c r="F2402" s="6" t="n">
        <v>33825.5031780777</v>
      </c>
      <c r="G2402" s="6" t="inlineStr">
        <is>
          <t>DOMESTICA</t>
        </is>
      </c>
      <c r="H2402" s="6" t="inlineStr">
        <is>
          <t>FIXO</t>
        </is>
      </c>
      <c r="I2402" s="11">
        <f>IF($H2402="AUTO_OFERTA_TOTAL_PRODUTO_PERIODO",SUMIFS(Oferta!$F:$F,Oferta!$A:$A,$A2402,Oferta!$E:$E,$E2402),$F2402)</f>
        <v/>
      </c>
      <c r="J2402" s="6" t="inlineStr">
        <is>
          <t>Informado</t>
        </is>
      </c>
      <c r="K2402" s="6" t="inlineStr">
        <is>
          <t>Demanda doméstica fixa informada pelo usuário.</t>
        </is>
      </c>
    </row>
    <row r="2403">
      <c r="A2403" s="6" t="inlineStr">
        <is>
          <t>Soja</t>
        </is>
      </c>
      <c r="B2403" s="6" t="inlineStr">
        <is>
          <t>João Pessoa - PB</t>
        </is>
      </c>
      <c r="C2403" s="6" t="n">
        <v>-7.11509</v>
      </c>
      <c r="D2403" s="6" t="n">
        <v>-34.8641</v>
      </c>
      <c r="E2403" s="6" t="inlineStr">
        <is>
          <t>2023-02</t>
        </is>
      </c>
      <c r="F2403" s="6" t="n">
        <v>33825.5031780777</v>
      </c>
      <c r="G2403" s="6" t="inlineStr">
        <is>
          <t>DOMESTICA</t>
        </is>
      </c>
      <c r="H2403" s="6" t="inlineStr">
        <is>
          <t>FIXO</t>
        </is>
      </c>
      <c r="I2403" s="11">
        <f>IF($H2403="AUTO_OFERTA_TOTAL_PRODUTO_PERIODO",SUMIFS(Oferta!$F:$F,Oferta!$A:$A,$A2403,Oferta!$E:$E,$E2403),$F2403)</f>
        <v/>
      </c>
      <c r="J2403" s="6" t="inlineStr">
        <is>
          <t>Informado</t>
        </is>
      </c>
      <c r="K2403" s="6" t="inlineStr">
        <is>
          <t>Demanda doméstica fixa informada pelo usuário.</t>
        </is>
      </c>
    </row>
    <row r="2404">
      <c r="A2404" s="6" t="inlineStr">
        <is>
          <t>Soja</t>
        </is>
      </c>
      <c r="B2404" s="6" t="inlineStr">
        <is>
          <t>João Pessoa - PB</t>
        </is>
      </c>
      <c r="C2404" s="6" t="n">
        <v>-7.11509</v>
      </c>
      <c r="D2404" s="6" t="n">
        <v>-34.8641</v>
      </c>
      <c r="E2404" s="6" t="inlineStr">
        <is>
          <t>2023-03</t>
        </is>
      </c>
      <c r="F2404" s="6" t="n">
        <v>33825.5031780777</v>
      </c>
      <c r="G2404" s="6" t="inlineStr">
        <is>
          <t>DOMESTICA</t>
        </is>
      </c>
      <c r="H2404" s="6" t="inlineStr">
        <is>
          <t>FIXO</t>
        </is>
      </c>
      <c r="I2404" s="11">
        <f>IF($H2404="AUTO_OFERTA_TOTAL_PRODUTO_PERIODO",SUMIFS(Oferta!$F:$F,Oferta!$A:$A,$A2404,Oferta!$E:$E,$E2404),$F2404)</f>
        <v/>
      </c>
      <c r="J2404" s="6" t="inlineStr">
        <is>
          <t>Informado</t>
        </is>
      </c>
      <c r="K2404" s="6" t="inlineStr">
        <is>
          <t>Demanda doméstica fixa informada pelo usuário.</t>
        </is>
      </c>
    </row>
    <row r="2405">
      <c r="A2405" s="6" t="inlineStr">
        <is>
          <t>Soja</t>
        </is>
      </c>
      <c r="B2405" s="6" t="inlineStr">
        <is>
          <t>João Pessoa - PB</t>
        </is>
      </c>
      <c r="C2405" s="6" t="n">
        <v>-7.11509</v>
      </c>
      <c r="D2405" s="6" t="n">
        <v>-34.8641</v>
      </c>
      <c r="E2405" s="6" t="inlineStr">
        <is>
          <t>2023-04</t>
        </is>
      </c>
      <c r="F2405" s="6" t="n">
        <v>33825.5031780777</v>
      </c>
      <c r="G2405" s="6" t="inlineStr">
        <is>
          <t>DOMESTICA</t>
        </is>
      </c>
      <c r="H2405" s="6" t="inlineStr">
        <is>
          <t>FIXO</t>
        </is>
      </c>
      <c r="I2405" s="11">
        <f>IF($H2405="AUTO_OFERTA_TOTAL_PRODUTO_PERIODO",SUMIFS(Oferta!$F:$F,Oferta!$A:$A,$A2405,Oferta!$E:$E,$E2405),$F2405)</f>
        <v/>
      </c>
      <c r="J2405" s="6" t="inlineStr">
        <is>
          <t>Informado</t>
        </is>
      </c>
      <c r="K2405" s="6" t="inlineStr">
        <is>
          <t>Demanda doméstica fixa informada pelo usuário.</t>
        </is>
      </c>
    </row>
    <row r="2406">
      <c r="A2406" s="6" t="inlineStr">
        <is>
          <t>Soja</t>
        </is>
      </c>
      <c r="B2406" s="6" t="inlineStr">
        <is>
          <t>João Pessoa - PB</t>
        </is>
      </c>
      <c r="C2406" s="6" t="n">
        <v>-7.11509</v>
      </c>
      <c r="D2406" s="6" t="n">
        <v>-34.8641</v>
      </c>
      <c r="E2406" s="6" t="inlineStr">
        <is>
          <t>2023-05</t>
        </is>
      </c>
      <c r="F2406" s="6" t="n">
        <v>33825.5031780777</v>
      </c>
      <c r="G2406" s="6" t="inlineStr">
        <is>
          <t>DOMESTICA</t>
        </is>
      </c>
      <c r="H2406" s="6" t="inlineStr">
        <is>
          <t>FIXO</t>
        </is>
      </c>
      <c r="I2406" s="11">
        <f>IF($H2406="AUTO_OFERTA_TOTAL_PRODUTO_PERIODO",SUMIFS(Oferta!$F:$F,Oferta!$A:$A,$A2406,Oferta!$E:$E,$E2406),$F2406)</f>
        <v/>
      </c>
      <c r="J2406" s="6" t="inlineStr">
        <is>
          <t>Informado</t>
        </is>
      </c>
      <c r="K2406" s="6" t="inlineStr">
        <is>
          <t>Demanda doméstica fixa informada pelo usuário.</t>
        </is>
      </c>
    </row>
    <row r="2407">
      <c r="A2407" s="6" t="inlineStr">
        <is>
          <t>Soja</t>
        </is>
      </c>
      <c r="B2407" s="6" t="inlineStr">
        <is>
          <t>João Pessoa - PB</t>
        </is>
      </c>
      <c r="C2407" s="6" t="n">
        <v>-7.11509</v>
      </c>
      <c r="D2407" s="6" t="n">
        <v>-34.8641</v>
      </c>
      <c r="E2407" s="6" t="inlineStr">
        <is>
          <t>2023-06</t>
        </is>
      </c>
      <c r="F2407" s="6" t="n">
        <v>33825.5031780777</v>
      </c>
      <c r="G2407" s="6" t="inlineStr">
        <is>
          <t>DOMESTICA</t>
        </is>
      </c>
      <c r="H2407" s="6" t="inlineStr">
        <is>
          <t>FIXO</t>
        </is>
      </c>
      <c r="I2407" s="11">
        <f>IF($H2407="AUTO_OFERTA_TOTAL_PRODUTO_PERIODO",SUMIFS(Oferta!$F:$F,Oferta!$A:$A,$A2407,Oferta!$E:$E,$E2407),$F2407)</f>
        <v/>
      </c>
      <c r="J2407" s="6" t="inlineStr">
        <is>
          <t>Informado</t>
        </is>
      </c>
      <c r="K2407" s="6" t="inlineStr">
        <is>
          <t>Demanda doméstica fixa informada pelo usuário.</t>
        </is>
      </c>
    </row>
    <row r="2408">
      <c r="A2408" s="6" t="inlineStr">
        <is>
          <t>Soja</t>
        </is>
      </c>
      <c r="B2408" s="6" t="inlineStr">
        <is>
          <t>João Pessoa - PB</t>
        </is>
      </c>
      <c r="C2408" s="6" t="n">
        <v>-7.11509</v>
      </c>
      <c r="D2408" s="6" t="n">
        <v>-34.8641</v>
      </c>
      <c r="E2408" s="6" t="inlineStr">
        <is>
          <t>2023-07</t>
        </is>
      </c>
      <c r="F2408" s="6" t="n">
        <v>33825.5031780777</v>
      </c>
      <c r="G2408" s="6" t="inlineStr">
        <is>
          <t>DOMESTICA</t>
        </is>
      </c>
      <c r="H2408" s="6" t="inlineStr">
        <is>
          <t>FIXO</t>
        </is>
      </c>
      <c r="I2408" s="11">
        <f>IF($H2408="AUTO_OFERTA_TOTAL_PRODUTO_PERIODO",SUMIFS(Oferta!$F:$F,Oferta!$A:$A,$A2408,Oferta!$E:$E,$E2408),$F2408)</f>
        <v/>
      </c>
      <c r="J2408" s="6" t="inlineStr">
        <is>
          <t>Informado</t>
        </is>
      </c>
      <c r="K2408" s="6" t="inlineStr">
        <is>
          <t>Demanda doméstica fixa informada pelo usuário.</t>
        </is>
      </c>
    </row>
    <row r="2409">
      <c r="A2409" s="6" t="inlineStr">
        <is>
          <t>Soja</t>
        </is>
      </c>
      <c r="B2409" s="6" t="inlineStr">
        <is>
          <t>João Pessoa - PB</t>
        </is>
      </c>
      <c r="C2409" s="6" t="n">
        <v>-7.11509</v>
      </c>
      <c r="D2409" s="6" t="n">
        <v>-34.8641</v>
      </c>
      <c r="E2409" s="6" t="inlineStr">
        <is>
          <t>2023-08</t>
        </is>
      </c>
      <c r="F2409" s="6" t="n">
        <v>33825.5031780777</v>
      </c>
      <c r="G2409" s="6" t="inlineStr">
        <is>
          <t>DOMESTICA</t>
        </is>
      </c>
      <c r="H2409" s="6" t="inlineStr">
        <is>
          <t>FIXO</t>
        </is>
      </c>
      <c r="I2409" s="11">
        <f>IF($H2409="AUTO_OFERTA_TOTAL_PRODUTO_PERIODO",SUMIFS(Oferta!$F:$F,Oferta!$A:$A,$A2409,Oferta!$E:$E,$E2409),$F2409)</f>
        <v/>
      </c>
      <c r="J2409" s="6" t="inlineStr">
        <is>
          <t>Informado</t>
        </is>
      </c>
      <c r="K2409" s="6" t="inlineStr">
        <is>
          <t>Demanda doméstica fixa informada pelo usuário.</t>
        </is>
      </c>
    </row>
    <row r="2410">
      <c r="A2410" s="6" t="inlineStr">
        <is>
          <t>Soja</t>
        </is>
      </c>
      <c r="B2410" s="6" t="inlineStr">
        <is>
          <t>João Pessoa - PB</t>
        </is>
      </c>
      <c r="C2410" s="6" t="n">
        <v>-7.11509</v>
      </c>
      <c r="D2410" s="6" t="n">
        <v>-34.8641</v>
      </c>
      <c r="E2410" s="6" t="inlineStr">
        <is>
          <t>2023-09</t>
        </is>
      </c>
      <c r="F2410" s="6" t="n">
        <v>33825.5031780777</v>
      </c>
      <c r="G2410" s="6" t="inlineStr">
        <is>
          <t>DOMESTICA</t>
        </is>
      </c>
      <c r="H2410" s="6" t="inlineStr">
        <is>
          <t>FIXO</t>
        </is>
      </c>
      <c r="I2410" s="11">
        <f>IF($H2410="AUTO_OFERTA_TOTAL_PRODUTO_PERIODO",SUMIFS(Oferta!$F:$F,Oferta!$A:$A,$A2410,Oferta!$E:$E,$E2410),$F2410)</f>
        <v/>
      </c>
      <c r="J2410" s="6" t="inlineStr">
        <is>
          <t>Informado</t>
        </is>
      </c>
      <c r="K2410" s="6" t="inlineStr">
        <is>
          <t>Demanda doméstica fixa informada pelo usuário.</t>
        </is>
      </c>
    </row>
    <row r="2411">
      <c r="A2411" s="6" t="inlineStr">
        <is>
          <t>Soja</t>
        </is>
      </c>
      <c r="B2411" s="6" t="inlineStr">
        <is>
          <t>João Pessoa - PB</t>
        </is>
      </c>
      <c r="C2411" s="6" t="n">
        <v>-7.11509</v>
      </c>
      <c r="D2411" s="6" t="n">
        <v>-34.8641</v>
      </c>
      <c r="E2411" s="6" t="inlineStr">
        <is>
          <t>2023-10</t>
        </is>
      </c>
      <c r="F2411" s="6" t="n">
        <v>33825.5031780777</v>
      </c>
      <c r="G2411" s="6" t="inlineStr">
        <is>
          <t>DOMESTICA</t>
        </is>
      </c>
      <c r="H2411" s="6" t="inlineStr">
        <is>
          <t>FIXO</t>
        </is>
      </c>
      <c r="I2411" s="11">
        <f>IF($H2411="AUTO_OFERTA_TOTAL_PRODUTO_PERIODO",SUMIFS(Oferta!$F:$F,Oferta!$A:$A,$A2411,Oferta!$E:$E,$E2411),$F2411)</f>
        <v/>
      </c>
      <c r="J2411" s="6" t="inlineStr">
        <is>
          <t>Informado</t>
        </is>
      </c>
      <c r="K2411" s="6" t="inlineStr">
        <is>
          <t>Demanda doméstica fixa informada pelo usuário.</t>
        </is>
      </c>
    </row>
    <row r="2412">
      <c r="A2412" s="6" t="inlineStr">
        <is>
          <t>Soja</t>
        </is>
      </c>
      <c r="B2412" s="6" t="inlineStr">
        <is>
          <t>João Pessoa - PB</t>
        </is>
      </c>
      <c r="C2412" s="6" t="n">
        <v>-7.11509</v>
      </c>
      <c r="D2412" s="6" t="n">
        <v>-34.8641</v>
      </c>
      <c r="E2412" s="6" t="inlineStr">
        <is>
          <t>2023-11</t>
        </is>
      </c>
      <c r="F2412" s="6" t="n">
        <v>33825.5031780777</v>
      </c>
      <c r="G2412" s="6" t="inlineStr">
        <is>
          <t>DOMESTICA</t>
        </is>
      </c>
      <c r="H2412" s="6" t="inlineStr">
        <is>
          <t>FIXO</t>
        </is>
      </c>
      <c r="I2412" s="11">
        <f>IF($H2412="AUTO_OFERTA_TOTAL_PRODUTO_PERIODO",SUMIFS(Oferta!$F:$F,Oferta!$A:$A,$A2412,Oferta!$E:$E,$E2412),$F2412)</f>
        <v/>
      </c>
      <c r="J2412" s="6" t="inlineStr">
        <is>
          <t>Informado</t>
        </is>
      </c>
      <c r="K2412" s="6" t="inlineStr">
        <is>
          <t>Demanda doméstica fixa informada pelo usuário.</t>
        </is>
      </c>
    </row>
    <row r="2413">
      <c r="A2413" s="6" t="inlineStr">
        <is>
          <t>Soja</t>
        </is>
      </c>
      <c r="B2413" s="6" t="inlineStr">
        <is>
          <t>João Pessoa - PB</t>
        </is>
      </c>
      <c r="C2413" s="6" t="n">
        <v>-7.11509</v>
      </c>
      <c r="D2413" s="6" t="n">
        <v>-34.8641</v>
      </c>
      <c r="E2413" s="6" t="inlineStr">
        <is>
          <t>2023-12</t>
        </is>
      </c>
      <c r="F2413" s="6" t="n">
        <v>33825.5031780777</v>
      </c>
      <c r="G2413" s="6" t="inlineStr">
        <is>
          <t>DOMESTICA</t>
        </is>
      </c>
      <c r="H2413" s="6" t="inlineStr">
        <is>
          <t>FIXO</t>
        </is>
      </c>
      <c r="I2413" s="11">
        <f>IF($H2413="AUTO_OFERTA_TOTAL_PRODUTO_PERIODO",SUMIFS(Oferta!$F:$F,Oferta!$A:$A,$A2413,Oferta!$E:$E,$E2413),$F2413)</f>
        <v/>
      </c>
      <c r="J2413" s="6" t="inlineStr">
        <is>
          <t>Informado</t>
        </is>
      </c>
      <c r="K2413" s="6" t="inlineStr">
        <is>
          <t>Demanda doméstica fixa informada pelo usuário.</t>
        </is>
      </c>
    </row>
    <row r="2414">
      <c r="A2414" s="6" t="inlineStr">
        <is>
          <t>Soja</t>
        </is>
      </c>
      <c r="B2414" s="6" t="inlineStr">
        <is>
          <t>Recife - PE</t>
        </is>
      </c>
      <c r="C2414" s="6" t="n">
        <v>-8.046659999999999</v>
      </c>
      <c r="D2414" s="6" t="n">
        <v>-34.8771</v>
      </c>
      <c r="E2414" s="6" t="inlineStr">
        <is>
          <t>2023-01</t>
        </is>
      </c>
      <c r="F2414" s="6" t="n">
        <v>104926.8038360611</v>
      </c>
      <c r="G2414" s="6" t="inlineStr">
        <is>
          <t>DOMESTICA</t>
        </is>
      </c>
      <c r="H2414" s="6" t="inlineStr">
        <is>
          <t>FIXO</t>
        </is>
      </c>
      <c r="I2414" s="11">
        <f>IF($H2414="AUTO_OFERTA_TOTAL_PRODUTO_PERIODO",SUMIFS(Oferta!$F:$F,Oferta!$A:$A,$A2414,Oferta!$E:$E,$E2414),$F2414)</f>
        <v/>
      </c>
      <c r="J2414" s="6" t="inlineStr">
        <is>
          <t>Informado</t>
        </is>
      </c>
      <c r="K2414" s="6" t="inlineStr">
        <is>
          <t>Demanda doméstica fixa informada pelo usuário.</t>
        </is>
      </c>
    </row>
    <row r="2415">
      <c r="A2415" s="6" t="inlineStr">
        <is>
          <t>Soja</t>
        </is>
      </c>
      <c r="B2415" s="6" t="inlineStr">
        <is>
          <t>Recife - PE</t>
        </is>
      </c>
      <c r="C2415" s="6" t="n">
        <v>-8.046659999999999</v>
      </c>
      <c r="D2415" s="6" t="n">
        <v>-34.8771</v>
      </c>
      <c r="E2415" s="6" t="inlineStr">
        <is>
          <t>2023-02</t>
        </is>
      </c>
      <c r="F2415" s="6" t="n">
        <v>104926.8038360611</v>
      </c>
      <c r="G2415" s="6" t="inlineStr">
        <is>
          <t>DOMESTICA</t>
        </is>
      </c>
      <c r="H2415" s="6" t="inlineStr">
        <is>
          <t>FIXO</t>
        </is>
      </c>
      <c r="I2415" s="11">
        <f>IF($H2415="AUTO_OFERTA_TOTAL_PRODUTO_PERIODO",SUMIFS(Oferta!$F:$F,Oferta!$A:$A,$A2415,Oferta!$E:$E,$E2415),$F2415)</f>
        <v/>
      </c>
      <c r="J2415" s="6" t="inlineStr">
        <is>
          <t>Informado</t>
        </is>
      </c>
      <c r="K2415" s="6" t="inlineStr">
        <is>
          <t>Demanda doméstica fixa informada pelo usuário.</t>
        </is>
      </c>
    </row>
    <row r="2416">
      <c r="A2416" s="6" t="inlineStr">
        <is>
          <t>Soja</t>
        </is>
      </c>
      <c r="B2416" s="6" t="inlineStr">
        <is>
          <t>Recife - PE</t>
        </is>
      </c>
      <c r="C2416" s="6" t="n">
        <v>-8.046659999999999</v>
      </c>
      <c r="D2416" s="6" t="n">
        <v>-34.8771</v>
      </c>
      <c r="E2416" s="6" t="inlineStr">
        <is>
          <t>2023-03</t>
        </is>
      </c>
      <c r="F2416" s="6" t="n">
        <v>104926.8038360611</v>
      </c>
      <c r="G2416" s="6" t="inlineStr">
        <is>
          <t>DOMESTICA</t>
        </is>
      </c>
      <c r="H2416" s="6" t="inlineStr">
        <is>
          <t>FIXO</t>
        </is>
      </c>
      <c r="I2416" s="11">
        <f>IF($H2416="AUTO_OFERTA_TOTAL_PRODUTO_PERIODO",SUMIFS(Oferta!$F:$F,Oferta!$A:$A,$A2416,Oferta!$E:$E,$E2416),$F2416)</f>
        <v/>
      </c>
      <c r="J2416" s="6" t="inlineStr">
        <is>
          <t>Informado</t>
        </is>
      </c>
      <c r="K2416" s="6" t="inlineStr">
        <is>
          <t>Demanda doméstica fixa informada pelo usuário.</t>
        </is>
      </c>
    </row>
    <row r="2417">
      <c r="A2417" s="6" t="inlineStr">
        <is>
          <t>Soja</t>
        </is>
      </c>
      <c r="B2417" s="6" t="inlineStr">
        <is>
          <t>Recife - PE</t>
        </is>
      </c>
      <c r="C2417" s="6" t="n">
        <v>-8.046659999999999</v>
      </c>
      <c r="D2417" s="6" t="n">
        <v>-34.8771</v>
      </c>
      <c r="E2417" s="6" t="inlineStr">
        <is>
          <t>2023-04</t>
        </is>
      </c>
      <c r="F2417" s="6" t="n">
        <v>104926.8038360611</v>
      </c>
      <c r="G2417" s="6" t="inlineStr">
        <is>
          <t>DOMESTICA</t>
        </is>
      </c>
      <c r="H2417" s="6" t="inlineStr">
        <is>
          <t>FIXO</t>
        </is>
      </c>
      <c r="I2417" s="11">
        <f>IF($H2417="AUTO_OFERTA_TOTAL_PRODUTO_PERIODO",SUMIFS(Oferta!$F:$F,Oferta!$A:$A,$A2417,Oferta!$E:$E,$E2417),$F2417)</f>
        <v/>
      </c>
      <c r="J2417" s="6" t="inlineStr">
        <is>
          <t>Informado</t>
        </is>
      </c>
      <c r="K2417" s="6" t="inlineStr">
        <is>
          <t>Demanda doméstica fixa informada pelo usuário.</t>
        </is>
      </c>
    </row>
    <row r="2418">
      <c r="A2418" s="6" t="inlineStr">
        <is>
          <t>Soja</t>
        </is>
      </c>
      <c r="B2418" s="6" t="inlineStr">
        <is>
          <t>Recife - PE</t>
        </is>
      </c>
      <c r="C2418" s="6" t="n">
        <v>-8.046659999999999</v>
      </c>
      <c r="D2418" s="6" t="n">
        <v>-34.8771</v>
      </c>
      <c r="E2418" s="6" t="inlineStr">
        <is>
          <t>2023-05</t>
        </is>
      </c>
      <c r="F2418" s="6" t="n">
        <v>104926.8038360611</v>
      </c>
      <c r="G2418" s="6" t="inlineStr">
        <is>
          <t>DOMESTICA</t>
        </is>
      </c>
      <c r="H2418" s="6" t="inlineStr">
        <is>
          <t>FIXO</t>
        </is>
      </c>
      <c r="I2418" s="11">
        <f>IF($H2418="AUTO_OFERTA_TOTAL_PRODUTO_PERIODO",SUMIFS(Oferta!$F:$F,Oferta!$A:$A,$A2418,Oferta!$E:$E,$E2418),$F2418)</f>
        <v/>
      </c>
      <c r="J2418" s="6" t="inlineStr">
        <is>
          <t>Informado</t>
        </is>
      </c>
      <c r="K2418" s="6" t="inlineStr">
        <is>
          <t>Demanda doméstica fixa informada pelo usuário.</t>
        </is>
      </c>
    </row>
    <row r="2419">
      <c r="A2419" s="6" t="inlineStr">
        <is>
          <t>Soja</t>
        </is>
      </c>
      <c r="B2419" s="6" t="inlineStr">
        <is>
          <t>Recife - PE</t>
        </is>
      </c>
      <c r="C2419" s="6" t="n">
        <v>-8.046659999999999</v>
      </c>
      <c r="D2419" s="6" t="n">
        <v>-34.8771</v>
      </c>
      <c r="E2419" s="6" t="inlineStr">
        <is>
          <t>2023-06</t>
        </is>
      </c>
      <c r="F2419" s="6" t="n">
        <v>104926.8038360611</v>
      </c>
      <c r="G2419" s="6" t="inlineStr">
        <is>
          <t>DOMESTICA</t>
        </is>
      </c>
      <c r="H2419" s="6" t="inlineStr">
        <is>
          <t>FIXO</t>
        </is>
      </c>
      <c r="I2419" s="11">
        <f>IF($H2419="AUTO_OFERTA_TOTAL_PRODUTO_PERIODO",SUMIFS(Oferta!$F:$F,Oferta!$A:$A,$A2419,Oferta!$E:$E,$E2419),$F2419)</f>
        <v/>
      </c>
      <c r="J2419" s="6" t="inlineStr">
        <is>
          <t>Informado</t>
        </is>
      </c>
      <c r="K2419" s="6" t="inlineStr">
        <is>
          <t>Demanda doméstica fixa informada pelo usuário.</t>
        </is>
      </c>
    </row>
    <row r="2420">
      <c r="A2420" s="6" t="inlineStr">
        <is>
          <t>Soja</t>
        </is>
      </c>
      <c r="B2420" s="6" t="inlineStr">
        <is>
          <t>Recife - PE</t>
        </is>
      </c>
      <c r="C2420" s="6" t="n">
        <v>-8.046659999999999</v>
      </c>
      <c r="D2420" s="6" t="n">
        <v>-34.8771</v>
      </c>
      <c r="E2420" s="6" t="inlineStr">
        <is>
          <t>2023-07</t>
        </is>
      </c>
      <c r="F2420" s="6" t="n">
        <v>104926.8038360611</v>
      </c>
      <c r="G2420" s="6" t="inlineStr">
        <is>
          <t>DOMESTICA</t>
        </is>
      </c>
      <c r="H2420" s="6" t="inlineStr">
        <is>
          <t>FIXO</t>
        </is>
      </c>
      <c r="I2420" s="11">
        <f>IF($H2420="AUTO_OFERTA_TOTAL_PRODUTO_PERIODO",SUMIFS(Oferta!$F:$F,Oferta!$A:$A,$A2420,Oferta!$E:$E,$E2420),$F2420)</f>
        <v/>
      </c>
      <c r="J2420" s="6" t="inlineStr">
        <is>
          <t>Informado</t>
        </is>
      </c>
      <c r="K2420" s="6" t="inlineStr">
        <is>
          <t>Demanda doméstica fixa informada pelo usuário.</t>
        </is>
      </c>
    </row>
    <row r="2421">
      <c r="A2421" s="6" t="inlineStr">
        <is>
          <t>Soja</t>
        </is>
      </c>
      <c r="B2421" s="6" t="inlineStr">
        <is>
          <t>Recife - PE</t>
        </is>
      </c>
      <c r="C2421" s="6" t="n">
        <v>-8.046659999999999</v>
      </c>
      <c r="D2421" s="6" t="n">
        <v>-34.8771</v>
      </c>
      <c r="E2421" s="6" t="inlineStr">
        <is>
          <t>2023-08</t>
        </is>
      </c>
      <c r="F2421" s="6" t="n">
        <v>104926.8038360611</v>
      </c>
      <c r="G2421" s="6" t="inlineStr">
        <is>
          <t>DOMESTICA</t>
        </is>
      </c>
      <c r="H2421" s="6" t="inlineStr">
        <is>
          <t>FIXO</t>
        </is>
      </c>
      <c r="I2421" s="11">
        <f>IF($H2421="AUTO_OFERTA_TOTAL_PRODUTO_PERIODO",SUMIFS(Oferta!$F:$F,Oferta!$A:$A,$A2421,Oferta!$E:$E,$E2421),$F2421)</f>
        <v/>
      </c>
      <c r="J2421" s="6" t="inlineStr">
        <is>
          <t>Informado</t>
        </is>
      </c>
      <c r="K2421" s="6" t="inlineStr">
        <is>
          <t>Demanda doméstica fixa informada pelo usuário.</t>
        </is>
      </c>
    </row>
    <row r="2422">
      <c r="A2422" s="6" t="inlineStr">
        <is>
          <t>Soja</t>
        </is>
      </c>
      <c r="B2422" s="6" t="inlineStr">
        <is>
          <t>Recife - PE</t>
        </is>
      </c>
      <c r="C2422" s="6" t="n">
        <v>-8.046659999999999</v>
      </c>
      <c r="D2422" s="6" t="n">
        <v>-34.8771</v>
      </c>
      <c r="E2422" s="6" t="inlineStr">
        <is>
          <t>2023-09</t>
        </is>
      </c>
      <c r="F2422" s="6" t="n">
        <v>104926.8038360611</v>
      </c>
      <c r="G2422" s="6" t="inlineStr">
        <is>
          <t>DOMESTICA</t>
        </is>
      </c>
      <c r="H2422" s="6" t="inlineStr">
        <is>
          <t>FIXO</t>
        </is>
      </c>
      <c r="I2422" s="11">
        <f>IF($H2422="AUTO_OFERTA_TOTAL_PRODUTO_PERIODO",SUMIFS(Oferta!$F:$F,Oferta!$A:$A,$A2422,Oferta!$E:$E,$E2422),$F2422)</f>
        <v/>
      </c>
      <c r="J2422" s="6" t="inlineStr">
        <is>
          <t>Informado</t>
        </is>
      </c>
      <c r="K2422" s="6" t="inlineStr">
        <is>
          <t>Demanda doméstica fixa informada pelo usuário.</t>
        </is>
      </c>
    </row>
    <row r="2423">
      <c r="A2423" s="6" t="inlineStr">
        <is>
          <t>Soja</t>
        </is>
      </c>
      <c r="B2423" s="6" t="inlineStr">
        <is>
          <t>Recife - PE</t>
        </is>
      </c>
      <c r="C2423" s="6" t="n">
        <v>-8.046659999999999</v>
      </c>
      <c r="D2423" s="6" t="n">
        <v>-34.8771</v>
      </c>
      <c r="E2423" s="6" t="inlineStr">
        <is>
          <t>2023-10</t>
        </is>
      </c>
      <c r="F2423" s="6" t="n">
        <v>104926.8038360611</v>
      </c>
      <c r="G2423" s="6" t="inlineStr">
        <is>
          <t>DOMESTICA</t>
        </is>
      </c>
      <c r="H2423" s="6" t="inlineStr">
        <is>
          <t>FIXO</t>
        </is>
      </c>
      <c r="I2423" s="11">
        <f>IF($H2423="AUTO_OFERTA_TOTAL_PRODUTO_PERIODO",SUMIFS(Oferta!$F:$F,Oferta!$A:$A,$A2423,Oferta!$E:$E,$E2423),$F2423)</f>
        <v/>
      </c>
      <c r="J2423" s="6" t="inlineStr">
        <is>
          <t>Informado</t>
        </is>
      </c>
      <c r="K2423" s="6" t="inlineStr">
        <is>
          <t>Demanda doméstica fixa informada pelo usuário.</t>
        </is>
      </c>
    </row>
    <row r="2424">
      <c r="A2424" s="6" t="inlineStr">
        <is>
          <t>Soja</t>
        </is>
      </c>
      <c r="B2424" s="6" t="inlineStr">
        <is>
          <t>Recife - PE</t>
        </is>
      </c>
      <c r="C2424" s="6" t="n">
        <v>-8.046659999999999</v>
      </c>
      <c r="D2424" s="6" t="n">
        <v>-34.8771</v>
      </c>
      <c r="E2424" s="6" t="inlineStr">
        <is>
          <t>2023-11</t>
        </is>
      </c>
      <c r="F2424" s="6" t="n">
        <v>104926.8038360611</v>
      </c>
      <c r="G2424" s="6" t="inlineStr">
        <is>
          <t>DOMESTICA</t>
        </is>
      </c>
      <c r="H2424" s="6" t="inlineStr">
        <is>
          <t>FIXO</t>
        </is>
      </c>
      <c r="I2424" s="11">
        <f>IF($H2424="AUTO_OFERTA_TOTAL_PRODUTO_PERIODO",SUMIFS(Oferta!$F:$F,Oferta!$A:$A,$A2424,Oferta!$E:$E,$E2424),$F2424)</f>
        <v/>
      </c>
      <c r="J2424" s="6" t="inlineStr">
        <is>
          <t>Informado</t>
        </is>
      </c>
      <c r="K2424" s="6" t="inlineStr">
        <is>
          <t>Demanda doméstica fixa informada pelo usuário.</t>
        </is>
      </c>
    </row>
    <row r="2425">
      <c r="A2425" s="6" t="inlineStr">
        <is>
          <t>Soja</t>
        </is>
      </c>
      <c r="B2425" s="6" t="inlineStr">
        <is>
          <t>Recife - PE</t>
        </is>
      </c>
      <c r="C2425" s="6" t="n">
        <v>-8.046659999999999</v>
      </c>
      <c r="D2425" s="6" t="n">
        <v>-34.8771</v>
      </c>
      <c r="E2425" s="6" t="inlineStr">
        <is>
          <t>2023-12</t>
        </is>
      </c>
      <c r="F2425" s="6" t="n">
        <v>104926.8038360611</v>
      </c>
      <c r="G2425" s="6" t="inlineStr">
        <is>
          <t>DOMESTICA</t>
        </is>
      </c>
      <c r="H2425" s="6" t="inlineStr">
        <is>
          <t>FIXO</t>
        </is>
      </c>
      <c r="I2425" s="11">
        <f>IF($H2425="AUTO_OFERTA_TOTAL_PRODUTO_PERIODO",SUMIFS(Oferta!$F:$F,Oferta!$A:$A,$A2425,Oferta!$E:$E,$E2425),$F2425)</f>
        <v/>
      </c>
      <c r="J2425" s="6" t="inlineStr">
        <is>
          <t>Informado</t>
        </is>
      </c>
      <c r="K2425" s="6" t="inlineStr">
        <is>
          <t>Demanda doméstica fixa informada pelo usuário.</t>
        </is>
      </c>
    </row>
    <row r="2426">
      <c r="A2426" s="6" t="inlineStr">
        <is>
          <t>Soja</t>
        </is>
      </c>
      <c r="B2426" s="6" t="inlineStr">
        <is>
          <t>Teresina - PI</t>
        </is>
      </c>
      <c r="C2426" s="6" t="n">
        <v>-5.09194</v>
      </c>
      <c r="D2426" s="6" t="n">
        <v>-42.8034</v>
      </c>
      <c r="E2426" s="6" t="inlineStr">
        <is>
          <t>2023-01</t>
        </is>
      </c>
      <c r="F2426" s="6" t="n">
        <v>20913.4753885386</v>
      </c>
      <c r="G2426" s="6" t="inlineStr">
        <is>
          <t>DOMESTICA</t>
        </is>
      </c>
      <c r="H2426" s="6" t="inlineStr">
        <is>
          <t>FIXO</t>
        </is>
      </c>
      <c r="I2426" s="11">
        <f>IF($H2426="AUTO_OFERTA_TOTAL_PRODUTO_PERIODO",SUMIFS(Oferta!$F:$F,Oferta!$A:$A,$A2426,Oferta!$E:$E,$E2426),$F2426)</f>
        <v/>
      </c>
      <c r="J2426" s="6" t="inlineStr">
        <is>
          <t>Informado</t>
        </is>
      </c>
      <c r="K2426" s="6" t="inlineStr">
        <is>
          <t>Demanda doméstica fixa informada pelo usuário.</t>
        </is>
      </c>
    </row>
    <row r="2427">
      <c r="A2427" s="6" t="inlineStr">
        <is>
          <t>Soja</t>
        </is>
      </c>
      <c r="B2427" s="6" t="inlineStr">
        <is>
          <t>Teresina - PI</t>
        </is>
      </c>
      <c r="C2427" s="6" t="n">
        <v>-5.09194</v>
      </c>
      <c r="D2427" s="6" t="n">
        <v>-42.8034</v>
      </c>
      <c r="E2427" s="6" t="inlineStr">
        <is>
          <t>2023-02</t>
        </is>
      </c>
      <c r="F2427" s="6" t="n">
        <v>20913.4753885386</v>
      </c>
      <c r="G2427" s="6" t="inlineStr">
        <is>
          <t>DOMESTICA</t>
        </is>
      </c>
      <c r="H2427" s="6" t="inlineStr">
        <is>
          <t>FIXO</t>
        </is>
      </c>
      <c r="I2427" s="11">
        <f>IF($H2427="AUTO_OFERTA_TOTAL_PRODUTO_PERIODO",SUMIFS(Oferta!$F:$F,Oferta!$A:$A,$A2427,Oferta!$E:$E,$E2427),$F2427)</f>
        <v/>
      </c>
      <c r="J2427" s="6" t="inlineStr">
        <is>
          <t>Informado</t>
        </is>
      </c>
      <c r="K2427" s="6" t="inlineStr">
        <is>
          <t>Demanda doméstica fixa informada pelo usuário.</t>
        </is>
      </c>
    </row>
    <row r="2428">
      <c r="A2428" s="6" t="inlineStr">
        <is>
          <t>Soja</t>
        </is>
      </c>
      <c r="B2428" s="6" t="inlineStr">
        <is>
          <t>Teresina - PI</t>
        </is>
      </c>
      <c r="C2428" s="6" t="n">
        <v>-5.09194</v>
      </c>
      <c r="D2428" s="6" t="n">
        <v>-42.8034</v>
      </c>
      <c r="E2428" s="6" t="inlineStr">
        <is>
          <t>2023-03</t>
        </is>
      </c>
      <c r="F2428" s="6" t="n">
        <v>33540.4793967128</v>
      </c>
      <c r="G2428" s="6" t="inlineStr">
        <is>
          <t>DOMESTICA</t>
        </is>
      </c>
      <c r="H2428" s="6" t="inlineStr">
        <is>
          <t>FIXO</t>
        </is>
      </c>
      <c r="I2428" s="11">
        <f>IF($H2428="AUTO_OFERTA_TOTAL_PRODUTO_PERIODO",SUMIFS(Oferta!$F:$F,Oferta!$A:$A,$A2428,Oferta!$E:$E,$E2428),$F2428)</f>
        <v/>
      </c>
      <c r="J2428" s="6" t="inlineStr">
        <is>
          <t>Informado</t>
        </is>
      </c>
      <c r="K2428" s="6" t="inlineStr">
        <is>
          <t>Demanda doméstica fixa informada pelo usuário.</t>
        </is>
      </c>
    </row>
    <row r="2429">
      <c r="A2429" s="6" t="inlineStr">
        <is>
          <t>Soja</t>
        </is>
      </c>
      <c r="B2429" s="6" t="inlineStr">
        <is>
          <t>Teresina - PI</t>
        </is>
      </c>
      <c r="C2429" s="6" t="n">
        <v>-5.09194</v>
      </c>
      <c r="D2429" s="6" t="n">
        <v>-42.8034</v>
      </c>
      <c r="E2429" s="6" t="inlineStr">
        <is>
          <t>2023-04</t>
        </is>
      </c>
      <c r="F2429" s="6" t="n">
        <v>46167.4834048871</v>
      </c>
      <c r="G2429" s="6" t="inlineStr">
        <is>
          <t>DOMESTICA</t>
        </is>
      </c>
      <c r="H2429" s="6" t="inlineStr">
        <is>
          <t>FIXO</t>
        </is>
      </c>
      <c r="I2429" s="11">
        <f>IF($H2429="AUTO_OFERTA_TOTAL_PRODUTO_PERIODO",SUMIFS(Oferta!$F:$F,Oferta!$A:$A,$A2429,Oferta!$E:$E,$E2429),$F2429)</f>
        <v/>
      </c>
      <c r="J2429" s="6" t="inlineStr">
        <is>
          <t>Informado</t>
        </is>
      </c>
      <c r="K2429" s="6" t="inlineStr">
        <is>
          <t>Demanda doméstica fixa informada pelo usuário.</t>
        </is>
      </c>
    </row>
    <row r="2430">
      <c r="A2430" s="6" t="inlineStr">
        <is>
          <t>Soja</t>
        </is>
      </c>
      <c r="B2430" s="6" t="inlineStr">
        <is>
          <t>Teresina - PI</t>
        </is>
      </c>
      <c r="C2430" s="6" t="n">
        <v>-5.09194</v>
      </c>
      <c r="D2430" s="6" t="n">
        <v>-42.8034</v>
      </c>
      <c r="E2430" s="6" t="inlineStr">
        <is>
          <t>2023-05</t>
        </is>
      </c>
      <c r="F2430" s="6" t="n">
        <v>84048.4954294098</v>
      </c>
      <c r="G2430" s="6" t="inlineStr">
        <is>
          <t>DOMESTICA</t>
        </is>
      </c>
      <c r="H2430" s="6" t="inlineStr">
        <is>
          <t>FIXO</t>
        </is>
      </c>
      <c r="I2430" s="11">
        <f>IF($H2430="AUTO_OFERTA_TOTAL_PRODUTO_PERIODO",SUMIFS(Oferta!$F:$F,Oferta!$A:$A,$A2430,Oferta!$E:$E,$E2430),$F2430)</f>
        <v/>
      </c>
      <c r="J2430" s="6" t="inlineStr">
        <is>
          <t>Informado</t>
        </is>
      </c>
      <c r="K2430" s="6" t="inlineStr">
        <is>
          <t>Demanda doméstica fixa informada pelo usuário.</t>
        </is>
      </c>
    </row>
    <row r="2431">
      <c r="A2431" s="6" t="inlineStr">
        <is>
          <t>Soja</t>
        </is>
      </c>
      <c r="B2431" s="6" t="inlineStr">
        <is>
          <t>Teresina - PI</t>
        </is>
      </c>
      <c r="C2431" s="6" t="n">
        <v>-5.09194</v>
      </c>
      <c r="D2431" s="6" t="n">
        <v>-42.8034</v>
      </c>
      <c r="E2431" s="6" t="inlineStr">
        <is>
          <t>2023-06</t>
        </is>
      </c>
      <c r="F2431" s="6" t="n">
        <v>84048.4954294098</v>
      </c>
      <c r="G2431" s="6" t="inlineStr">
        <is>
          <t>DOMESTICA</t>
        </is>
      </c>
      <c r="H2431" s="6" t="inlineStr">
        <is>
          <t>FIXO</t>
        </is>
      </c>
      <c r="I2431" s="11">
        <f>IF($H2431="AUTO_OFERTA_TOTAL_PRODUTO_PERIODO",SUMIFS(Oferta!$F:$F,Oferta!$A:$A,$A2431,Oferta!$E:$E,$E2431),$F2431)</f>
        <v/>
      </c>
      <c r="J2431" s="6" t="inlineStr">
        <is>
          <t>Informado</t>
        </is>
      </c>
      <c r="K2431" s="6" t="inlineStr">
        <is>
          <t>Demanda doméstica fixa informada pelo usuário.</t>
        </is>
      </c>
    </row>
    <row r="2432">
      <c r="A2432" s="6" t="inlineStr">
        <is>
          <t>Soja</t>
        </is>
      </c>
      <c r="B2432" s="6" t="inlineStr">
        <is>
          <t>Teresina - PI</t>
        </is>
      </c>
      <c r="C2432" s="6" t="n">
        <v>-5.09194</v>
      </c>
      <c r="D2432" s="6" t="n">
        <v>-42.8034</v>
      </c>
      <c r="E2432" s="6" t="inlineStr">
        <is>
          <t>2023-07</t>
        </is>
      </c>
      <c r="F2432" s="6" t="n">
        <v>71421.49142123559</v>
      </c>
      <c r="G2432" s="6" t="inlineStr">
        <is>
          <t>DOMESTICA</t>
        </is>
      </c>
      <c r="H2432" s="6" t="inlineStr">
        <is>
          <t>FIXO</t>
        </is>
      </c>
      <c r="I2432" s="11">
        <f>IF($H2432="AUTO_OFERTA_TOTAL_PRODUTO_PERIODO",SUMIFS(Oferta!$F:$F,Oferta!$A:$A,$A2432,Oferta!$E:$E,$E2432),$F2432)</f>
        <v/>
      </c>
      <c r="J2432" s="6" t="inlineStr">
        <is>
          <t>Informado</t>
        </is>
      </c>
      <c r="K2432" s="6" t="inlineStr">
        <is>
          <t>Demanda doméstica fixa informada pelo usuário.</t>
        </is>
      </c>
    </row>
    <row r="2433">
      <c r="A2433" s="6" t="inlineStr">
        <is>
          <t>Soja</t>
        </is>
      </c>
      <c r="B2433" s="6" t="inlineStr">
        <is>
          <t>Teresina - PI</t>
        </is>
      </c>
      <c r="C2433" s="6" t="n">
        <v>-5.09194</v>
      </c>
      <c r="D2433" s="6" t="n">
        <v>-42.8034</v>
      </c>
      <c r="E2433" s="6" t="inlineStr">
        <is>
          <t>2023-08</t>
        </is>
      </c>
      <c r="F2433" s="6" t="n">
        <v>33540.4793967128</v>
      </c>
      <c r="G2433" s="6" t="inlineStr">
        <is>
          <t>DOMESTICA</t>
        </is>
      </c>
      <c r="H2433" s="6" t="inlineStr">
        <is>
          <t>FIXO</t>
        </is>
      </c>
      <c r="I2433" s="11">
        <f>IF($H2433="AUTO_OFERTA_TOTAL_PRODUTO_PERIODO",SUMIFS(Oferta!$F:$F,Oferta!$A:$A,$A2433,Oferta!$E:$E,$E2433),$F2433)</f>
        <v/>
      </c>
      <c r="J2433" s="6" t="inlineStr">
        <is>
          <t>Informado</t>
        </is>
      </c>
      <c r="K2433" s="6" t="inlineStr">
        <is>
          <t>Demanda doméstica fixa informada pelo usuário.</t>
        </is>
      </c>
    </row>
    <row r="2434">
      <c r="A2434" s="6" t="inlineStr">
        <is>
          <t>Soja</t>
        </is>
      </c>
      <c r="B2434" s="6" t="inlineStr">
        <is>
          <t>Teresina - PI</t>
        </is>
      </c>
      <c r="C2434" s="6" t="n">
        <v>-5.09194</v>
      </c>
      <c r="D2434" s="6" t="n">
        <v>-42.8034</v>
      </c>
      <c r="E2434" s="6" t="inlineStr">
        <is>
          <t>2023-09</t>
        </is>
      </c>
      <c r="F2434" s="6" t="n">
        <v>20913.4753885386</v>
      </c>
      <c r="G2434" s="6" t="inlineStr">
        <is>
          <t>DOMESTICA</t>
        </is>
      </c>
      <c r="H2434" s="6" t="inlineStr">
        <is>
          <t>FIXO</t>
        </is>
      </c>
      <c r="I2434" s="11">
        <f>IF($H2434="AUTO_OFERTA_TOTAL_PRODUTO_PERIODO",SUMIFS(Oferta!$F:$F,Oferta!$A:$A,$A2434,Oferta!$E:$E,$E2434),$F2434)</f>
        <v/>
      </c>
      <c r="J2434" s="6" t="inlineStr">
        <is>
          <t>Informado</t>
        </is>
      </c>
      <c r="K2434" s="6" t="inlineStr">
        <is>
          <t>Demanda doméstica fixa informada pelo usuário.</t>
        </is>
      </c>
    </row>
    <row r="2435">
      <c r="A2435" s="6" t="inlineStr">
        <is>
          <t>Soja</t>
        </is>
      </c>
      <c r="B2435" s="6" t="inlineStr">
        <is>
          <t>Teresina - PI</t>
        </is>
      </c>
      <c r="C2435" s="6" t="n">
        <v>-5.09194</v>
      </c>
      <c r="D2435" s="6" t="n">
        <v>-42.8034</v>
      </c>
      <c r="E2435" s="6" t="inlineStr">
        <is>
          <t>2023-10</t>
        </is>
      </c>
      <c r="F2435" s="6" t="n">
        <v>20913.4753885386</v>
      </c>
      <c r="G2435" s="6" t="inlineStr">
        <is>
          <t>DOMESTICA</t>
        </is>
      </c>
      <c r="H2435" s="6" t="inlineStr">
        <is>
          <t>FIXO</t>
        </is>
      </c>
      <c r="I2435" s="11">
        <f>IF($H2435="AUTO_OFERTA_TOTAL_PRODUTO_PERIODO",SUMIFS(Oferta!$F:$F,Oferta!$A:$A,$A2435,Oferta!$E:$E,$E2435),$F2435)</f>
        <v/>
      </c>
      <c r="J2435" s="6" t="inlineStr">
        <is>
          <t>Informado</t>
        </is>
      </c>
      <c r="K2435" s="6" t="inlineStr">
        <is>
          <t>Demanda doméstica fixa informada pelo usuário.</t>
        </is>
      </c>
    </row>
    <row r="2436">
      <c r="A2436" s="6" t="inlineStr">
        <is>
          <t>Soja</t>
        </is>
      </c>
      <c r="B2436" s="6" t="inlineStr">
        <is>
          <t>Teresina - PI</t>
        </is>
      </c>
      <c r="C2436" s="6" t="n">
        <v>-5.09194</v>
      </c>
      <c r="D2436" s="6" t="n">
        <v>-42.8034</v>
      </c>
      <c r="E2436" s="6" t="inlineStr">
        <is>
          <t>2023-11</t>
        </is>
      </c>
      <c r="F2436" s="6" t="n">
        <v>20913.4753885386</v>
      </c>
      <c r="G2436" s="6" t="inlineStr">
        <is>
          <t>DOMESTICA</t>
        </is>
      </c>
      <c r="H2436" s="6" t="inlineStr">
        <is>
          <t>FIXO</t>
        </is>
      </c>
      <c r="I2436" s="11">
        <f>IF($H2436="AUTO_OFERTA_TOTAL_PRODUTO_PERIODO",SUMIFS(Oferta!$F:$F,Oferta!$A:$A,$A2436,Oferta!$E:$E,$E2436),$F2436)</f>
        <v/>
      </c>
      <c r="J2436" s="6" t="inlineStr">
        <is>
          <t>Informado</t>
        </is>
      </c>
      <c r="K2436" s="6" t="inlineStr">
        <is>
          <t>Demanda doméstica fixa informada pelo usuário.</t>
        </is>
      </c>
    </row>
    <row r="2437">
      <c r="A2437" s="6" t="inlineStr">
        <is>
          <t>Soja</t>
        </is>
      </c>
      <c r="B2437" s="6" t="inlineStr">
        <is>
          <t>Teresina - PI</t>
        </is>
      </c>
      <c r="C2437" s="6" t="n">
        <v>-5.09194</v>
      </c>
      <c r="D2437" s="6" t="n">
        <v>-42.8034</v>
      </c>
      <c r="E2437" s="6" t="inlineStr">
        <is>
          <t>2023-12</t>
        </is>
      </c>
      <c r="F2437" s="6" t="n">
        <v>20913.4753885386</v>
      </c>
      <c r="G2437" s="6" t="inlineStr">
        <is>
          <t>DOMESTICA</t>
        </is>
      </c>
      <c r="H2437" s="6" t="inlineStr">
        <is>
          <t>FIXO</t>
        </is>
      </c>
      <c r="I2437" s="11">
        <f>IF($H2437="AUTO_OFERTA_TOTAL_PRODUTO_PERIODO",SUMIFS(Oferta!$F:$F,Oferta!$A:$A,$A2437,Oferta!$E:$E,$E2437),$F2437)</f>
        <v/>
      </c>
      <c r="J2437" s="6" t="inlineStr">
        <is>
          <t>Informado</t>
        </is>
      </c>
      <c r="K2437" s="6" t="inlineStr">
        <is>
          <t>Demanda doméstica fixa informada pelo usuário.</t>
        </is>
      </c>
    </row>
    <row r="2438">
      <c r="A2438" s="6" t="inlineStr">
        <is>
          <t>Soja</t>
        </is>
      </c>
      <c r="B2438" s="6" t="inlineStr">
        <is>
          <t>Aracaju - SE</t>
        </is>
      </c>
      <c r="C2438" s="6" t="n">
        <v>-10.9091</v>
      </c>
      <c r="D2438" s="6" t="n">
        <v>-37.0677</v>
      </c>
      <c r="E2438" s="6" t="inlineStr">
        <is>
          <t>2023-01</t>
        </is>
      </c>
      <c r="F2438" s="6" t="n">
        <v>23094.4559228702</v>
      </c>
      <c r="G2438" s="6" t="inlineStr">
        <is>
          <t>DOMESTICA</t>
        </is>
      </c>
      <c r="H2438" s="6" t="inlineStr">
        <is>
          <t>FIXO</t>
        </is>
      </c>
      <c r="I2438" s="11">
        <f>IF($H2438="AUTO_OFERTA_TOTAL_PRODUTO_PERIODO",SUMIFS(Oferta!$F:$F,Oferta!$A:$A,$A2438,Oferta!$E:$E,$E2438),$F2438)</f>
        <v/>
      </c>
      <c r="J2438" s="6" t="inlineStr">
        <is>
          <t>Informado</t>
        </is>
      </c>
      <c r="K2438" s="6" t="inlineStr">
        <is>
          <t>Demanda doméstica fixa informada pelo usuário.</t>
        </is>
      </c>
    </row>
    <row r="2439">
      <c r="A2439" s="6" t="inlineStr">
        <is>
          <t>Soja</t>
        </is>
      </c>
      <c r="B2439" s="6" t="inlineStr">
        <is>
          <t>Aracaju - SE</t>
        </is>
      </c>
      <c r="C2439" s="6" t="n">
        <v>-10.9091</v>
      </c>
      <c r="D2439" s="6" t="n">
        <v>-37.0677</v>
      </c>
      <c r="E2439" s="6" t="inlineStr">
        <is>
          <t>2023-02</t>
        </is>
      </c>
      <c r="F2439" s="6" t="n">
        <v>23094.4559228702</v>
      </c>
      <c r="G2439" s="6" t="inlineStr">
        <is>
          <t>DOMESTICA</t>
        </is>
      </c>
      <c r="H2439" s="6" t="inlineStr">
        <is>
          <t>FIXO</t>
        </is>
      </c>
      <c r="I2439" s="11">
        <f>IF($H2439="AUTO_OFERTA_TOTAL_PRODUTO_PERIODO",SUMIFS(Oferta!$F:$F,Oferta!$A:$A,$A2439,Oferta!$E:$E,$E2439),$F2439)</f>
        <v/>
      </c>
      <c r="J2439" s="6" t="inlineStr">
        <is>
          <t>Informado</t>
        </is>
      </c>
      <c r="K2439" s="6" t="inlineStr">
        <is>
          <t>Demanda doméstica fixa informada pelo usuário.</t>
        </is>
      </c>
    </row>
    <row r="2440">
      <c r="A2440" s="6" t="inlineStr">
        <is>
          <t>Soja</t>
        </is>
      </c>
      <c r="B2440" s="6" t="inlineStr">
        <is>
          <t>Aracaju - SE</t>
        </is>
      </c>
      <c r="C2440" s="6" t="n">
        <v>-10.9091</v>
      </c>
      <c r="D2440" s="6" t="n">
        <v>-37.0677</v>
      </c>
      <c r="E2440" s="6" t="inlineStr">
        <is>
          <t>2023-03</t>
        </is>
      </c>
      <c r="F2440" s="6" t="n">
        <v>23094.4559228702</v>
      </c>
      <c r="G2440" s="6" t="inlineStr">
        <is>
          <t>DOMESTICA</t>
        </is>
      </c>
      <c r="H2440" s="6" t="inlineStr">
        <is>
          <t>FIXO</t>
        </is>
      </c>
      <c r="I2440" s="11">
        <f>IF($H2440="AUTO_OFERTA_TOTAL_PRODUTO_PERIODO",SUMIFS(Oferta!$F:$F,Oferta!$A:$A,$A2440,Oferta!$E:$E,$E2440),$F2440)</f>
        <v/>
      </c>
      <c r="J2440" s="6" t="inlineStr">
        <is>
          <t>Informado</t>
        </is>
      </c>
      <c r="K2440" s="6" t="inlineStr">
        <is>
          <t>Demanda doméstica fixa informada pelo usuário.</t>
        </is>
      </c>
    </row>
    <row r="2441">
      <c r="A2441" s="6" t="inlineStr">
        <is>
          <t>Soja</t>
        </is>
      </c>
      <c r="B2441" s="6" t="inlineStr">
        <is>
          <t>Aracaju - SE</t>
        </is>
      </c>
      <c r="C2441" s="6" t="n">
        <v>-10.9091</v>
      </c>
      <c r="D2441" s="6" t="n">
        <v>-37.0677</v>
      </c>
      <c r="E2441" s="6" t="inlineStr">
        <is>
          <t>2023-04</t>
        </is>
      </c>
      <c r="F2441" s="6" t="n">
        <v>23094.4559228702</v>
      </c>
      <c r="G2441" s="6" t="inlineStr">
        <is>
          <t>DOMESTICA</t>
        </is>
      </c>
      <c r="H2441" s="6" t="inlineStr">
        <is>
          <t>FIXO</t>
        </is>
      </c>
      <c r="I2441" s="11">
        <f>IF($H2441="AUTO_OFERTA_TOTAL_PRODUTO_PERIODO",SUMIFS(Oferta!$F:$F,Oferta!$A:$A,$A2441,Oferta!$E:$E,$E2441),$F2441)</f>
        <v/>
      </c>
      <c r="J2441" s="6" t="inlineStr">
        <is>
          <t>Informado</t>
        </is>
      </c>
      <c r="K2441" s="6" t="inlineStr">
        <is>
          <t>Demanda doméstica fixa informada pelo usuário.</t>
        </is>
      </c>
    </row>
    <row r="2442">
      <c r="A2442" s="6" t="inlineStr">
        <is>
          <t>Soja</t>
        </is>
      </c>
      <c r="B2442" s="6" t="inlineStr">
        <is>
          <t>Aracaju - SE</t>
        </is>
      </c>
      <c r="C2442" s="6" t="n">
        <v>-10.9091</v>
      </c>
      <c r="D2442" s="6" t="n">
        <v>-37.0677</v>
      </c>
      <c r="E2442" s="6" t="inlineStr">
        <is>
          <t>2023-05</t>
        </is>
      </c>
      <c r="F2442" s="6" t="n">
        <v>23094.4559228702</v>
      </c>
      <c r="G2442" s="6" t="inlineStr">
        <is>
          <t>DOMESTICA</t>
        </is>
      </c>
      <c r="H2442" s="6" t="inlineStr">
        <is>
          <t>FIXO</t>
        </is>
      </c>
      <c r="I2442" s="11">
        <f>IF($H2442="AUTO_OFERTA_TOTAL_PRODUTO_PERIODO",SUMIFS(Oferta!$F:$F,Oferta!$A:$A,$A2442,Oferta!$E:$E,$E2442),$F2442)</f>
        <v/>
      </c>
      <c r="J2442" s="6" t="inlineStr">
        <is>
          <t>Informado</t>
        </is>
      </c>
      <c r="K2442" s="6" t="inlineStr">
        <is>
          <t>Demanda doméstica fixa informada pelo usuário.</t>
        </is>
      </c>
    </row>
    <row r="2443">
      <c r="A2443" s="6" t="inlineStr">
        <is>
          <t>Soja</t>
        </is>
      </c>
      <c r="B2443" s="6" t="inlineStr">
        <is>
          <t>Aracaju - SE</t>
        </is>
      </c>
      <c r="C2443" s="6" t="n">
        <v>-10.9091</v>
      </c>
      <c r="D2443" s="6" t="n">
        <v>-37.0677</v>
      </c>
      <c r="E2443" s="6" t="inlineStr">
        <is>
          <t>2023-06</t>
        </is>
      </c>
      <c r="F2443" s="6" t="n">
        <v>23094.4559228702</v>
      </c>
      <c r="G2443" s="6" t="inlineStr">
        <is>
          <t>DOMESTICA</t>
        </is>
      </c>
      <c r="H2443" s="6" t="inlineStr">
        <is>
          <t>FIXO</t>
        </is>
      </c>
      <c r="I2443" s="11">
        <f>IF($H2443="AUTO_OFERTA_TOTAL_PRODUTO_PERIODO",SUMIFS(Oferta!$F:$F,Oferta!$A:$A,$A2443,Oferta!$E:$E,$E2443),$F2443)</f>
        <v/>
      </c>
      <c r="J2443" s="6" t="inlineStr">
        <is>
          <t>Informado</t>
        </is>
      </c>
      <c r="K2443" s="6" t="inlineStr">
        <is>
          <t>Demanda doméstica fixa informada pelo usuário.</t>
        </is>
      </c>
    </row>
    <row r="2444">
      <c r="A2444" s="6" t="inlineStr">
        <is>
          <t>Soja</t>
        </is>
      </c>
      <c r="B2444" s="6" t="inlineStr">
        <is>
          <t>Aracaju - SE</t>
        </is>
      </c>
      <c r="C2444" s="6" t="n">
        <v>-10.9091</v>
      </c>
      <c r="D2444" s="6" t="n">
        <v>-37.0677</v>
      </c>
      <c r="E2444" s="6" t="inlineStr">
        <is>
          <t>2023-07</t>
        </is>
      </c>
      <c r="F2444" s="6" t="n">
        <v>23094.4559228702</v>
      </c>
      <c r="G2444" s="6" t="inlineStr">
        <is>
          <t>DOMESTICA</t>
        </is>
      </c>
      <c r="H2444" s="6" t="inlineStr">
        <is>
          <t>FIXO</t>
        </is>
      </c>
      <c r="I2444" s="11">
        <f>IF($H2444="AUTO_OFERTA_TOTAL_PRODUTO_PERIODO",SUMIFS(Oferta!$F:$F,Oferta!$A:$A,$A2444,Oferta!$E:$E,$E2444),$F2444)</f>
        <v/>
      </c>
      <c r="J2444" s="6" t="inlineStr">
        <is>
          <t>Informado</t>
        </is>
      </c>
      <c r="K2444" s="6" t="inlineStr">
        <is>
          <t>Demanda doméstica fixa informada pelo usuário.</t>
        </is>
      </c>
    </row>
    <row r="2445">
      <c r="A2445" s="6" t="inlineStr">
        <is>
          <t>Soja</t>
        </is>
      </c>
      <c r="B2445" s="6" t="inlineStr">
        <is>
          <t>Aracaju - SE</t>
        </is>
      </c>
      <c r="C2445" s="6" t="n">
        <v>-10.9091</v>
      </c>
      <c r="D2445" s="6" t="n">
        <v>-37.0677</v>
      </c>
      <c r="E2445" s="6" t="inlineStr">
        <is>
          <t>2023-08</t>
        </is>
      </c>
      <c r="F2445" s="6" t="n">
        <v>23094.4559228702</v>
      </c>
      <c r="G2445" s="6" t="inlineStr">
        <is>
          <t>DOMESTICA</t>
        </is>
      </c>
      <c r="H2445" s="6" t="inlineStr">
        <is>
          <t>FIXO</t>
        </is>
      </c>
      <c r="I2445" s="11">
        <f>IF($H2445="AUTO_OFERTA_TOTAL_PRODUTO_PERIODO",SUMIFS(Oferta!$F:$F,Oferta!$A:$A,$A2445,Oferta!$E:$E,$E2445),$F2445)</f>
        <v/>
      </c>
      <c r="J2445" s="6" t="inlineStr">
        <is>
          <t>Informado</t>
        </is>
      </c>
      <c r="K2445" s="6" t="inlineStr">
        <is>
          <t>Demanda doméstica fixa informada pelo usuário.</t>
        </is>
      </c>
    </row>
    <row r="2446">
      <c r="A2446" s="6" t="inlineStr">
        <is>
          <t>Soja</t>
        </is>
      </c>
      <c r="B2446" s="6" t="inlineStr">
        <is>
          <t>Aracaju - SE</t>
        </is>
      </c>
      <c r="C2446" s="6" t="n">
        <v>-10.9091</v>
      </c>
      <c r="D2446" s="6" t="n">
        <v>-37.0677</v>
      </c>
      <c r="E2446" s="6" t="inlineStr">
        <is>
          <t>2023-09</t>
        </is>
      </c>
      <c r="F2446" s="6" t="n">
        <v>23094.4559228702</v>
      </c>
      <c r="G2446" s="6" t="inlineStr">
        <is>
          <t>DOMESTICA</t>
        </is>
      </c>
      <c r="H2446" s="6" t="inlineStr">
        <is>
          <t>FIXO</t>
        </is>
      </c>
      <c r="I2446" s="11">
        <f>IF($H2446="AUTO_OFERTA_TOTAL_PRODUTO_PERIODO",SUMIFS(Oferta!$F:$F,Oferta!$A:$A,$A2446,Oferta!$E:$E,$E2446),$F2446)</f>
        <v/>
      </c>
      <c r="J2446" s="6" t="inlineStr">
        <is>
          <t>Informado</t>
        </is>
      </c>
      <c r="K2446" s="6" t="inlineStr">
        <is>
          <t>Demanda doméstica fixa informada pelo usuário.</t>
        </is>
      </c>
    </row>
    <row r="2447">
      <c r="A2447" s="6" t="inlineStr">
        <is>
          <t>Soja</t>
        </is>
      </c>
      <c r="B2447" s="6" t="inlineStr">
        <is>
          <t>Aracaju - SE</t>
        </is>
      </c>
      <c r="C2447" s="6" t="n">
        <v>-10.9091</v>
      </c>
      <c r="D2447" s="6" t="n">
        <v>-37.0677</v>
      </c>
      <c r="E2447" s="6" t="inlineStr">
        <is>
          <t>2023-10</t>
        </is>
      </c>
      <c r="F2447" s="6" t="n">
        <v>23094.4559228702</v>
      </c>
      <c r="G2447" s="6" t="inlineStr">
        <is>
          <t>DOMESTICA</t>
        </is>
      </c>
      <c r="H2447" s="6" t="inlineStr">
        <is>
          <t>FIXO</t>
        </is>
      </c>
      <c r="I2447" s="11">
        <f>IF($H2447="AUTO_OFERTA_TOTAL_PRODUTO_PERIODO",SUMIFS(Oferta!$F:$F,Oferta!$A:$A,$A2447,Oferta!$E:$E,$E2447),$F2447)</f>
        <v/>
      </c>
      <c r="J2447" s="6" t="inlineStr">
        <is>
          <t>Informado</t>
        </is>
      </c>
      <c r="K2447" s="6" t="inlineStr">
        <is>
          <t>Demanda doméstica fixa informada pelo usuário.</t>
        </is>
      </c>
    </row>
    <row r="2448">
      <c r="A2448" s="6" t="inlineStr">
        <is>
          <t>Soja</t>
        </is>
      </c>
      <c r="B2448" s="6" t="inlineStr">
        <is>
          <t>Aracaju - SE</t>
        </is>
      </c>
      <c r="C2448" s="6" t="n">
        <v>-10.9091</v>
      </c>
      <c r="D2448" s="6" t="n">
        <v>-37.0677</v>
      </c>
      <c r="E2448" s="6" t="inlineStr">
        <is>
          <t>2023-11</t>
        </is>
      </c>
      <c r="F2448" s="6" t="n">
        <v>23094.4559228702</v>
      </c>
      <c r="G2448" s="6" t="inlineStr">
        <is>
          <t>DOMESTICA</t>
        </is>
      </c>
      <c r="H2448" s="6" t="inlineStr">
        <is>
          <t>FIXO</t>
        </is>
      </c>
      <c r="I2448" s="11">
        <f>IF($H2448="AUTO_OFERTA_TOTAL_PRODUTO_PERIODO",SUMIFS(Oferta!$F:$F,Oferta!$A:$A,$A2448,Oferta!$E:$E,$E2448),$F2448)</f>
        <v/>
      </c>
      <c r="J2448" s="6" t="inlineStr">
        <is>
          <t>Informado</t>
        </is>
      </c>
      <c r="K2448" s="6" t="inlineStr">
        <is>
          <t>Demanda doméstica fixa informada pelo usuário.</t>
        </is>
      </c>
    </row>
    <row r="2449">
      <c r="A2449" s="6" t="inlineStr">
        <is>
          <t>Soja</t>
        </is>
      </c>
      <c r="B2449" s="6" t="inlineStr">
        <is>
          <t>Aracaju - SE</t>
        </is>
      </c>
      <c r="C2449" s="6" t="n">
        <v>-10.9091</v>
      </c>
      <c r="D2449" s="6" t="n">
        <v>-37.0677</v>
      </c>
      <c r="E2449" s="6" t="inlineStr">
        <is>
          <t>2023-12</t>
        </is>
      </c>
      <c r="F2449" s="6" t="n">
        <v>23094.4559228702</v>
      </c>
      <c r="G2449" s="6" t="inlineStr">
        <is>
          <t>DOMESTICA</t>
        </is>
      </c>
      <c r="H2449" s="6" t="inlineStr">
        <is>
          <t>FIXO</t>
        </is>
      </c>
      <c r="I2449" s="11">
        <f>IF($H2449="AUTO_OFERTA_TOTAL_PRODUTO_PERIODO",SUMIFS(Oferta!$F:$F,Oferta!$A:$A,$A2449,Oferta!$E:$E,$E2449),$F2449)</f>
        <v/>
      </c>
      <c r="J2449" s="6" t="inlineStr">
        <is>
          <t>Informado</t>
        </is>
      </c>
      <c r="K2449" s="6" t="inlineStr">
        <is>
          <t>Demanda doméstica fixa informada pelo usuário.</t>
        </is>
      </c>
    </row>
    <row r="2450">
      <c r="A2450" s="6" t="inlineStr">
        <is>
          <t>Soja</t>
        </is>
      </c>
      <c r="B2450" s="6" t="inlineStr">
        <is>
          <t>Natal - RN</t>
        </is>
      </c>
      <c r="C2450" s="6" t="n">
        <v>-5.79357</v>
      </c>
      <c r="D2450" s="6" t="n">
        <v>-35.1986</v>
      </c>
      <c r="E2450" s="6" t="inlineStr">
        <is>
          <t>2023-01</t>
        </is>
      </c>
      <c r="F2450" s="6" t="n">
        <v>30474.4672147535</v>
      </c>
      <c r="G2450" s="6" t="inlineStr">
        <is>
          <t>DOMESTICA</t>
        </is>
      </c>
      <c r="H2450" s="6" t="inlineStr">
        <is>
          <t>FIXO</t>
        </is>
      </c>
      <c r="I2450" s="11">
        <f>IF($H2450="AUTO_OFERTA_TOTAL_PRODUTO_PERIODO",SUMIFS(Oferta!$F:$F,Oferta!$A:$A,$A2450,Oferta!$E:$E,$E2450),$F2450)</f>
        <v/>
      </c>
      <c r="J2450" s="6" t="inlineStr">
        <is>
          <t>Informado</t>
        </is>
      </c>
      <c r="K2450" s="6" t="inlineStr">
        <is>
          <t>Demanda doméstica fixa informada pelo usuário.</t>
        </is>
      </c>
    </row>
    <row r="2451">
      <c r="A2451" s="6" t="inlineStr">
        <is>
          <t>Soja</t>
        </is>
      </c>
      <c r="B2451" s="6" t="inlineStr">
        <is>
          <t>Natal - RN</t>
        </is>
      </c>
      <c r="C2451" s="6" t="n">
        <v>-5.79357</v>
      </c>
      <c r="D2451" s="6" t="n">
        <v>-35.1986</v>
      </c>
      <c r="E2451" s="6" t="inlineStr">
        <is>
          <t>2023-02</t>
        </is>
      </c>
      <c r="F2451" s="6" t="n">
        <v>30474.4672147535</v>
      </c>
      <c r="G2451" s="6" t="inlineStr">
        <is>
          <t>DOMESTICA</t>
        </is>
      </c>
      <c r="H2451" s="6" t="inlineStr">
        <is>
          <t>FIXO</t>
        </is>
      </c>
      <c r="I2451" s="11">
        <f>IF($H2451="AUTO_OFERTA_TOTAL_PRODUTO_PERIODO",SUMIFS(Oferta!$F:$F,Oferta!$A:$A,$A2451,Oferta!$E:$E,$E2451),$F2451)</f>
        <v/>
      </c>
      <c r="J2451" s="6" t="inlineStr">
        <is>
          <t>Informado</t>
        </is>
      </c>
      <c r="K2451" s="6" t="inlineStr">
        <is>
          <t>Demanda doméstica fixa informada pelo usuário.</t>
        </is>
      </c>
    </row>
    <row r="2452">
      <c r="A2452" s="6" t="inlineStr">
        <is>
          <t>Soja</t>
        </is>
      </c>
      <c r="B2452" s="6" t="inlineStr">
        <is>
          <t>Natal - RN</t>
        </is>
      </c>
      <c r="C2452" s="6" t="n">
        <v>-5.79357</v>
      </c>
      <c r="D2452" s="6" t="n">
        <v>-35.1986</v>
      </c>
      <c r="E2452" s="6" t="inlineStr">
        <is>
          <t>2023-03</t>
        </is>
      </c>
      <c r="F2452" s="6" t="n">
        <v>30474.4672147535</v>
      </c>
      <c r="G2452" s="6" t="inlineStr">
        <is>
          <t>DOMESTICA</t>
        </is>
      </c>
      <c r="H2452" s="6" t="inlineStr">
        <is>
          <t>FIXO</t>
        </is>
      </c>
      <c r="I2452" s="11">
        <f>IF($H2452="AUTO_OFERTA_TOTAL_PRODUTO_PERIODO",SUMIFS(Oferta!$F:$F,Oferta!$A:$A,$A2452,Oferta!$E:$E,$E2452),$F2452)</f>
        <v/>
      </c>
      <c r="J2452" s="6" t="inlineStr">
        <is>
          <t>Informado</t>
        </is>
      </c>
      <c r="K2452" s="6" t="inlineStr">
        <is>
          <t>Demanda doméstica fixa informada pelo usuário.</t>
        </is>
      </c>
    </row>
    <row r="2453">
      <c r="A2453" s="6" t="inlineStr">
        <is>
          <t>Soja</t>
        </is>
      </c>
      <c r="B2453" s="6" t="inlineStr">
        <is>
          <t>Natal - RN</t>
        </is>
      </c>
      <c r="C2453" s="6" t="n">
        <v>-5.79357</v>
      </c>
      <c r="D2453" s="6" t="n">
        <v>-35.1986</v>
      </c>
      <c r="E2453" s="6" t="inlineStr">
        <is>
          <t>2023-04</t>
        </is>
      </c>
      <c r="F2453" s="6" t="n">
        <v>30474.4672147535</v>
      </c>
      <c r="G2453" s="6" t="inlineStr">
        <is>
          <t>DOMESTICA</t>
        </is>
      </c>
      <c r="H2453" s="6" t="inlineStr">
        <is>
          <t>FIXO</t>
        </is>
      </c>
      <c r="I2453" s="11">
        <f>IF($H2453="AUTO_OFERTA_TOTAL_PRODUTO_PERIODO",SUMIFS(Oferta!$F:$F,Oferta!$A:$A,$A2453,Oferta!$E:$E,$E2453),$F2453)</f>
        <v/>
      </c>
      <c r="J2453" s="6" t="inlineStr">
        <is>
          <t>Informado</t>
        </is>
      </c>
      <c r="K2453" s="6" t="inlineStr">
        <is>
          <t>Demanda doméstica fixa informada pelo usuário.</t>
        </is>
      </c>
    </row>
    <row r="2454">
      <c r="A2454" s="6" t="inlineStr">
        <is>
          <t>Soja</t>
        </is>
      </c>
      <c r="B2454" s="6" t="inlineStr">
        <is>
          <t>Natal - RN</t>
        </is>
      </c>
      <c r="C2454" s="6" t="n">
        <v>-5.79357</v>
      </c>
      <c r="D2454" s="6" t="n">
        <v>-35.1986</v>
      </c>
      <c r="E2454" s="6" t="inlineStr">
        <is>
          <t>2023-05</t>
        </is>
      </c>
      <c r="F2454" s="6" t="n">
        <v>30474.4672147535</v>
      </c>
      <c r="G2454" s="6" t="inlineStr">
        <is>
          <t>DOMESTICA</t>
        </is>
      </c>
      <c r="H2454" s="6" t="inlineStr">
        <is>
          <t>FIXO</t>
        </is>
      </c>
      <c r="I2454" s="11">
        <f>IF($H2454="AUTO_OFERTA_TOTAL_PRODUTO_PERIODO",SUMIFS(Oferta!$F:$F,Oferta!$A:$A,$A2454,Oferta!$E:$E,$E2454),$F2454)</f>
        <v/>
      </c>
      <c r="J2454" s="6" t="inlineStr">
        <is>
          <t>Informado</t>
        </is>
      </c>
      <c r="K2454" s="6" t="inlineStr">
        <is>
          <t>Demanda doméstica fixa informada pelo usuário.</t>
        </is>
      </c>
    </row>
    <row r="2455">
      <c r="A2455" s="6" t="inlineStr">
        <is>
          <t>Soja</t>
        </is>
      </c>
      <c r="B2455" s="6" t="inlineStr">
        <is>
          <t>Natal - RN</t>
        </is>
      </c>
      <c r="C2455" s="6" t="n">
        <v>-5.79357</v>
      </c>
      <c r="D2455" s="6" t="n">
        <v>-35.1986</v>
      </c>
      <c r="E2455" s="6" t="inlineStr">
        <is>
          <t>2023-06</t>
        </is>
      </c>
      <c r="F2455" s="6" t="n">
        <v>30474.4672147535</v>
      </c>
      <c r="G2455" s="6" t="inlineStr">
        <is>
          <t>DOMESTICA</t>
        </is>
      </c>
      <c r="H2455" s="6" t="inlineStr">
        <is>
          <t>FIXO</t>
        </is>
      </c>
      <c r="I2455" s="11">
        <f>IF($H2455="AUTO_OFERTA_TOTAL_PRODUTO_PERIODO",SUMIFS(Oferta!$F:$F,Oferta!$A:$A,$A2455,Oferta!$E:$E,$E2455),$F2455)</f>
        <v/>
      </c>
      <c r="J2455" s="6" t="inlineStr">
        <is>
          <t>Informado</t>
        </is>
      </c>
      <c r="K2455" s="6" t="inlineStr">
        <is>
          <t>Demanda doméstica fixa informada pelo usuário.</t>
        </is>
      </c>
    </row>
    <row r="2456">
      <c r="A2456" s="6" t="inlineStr">
        <is>
          <t>Soja</t>
        </is>
      </c>
      <c r="B2456" s="6" t="inlineStr">
        <is>
          <t>Natal - RN</t>
        </is>
      </c>
      <c r="C2456" s="6" t="n">
        <v>-5.79357</v>
      </c>
      <c r="D2456" s="6" t="n">
        <v>-35.1986</v>
      </c>
      <c r="E2456" s="6" t="inlineStr">
        <is>
          <t>2023-07</t>
        </is>
      </c>
      <c r="F2456" s="6" t="n">
        <v>30474.4672147535</v>
      </c>
      <c r="G2456" s="6" t="inlineStr">
        <is>
          <t>DOMESTICA</t>
        </is>
      </c>
      <c r="H2456" s="6" t="inlineStr">
        <is>
          <t>FIXO</t>
        </is>
      </c>
      <c r="I2456" s="11">
        <f>IF($H2456="AUTO_OFERTA_TOTAL_PRODUTO_PERIODO",SUMIFS(Oferta!$F:$F,Oferta!$A:$A,$A2456,Oferta!$E:$E,$E2456),$F2456)</f>
        <v/>
      </c>
      <c r="J2456" s="6" t="inlineStr">
        <is>
          <t>Informado</t>
        </is>
      </c>
      <c r="K2456" s="6" t="inlineStr">
        <is>
          <t>Demanda doméstica fixa informada pelo usuário.</t>
        </is>
      </c>
    </row>
    <row r="2457">
      <c r="A2457" s="6" t="inlineStr">
        <is>
          <t>Soja</t>
        </is>
      </c>
      <c r="B2457" s="6" t="inlineStr">
        <is>
          <t>Natal - RN</t>
        </is>
      </c>
      <c r="C2457" s="6" t="n">
        <v>-5.79357</v>
      </c>
      <c r="D2457" s="6" t="n">
        <v>-35.1986</v>
      </c>
      <c r="E2457" s="6" t="inlineStr">
        <is>
          <t>2023-08</t>
        </is>
      </c>
      <c r="F2457" s="6" t="n">
        <v>30474.4672147535</v>
      </c>
      <c r="G2457" s="6" t="inlineStr">
        <is>
          <t>DOMESTICA</t>
        </is>
      </c>
      <c r="H2457" s="6" t="inlineStr">
        <is>
          <t>FIXO</t>
        </is>
      </c>
      <c r="I2457" s="11">
        <f>IF($H2457="AUTO_OFERTA_TOTAL_PRODUTO_PERIODO",SUMIFS(Oferta!$F:$F,Oferta!$A:$A,$A2457,Oferta!$E:$E,$E2457),$F2457)</f>
        <v/>
      </c>
      <c r="J2457" s="6" t="inlineStr">
        <is>
          <t>Informado</t>
        </is>
      </c>
      <c r="K2457" s="6" t="inlineStr">
        <is>
          <t>Demanda doméstica fixa informada pelo usuário.</t>
        </is>
      </c>
    </row>
    <row r="2458">
      <c r="A2458" s="6" t="inlineStr">
        <is>
          <t>Soja</t>
        </is>
      </c>
      <c r="B2458" s="6" t="inlineStr">
        <is>
          <t>Natal - RN</t>
        </is>
      </c>
      <c r="C2458" s="6" t="n">
        <v>-5.79357</v>
      </c>
      <c r="D2458" s="6" t="n">
        <v>-35.1986</v>
      </c>
      <c r="E2458" s="6" t="inlineStr">
        <is>
          <t>2023-09</t>
        </is>
      </c>
      <c r="F2458" s="6" t="n">
        <v>30474.4672147535</v>
      </c>
      <c r="G2458" s="6" t="inlineStr">
        <is>
          <t>DOMESTICA</t>
        </is>
      </c>
      <c r="H2458" s="6" t="inlineStr">
        <is>
          <t>FIXO</t>
        </is>
      </c>
      <c r="I2458" s="11">
        <f>IF($H2458="AUTO_OFERTA_TOTAL_PRODUTO_PERIODO",SUMIFS(Oferta!$F:$F,Oferta!$A:$A,$A2458,Oferta!$E:$E,$E2458),$F2458)</f>
        <v/>
      </c>
      <c r="J2458" s="6" t="inlineStr">
        <is>
          <t>Informado</t>
        </is>
      </c>
      <c r="K2458" s="6" t="inlineStr">
        <is>
          <t>Demanda doméstica fixa informada pelo usuário.</t>
        </is>
      </c>
    </row>
    <row r="2459">
      <c r="A2459" s="6" t="inlineStr">
        <is>
          <t>Soja</t>
        </is>
      </c>
      <c r="B2459" s="6" t="inlineStr">
        <is>
          <t>Natal - RN</t>
        </is>
      </c>
      <c r="C2459" s="6" t="n">
        <v>-5.79357</v>
      </c>
      <c r="D2459" s="6" t="n">
        <v>-35.1986</v>
      </c>
      <c r="E2459" s="6" t="inlineStr">
        <is>
          <t>2023-10</t>
        </is>
      </c>
      <c r="F2459" s="6" t="n">
        <v>30474.4672147535</v>
      </c>
      <c r="G2459" s="6" t="inlineStr">
        <is>
          <t>DOMESTICA</t>
        </is>
      </c>
      <c r="H2459" s="6" t="inlineStr">
        <is>
          <t>FIXO</t>
        </is>
      </c>
      <c r="I2459" s="11">
        <f>IF($H2459="AUTO_OFERTA_TOTAL_PRODUTO_PERIODO",SUMIFS(Oferta!$F:$F,Oferta!$A:$A,$A2459,Oferta!$E:$E,$E2459),$F2459)</f>
        <v/>
      </c>
      <c r="J2459" s="6" t="inlineStr">
        <is>
          <t>Informado</t>
        </is>
      </c>
      <c r="K2459" s="6" t="inlineStr">
        <is>
          <t>Demanda doméstica fixa informada pelo usuário.</t>
        </is>
      </c>
    </row>
    <row r="2460">
      <c r="A2460" s="6" t="inlineStr">
        <is>
          <t>Soja</t>
        </is>
      </c>
      <c r="B2460" s="6" t="inlineStr">
        <is>
          <t>Natal - RN</t>
        </is>
      </c>
      <c r="C2460" s="6" t="n">
        <v>-5.79357</v>
      </c>
      <c r="D2460" s="6" t="n">
        <v>-35.1986</v>
      </c>
      <c r="E2460" s="6" t="inlineStr">
        <is>
          <t>2023-11</t>
        </is>
      </c>
      <c r="F2460" s="6" t="n">
        <v>30474.4672147535</v>
      </c>
      <c r="G2460" s="6" t="inlineStr">
        <is>
          <t>DOMESTICA</t>
        </is>
      </c>
      <c r="H2460" s="6" t="inlineStr">
        <is>
          <t>FIXO</t>
        </is>
      </c>
      <c r="I2460" s="11">
        <f>IF($H2460="AUTO_OFERTA_TOTAL_PRODUTO_PERIODO",SUMIFS(Oferta!$F:$F,Oferta!$A:$A,$A2460,Oferta!$E:$E,$E2460),$F2460)</f>
        <v/>
      </c>
      <c r="J2460" s="6" t="inlineStr">
        <is>
          <t>Informado</t>
        </is>
      </c>
      <c r="K2460" s="6" t="inlineStr">
        <is>
          <t>Demanda doméstica fixa informada pelo usuário.</t>
        </is>
      </c>
    </row>
    <row r="2461">
      <c r="A2461" s="6" t="inlineStr">
        <is>
          <t>Soja</t>
        </is>
      </c>
      <c r="B2461" s="6" t="inlineStr">
        <is>
          <t>Natal - RN</t>
        </is>
      </c>
      <c r="C2461" s="6" t="n">
        <v>-5.79357</v>
      </c>
      <c r="D2461" s="6" t="n">
        <v>-35.1986</v>
      </c>
      <c r="E2461" s="6" t="inlineStr">
        <is>
          <t>2023-12</t>
        </is>
      </c>
      <c r="F2461" s="6" t="n">
        <v>30474.4672147535</v>
      </c>
      <c r="G2461" s="6" t="inlineStr">
        <is>
          <t>DOMESTICA</t>
        </is>
      </c>
      <c r="H2461" s="6" t="inlineStr">
        <is>
          <t>FIXO</t>
        </is>
      </c>
      <c r="I2461" s="11">
        <f>IF($H2461="AUTO_OFERTA_TOTAL_PRODUTO_PERIODO",SUMIFS(Oferta!$F:$F,Oferta!$A:$A,$A2461,Oferta!$E:$E,$E2461),$F2461)</f>
        <v/>
      </c>
      <c r="J2461" s="6" t="inlineStr">
        <is>
          <t>Informado</t>
        </is>
      </c>
      <c r="K2461" s="6" t="inlineStr">
        <is>
          <t>Demanda doméstica fixa informada pelo usuário.</t>
        </is>
      </c>
    </row>
    <row r="2462">
      <c r="A2462" s="6" t="inlineStr">
        <is>
          <t>Soja</t>
        </is>
      </c>
      <c r="B2462" s="6" t="inlineStr">
        <is>
          <t>Brasília - DF</t>
        </is>
      </c>
      <c r="C2462" s="6" t="n">
        <v>-15.7795</v>
      </c>
      <c r="D2462" s="6" t="n">
        <v>-47.9297</v>
      </c>
      <c r="E2462" s="6" t="inlineStr">
        <is>
          <t>2023-01</t>
        </is>
      </c>
      <c r="F2462" s="6" t="n">
        <v>17344.9288468268</v>
      </c>
      <c r="G2462" s="6" t="inlineStr">
        <is>
          <t>DOMESTICA</t>
        </is>
      </c>
      <c r="H2462" s="6" t="inlineStr">
        <is>
          <t>FIXO</t>
        </is>
      </c>
      <c r="I2462" s="11">
        <f>IF($H2462="AUTO_OFERTA_TOTAL_PRODUTO_PERIODO",SUMIFS(Oferta!$F:$F,Oferta!$A:$A,$A2462,Oferta!$E:$E,$E2462),$F2462)</f>
        <v/>
      </c>
      <c r="J2462" s="6" t="inlineStr">
        <is>
          <t>Informado</t>
        </is>
      </c>
      <c r="K2462" s="6" t="inlineStr">
        <is>
          <t>Demanda doméstica fixa informada pelo usuário.</t>
        </is>
      </c>
    </row>
    <row r="2463">
      <c r="A2463" s="6" t="inlineStr">
        <is>
          <t>Soja</t>
        </is>
      </c>
      <c r="B2463" s="6" t="inlineStr">
        <is>
          <t>Brasília - DF</t>
        </is>
      </c>
      <c r="C2463" s="6" t="n">
        <v>-15.7795</v>
      </c>
      <c r="D2463" s="6" t="n">
        <v>-47.9297</v>
      </c>
      <c r="E2463" s="6" t="inlineStr">
        <is>
          <t>2023-02</t>
        </is>
      </c>
      <c r="F2463" s="6" t="n">
        <v>17344.9288468268</v>
      </c>
      <c r="G2463" s="6" t="inlineStr">
        <is>
          <t>DOMESTICA</t>
        </is>
      </c>
      <c r="H2463" s="6" t="inlineStr">
        <is>
          <t>FIXO</t>
        </is>
      </c>
      <c r="I2463" s="11">
        <f>IF($H2463="AUTO_OFERTA_TOTAL_PRODUTO_PERIODO",SUMIFS(Oferta!$F:$F,Oferta!$A:$A,$A2463,Oferta!$E:$E,$E2463),$F2463)</f>
        <v/>
      </c>
      <c r="J2463" s="6" t="inlineStr">
        <is>
          <t>Informado</t>
        </is>
      </c>
      <c r="K2463" s="6" t="inlineStr">
        <is>
          <t>Demanda doméstica fixa informada pelo usuário.</t>
        </is>
      </c>
    </row>
    <row r="2464">
      <c r="A2464" s="6" t="inlineStr">
        <is>
          <t>Soja</t>
        </is>
      </c>
      <c r="B2464" s="6" t="inlineStr">
        <is>
          <t>Brasília - DF</t>
        </is>
      </c>
      <c r="C2464" s="6" t="n">
        <v>-15.7795</v>
      </c>
      <c r="D2464" s="6" t="n">
        <v>-47.9297</v>
      </c>
      <c r="E2464" s="6" t="inlineStr">
        <is>
          <t>2023-03</t>
        </is>
      </c>
      <c r="F2464" s="6" t="n">
        <v>27817.338716609</v>
      </c>
      <c r="G2464" s="6" t="inlineStr">
        <is>
          <t>DOMESTICA</t>
        </is>
      </c>
      <c r="H2464" s="6" t="inlineStr">
        <is>
          <t>FIXO</t>
        </is>
      </c>
      <c r="I2464" s="11">
        <f>IF($H2464="AUTO_OFERTA_TOTAL_PRODUTO_PERIODO",SUMIFS(Oferta!$F:$F,Oferta!$A:$A,$A2464,Oferta!$E:$E,$E2464),$F2464)</f>
        <v/>
      </c>
      <c r="J2464" s="6" t="inlineStr">
        <is>
          <t>Informado</t>
        </is>
      </c>
      <c r="K2464" s="6" t="inlineStr">
        <is>
          <t>Demanda doméstica fixa informada pelo usuário.</t>
        </is>
      </c>
    </row>
    <row r="2465">
      <c r="A2465" s="6" t="inlineStr">
        <is>
          <t>Soja</t>
        </is>
      </c>
      <c r="B2465" s="6" t="inlineStr">
        <is>
          <t>Brasília - DF</t>
        </is>
      </c>
      <c r="C2465" s="6" t="n">
        <v>-15.7795</v>
      </c>
      <c r="D2465" s="6" t="n">
        <v>-47.9297</v>
      </c>
      <c r="E2465" s="6" t="inlineStr">
        <is>
          <t>2023-04</t>
        </is>
      </c>
      <c r="F2465" s="6" t="n">
        <v>38289.7485863912</v>
      </c>
      <c r="G2465" s="6" t="inlineStr">
        <is>
          <t>DOMESTICA</t>
        </is>
      </c>
      <c r="H2465" s="6" t="inlineStr">
        <is>
          <t>FIXO</t>
        </is>
      </c>
      <c r="I2465" s="11">
        <f>IF($H2465="AUTO_OFERTA_TOTAL_PRODUTO_PERIODO",SUMIFS(Oferta!$F:$F,Oferta!$A:$A,$A2465,Oferta!$E:$E,$E2465),$F2465)</f>
        <v/>
      </c>
      <c r="J2465" s="6" t="inlineStr">
        <is>
          <t>Informado</t>
        </is>
      </c>
      <c r="K2465" s="6" t="inlineStr">
        <is>
          <t>Demanda doméstica fixa informada pelo usuário.</t>
        </is>
      </c>
    </row>
    <row r="2466">
      <c r="A2466" s="6" t="inlineStr">
        <is>
          <t>Soja</t>
        </is>
      </c>
      <c r="B2466" s="6" t="inlineStr">
        <is>
          <t>Brasília - DF</t>
        </is>
      </c>
      <c r="C2466" s="6" t="n">
        <v>-15.7795</v>
      </c>
      <c r="D2466" s="6" t="n">
        <v>-47.9297</v>
      </c>
      <c r="E2466" s="6" t="inlineStr">
        <is>
          <t>2023-05</t>
        </is>
      </c>
      <c r="F2466" s="6" t="n">
        <v>69706.9781957378</v>
      </c>
      <c r="G2466" s="6" t="inlineStr">
        <is>
          <t>DOMESTICA</t>
        </is>
      </c>
      <c r="H2466" s="6" t="inlineStr">
        <is>
          <t>FIXO</t>
        </is>
      </c>
      <c r="I2466" s="11">
        <f>IF($H2466="AUTO_OFERTA_TOTAL_PRODUTO_PERIODO",SUMIFS(Oferta!$F:$F,Oferta!$A:$A,$A2466,Oferta!$E:$E,$E2466),$F2466)</f>
        <v/>
      </c>
      <c r="J2466" s="6" t="inlineStr">
        <is>
          <t>Informado</t>
        </is>
      </c>
      <c r="K2466" s="6" t="inlineStr">
        <is>
          <t>Demanda doméstica fixa informada pelo usuário.</t>
        </is>
      </c>
    </row>
    <row r="2467">
      <c r="A2467" s="6" t="inlineStr">
        <is>
          <t>Soja</t>
        </is>
      </c>
      <c r="B2467" s="6" t="inlineStr">
        <is>
          <t>Brasília - DF</t>
        </is>
      </c>
      <c r="C2467" s="6" t="n">
        <v>-15.7795</v>
      </c>
      <c r="D2467" s="6" t="n">
        <v>-47.9297</v>
      </c>
      <c r="E2467" s="6" t="inlineStr">
        <is>
          <t>2023-06</t>
        </is>
      </c>
      <c r="F2467" s="6" t="n">
        <v>69706.9781957378</v>
      </c>
      <c r="G2467" s="6" t="inlineStr">
        <is>
          <t>DOMESTICA</t>
        </is>
      </c>
      <c r="H2467" s="6" t="inlineStr">
        <is>
          <t>FIXO</t>
        </is>
      </c>
      <c r="I2467" s="11">
        <f>IF($H2467="AUTO_OFERTA_TOTAL_PRODUTO_PERIODO",SUMIFS(Oferta!$F:$F,Oferta!$A:$A,$A2467,Oferta!$E:$E,$E2467),$F2467)</f>
        <v/>
      </c>
      <c r="J2467" s="6" t="inlineStr">
        <is>
          <t>Informado</t>
        </is>
      </c>
      <c r="K2467" s="6" t="inlineStr">
        <is>
          <t>Demanda doméstica fixa informada pelo usuário.</t>
        </is>
      </c>
    </row>
    <row r="2468">
      <c r="A2468" s="6" t="inlineStr">
        <is>
          <t>Soja</t>
        </is>
      </c>
      <c r="B2468" s="6" t="inlineStr">
        <is>
          <t>Brasília - DF</t>
        </is>
      </c>
      <c r="C2468" s="6" t="n">
        <v>-15.7795</v>
      </c>
      <c r="D2468" s="6" t="n">
        <v>-47.9297</v>
      </c>
      <c r="E2468" s="6" t="inlineStr">
        <is>
          <t>2023-07</t>
        </is>
      </c>
      <c r="F2468" s="6" t="n">
        <v>59234.5683259556</v>
      </c>
      <c r="G2468" s="6" t="inlineStr">
        <is>
          <t>DOMESTICA</t>
        </is>
      </c>
      <c r="H2468" s="6" t="inlineStr">
        <is>
          <t>FIXO</t>
        </is>
      </c>
      <c r="I2468" s="11">
        <f>IF($H2468="AUTO_OFERTA_TOTAL_PRODUTO_PERIODO",SUMIFS(Oferta!$F:$F,Oferta!$A:$A,$A2468,Oferta!$E:$E,$E2468),$F2468)</f>
        <v/>
      </c>
      <c r="J2468" s="6" t="inlineStr">
        <is>
          <t>Informado</t>
        </is>
      </c>
      <c r="K2468" s="6" t="inlineStr">
        <is>
          <t>Demanda doméstica fixa informada pelo usuário.</t>
        </is>
      </c>
    </row>
    <row r="2469">
      <c r="A2469" s="6" t="inlineStr">
        <is>
          <t>Soja</t>
        </is>
      </c>
      <c r="B2469" s="6" t="inlineStr">
        <is>
          <t>Brasília - DF</t>
        </is>
      </c>
      <c r="C2469" s="6" t="n">
        <v>-15.7795</v>
      </c>
      <c r="D2469" s="6" t="n">
        <v>-47.9297</v>
      </c>
      <c r="E2469" s="6" t="inlineStr">
        <is>
          <t>2023-08</t>
        </is>
      </c>
      <c r="F2469" s="6" t="n">
        <v>27817.338716609</v>
      </c>
      <c r="G2469" s="6" t="inlineStr">
        <is>
          <t>DOMESTICA</t>
        </is>
      </c>
      <c r="H2469" s="6" t="inlineStr">
        <is>
          <t>FIXO</t>
        </is>
      </c>
      <c r="I2469" s="11">
        <f>IF($H2469="AUTO_OFERTA_TOTAL_PRODUTO_PERIODO",SUMIFS(Oferta!$F:$F,Oferta!$A:$A,$A2469,Oferta!$E:$E,$E2469),$F2469)</f>
        <v/>
      </c>
      <c r="J2469" s="6" t="inlineStr">
        <is>
          <t>Informado</t>
        </is>
      </c>
      <c r="K2469" s="6" t="inlineStr">
        <is>
          <t>Demanda doméstica fixa informada pelo usuário.</t>
        </is>
      </c>
    </row>
    <row r="2470">
      <c r="A2470" s="6" t="inlineStr">
        <is>
          <t>Soja</t>
        </is>
      </c>
      <c r="B2470" s="6" t="inlineStr">
        <is>
          <t>Brasília - DF</t>
        </is>
      </c>
      <c r="C2470" s="6" t="n">
        <v>-15.7795</v>
      </c>
      <c r="D2470" s="6" t="n">
        <v>-47.9297</v>
      </c>
      <c r="E2470" s="6" t="inlineStr">
        <is>
          <t>2023-09</t>
        </is>
      </c>
      <c r="F2470" s="6" t="n">
        <v>17344.9288468268</v>
      </c>
      <c r="G2470" s="6" t="inlineStr">
        <is>
          <t>DOMESTICA</t>
        </is>
      </c>
      <c r="H2470" s="6" t="inlineStr">
        <is>
          <t>FIXO</t>
        </is>
      </c>
      <c r="I2470" s="11">
        <f>IF($H2470="AUTO_OFERTA_TOTAL_PRODUTO_PERIODO",SUMIFS(Oferta!$F:$F,Oferta!$A:$A,$A2470,Oferta!$E:$E,$E2470),$F2470)</f>
        <v/>
      </c>
      <c r="J2470" s="6" t="inlineStr">
        <is>
          <t>Informado</t>
        </is>
      </c>
      <c r="K2470" s="6" t="inlineStr">
        <is>
          <t>Demanda doméstica fixa informada pelo usuário.</t>
        </is>
      </c>
    </row>
    <row r="2471">
      <c r="A2471" s="6" t="inlineStr">
        <is>
          <t>Soja</t>
        </is>
      </c>
      <c r="B2471" s="6" t="inlineStr">
        <is>
          <t>Brasília - DF</t>
        </is>
      </c>
      <c r="C2471" s="6" t="n">
        <v>-15.7795</v>
      </c>
      <c r="D2471" s="6" t="n">
        <v>-47.9297</v>
      </c>
      <c r="E2471" s="6" t="inlineStr">
        <is>
          <t>2023-10</t>
        </is>
      </c>
      <c r="F2471" s="6" t="n">
        <v>17344.9288468268</v>
      </c>
      <c r="G2471" s="6" t="inlineStr">
        <is>
          <t>DOMESTICA</t>
        </is>
      </c>
      <c r="H2471" s="6" t="inlineStr">
        <is>
          <t>FIXO</t>
        </is>
      </c>
      <c r="I2471" s="11">
        <f>IF($H2471="AUTO_OFERTA_TOTAL_PRODUTO_PERIODO",SUMIFS(Oferta!$F:$F,Oferta!$A:$A,$A2471,Oferta!$E:$E,$E2471),$F2471)</f>
        <v/>
      </c>
      <c r="J2471" s="6" t="inlineStr">
        <is>
          <t>Informado</t>
        </is>
      </c>
      <c r="K2471" s="6" t="inlineStr">
        <is>
          <t>Demanda doméstica fixa informada pelo usuário.</t>
        </is>
      </c>
    </row>
    <row r="2472">
      <c r="A2472" s="6" t="inlineStr">
        <is>
          <t>Soja</t>
        </is>
      </c>
      <c r="B2472" s="6" t="inlineStr">
        <is>
          <t>Brasília - DF</t>
        </is>
      </c>
      <c r="C2472" s="6" t="n">
        <v>-15.7795</v>
      </c>
      <c r="D2472" s="6" t="n">
        <v>-47.9297</v>
      </c>
      <c r="E2472" s="6" t="inlineStr">
        <is>
          <t>2023-11</t>
        </is>
      </c>
      <c r="F2472" s="6" t="n">
        <v>17344.9288468268</v>
      </c>
      <c r="G2472" s="6" t="inlineStr">
        <is>
          <t>DOMESTICA</t>
        </is>
      </c>
      <c r="H2472" s="6" t="inlineStr">
        <is>
          <t>FIXO</t>
        </is>
      </c>
      <c r="I2472" s="11">
        <f>IF($H2472="AUTO_OFERTA_TOTAL_PRODUTO_PERIODO",SUMIFS(Oferta!$F:$F,Oferta!$A:$A,$A2472,Oferta!$E:$E,$E2472),$F2472)</f>
        <v/>
      </c>
      <c r="J2472" s="6" t="inlineStr">
        <is>
          <t>Informado</t>
        </is>
      </c>
      <c r="K2472" s="6" t="inlineStr">
        <is>
          <t>Demanda doméstica fixa informada pelo usuário.</t>
        </is>
      </c>
    </row>
    <row r="2473">
      <c r="A2473" s="6" t="inlineStr">
        <is>
          <t>Soja</t>
        </is>
      </c>
      <c r="B2473" s="6" t="inlineStr">
        <is>
          <t>Brasília - DF</t>
        </is>
      </c>
      <c r="C2473" s="6" t="n">
        <v>-15.7795</v>
      </c>
      <c r="D2473" s="6" t="n">
        <v>-47.9297</v>
      </c>
      <c r="E2473" s="6" t="inlineStr">
        <is>
          <t>2023-12</t>
        </is>
      </c>
      <c r="F2473" s="6" t="n">
        <v>17344.9288468268</v>
      </c>
      <c r="G2473" s="6" t="inlineStr">
        <is>
          <t>DOMESTICA</t>
        </is>
      </c>
      <c r="H2473" s="6" t="inlineStr">
        <is>
          <t>FIXO</t>
        </is>
      </c>
      <c r="I2473" s="11">
        <f>IF($H2473="AUTO_OFERTA_TOTAL_PRODUTO_PERIODO",SUMIFS(Oferta!$F:$F,Oferta!$A:$A,$A2473,Oferta!$E:$E,$E2473),$F2473)</f>
        <v/>
      </c>
      <c r="J2473" s="6" t="inlineStr">
        <is>
          <t>Informado</t>
        </is>
      </c>
      <c r="K2473" s="6" t="inlineStr">
        <is>
          <t>Demanda doméstica fixa informada pelo usuário.</t>
        </is>
      </c>
    </row>
    <row r="2474">
      <c r="A2474" s="6" t="inlineStr">
        <is>
          <t>Soja</t>
        </is>
      </c>
      <c r="B2474" s="6" t="inlineStr">
        <is>
          <t>Goiânia - GO</t>
        </is>
      </c>
      <c r="C2474" s="6" t="n">
        <v>-16.6864</v>
      </c>
      <c r="D2474" s="6" t="n">
        <v>-49.2643</v>
      </c>
      <c r="E2474" s="6" t="inlineStr">
        <is>
          <t>2023-01</t>
        </is>
      </c>
      <c r="F2474" s="6" t="n">
        <v>151371.059774991</v>
      </c>
      <c r="G2474" s="6" t="inlineStr">
        <is>
          <t>DOMESTICA</t>
        </is>
      </c>
      <c r="H2474" s="6" t="inlineStr">
        <is>
          <t>FIXO</t>
        </is>
      </c>
      <c r="I2474" s="11">
        <f>IF($H2474="AUTO_OFERTA_TOTAL_PRODUTO_PERIODO",SUMIFS(Oferta!$F:$F,Oferta!$A:$A,$A2474,Oferta!$E:$E,$E2474),$F2474)</f>
        <v/>
      </c>
      <c r="J2474" s="6" t="inlineStr">
        <is>
          <t>Informado</t>
        </is>
      </c>
      <c r="K2474" s="6" t="inlineStr">
        <is>
          <t>Demanda doméstica fixa informada pelo usuário.</t>
        </is>
      </c>
    </row>
    <row r="2475">
      <c r="A2475" s="6" t="inlineStr">
        <is>
          <t>Soja</t>
        </is>
      </c>
      <c r="B2475" s="6" t="inlineStr">
        <is>
          <t>Goiânia - GO</t>
        </is>
      </c>
      <c r="C2475" s="6" t="n">
        <v>-16.6864</v>
      </c>
      <c r="D2475" s="6" t="n">
        <v>-49.2643</v>
      </c>
      <c r="E2475" s="6" t="inlineStr">
        <is>
          <t>2023-02</t>
        </is>
      </c>
      <c r="F2475" s="6" t="n">
        <v>151371.059774991</v>
      </c>
      <c r="G2475" s="6" t="inlineStr">
        <is>
          <t>DOMESTICA</t>
        </is>
      </c>
      <c r="H2475" s="6" t="inlineStr">
        <is>
          <t>FIXO</t>
        </is>
      </c>
      <c r="I2475" s="11">
        <f>IF($H2475="AUTO_OFERTA_TOTAL_PRODUTO_PERIODO",SUMIFS(Oferta!$F:$F,Oferta!$A:$A,$A2475,Oferta!$E:$E,$E2475),$F2475)</f>
        <v/>
      </c>
      <c r="J2475" s="6" t="inlineStr">
        <is>
          <t>Informado</t>
        </is>
      </c>
      <c r="K2475" s="6" t="inlineStr">
        <is>
          <t>Demanda doméstica fixa informada pelo usuário.</t>
        </is>
      </c>
    </row>
    <row r="2476">
      <c r="A2476" s="6" t="inlineStr">
        <is>
          <t>Soja</t>
        </is>
      </c>
      <c r="B2476" s="6" t="inlineStr">
        <is>
          <t>Goiânia - GO</t>
        </is>
      </c>
      <c r="C2476" s="6" t="n">
        <v>-16.6864</v>
      </c>
      <c r="D2476" s="6" t="n">
        <v>-49.2643</v>
      </c>
      <c r="E2476" s="6" t="inlineStr">
        <is>
          <t>2023-03</t>
        </is>
      </c>
      <c r="F2476" s="6" t="n">
        <v>242764.9071863063</v>
      </c>
      <c r="G2476" s="6" t="inlineStr">
        <is>
          <t>DOMESTICA</t>
        </is>
      </c>
      <c r="H2476" s="6" t="inlineStr">
        <is>
          <t>FIXO</t>
        </is>
      </c>
      <c r="I2476" s="11">
        <f>IF($H2476="AUTO_OFERTA_TOTAL_PRODUTO_PERIODO",SUMIFS(Oferta!$F:$F,Oferta!$A:$A,$A2476,Oferta!$E:$E,$E2476),$F2476)</f>
        <v/>
      </c>
      <c r="J2476" s="6" t="inlineStr">
        <is>
          <t>Informado</t>
        </is>
      </c>
      <c r="K2476" s="6" t="inlineStr">
        <is>
          <t>Demanda doméstica fixa informada pelo usuário.</t>
        </is>
      </c>
    </row>
    <row r="2477">
      <c r="A2477" s="6" t="inlineStr">
        <is>
          <t>Soja</t>
        </is>
      </c>
      <c r="B2477" s="6" t="inlineStr">
        <is>
          <t>Goiânia - GO</t>
        </is>
      </c>
      <c r="C2477" s="6" t="n">
        <v>-16.6864</v>
      </c>
      <c r="D2477" s="6" t="n">
        <v>-49.2643</v>
      </c>
      <c r="E2477" s="6" t="inlineStr">
        <is>
          <t>2023-04</t>
        </is>
      </c>
      <c r="F2477" s="6" t="n">
        <v>516946.4494202522</v>
      </c>
      <c r="G2477" s="6" t="inlineStr">
        <is>
          <t>DOMESTICA</t>
        </is>
      </c>
      <c r="H2477" s="6" t="inlineStr">
        <is>
          <t>FIXO</t>
        </is>
      </c>
      <c r="I2477" s="11">
        <f>IF($H2477="AUTO_OFERTA_TOTAL_PRODUTO_PERIODO",SUMIFS(Oferta!$F:$F,Oferta!$A:$A,$A2477,Oferta!$E:$E,$E2477),$F2477)</f>
        <v/>
      </c>
      <c r="J2477" s="6" t="inlineStr">
        <is>
          <t>Informado</t>
        </is>
      </c>
      <c r="K2477" s="6" t="inlineStr">
        <is>
          <t>Demanda doméstica fixa informada pelo usuário.</t>
        </is>
      </c>
    </row>
    <row r="2478">
      <c r="A2478" s="6" t="inlineStr">
        <is>
          <t>Soja</t>
        </is>
      </c>
      <c r="B2478" s="6" t="inlineStr">
        <is>
          <t>Goiânia - GO</t>
        </is>
      </c>
      <c r="C2478" s="6" t="n">
        <v>-16.6864</v>
      </c>
      <c r="D2478" s="6" t="n">
        <v>-49.2643</v>
      </c>
      <c r="E2478" s="6" t="inlineStr">
        <is>
          <t>2023-05</t>
        </is>
      </c>
      <c r="F2478" s="6" t="n">
        <v>608340.2968315674</v>
      </c>
      <c r="G2478" s="6" t="inlineStr">
        <is>
          <t>DOMESTICA</t>
        </is>
      </c>
      <c r="H2478" s="6" t="inlineStr">
        <is>
          <t>FIXO</t>
        </is>
      </c>
      <c r="I2478" s="11">
        <f>IF($H2478="AUTO_OFERTA_TOTAL_PRODUTO_PERIODO",SUMIFS(Oferta!$F:$F,Oferta!$A:$A,$A2478,Oferta!$E:$E,$E2478),$F2478)</f>
        <v/>
      </c>
      <c r="J2478" s="6" t="inlineStr">
        <is>
          <t>Informado</t>
        </is>
      </c>
      <c r="K2478" s="6" t="inlineStr">
        <is>
          <t>Demanda doméstica fixa informada pelo usuário.</t>
        </is>
      </c>
    </row>
    <row r="2479">
      <c r="A2479" s="6" t="inlineStr">
        <is>
          <t>Soja</t>
        </is>
      </c>
      <c r="B2479" s="6" t="inlineStr">
        <is>
          <t>Goiânia - GO</t>
        </is>
      </c>
      <c r="C2479" s="6" t="n">
        <v>-16.6864</v>
      </c>
      <c r="D2479" s="6" t="n">
        <v>-49.2643</v>
      </c>
      <c r="E2479" s="6" t="inlineStr">
        <is>
          <t>2023-06</t>
        </is>
      </c>
      <c r="F2479" s="6" t="n">
        <v>516946.4494202522</v>
      </c>
      <c r="G2479" s="6" t="inlineStr">
        <is>
          <t>DOMESTICA</t>
        </is>
      </c>
      <c r="H2479" s="6" t="inlineStr">
        <is>
          <t>FIXO</t>
        </is>
      </c>
      <c r="I2479" s="11">
        <f>IF($H2479="AUTO_OFERTA_TOTAL_PRODUTO_PERIODO",SUMIFS(Oferta!$F:$F,Oferta!$A:$A,$A2479,Oferta!$E:$E,$E2479),$F2479)</f>
        <v/>
      </c>
      <c r="J2479" s="6" t="inlineStr">
        <is>
          <t>Informado</t>
        </is>
      </c>
      <c r="K2479" s="6" t="inlineStr">
        <is>
          <t>Demanda doméstica fixa informada pelo usuário.</t>
        </is>
      </c>
    </row>
    <row r="2480">
      <c r="A2480" s="6" t="inlineStr">
        <is>
          <t>Soja</t>
        </is>
      </c>
      <c r="B2480" s="6" t="inlineStr">
        <is>
          <t>Goiânia - GO</t>
        </is>
      </c>
      <c r="C2480" s="6" t="n">
        <v>-16.6864</v>
      </c>
      <c r="D2480" s="6" t="n">
        <v>-49.2643</v>
      </c>
      <c r="E2480" s="6" t="inlineStr">
        <is>
          <t>2023-07</t>
        </is>
      </c>
      <c r="F2480" s="6" t="n">
        <v>242764.9071863063</v>
      </c>
      <c r="G2480" s="6" t="inlineStr">
        <is>
          <t>DOMESTICA</t>
        </is>
      </c>
      <c r="H2480" s="6" t="inlineStr">
        <is>
          <t>FIXO</t>
        </is>
      </c>
      <c r="I2480" s="11">
        <f>IF($H2480="AUTO_OFERTA_TOTAL_PRODUTO_PERIODO",SUMIFS(Oferta!$F:$F,Oferta!$A:$A,$A2480,Oferta!$E:$E,$E2480),$F2480)</f>
        <v/>
      </c>
      <c r="J2480" s="6" t="inlineStr">
        <is>
          <t>Informado</t>
        </is>
      </c>
      <c r="K2480" s="6" t="inlineStr">
        <is>
          <t>Demanda doméstica fixa informada pelo usuário.</t>
        </is>
      </c>
    </row>
    <row r="2481">
      <c r="A2481" s="6" t="inlineStr">
        <is>
          <t>Soja</t>
        </is>
      </c>
      <c r="B2481" s="6" t="inlineStr">
        <is>
          <t>Goiânia - GO</t>
        </is>
      </c>
      <c r="C2481" s="6" t="n">
        <v>-16.6864</v>
      </c>
      <c r="D2481" s="6" t="n">
        <v>-49.2643</v>
      </c>
      <c r="E2481" s="6" t="inlineStr">
        <is>
          <t>2023-08</t>
        </is>
      </c>
      <c r="F2481" s="6" t="n">
        <v>151371.059774991</v>
      </c>
      <c r="G2481" s="6" t="inlineStr">
        <is>
          <t>DOMESTICA</t>
        </is>
      </c>
      <c r="H2481" s="6" t="inlineStr">
        <is>
          <t>FIXO</t>
        </is>
      </c>
      <c r="I2481" s="11">
        <f>IF($H2481="AUTO_OFERTA_TOTAL_PRODUTO_PERIODO",SUMIFS(Oferta!$F:$F,Oferta!$A:$A,$A2481,Oferta!$E:$E,$E2481),$F2481)</f>
        <v/>
      </c>
      <c r="J2481" s="6" t="inlineStr">
        <is>
          <t>Informado</t>
        </is>
      </c>
      <c r="K2481" s="6" t="inlineStr">
        <is>
          <t>Demanda doméstica fixa informada pelo usuário.</t>
        </is>
      </c>
    </row>
    <row r="2482">
      <c r="A2482" s="6" t="inlineStr">
        <is>
          <t>Soja</t>
        </is>
      </c>
      <c r="B2482" s="6" t="inlineStr">
        <is>
          <t>Goiânia - GO</t>
        </is>
      </c>
      <c r="C2482" s="6" t="n">
        <v>-16.6864</v>
      </c>
      <c r="D2482" s="6" t="n">
        <v>-49.2643</v>
      </c>
      <c r="E2482" s="6" t="inlineStr">
        <is>
          <t>2023-09</t>
        </is>
      </c>
      <c r="F2482" s="6" t="n">
        <v>151371.059774991</v>
      </c>
      <c r="G2482" s="6" t="inlineStr">
        <is>
          <t>DOMESTICA</t>
        </is>
      </c>
      <c r="H2482" s="6" t="inlineStr">
        <is>
          <t>FIXO</t>
        </is>
      </c>
      <c r="I2482" s="11">
        <f>IF($H2482="AUTO_OFERTA_TOTAL_PRODUTO_PERIODO",SUMIFS(Oferta!$F:$F,Oferta!$A:$A,$A2482,Oferta!$E:$E,$E2482),$F2482)</f>
        <v/>
      </c>
      <c r="J2482" s="6" t="inlineStr">
        <is>
          <t>Informado</t>
        </is>
      </c>
      <c r="K2482" s="6" t="inlineStr">
        <is>
          <t>Demanda doméstica fixa informada pelo usuário.</t>
        </is>
      </c>
    </row>
    <row r="2483">
      <c r="A2483" s="6" t="inlineStr">
        <is>
          <t>Soja</t>
        </is>
      </c>
      <c r="B2483" s="6" t="inlineStr">
        <is>
          <t>Goiânia - GO</t>
        </is>
      </c>
      <c r="C2483" s="6" t="n">
        <v>-16.6864</v>
      </c>
      <c r="D2483" s="6" t="n">
        <v>-49.2643</v>
      </c>
      <c r="E2483" s="6" t="inlineStr">
        <is>
          <t>2023-10</t>
        </is>
      </c>
      <c r="F2483" s="6" t="n">
        <v>151371.059774991</v>
      </c>
      <c r="G2483" s="6" t="inlineStr">
        <is>
          <t>DOMESTICA</t>
        </is>
      </c>
      <c r="H2483" s="6" t="inlineStr">
        <is>
          <t>FIXO</t>
        </is>
      </c>
      <c r="I2483" s="11">
        <f>IF($H2483="AUTO_OFERTA_TOTAL_PRODUTO_PERIODO",SUMIFS(Oferta!$F:$F,Oferta!$A:$A,$A2483,Oferta!$E:$E,$E2483),$F2483)</f>
        <v/>
      </c>
      <c r="J2483" s="6" t="inlineStr">
        <is>
          <t>Informado</t>
        </is>
      </c>
      <c r="K2483" s="6" t="inlineStr">
        <is>
          <t>Demanda doméstica fixa informada pelo usuário.</t>
        </is>
      </c>
    </row>
    <row r="2484">
      <c r="A2484" s="6" t="inlineStr">
        <is>
          <t>Soja</t>
        </is>
      </c>
      <c r="B2484" s="6" t="inlineStr">
        <is>
          <t>Goiânia - GO</t>
        </is>
      </c>
      <c r="C2484" s="6" t="n">
        <v>-16.6864</v>
      </c>
      <c r="D2484" s="6" t="n">
        <v>-49.2643</v>
      </c>
      <c r="E2484" s="6" t="inlineStr">
        <is>
          <t>2023-11</t>
        </is>
      </c>
      <c r="F2484" s="6" t="n">
        <v>151371.059774991</v>
      </c>
      <c r="G2484" s="6" t="inlineStr">
        <is>
          <t>DOMESTICA</t>
        </is>
      </c>
      <c r="H2484" s="6" t="inlineStr">
        <is>
          <t>FIXO</t>
        </is>
      </c>
      <c r="I2484" s="11">
        <f>IF($H2484="AUTO_OFERTA_TOTAL_PRODUTO_PERIODO",SUMIFS(Oferta!$F:$F,Oferta!$A:$A,$A2484,Oferta!$E:$E,$E2484),$F2484)</f>
        <v/>
      </c>
      <c r="J2484" s="6" t="inlineStr">
        <is>
          <t>Informado</t>
        </is>
      </c>
      <c r="K2484" s="6" t="inlineStr">
        <is>
          <t>Demanda doméstica fixa informada pelo usuário.</t>
        </is>
      </c>
    </row>
    <row r="2485">
      <c r="A2485" s="6" t="inlineStr">
        <is>
          <t>Soja</t>
        </is>
      </c>
      <c r="B2485" s="6" t="inlineStr">
        <is>
          <t>Goiânia - GO</t>
        </is>
      </c>
      <c r="C2485" s="6" t="n">
        <v>-16.6864</v>
      </c>
      <c r="D2485" s="6" t="n">
        <v>-49.2643</v>
      </c>
      <c r="E2485" s="6" t="inlineStr">
        <is>
          <t>2023-12</t>
        </is>
      </c>
      <c r="F2485" s="6" t="n">
        <v>151371.059774991</v>
      </c>
      <c r="G2485" s="6" t="inlineStr">
        <is>
          <t>DOMESTICA</t>
        </is>
      </c>
      <c r="H2485" s="6" t="inlineStr">
        <is>
          <t>FIXO</t>
        </is>
      </c>
      <c r="I2485" s="11">
        <f>IF($H2485="AUTO_OFERTA_TOTAL_PRODUTO_PERIODO",SUMIFS(Oferta!$F:$F,Oferta!$A:$A,$A2485,Oferta!$E:$E,$E2485),$F2485)</f>
        <v/>
      </c>
      <c r="J2485" s="6" t="inlineStr">
        <is>
          <t>Informado</t>
        </is>
      </c>
      <c r="K2485" s="6" t="inlineStr">
        <is>
          <t>Demanda doméstica fixa informada pelo usuário.</t>
        </is>
      </c>
    </row>
    <row r="2486">
      <c r="A2486" s="6" t="inlineStr">
        <is>
          <t>Soja</t>
        </is>
      </c>
      <c r="B2486" s="6" t="inlineStr">
        <is>
          <t>Cuiabá - MT</t>
        </is>
      </c>
      <c r="C2486" s="6" t="n">
        <v>-15.601</v>
      </c>
      <c r="D2486" s="6" t="n">
        <v>-56.0974</v>
      </c>
      <c r="E2486" s="6" t="inlineStr">
        <is>
          <t>2023-01</t>
        </is>
      </c>
      <c r="F2486" s="6" t="n">
        <v>185557.8899481498</v>
      </c>
      <c r="G2486" s="6" t="inlineStr">
        <is>
          <t>DOMESTICA</t>
        </is>
      </c>
      <c r="H2486" s="6" t="inlineStr">
        <is>
          <t>FIXO</t>
        </is>
      </c>
      <c r="I2486" s="11">
        <f>IF($H2486="AUTO_OFERTA_TOTAL_PRODUTO_PERIODO",SUMIFS(Oferta!$F:$F,Oferta!$A:$A,$A2486,Oferta!$E:$E,$E2486),$F2486)</f>
        <v/>
      </c>
      <c r="J2486" s="6" t="inlineStr">
        <is>
          <t>Informado</t>
        </is>
      </c>
      <c r="K2486" s="6" t="inlineStr">
        <is>
          <t>Demanda doméstica fixa informada pelo usuário.</t>
        </is>
      </c>
    </row>
    <row r="2487">
      <c r="A2487" s="6" t="inlineStr">
        <is>
          <t>Soja</t>
        </is>
      </c>
      <c r="B2487" s="6" t="inlineStr">
        <is>
          <t>Cuiabá - MT</t>
        </is>
      </c>
      <c r="C2487" s="6" t="n">
        <v>-15.601</v>
      </c>
      <c r="D2487" s="6" t="n">
        <v>-56.0974</v>
      </c>
      <c r="E2487" s="6" t="inlineStr">
        <is>
          <t>2023-02</t>
        </is>
      </c>
      <c r="F2487" s="6" t="n">
        <v>297592.8423696742</v>
      </c>
      <c r="G2487" s="6" t="inlineStr">
        <is>
          <t>DOMESTICA</t>
        </is>
      </c>
      <c r="H2487" s="6" t="inlineStr">
        <is>
          <t>FIXO</t>
        </is>
      </c>
      <c r="I2487" s="11">
        <f>IF($H2487="AUTO_OFERTA_TOTAL_PRODUTO_PERIODO",SUMIFS(Oferta!$F:$F,Oferta!$A:$A,$A2487,Oferta!$E:$E,$E2487),$F2487)</f>
        <v/>
      </c>
      <c r="J2487" s="6" t="inlineStr">
        <is>
          <t>Informado</t>
        </is>
      </c>
      <c r="K2487" s="6" t="inlineStr">
        <is>
          <t>Demanda doméstica fixa informada pelo usuário.</t>
        </is>
      </c>
    </row>
    <row r="2488">
      <c r="A2488" s="6" t="inlineStr">
        <is>
          <t>Soja</t>
        </is>
      </c>
      <c r="B2488" s="6" t="inlineStr">
        <is>
          <t>Cuiabá - MT</t>
        </is>
      </c>
      <c r="C2488" s="6" t="n">
        <v>-15.601</v>
      </c>
      <c r="D2488" s="6" t="n">
        <v>-56.0974</v>
      </c>
      <c r="E2488" s="6" t="inlineStr">
        <is>
          <t>2023-03</t>
        </is>
      </c>
      <c r="F2488" s="6" t="n">
        <v>521662.7472127229</v>
      </c>
      <c r="G2488" s="6" t="inlineStr">
        <is>
          <t>DOMESTICA</t>
        </is>
      </c>
      <c r="H2488" s="6" t="inlineStr">
        <is>
          <t>FIXO</t>
        </is>
      </c>
      <c r="I2488" s="11">
        <f>IF($H2488="AUTO_OFERTA_TOTAL_PRODUTO_PERIODO",SUMIFS(Oferta!$F:$F,Oferta!$A:$A,$A2488,Oferta!$E:$E,$E2488),$F2488)</f>
        <v/>
      </c>
      <c r="J2488" s="6" t="inlineStr">
        <is>
          <t>Informado</t>
        </is>
      </c>
      <c r="K2488" s="6" t="inlineStr">
        <is>
          <t>Demanda doméstica fixa informada pelo usuário.</t>
        </is>
      </c>
    </row>
    <row r="2489">
      <c r="A2489" s="6" t="inlineStr">
        <is>
          <t>Soja</t>
        </is>
      </c>
      <c r="B2489" s="6" t="inlineStr">
        <is>
          <t>Cuiabá - MT</t>
        </is>
      </c>
      <c r="C2489" s="6" t="n">
        <v>-15.601</v>
      </c>
      <c r="D2489" s="6" t="n">
        <v>-56.0974</v>
      </c>
      <c r="E2489" s="6" t="inlineStr">
        <is>
          <t>2023-04</t>
        </is>
      </c>
      <c r="F2489" s="6" t="n">
        <v>745732.6520557717</v>
      </c>
      <c r="G2489" s="6" t="inlineStr">
        <is>
          <t>DOMESTICA</t>
        </is>
      </c>
      <c r="H2489" s="6" t="inlineStr">
        <is>
          <t>FIXO</t>
        </is>
      </c>
      <c r="I2489" s="11">
        <f>IF($H2489="AUTO_OFERTA_TOTAL_PRODUTO_PERIODO",SUMIFS(Oferta!$F:$F,Oferta!$A:$A,$A2489,Oferta!$E:$E,$E2489),$F2489)</f>
        <v/>
      </c>
      <c r="J2489" s="6" t="inlineStr">
        <is>
          <t>Informado</t>
        </is>
      </c>
      <c r="K2489" s="6" t="inlineStr">
        <is>
          <t>Demanda doméstica fixa informada pelo usuário.</t>
        </is>
      </c>
    </row>
    <row r="2490">
      <c r="A2490" s="6" t="inlineStr">
        <is>
          <t>Soja</t>
        </is>
      </c>
      <c r="B2490" s="6" t="inlineStr">
        <is>
          <t>Cuiabá - MT</t>
        </is>
      </c>
      <c r="C2490" s="6" t="n">
        <v>-15.601</v>
      </c>
      <c r="D2490" s="6" t="n">
        <v>-56.0974</v>
      </c>
      <c r="E2490" s="6" t="inlineStr">
        <is>
          <t>2023-05</t>
        </is>
      </c>
      <c r="F2490" s="6" t="n">
        <v>745732.6520557717</v>
      </c>
      <c r="G2490" s="6" t="inlineStr">
        <is>
          <t>DOMESTICA</t>
        </is>
      </c>
      <c r="H2490" s="6" t="inlineStr">
        <is>
          <t>FIXO</t>
        </is>
      </c>
      <c r="I2490" s="11">
        <f>IF($H2490="AUTO_OFERTA_TOTAL_PRODUTO_PERIODO",SUMIFS(Oferta!$F:$F,Oferta!$A:$A,$A2490,Oferta!$E:$E,$E2490),$F2490)</f>
        <v/>
      </c>
      <c r="J2490" s="6" t="inlineStr">
        <is>
          <t>Informado</t>
        </is>
      </c>
      <c r="K2490" s="6" t="inlineStr">
        <is>
          <t>Demanda doméstica fixa informada pelo usuário.</t>
        </is>
      </c>
    </row>
    <row r="2491">
      <c r="A2491" s="6" t="inlineStr">
        <is>
          <t>Soja</t>
        </is>
      </c>
      <c r="B2491" s="6" t="inlineStr">
        <is>
          <t>Cuiabá - MT</t>
        </is>
      </c>
      <c r="C2491" s="6" t="n">
        <v>-15.601</v>
      </c>
      <c r="D2491" s="6" t="n">
        <v>-56.0974</v>
      </c>
      <c r="E2491" s="6" t="inlineStr">
        <is>
          <t>2023-06</t>
        </is>
      </c>
      <c r="F2491" s="6" t="n">
        <v>521662.7472127229</v>
      </c>
      <c r="G2491" s="6" t="inlineStr">
        <is>
          <t>DOMESTICA</t>
        </is>
      </c>
      <c r="H2491" s="6" t="inlineStr">
        <is>
          <t>FIXO</t>
        </is>
      </c>
      <c r="I2491" s="11">
        <f>IF($H2491="AUTO_OFERTA_TOTAL_PRODUTO_PERIODO",SUMIFS(Oferta!$F:$F,Oferta!$A:$A,$A2491,Oferta!$E:$E,$E2491),$F2491)</f>
        <v/>
      </c>
      <c r="J2491" s="6" t="inlineStr">
        <is>
          <t>Informado</t>
        </is>
      </c>
      <c r="K2491" s="6" t="inlineStr">
        <is>
          <t>Demanda doméstica fixa informada pelo usuário.</t>
        </is>
      </c>
    </row>
    <row r="2492">
      <c r="A2492" s="6" t="inlineStr">
        <is>
          <t>Soja</t>
        </is>
      </c>
      <c r="B2492" s="6" t="inlineStr">
        <is>
          <t>Cuiabá - MT</t>
        </is>
      </c>
      <c r="C2492" s="6" t="n">
        <v>-15.601</v>
      </c>
      <c r="D2492" s="6" t="n">
        <v>-56.0974</v>
      </c>
      <c r="E2492" s="6" t="inlineStr">
        <is>
          <t>2023-07</t>
        </is>
      </c>
      <c r="F2492" s="6" t="n">
        <v>297592.8423696742</v>
      </c>
      <c r="G2492" s="6" t="inlineStr">
        <is>
          <t>DOMESTICA</t>
        </is>
      </c>
      <c r="H2492" s="6" t="inlineStr">
        <is>
          <t>FIXO</t>
        </is>
      </c>
      <c r="I2492" s="11">
        <f>IF($H2492="AUTO_OFERTA_TOTAL_PRODUTO_PERIODO",SUMIFS(Oferta!$F:$F,Oferta!$A:$A,$A2492,Oferta!$E:$E,$E2492),$F2492)</f>
        <v/>
      </c>
      <c r="J2492" s="6" t="inlineStr">
        <is>
          <t>Informado</t>
        </is>
      </c>
      <c r="K2492" s="6" t="inlineStr">
        <is>
          <t>Demanda doméstica fixa informada pelo usuário.</t>
        </is>
      </c>
    </row>
    <row r="2493">
      <c r="A2493" s="6" t="inlineStr">
        <is>
          <t>Soja</t>
        </is>
      </c>
      <c r="B2493" s="6" t="inlineStr">
        <is>
          <t>Cuiabá - MT</t>
        </is>
      </c>
      <c r="C2493" s="6" t="n">
        <v>-15.601</v>
      </c>
      <c r="D2493" s="6" t="n">
        <v>-56.0974</v>
      </c>
      <c r="E2493" s="6" t="inlineStr">
        <is>
          <t>2023-08</t>
        </is>
      </c>
      <c r="F2493" s="6" t="n">
        <v>185557.8899481498</v>
      </c>
      <c r="G2493" s="6" t="inlineStr">
        <is>
          <t>DOMESTICA</t>
        </is>
      </c>
      <c r="H2493" s="6" t="inlineStr">
        <is>
          <t>FIXO</t>
        </is>
      </c>
      <c r="I2493" s="11">
        <f>IF($H2493="AUTO_OFERTA_TOTAL_PRODUTO_PERIODO",SUMIFS(Oferta!$F:$F,Oferta!$A:$A,$A2493,Oferta!$E:$E,$E2493),$F2493)</f>
        <v/>
      </c>
      <c r="J2493" s="6" t="inlineStr">
        <is>
          <t>Informado</t>
        </is>
      </c>
      <c r="K2493" s="6" t="inlineStr">
        <is>
          <t>Demanda doméstica fixa informada pelo usuário.</t>
        </is>
      </c>
    </row>
    <row r="2494">
      <c r="A2494" s="6" t="inlineStr">
        <is>
          <t>Soja</t>
        </is>
      </c>
      <c r="B2494" s="6" t="inlineStr">
        <is>
          <t>Cuiabá - MT</t>
        </is>
      </c>
      <c r="C2494" s="6" t="n">
        <v>-15.601</v>
      </c>
      <c r="D2494" s="6" t="n">
        <v>-56.0974</v>
      </c>
      <c r="E2494" s="6" t="inlineStr">
        <is>
          <t>2023-09</t>
        </is>
      </c>
      <c r="F2494" s="6" t="n">
        <v>185557.8899481498</v>
      </c>
      <c r="G2494" s="6" t="inlineStr">
        <is>
          <t>DOMESTICA</t>
        </is>
      </c>
      <c r="H2494" s="6" t="inlineStr">
        <is>
          <t>FIXO</t>
        </is>
      </c>
      <c r="I2494" s="11">
        <f>IF($H2494="AUTO_OFERTA_TOTAL_PRODUTO_PERIODO",SUMIFS(Oferta!$F:$F,Oferta!$A:$A,$A2494,Oferta!$E:$E,$E2494),$F2494)</f>
        <v/>
      </c>
      <c r="J2494" s="6" t="inlineStr">
        <is>
          <t>Informado</t>
        </is>
      </c>
      <c r="K2494" s="6" t="inlineStr">
        <is>
          <t>Demanda doméstica fixa informada pelo usuário.</t>
        </is>
      </c>
    </row>
    <row r="2495">
      <c r="A2495" s="6" t="inlineStr">
        <is>
          <t>Soja</t>
        </is>
      </c>
      <c r="B2495" s="6" t="inlineStr">
        <is>
          <t>Cuiabá - MT</t>
        </is>
      </c>
      <c r="C2495" s="6" t="n">
        <v>-15.601</v>
      </c>
      <c r="D2495" s="6" t="n">
        <v>-56.0974</v>
      </c>
      <c r="E2495" s="6" t="inlineStr">
        <is>
          <t>2023-10</t>
        </is>
      </c>
      <c r="F2495" s="6" t="n">
        <v>185557.8899481498</v>
      </c>
      <c r="G2495" s="6" t="inlineStr">
        <is>
          <t>DOMESTICA</t>
        </is>
      </c>
      <c r="H2495" s="6" t="inlineStr">
        <is>
          <t>FIXO</t>
        </is>
      </c>
      <c r="I2495" s="11">
        <f>IF($H2495="AUTO_OFERTA_TOTAL_PRODUTO_PERIODO",SUMIFS(Oferta!$F:$F,Oferta!$A:$A,$A2495,Oferta!$E:$E,$E2495),$F2495)</f>
        <v/>
      </c>
      <c r="J2495" s="6" t="inlineStr">
        <is>
          <t>Informado</t>
        </is>
      </c>
      <c r="K2495" s="6" t="inlineStr">
        <is>
          <t>Demanda doméstica fixa informada pelo usuário.</t>
        </is>
      </c>
    </row>
    <row r="2496">
      <c r="A2496" s="6" t="inlineStr">
        <is>
          <t>Soja</t>
        </is>
      </c>
      <c r="B2496" s="6" t="inlineStr">
        <is>
          <t>Cuiabá - MT</t>
        </is>
      </c>
      <c r="C2496" s="6" t="n">
        <v>-15.601</v>
      </c>
      <c r="D2496" s="6" t="n">
        <v>-56.0974</v>
      </c>
      <c r="E2496" s="6" t="inlineStr">
        <is>
          <t>2023-11</t>
        </is>
      </c>
      <c r="F2496" s="6" t="n">
        <v>185557.8899481498</v>
      </c>
      <c r="G2496" s="6" t="inlineStr">
        <is>
          <t>DOMESTICA</t>
        </is>
      </c>
      <c r="H2496" s="6" t="inlineStr">
        <is>
          <t>FIXO</t>
        </is>
      </c>
      <c r="I2496" s="11">
        <f>IF($H2496="AUTO_OFERTA_TOTAL_PRODUTO_PERIODO",SUMIFS(Oferta!$F:$F,Oferta!$A:$A,$A2496,Oferta!$E:$E,$E2496),$F2496)</f>
        <v/>
      </c>
      <c r="J2496" s="6" t="inlineStr">
        <is>
          <t>Informado</t>
        </is>
      </c>
      <c r="K2496" s="6" t="inlineStr">
        <is>
          <t>Demanda doméstica fixa informada pelo usuário.</t>
        </is>
      </c>
    </row>
    <row r="2497">
      <c r="A2497" s="6" t="inlineStr">
        <is>
          <t>Soja</t>
        </is>
      </c>
      <c r="B2497" s="6" t="inlineStr">
        <is>
          <t>Cuiabá - MT</t>
        </is>
      </c>
      <c r="C2497" s="6" t="n">
        <v>-15.601</v>
      </c>
      <c r="D2497" s="6" t="n">
        <v>-56.0974</v>
      </c>
      <c r="E2497" s="6" t="inlineStr">
        <is>
          <t>2023-12</t>
        </is>
      </c>
      <c r="F2497" s="6" t="n">
        <v>185557.8899481498</v>
      </c>
      <c r="G2497" s="6" t="inlineStr">
        <is>
          <t>DOMESTICA</t>
        </is>
      </c>
      <c r="H2497" s="6" t="inlineStr">
        <is>
          <t>FIXO</t>
        </is>
      </c>
      <c r="I2497" s="11">
        <f>IF($H2497="AUTO_OFERTA_TOTAL_PRODUTO_PERIODO",SUMIFS(Oferta!$F:$F,Oferta!$A:$A,$A2497,Oferta!$E:$E,$E2497),$F2497)</f>
        <v/>
      </c>
      <c r="J2497" s="6" t="inlineStr">
        <is>
          <t>Informado</t>
        </is>
      </c>
      <c r="K2497" s="6" t="inlineStr">
        <is>
          <t>Demanda doméstica fixa informada pelo usuário.</t>
        </is>
      </c>
    </row>
    <row r="2498">
      <c r="A2498" s="6" t="inlineStr">
        <is>
          <t>Soja</t>
        </is>
      </c>
      <c r="B2498" s="6" t="inlineStr">
        <is>
          <t>Campo Grande - MS</t>
        </is>
      </c>
      <c r="C2498" s="6" t="n">
        <v>-20.4486</v>
      </c>
      <c r="D2498" s="6" t="n">
        <v>-54.6295</v>
      </c>
      <c r="E2498" s="6" t="inlineStr">
        <is>
          <t>2023-01</t>
        </is>
      </c>
      <c r="F2498" s="6" t="n">
        <v>60967.2406942162</v>
      </c>
      <c r="G2498" s="6" t="inlineStr">
        <is>
          <t>DOMESTICA</t>
        </is>
      </c>
      <c r="H2498" s="6" t="inlineStr">
        <is>
          <t>FIXO</t>
        </is>
      </c>
      <c r="I2498" s="11">
        <f>IF($H2498="AUTO_OFERTA_TOTAL_PRODUTO_PERIODO",SUMIFS(Oferta!$F:$F,Oferta!$A:$A,$A2498,Oferta!$E:$E,$E2498),$F2498)</f>
        <v/>
      </c>
      <c r="J2498" s="6" t="inlineStr">
        <is>
          <t>Informado</t>
        </is>
      </c>
      <c r="K2498" s="6" t="inlineStr">
        <is>
          <t>Demanda doméstica fixa informada pelo usuário.</t>
        </is>
      </c>
    </row>
    <row r="2499">
      <c r="A2499" s="6" t="inlineStr">
        <is>
          <t>Soja</t>
        </is>
      </c>
      <c r="B2499" s="6" t="inlineStr">
        <is>
          <t>Campo Grande - MS</t>
        </is>
      </c>
      <c r="C2499" s="6" t="n">
        <v>-20.4486</v>
      </c>
      <c r="D2499" s="6" t="n">
        <v>-54.6295</v>
      </c>
      <c r="E2499" s="6" t="inlineStr">
        <is>
          <t>2023-02</t>
        </is>
      </c>
      <c r="F2499" s="6" t="n">
        <v>60967.2406942162</v>
      </c>
      <c r="G2499" s="6" t="inlineStr">
        <is>
          <t>DOMESTICA</t>
        </is>
      </c>
      <c r="H2499" s="6" t="inlineStr">
        <is>
          <t>FIXO</t>
        </is>
      </c>
      <c r="I2499" s="11">
        <f>IF($H2499="AUTO_OFERTA_TOTAL_PRODUTO_PERIODO",SUMIFS(Oferta!$F:$F,Oferta!$A:$A,$A2499,Oferta!$E:$E,$E2499),$F2499)</f>
        <v/>
      </c>
      <c r="J2499" s="6" t="inlineStr">
        <is>
          <t>Informado</t>
        </is>
      </c>
      <c r="K2499" s="6" t="inlineStr">
        <is>
          <t>Demanda doméstica fixa informada pelo usuário.</t>
        </is>
      </c>
    </row>
    <row r="2500">
      <c r="A2500" s="6" t="inlineStr">
        <is>
          <t>Soja</t>
        </is>
      </c>
      <c r="B2500" s="6" t="inlineStr">
        <is>
          <t>Campo Grande - MS</t>
        </is>
      </c>
      <c r="C2500" s="6" t="n">
        <v>-20.4486</v>
      </c>
      <c r="D2500" s="6" t="n">
        <v>-54.6295</v>
      </c>
      <c r="E2500" s="6" t="inlineStr">
        <is>
          <t>2023-03</t>
        </is>
      </c>
      <c r="F2500" s="6" t="n">
        <v>97777.65016996941</v>
      </c>
      <c r="G2500" s="6" t="inlineStr">
        <is>
          <t>DOMESTICA</t>
        </is>
      </c>
      <c r="H2500" s="6" t="inlineStr">
        <is>
          <t>FIXO</t>
        </is>
      </c>
      <c r="I2500" s="11">
        <f>IF($H2500="AUTO_OFERTA_TOTAL_PRODUTO_PERIODO",SUMIFS(Oferta!$F:$F,Oferta!$A:$A,$A2500,Oferta!$E:$E,$E2500),$F2500)</f>
        <v/>
      </c>
      <c r="J2500" s="6" t="inlineStr">
        <is>
          <t>Informado</t>
        </is>
      </c>
      <c r="K2500" s="6" t="inlineStr">
        <is>
          <t>Demanda doméstica fixa informada pelo usuário.</t>
        </is>
      </c>
    </row>
    <row r="2501">
      <c r="A2501" s="6" t="inlineStr">
        <is>
          <t>Soja</t>
        </is>
      </c>
      <c r="B2501" s="6" t="inlineStr">
        <is>
          <t>Campo Grande - MS</t>
        </is>
      </c>
      <c r="C2501" s="6" t="n">
        <v>-20.4486</v>
      </c>
      <c r="D2501" s="6" t="n">
        <v>-54.6295</v>
      </c>
      <c r="E2501" s="6" t="inlineStr">
        <is>
          <t>2023-04</t>
        </is>
      </c>
      <c r="F2501" s="6" t="n">
        <v>208208.8785972291</v>
      </c>
      <c r="G2501" s="6" t="inlineStr">
        <is>
          <t>DOMESTICA</t>
        </is>
      </c>
      <c r="H2501" s="6" t="inlineStr">
        <is>
          <t>FIXO</t>
        </is>
      </c>
      <c r="I2501" s="11">
        <f>IF($H2501="AUTO_OFERTA_TOTAL_PRODUTO_PERIODO",SUMIFS(Oferta!$F:$F,Oferta!$A:$A,$A2501,Oferta!$E:$E,$E2501),$F2501)</f>
        <v/>
      </c>
      <c r="J2501" s="6" t="inlineStr">
        <is>
          <t>Informado</t>
        </is>
      </c>
      <c r="K2501" s="6" t="inlineStr">
        <is>
          <t>Demanda doméstica fixa informada pelo usuário.</t>
        </is>
      </c>
    </row>
    <row r="2502">
      <c r="A2502" s="6" t="inlineStr">
        <is>
          <t>Soja</t>
        </is>
      </c>
      <c r="B2502" s="6" t="inlineStr">
        <is>
          <t>Campo Grande - MS</t>
        </is>
      </c>
      <c r="C2502" s="6" t="n">
        <v>-20.4486</v>
      </c>
      <c r="D2502" s="6" t="n">
        <v>-54.6295</v>
      </c>
      <c r="E2502" s="6" t="inlineStr">
        <is>
          <t>2023-05</t>
        </is>
      </c>
      <c r="F2502" s="6" t="n">
        <v>245019.2880729822</v>
      </c>
      <c r="G2502" s="6" t="inlineStr">
        <is>
          <t>DOMESTICA</t>
        </is>
      </c>
      <c r="H2502" s="6" t="inlineStr">
        <is>
          <t>FIXO</t>
        </is>
      </c>
      <c r="I2502" s="11">
        <f>IF($H2502="AUTO_OFERTA_TOTAL_PRODUTO_PERIODO",SUMIFS(Oferta!$F:$F,Oferta!$A:$A,$A2502,Oferta!$E:$E,$E2502),$F2502)</f>
        <v/>
      </c>
      <c r="J2502" s="6" t="inlineStr">
        <is>
          <t>Informado</t>
        </is>
      </c>
      <c r="K2502" s="6" t="inlineStr">
        <is>
          <t>Demanda doméstica fixa informada pelo usuário.</t>
        </is>
      </c>
    </row>
    <row r="2503">
      <c r="A2503" s="6" t="inlineStr">
        <is>
          <t>Soja</t>
        </is>
      </c>
      <c r="B2503" s="6" t="inlineStr">
        <is>
          <t>Campo Grande - MS</t>
        </is>
      </c>
      <c r="C2503" s="6" t="n">
        <v>-20.4486</v>
      </c>
      <c r="D2503" s="6" t="n">
        <v>-54.6295</v>
      </c>
      <c r="E2503" s="6" t="inlineStr">
        <is>
          <t>2023-06</t>
        </is>
      </c>
      <c r="F2503" s="6" t="n">
        <v>208208.8785972291</v>
      </c>
      <c r="G2503" s="6" t="inlineStr">
        <is>
          <t>DOMESTICA</t>
        </is>
      </c>
      <c r="H2503" s="6" t="inlineStr">
        <is>
          <t>FIXO</t>
        </is>
      </c>
      <c r="I2503" s="11">
        <f>IF($H2503="AUTO_OFERTA_TOTAL_PRODUTO_PERIODO",SUMIFS(Oferta!$F:$F,Oferta!$A:$A,$A2503,Oferta!$E:$E,$E2503),$F2503)</f>
        <v/>
      </c>
      <c r="J2503" s="6" t="inlineStr">
        <is>
          <t>Informado</t>
        </is>
      </c>
      <c r="K2503" s="6" t="inlineStr">
        <is>
          <t>Demanda doméstica fixa informada pelo usuário.</t>
        </is>
      </c>
    </row>
    <row r="2504">
      <c r="A2504" s="6" t="inlineStr">
        <is>
          <t>Soja</t>
        </is>
      </c>
      <c r="B2504" s="6" t="inlineStr">
        <is>
          <t>Campo Grande - MS</t>
        </is>
      </c>
      <c r="C2504" s="6" t="n">
        <v>-20.4486</v>
      </c>
      <c r="D2504" s="6" t="n">
        <v>-54.6295</v>
      </c>
      <c r="E2504" s="6" t="inlineStr">
        <is>
          <t>2023-07</t>
        </is>
      </c>
      <c r="F2504" s="6" t="n">
        <v>97777.65016996941</v>
      </c>
      <c r="G2504" s="6" t="inlineStr">
        <is>
          <t>DOMESTICA</t>
        </is>
      </c>
      <c r="H2504" s="6" t="inlineStr">
        <is>
          <t>FIXO</t>
        </is>
      </c>
      <c r="I2504" s="11">
        <f>IF($H2504="AUTO_OFERTA_TOTAL_PRODUTO_PERIODO",SUMIFS(Oferta!$F:$F,Oferta!$A:$A,$A2504,Oferta!$E:$E,$E2504),$F2504)</f>
        <v/>
      </c>
      <c r="J2504" s="6" t="inlineStr">
        <is>
          <t>Informado</t>
        </is>
      </c>
      <c r="K2504" s="6" t="inlineStr">
        <is>
          <t>Demanda doméstica fixa informada pelo usuário.</t>
        </is>
      </c>
    </row>
    <row r="2505">
      <c r="A2505" s="6" t="inlineStr">
        <is>
          <t>Soja</t>
        </is>
      </c>
      <c r="B2505" s="6" t="inlineStr">
        <is>
          <t>Campo Grande - MS</t>
        </is>
      </c>
      <c r="C2505" s="6" t="n">
        <v>-20.4486</v>
      </c>
      <c r="D2505" s="6" t="n">
        <v>-54.6295</v>
      </c>
      <c r="E2505" s="6" t="inlineStr">
        <is>
          <t>2023-08</t>
        </is>
      </c>
      <c r="F2505" s="6" t="n">
        <v>60967.2406942162</v>
      </c>
      <c r="G2505" s="6" t="inlineStr">
        <is>
          <t>DOMESTICA</t>
        </is>
      </c>
      <c r="H2505" s="6" t="inlineStr">
        <is>
          <t>FIXO</t>
        </is>
      </c>
      <c r="I2505" s="11">
        <f>IF($H2505="AUTO_OFERTA_TOTAL_PRODUTO_PERIODO",SUMIFS(Oferta!$F:$F,Oferta!$A:$A,$A2505,Oferta!$E:$E,$E2505),$F2505)</f>
        <v/>
      </c>
      <c r="J2505" s="6" t="inlineStr">
        <is>
          <t>Informado</t>
        </is>
      </c>
      <c r="K2505" s="6" t="inlineStr">
        <is>
          <t>Demanda doméstica fixa informada pelo usuário.</t>
        </is>
      </c>
    </row>
    <row r="2506">
      <c r="A2506" s="6" t="inlineStr">
        <is>
          <t>Soja</t>
        </is>
      </c>
      <c r="B2506" s="6" t="inlineStr">
        <is>
          <t>Campo Grande - MS</t>
        </is>
      </c>
      <c r="C2506" s="6" t="n">
        <v>-20.4486</v>
      </c>
      <c r="D2506" s="6" t="n">
        <v>-54.6295</v>
      </c>
      <c r="E2506" s="6" t="inlineStr">
        <is>
          <t>2023-09</t>
        </is>
      </c>
      <c r="F2506" s="6" t="n">
        <v>60967.2406942162</v>
      </c>
      <c r="G2506" s="6" t="inlineStr">
        <is>
          <t>DOMESTICA</t>
        </is>
      </c>
      <c r="H2506" s="6" t="inlineStr">
        <is>
          <t>FIXO</t>
        </is>
      </c>
      <c r="I2506" s="11">
        <f>IF($H2506="AUTO_OFERTA_TOTAL_PRODUTO_PERIODO",SUMIFS(Oferta!$F:$F,Oferta!$A:$A,$A2506,Oferta!$E:$E,$E2506),$F2506)</f>
        <v/>
      </c>
      <c r="J2506" s="6" t="inlineStr">
        <is>
          <t>Informado</t>
        </is>
      </c>
      <c r="K2506" s="6" t="inlineStr">
        <is>
          <t>Demanda doméstica fixa informada pelo usuário.</t>
        </is>
      </c>
    </row>
    <row r="2507">
      <c r="A2507" s="6" t="inlineStr">
        <is>
          <t>Soja</t>
        </is>
      </c>
      <c r="B2507" s="6" t="inlineStr">
        <is>
          <t>Campo Grande - MS</t>
        </is>
      </c>
      <c r="C2507" s="6" t="n">
        <v>-20.4486</v>
      </c>
      <c r="D2507" s="6" t="n">
        <v>-54.6295</v>
      </c>
      <c r="E2507" s="6" t="inlineStr">
        <is>
          <t>2023-10</t>
        </is>
      </c>
      <c r="F2507" s="6" t="n">
        <v>60967.2406942162</v>
      </c>
      <c r="G2507" s="6" t="inlineStr">
        <is>
          <t>DOMESTICA</t>
        </is>
      </c>
      <c r="H2507" s="6" t="inlineStr">
        <is>
          <t>FIXO</t>
        </is>
      </c>
      <c r="I2507" s="11">
        <f>IF($H2507="AUTO_OFERTA_TOTAL_PRODUTO_PERIODO",SUMIFS(Oferta!$F:$F,Oferta!$A:$A,$A2507,Oferta!$E:$E,$E2507),$F2507)</f>
        <v/>
      </c>
      <c r="J2507" s="6" t="inlineStr">
        <is>
          <t>Informado</t>
        </is>
      </c>
      <c r="K2507" s="6" t="inlineStr">
        <is>
          <t>Demanda doméstica fixa informada pelo usuário.</t>
        </is>
      </c>
    </row>
    <row r="2508">
      <c r="A2508" s="6" t="inlineStr">
        <is>
          <t>Soja</t>
        </is>
      </c>
      <c r="B2508" s="6" t="inlineStr">
        <is>
          <t>Campo Grande - MS</t>
        </is>
      </c>
      <c r="C2508" s="6" t="n">
        <v>-20.4486</v>
      </c>
      <c r="D2508" s="6" t="n">
        <v>-54.6295</v>
      </c>
      <c r="E2508" s="6" t="inlineStr">
        <is>
          <t>2023-11</t>
        </is>
      </c>
      <c r="F2508" s="6" t="n">
        <v>60967.2406942162</v>
      </c>
      <c r="G2508" s="6" t="inlineStr">
        <is>
          <t>DOMESTICA</t>
        </is>
      </c>
      <c r="H2508" s="6" t="inlineStr">
        <is>
          <t>FIXO</t>
        </is>
      </c>
      <c r="I2508" s="11">
        <f>IF($H2508="AUTO_OFERTA_TOTAL_PRODUTO_PERIODO",SUMIFS(Oferta!$F:$F,Oferta!$A:$A,$A2508,Oferta!$E:$E,$E2508),$F2508)</f>
        <v/>
      </c>
      <c r="J2508" s="6" t="inlineStr">
        <is>
          <t>Informado</t>
        </is>
      </c>
      <c r="K2508" s="6" t="inlineStr">
        <is>
          <t>Demanda doméstica fixa informada pelo usuário.</t>
        </is>
      </c>
    </row>
    <row r="2509">
      <c r="A2509" s="6" t="inlineStr">
        <is>
          <t>Soja</t>
        </is>
      </c>
      <c r="B2509" s="6" t="inlineStr">
        <is>
          <t>Campo Grande - MS</t>
        </is>
      </c>
      <c r="C2509" s="6" t="n">
        <v>-20.4486</v>
      </c>
      <c r="D2509" s="6" t="n">
        <v>-54.6295</v>
      </c>
      <c r="E2509" s="6" t="inlineStr">
        <is>
          <t>2023-12</t>
        </is>
      </c>
      <c r="F2509" s="6" t="n">
        <v>60967.2406942162</v>
      </c>
      <c r="G2509" s="6" t="inlineStr">
        <is>
          <t>DOMESTICA</t>
        </is>
      </c>
      <c r="H2509" s="6" t="inlineStr">
        <is>
          <t>FIXO</t>
        </is>
      </c>
      <c r="I2509" s="11">
        <f>IF($H2509="AUTO_OFERTA_TOTAL_PRODUTO_PERIODO",SUMIFS(Oferta!$F:$F,Oferta!$A:$A,$A2509,Oferta!$E:$E,$E2509),$F2509)</f>
        <v/>
      </c>
      <c r="J2509" s="6" t="inlineStr">
        <is>
          <t>Informado</t>
        </is>
      </c>
      <c r="K2509" s="6" t="inlineStr">
        <is>
          <t>Demanda doméstica fixa informada pelo usuário.</t>
        </is>
      </c>
    </row>
    <row r="2510">
      <c r="A2510" s="6" t="inlineStr">
        <is>
          <t>Soja</t>
        </is>
      </c>
      <c r="B2510" s="6" t="inlineStr">
        <is>
          <t>Vitória - ES</t>
        </is>
      </c>
      <c r="C2510" s="6" t="n">
        <v>-20.3155</v>
      </c>
      <c r="D2510" s="6" t="n">
        <v>-40.3128</v>
      </c>
      <c r="E2510" s="6" t="inlineStr">
        <is>
          <t>2023-01</t>
        </is>
      </c>
      <c r="F2510" s="6" t="n">
        <v>83595.66113754761</v>
      </c>
      <c r="G2510" s="6" t="inlineStr">
        <is>
          <t>DOMESTICA</t>
        </is>
      </c>
      <c r="H2510" s="6" t="inlineStr">
        <is>
          <t>FIXO</t>
        </is>
      </c>
      <c r="I2510" s="11">
        <f>IF($H2510="AUTO_OFERTA_TOTAL_PRODUTO_PERIODO",SUMIFS(Oferta!$F:$F,Oferta!$A:$A,$A2510,Oferta!$E:$E,$E2510),$F2510)</f>
        <v/>
      </c>
      <c r="J2510" s="6" t="inlineStr">
        <is>
          <t>Informado</t>
        </is>
      </c>
      <c r="K2510" s="6" t="inlineStr">
        <is>
          <t>Demanda doméstica fixa informada pelo usuário.</t>
        </is>
      </c>
    </row>
    <row r="2511">
      <c r="A2511" s="6" t="inlineStr">
        <is>
          <t>Soja</t>
        </is>
      </c>
      <c r="B2511" s="6" t="inlineStr">
        <is>
          <t>Vitória - ES</t>
        </is>
      </c>
      <c r="C2511" s="6" t="n">
        <v>-20.3155</v>
      </c>
      <c r="D2511" s="6" t="n">
        <v>-40.3128</v>
      </c>
      <c r="E2511" s="6" t="inlineStr">
        <is>
          <t>2023-02</t>
        </is>
      </c>
      <c r="F2511" s="6" t="n">
        <v>83595.66113754761</v>
      </c>
      <c r="G2511" s="6" t="inlineStr">
        <is>
          <t>DOMESTICA</t>
        </is>
      </c>
      <c r="H2511" s="6" t="inlineStr">
        <is>
          <t>FIXO</t>
        </is>
      </c>
      <c r="I2511" s="11">
        <f>IF($H2511="AUTO_OFERTA_TOTAL_PRODUTO_PERIODO",SUMIFS(Oferta!$F:$F,Oferta!$A:$A,$A2511,Oferta!$E:$E,$E2511),$F2511)</f>
        <v/>
      </c>
      <c r="J2511" s="6" t="inlineStr">
        <is>
          <t>Informado</t>
        </is>
      </c>
      <c r="K2511" s="6" t="inlineStr">
        <is>
          <t>Demanda doméstica fixa informada pelo usuário.</t>
        </is>
      </c>
    </row>
    <row r="2512">
      <c r="A2512" s="6" t="inlineStr">
        <is>
          <t>Soja</t>
        </is>
      </c>
      <c r="B2512" s="6" t="inlineStr">
        <is>
          <t>Vitória - ES</t>
        </is>
      </c>
      <c r="C2512" s="6" t="n">
        <v>-20.3155</v>
      </c>
      <c r="D2512" s="6" t="n">
        <v>-40.3128</v>
      </c>
      <c r="E2512" s="6" t="inlineStr">
        <is>
          <t>2023-03</t>
        </is>
      </c>
      <c r="F2512" s="6" t="n">
        <v>83595.66113754761</v>
      </c>
      <c r="G2512" s="6" t="inlineStr">
        <is>
          <t>DOMESTICA</t>
        </is>
      </c>
      <c r="H2512" s="6" t="inlineStr">
        <is>
          <t>FIXO</t>
        </is>
      </c>
      <c r="I2512" s="11">
        <f>IF($H2512="AUTO_OFERTA_TOTAL_PRODUTO_PERIODO",SUMIFS(Oferta!$F:$F,Oferta!$A:$A,$A2512,Oferta!$E:$E,$E2512),$F2512)</f>
        <v/>
      </c>
      <c r="J2512" s="6" t="inlineStr">
        <is>
          <t>Informado</t>
        </is>
      </c>
      <c r="K2512" s="6" t="inlineStr">
        <is>
          <t>Demanda doméstica fixa informada pelo usuário.</t>
        </is>
      </c>
    </row>
    <row r="2513">
      <c r="A2513" s="6" t="inlineStr">
        <is>
          <t>Soja</t>
        </is>
      </c>
      <c r="B2513" s="6" t="inlineStr">
        <is>
          <t>Vitória - ES</t>
        </is>
      </c>
      <c r="C2513" s="6" t="n">
        <v>-20.3155</v>
      </c>
      <c r="D2513" s="6" t="n">
        <v>-40.3128</v>
      </c>
      <c r="E2513" s="6" t="inlineStr">
        <is>
          <t>2023-04</t>
        </is>
      </c>
      <c r="F2513" s="6" t="n">
        <v>83595.66113754761</v>
      </c>
      <c r="G2513" s="6" t="inlineStr">
        <is>
          <t>DOMESTICA</t>
        </is>
      </c>
      <c r="H2513" s="6" t="inlineStr">
        <is>
          <t>FIXO</t>
        </is>
      </c>
      <c r="I2513" s="11">
        <f>IF($H2513="AUTO_OFERTA_TOTAL_PRODUTO_PERIODO",SUMIFS(Oferta!$F:$F,Oferta!$A:$A,$A2513,Oferta!$E:$E,$E2513),$F2513)</f>
        <v/>
      </c>
      <c r="J2513" s="6" t="inlineStr">
        <is>
          <t>Informado</t>
        </is>
      </c>
      <c r="K2513" s="6" t="inlineStr">
        <is>
          <t>Demanda doméstica fixa informada pelo usuário.</t>
        </is>
      </c>
    </row>
    <row r="2514">
      <c r="A2514" s="6" t="inlineStr">
        <is>
          <t>Soja</t>
        </is>
      </c>
      <c r="B2514" s="6" t="inlineStr">
        <is>
          <t>Vitória - ES</t>
        </is>
      </c>
      <c r="C2514" s="6" t="n">
        <v>-20.3155</v>
      </c>
      <c r="D2514" s="6" t="n">
        <v>-40.3128</v>
      </c>
      <c r="E2514" s="6" t="inlineStr">
        <is>
          <t>2023-05</t>
        </is>
      </c>
      <c r="F2514" s="6" t="n">
        <v>83595.66113754761</v>
      </c>
      <c r="G2514" s="6" t="inlineStr">
        <is>
          <t>DOMESTICA</t>
        </is>
      </c>
      <c r="H2514" s="6" t="inlineStr">
        <is>
          <t>FIXO</t>
        </is>
      </c>
      <c r="I2514" s="11">
        <f>IF($H2514="AUTO_OFERTA_TOTAL_PRODUTO_PERIODO",SUMIFS(Oferta!$F:$F,Oferta!$A:$A,$A2514,Oferta!$E:$E,$E2514),$F2514)</f>
        <v/>
      </c>
      <c r="J2514" s="6" t="inlineStr">
        <is>
          <t>Informado</t>
        </is>
      </c>
      <c r="K2514" s="6" t="inlineStr">
        <is>
          <t>Demanda doméstica fixa informada pelo usuário.</t>
        </is>
      </c>
    </row>
    <row r="2515">
      <c r="A2515" s="6" t="inlineStr">
        <is>
          <t>Soja</t>
        </is>
      </c>
      <c r="B2515" s="6" t="inlineStr">
        <is>
          <t>Vitória - ES</t>
        </is>
      </c>
      <c r="C2515" s="6" t="n">
        <v>-20.3155</v>
      </c>
      <c r="D2515" s="6" t="n">
        <v>-40.3128</v>
      </c>
      <c r="E2515" s="6" t="inlineStr">
        <is>
          <t>2023-06</t>
        </is>
      </c>
      <c r="F2515" s="6" t="n">
        <v>83595.66113754761</v>
      </c>
      <c r="G2515" s="6" t="inlineStr">
        <is>
          <t>DOMESTICA</t>
        </is>
      </c>
      <c r="H2515" s="6" t="inlineStr">
        <is>
          <t>FIXO</t>
        </is>
      </c>
      <c r="I2515" s="11">
        <f>IF($H2515="AUTO_OFERTA_TOTAL_PRODUTO_PERIODO",SUMIFS(Oferta!$F:$F,Oferta!$A:$A,$A2515,Oferta!$E:$E,$E2515),$F2515)</f>
        <v/>
      </c>
      <c r="J2515" s="6" t="inlineStr">
        <is>
          <t>Informado</t>
        </is>
      </c>
      <c r="K2515" s="6" t="inlineStr">
        <is>
          <t>Demanda doméstica fixa informada pelo usuário.</t>
        </is>
      </c>
    </row>
    <row r="2516">
      <c r="A2516" s="6" t="inlineStr">
        <is>
          <t>Soja</t>
        </is>
      </c>
      <c r="B2516" s="6" t="inlineStr">
        <is>
          <t>Vitória - ES</t>
        </is>
      </c>
      <c r="C2516" s="6" t="n">
        <v>-20.3155</v>
      </c>
      <c r="D2516" s="6" t="n">
        <v>-40.3128</v>
      </c>
      <c r="E2516" s="6" t="inlineStr">
        <is>
          <t>2023-07</t>
        </is>
      </c>
      <c r="F2516" s="6" t="n">
        <v>83595.66113754761</v>
      </c>
      <c r="G2516" s="6" t="inlineStr">
        <is>
          <t>DOMESTICA</t>
        </is>
      </c>
      <c r="H2516" s="6" t="inlineStr">
        <is>
          <t>FIXO</t>
        </is>
      </c>
      <c r="I2516" s="11">
        <f>IF($H2516="AUTO_OFERTA_TOTAL_PRODUTO_PERIODO",SUMIFS(Oferta!$F:$F,Oferta!$A:$A,$A2516,Oferta!$E:$E,$E2516),$F2516)</f>
        <v/>
      </c>
      <c r="J2516" s="6" t="inlineStr">
        <is>
          <t>Informado</t>
        </is>
      </c>
      <c r="K2516" s="6" t="inlineStr">
        <is>
          <t>Demanda doméstica fixa informada pelo usuário.</t>
        </is>
      </c>
    </row>
    <row r="2517">
      <c r="A2517" s="6" t="inlineStr">
        <is>
          <t>Soja</t>
        </is>
      </c>
      <c r="B2517" s="6" t="inlineStr">
        <is>
          <t>Vitória - ES</t>
        </is>
      </c>
      <c r="C2517" s="6" t="n">
        <v>-20.3155</v>
      </c>
      <c r="D2517" s="6" t="n">
        <v>-40.3128</v>
      </c>
      <c r="E2517" s="6" t="inlineStr">
        <is>
          <t>2023-08</t>
        </is>
      </c>
      <c r="F2517" s="6" t="n">
        <v>83595.66113754761</v>
      </c>
      <c r="G2517" s="6" t="inlineStr">
        <is>
          <t>DOMESTICA</t>
        </is>
      </c>
      <c r="H2517" s="6" t="inlineStr">
        <is>
          <t>FIXO</t>
        </is>
      </c>
      <c r="I2517" s="11">
        <f>IF($H2517="AUTO_OFERTA_TOTAL_PRODUTO_PERIODO",SUMIFS(Oferta!$F:$F,Oferta!$A:$A,$A2517,Oferta!$E:$E,$E2517),$F2517)</f>
        <v/>
      </c>
      <c r="J2517" s="6" t="inlineStr">
        <is>
          <t>Informado</t>
        </is>
      </c>
      <c r="K2517" s="6" t="inlineStr">
        <is>
          <t>Demanda doméstica fixa informada pelo usuário.</t>
        </is>
      </c>
    </row>
    <row r="2518">
      <c r="A2518" s="6" t="inlineStr">
        <is>
          <t>Soja</t>
        </is>
      </c>
      <c r="B2518" s="6" t="inlineStr">
        <is>
          <t>Vitória - ES</t>
        </is>
      </c>
      <c r="C2518" s="6" t="n">
        <v>-20.3155</v>
      </c>
      <c r="D2518" s="6" t="n">
        <v>-40.3128</v>
      </c>
      <c r="E2518" s="6" t="inlineStr">
        <is>
          <t>2023-09</t>
        </is>
      </c>
      <c r="F2518" s="6" t="n">
        <v>83595.66113754761</v>
      </c>
      <c r="G2518" s="6" t="inlineStr">
        <is>
          <t>DOMESTICA</t>
        </is>
      </c>
      <c r="H2518" s="6" t="inlineStr">
        <is>
          <t>FIXO</t>
        </is>
      </c>
      <c r="I2518" s="11">
        <f>IF($H2518="AUTO_OFERTA_TOTAL_PRODUTO_PERIODO",SUMIFS(Oferta!$F:$F,Oferta!$A:$A,$A2518,Oferta!$E:$E,$E2518),$F2518)</f>
        <v/>
      </c>
      <c r="J2518" s="6" t="inlineStr">
        <is>
          <t>Informado</t>
        </is>
      </c>
      <c r="K2518" s="6" t="inlineStr">
        <is>
          <t>Demanda doméstica fixa informada pelo usuário.</t>
        </is>
      </c>
    </row>
    <row r="2519">
      <c r="A2519" s="6" t="inlineStr">
        <is>
          <t>Soja</t>
        </is>
      </c>
      <c r="B2519" s="6" t="inlineStr">
        <is>
          <t>Vitória - ES</t>
        </is>
      </c>
      <c r="C2519" s="6" t="n">
        <v>-20.3155</v>
      </c>
      <c r="D2519" s="6" t="n">
        <v>-40.3128</v>
      </c>
      <c r="E2519" s="6" t="inlineStr">
        <is>
          <t>2023-10</t>
        </is>
      </c>
      <c r="F2519" s="6" t="n">
        <v>83595.66113754761</v>
      </c>
      <c r="G2519" s="6" t="inlineStr">
        <is>
          <t>DOMESTICA</t>
        </is>
      </c>
      <c r="H2519" s="6" t="inlineStr">
        <is>
          <t>FIXO</t>
        </is>
      </c>
      <c r="I2519" s="11">
        <f>IF($H2519="AUTO_OFERTA_TOTAL_PRODUTO_PERIODO",SUMIFS(Oferta!$F:$F,Oferta!$A:$A,$A2519,Oferta!$E:$E,$E2519),$F2519)</f>
        <v/>
      </c>
      <c r="J2519" s="6" t="inlineStr">
        <is>
          <t>Informado</t>
        </is>
      </c>
      <c r="K2519" s="6" t="inlineStr">
        <is>
          <t>Demanda doméstica fixa informada pelo usuário.</t>
        </is>
      </c>
    </row>
    <row r="2520">
      <c r="A2520" s="6" t="inlineStr">
        <is>
          <t>Soja</t>
        </is>
      </c>
      <c r="B2520" s="6" t="inlineStr">
        <is>
          <t>Vitória - ES</t>
        </is>
      </c>
      <c r="C2520" s="6" t="n">
        <v>-20.3155</v>
      </c>
      <c r="D2520" s="6" t="n">
        <v>-40.3128</v>
      </c>
      <c r="E2520" s="6" t="inlineStr">
        <is>
          <t>2023-11</t>
        </is>
      </c>
      <c r="F2520" s="6" t="n">
        <v>83595.66113754761</v>
      </c>
      <c r="G2520" s="6" t="inlineStr">
        <is>
          <t>DOMESTICA</t>
        </is>
      </c>
      <c r="H2520" s="6" t="inlineStr">
        <is>
          <t>FIXO</t>
        </is>
      </c>
      <c r="I2520" s="11">
        <f>IF($H2520="AUTO_OFERTA_TOTAL_PRODUTO_PERIODO",SUMIFS(Oferta!$F:$F,Oferta!$A:$A,$A2520,Oferta!$E:$E,$E2520),$F2520)</f>
        <v/>
      </c>
      <c r="J2520" s="6" t="inlineStr">
        <is>
          <t>Informado</t>
        </is>
      </c>
      <c r="K2520" s="6" t="inlineStr">
        <is>
          <t>Demanda doméstica fixa informada pelo usuário.</t>
        </is>
      </c>
    </row>
    <row r="2521">
      <c r="A2521" s="6" t="inlineStr">
        <is>
          <t>Soja</t>
        </is>
      </c>
      <c r="B2521" s="6" t="inlineStr">
        <is>
          <t>Vitória - ES</t>
        </is>
      </c>
      <c r="C2521" s="6" t="n">
        <v>-20.3155</v>
      </c>
      <c r="D2521" s="6" t="n">
        <v>-40.3128</v>
      </c>
      <c r="E2521" s="6" t="inlineStr">
        <is>
          <t>2023-12</t>
        </is>
      </c>
      <c r="F2521" s="6" t="n">
        <v>83595.66113754761</v>
      </c>
      <c r="G2521" s="6" t="inlineStr">
        <is>
          <t>DOMESTICA</t>
        </is>
      </c>
      <c r="H2521" s="6" t="inlineStr">
        <is>
          <t>FIXO</t>
        </is>
      </c>
      <c r="I2521" s="11">
        <f>IF($H2521="AUTO_OFERTA_TOTAL_PRODUTO_PERIODO",SUMIFS(Oferta!$F:$F,Oferta!$A:$A,$A2521,Oferta!$E:$E,$E2521),$F2521)</f>
        <v/>
      </c>
      <c r="J2521" s="6" t="inlineStr">
        <is>
          <t>Informado</t>
        </is>
      </c>
      <c r="K2521" s="6" t="inlineStr">
        <is>
          <t>Demanda doméstica fixa informada pelo usuário.</t>
        </is>
      </c>
    </row>
    <row r="2522">
      <c r="A2522" s="6" t="inlineStr">
        <is>
          <t>Soja</t>
        </is>
      </c>
      <c r="B2522" s="6" t="inlineStr">
        <is>
          <t>Belo Horizonte - MG</t>
        </is>
      </c>
      <c r="C2522" s="6" t="n">
        <v>-19.9102</v>
      </c>
      <c r="D2522" s="6" t="n">
        <v>-43.9266</v>
      </c>
      <c r="E2522" s="6" t="inlineStr">
        <is>
          <t>2023-01</t>
        </is>
      </c>
      <c r="F2522" s="6" t="n">
        <v>304190.0904427365</v>
      </c>
      <c r="G2522" s="6" t="inlineStr">
        <is>
          <t>DOMESTICA</t>
        </is>
      </c>
      <c r="H2522" s="6" t="inlineStr">
        <is>
          <t>FIXO</t>
        </is>
      </c>
      <c r="I2522" s="11">
        <f>IF($H2522="AUTO_OFERTA_TOTAL_PRODUTO_PERIODO",SUMIFS(Oferta!$F:$F,Oferta!$A:$A,$A2522,Oferta!$E:$E,$E2522),$F2522)</f>
        <v/>
      </c>
      <c r="J2522" s="6" t="inlineStr">
        <is>
          <t>Informado</t>
        </is>
      </c>
      <c r="K2522" s="6" t="inlineStr">
        <is>
          <t>Demanda doméstica fixa informada pelo usuário.</t>
        </is>
      </c>
    </row>
    <row r="2523">
      <c r="A2523" s="6" t="inlineStr">
        <is>
          <t>Soja</t>
        </is>
      </c>
      <c r="B2523" s="6" t="inlineStr">
        <is>
          <t>Belo Horizonte - MG</t>
        </is>
      </c>
      <c r="C2523" s="6" t="n">
        <v>-19.9102</v>
      </c>
      <c r="D2523" s="6" t="n">
        <v>-43.9266</v>
      </c>
      <c r="E2523" s="6" t="inlineStr">
        <is>
          <t>2023-02</t>
        </is>
      </c>
      <c r="F2523" s="6" t="n">
        <v>304190.0904427365</v>
      </c>
      <c r="G2523" s="6" t="inlineStr">
        <is>
          <t>DOMESTICA</t>
        </is>
      </c>
      <c r="H2523" s="6" t="inlineStr">
        <is>
          <t>FIXO</t>
        </is>
      </c>
      <c r="I2523" s="11">
        <f>IF($H2523="AUTO_OFERTA_TOTAL_PRODUTO_PERIODO",SUMIFS(Oferta!$F:$F,Oferta!$A:$A,$A2523,Oferta!$E:$E,$E2523),$F2523)</f>
        <v/>
      </c>
      <c r="J2523" s="6" t="inlineStr">
        <is>
          <t>Informado</t>
        </is>
      </c>
      <c r="K2523" s="6" t="inlineStr">
        <is>
          <t>Demanda doméstica fixa informada pelo usuário.</t>
        </is>
      </c>
    </row>
    <row r="2524">
      <c r="A2524" s="6" t="inlineStr">
        <is>
          <t>Soja</t>
        </is>
      </c>
      <c r="B2524" s="6" t="inlineStr">
        <is>
          <t>Belo Horizonte - MG</t>
        </is>
      </c>
      <c r="C2524" s="6" t="n">
        <v>-19.9102</v>
      </c>
      <c r="D2524" s="6" t="n">
        <v>-43.9266</v>
      </c>
      <c r="E2524" s="6" t="inlineStr">
        <is>
          <t>2023-03</t>
        </is>
      </c>
      <c r="F2524" s="6" t="n">
        <v>396021.0611424305</v>
      </c>
      <c r="G2524" s="6" t="inlineStr">
        <is>
          <t>DOMESTICA</t>
        </is>
      </c>
      <c r="H2524" s="6" t="inlineStr">
        <is>
          <t>FIXO</t>
        </is>
      </c>
      <c r="I2524" s="11">
        <f>IF($H2524="AUTO_OFERTA_TOTAL_PRODUTO_PERIODO",SUMIFS(Oferta!$F:$F,Oferta!$A:$A,$A2524,Oferta!$E:$E,$E2524),$F2524)</f>
        <v/>
      </c>
      <c r="J2524" s="6" t="inlineStr">
        <is>
          <t>Informado</t>
        </is>
      </c>
      <c r="K2524" s="6" t="inlineStr">
        <is>
          <t>Demanda doméstica fixa informada pelo usuário.</t>
        </is>
      </c>
    </row>
    <row r="2525">
      <c r="A2525" s="6" t="inlineStr">
        <is>
          <t>Soja</t>
        </is>
      </c>
      <c r="B2525" s="6" t="inlineStr">
        <is>
          <t>Belo Horizonte - MG</t>
        </is>
      </c>
      <c r="C2525" s="6" t="n">
        <v>-19.9102</v>
      </c>
      <c r="D2525" s="6" t="n">
        <v>-43.9266</v>
      </c>
      <c r="E2525" s="6" t="inlineStr">
        <is>
          <t>2023-04</t>
        </is>
      </c>
      <c r="F2525" s="6" t="n">
        <v>579683.0025418185</v>
      </c>
      <c r="G2525" s="6" t="inlineStr">
        <is>
          <t>DOMESTICA</t>
        </is>
      </c>
      <c r="H2525" s="6" t="inlineStr">
        <is>
          <t>FIXO</t>
        </is>
      </c>
      <c r="I2525" s="11">
        <f>IF($H2525="AUTO_OFERTA_TOTAL_PRODUTO_PERIODO",SUMIFS(Oferta!$F:$F,Oferta!$A:$A,$A2525,Oferta!$E:$E,$E2525),$F2525)</f>
        <v/>
      </c>
      <c r="J2525" s="6" t="inlineStr">
        <is>
          <t>Informado</t>
        </is>
      </c>
      <c r="K2525" s="6" t="inlineStr">
        <is>
          <t>Demanda doméstica fixa informada pelo usuário.</t>
        </is>
      </c>
    </row>
    <row r="2526">
      <c r="A2526" s="6" t="inlineStr">
        <is>
          <t>Soja</t>
        </is>
      </c>
      <c r="B2526" s="6" t="inlineStr">
        <is>
          <t>Belo Horizonte - MG</t>
        </is>
      </c>
      <c r="C2526" s="6" t="n">
        <v>-19.9102</v>
      </c>
      <c r="D2526" s="6" t="n">
        <v>-43.9266</v>
      </c>
      <c r="E2526" s="6" t="inlineStr">
        <is>
          <t>2023-05</t>
        </is>
      </c>
      <c r="F2526" s="6" t="n">
        <v>1130668.826739983</v>
      </c>
      <c r="G2526" s="6" t="inlineStr">
        <is>
          <t>DOMESTICA</t>
        </is>
      </c>
      <c r="H2526" s="6" t="inlineStr">
        <is>
          <t>FIXO</t>
        </is>
      </c>
      <c r="I2526" s="11">
        <f>IF($H2526="AUTO_OFERTA_TOTAL_PRODUTO_PERIODO",SUMIFS(Oferta!$F:$F,Oferta!$A:$A,$A2526,Oferta!$E:$E,$E2526),$F2526)</f>
        <v/>
      </c>
      <c r="J2526" s="6" t="inlineStr">
        <is>
          <t>Informado</t>
        </is>
      </c>
      <c r="K2526" s="6" t="inlineStr">
        <is>
          <t>Demanda doméstica fixa informada pelo usuário.</t>
        </is>
      </c>
    </row>
    <row r="2527">
      <c r="A2527" s="6" t="inlineStr">
        <is>
          <t>Soja</t>
        </is>
      </c>
      <c r="B2527" s="6" t="inlineStr">
        <is>
          <t>Belo Horizonte - MG</t>
        </is>
      </c>
      <c r="C2527" s="6" t="n">
        <v>-19.9102</v>
      </c>
      <c r="D2527" s="6" t="n">
        <v>-43.9266</v>
      </c>
      <c r="E2527" s="6" t="inlineStr">
        <is>
          <t>2023-06</t>
        </is>
      </c>
      <c r="F2527" s="6" t="n">
        <v>1130668.826739983</v>
      </c>
      <c r="G2527" s="6" t="inlineStr">
        <is>
          <t>DOMESTICA</t>
        </is>
      </c>
      <c r="H2527" s="6" t="inlineStr">
        <is>
          <t>FIXO</t>
        </is>
      </c>
      <c r="I2527" s="11">
        <f>IF($H2527="AUTO_OFERTA_TOTAL_PRODUTO_PERIODO",SUMIFS(Oferta!$F:$F,Oferta!$A:$A,$A2527,Oferta!$E:$E,$E2527),$F2527)</f>
        <v/>
      </c>
      <c r="J2527" s="6" t="inlineStr">
        <is>
          <t>Informado</t>
        </is>
      </c>
      <c r="K2527" s="6" t="inlineStr">
        <is>
          <t>Demanda doméstica fixa informada pelo usuário.</t>
        </is>
      </c>
    </row>
    <row r="2528">
      <c r="A2528" s="6" t="inlineStr">
        <is>
          <t>Soja</t>
        </is>
      </c>
      <c r="B2528" s="6" t="inlineStr">
        <is>
          <t>Belo Horizonte - MG</t>
        </is>
      </c>
      <c r="C2528" s="6" t="n">
        <v>-19.9102</v>
      </c>
      <c r="D2528" s="6" t="n">
        <v>-43.9266</v>
      </c>
      <c r="E2528" s="6" t="inlineStr">
        <is>
          <t>2023-07</t>
        </is>
      </c>
      <c r="F2528" s="6" t="n">
        <v>947006.8853405948</v>
      </c>
      <c r="G2528" s="6" t="inlineStr">
        <is>
          <t>DOMESTICA</t>
        </is>
      </c>
      <c r="H2528" s="6" t="inlineStr">
        <is>
          <t>FIXO</t>
        </is>
      </c>
      <c r="I2528" s="11">
        <f>IF($H2528="AUTO_OFERTA_TOTAL_PRODUTO_PERIODO",SUMIFS(Oferta!$F:$F,Oferta!$A:$A,$A2528,Oferta!$E:$E,$E2528),$F2528)</f>
        <v/>
      </c>
      <c r="J2528" s="6" t="inlineStr">
        <is>
          <t>Informado</t>
        </is>
      </c>
      <c r="K2528" s="6" t="inlineStr">
        <is>
          <t>Demanda doméstica fixa informada pelo usuário.</t>
        </is>
      </c>
    </row>
    <row r="2529">
      <c r="A2529" s="6" t="inlineStr">
        <is>
          <t>Soja</t>
        </is>
      </c>
      <c r="B2529" s="6" t="inlineStr">
        <is>
          <t>Belo Horizonte - MG</t>
        </is>
      </c>
      <c r="C2529" s="6" t="n">
        <v>-19.9102</v>
      </c>
      <c r="D2529" s="6" t="n">
        <v>-43.9266</v>
      </c>
      <c r="E2529" s="6" t="inlineStr">
        <is>
          <t>2023-08</t>
        </is>
      </c>
      <c r="F2529" s="6" t="n">
        <v>396021.0611424305</v>
      </c>
      <c r="G2529" s="6" t="inlineStr">
        <is>
          <t>DOMESTICA</t>
        </is>
      </c>
      <c r="H2529" s="6" t="inlineStr">
        <is>
          <t>FIXO</t>
        </is>
      </c>
      <c r="I2529" s="11">
        <f>IF($H2529="AUTO_OFERTA_TOTAL_PRODUTO_PERIODO",SUMIFS(Oferta!$F:$F,Oferta!$A:$A,$A2529,Oferta!$E:$E,$E2529),$F2529)</f>
        <v/>
      </c>
      <c r="J2529" s="6" t="inlineStr">
        <is>
          <t>Informado</t>
        </is>
      </c>
      <c r="K2529" s="6" t="inlineStr">
        <is>
          <t>Demanda doméstica fixa informada pelo usuário.</t>
        </is>
      </c>
    </row>
    <row r="2530">
      <c r="A2530" s="6" t="inlineStr">
        <is>
          <t>Soja</t>
        </is>
      </c>
      <c r="B2530" s="6" t="inlineStr">
        <is>
          <t>Belo Horizonte - MG</t>
        </is>
      </c>
      <c r="C2530" s="6" t="n">
        <v>-19.9102</v>
      </c>
      <c r="D2530" s="6" t="n">
        <v>-43.9266</v>
      </c>
      <c r="E2530" s="6" t="inlineStr">
        <is>
          <t>2023-09</t>
        </is>
      </c>
      <c r="F2530" s="6" t="n">
        <v>304190.0904427365</v>
      </c>
      <c r="G2530" s="6" t="inlineStr">
        <is>
          <t>DOMESTICA</t>
        </is>
      </c>
      <c r="H2530" s="6" t="inlineStr">
        <is>
          <t>FIXO</t>
        </is>
      </c>
      <c r="I2530" s="11">
        <f>IF($H2530="AUTO_OFERTA_TOTAL_PRODUTO_PERIODO",SUMIFS(Oferta!$F:$F,Oferta!$A:$A,$A2530,Oferta!$E:$E,$E2530),$F2530)</f>
        <v/>
      </c>
      <c r="J2530" s="6" t="inlineStr">
        <is>
          <t>Informado</t>
        </is>
      </c>
      <c r="K2530" s="6" t="inlineStr">
        <is>
          <t>Demanda doméstica fixa informada pelo usuário.</t>
        </is>
      </c>
    </row>
    <row r="2531">
      <c r="A2531" s="6" t="inlineStr">
        <is>
          <t>Soja</t>
        </is>
      </c>
      <c r="B2531" s="6" t="inlineStr">
        <is>
          <t>Belo Horizonte - MG</t>
        </is>
      </c>
      <c r="C2531" s="6" t="n">
        <v>-19.9102</v>
      </c>
      <c r="D2531" s="6" t="n">
        <v>-43.9266</v>
      </c>
      <c r="E2531" s="6" t="inlineStr">
        <is>
          <t>2023-10</t>
        </is>
      </c>
      <c r="F2531" s="6" t="n">
        <v>304190.0904427365</v>
      </c>
      <c r="G2531" s="6" t="inlineStr">
        <is>
          <t>DOMESTICA</t>
        </is>
      </c>
      <c r="H2531" s="6" t="inlineStr">
        <is>
          <t>FIXO</t>
        </is>
      </c>
      <c r="I2531" s="11">
        <f>IF($H2531="AUTO_OFERTA_TOTAL_PRODUTO_PERIODO",SUMIFS(Oferta!$F:$F,Oferta!$A:$A,$A2531,Oferta!$E:$E,$E2531),$F2531)</f>
        <v/>
      </c>
      <c r="J2531" s="6" t="inlineStr">
        <is>
          <t>Informado</t>
        </is>
      </c>
      <c r="K2531" s="6" t="inlineStr">
        <is>
          <t>Demanda doméstica fixa informada pelo usuário.</t>
        </is>
      </c>
    </row>
    <row r="2532">
      <c r="A2532" s="6" t="inlineStr">
        <is>
          <t>Soja</t>
        </is>
      </c>
      <c r="B2532" s="6" t="inlineStr">
        <is>
          <t>Belo Horizonte - MG</t>
        </is>
      </c>
      <c r="C2532" s="6" t="n">
        <v>-19.9102</v>
      </c>
      <c r="D2532" s="6" t="n">
        <v>-43.9266</v>
      </c>
      <c r="E2532" s="6" t="inlineStr">
        <is>
          <t>2023-11</t>
        </is>
      </c>
      <c r="F2532" s="6" t="n">
        <v>304190.0904427365</v>
      </c>
      <c r="G2532" s="6" t="inlineStr">
        <is>
          <t>DOMESTICA</t>
        </is>
      </c>
      <c r="H2532" s="6" t="inlineStr">
        <is>
          <t>FIXO</t>
        </is>
      </c>
      <c r="I2532" s="11">
        <f>IF($H2532="AUTO_OFERTA_TOTAL_PRODUTO_PERIODO",SUMIFS(Oferta!$F:$F,Oferta!$A:$A,$A2532,Oferta!$E:$E,$E2532),$F2532)</f>
        <v/>
      </c>
      <c r="J2532" s="6" t="inlineStr">
        <is>
          <t>Informado</t>
        </is>
      </c>
      <c r="K2532" s="6" t="inlineStr">
        <is>
          <t>Demanda doméstica fixa informada pelo usuário.</t>
        </is>
      </c>
    </row>
    <row r="2533">
      <c r="A2533" s="6" t="inlineStr">
        <is>
          <t>Soja</t>
        </is>
      </c>
      <c r="B2533" s="6" t="inlineStr">
        <is>
          <t>Belo Horizonte - MG</t>
        </is>
      </c>
      <c r="C2533" s="6" t="n">
        <v>-19.9102</v>
      </c>
      <c r="D2533" s="6" t="n">
        <v>-43.9266</v>
      </c>
      <c r="E2533" s="6" t="inlineStr">
        <is>
          <t>2023-12</t>
        </is>
      </c>
      <c r="F2533" s="6" t="n">
        <v>304190.0904427365</v>
      </c>
      <c r="G2533" s="6" t="inlineStr">
        <is>
          <t>DOMESTICA</t>
        </is>
      </c>
      <c r="H2533" s="6" t="inlineStr">
        <is>
          <t>FIXO</t>
        </is>
      </c>
      <c r="I2533" s="11">
        <f>IF($H2533="AUTO_OFERTA_TOTAL_PRODUTO_PERIODO",SUMIFS(Oferta!$F:$F,Oferta!$A:$A,$A2533,Oferta!$E:$E,$E2533),$F2533)</f>
        <v/>
      </c>
      <c r="J2533" s="6" t="inlineStr">
        <is>
          <t>Informado</t>
        </is>
      </c>
      <c r="K2533" s="6" t="inlineStr">
        <is>
          <t>Demanda doméstica fixa informada pelo usuário.</t>
        </is>
      </c>
    </row>
    <row r="2534">
      <c r="A2534" s="6" t="inlineStr">
        <is>
          <t>Soja</t>
        </is>
      </c>
      <c r="B2534" s="6" t="inlineStr">
        <is>
          <t>Rio de Janeiro - RJ</t>
        </is>
      </c>
      <c r="C2534" s="6" t="n">
        <v>-22.9129</v>
      </c>
      <c r="D2534" s="6" t="n">
        <v>-43.2003</v>
      </c>
      <c r="E2534" s="6" t="inlineStr">
        <is>
          <t>2023-01</t>
        </is>
      </c>
      <c r="F2534" s="6" t="n">
        <v>145576.2214835579</v>
      </c>
      <c r="G2534" s="6" t="inlineStr">
        <is>
          <t>DOMESTICA</t>
        </is>
      </c>
      <c r="H2534" s="6" t="inlineStr">
        <is>
          <t>FIXO</t>
        </is>
      </c>
      <c r="I2534" s="11">
        <f>IF($H2534="AUTO_OFERTA_TOTAL_PRODUTO_PERIODO",SUMIFS(Oferta!$F:$F,Oferta!$A:$A,$A2534,Oferta!$E:$E,$E2534),$F2534)</f>
        <v/>
      </c>
      <c r="J2534" s="6" t="inlineStr">
        <is>
          <t>Informado</t>
        </is>
      </c>
      <c r="K2534" s="6" t="inlineStr">
        <is>
          <t>Demanda doméstica fixa informada pelo usuário.</t>
        </is>
      </c>
    </row>
    <row r="2535">
      <c r="A2535" s="6" t="inlineStr">
        <is>
          <t>Soja</t>
        </is>
      </c>
      <c r="B2535" s="6" t="inlineStr">
        <is>
          <t>Rio de Janeiro - RJ</t>
        </is>
      </c>
      <c r="C2535" s="6" t="n">
        <v>-22.9129</v>
      </c>
      <c r="D2535" s="6" t="n">
        <v>-43.2003</v>
      </c>
      <c r="E2535" s="6" t="inlineStr">
        <is>
          <t>2023-02</t>
        </is>
      </c>
      <c r="F2535" s="6" t="n">
        <v>145576.2214835579</v>
      </c>
      <c r="G2535" s="6" t="inlineStr">
        <is>
          <t>DOMESTICA</t>
        </is>
      </c>
      <c r="H2535" s="6" t="inlineStr">
        <is>
          <t>FIXO</t>
        </is>
      </c>
      <c r="I2535" s="11">
        <f>IF($H2535="AUTO_OFERTA_TOTAL_PRODUTO_PERIODO",SUMIFS(Oferta!$F:$F,Oferta!$A:$A,$A2535,Oferta!$E:$E,$E2535),$F2535)</f>
        <v/>
      </c>
      <c r="J2535" s="6" t="inlineStr">
        <is>
          <t>Informado</t>
        </is>
      </c>
      <c r="K2535" s="6" t="inlineStr">
        <is>
          <t>Demanda doméstica fixa informada pelo usuário.</t>
        </is>
      </c>
    </row>
    <row r="2536">
      <c r="A2536" s="6" t="inlineStr">
        <is>
          <t>Soja</t>
        </is>
      </c>
      <c r="B2536" s="6" t="inlineStr">
        <is>
          <t>Rio de Janeiro - RJ</t>
        </is>
      </c>
      <c r="C2536" s="6" t="n">
        <v>-22.9129</v>
      </c>
      <c r="D2536" s="6" t="n">
        <v>-43.2003</v>
      </c>
      <c r="E2536" s="6" t="inlineStr">
        <is>
          <t>2023-03</t>
        </is>
      </c>
      <c r="F2536" s="6" t="n">
        <v>145576.2214835579</v>
      </c>
      <c r="G2536" s="6" t="inlineStr">
        <is>
          <t>DOMESTICA</t>
        </is>
      </c>
      <c r="H2536" s="6" t="inlineStr">
        <is>
          <t>FIXO</t>
        </is>
      </c>
      <c r="I2536" s="11">
        <f>IF($H2536="AUTO_OFERTA_TOTAL_PRODUTO_PERIODO",SUMIFS(Oferta!$F:$F,Oferta!$A:$A,$A2536,Oferta!$E:$E,$E2536),$F2536)</f>
        <v/>
      </c>
      <c r="J2536" s="6" t="inlineStr">
        <is>
          <t>Informado</t>
        </is>
      </c>
      <c r="K2536" s="6" t="inlineStr">
        <is>
          <t>Demanda doméstica fixa informada pelo usuário.</t>
        </is>
      </c>
    </row>
    <row r="2537">
      <c r="A2537" s="6" t="inlineStr">
        <is>
          <t>Soja</t>
        </is>
      </c>
      <c r="B2537" s="6" t="inlineStr">
        <is>
          <t>Rio de Janeiro - RJ</t>
        </is>
      </c>
      <c r="C2537" s="6" t="n">
        <v>-22.9129</v>
      </c>
      <c r="D2537" s="6" t="n">
        <v>-43.2003</v>
      </c>
      <c r="E2537" s="6" t="inlineStr">
        <is>
          <t>2023-04</t>
        </is>
      </c>
      <c r="F2537" s="6" t="n">
        <v>145576.2214835579</v>
      </c>
      <c r="G2537" s="6" t="inlineStr">
        <is>
          <t>DOMESTICA</t>
        </is>
      </c>
      <c r="H2537" s="6" t="inlineStr">
        <is>
          <t>FIXO</t>
        </is>
      </c>
      <c r="I2537" s="11">
        <f>IF($H2537="AUTO_OFERTA_TOTAL_PRODUTO_PERIODO",SUMIFS(Oferta!$F:$F,Oferta!$A:$A,$A2537,Oferta!$E:$E,$E2537),$F2537)</f>
        <v/>
      </c>
      <c r="J2537" s="6" t="inlineStr">
        <is>
          <t>Informado</t>
        </is>
      </c>
      <c r="K2537" s="6" t="inlineStr">
        <is>
          <t>Demanda doméstica fixa informada pelo usuário.</t>
        </is>
      </c>
    </row>
    <row r="2538">
      <c r="A2538" s="6" t="inlineStr">
        <is>
          <t>Soja</t>
        </is>
      </c>
      <c r="B2538" s="6" t="inlineStr">
        <is>
          <t>Rio de Janeiro - RJ</t>
        </is>
      </c>
      <c r="C2538" s="6" t="n">
        <v>-22.9129</v>
      </c>
      <c r="D2538" s="6" t="n">
        <v>-43.2003</v>
      </c>
      <c r="E2538" s="6" t="inlineStr">
        <is>
          <t>2023-05</t>
        </is>
      </c>
      <c r="F2538" s="6" t="n">
        <v>145576.2214835579</v>
      </c>
      <c r="G2538" s="6" t="inlineStr">
        <is>
          <t>DOMESTICA</t>
        </is>
      </c>
      <c r="H2538" s="6" t="inlineStr">
        <is>
          <t>FIXO</t>
        </is>
      </c>
      <c r="I2538" s="11">
        <f>IF($H2538="AUTO_OFERTA_TOTAL_PRODUTO_PERIODO",SUMIFS(Oferta!$F:$F,Oferta!$A:$A,$A2538,Oferta!$E:$E,$E2538),$F2538)</f>
        <v/>
      </c>
      <c r="J2538" s="6" t="inlineStr">
        <is>
          <t>Informado</t>
        </is>
      </c>
      <c r="K2538" s="6" t="inlineStr">
        <is>
          <t>Demanda doméstica fixa informada pelo usuário.</t>
        </is>
      </c>
    </row>
    <row r="2539">
      <c r="A2539" s="6" t="inlineStr">
        <is>
          <t>Soja</t>
        </is>
      </c>
      <c r="B2539" s="6" t="inlineStr">
        <is>
          <t>Rio de Janeiro - RJ</t>
        </is>
      </c>
      <c r="C2539" s="6" t="n">
        <v>-22.9129</v>
      </c>
      <c r="D2539" s="6" t="n">
        <v>-43.2003</v>
      </c>
      <c r="E2539" s="6" t="inlineStr">
        <is>
          <t>2023-06</t>
        </is>
      </c>
      <c r="F2539" s="6" t="n">
        <v>145576.2214835579</v>
      </c>
      <c r="G2539" s="6" t="inlineStr">
        <is>
          <t>DOMESTICA</t>
        </is>
      </c>
      <c r="H2539" s="6" t="inlineStr">
        <is>
          <t>FIXO</t>
        </is>
      </c>
      <c r="I2539" s="11">
        <f>IF($H2539="AUTO_OFERTA_TOTAL_PRODUTO_PERIODO",SUMIFS(Oferta!$F:$F,Oferta!$A:$A,$A2539,Oferta!$E:$E,$E2539),$F2539)</f>
        <v/>
      </c>
      <c r="J2539" s="6" t="inlineStr">
        <is>
          <t>Informado</t>
        </is>
      </c>
      <c r="K2539" s="6" t="inlineStr">
        <is>
          <t>Demanda doméstica fixa informada pelo usuário.</t>
        </is>
      </c>
    </row>
    <row r="2540">
      <c r="A2540" s="6" t="inlineStr">
        <is>
          <t>Soja</t>
        </is>
      </c>
      <c r="B2540" s="6" t="inlineStr">
        <is>
          <t>Rio de Janeiro - RJ</t>
        </is>
      </c>
      <c r="C2540" s="6" t="n">
        <v>-22.9129</v>
      </c>
      <c r="D2540" s="6" t="n">
        <v>-43.2003</v>
      </c>
      <c r="E2540" s="6" t="inlineStr">
        <is>
          <t>2023-07</t>
        </is>
      </c>
      <c r="F2540" s="6" t="n">
        <v>145576.2214835579</v>
      </c>
      <c r="G2540" s="6" t="inlineStr">
        <is>
          <t>DOMESTICA</t>
        </is>
      </c>
      <c r="H2540" s="6" t="inlineStr">
        <is>
          <t>FIXO</t>
        </is>
      </c>
      <c r="I2540" s="11">
        <f>IF($H2540="AUTO_OFERTA_TOTAL_PRODUTO_PERIODO",SUMIFS(Oferta!$F:$F,Oferta!$A:$A,$A2540,Oferta!$E:$E,$E2540),$F2540)</f>
        <v/>
      </c>
      <c r="J2540" s="6" t="inlineStr">
        <is>
          <t>Informado</t>
        </is>
      </c>
      <c r="K2540" s="6" t="inlineStr">
        <is>
          <t>Demanda doméstica fixa informada pelo usuário.</t>
        </is>
      </c>
    </row>
    <row r="2541">
      <c r="A2541" s="6" t="inlineStr">
        <is>
          <t>Soja</t>
        </is>
      </c>
      <c r="B2541" s="6" t="inlineStr">
        <is>
          <t>Rio de Janeiro - RJ</t>
        </is>
      </c>
      <c r="C2541" s="6" t="n">
        <v>-22.9129</v>
      </c>
      <c r="D2541" s="6" t="n">
        <v>-43.2003</v>
      </c>
      <c r="E2541" s="6" t="inlineStr">
        <is>
          <t>2023-08</t>
        </is>
      </c>
      <c r="F2541" s="6" t="n">
        <v>145576.2214835579</v>
      </c>
      <c r="G2541" s="6" t="inlineStr">
        <is>
          <t>DOMESTICA</t>
        </is>
      </c>
      <c r="H2541" s="6" t="inlineStr">
        <is>
          <t>FIXO</t>
        </is>
      </c>
      <c r="I2541" s="11">
        <f>IF($H2541="AUTO_OFERTA_TOTAL_PRODUTO_PERIODO",SUMIFS(Oferta!$F:$F,Oferta!$A:$A,$A2541,Oferta!$E:$E,$E2541),$F2541)</f>
        <v/>
      </c>
      <c r="J2541" s="6" t="inlineStr">
        <is>
          <t>Informado</t>
        </is>
      </c>
      <c r="K2541" s="6" t="inlineStr">
        <is>
          <t>Demanda doméstica fixa informada pelo usuário.</t>
        </is>
      </c>
    </row>
    <row r="2542">
      <c r="A2542" s="6" t="inlineStr">
        <is>
          <t>Soja</t>
        </is>
      </c>
      <c r="B2542" s="6" t="inlineStr">
        <is>
          <t>Rio de Janeiro - RJ</t>
        </is>
      </c>
      <c r="C2542" s="6" t="n">
        <v>-22.9129</v>
      </c>
      <c r="D2542" s="6" t="n">
        <v>-43.2003</v>
      </c>
      <c r="E2542" s="6" t="inlineStr">
        <is>
          <t>2023-09</t>
        </is>
      </c>
      <c r="F2542" s="6" t="n">
        <v>145576.2214835579</v>
      </c>
      <c r="G2542" s="6" t="inlineStr">
        <is>
          <t>DOMESTICA</t>
        </is>
      </c>
      <c r="H2542" s="6" t="inlineStr">
        <is>
          <t>FIXO</t>
        </is>
      </c>
      <c r="I2542" s="11">
        <f>IF($H2542="AUTO_OFERTA_TOTAL_PRODUTO_PERIODO",SUMIFS(Oferta!$F:$F,Oferta!$A:$A,$A2542,Oferta!$E:$E,$E2542),$F2542)</f>
        <v/>
      </c>
      <c r="J2542" s="6" t="inlineStr">
        <is>
          <t>Informado</t>
        </is>
      </c>
      <c r="K2542" s="6" t="inlineStr">
        <is>
          <t>Demanda doméstica fixa informada pelo usuário.</t>
        </is>
      </c>
    </row>
    <row r="2543">
      <c r="A2543" s="6" t="inlineStr">
        <is>
          <t>Soja</t>
        </is>
      </c>
      <c r="B2543" s="6" t="inlineStr">
        <is>
          <t>Rio de Janeiro - RJ</t>
        </is>
      </c>
      <c r="C2543" s="6" t="n">
        <v>-22.9129</v>
      </c>
      <c r="D2543" s="6" t="n">
        <v>-43.2003</v>
      </c>
      <c r="E2543" s="6" t="inlineStr">
        <is>
          <t>2023-10</t>
        </is>
      </c>
      <c r="F2543" s="6" t="n">
        <v>145576.2214835579</v>
      </c>
      <c r="G2543" s="6" t="inlineStr">
        <is>
          <t>DOMESTICA</t>
        </is>
      </c>
      <c r="H2543" s="6" t="inlineStr">
        <is>
          <t>FIXO</t>
        </is>
      </c>
      <c r="I2543" s="11">
        <f>IF($H2543="AUTO_OFERTA_TOTAL_PRODUTO_PERIODO",SUMIFS(Oferta!$F:$F,Oferta!$A:$A,$A2543,Oferta!$E:$E,$E2543),$F2543)</f>
        <v/>
      </c>
      <c r="J2543" s="6" t="inlineStr">
        <is>
          <t>Informado</t>
        </is>
      </c>
      <c r="K2543" s="6" t="inlineStr">
        <is>
          <t>Demanda doméstica fixa informada pelo usuário.</t>
        </is>
      </c>
    </row>
    <row r="2544">
      <c r="A2544" s="6" t="inlineStr">
        <is>
          <t>Soja</t>
        </is>
      </c>
      <c r="B2544" s="6" t="inlineStr">
        <is>
          <t>Rio de Janeiro - RJ</t>
        </is>
      </c>
      <c r="C2544" s="6" t="n">
        <v>-22.9129</v>
      </c>
      <c r="D2544" s="6" t="n">
        <v>-43.2003</v>
      </c>
      <c r="E2544" s="6" t="inlineStr">
        <is>
          <t>2023-11</t>
        </is>
      </c>
      <c r="F2544" s="6" t="n">
        <v>145576.2214835579</v>
      </c>
      <c r="G2544" s="6" t="inlineStr">
        <is>
          <t>DOMESTICA</t>
        </is>
      </c>
      <c r="H2544" s="6" t="inlineStr">
        <is>
          <t>FIXO</t>
        </is>
      </c>
      <c r="I2544" s="11">
        <f>IF($H2544="AUTO_OFERTA_TOTAL_PRODUTO_PERIODO",SUMIFS(Oferta!$F:$F,Oferta!$A:$A,$A2544,Oferta!$E:$E,$E2544),$F2544)</f>
        <v/>
      </c>
      <c r="J2544" s="6" t="inlineStr">
        <is>
          <t>Informado</t>
        </is>
      </c>
      <c r="K2544" s="6" t="inlineStr">
        <is>
          <t>Demanda doméstica fixa informada pelo usuário.</t>
        </is>
      </c>
    </row>
    <row r="2545">
      <c r="A2545" s="6" t="inlineStr">
        <is>
          <t>Soja</t>
        </is>
      </c>
      <c r="B2545" s="6" t="inlineStr">
        <is>
          <t>Rio de Janeiro - RJ</t>
        </is>
      </c>
      <c r="C2545" s="6" t="n">
        <v>-22.9129</v>
      </c>
      <c r="D2545" s="6" t="n">
        <v>-43.2003</v>
      </c>
      <c r="E2545" s="6" t="inlineStr">
        <is>
          <t>2023-12</t>
        </is>
      </c>
      <c r="F2545" s="6" t="n">
        <v>145576.2214835579</v>
      </c>
      <c r="G2545" s="6" t="inlineStr">
        <is>
          <t>DOMESTICA</t>
        </is>
      </c>
      <c r="H2545" s="6" t="inlineStr">
        <is>
          <t>FIXO</t>
        </is>
      </c>
      <c r="I2545" s="11">
        <f>IF($H2545="AUTO_OFERTA_TOTAL_PRODUTO_PERIODO",SUMIFS(Oferta!$F:$F,Oferta!$A:$A,$A2545,Oferta!$E:$E,$E2545),$F2545)</f>
        <v/>
      </c>
      <c r="J2545" s="6" t="inlineStr">
        <is>
          <t>Informado</t>
        </is>
      </c>
      <c r="K2545" s="6" t="inlineStr">
        <is>
          <t>Demanda doméstica fixa informada pelo usuário.</t>
        </is>
      </c>
    </row>
    <row r="2546">
      <c r="A2546" s="6" t="inlineStr">
        <is>
          <t>Soja</t>
        </is>
      </c>
      <c r="B2546" s="6" t="inlineStr">
        <is>
          <t>São Paulo - SP</t>
        </is>
      </c>
      <c r="C2546" s="6" t="n">
        <v>-23.5329</v>
      </c>
      <c r="D2546" s="6" t="n">
        <v>-46.6395</v>
      </c>
      <c r="E2546" s="6" t="inlineStr">
        <is>
          <t>2023-01</t>
        </is>
      </c>
      <c r="F2546" s="6" t="n">
        <v>555963.9597833926</v>
      </c>
      <c r="G2546" s="6" t="inlineStr">
        <is>
          <t>DOMESTICA</t>
        </is>
      </c>
      <c r="H2546" s="6" t="inlineStr">
        <is>
          <t>FIXO</t>
        </is>
      </c>
      <c r="I2546" s="11">
        <f>IF($H2546="AUTO_OFERTA_TOTAL_PRODUTO_PERIODO",SUMIFS(Oferta!$F:$F,Oferta!$A:$A,$A2546,Oferta!$E:$E,$E2546),$F2546)</f>
        <v/>
      </c>
      <c r="J2546" s="6" t="inlineStr">
        <is>
          <t>Informado</t>
        </is>
      </c>
      <c r="K2546" s="6" t="inlineStr">
        <is>
          <t>Demanda doméstica fixa informada pelo usuário.</t>
        </is>
      </c>
    </row>
    <row r="2547">
      <c r="A2547" s="6" t="inlineStr">
        <is>
          <t>Soja</t>
        </is>
      </c>
      <c r="B2547" s="6" t="inlineStr">
        <is>
          <t>São Paulo - SP</t>
        </is>
      </c>
      <c r="C2547" s="6" t="n">
        <v>-23.5329</v>
      </c>
      <c r="D2547" s="6" t="n">
        <v>-46.6395</v>
      </c>
      <c r="E2547" s="6" t="inlineStr">
        <is>
          <t>2023-02</t>
        </is>
      </c>
      <c r="F2547" s="6" t="n">
        <v>891640.3128601578</v>
      </c>
      <c r="G2547" s="6" t="inlineStr">
        <is>
          <t>DOMESTICA</t>
        </is>
      </c>
      <c r="H2547" s="6" t="inlineStr">
        <is>
          <t>FIXO</t>
        </is>
      </c>
      <c r="I2547" s="11">
        <f>IF($H2547="AUTO_OFERTA_TOTAL_PRODUTO_PERIODO",SUMIFS(Oferta!$F:$F,Oferta!$A:$A,$A2547,Oferta!$E:$E,$E2547),$F2547)</f>
        <v/>
      </c>
      <c r="J2547" s="6" t="inlineStr">
        <is>
          <t>Informado</t>
        </is>
      </c>
      <c r="K2547" s="6" t="inlineStr">
        <is>
          <t>Demanda doméstica fixa informada pelo usuário.</t>
        </is>
      </c>
    </row>
    <row r="2548">
      <c r="A2548" s="6" t="inlineStr">
        <is>
          <t>Soja</t>
        </is>
      </c>
      <c r="B2548" s="6" t="inlineStr">
        <is>
          <t>São Paulo - SP</t>
        </is>
      </c>
      <c r="C2548" s="6" t="n">
        <v>-23.5329</v>
      </c>
      <c r="D2548" s="6" t="n">
        <v>-46.6395</v>
      </c>
      <c r="E2548" s="6" t="inlineStr">
        <is>
          <t>2023-03</t>
        </is>
      </c>
      <c r="F2548" s="6" t="n">
        <v>1227316.665936923</v>
      </c>
      <c r="G2548" s="6" t="inlineStr">
        <is>
          <t>DOMESTICA</t>
        </is>
      </c>
      <c r="H2548" s="6" t="inlineStr">
        <is>
          <t>FIXO</t>
        </is>
      </c>
      <c r="I2548" s="11">
        <f>IF($H2548="AUTO_OFERTA_TOTAL_PRODUTO_PERIODO",SUMIFS(Oferta!$F:$F,Oferta!$A:$A,$A2548,Oferta!$E:$E,$E2548),$F2548)</f>
        <v/>
      </c>
      <c r="J2548" s="6" t="inlineStr">
        <is>
          <t>Informado</t>
        </is>
      </c>
      <c r="K2548" s="6" t="inlineStr">
        <is>
          <t>Demanda doméstica fixa informada pelo usuário.</t>
        </is>
      </c>
    </row>
    <row r="2549">
      <c r="A2549" s="6" t="inlineStr">
        <is>
          <t>Soja</t>
        </is>
      </c>
      <c r="B2549" s="6" t="inlineStr">
        <is>
          <t>São Paulo - SP</t>
        </is>
      </c>
      <c r="C2549" s="6" t="n">
        <v>-23.5329</v>
      </c>
      <c r="D2549" s="6" t="n">
        <v>-46.6395</v>
      </c>
      <c r="E2549" s="6" t="inlineStr">
        <is>
          <t>2023-04</t>
        </is>
      </c>
      <c r="F2549" s="6" t="n">
        <v>2234345.725167219</v>
      </c>
      <c r="G2549" s="6" t="inlineStr">
        <is>
          <t>DOMESTICA</t>
        </is>
      </c>
      <c r="H2549" s="6" t="inlineStr">
        <is>
          <t>FIXO</t>
        </is>
      </c>
      <c r="I2549" s="11">
        <f>IF($H2549="AUTO_OFERTA_TOTAL_PRODUTO_PERIODO",SUMIFS(Oferta!$F:$F,Oferta!$A:$A,$A2549,Oferta!$E:$E,$E2549),$F2549)</f>
        <v/>
      </c>
      <c r="J2549" s="6" t="inlineStr">
        <is>
          <t>Informado</t>
        </is>
      </c>
      <c r="K2549" s="6" t="inlineStr">
        <is>
          <t>Demanda doméstica fixa informada pelo usuário.</t>
        </is>
      </c>
    </row>
    <row r="2550">
      <c r="A2550" s="6" t="inlineStr">
        <is>
          <t>Soja</t>
        </is>
      </c>
      <c r="B2550" s="6" t="inlineStr">
        <is>
          <t>São Paulo - SP</t>
        </is>
      </c>
      <c r="C2550" s="6" t="n">
        <v>-23.5329</v>
      </c>
      <c r="D2550" s="6" t="n">
        <v>-46.6395</v>
      </c>
      <c r="E2550" s="6" t="inlineStr">
        <is>
          <t>2023-05</t>
        </is>
      </c>
      <c r="F2550" s="6" t="n">
        <v>2234345.725167219</v>
      </c>
      <c r="G2550" s="6" t="inlineStr">
        <is>
          <t>DOMESTICA</t>
        </is>
      </c>
      <c r="H2550" s="6" t="inlineStr">
        <is>
          <t>FIXO</t>
        </is>
      </c>
      <c r="I2550" s="11">
        <f>IF($H2550="AUTO_OFERTA_TOTAL_PRODUTO_PERIODO",SUMIFS(Oferta!$F:$F,Oferta!$A:$A,$A2550,Oferta!$E:$E,$E2550),$F2550)</f>
        <v/>
      </c>
      <c r="J2550" s="6" t="inlineStr">
        <is>
          <t>Informado</t>
        </is>
      </c>
      <c r="K2550" s="6" t="inlineStr">
        <is>
          <t>Demanda doméstica fixa informada pelo usuário.</t>
        </is>
      </c>
    </row>
    <row r="2551">
      <c r="A2551" s="6" t="inlineStr">
        <is>
          <t>Soja</t>
        </is>
      </c>
      <c r="B2551" s="6" t="inlineStr">
        <is>
          <t>São Paulo - SP</t>
        </is>
      </c>
      <c r="C2551" s="6" t="n">
        <v>-23.5329</v>
      </c>
      <c r="D2551" s="6" t="n">
        <v>-46.6395</v>
      </c>
      <c r="E2551" s="6" t="inlineStr">
        <is>
          <t>2023-06</t>
        </is>
      </c>
      <c r="F2551" s="6" t="n">
        <v>1898669.372090454</v>
      </c>
      <c r="G2551" s="6" t="inlineStr">
        <is>
          <t>DOMESTICA</t>
        </is>
      </c>
      <c r="H2551" s="6" t="inlineStr">
        <is>
          <t>FIXO</t>
        </is>
      </c>
      <c r="I2551" s="11">
        <f>IF($H2551="AUTO_OFERTA_TOTAL_PRODUTO_PERIODO",SUMIFS(Oferta!$F:$F,Oferta!$A:$A,$A2551,Oferta!$E:$E,$E2551),$F2551)</f>
        <v/>
      </c>
      <c r="J2551" s="6" t="inlineStr">
        <is>
          <t>Informado</t>
        </is>
      </c>
      <c r="K2551" s="6" t="inlineStr">
        <is>
          <t>Demanda doméstica fixa informada pelo usuário.</t>
        </is>
      </c>
    </row>
    <row r="2552">
      <c r="A2552" s="6" t="inlineStr">
        <is>
          <t>Soja</t>
        </is>
      </c>
      <c r="B2552" s="6" t="inlineStr">
        <is>
          <t>São Paulo - SP</t>
        </is>
      </c>
      <c r="C2552" s="6" t="n">
        <v>-23.5329</v>
      </c>
      <c r="D2552" s="6" t="n">
        <v>-46.6395</v>
      </c>
      <c r="E2552" s="6" t="inlineStr">
        <is>
          <t>2023-07</t>
        </is>
      </c>
      <c r="F2552" s="6" t="n">
        <v>891640.3128601578</v>
      </c>
      <c r="G2552" s="6" t="inlineStr">
        <is>
          <t>DOMESTICA</t>
        </is>
      </c>
      <c r="H2552" s="6" t="inlineStr">
        <is>
          <t>FIXO</t>
        </is>
      </c>
      <c r="I2552" s="11">
        <f>IF($H2552="AUTO_OFERTA_TOTAL_PRODUTO_PERIODO",SUMIFS(Oferta!$F:$F,Oferta!$A:$A,$A2552,Oferta!$E:$E,$E2552),$F2552)</f>
        <v/>
      </c>
      <c r="J2552" s="6" t="inlineStr">
        <is>
          <t>Informado</t>
        </is>
      </c>
      <c r="K2552" s="6" t="inlineStr">
        <is>
          <t>Demanda doméstica fixa informada pelo usuário.</t>
        </is>
      </c>
    </row>
    <row r="2553">
      <c r="A2553" s="6" t="inlineStr">
        <is>
          <t>Soja</t>
        </is>
      </c>
      <c r="B2553" s="6" t="inlineStr">
        <is>
          <t>São Paulo - SP</t>
        </is>
      </c>
      <c r="C2553" s="6" t="n">
        <v>-23.5329</v>
      </c>
      <c r="D2553" s="6" t="n">
        <v>-46.6395</v>
      </c>
      <c r="E2553" s="6" t="inlineStr">
        <is>
          <t>2023-08</t>
        </is>
      </c>
      <c r="F2553" s="6" t="n">
        <v>555963.9597833926</v>
      </c>
      <c r="G2553" s="6" t="inlineStr">
        <is>
          <t>DOMESTICA</t>
        </is>
      </c>
      <c r="H2553" s="6" t="inlineStr">
        <is>
          <t>FIXO</t>
        </is>
      </c>
      <c r="I2553" s="11">
        <f>IF($H2553="AUTO_OFERTA_TOTAL_PRODUTO_PERIODO",SUMIFS(Oferta!$F:$F,Oferta!$A:$A,$A2553,Oferta!$E:$E,$E2553),$F2553)</f>
        <v/>
      </c>
      <c r="J2553" s="6" t="inlineStr">
        <is>
          <t>Informado</t>
        </is>
      </c>
      <c r="K2553" s="6" t="inlineStr">
        <is>
          <t>Demanda doméstica fixa informada pelo usuário.</t>
        </is>
      </c>
    </row>
    <row r="2554">
      <c r="A2554" s="6" t="inlineStr">
        <is>
          <t>Soja</t>
        </is>
      </c>
      <c r="B2554" s="6" t="inlineStr">
        <is>
          <t>São Paulo - SP</t>
        </is>
      </c>
      <c r="C2554" s="6" t="n">
        <v>-23.5329</v>
      </c>
      <c r="D2554" s="6" t="n">
        <v>-46.6395</v>
      </c>
      <c r="E2554" s="6" t="inlineStr">
        <is>
          <t>2023-09</t>
        </is>
      </c>
      <c r="F2554" s="6" t="n">
        <v>555963.9597833926</v>
      </c>
      <c r="G2554" s="6" t="inlineStr">
        <is>
          <t>DOMESTICA</t>
        </is>
      </c>
      <c r="H2554" s="6" t="inlineStr">
        <is>
          <t>FIXO</t>
        </is>
      </c>
      <c r="I2554" s="11">
        <f>IF($H2554="AUTO_OFERTA_TOTAL_PRODUTO_PERIODO",SUMIFS(Oferta!$F:$F,Oferta!$A:$A,$A2554,Oferta!$E:$E,$E2554),$F2554)</f>
        <v/>
      </c>
      <c r="J2554" s="6" t="inlineStr">
        <is>
          <t>Informado</t>
        </is>
      </c>
      <c r="K2554" s="6" t="inlineStr">
        <is>
          <t>Demanda doméstica fixa informada pelo usuário.</t>
        </is>
      </c>
    </row>
    <row r="2555">
      <c r="A2555" s="6" t="inlineStr">
        <is>
          <t>Soja</t>
        </is>
      </c>
      <c r="B2555" s="6" t="inlineStr">
        <is>
          <t>São Paulo - SP</t>
        </is>
      </c>
      <c r="C2555" s="6" t="n">
        <v>-23.5329</v>
      </c>
      <c r="D2555" s="6" t="n">
        <v>-46.6395</v>
      </c>
      <c r="E2555" s="6" t="inlineStr">
        <is>
          <t>2023-10</t>
        </is>
      </c>
      <c r="F2555" s="6" t="n">
        <v>555963.9597833926</v>
      </c>
      <c r="G2555" s="6" t="inlineStr">
        <is>
          <t>DOMESTICA</t>
        </is>
      </c>
      <c r="H2555" s="6" t="inlineStr">
        <is>
          <t>FIXO</t>
        </is>
      </c>
      <c r="I2555" s="11">
        <f>IF($H2555="AUTO_OFERTA_TOTAL_PRODUTO_PERIODO",SUMIFS(Oferta!$F:$F,Oferta!$A:$A,$A2555,Oferta!$E:$E,$E2555),$F2555)</f>
        <v/>
      </c>
      <c r="J2555" s="6" t="inlineStr">
        <is>
          <t>Informado</t>
        </is>
      </c>
      <c r="K2555" s="6" t="inlineStr">
        <is>
          <t>Demanda doméstica fixa informada pelo usuário.</t>
        </is>
      </c>
    </row>
    <row r="2556">
      <c r="A2556" s="6" t="inlineStr">
        <is>
          <t>Soja</t>
        </is>
      </c>
      <c r="B2556" s="6" t="inlineStr">
        <is>
          <t>São Paulo - SP</t>
        </is>
      </c>
      <c r="C2556" s="6" t="n">
        <v>-23.5329</v>
      </c>
      <c r="D2556" s="6" t="n">
        <v>-46.6395</v>
      </c>
      <c r="E2556" s="6" t="inlineStr">
        <is>
          <t>2023-11</t>
        </is>
      </c>
      <c r="F2556" s="6" t="n">
        <v>555963.9597833926</v>
      </c>
      <c r="G2556" s="6" t="inlineStr">
        <is>
          <t>DOMESTICA</t>
        </is>
      </c>
      <c r="H2556" s="6" t="inlineStr">
        <is>
          <t>FIXO</t>
        </is>
      </c>
      <c r="I2556" s="11">
        <f>IF($H2556="AUTO_OFERTA_TOTAL_PRODUTO_PERIODO",SUMIFS(Oferta!$F:$F,Oferta!$A:$A,$A2556,Oferta!$E:$E,$E2556),$F2556)</f>
        <v/>
      </c>
      <c r="J2556" s="6" t="inlineStr">
        <is>
          <t>Informado</t>
        </is>
      </c>
      <c r="K2556" s="6" t="inlineStr">
        <is>
          <t>Demanda doméstica fixa informada pelo usuário.</t>
        </is>
      </c>
    </row>
    <row r="2557">
      <c r="A2557" s="6" t="inlineStr">
        <is>
          <t>Soja</t>
        </is>
      </c>
      <c r="B2557" s="6" t="inlineStr">
        <is>
          <t>São Paulo - SP</t>
        </is>
      </c>
      <c r="C2557" s="6" t="n">
        <v>-23.5329</v>
      </c>
      <c r="D2557" s="6" t="n">
        <v>-46.6395</v>
      </c>
      <c r="E2557" s="6" t="inlineStr">
        <is>
          <t>2023-12</t>
        </is>
      </c>
      <c r="F2557" s="6" t="n">
        <v>555963.9597833926</v>
      </c>
      <c r="G2557" s="6" t="inlineStr">
        <is>
          <t>DOMESTICA</t>
        </is>
      </c>
      <c r="H2557" s="6" t="inlineStr">
        <is>
          <t>FIXO</t>
        </is>
      </c>
      <c r="I2557" s="11">
        <f>IF($H2557="AUTO_OFERTA_TOTAL_PRODUTO_PERIODO",SUMIFS(Oferta!$F:$F,Oferta!$A:$A,$A2557,Oferta!$E:$E,$E2557),$F2557)</f>
        <v/>
      </c>
      <c r="J2557" s="6" t="inlineStr">
        <is>
          <t>Informado</t>
        </is>
      </c>
      <c r="K2557" s="6" t="inlineStr">
        <is>
          <t>Demanda doméstica fixa informada pelo usuário.</t>
        </is>
      </c>
    </row>
    <row r="2558">
      <c r="A2558" s="6" t="inlineStr">
        <is>
          <t>Soja</t>
        </is>
      </c>
      <c r="B2558" s="6" t="inlineStr">
        <is>
          <t>Curitiba - PR</t>
        </is>
      </c>
      <c r="C2558" s="6" t="n">
        <v>-25.4195</v>
      </c>
      <c r="D2558" s="6" t="n">
        <v>-49.2646</v>
      </c>
      <c r="E2558" s="6" t="inlineStr">
        <is>
          <t>2023-01</t>
        </is>
      </c>
      <c r="F2558" s="6" t="n">
        <v>289348.2945099588</v>
      </c>
      <c r="G2558" s="6" t="inlineStr">
        <is>
          <t>DOMESTICA</t>
        </is>
      </c>
      <c r="H2558" s="6" t="inlineStr">
        <is>
          <t>FIXO</t>
        </is>
      </c>
      <c r="I2558" s="11">
        <f>IF($H2558="AUTO_OFERTA_TOTAL_PRODUTO_PERIODO",SUMIFS(Oferta!$F:$F,Oferta!$A:$A,$A2558,Oferta!$E:$E,$E2558),$F2558)</f>
        <v/>
      </c>
      <c r="J2558" s="6" t="inlineStr">
        <is>
          <t>Informado</t>
        </is>
      </c>
      <c r="K2558" s="6" t="inlineStr">
        <is>
          <t>Demanda doméstica fixa informada pelo usuário.</t>
        </is>
      </c>
    </row>
    <row r="2559">
      <c r="A2559" s="6" t="inlineStr">
        <is>
          <t>Soja</t>
        </is>
      </c>
      <c r="B2559" s="6" t="inlineStr">
        <is>
          <t>Curitiba - PR</t>
        </is>
      </c>
      <c r="C2559" s="6" t="n">
        <v>-25.4195</v>
      </c>
      <c r="D2559" s="6" t="n">
        <v>-49.2646</v>
      </c>
      <c r="E2559" s="6" t="inlineStr">
        <is>
          <t>2023-02</t>
        </is>
      </c>
      <c r="F2559" s="6" t="n">
        <v>376698.723041267</v>
      </c>
      <c r="G2559" s="6" t="inlineStr">
        <is>
          <t>DOMESTICA</t>
        </is>
      </c>
      <c r="H2559" s="6" t="inlineStr">
        <is>
          <t>FIXO</t>
        </is>
      </c>
      <c r="I2559" s="11">
        <f>IF($H2559="AUTO_OFERTA_TOTAL_PRODUTO_PERIODO",SUMIFS(Oferta!$F:$F,Oferta!$A:$A,$A2559,Oferta!$E:$E,$E2559),$F2559)</f>
        <v/>
      </c>
      <c r="J2559" s="6" t="inlineStr">
        <is>
          <t>Informado</t>
        </is>
      </c>
      <c r="K2559" s="6" t="inlineStr">
        <is>
          <t>Demanda doméstica fixa informada pelo usuário.</t>
        </is>
      </c>
    </row>
    <row r="2560">
      <c r="A2560" s="6" t="inlineStr">
        <is>
          <t>Soja</t>
        </is>
      </c>
      <c r="B2560" s="6" t="inlineStr">
        <is>
          <t>Curitiba - PR</t>
        </is>
      </c>
      <c r="C2560" s="6" t="n">
        <v>-25.4195</v>
      </c>
      <c r="D2560" s="6" t="n">
        <v>-49.2646</v>
      </c>
      <c r="E2560" s="6" t="inlineStr">
        <is>
          <t>2023-03</t>
        </is>
      </c>
      <c r="F2560" s="6" t="n">
        <v>551399.5801038835</v>
      </c>
      <c r="G2560" s="6" t="inlineStr">
        <is>
          <t>DOMESTICA</t>
        </is>
      </c>
      <c r="H2560" s="6" t="inlineStr">
        <is>
          <t>FIXO</t>
        </is>
      </c>
      <c r="I2560" s="11">
        <f>IF($H2560="AUTO_OFERTA_TOTAL_PRODUTO_PERIODO",SUMIFS(Oferta!$F:$F,Oferta!$A:$A,$A2560,Oferta!$E:$E,$E2560),$F2560)</f>
        <v/>
      </c>
      <c r="J2560" s="6" t="inlineStr">
        <is>
          <t>Informado</t>
        </is>
      </c>
      <c r="K2560" s="6" t="inlineStr">
        <is>
          <t>Demanda doméstica fixa informada pelo usuário.</t>
        </is>
      </c>
    </row>
    <row r="2561">
      <c r="A2561" s="6" t="inlineStr">
        <is>
          <t>Soja</t>
        </is>
      </c>
      <c r="B2561" s="6" t="inlineStr">
        <is>
          <t>Curitiba - PR</t>
        </is>
      </c>
      <c r="C2561" s="6" t="n">
        <v>-25.4195</v>
      </c>
      <c r="D2561" s="6" t="n">
        <v>-49.2646</v>
      </c>
      <c r="E2561" s="6" t="inlineStr">
        <is>
          <t>2023-04</t>
        </is>
      </c>
      <c r="F2561" s="6" t="n">
        <v>900801.2942291168</v>
      </c>
      <c r="G2561" s="6" t="inlineStr">
        <is>
          <t>DOMESTICA</t>
        </is>
      </c>
      <c r="H2561" s="6" t="inlineStr">
        <is>
          <t>FIXO</t>
        </is>
      </c>
      <c r="I2561" s="11">
        <f>IF($H2561="AUTO_OFERTA_TOTAL_PRODUTO_PERIODO",SUMIFS(Oferta!$F:$F,Oferta!$A:$A,$A2561,Oferta!$E:$E,$E2561),$F2561)</f>
        <v/>
      </c>
      <c r="J2561" s="6" t="inlineStr">
        <is>
          <t>Informado</t>
        </is>
      </c>
      <c r="K2561" s="6" t="inlineStr">
        <is>
          <t>Demanda doméstica fixa informada pelo usuário.</t>
        </is>
      </c>
    </row>
    <row r="2562">
      <c r="A2562" s="6" t="inlineStr">
        <is>
          <t>Soja</t>
        </is>
      </c>
      <c r="B2562" s="6" t="inlineStr">
        <is>
          <t>Curitiba - PR</t>
        </is>
      </c>
      <c r="C2562" s="6" t="n">
        <v>-25.4195</v>
      </c>
      <c r="D2562" s="6" t="n">
        <v>-49.2646</v>
      </c>
      <c r="E2562" s="6" t="inlineStr">
        <is>
          <t>2023-05</t>
        </is>
      </c>
      <c r="F2562" s="6" t="n">
        <v>988151.7227604252</v>
      </c>
      <c r="G2562" s="6" t="inlineStr">
        <is>
          <t>DOMESTICA</t>
        </is>
      </c>
      <c r="H2562" s="6" t="inlineStr">
        <is>
          <t>FIXO</t>
        </is>
      </c>
      <c r="I2562" s="11">
        <f>IF($H2562="AUTO_OFERTA_TOTAL_PRODUTO_PERIODO",SUMIFS(Oferta!$F:$F,Oferta!$A:$A,$A2562,Oferta!$E:$E,$E2562),$F2562)</f>
        <v/>
      </c>
      <c r="J2562" s="6" t="inlineStr">
        <is>
          <t>Informado</t>
        </is>
      </c>
      <c r="K2562" s="6" t="inlineStr">
        <is>
          <t>Demanda doméstica fixa informada pelo usuário.</t>
        </is>
      </c>
    </row>
    <row r="2563">
      <c r="A2563" s="6" t="inlineStr">
        <is>
          <t>Soja</t>
        </is>
      </c>
      <c r="B2563" s="6" t="inlineStr">
        <is>
          <t>Curitiba - PR</t>
        </is>
      </c>
      <c r="C2563" s="6" t="n">
        <v>-25.4195</v>
      </c>
      <c r="D2563" s="6" t="n">
        <v>-49.2646</v>
      </c>
      <c r="E2563" s="6" t="inlineStr">
        <is>
          <t>2023-06</t>
        </is>
      </c>
      <c r="F2563" s="6" t="n">
        <v>813450.8656978084</v>
      </c>
      <c r="G2563" s="6" t="inlineStr">
        <is>
          <t>DOMESTICA</t>
        </is>
      </c>
      <c r="H2563" s="6" t="inlineStr">
        <is>
          <t>FIXO</t>
        </is>
      </c>
      <c r="I2563" s="11">
        <f>IF($H2563="AUTO_OFERTA_TOTAL_PRODUTO_PERIODO",SUMIFS(Oferta!$F:$F,Oferta!$A:$A,$A2563,Oferta!$E:$E,$E2563),$F2563)</f>
        <v/>
      </c>
      <c r="J2563" s="6" t="inlineStr">
        <is>
          <t>Informado</t>
        </is>
      </c>
      <c r="K2563" s="6" t="inlineStr">
        <is>
          <t>Demanda doméstica fixa informada pelo usuário.</t>
        </is>
      </c>
    </row>
    <row r="2564">
      <c r="A2564" s="6" t="inlineStr">
        <is>
          <t>Soja</t>
        </is>
      </c>
      <c r="B2564" s="6" t="inlineStr">
        <is>
          <t>Curitiba - PR</t>
        </is>
      </c>
      <c r="C2564" s="6" t="n">
        <v>-25.4195</v>
      </c>
      <c r="D2564" s="6" t="n">
        <v>-49.2646</v>
      </c>
      <c r="E2564" s="6" t="inlineStr">
        <is>
          <t>2023-07</t>
        </is>
      </c>
      <c r="F2564" s="6" t="n">
        <v>464049.1515725753</v>
      </c>
      <c r="G2564" s="6" t="inlineStr">
        <is>
          <t>DOMESTICA</t>
        </is>
      </c>
      <c r="H2564" s="6" t="inlineStr">
        <is>
          <t>FIXO</t>
        </is>
      </c>
      <c r="I2564" s="11">
        <f>IF($H2564="AUTO_OFERTA_TOTAL_PRODUTO_PERIODO",SUMIFS(Oferta!$F:$F,Oferta!$A:$A,$A2564,Oferta!$E:$E,$E2564),$F2564)</f>
        <v/>
      </c>
      <c r="J2564" s="6" t="inlineStr">
        <is>
          <t>Informado</t>
        </is>
      </c>
      <c r="K2564" s="6" t="inlineStr">
        <is>
          <t>Demanda doméstica fixa informada pelo usuário.</t>
        </is>
      </c>
    </row>
    <row r="2565">
      <c r="A2565" s="6" t="inlineStr">
        <is>
          <t>Soja</t>
        </is>
      </c>
      <c r="B2565" s="6" t="inlineStr">
        <is>
          <t>Curitiba - PR</t>
        </is>
      </c>
      <c r="C2565" s="6" t="n">
        <v>-25.4195</v>
      </c>
      <c r="D2565" s="6" t="n">
        <v>-49.2646</v>
      </c>
      <c r="E2565" s="6" t="inlineStr">
        <is>
          <t>2023-08</t>
        </is>
      </c>
      <c r="F2565" s="6" t="n">
        <v>289348.2945099588</v>
      </c>
      <c r="G2565" s="6" t="inlineStr">
        <is>
          <t>DOMESTICA</t>
        </is>
      </c>
      <c r="H2565" s="6" t="inlineStr">
        <is>
          <t>FIXO</t>
        </is>
      </c>
      <c r="I2565" s="11">
        <f>IF($H2565="AUTO_OFERTA_TOTAL_PRODUTO_PERIODO",SUMIFS(Oferta!$F:$F,Oferta!$A:$A,$A2565,Oferta!$E:$E,$E2565),$F2565)</f>
        <v/>
      </c>
      <c r="J2565" s="6" t="inlineStr">
        <is>
          <t>Informado</t>
        </is>
      </c>
      <c r="K2565" s="6" t="inlineStr">
        <is>
          <t>Demanda doméstica fixa informada pelo usuário.</t>
        </is>
      </c>
    </row>
    <row r="2566">
      <c r="A2566" s="6" t="inlineStr">
        <is>
          <t>Soja</t>
        </is>
      </c>
      <c r="B2566" s="6" t="inlineStr">
        <is>
          <t>Curitiba - PR</t>
        </is>
      </c>
      <c r="C2566" s="6" t="n">
        <v>-25.4195</v>
      </c>
      <c r="D2566" s="6" t="n">
        <v>-49.2646</v>
      </c>
      <c r="E2566" s="6" t="inlineStr">
        <is>
          <t>2023-09</t>
        </is>
      </c>
      <c r="F2566" s="6" t="n">
        <v>289348.2945099588</v>
      </c>
      <c r="G2566" s="6" t="inlineStr">
        <is>
          <t>DOMESTICA</t>
        </is>
      </c>
      <c r="H2566" s="6" t="inlineStr">
        <is>
          <t>FIXO</t>
        </is>
      </c>
      <c r="I2566" s="11">
        <f>IF($H2566="AUTO_OFERTA_TOTAL_PRODUTO_PERIODO",SUMIFS(Oferta!$F:$F,Oferta!$A:$A,$A2566,Oferta!$E:$E,$E2566),$F2566)</f>
        <v/>
      </c>
      <c r="J2566" s="6" t="inlineStr">
        <is>
          <t>Informado</t>
        </is>
      </c>
      <c r="K2566" s="6" t="inlineStr">
        <is>
          <t>Demanda doméstica fixa informada pelo usuário.</t>
        </is>
      </c>
    </row>
    <row r="2567">
      <c r="A2567" s="6" t="inlineStr">
        <is>
          <t>Soja</t>
        </is>
      </c>
      <c r="B2567" s="6" t="inlineStr">
        <is>
          <t>Curitiba - PR</t>
        </is>
      </c>
      <c r="C2567" s="6" t="n">
        <v>-25.4195</v>
      </c>
      <c r="D2567" s="6" t="n">
        <v>-49.2646</v>
      </c>
      <c r="E2567" s="6" t="inlineStr">
        <is>
          <t>2023-10</t>
        </is>
      </c>
      <c r="F2567" s="6" t="n">
        <v>289348.2945099588</v>
      </c>
      <c r="G2567" s="6" t="inlineStr">
        <is>
          <t>DOMESTICA</t>
        </is>
      </c>
      <c r="H2567" s="6" t="inlineStr">
        <is>
          <t>FIXO</t>
        </is>
      </c>
      <c r="I2567" s="11">
        <f>IF($H2567="AUTO_OFERTA_TOTAL_PRODUTO_PERIODO",SUMIFS(Oferta!$F:$F,Oferta!$A:$A,$A2567,Oferta!$E:$E,$E2567),$F2567)</f>
        <v/>
      </c>
      <c r="J2567" s="6" t="inlineStr">
        <is>
          <t>Informado</t>
        </is>
      </c>
      <c r="K2567" s="6" t="inlineStr">
        <is>
          <t>Demanda doméstica fixa informada pelo usuário.</t>
        </is>
      </c>
    </row>
    <row r="2568">
      <c r="A2568" s="6" t="inlineStr">
        <is>
          <t>Soja</t>
        </is>
      </c>
      <c r="B2568" s="6" t="inlineStr">
        <is>
          <t>Curitiba - PR</t>
        </is>
      </c>
      <c r="C2568" s="6" t="n">
        <v>-25.4195</v>
      </c>
      <c r="D2568" s="6" t="n">
        <v>-49.2646</v>
      </c>
      <c r="E2568" s="6" t="inlineStr">
        <is>
          <t>2023-11</t>
        </is>
      </c>
      <c r="F2568" s="6" t="n">
        <v>289348.2945099588</v>
      </c>
      <c r="G2568" s="6" t="inlineStr">
        <is>
          <t>DOMESTICA</t>
        </is>
      </c>
      <c r="H2568" s="6" t="inlineStr">
        <is>
          <t>FIXO</t>
        </is>
      </c>
      <c r="I2568" s="11">
        <f>IF($H2568="AUTO_OFERTA_TOTAL_PRODUTO_PERIODO",SUMIFS(Oferta!$F:$F,Oferta!$A:$A,$A2568,Oferta!$E:$E,$E2568),$F2568)</f>
        <v/>
      </c>
      <c r="J2568" s="6" t="inlineStr">
        <is>
          <t>Informado</t>
        </is>
      </c>
      <c r="K2568" s="6" t="inlineStr">
        <is>
          <t>Demanda doméstica fixa informada pelo usuário.</t>
        </is>
      </c>
    </row>
    <row r="2569">
      <c r="A2569" s="6" t="inlineStr">
        <is>
          <t>Soja</t>
        </is>
      </c>
      <c r="B2569" s="6" t="inlineStr">
        <is>
          <t>Curitiba - PR</t>
        </is>
      </c>
      <c r="C2569" s="6" t="n">
        <v>-25.4195</v>
      </c>
      <c r="D2569" s="6" t="n">
        <v>-49.2646</v>
      </c>
      <c r="E2569" s="6" t="inlineStr">
        <is>
          <t>2023-12</t>
        </is>
      </c>
      <c r="F2569" s="6" t="n">
        <v>289348.2945099588</v>
      </c>
      <c r="G2569" s="6" t="inlineStr">
        <is>
          <t>DOMESTICA</t>
        </is>
      </c>
      <c r="H2569" s="6" t="inlineStr">
        <is>
          <t>FIXO</t>
        </is>
      </c>
      <c r="I2569" s="11">
        <f>IF($H2569="AUTO_OFERTA_TOTAL_PRODUTO_PERIODO",SUMIFS(Oferta!$F:$F,Oferta!$A:$A,$A2569,Oferta!$E:$E,$E2569),$F2569)</f>
        <v/>
      </c>
      <c r="J2569" s="6" t="inlineStr">
        <is>
          <t>Informado</t>
        </is>
      </c>
      <c r="K2569" s="6" t="inlineStr">
        <is>
          <t>Demanda doméstica fixa informada pelo usuário.</t>
        </is>
      </c>
    </row>
    <row r="2570">
      <c r="A2570" s="6" t="inlineStr">
        <is>
          <t>Soja</t>
        </is>
      </c>
      <c r="B2570" s="6" t="inlineStr">
        <is>
          <t>Florianópolis - SC</t>
        </is>
      </c>
      <c r="C2570" s="6" t="n">
        <v>-27.5945</v>
      </c>
      <c r="D2570" s="6" t="n">
        <v>-48.5477</v>
      </c>
      <c r="E2570" s="6" t="inlineStr">
        <is>
          <t>2023-01</t>
        </is>
      </c>
      <c r="F2570" s="6" t="n">
        <v>127335.9237326614</v>
      </c>
      <c r="G2570" s="6" t="inlineStr">
        <is>
          <t>DOMESTICA</t>
        </is>
      </c>
      <c r="H2570" s="6" t="inlineStr">
        <is>
          <t>FIXO</t>
        </is>
      </c>
      <c r="I2570" s="11">
        <f>IF($H2570="AUTO_OFERTA_TOTAL_PRODUTO_PERIODO",SUMIFS(Oferta!$F:$F,Oferta!$A:$A,$A2570,Oferta!$E:$E,$E2570),$F2570)</f>
        <v/>
      </c>
      <c r="J2570" s="6" t="inlineStr">
        <is>
          <t>Informado</t>
        </is>
      </c>
      <c r="K2570" s="6" t="inlineStr">
        <is>
          <t>Demanda doméstica fixa informada pelo usuário.</t>
        </is>
      </c>
    </row>
    <row r="2571">
      <c r="A2571" s="6" t="inlineStr">
        <is>
          <t>Soja</t>
        </is>
      </c>
      <c r="B2571" s="6" t="inlineStr">
        <is>
          <t>Florianópolis - SC</t>
        </is>
      </c>
      <c r="C2571" s="6" t="n">
        <v>-27.5945</v>
      </c>
      <c r="D2571" s="6" t="n">
        <v>-48.5477</v>
      </c>
      <c r="E2571" s="6" t="inlineStr">
        <is>
          <t>2023-02</t>
        </is>
      </c>
      <c r="F2571" s="6" t="n">
        <v>127335.9237326614</v>
      </c>
      <c r="G2571" s="6" t="inlineStr">
        <is>
          <t>DOMESTICA</t>
        </is>
      </c>
      <c r="H2571" s="6" t="inlineStr">
        <is>
          <t>FIXO</t>
        </is>
      </c>
      <c r="I2571" s="11">
        <f>IF($H2571="AUTO_OFERTA_TOTAL_PRODUTO_PERIODO",SUMIFS(Oferta!$F:$F,Oferta!$A:$A,$A2571,Oferta!$E:$E,$E2571),$F2571)</f>
        <v/>
      </c>
      <c r="J2571" s="6" t="inlineStr">
        <is>
          <t>Informado</t>
        </is>
      </c>
      <c r="K2571" s="6" t="inlineStr">
        <is>
          <t>Demanda doméstica fixa informada pelo usuário.</t>
        </is>
      </c>
    </row>
    <row r="2572">
      <c r="A2572" s="6" t="inlineStr">
        <is>
          <t>Soja</t>
        </is>
      </c>
      <c r="B2572" s="6" t="inlineStr">
        <is>
          <t>Florianópolis - SC</t>
        </is>
      </c>
      <c r="C2572" s="6" t="n">
        <v>-27.5945</v>
      </c>
      <c r="D2572" s="6" t="n">
        <v>-48.5477</v>
      </c>
      <c r="E2572" s="6" t="inlineStr">
        <is>
          <t>2023-03</t>
        </is>
      </c>
      <c r="F2572" s="6" t="n">
        <v>204217.9908920041</v>
      </c>
      <c r="G2572" s="6" t="inlineStr">
        <is>
          <t>DOMESTICA</t>
        </is>
      </c>
      <c r="H2572" s="6" t="inlineStr">
        <is>
          <t>FIXO</t>
        </is>
      </c>
      <c r="I2572" s="11">
        <f>IF($H2572="AUTO_OFERTA_TOTAL_PRODUTO_PERIODO",SUMIFS(Oferta!$F:$F,Oferta!$A:$A,$A2572,Oferta!$E:$E,$E2572),$F2572)</f>
        <v/>
      </c>
      <c r="J2572" s="6" t="inlineStr">
        <is>
          <t>Informado</t>
        </is>
      </c>
      <c r="K2572" s="6" t="inlineStr">
        <is>
          <t>Demanda doméstica fixa informada pelo usuário.</t>
        </is>
      </c>
    </row>
    <row r="2573">
      <c r="A2573" s="6" t="inlineStr">
        <is>
          <t>Soja</t>
        </is>
      </c>
      <c r="B2573" s="6" t="inlineStr">
        <is>
          <t>Florianópolis - SC</t>
        </is>
      </c>
      <c r="C2573" s="6" t="n">
        <v>-27.5945</v>
      </c>
      <c r="D2573" s="6" t="n">
        <v>-48.5477</v>
      </c>
      <c r="E2573" s="6" t="inlineStr">
        <is>
          <t>2023-04</t>
        </is>
      </c>
      <c r="F2573" s="6" t="n">
        <v>357982.1252106896</v>
      </c>
      <c r="G2573" s="6" t="inlineStr">
        <is>
          <t>DOMESTICA</t>
        </is>
      </c>
      <c r="H2573" s="6" t="inlineStr">
        <is>
          <t>FIXO</t>
        </is>
      </c>
      <c r="I2573" s="11">
        <f>IF($H2573="AUTO_OFERTA_TOTAL_PRODUTO_PERIODO",SUMIFS(Oferta!$F:$F,Oferta!$A:$A,$A2573,Oferta!$E:$E,$E2573),$F2573)</f>
        <v/>
      </c>
      <c r="J2573" s="6" t="inlineStr">
        <is>
          <t>Informado</t>
        </is>
      </c>
      <c r="K2573" s="6" t="inlineStr">
        <is>
          <t>Demanda doméstica fixa informada pelo usuário.</t>
        </is>
      </c>
    </row>
    <row r="2574">
      <c r="A2574" s="6" t="inlineStr">
        <is>
          <t>Soja</t>
        </is>
      </c>
      <c r="B2574" s="6" t="inlineStr">
        <is>
          <t>Florianópolis - SC</t>
        </is>
      </c>
      <c r="C2574" s="6" t="n">
        <v>-27.5945</v>
      </c>
      <c r="D2574" s="6" t="n">
        <v>-48.5477</v>
      </c>
      <c r="E2574" s="6" t="inlineStr">
        <is>
          <t>2023-05</t>
        </is>
      </c>
      <c r="F2574" s="6" t="n">
        <v>511746.2595293749</v>
      </c>
      <c r="G2574" s="6" t="inlineStr">
        <is>
          <t>DOMESTICA</t>
        </is>
      </c>
      <c r="H2574" s="6" t="inlineStr">
        <is>
          <t>FIXO</t>
        </is>
      </c>
      <c r="I2574" s="11">
        <f>IF($H2574="AUTO_OFERTA_TOTAL_PRODUTO_PERIODO",SUMIFS(Oferta!$F:$F,Oferta!$A:$A,$A2574,Oferta!$E:$E,$E2574),$F2574)</f>
        <v/>
      </c>
      <c r="J2574" s="6" t="inlineStr">
        <is>
          <t>Informado</t>
        </is>
      </c>
      <c r="K2574" s="6" t="inlineStr">
        <is>
          <t>Demanda doméstica fixa informada pelo usuário.</t>
        </is>
      </c>
    </row>
    <row r="2575">
      <c r="A2575" s="6" t="inlineStr">
        <is>
          <t>Soja</t>
        </is>
      </c>
      <c r="B2575" s="6" t="inlineStr">
        <is>
          <t>Florianópolis - SC</t>
        </is>
      </c>
      <c r="C2575" s="6" t="n">
        <v>-27.5945</v>
      </c>
      <c r="D2575" s="6" t="n">
        <v>-48.5477</v>
      </c>
      <c r="E2575" s="6" t="inlineStr">
        <is>
          <t>2023-06</t>
        </is>
      </c>
      <c r="F2575" s="6" t="n">
        <v>511746.2595293749</v>
      </c>
      <c r="G2575" s="6" t="inlineStr">
        <is>
          <t>DOMESTICA</t>
        </is>
      </c>
      <c r="H2575" s="6" t="inlineStr">
        <is>
          <t>FIXO</t>
        </is>
      </c>
      <c r="I2575" s="11">
        <f>IF($H2575="AUTO_OFERTA_TOTAL_PRODUTO_PERIODO",SUMIFS(Oferta!$F:$F,Oferta!$A:$A,$A2575,Oferta!$E:$E,$E2575),$F2575)</f>
        <v/>
      </c>
      <c r="J2575" s="6" t="inlineStr">
        <is>
          <t>Informado</t>
        </is>
      </c>
      <c r="K2575" s="6" t="inlineStr">
        <is>
          <t>Demanda doméstica fixa informada pelo usuário.</t>
        </is>
      </c>
    </row>
    <row r="2576">
      <c r="A2576" s="6" t="inlineStr">
        <is>
          <t>Soja</t>
        </is>
      </c>
      <c r="B2576" s="6" t="inlineStr">
        <is>
          <t>Florianópolis - SC</t>
        </is>
      </c>
      <c r="C2576" s="6" t="n">
        <v>-27.5945</v>
      </c>
      <c r="D2576" s="6" t="n">
        <v>-48.5477</v>
      </c>
      <c r="E2576" s="6" t="inlineStr">
        <is>
          <t>2023-07</t>
        </is>
      </c>
      <c r="F2576" s="6" t="n">
        <v>357982.1252106896</v>
      </c>
      <c r="G2576" s="6" t="inlineStr">
        <is>
          <t>DOMESTICA</t>
        </is>
      </c>
      <c r="H2576" s="6" t="inlineStr">
        <is>
          <t>FIXO</t>
        </is>
      </c>
      <c r="I2576" s="11">
        <f>IF($H2576="AUTO_OFERTA_TOTAL_PRODUTO_PERIODO",SUMIFS(Oferta!$F:$F,Oferta!$A:$A,$A2576,Oferta!$E:$E,$E2576),$F2576)</f>
        <v/>
      </c>
      <c r="J2576" s="6" t="inlineStr">
        <is>
          <t>Informado</t>
        </is>
      </c>
      <c r="K2576" s="6" t="inlineStr">
        <is>
          <t>Demanda doméstica fixa informada pelo usuário.</t>
        </is>
      </c>
    </row>
    <row r="2577">
      <c r="A2577" s="6" t="inlineStr">
        <is>
          <t>Soja</t>
        </is>
      </c>
      <c r="B2577" s="6" t="inlineStr">
        <is>
          <t>Florianópolis - SC</t>
        </is>
      </c>
      <c r="C2577" s="6" t="n">
        <v>-27.5945</v>
      </c>
      <c r="D2577" s="6" t="n">
        <v>-48.5477</v>
      </c>
      <c r="E2577" s="6" t="inlineStr">
        <is>
          <t>2023-08</t>
        </is>
      </c>
      <c r="F2577" s="6" t="n">
        <v>204217.9908920041</v>
      </c>
      <c r="G2577" s="6" t="inlineStr">
        <is>
          <t>DOMESTICA</t>
        </is>
      </c>
      <c r="H2577" s="6" t="inlineStr">
        <is>
          <t>FIXO</t>
        </is>
      </c>
      <c r="I2577" s="11">
        <f>IF($H2577="AUTO_OFERTA_TOTAL_PRODUTO_PERIODO",SUMIFS(Oferta!$F:$F,Oferta!$A:$A,$A2577,Oferta!$E:$E,$E2577),$F2577)</f>
        <v/>
      </c>
      <c r="J2577" s="6" t="inlineStr">
        <is>
          <t>Informado</t>
        </is>
      </c>
      <c r="K2577" s="6" t="inlineStr">
        <is>
          <t>Demanda doméstica fixa informada pelo usuário.</t>
        </is>
      </c>
    </row>
    <row r="2578">
      <c r="A2578" s="6" t="inlineStr">
        <is>
          <t>Soja</t>
        </is>
      </c>
      <c r="B2578" s="6" t="inlineStr">
        <is>
          <t>Florianópolis - SC</t>
        </is>
      </c>
      <c r="C2578" s="6" t="n">
        <v>-27.5945</v>
      </c>
      <c r="D2578" s="6" t="n">
        <v>-48.5477</v>
      </c>
      <c r="E2578" s="6" t="inlineStr">
        <is>
          <t>2023-09</t>
        </is>
      </c>
      <c r="F2578" s="6" t="n">
        <v>127335.9237326614</v>
      </c>
      <c r="G2578" s="6" t="inlineStr">
        <is>
          <t>DOMESTICA</t>
        </is>
      </c>
      <c r="H2578" s="6" t="inlineStr">
        <is>
          <t>FIXO</t>
        </is>
      </c>
      <c r="I2578" s="11">
        <f>IF($H2578="AUTO_OFERTA_TOTAL_PRODUTO_PERIODO",SUMIFS(Oferta!$F:$F,Oferta!$A:$A,$A2578,Oferta!$E:$E,$E2578),$F2578)</f>
        <v/>
      </c>
      <c r="J2578" s="6" t="inlineStr">
        <is>
          <t>Informado</t>
        </is>
      </c>
      <c r="K2578" s="6" t="inlineStr">
        <is>
          <t>Demanda doméstica fixa informada pelo usuário.</t>
        </is>
      </c>
    </row>
    <row r="2579">
      <c r="A2579" s="6" t="inlineStr">
        <is>
          <t>Soja</t>
        </is>
      </c>
      <c r="B2579" s="6" t="inlineStr">
        <is>
          <t>Florianópolis - SC</t>
        </is>
      </c>
      <c r="C2579" s="6" t="n">
        <v>-27.5945</v>
      </c>
      <c r="D2579" s="6" t="n">
        <v>-48.5477</v>
      </c>
      <c r="E2579" s="6" t="inlineStr">
        <is>
          <t>2023-10</t>
        </is>
      </c>
      <c r="F2579" s="6" t="n">
        <v>127335.9237326614</v>
      </c>
      <c r="G2579" s="6" t="inlineStr">
        <is>
          <t>DOMESTICA</t>
        </is>
      </c>
      <c r="H2579" s="6" t="inlineStr">
        <is>
          <t>FIXO</t>
        </is>
      </c>
      <c r="I2579" s="11">
        <f>IF($H2579="AUTO_OFERTA_TOTAL_PRODUTO_PERIODO",SUMIFS(Oferta!$F:$F,Oferta!$A:$A,$A2579,Oferta!$E:$E,$E2579),$F2579)</f>
        <v/>
      </c>
      <c r="J2579" s="6" t="inlineStr">
        <is>
          <t>Informado</t>
        </is>
      </c>
      <c r="K2579" s="6" t="inlineStr">
        <is>
          <t>Demanda doméstica fixa informada pelo usuário.</t>
        </is>
      </c>
    </row>
    <row r="2580">
      <c r="A2580" s="6" t="inlineStr">
        <is>
          <t>Soja</t>
        </is>
      </c>
      <c r="B2580" s="6" t="inlineStr">
        <is>
          <t>Florianópolis - SC</t>
        </is>
      </c>
      <c r="C2580" s="6" t="n">
        <v>-27.5945</v>
      </c>
      <c r="D2580" s="6" t="n">
        <v>-48.5477</v>
      </c>
      <c r="E2580" s="6" t="inlineStr">
        <is>
          <t>2023-11</t>
        </is>
      </c>
      <c r="F2580" s="6" t="n">
        <v>127335.9237326614</v>
      </c>
      <c r="G2580" s="6" t="inlineStr">
        <is>
          <t>DOMESTICA</t>
        </is>
      </c>
      <c r="H2580" s="6" t="inlineStr">
        <is>
          <t>FIXO</t>
        </is>
      </c>
      <c r="I2580" s="11">
        <f>IF($H2580="AUTO_OFERTA_TOTAL_PRODUTO_PERIODO",SUMIFS(Oferta!$F:$F,Oferta!$A:$A,$A2580,Oferta!$E:$E,$E2580),$F2580)</f>
        <v/>
      </c>
      <c r="J2580" s="6" t="inlineStr">
        <is>
          <t>Informado</t>
        </is>
      </c>
      <c r="K2580" s="6" t="inlineStr">
        <is>
          <t>Demanda doméstica fixa informada pelo usuário.</t>
        </is>
      </c>
    </row>
    <row r="2581">
      <c r="A2581" s="6" t="inlineStr">
        <is>
          <t>Soja</t>
        </is>
      </c>
      <c r="B2581" s="6" t="inlineStr">
        <is>
          <t>Florianópolis - SC</t>
        </is>
      </c>
      <c r="C2581" s="6" t="n">
        <v>-27.5945</v>
      </c>
      <c r="D2581" s="6" t="n">
        <v>-48.5477</v>
      </c>
      <c r="E2581" s="6" t="inlineStr">
        <is>
          <t>2023-12</t>
        </is>
      </c>
      <c r="F2581" s="6" t="n">
        <v>127335.9237326614</v>
      </c>
      <c r="G2581" s="6" t="inlineStr">
        <is>
          <t>DOMESTICA</t>
        </is>
      </c>
      <c r="H2581" s="6" t="inlineStr">
        <is>
          <t>FIXO</t>
        </is>
      </c>
      <c r="I2581" s="11">
        <f>IF($H2581="AUTO_OFERTA_TOTAL_PRODUTO_PERIODO",SUMIFS(Oferta!$F:$F,Oferta!$A:$A,$A2581,Oferta!$E:$E,$E2581),$F2581)</f>
        <v/>
      </c>
      <c r="J2581" s="6" t="inlineStr">
        <is>
          <t>Informado</t>
        </is>
      </c>
      <c r="K2581" s="6" t="inlineStr">
        <is>
          <t>Demanda doméstica fixa informada pelo usuário.</t>
        </is>
      </c>
    </row>
    <row r="2582">
      <c r="A2582" s="6" t="inlineStr">
        <is>
          <t>Soja</t>
        </is>
      </c>
      <c r="B2582" s="6" t="inlineStr">
        <is>
          <t>Porto Alegre - RS</t>
        </is>
      </c>
      <c r="C2582" s="6" t="n">
        <v>-30.0318</v>
      </c>
      <c r="D2582" s="6" t="n">
        <v>-51.2065</v>
      </c>
      <c r="E2582" s="6" t="inlineStr">
        <is>
          <t>2023-01</t>
        </is>
      </c>
      <c r="F2582" s="6" t="n">
        <v>261098.8897383021</v>
      </c>
      <c r="G2582" s="6" t="inlineStr">
        <is>
          <t>DOMESTICA</t>
        </is>
      </c>
      <c r="H2582" s="6" t="inlineStr">
        <is>
          <t>FIXO</t>
        </is>
      </c>
      <c r="I2582" s="11">
        <f>IF($H2582="AUTO_OFERTA_TOTAL_PRODUTO_PERIODO",SUMIFS(Oferta!$F:$F,Oferta!$A:$A,$A2582,Oferta!$E:$E,$E2582),$F2582)</f>
        <v/>
      </c>
      <c r="J2582" s="6" t="inlineStr">
        <is>
          <t>Informado</t>
        </is>
      </c>
      <c r="K2582" s="6" t="inlineStr">
        <is>
          <t>Demanda doméstica fixa informada pelo usuário.</t>
        </is>
      </c>
    </row>
    <row r="2583">
      <c r="A2583" s="6" t="inlineStr">
        <is>
          <t>Soja</t>
        </is>
      </c>
      <c r="B2583" s="6" t="inlineStr">
        <is>
          <t>Porto Alegre - RS</t>
        </is>
      </c>
      <c r="C2583" s="6" t="n">
        <v>-30.0318</v>
      </c>
      <c r="D2583" s="6" t="n">
        <v>-51.2065</v>
      </c>
      <c r="E2583" s="6" t="inlineStr">
        <is>
          <t>2023-02</t>
        </is>
      </c>
      <c r="F2583" s="6" t="n">
        <v>339921.1960743932</v>
      </c>
      <c r="G2583" s="6" t="inlineStr">
        <is>
          <t>DOMESTICA</t>
        </is>
      </c>
      <c r="H2583" s="6" t="inlineStr">
        <is>
          <t>FIXO</t>
        </is>
      </c>
      <c r="I2583" s="11">
        <f>IF($H2583="AUTO_OFERTA_TOTAL_PRODUTO_PERIODO",SUMIFS(Oferta!$F:$F,Oferta!$A:$A,$A2583,Oferta!$E:$E,$E2583),$F2583)</f>
        <v/>
      </c>
      <c r="J2583" s="6" t="inlineStr">
        <is>
          <t>Informado</t>
        </is>
      </c>
      <c r="K2583" s="6" t="inlineStr">
        <is>
          <t>Demanda doméstica fixa informada pelo usuário.</t>
        </is>
      </c>
    </row>
    <row r="2584">
      <c r="A2584" s="6" t="inlineStr">
        <is>
          <t>Soja</t>
        </is>
      </c>
      <c r="B2584" s="6" t="inlineStr">
        <is>
          <t>Porto Alegre - RS</t>
        </is>
      </c>
      <c r="C2584" s="6" t="n">
        <v>-30.0318</v>
      </c>
      <c r="D2584" s="6" t="n">
        <v>-51.2065</v>
      </c>
      <c r="E2584" s="6" t="inlineStr">
        <is>
          <t>2023-03</t>
        </is>
      </c>
      <c r="F2584" s="6" t="n">
        <v>497565.8087465755</v>
      </c>
      <c r="G2584" s="6" t="inlineStr">
        <is>
          <t>DOMESTICA</t>
        </is>
      </c>
      <c r="H2584" s="6" t="inlineStr">
        <is>
          <t>FIXO</t>
        </is>
      </c>
      <c r="I2584" s="11">
        <f>IF($H2584="AUTO_OFERTA_TOTAL_PRODUTO_PERIODO",SUMIFS(Oferta!$F:$F,Oferta!$A:$A,$A2584,Oferta!$E:$E,$E2584),$F2584)</f>
        <v/>
      </c>
      <c r="J2584" s="6" t="inlineStr">
        <is>
          <t>Informado</t>
        </is>
      </c>
      <c r="K2584" s="6" t="inlineStr">
        <is>
          <t>Demanda doméstica fixa informada pelo usuário.</t>
        </is>
      </c>
    </row>
    <row r="2585">
      <c r="A2585" s="6" t="inlineStr">
        <is>
          <t>Soja</t>
        </is>
      </c>
      <c r="B2585" s="6" t="inlineStr">
        <is>
          <t>Porto Alegre - RS</t>
        </is>
      </c>
      <c r="C2585" s="6" t="n">
        <v>-30.0318</v>
      </c>
      <c r="D2585" s="6" t="n">
        <v>-51.2065</v>
      </c>
      <c r="E2585" s="6" t="inlineStr">
        <is>
          <t>2023-04</t>
        </is>
      </c>
      <c r="F2585" s="6" t="n">
        <v>970499.6467631228</v>
      </c>
      <c r="G2585" s="6" t="inlineStr">
        <is>
          <t>DOMESTICA</t>
        </is>
      </c>
      <c r="H2585" s="6" t="inlineStr">
        <is>
          <t>FIXO</t>
        </is>
      </c>
      <c r="I2585" s="11">
        <f>IF($H2585="AUTO_OFERTA_TOTAL_PRODUTO_PERIODO",SUMIFS(Oferta!$F:$F,Oferta!$A:$A,$A2585,Oferta!$E:$E,$E2585),$F2585)</f>
        <v/>
      </c>
      <c r="J2585" s="6" t="inlineStr">
        <is>
          <t>Informado</t>
        </is>
      </c>
      <c r="K2585" s="6" t="inlineStr">
        <is>
          <t>Demanda doméstica fixa informada pelo usuário.</t>
        </is>
      </c>
    </row>
    <row r="2586">
      <c r="A2586" s="6" t="inlineStr">
        <is>
          <t>Soja</t>
        </is>
      </c>
      <c r="B2586" s="6" t="inlineStr">
        <is>
          <t>Porto Alegre - RS</t>
        </is>
      </c>
      <c r="C2586" s="6" t="n">
        <v>-30.0318</v>
      </c>
      <c r="D2586" s="6" t="n">
        <v>-51.2065</v>
      </c>
      <c r="E2586" s="6" t="inlineStr">
        <is>
          <t>2023-05</t>
        </is>
      </c>
      <c r="F2586" s="6" t="n">
        <v>1049321.953099214</v>
      </c>
      <c r="G2586" s="6" t="inlineStr">
        <is>
          <t>DOMESTICA</t>
        </is>
      </c>
      <c r="H2586" s="6" t="inlineStr">
        <is>
          <t>FIXO</t>
        </is>
      </c>
      <c r="I2586" s="11">
        <f>IF($H2586="AUTO_OFERTA_TOTAL_PRODUTO_PERIODO",SUMIFS(Oferta!$F:$F,Oferta!$A:$A,$A2586,Oferta!$E:$E,$E2586),$F2586)</f>
        <v/>
      </c>
      <c r="J2586" s="6" t="inlineStr">
        <is>
          <t>Informado</t>
        </is>
      </c>
      <c r="K2586" s="6" t="inlineStr">
        <is>
          <t>Demanda doméstica fixa informada pelo usuário.</t>
        </is>
      </c>
    </row>
    <row r="2587">
      <c r="A2587" s="6" t="inlineStr">
        <is>
          <t>Soja</t>
        </is>
      </c>
      <c r="B2587" s="6" t="inlineStr">
        <is>
          <t>Porto Alegre - RS</t>
        </is>
      </c>
      <c r="C2587" s="6" t="n">
        <v>-30.0318</v>
      </c>
      <c r="D2587" s="6" t="n">
        <v>-51.2065</v>
      </c>
      <c r="E2587" s="6" t="inlineStr">
        <is>
          <t>2023-06</t>
        </is>
      </c>
      <c r="F2587" s="6" t="n">
        <v>970499.6467631228</v>
      </c>
      <c r="G2587" s="6" t="inlineStr">
        <is>
          <t>DOMESTICA</t>
        </is>
      </c>
      <c r="H2587" s="6" t="inlineStr">
        <is>
          <t>FIXO</t>
        </is>
      </c>
      <c r="I2587" s="11">
        <f>IF($H2587="AUTO_OFERTA_TOTAL_PRODUTO_PERIODO",SUMIFS(Oferta!$F:$F,Oferta!$A:$A,$A2587,Oferta!$E:$E,$E2587),$F2587)</f>
        <v/>
      </c>
      <c r="J2587" s="6" t="inlineStr">
        <is>
          <t>Informado</t>
        </is>
      </c>
      <c r="K2587" s="6" t="inlineStr">
        <is>
          <t>Demanda doméstica fixa informada pelo usuário.</t>
        </is>
      </c>
    </row>
    <row r="2588">
      <c r="A2588" s="6" t="inlineStr">
        <is>
          <t>Soja</t>
        </is>
      </c>
      <c r="B2588" s="6" t="inlineStr">
        <is>
          <t>Porto Alegre - RS</t>
        </is>
      </c>
      <c r="C2588" s="6" t="n">
        <v>-30.0318</v>
      </c>
      <c r="D2588" s="6" t="n">
        <v>-51.2065</v>
      </c>
      <c r="E2588" s="6" t="inlineStr">
        <is>
          <t>2023-07</t>
        </is>
      </c>
      <c r="F2588" s="6" t="n">
        <v>497565.8087465756</v>
      </c>
      <c r="G2588" s="6" t="inlineStr">
        <is>
          <t>DOMESTICA</t>
        </is>
      </c>
      <c r="H2588" s="6" t="inlineStr">
        <is>
          <t>FIXO</t>
        </is>
      </c>
      <c r="I2588" s="11">
        <f>IF($H2588="AUTO_OFERTA_TOTAL_PRODUTO_PERIODO",SUMIFS(Oferta!$F:$F,Oferta!$A:$A,$A2588,Oferta!$E:$E,$E2588),$F2588)</f>
        <v/>
      </c>
      <c r="J2588" s="6" t="inlineStr">
        <is>
          <t>Informado</t>
        </is>
      </c>
      <c r="K2588" s="6" t="inlineStr">
        <is>
          <t>Demanda doméstica fixa informada pelo usuário.</t>
        </is>
      </c>
    </row>
    <row r="2589">
      <c r="A2589" s="6" t="inlineStr">
        <is>
          <t>Soja</t>
        </is>
      </c>
      <c r="B2589" s="6" t="inlineStr">
        <is>
          <t>Porto Alegre - RS</t>
        </is>
      </c>
      <c r="C2589" s="6" t="n">
        <v>-30.0318</v>
      </c>
      <c r="D2589" s="6" t="n">
        <v>-51.2065</v>
      </c>
      <c r="E2589" s="6" t="inlineStr">
        <is>
          <t>2023-08</t>
        </is>
      </c>
      <c r="F2589" s="6" t="n">
        <v>339921.1960743932</v>
      </c>
      <c r="G2589" s="6" t="inlineStr">
        <is>
          <t>DOMESTICA</t>
        </is>
      </c>
      <c r="H2589" s="6" t="inlineStr">
        <is>
          <t>FIXO</t>
        </is>
      </c>
      <c r="I2589" s="11">
        <f>IF($H2589="AUTO_OFERTA_TOTAL_PRODUTO_PERIODO",SUMIFS(Oferta!$F:$F,Oferta!$A:$A,$A2589,Oferta!$E:$E,$E2589),$F2589)</f>
        <v/>
      </c>
      <c r="J2589" s="6" t="inlineStr">
        <is>
          <t>Informado</t>
        </is>
      </c>
      <c r="K2589" s="6" t="inlineStr">
        <is>
          <t>Demanda doméstica fixa informada pelo usuário.</t>
        </is>
      </c>
    </row>
    <row r="2590">
      <c r="A2590" s="6" t="inlineStr">
        <is>
          <t>Soja</t>
        </is>
      </c>
      <c r="B2590" s="6" t="inlineStr">
        <is>
          <t>Porto Alegre - RS</t>
        </is>
      </c>
      <c r="C2590" s="6" t="n">
        <v>-30.0318</v>
      </c>
      <c r="D2590" s="6" t="n">
        <v>-51.2065</v>
      </c>
      <c r="E2590" s="6" t="inlineStr">
        <is>
          <t>2023-09</t>
        </is>
      </c>
      <c r="F2590" s="6" t="n">
        <v>261098.8897383021</v>
      </c>
      <c r="G2590" s="6" t="inlineStr">
        <is>
          <t>DOMESTICA</t>
        </is>
      </c>
      <c r="H2590" s="6" t="inlineStr">
        <is>
          <t>FIXO</t>
        </is>
      </c>
      <c r="I2590" s="11">
        <f>IF($H2590="AUTO_OFERTA_TOTAL_PRODUTO_PERIODO",SUMIFS(Oferta!$F:$F,Oferta!$A:$A,$A2590,Oferta!$E:$E,$E2590),$F2590)</f>
        <v/>
      </c>
      <c r="J2590" s="6" t="inlineStr">
        <is>
          <t>Informado</t>
        </is>
      </c>
      <c r="K2590" s="6" t="inlineStr">
        <is>
          <t>Demanda doméstica fixa informada pelo usuário.</t>
        </is>
      </c>
    </row>
    <row r="2591">
      <c r="A2591" s="6" t="inlineStr">
        <is>
          <t>Soja</t>
        </is>
      </c>
      <c r="B2591" s="6" t="inlineStr">
        <is>
          <t>Porto Alegre - RS</t>
        </is>
      </c>
      <c r="C2591" s="6" t="n">
        <v>-30.0318</v>
      </c>
      <c r="D2591" s="6" t="n">
        <v>-51.2065</v>
      </c>
      <c r="E2591" s="6" t="inlineStr">
        <is>
          <t>2023-10</t>
        </is>
      </c>
      <c r="F2591" s="6" t="n">
        <v>261098.8897383021</v>
      </c>
      <c r="G2591" s="6" t="inlineStr">
        <is>
          <t>DOMESTICA</t>
        </is>
      </c>
      <c r="H2591" s="6" t="inlineStr">
        <is>
          <t>FIXO</t>
        </is>
      </c>
      <c r="I2591" s="11">
        <f>IF($H2591="AUTO_OFERTA_TOTAL_PRODUTO_PERIODO",SUMIFS(Oferta!$F:$F,Oferta!$A:$A,$A2591,Oferta!$E:$E,$E2591),$F2591)</f>
        <v/>
      </c>
      <c r="J2591" s="6" t="inlineStr">
        <is>
          <t>Informado</t>
        </is>
      </c>
      <c r="K2591" s="6" t="inlineStr">
        <is>
          <t>Demanda doméstica fixa informada pelo usuário.</t>
        </is>
      </c>
    </row>
    <row r="2592">
      <c r="A2592" s="6" t="inlineStr">
        <is>
          <t>Soja</t>
        </is>
      </c>
      <c r="B2592" s="6" t="inlineStr">
        <is>
          <t>Porto Alegre - RS</t>
        </is>
      </c>
      <c r="C2592" s="6" t="n">
        <v>-30.0318</v>
      </c>
      <c r="D2592" s="6" t="n">
        <v>-51.2065</v>
      </c>
      <c r="E2592" s="6" t="inlineStr">
        <is>
          <t>2023-11</t>
        </is>
      </c>
      <c r="F2592" s="6" t="n">
        <v>261098.8897383021</v>
      </c>
      <c r="G2592" s="6" t="inlineStr">
        <is>
          <t>DOMESTICA</t>
        </is>
      </c>
      <c r="H2592" s="6" t="inlineStr">
        <is>
          <t>FIXO</t>
        </is>
      </c>
      <c r="I2592" s="11">
        <f>IF($H2592="AUTO_OFERTA_TOTAL_PRODUTO_PERIODO",SUMIFS(Oferta!$F:$F,Oferta!$A:$A,$A2592,Oferta!$E:$E,$E2592),$F2592)</f>
        <v/>
      </c>
      <c r="J2592" s="6" t="inlineStr">
        <is>
          <t>Informado</t>
        </is>
      </c>
      <c r="K2592" s="6" t="inlineStr">
        <is>
          <t>Demanda doméstica fixa informada pelo usuário.</t>
        </is>
      </c>
    </row>
    <row r="2593">
      <c r="A2593" s="6" t="inlineStr">
        <is>
          <t>Soja</t>
        </is>
      </c>
      <c r="B2593" s="6" t="inlineStr">
        <is>
          <t>Porto Alegre - RS</t>
        </is>
      </c>
      <c r="C2593" s="6" t="n">
        <v>-30.0318</v>
      </c>
      <c r="D2593" s="6" t="n">
        <v>-51.2065</v>
      </c>
      <c r="E2593" s="6" t="inlineStr">
        <is>
          <t>2023-12</t>
        </is>
      </c>
      <c r="F2593" s="6" t="n">
        <v>261098.8897383021</v>
      </c>
      <c r="G2593" s="6" t="inlineStr">
        <is>
          <t>DOMESTICA</t>
        </is>
      </c>
      <c r="H2593" s="6" t="inlineStr">
        <is>
          <t>FIXO</t>
        </is>
      </c>
      <c r="I2593" s="11">
        <f>IF($H2593="AUTO_OFERTA_TOTAL_PRODUTO_PERIODO",SUMIFS(Oferta!$F:$F,Oferta!$A:$A,$A2593,Oferta!$E:$E,$E2593),$F2593)</f>
        <v/>
      </c>
      <c r="J2593" s="6" t="inlineStr">
        <is>
          <t>Informado</t>
        </is>
      </c>
      <c r="K2593" s="6" t="inlineStr">
        <is>
          <t>Demanda doméstica fixa informada pelo usuário.</t>
        </is>
      </c>
    </row>
    <row r="2594">
      <c r="A2594" s="6" t="inlineStr">
        <is>
          <t>Soja</t>
        </is>
      </c>
      <c r="B2594" s="6" t="inlineStr">
        <is>
          <t>Rio Branco - AC</t>
        </is>
      </c>
      <c r="C2594" s="6" t="n">
        <v>-9.97499</v>
      </c>
      <c r="D2594" s="6" t="n">
        <v>-67.82429999999999</v>
      </c>
      <c r="E2594" s="6" t="inlineStr">
        <is>
          <t>2024-01</t>
        </is>
      </c>
      <c r="F2594" s="6" t="n">
        <v>7945.5297422114</v>
      </c>
      <c r="G2594" s="6" t="inlineStr">
        <is>
          <t>DOMESTICA</t>
        </is>
      </c>
      <c r="H2594" s="6" t="inlineStr">
        <is>
          <t>FIXO</t>
        </is>
      </c>
      <c r="I2594" s="11">
        <f>IF($H2594="AUTO_OFERTA_TOTAL_PRODUTO_PERIODO",SUMIFS(Oferta!$F:$F,Oferta!$A:$A,$A2594,Oferta!$E:$E,$E2594),$F2594)</f>
        <v/>
      </c>
      <c r="J2594" s="6" t="inlineStr">
        <is>
          <t>Informado</t>
        </is>
      </c>
      <c r="K2594" s="6" t="inlineStr">
        <is>
          <t>Demanda doméstica fixa informada pelo usuário.</t>
        </is>
      </c>
    </row>
    <row r="2595">
      <c r="A2595" s="6" t="inlineStr">
        <is>
          <t>Soja</t>
        </is>
      </c>
      <c r="B2595" s="6" t="inlineStr">
        <is>
          <t>Rio Branco - AC</t>
        </is>
      </c>
      <c r="C2595" s="6" t="n">
        <v>-9.97499</v>
      </c>
      <c r="D2595" s="6" t="n">
        <v>-67.82429999999999</v>
      </c>
      <c r="E2595" s="6" t="inlineStr">
        <is>
          <t>2024-02</t>
        </is>
      </c>
      <c r="F2595" s="6" t="n">
        <v>7945.5297422114</v>
      </c>
      <c r="G2595" s="6" t="inlineStr">
        <is>
          <t>DOMESTICA</t>
        </is>
      </c>
      <c r="H2595" s="6" t="inlineStr">
        <is>
          <t>FIXO</t>
        </is>
      </c>
      <c r="I2595" s="11">
        <f>IF($H2595="AUTO_OFERTA_TOTAL_PRODUTO_PERIODO",SUMIFS(Oferta!$F:$F,Oferta!$A:$A,$A2595,Oferta!$E:$E,$E2595),$F2595)</f>
        <v/>
      </c>
      <c r="J2595" s="6" t="inlineStr">
        <is>
          <t>Informado</t>
        </is>
      </c>
      <c r="K2595" s="6" t="inlineStr">
        <is>
          <t>Demanda doméstica fixa informada pelo usuário.</t>
        </is>
      </c>
    </row>
    <row r="2596">
      <c r="A2596" s="6" t="inlineStr">
        <is>
          <t>Soja</t>
        </is>
      </c>
      <c r="B2596" s="6" t="inlineStr">
        <is>
          <t>Rio Branco - AC</t>
        </is>
      </c>
      <c r="C2596" s="6" t="n">
        <v>-9.97499</v>
      </c>
      <c r="D2596" s="6" t="n">
        <v>-67.82429999999999</v>
      </c>
      <c r="E2596" s="6" t="inlineStr">
        <is>
          <t>2024-03</t>
        </is>
      </c>
      <c r="F2596" s="6" t="n">
        <v>7945.5297422114</v>
      </c>
      <c r="G2596" s="6" t="inlineStr">
        <is>
          <t>DOMESTICA</t>
        </is>
      </c>
      <c r="H2596" s="6" t="inlineStr">
        <is>
          <t>FIXO</t>
        </is>
      </c>
      <c r="I2596" s="11">
        <f>IF($H2596="AUTO_OFERTA_TOTAL_PRODUTO_PERIODO",SUMIFS(Oferta!$F:$F,Oferta!$A:$A,$A2596,Oferta!$E:$E,$E2596),$F2596)</f>
        <v/>
      </c>
      <c r="J2596" s="6" t="inlineStr">
        <is>
          <t>Informado</t>
        </is>
      </c>
      <c r="K2596" s="6" t="inlineStr">
        <is>
          <t>Demanda doméstica fixa informada pelo usuário.</t>
        </is>
      </c>
    </row>
    <row r="2597">
      <c r="A2597" s="6" t="inlineStr">
        <is>
          <t>Soja</t>
        </is>
      </c>
      <c r="B2597" s="6" t="inlineStr">
        <is>
          <t>Rio Branco - AC</t>
        </is>
      </c>
      <c r="C2597" s="6" t="n">
        <v>-9.97499</v>
      </c>
      <c r="D2597" s="6" t="n">
        <v>-67.82429999999999</v>
      </c>
      <c r="E2597" s="6" t="inlineStr">
        <is>
          <t>2024-04</t>
        </is>
      </c>
      <c r="F2597" s="6" t="n">
        <v>7945.5297422114</v>
      </c>
      <c r="G2597" s="6" t="inlineStr">
        <is>
          <t>DOMESTICA</t>
        </is>
      </c>
      <c r="H2597" s="6" t="inlineStr">
        <is>
          <t>FIXO</t>
        </is>
      </c>
      <c r="I2597" s="11">
        <f>IF($H2597="AUTO_OFERTA_TOTAL_PRODUTO_PERIODO",SUMIFS(Oferta!$F:$F,Oferta!$A:$A,$A2597,Oferta!$E:$E,$E2597),$F2597)</f>
        <v/>
      </c>
      <c r="J2597" s="6" t="inlineStr">
        <is>
          <t>Informado</t>
        </is>
      </c>
      <c r="K2597" s="6" t="inlineStr">
        <is>
          <t>Demanda doméstica fixa informada pelo usuário.</t>
        </is>
      </c>
    </row>
    <row r="2598">
      <c r="A2598" s="6" t="inlineStr">
        <is>
          <t>Soja</t>
        </is>
      </c>
      <c r="B2598" s="6" t="inlineStr">
        <is>
          <t>Rio Branco - AC</t>
        </is>
      </c>
      <c r="C2598" s="6" t="n">
        <v>-9.97499</v>
      </c>
      <c r="D2598" s="6" t="n">
        <v>-67.82429999999999</v>
      </c>
      <c r="E2598" s="6" t="inlineStr">
        <is>
          <t>2024-05</t>
        </is>
      </c>
      <c r="F2598" s="6" t="n">
        <v>7945.5297422114</v>
      </c>
      <c r="G2598" s="6" t="inlineStr">
        <is>
          <t>DOMESTICA</t>
        </is>
      </c>
      <c r="H2598" s="6" t="inlineStr">
        <is>
          <t>FIXO</t>
        </is>
      </c>
      <c r="I2598" s="11">
        <f>IF($H2598="AUTO_OFERTA_TOTAL_PRODUTO_PERIODO",SUMIFS(Oferta!$F:$F,Oferta!$A:$A,$A2598,Oferta!$E:$E,$E2598),$F2598)</f>
        <v/>
      </c>
      <c r="J2598" s="6" t="inlineStr">
        <is>
          <t>Informado</t>
        </is>
      </c>
      <c r="K2598" s="6" t="inlineStr">
        <is>
          <t>Demanda doméstica fixa informada pelo usuário.</t>
        </is>
      </c>
    </row>
    <row r="2599">
      <c r="A2599" s="6" t="inlineStr">
        <is>
          <t>Soja</t>
        </is>
      </c>
      <c r="B2599" s="6" t="inlineStr">
        <is>
          <t>Rio Branco - AC</t>
        </is>
      </c>
      <c r="C2599" s="6" t="n">
        <v>-9.97499</v>
      </c>
      <c r="D2599" s="6" t="n">
        <v>-67.82429999999999</v>
      </c>
      <c r="E2599" s="6" t="inlineStr">
        <is>
          <t>2024-06</t>
        </is>
      </c>
      <c r="F2599" s="6" t="n">
        <v>7945.5297422114</v>
      </c>
      <c r="G2599" s="6" t="inlineStr">
        <is>
          <t>DOMESTICA</t>
        </is>
      </c>
      <c r="H2599" s="6" t="inlineStr">
        <is>
          <t>FIXO</t>
        </is>
      </c>
      <c r="I2599" s="11">
        <f>IF($H2599="AUTO_OFERTA_TOTAL_PRODUTO_PERIODO",SUMIFS(Oferta!$F:$F,Oferta!$A:$A,$A2599,Oferta!$E:$E,$E2599),$F2599)</f>
        <v/>
      </c>
      <c r="J2599" s="6" t="inlineStr">
        <is>
          <t>Informado</t>
        </is>
      </c>
      <c r="K2599" s="6" t="inlineStr">
        <is>
          <t>Demanda doméstica fixa informada pelo usuário.</t>
        </is>
      </c>
    </row>
    <row r="2600">
      <c r="A2600" s="6" t="inlineStr">
        <is>
          <t>Soja</t>
        </is>
      </c>
      <c r="B2600" s="6" t="inlineStr">
        <is>
          <t>Rio Branco - AC</t>
        </is>
      </c>
      <c r="C2600" s="6" t="n">
        <v>-9.97499</v>
      </c>
      <c r="D2600" s="6" t="n">
        <v>-67.82429999999999</v>
      </c>
      <c r="E2600" s="6" t="inlineStr">
        <is>
          <t>2024-07</t>
        </is>
      </c>
      <c r="F2600" s="6" t="n">
        <v>7945.5297422114</v>
      </c>
      <c r="G2600" s="6" t="inlineStr">
        <is>
          <t>DOMESTICA</t>
        </is>
      </c>
      <c r="H2600" s="6" t="inlineStr">
        <is>
          <t>FIXO</t>
        </is>
      </c>
      <c r="I2600" s="11">
        <f>IF($H2600="AUTO_OFERTA_TOTAL_PRODUTO_PERIODO",SUMIFS(Oferta!$F:$F,Oferta!$A:$A,$A2600,Oferta!$E:$E,$E2600),$F2600)</f>
        <v/>
      </c>
      <c r="J2600" s="6" t="inlineStr">
        <is>
          <t>Informado</t>
        </is>
      </c>
      <c r="K2600" s="6" t="inlineStr">
        <is>
          <t>Demanda doméstica fixa informada pelo usuário.</t>
        </is>
      </c>
    </row>
    <row r="2601">
      <c r="A2601" s="6" t="inlineStr">
        <is>
          <t>Soja</t>
        </is>
      </c>
      <c r="B2601" s="6" t="inlineStr">
        <is>
          <t>Rio Branco - AC</t>
        </is>
      </c>
      <c r="C2601" s="6" t="n">
        <v>-9.97499</v>
      </c>
      <c r="D2601" s="6" t="n">
        <v>-67.82429999999999</v>
      </c>
      <c r="E2601" s="6" t="inlineStr">
        <is>
          <t>2024-08</t>
        </is>
      </c>
      <c r="F2601" s="6" t="n">
        <v>7945.5297422114</v>
      </c>
      <c r="G2601" s="6" t="inlineStr">
        <is>
          <t>DOMESTICA</t>
        </is>
      </c>
      <c r="H2601" s="6" t="inlineStr">
        <is>
          <t>FIXO</t>
        </is>
      </c>
      <c r="I2601" s="11">
        <f>IF($H2601="AUTO_OFERTA_TOTAL_PRODUTO_PERIODO",SUMIFS(Oferta!$F:$F,Oferta!$A:$A,$A2601,Oferta!$E:$E,$E2601),$F2601)</f>
        <v/>
      </c>
      <c r="J2601" s="6" t="inlineStr">
        <is>
          <t>Informado</t>
        </is>
      </c>
      <c r="K2601" s="6" t="inlineStr">
        <is>
          <t>Demanda doméstica fixa informada pelo usuário.</t>
        </is>
      </c>
    </row>
    <row r="2602">
      <c r="A2602" s="6" t="inlineStr">
        <is>
          <t>Soja</t>
        </is>
      </c>
      <c r="B2602" s="6" t="inlineStr">
        <is>
          <t>Rio Branco - AC</t>
        </is>
      </c>
      <c r="C2602" s="6" t="n">
        <v>-9.97499</v>
      </c>
      <c r="D2602" s="6" t="n">
        <v>-67.82429999999999</v>
      </c>
      <c r="E2602" s="6" t="inlineStr">
        <is>
          <t>2024-09</t>
        </is>
      </c>
      <c r="F2602" s="6" t="n">
        <v>7945.5297422114</v>
      </c>
      <c r="G2602" s="6" t="inlineStr">
        <is>
          <t>DOMESTICA</t>
        </is>
      </c>
      <c r="H2602" s="6" t="inlineStr">
        <is>
          <t>FIXO</t>
        </is>
      </c>
      <c r="I2602" s="11">
        <f>IF($H2602="AUTO_OFERTA_TOTAL_PRODUTO_PERIODO",SUMIFS(Oferta!$F:$F,Oferta!$A:$A,$A2602,Oferta!$E:$E,$E2602),$F2602)</f>
        <v/>
      </c>
      <c r="J2602" s="6" t="inlineStr">
        <is>
          <t>Informado</t>
        </is>
      </c>
      <c r="K2602" s="6" t="inlineStr">
        <is>
          <t>Demanda doméstica fixa informada pelo usuário.</t>
        </is>
      </c>
    </row>
    <row r="2603">
      <c r="A2603" s="6" t="inlineStr">
        <is>
          <t>Soja</t>
        </is>
      </c>
      <c r="B2603" s="6" t="inlineStr">
        <is>
          <t>Rio Branco - AC</t>
        </is>
      </c>
      <c r="C2603" s="6" t="n">
        <v>-9.97499</v>
      </c>
      <c r="D2603" s="6" t="n">
        <v>-67.82429999999999</v>
      </c>
      <c r="E2603" s="6" t="inlineStr">
        <is>
          <t>2024-10</t>
        </is>
      </c>
      <c r="F2603" s="6" t="n">
        <v>7945.5297422114</v>
      </c>
      <c r="G2603" s="6" t="inlineStr">
        <is>
          <t>DOMESTICA</t>
        </is>
      </c>
      <c r="H2603" s="6" t="inlineStr">
        <is>
          <t>FIXO</t>
        </is>
      </c>
      <c r="I2603" s="11">
        <f>IF($H2603="AUTO_OFERTA_TOTAL_PRODUTO_PERIODO",SUMIFS(Oferta!$F:$F,Oferta!$A:$A,$A2603,Oferta!$E:$E,$E2603),$F2603)</f>
        <v/>
      </c>
      <c r="J2603" s="6" t="inlineStr">
        <is>
          <t>Informado</t>
        </is>
      </c>
      <c r="K2603" s="6" t="inlineStr">
        <is>
          <t>Demanda doméstica fixa informada pelo usuário.</t>
        </is>
      </c>
    </row>
    <row r="2604">
      <c r="A2604" s="6" t="inlineStr">
        <is>
          <t>Soja</t>
        </is>
      </c>
      <c r="B2604" s="6" t="inlineStr">
        <is>
          <t>Rio Branco - AC</t>
        </is>
      </c>
      <c r="C2604" s="6" t="n">
        <v>-9.97499</v>
      </c>
      <c r="D2604" s="6" t="n">
        <v>-67.82429999999999</v>
      </c>
      <c r="E2604" s="6" t="inlineStr">
        <is>
          <t>2024-11</t>
        </is>
      </c>
      <c r="F2604" s="6" t="n">
        <v>7945.5297422114</v>
      </c>
      <c r="G2604" s="6" t="inlineStr">
        <is>
          <t>DOMESTICA</t>
        </is>
      </c>
      <c r="H2604" s="6" t="inlineStr">
        <is>
          <t>FIXO</t>
        </is>
      </c>
      <c r="I2604" s="11">
        <f>IF($H2604="AUTO_OFERTA_TOTAL_PRODUTO_PERIODO",SUMIFS(Oferta!$F:$F,Oferta!$A:$A,$A2604,Oferta!$E:$E,$E2604),$F2604)</f>
        <v/>
      </c>
      <c r="J2604" s="6" t="inlineStr">
        <is>
          <t>Informado</t>
        </is>
      </c>
      <c r="K2604" s="6" t="inlineStr">
        <is>
          <t>Demanda doméstica fixa informada pelo usuário.</t>
        </is>
      </c>
    </row>
    <row r="2605">
      <c r="A2605" s="6" t="inlineStr">
        <is>
          <t>Soja</t>
        </is>
      </c>
      <c r="B2605" s="6" t="inlineStr">
        <is>
          <t>Rio Branco - AC</t>
        </is>
      </c>
      <c r="C2605" s="6" t="n">
        <v>-9.97499</v>
      </c>
      <c r="D2605" s="6" t="n">
        <v>-67.82429999999999</v>
      </c>
      <c r="E2605" s="6" t="inlineStr">
        <is>
          <t>2024-12</t>
        </is>
      </c>
      <c r="F2605" s="6" t="n">
        <v>7945.5297422114</v>
      </c>
      <c r="G2605" s="6" t="inlineStr">
        <is>
          <t>DOMESTICA</t>
        </is>
      </c>
      <c r="H2605" s="6" t="inlineStr">
        <is>
          <t>FIXO</t>
        </is>
      </c>
      <c r="I2605" s="11">
        <f>IF($H2605="AUTO_OFERTA_TOTAL_PRODUTO_PERIODO",SUMIFS(Oferta!$F:$F,Oferta!$A:$A,$A2605,Oferta!$E:$E,$E2605),$F2605)</f>
        <v/>
      </c>
      <c r="J2605" s="6" t="inlineStr">
        <is>
          <t>Informado</t>
        </is>
      </c>
      <c r="K2605" s="6" t="inlineStr">
        <is>
          <t>Demanda doméstica fixa informada pelo usuário.</t>
        </is>
      </c>
    </row>
    <row r="2606">
      <c r="A2606" s="6" t="inlineStr">
        <is>
          <t>Soja</t>
        </is>
      </c>
      <c r="B2606" s="6" t="inlineStr">
        <is>
          <t>Macapá - AP</t>
        </is>
      </c>
      <c r="C2606" s="6" t="n">
        <v>0.034934</v>
      </c>
      <c r="D2606" s="6" t="n">
        <v>-51.0694</v>
      </c>
      <c r="E2606" s="6" t="inlineStr">
        <is>
          <t>2024-01</t>
        </is>
      </c>
      <c r="F2606" s="6" t="n">
        <v>5396.9452462822</v>
      </c>
      <c r="G2606" s="6" t="inlineStr">
        <is>
          <t>DOMESTICA</t>
        </is>
      </c>
      <c r="H2606" s="6" t="inlineStr">
        <is>
          <t>FIXO</t>
        </is>
      </c>
      <c r="I2606" s="11">
        <f>IF($H2606="AUTO_OFERTA_TOTAL_PRODUTO_PERIODO",SUMIFS(Oferta!$F:$F,Oferta!$A:$A,$A2606,Oferta!$E:$E,$E2606),$F2606)</f>
        <v/>
      </c>
      <c r="J2606" s="6" t="inlineStr">
        <is>
          <t>Informado</t>
        </is>
      </c>
      <c r="K2606" s="6" t="inlineStr">
        <is>
          <t>Demanda doméstica fixa informada pelo usuário.</t>
        </is>
      </c>
    </row>
    <row r="2607">
      <c r="A2607" s="6" t="inlineStr">
        <is>
          <t>Soja</t>
        </is>
      </c>
      <c r="B2607" s="6" t="inlineStr">
        <is>
          <t>Macapá - AP</t>
        </is>
      </c>
      <c r="C2607" s="6" t="n">
        <v>0.034934</v>
      </c>
      <c r="D2607" s="6" t="n">
        <v>-51.0694</v>
      </c>
      <c r="E2607" s="6" t="inlineStr">
        <is>
          <t>2024-02</t>
        </is>
      </c>
      <c r="F2607" s="6" t="n">
        <v>5396.9452462822</v>
      </c>
      <c r="G2607" s="6" t="inlineStr">
        <is>
          <t>DOMESTICA</t>
        </is>
      </c>
      <c r="H2607" s="6" t="inlineStr">
        <is>
          <t>FIXO</t>
        </is>
      </c>
      <c r="I2607" s="11">
        <f>IF($H2607="AUTO_OFERTA_TOTAL_PRODUTO_PERIODO",SUMIFS(Oferta!$F:$F,Oferta!$A:$A,$A2607,Oferta!$E:$E,$E2607),$F2607)</f>
        <v/>
      </c>
      <c r="J2607" s="6" t="inlineStr">
        <is>
          <t>Informado</t>
        </is>
      </c>
      <c r="K2607" s="6" t="inlineStr">
        <is>
          <t>Demanda doméstica fixa informada pelo usuário.</t>
        </is>
      </c>
    </row>
    <row r="2608">
      <c r="A2608" s="6" t="inlineStr">
        <is>
          <t>Soja</t>
        </is>
      </c>
      <c r="B2608" s="6" t="inlineStr">
        <is>
          <t>Macapá - AP</t>
        </is>
      </c>
      <c r="C2608" s="6" t="n">
        <v>0.034934</v>
      </c>
      <c r="D2608" s="6" t="n">
        <v>-51.0694</v>
      </c>
      <c r="E2608" s="6" t="inlineStr">
        <is>
          <t>2024-03</t>
        </is>
      </c>
      <c r="F2608" s="6" t="n">
        <v>5396.9452462822</v>
      </c>
      <c r="G2608" s="6" t="inlineStr">
        <is>
          <t>DOMESTICA</t>
        </is>
      </c>
      <c r="H2608" s="6" t="inlineStr">
        <is>
          <t>FIXO</t>
        </is>
      </c>
      <c r="I2608" s="11">
        <f>IF($H2608="AUTO_OFERTA_TOTAL_PRODUTO_PERIODO",SUMIFS(Oferta!$F:$F,Oferta!$A:$A,$A2608,Oferta!$E:$E,$E2608),$F2608)</f>
        <v/>
      </c>
      <c r="J2608" s="6" t="inlineStr">
        <is>
          <t>Informado</t>
        </is>
      </c>
      <c r="K2608" s="6" t="inlineStr">
        <is>
          <t>Demanda doméstica fixa informada pelo usuário.</t>
        </is>
      </c>
    </row>
    <row r="2609">
      <c r="A2609" s="6" t="inlineStr">
        <is>
          <t>Soja</t>
        </is>
      </c>
      <c r="B2609" s="6" t="inlineStr">
        <is>
          <t>Macapá - AP</t>
        </is>
      </c>
      <c r="C2609" s="6" t="n">
        <v>0.034934</v>
      </c>
      <c r="D2609" s="6" t="n">
        <v>-51.0694</v>
      </c>
      <c r="E2609" s="6" t="inlineStr">
        <is>
          <t>2024-04</t>
        </is>
      </c>
      <c r="F2609" s="6" t="n">
        <v>5396.9452462822</v>
      </c>
      <c r="G2609" s="6" t="inlineStr">
        <is>
          <t>DOMESTICA</t>
        </is>
      </c>
      <c r="H2609" s="6" t="inlineStr">
        <is>
          <t>FIXO</t>
        </is>
      </c>
      <c r="I2609" s="11">
        <f>IF($H2609="AUTO_OFERTA_TOTAL_PRODUTO_PERIODO",SUMIFS(Oferta!$F:$F,Oferta!$A:$A,$A2609,Oferta!$E:$E,$E2609),$F2609)</f>
        <v/>
      </c>
      <c r="J2609" s="6" t="inlineStr">
        <is>
          <t>Informado</t>
        </is>
      </c>
      <c r="K2609" s="6" t="inlineStr">
        <is>
          <t>Demanda doméstica fixa informada pelo usuário.</t>
        </is>
      </c>
    </row>
    <row r="2610">
      <c r="A2610" s="6" t="inlineStr">
        <is>
          <t>Soja</t>
        </is>
      </c>
      <c r="B2610" s="6" t="inlineStr">
        <is>
          <t>Macapá - AP</t>
        </is>
      </c>
      <c r="C2610" s="6" t="n">
        <v>0.034934</v>
      </c>
      <c r="D2610" s="6" t="n">
        <v>-51.0694</v>
      </c>
      <c r="E2610" s="6" t="inlineStr">
        <is>
          <t>2024-05</t>
        </is>
      </c>
      <c r="F2610" s="6" t="n">
        <v>5396.9452462822</v>
      </c>
      <c r="G2610" s="6" t="inlineStr">
        <is>
          <t>DOMESTICA</t>
        </is>
      </c>
      <c r="H2610" s="6" t="inlineStr">
        <is>
          <t>FIXO</t>
        </is>
      </c>
      <c r="I2610" s="11">
        <f>IF($H2610="AUTO_OFERTA_TOTAL_PRODUTO_PERIODO",SUMIFS(Oferta!$F:$F,Oferta!$A:$A,$A2610,Oferta!$E:$E,$E2610),$F2610)</f>
        <v/>
      </c>
      <c r="J2610" s="6" t="inlineStr">
        <is>
          <t>Informado</t>
        </is>
      </c>
      <c r="K2610" s="6" t="inlineStr">
        <is>
          <t>Demanda doméstica fixa informada pelo usuário.</t>
        </is>
      </c>
    </row>
    <row r="2611">
      <c r="A2611" s="6" t="inlineStr">
        <is>
          <t>Soja</t>
        </is>
      </c>
      <c r="B2611" s="6" t="inlineStr">
        <is>
          <t>Macapá - AP</t>
        </is>
      </c>
      <c r="C2611" s="6" t="n">
        <v>0.034934</v>
      </c>
      <c r="D2611" s="6" t="n">
        <v>-51.0694</v>
      </c>
      <c r="E2611" s="6" t="inlineStr">
        <is>
          <t>2024-06</t>
        </is>
      </c>
      <c r="F2611" s="6" t="n">
        <v>5396.9452462822</v>
      </c>
      <c r="G2611" s="6" t="inlineStr">
        <is>
          <t>DOMESTICA</t>
        </is>
      </c>
      <c r="H2611" s="6" t="inlineStr">
        <is>
          <t>FIXO</t>
        </is>
      </c>
      <c r="I2611" s="11">
        <f>IF($H2611="AUTO_OFERTA_TOTAL_PRODUTO_PERIODO",SUMIFS(Oferta!$F:$F,Oferta!$A:$A,$A2611,Oferta!$E:$E,$E2611),$F2611)</f>
        <v/>
      </c>
      <c r="J2611" s="6" t="inlineStr">
        <is>
          <t>Informado</t>
        </is>
      </c>
      <c r="K2611" s="6" t="inlineStr">
        <is>
          <t>Demanda doméstica fixa informada pelo usuário.</t>
        </is>
      </c>
    </row>
    <row r="2612">
      <c r="A2612" s="6" t="inlineStr">
        <is>
          <t>Soja</t>
        </is>
      </c>
      <c r="B2612" s="6" t="inlineStr">
        <is>
          <t>Macapá - AP</t>
        </is>
      </c>
      <c r="C2612" s="6" t="n">
        <v>0.034934</v>
      </c>
      <c r="D2612" s="6" t="n">
        <v>-51.0694</v>
      </c>
      <c r="E2612" s="6" t="inlineStr">
        <is>
          <t>2024-07</t>
        </is>
      </c>
      <c r="F2612" s="6" t="n">
        <v>5396.9452462822</v>
      </c>
      <c r="G2612" s="6" t="inlineStr">
        <is>
          <t>DOMESTICA</t>
        </is>
      </c>
      <c r="H2612" s="6" t="inlineStr">
        <is>
          <t>FIXO</t>
        </is>
      </c>
      <c r="I2612" s="11">
        <f>IF($H2612="AUTO_OFERTA_TOTAL_PRODUTO_PERIODO",SUMIFS(Oferta!$F:$F,Oferta!$A:$A,$A2612,Oferta!$E:$E,$E2612),$F2612)</f>
        <v/>
      </c>
      <c r="J2612" s="6" t="inlineStr">
        <is>
          <t>Informado</t>
        </is>
      </c>
      <c r="K2612" s="6" t="inlineStr">
        <is>
          <t>Demanda doméstica fixa informada pelo usuário.</t>
        </is>
      </c>
    </row>
    <row r="2613">
      <c r="A2613" s="6" t="inlineStr">
        <is>
          <t>Soja</t>
        </is>
      </c>
      <c r="B2613" s="6" t="inlineStr">
        <is>
          <t>Macapá - AP</t>
        </is>
      </c>
      <c r="C2613" s="6" t="n">
        <v>0.034934</v>
      </c>
      <c r="D2613" s="6" t="n">
        <v>-51.0694</v>
      </c>
      <c r="E2613" s="6" t="inlineStr">
        <is>
          <t>2024-08</t>
        </is>
      </c>
      <c r="F2613" s="6" t="n">
        <v>5396.9452462822</v>
      </c>
      <c r="G2613" s="6" t="inlineStr">
        <is>
          <t>DOMESTICA</t>
        </is>
      </c>
      <c r="H2613" s="6" t="inlineStr">
        <is>
          <t>FIXO</t>
        </is>
      </c>
      <c r="I2613" s="11">
        <f>IF($H2613="AUTO_OFERTA_TOTAL_PRODUTO_PERIODO",SUMIFS(Oferta!$F:$F,Oferta!$A:$A,$A2613,Oferta!$E:$E,$E2613),$F2613)</f>
        <v/>
      </c>
      <c r="J2613" s="6" t="inlineStr">
        <is>
          <t>Informado</t>
        </is>
      </c>
      <c r="K2613" s="6" t="inlineStr">
        <is>
          <t>Demanda doméstica fixa informada pelo usuário.</t>
        </is>
      </c>
    </row>
    <row r="2614">
      <c r="A2614" s="6" t="inlineStr">
        <is>
          <t>Soja</t>
        </is>
      </c>
      <c r="B2614" s="6" t="inlineStr">
        <is>
          <t>Macapá - AP</t>
        </is>
      </c>
      <c r="C2614" s="6" t="n">
        <v>0.034934</v>
      </c>
      <c r="D2614" s="6" t="n">
        <v>-51.0694</v>
      </c>
      <c r="E2614" s="6" t="inlineStr">
        <is>
          <t>2024-09</t>
        </is>
      </c>
      <c r="F2614" s="6" t="n">
        <v>5396.9452462822</v>
      </c>
      <c r="G2614" s="6" t="inlineStr">
        <is>
          <t>DOMESTICA</t>
        </is>
      </c>
      <c r="H2614" s="6" t="inlineStr">
        <is>
          <t>FIXO</t>
        </is>
      </c>
      <c r="I2614" s="11">
        <f>IF($H2614="AUTO_OFERTA_TOTAL_PRODUTO_PERIODO",SUMIFS(Oferta!$F:$F,Oferta!$A:$A,$A2614,Oferta!$E:$E,$E2614),$F2614)</f>
        <v/>
      </c>
      <c r="J2614" s="6" t="inlineStr">
        <is>
          <t>Informado</t>
        </is>
      </c>
      <c r="K2614" s="6" t="inlineStr">
        <is>
          <t>Demanda doméstica fixa informada pelo usuário.</t>
        </is>
      </c>
    </row>
    <row r="2615">
      <c r="A2615" s="6" t="inlineStr">
        <is>
          <t>Soja</t>
        </is>
      </c>
      <c r="B2615" s="6" t="inlineStr">
        <is>
          <t>Macapá - AP</t>
        </is>
      </c>
      <c r="C2615" s="6" t="n">
        <v>0.034934</v>
      </c>
      <c r="D2615" s="6" t="n">
        <v>-51.0694</v>
      </c>
      <c r="E2615" s="6" t="inlineStr">
        <is>
          <t>2024-10</t>
        </is>
      </c>
      <c r="F2615" s="6" t="n">
        <v>5396.9452462822</v>
      </c>
      <c r="G2615" s="6" t="inlineStr">
        <is>
          <t>DOMESTICA</t>
        </is>
      </c>
      <c r="H2615" s="6" t="inlineStr">
        <is>
          <t>FIXO</t>
        </is>
      </c>
      <c r="I2615" s="11">
        <f>IF($H2615="AUTO_OFERTA_TOTAL_PRODUTO_PERIODO",SUMIFS(Oferta!$F:$F,Oferta!$A:$A,$A2615,Oferta!$E:$E,$E2615),$F2615)</f>
        <v/>
      </c>
      <c r="J2615" s="6" t="inlineStr">
        <is>
          <t>Informado</t>
        </is>
      </c>
      <c r="K2615" s="6" t="inlineStr">
        <is>
          <t>Demanda doméstica fixa informada pelo usuário.</t>
        </is>
      </c>
    </row>
    <row r="2616">
      <c r="A2616" s="6" t="inlineStr">
        <is>
          <t>Soja</t>
        </is>
      </c>
      <c r="B2616" s="6" t="inlineStr">
        <is>
          <t>Macapá - AP</t>
        </is>
      </c>
      <c r="C2616" s="6" t="n">
        <v>0.034934</v>
      </c>
      <c r="D2616" s="6" t="n">
        <v>-51.0694</v>
      </c>
      <c r="E2616" s="6" t="inlineStr">
        <is>
          <t>2024-11</t>
        </is>
      </c>
      <c r="F2616" s="6" t="n">
        <v>5396.9452462822</v>
      </c>
      <c r="G2616" s="6" t="inlineStr">
        <is>
          <t>DOMESTICA</t>
        </is>
      </c>
      <c r="H2616" s="6" t="inlineStr">
        <is>
          <t>FIXO</t>
        </is>
      </c>
      <c r="I2616" s="11">
        <f>IF($H2616="AUTO_OFERTA_TOTAL_PRODUTO_PERIODO",SUMIFS(Oferta!$F:$F,Oferta!$A:$A,$A2616,Oferta!$E:$E,$E2616),$F2616)</f>
        <v/>
      </c>
      <c r="J2616" s="6" t="inlineStr">
        <is>
          <t>Informado</t>
        </is>
      </c>
      <c r="K2616" s="6" t="inlineStr">
        <is>
          <t>Demanda doméstica fixa informada pelo usuário.</t>
        </is>
      </c>
    </row>
    <row r="2617">
      <c r="A2617" s="6" t="inlineStr">
        <is>
          <t>Soja</t>
        </is>
      </c>
      <c r="B2617" s="6" t="inlineStr">
        <is>
          <t>Macapá - AP</t>
        </is>
      </c>
      <c r="C2617" s="6" t="n">
        <v>0.034934</v>
      </c>
      <c r="D2617" s="6" t="n">
        <v>-51.0694</v>
      </c>
      <c r="E2617" s="6" t="inlineStr">
        <is>
          <t>2024-12</t>
        </is>
      </c>
      <c r="F2617" s="6" t="n">
        <v>5396.9452462822</v>
      </c>
      <c r="G2617" s="6" t="inlineStr">
        <is>
          <t>DOMESTICA</t>
        </is>
      </c>
      <c r="H2617" s="6" t="inlineStr">
        <is>
          <t>FIXO</t>
        </is>
      </c>
      <c r="I2617" s="11">
        <f>IF($H2617="AUTO_OFERTA_TOTAL_PRODUTO_PERIODO",SUMIFS(Oferta!$F:$F,Oferta!$A:$A,$A2617,Oferta!$E:$E,$E2617),$F2617)</f>
        <v/>
      </c>
      <c r="J2617" s="6" t="inlineStr">
        <is>
          <t>Informado</t>
        </is>
      </c>
      <c r="K2617" s="6" t="inlineStr">
        <is>
          <t>Demanda doméstica fixa informada pelo usuário.</t>
        </is>
      </c>
    </row>
    <row r="2618">
      <c r="A2618" s="6" t="inlineStr">
        <is>
          <t>Soja</t>
        </is>
      </c>
      <c r="B2618" s="6" t="inlineStr">
        <is>
          <t>Manaus - AM</t>
        </is>
      </c>
      <c r="C2618" s="6" t="n">
        <v>-3.11866</v>
      </c>
      <c r="D2618" s="6" t="n">
        <v>-60.0212</v>
      </c>
      <c r="E2618" s="6" t="inlineStr">
        <is>
          <t>2024-01</t>
        </is>
      </c>
      <c r="F2618" s="6" t="n">
        <v>35679.7221908273</v>
      </c>
      <c r="G2618" s="6" t="inlineStr">
        <is>
          <t>DOMESTICA</t>
        </is>
      </c>
      <c r="H2618" s="6" t="inlineStr">
        <is>
          <t>FIXO</t>
        </is>
      </c>
      <c r="I2618" s="11">
        <f>IF($H2618="AUTO_OFERTA_TOTAL_PRODUTO_PERIODO",SUMIFS(Oferta!$F:$F,Oferta!$A:$A,$A2618,Oferta!$E:$E,$E2618),$F2618)</f>
        <v/>
      </c>
      <c r="J2618" s="6" t="inlineStr">
        <is>
          <t>Informado</t>
        </is>
      </c>
      <c r="K2618" s="6" t="inlineStr">
        <is>
          <t>Demanda doméstica fixa informada pelo usuário.</t>
        </is>
      </c>
    </row>
    <row r="2619">
      <c r="A2619" s="6" t="inlineStr">
        <is>
          <t>Soja</t>
        </is>
      </c>
      <c r="B2619" s="6" t="inlineStr">
        <is>
          <t>Manaus - AM</t>
        </is>
      </c>
      <c r="C2619" s="6" t="n">
        <v>-3.11866</v>
      </c>
      <c r="D2619" s="6" t="n">
        <v>-60.0212</v>
      </c>
      <c r="E2619" s="6" t="inlineStr">
        <is>
          <t>2024-02</t>
        </is>
      </c>
      <c r="F2619" s="6" t="n">
        <v>68773.9572663773</v>
      </c>
      <c r="G2619" s="6" t="inlineStr">
        <is>
          <t>DOMESTICA</t>
        </is>
      </c>
      <c r="H2619" s="6" t="inlineStr">
        <is>
          <t>FIXO</t>
        </is>
      </c>
      <c r="I2619" s="11">
        <f>IF($H2619="AUTO_OFERTA_TOTAL_PRODUTO_PERIODO",SUMIFS(Oferta!$F:$F,Oferta!$A:$A,$A2619,Oferta!$E:$E,$E2619),$F2619)</f>
        <v/>
      </c>
      <c r="J2619" s="6" t="inlineStr">
        <is>
          <t>Informado</t>
        </is>
      </c>
      <c r="K2619" s="6" t="inlineStr">
        <is>
          <t>Demanda doméstica fixa informada pelo usuário.</t>
        </is>
      </c>
    </row>
    <row r="2620">
      <c r="A2620" s="6" t="inlineStr">
        <is>
          <t>Soja</t>
        </is>
      </c>
      <c r="B2620" s="6" t="inlineStr">
        <is>
          <t>Manaus - AM</t>
        </is>
      </c>
      <c r="C2620" s="6" t="n">
        <v>-3.11866</v>
      </c>
      <c r="D2620" s="6" t="n">
        <v>-60.0212</v>
      </c>
      <c r="E2620" s="6" t="inlineStr">
        <is>
          <t>2024-03</t>
        </is>
      </c>
      <c r="F2620" s="6" t="n">
        <v>101868.1923419272</v>
      </c>
      <c r="G2620" s="6" t="inlineStr">
        <is>
          <t>DOMESTICA</t>
        </is>
      </c>
      <c r="H2620" s="6" t="inlineStr">
        <is>
          <t>FIXO</t>
        </is>
      </c>
      <c r="I2620" s="11">
        <f>IF($H2620="AUTO_OFERTA_TOTAL_PRODUTO_PERIODO",SUMIFS(Oferta!$F:$F,Oferta!$A:$A,$A2620,Oferta!$E:$E,$E2620),$F2620)</f>
        <v/>
      </c>
      <c r="J2620" s="6" t="inlineStr">
        <is>
          <t>Informado</t>
        </is>
      </c>
      <c r="K2620" s="6" t="inlineStr">
        <is>
          <t>Demanda doméstica fixa informada pelo usuário.</t>
        </is>
      </c>
    </row>
    <row r="2621">
      <c r="A2621" s="6" t="inlineStr">
        <is>
          <t>Soja</t>
        </is>
      </c>
      <c r="B2621" s="6" t="inlineStr">
        <is>
          <t>Manaus - AM</t>
        </is>
      </c>
      <c r="C2621" s="6" t="n">
        <v>-3.11866</v>
      </c>
      <c r="D2621" s="6" t="n">
        <v>-60.0212</v>
      </c>
      <c r="E2621" s="6" t="inlineStr">
        <is>
          <t>2024-04</t>
        </is>
      </c>
      <c r="F2621" s="6" t="n">
        <v>110141.7511108147</v>
      </c>
      <c r="G2621" s="6" t="inlineStr">
        <is>
          <t>DOMESTICA</t>
        </is>
      </c>
      <c r="H2621" s="6" t="inlineStr">
        <is>
          <t>FIXO</t>
        </is>
      </c>
      <c r="I2621" s="11">
        <f>IF($H2621="AUTO_OFERTA_TOTAL_PRODUTO_PERIODO",SUMIFS(Oferta!$F:$F,Oferta!$A:$A,$A2621,Oferta!$E:$E,$E2621),$F2621)</f>
        <v/>
      </c>
      <c r="J2621" s="6" t="inlineStr">
        <is>
          <t>Informado</t>
        </is>
      </c>
      <c r="K2621" s="6" t="inlineStr">
        <is>
          <t>Demanda doméstica fixa informada pelo usuário.</t>
        </is>
      </c>
    </row>
    <row r="2622">
      <c r="A2622" s="6" t="inlineStr">
        <is>
          <t>Soja</t>
        </is>
      </c>
      <c r="B2622" s="6" t="inlineStr">
        <is>
          <t>Manaus - AM</t>
        </is>
      </c>
      <c r="C2622" s="6" t="n">
        <v>-3.11866</v>
      </c>
      <c r="D2622" s="6" t="n">
        <v>-60.0212</v>
      </c>
      <c r="E2622" s="6" t="inlineStr">
        <is>
          <t>2024-05</t>
        </is>
      </c>
      <c r="F2622" s="6" t="n">
        <v>77047.51603526479</v>
      </c>
      <c r="G2622" s="6" t="inlineStr">
        <is>
          <t>DOMESTICA</t>
        </is>
      </c>
      <c r="H2622" s="6" t="inlineStr">
        <is>
          <t>FIXO</t>
        </is>
      </c>
      <c r="I2622" s="11">
        <f>IF($H2622="AUTO_OFERTA_TOTAL_PRODUTO_PERIODO",SUMIFS(Oferta!$F:$F,Oferta!$A:$A,$A2622,Oferta!$E:$E,$E2622),$F2622)</f>
        <v/>
      </c>
      <c r="J2622" s="6" t="inlineStr">
        <is>
          <t>Informado</t>
        </is>
      </c>
      <c r="K2622" s="6" t="inlineStr">
        <is>
          <t>Demanda doméstica fixa informada pelo usuário.</t>
        </is>
      </c>
    </row>
    <row r="2623">
      <c r="A2623" s="6" t="inlineStr">
        <is>
          <t>Soja</t>
        </is>
      </c>
      <c r="B2623" s="6" t="inlineStr">
        <is>
          <t>Manaus - AM</t>
        </is>
      </c>
      <c r="C2623" s="6" t="n">
        <v>-3.11866</v>
      </c>
      <c r="D2623" s="6" t="n">
        <v>-60.0212</v>
      </c>
      <c r="E2623" s="6" t="inlineStr">
        <is>
          <t>2024-06</t>
        </is>
      </c>
      <c r="F2623" s="6" t="n">
        <v>43953.2809597148</v>
      </c>
      <c r="G2623" s="6" t="inlineStr">
        <is>
          <t>DOMESTICA</t>
        </is>
      </c>
      <c r="H2623" s="6" t="inlineStr">
        <is>
          <t>FIXO</t>
        </is>
      </c>
      <c r="I2623" s="11">
        <f>IF($H2623="AUTO_OFERTA_TOTAL_PRODUTO_PERIODO",SUMIFS(Oferta!$F:$F,Oferta!$A:$A,$A2623,Oferta!$E:$E,$E2623),$F2623)</f>
        <v/>
      </c>
      <c r="J2623" s="6" t="inlineStr">
        <is>
          <t>Informado</t>
        </is>
      </c>
      <c r="K2623" s="6" t="inlineStr">
        <is>
          <t>Demanda doméstica fixa informada pelo usuário.</t>
        </is>
      </c>
    </row>
    <row r="2624">
      <c r="A2624" s="6" t="inlineStr">
        <is>
          <t>Soja</t>
        </is>
      </c>
      <c r="B2624" s="6" t="inlineStr">
        <is>
          <t>Manaus - AM</t>
        </is>
      </c>
      <c r="C2624" s="6" t="n">
        <v>-3.11866</v>
      </c>
      <c r="D2624" s="6" t="n">
        <v>-60.0212</v>
      </c>
      <c r="E2624" s="6" t="inlineStr">
        <is>
          <t>2024-07</t>
        </is>
      </c>
      <c r="F2624" s="6" t="n">
        <v>27406.1634219398</v>
      </c>
      <c r="G2624" s="6" t="inlineStr">
        <is>
          <t>DOMESTICA</t>
        </is>
      </c>
      <c r="H2624" s="6" t="inlineStr">
        <is>
          <t>FIXO</t>
        </is>
      </c>
      <c r="I2624" s="11">
        <f>IF($H2624="AUTO_OFERTA_TOTAL_PRODUTO_PERIODO",SUMIFS(Oferta!$F:$F,Oferta!$A:$A,$A2624,Oferta!$E:$E,$E2624),$F2624)</f>
        <v/>
      </c>
      <c r="J2624" s="6" t="inlineStr">
        <is>
          <t>Informado</t>
        </is>
      </c>
      <c r="K2624" s="6" t="inlineStr">
        <is>
          <t>Demanda doméstica fixa informada pelo usuário.</t>
        </is>
      </c>
    </row>
    <row r="2625">
      <c r="A2625" s="6" t="inlineStr">
        <is>
          <t>Soja</t>
        </is>
      </c>
      <c r="B2625" s="6" t="inlineStr">
        <is>
          <t>Manaus - AM</t>
        </is>
      </c>
      <c r="C2625" s="6" t="n">
        <v>-3.11866</v>
      </c>
      <c r="D2625" s="6" t="n">
        <v>-60.0212</v>
      </c>
      <c r="E2625" s="6" t="inlineStr">
        <is>
          <t>2024-08</t>
        </is>
      </c>
      <c r="F2625" s="6" t="n">
        <v>27406.1634219398</v>
      </c>
      <c r="G2625" s="6" t="inlineStr">
        <is>
          <t>DOMESTICA</t>
        </is>
      </c>
      <c r="H2625" s="6" t="inlineStr">
        <is>
          <t>FIXO</t>
        </is>
      </c>
      <c r="I2625" s="11">
        <f>IF($H2625="AUTO_OFERTA_TOTAL_PRODUTO_PERIODO",SUMIFS(Oferta!$F:$F,Oferta!$A:$A,$A2625,Oferta!$E:$E,$E2625),$F2625)</f>
        <v/>
      </c>
      <c r="J2625" s="6" t="inlineStr">
        <is>
          <t>Informado</t>
        </is>
      </c>
      <c r="K2625" s="6" t="inlineStr">
        <is>
          <t>Demanda doméstica fixa informada pelo usuário.</t>
        </is>
      </c>
    </row>
    <row r="2626">
      <c r="A2626" s="6" t="inlineStr">
        <is>
          <t>Soja</t>
        </is>
      </c>
      <c r="B2626" s="6" t="inlineStr">
        <is>
          <t>Manaus - AM</t>
        </is>
      </c>
      <c r="C2626" s="6" t="n">
        <v>-3.11866</v>
      </c>
      <c r="D2626" s="6" t="n">
        <v>-60.0212</v>
      </c>
      <c r="E2626" s="6" t="inlineStr">
        <is>
          <t>2024-09</t>
        </is>
      </c>
      <c r="F2626" s="6" t="n">
        <v>27406.1634219398</v>
      </c>
      <c r="G2626" s="6" t="inlineStr">
        <is>
          <t>DOMESTICA</t>
        </is>
      </c>
      <c r="H2626" s="6" t="inlineStr">
        <is>
          <t>FIXO</t>
        </is>
      </c>
      <c r="I2626" s="11">
        <f>IF($H2626="AUTO_OFERTA_TOTAL_PRODUTO_PERIODO",SUMIFS(Oferta!$F:$F,Oferta!$A:$A,$A2626,Oferta!$E:$E,$E2626),$F2626)</f>
        <v/>
      </c>
      <c r="J2626" s="6" t="inlineStr">
        <is>
          <t>Informado</t>
        </is>
      </c>
      <c r="K2626" s="6" t="inlineStr">
        <is>
          <t>Demanda doméstica fixa informada pelo usuário.</t>
        </is>
      </c>
    </row>
    <row r="2627">
      <c r="A2627" s="6" t="inlineStr">
        <is>
          <t>Soja</t>
        </is>
      </c>
      <c r="B2627" s="6" t="inlineStr">
        <is>
          <t>Manaus - AM</t>
        </is>
      </c>
      <c r="C2627" s="6" t="n">
        <v>-3.11866</v>
      </c>
      <c r="D2627" s="6" t="n">
        <v>-60.0212</v>
      </c>
      <c r="E2627" s="6" t="inlineStr">
        <is>
          <t>2024-10</t>
        </is>
      </c>
      <c r="F2627" s="6" t="n">
        <v>27406.1634219398</v>
      </c>
      <c r="G2627" s="6" t="inlineStr">
        <is>
          <t>DOMESTICA</t>
        </is>
      </c>
      <c r="H2627" s="6" t="inlineStr">
        <is>
          <t>FIXO</t>
        </is>
      </c>
      <c r="I2627" s="11">
        <f>IF($H2627="AUTO_OFERTA_TOTAL_PRODUTO_PERIODO",SUMIFS(Oferta!$F:$F,Oferta!$A:$A,$A2627,Oferta!$E:$E,$E2627),$F2627)</f>
        <v/>
      </c>
      <c r="J2627" s="6" t="inlineStr">
        <is>
          <t>Informado</t>
        </is>
      </c>
      <c r="K2627" s="6" t="inlineStr">
        <is>
          <t>Demanda doméstica fixa informada pelo usuário.</t>
        </is>
      </c>
    </row>
    <row r="2628">
      <c r="A2628" s="6" t="inlineStr">
        <is>
          <t>Soja</t>
        </is>
      </c>
      <c r="B2628" s="6" t="inlineStr">
        <is>
          <t>Manaus - AM</t>
        </is>
      </c>
      <c r="C2628" s="6" t="n">
        <v>-3.11866</v>
      </c>
      <c r="D2628" s="6" t="n">
        <v>-60.0212</v>
      </c>
      <c r="E2628" s="6" t="inlineStr">
        <is>
          <t>2024-11</t>
        </is>
      </c>
      <c r="F2628" s="6" t="n">
        <v>27406.1634219398</v>
      </c>
      <c r="G2628" s="6" t="inlineStr">
        <is>
          <t>DOMESTICA</t>
        </is>
      </c>
      <c r="H2628" s="6" t="inlineStr">
        <is>
          <t>FIXO</t>
        </is>
      </c>
      <c r="I2628" s="11">
        <f>IF($H2628="AUTO_OFERTA_TOTAL_PRODUTO_PERIODO",SUMIFS(Oferta!$F:$F,Oferta!$A:$A,$A2628,Oferta!$E:$E,$E2628),$F2628)</f>
        <v/>
      </c>
      <c r="J2628" s="6" t="inlineStr">
        <is>
          <t>Informado</t>
        </is>
      </c>
      <c r="K2628" s="6" t="inlineStr">
        <is>
          <t>Demanda doméstica fixa informada pelo usuário.</t>
        </is>
      </c>
    </row>
    <row r="2629">
      <c r="A2629" s="6" t="inlineStr">
        <is>
          <t>Soja</t>
        </is>
      </c>
      <c r="B2629" s="6" t="inlineStr">
        <is>
          <t>Manaus - AM</t>
        </is>
      </c>
      <c r="C2629" s="6" t="n">
        <v>-3.11866</v>
      </c>
      <c r="D2629" s="6" t="n">
        <v>-60.0212</v>
      </c>
      <c r="E2629" s="6" t="inlineStr">
        <is>
          <t>2024-12</t>
        </is>
      </c>
      <c r="F2629" s="6" t="n">
        <v>27406.1634219398</v>
      </c>
      <c r="G2629" s="6" t="inlineStr">
        <is>
          <t>DOMESTICA</t>
        </is>
      </c>
      <c r="H2629" s="6" t="inlineStr">
        <is>
          <t>FIXO</t>
        </is>
      </c>
      <c r="I2629" s="11">
        <f>IF($H2629="AUTO_OFERTA_TOTAL_PRODUTO_PERIODO",SUMIFS(Oferta!$F:$F,Oferta!$A:$A,$A2629,Oferta!$E:$E,$E2629),$F2629)</f>
        <v/>
      </c>
      <c r="J2629" s="6" t="inlineStr">
        <is>
          <t>Informado</t>
        </is>
      </c>
      <c r="K2629" s="6" t="inlineStr">
        <is>
          <t>Demanda doméstica fixa informada pelo usuário.</t>
        </is>
      </c>
    </row>
    <row r="2630">
      <c r="A2630" s="6" t="inlineStr">
        <is>
          <t>Soja</t>
        </is>
      </c>
      <c r="B2630" s="6" t="inlineStr">
        <is>
          <t>Belém - PA</t>
        </is>
      </c>
      <c r="C2630" s="6" t="n">
        <v>-1.4554</v>
      </c>
      <c r="D2630" s="6" t="n">
        <v>-48.4898</v>
      </c>
      <c r="E2630" s="6" t="inlineStr">
        <is>
          <t>2024-01</t>
        </is>
      </c>
      <c r="F2630" s="6" t="n">
        <v>56181.5813183269</v>
      </c>
      <c r="G2630" s="6" t="inlineStr">
        <is>
          <t>DOMESTICA</t>
        </is>
      </c>
      <c r="H2630" s="6" t="inlineStr">
        <is>
          <t>FIXO</t>
        </is>
      </c>
      <c r="I2630" s="11">
        <f>IF($H2630="AUTO_OFERTA_TOTAL_PRODUTO_PERIODO",SUMIFS(Oferta!$F:$F,Oferta!$A:$A,$A2630,Oferta!$E:$E,$E2630),$F2630)</f>
        <v/>
      </c>
      <c r="J2630" s="6" t="inlineStr">
        <is>
          <t>Informado</t>
        </is>
      </c>
      <c r="K2630" s="6" t="inlineStr">
        <is>
          <t>Demanda doméstica fixa informada pelo usuário.</t>
        </is>
      </c>
    </row>
    <row r="2631">
      <c r="A2631" s="6" t="inlineStr">
        <is>
          <t>Soja</t>
        </is>
      </c>
      <c r="B2631" s="6" t="inlineStr">
        <is>
          <t>Belém - PA</t>
        </is>
      </c>
      <c r="C2631" s="6" t="n">
        <v>-1.4554</v>
      </c>
      <c r="D2631" s="6" t="n">
        <v>-48.4898</v>
      </c>
      <c r="E2631" s="6" t="inlineStr">
        <is>
          <t>2024-02</t>
        </is>
      </c>
      <c r="F2631" s="6" t="n">
        <v>56181.5813183269</v>
      </c>
      <c r="G2631" s="6" t="inlineStr">
        <is>
          <t>DOMESTICA</t>
        </is>
      </c>
      <c r="H2631" s="6" t="inlineStr">
        <is>
          <t>FIXO</t>
        </is>
      </c>
      <c r="I2631" s="11">
        <f>IF($H2631="AUTO_OFERTA_TOTAL_PRODUTO_PERIODO",SUMIFS(Oferta!$F:$F,Oferta!$A:$A,$A2631,Oferta!$E:$E,$E2631),$F2631)</f>
        <v/>
      </c>
      <c r="J2631" s="6" t="inlineStr">
        <is>
          <t>Informado</t>
        </is>
      </c>
      <c r="K2631" s="6" t="inlineStr">
        <is>
          <t>Demanda doméstica fixa informada pelo usuário.</t>
        </is>
      </c>
    </row>
    <row r="2632">
      <c r="A2632" s="6" t="inlineStr">
        <is>
          <t>Soja</t>
        </is>
      </c>
      <c r="B2632" s="6" t="inlineStr">
        <is>
          <t>Belém - PA</t>
        </is>
      </c>
      <c r="C2632" s="6" t="n">
        <v>-1.4554</v>
      </c>
      <c r="D2632" s="6" t="n">
        <v>-48.4898</v>
      </c>
      <c r="E2632" s="6" t="inlineStr">
        <is>
          <t>2024-03</t>
        </is>
      </c>
      <c r="F2632" s="6" t="n">
        <v>56181.5813183269</v>
      </c>
      <c r="G2632" s="6" t="inlineStr">
        <is>
          <t>DOMESTICA</t>
        </is>
      </c>
      <c r="H2632" s="6" t="inlineStr">
        <is>
          <t>FIXO</t>
        </is>
      </c>
      <c r="I2632" s="11">
        <f>IF($H2632="AUTO_OFERTA_TOTAL_PRODUTO_PERIODO",SUMIFS(Oferta!$F:$F,Oferta!$A:$A,$A2632,Oferta!$E:$E,$E2632),$F2632)</f>
        <v/>
      </c>
      <c r="J2632" s="6" t="inlineStr">
        <is>
          <t>Informado</t>
        </is>
      </c>
      <c r="K2632" s="6" t="inlineStr">
        <is>
          <t>Demanda doméstica fixa informada pelo usuário.</t>
        </is>
      </c>
    </row>
    <row r="2633">
      <c r="A2633" s="6" t="inlineStr">
        <is>
          <t>Soja</t>
        </is>
      </c>
      <c r="B2633" s="6" t="inlineStr">
        <is>
          <t>Belém - PA</t>
        </is>
      </c>
      <c r="C2633" s="6" t="n">
        <v>-1.4554</v>
      </c>
      <c r="D2633" s="6" t="n">
        <v>-48.4898</v>
      </c>
      <c r="E2633" s="6" t="inlineStr">
        <is>
          <t>2024-04</t>
        </is>
      </c>
      <c r="F2633" s="6" t="n">
        <v>56181.5813183269</v>
      </c>
      <c r="G2633" s="6" t="inlineStr">
        <is>
          <t>DOMESTICA</t>
        </is>
      </c>
      <c r="H2633" s="6" t="inlineStr">
        <is>
          <t>FIXO</t>
        </is>
      </c>
      <c r="I2633" s="11">
        <f>IF($H2633="AUTO_OFERTA_TOTAL_PRODUTO_PERIODO",SUMIFS(Oferta!$F:$F,Oferta!$A:$A,$A2633,Oferta!$E:$E,$E2633),$F2633)</f>
        <v/>
      </c>
      <c r="J2633" s="6" t="inlineStr">
        <is>
          <t>Informado</t>
        </is>
      </c>
      <c r="K2633" s="6" t="inlineStr">
        <is>
          <t>Demanda doméstica fixa informada pelo usuário.</t>
        </is>
      </c>
    </row>
    <row r="2634">
      <c r="A2634" s="6" t="inlineStr">
        <is>
          <t>Soja</t>
        </is>
      </c>
      <c r="B2634" s="6" t="inlineStr">
        <is>
          <t>Belém - PA</t>
        </is>
      </c>
      <c r="C2634" s="6" t="n">
        <v>-1.4554</v>
      </c>
      <c r="D2634" s="6" t="n">
        <v>-48.4898</v>
      </c>
      <c r="E2634" s="6" t="inlineStr">
        <is>
          <t>2024-05</t>
        </is>
      </c>
      <c r="F2634" s="6" t="n">
        <v>56181.5813183269</v>
      </c>
      <c r="G2634" s="6" t="inlineStr">
        <is>
          <t>DOMESTICA</t>
        </is>
      </c>
      <c r="H2634" s="6" t="inlineStr">
        <is>
          <t>FIXO</t>
        </is>
      </c>
      <c r="I2634" s="11">
        <f>IF($H2634="AUTO_OFERTA_TOTAL_PRODUTO_PERIODO",SUMIFS(Oferta!$F:$F,Oferta!$A:$A,$A2634,Oferta!$E:$E,$E2634),$F2634)</f>
        <v/>
      </c>
      <c r="J2634" s="6" t="inlineStr">
        <is>
          <t>Informado</t>
        </is>
      </c>
      <c r="K2634" s="6" t="inlineStr">
        <is>
          <t>Demanda doméstica fixa informada pelo usuário.</t>
        </is>
      </c>
    </row>
    <row r="2635">
      <c r="A2635" s="6" t="inlineStr">
        <is>
          <t>Soja</t>
        </is>
      </c>
      <c r="B2635" s="6" t="inlineStr">
        <is>
          <t>Belém - PA</t>
        </is>
      </c>
      <c r="C2635" s="6" t="n">
        <v>-1.4554</v>
      </c>
      <c r="D2635" s="6" t="n">
        <v>-48.4898</v>
      </c>
      <c r="E2635" s="6" t="inlineStr">
        <is>
          <t>2024-06</t>
        </is>
      </c>
      <c r="F2635" s="6" t="n">
        <v>56181.5813183269</v>
      </c>
      <c r="G2635" s="6" t="inlineStr">
        <is>
          <t>DOMESTICA</t>
        </is>
      </c>
      <c r="H2635" s="6" t="inlineStr">
        <is>
          <t>FIXO</t>
        </is>
      </c>
      <c r="I2635" s="11">
        <f>IF($H2635="AUTO_OFERTA_TOTAL_PRODUTO_PERIODO",SUMIFS(Oferta!$F:$F,Oferta!$A:$A,$A2635,Oferta!$E:$E,$E2635),$F2635)</f>
        <v/>
      </c>
      <c r="J2635" s="6" t="inlineStr">
        <is>
          <t>Informado</t>
        </is>
      </c>
      <c r="K2635" s="6" t="inlineStr">
        <is>
          <t>Demanda doméstica fixa informada pelo usuário.</t>
        </is>
      </c>
    </row>
    <row r="2636">
      <c r="A2636" s="6" t="inlineStr">
        <is>
          <t>Soja</t>
        </is>
      </c>
      <c r="B2636" s="6" t="inlineStr">
        <is>
          <t>Belém - PA</t>
        </is>
      </c>
      <c r="C2636" s="6" t="n">
        <v>-1.4554</v>
      </c>
      <c r="D2636" s="6" t="n">
        <v>-48.4898</v>
      </c>
      <c r="E2636" s="6" t="inlineStr">
        <is>
          <t>2024-07</t>
        </is>
      </c>
      <c r="F2636" s="6" t="n">
        <v>90102.536076562</v>
      </c>
      <c r="G2636" s="6" t="inlineStr">
        <is>
          <t>DOMESTICA</t>
        </is>
      </c>
      <c r="H2636" s="6" t="inlineStr">
        <is>
          <t>FIXO</t>
        </is>
      </c>
      <c r="I2636" s="11">
        <f>IF($H2636="AUTO_OFERTA_TOTAL_PRODUTO_PERIODO",SUMIFS(Oferta!$F:$F,Oferta!$A:$A,$A2636,Oferta!$E:$E,$E2636),$F2636)</f>
        <v/>
      </c>
      <c r="J2636" s="6" t="inlineStr">
        <is>
          <t>Informado</t>
        </is>
      </c>
      <c r="K2636" s="6" t="inlineStr">
        <is>
          <t>Demanda doméstica fixa informada pelo usuário.</t>
        </is>
      </c>
    </row>
    <row r="2637">
      <c r="A2637" s="6" t="inlineStr">
        <is>
          <t>Soja</t>
        </is>
      </c>
      <c r="B2637" s="6" t="inlineStr">
        <is>
          <t>Belém - PA</t>
        </is>
      </c>
      <c r="C2637" s="6" t="n">
        <v>-1.4554</v>
      </c>
      <c r="D2637" s="6" t="n">
        <v>-48.4898</v>
      </c>
      <c r="E2637" s="6" t="inlineStr">
        <is>
          <t>2024-08</t>
        </is>
      </c>
      <c r="F2637" s="6" t="n">
        <v>191865.4003512674</v>
      </c>
      <c r="G2637" s="6" t="inlineStr">
        <is>
          <t>DOMESTICA</t>
        </is>
      </c>
      <c r="H2637" s="6" t="inlineStr">
        <is>
          <t>FIXO</t>
        </is>
      </c>
      <c r="I2637" s="11">
        <f>IF($H2637="AUTO_OFERTA_TOTAL_PRODUTO_PERIODO",SUMIFS(Oferta!$F:$F,Oferta!$A:$A,$A2637,Oferta!$E:$E,$E2637),$F2637)</f>
        <v/>
      </c>
      <c r="J2637" s="6" t="inlineStr">
        <is>
          <t>Informado</t>
        </is>
      </c>
      <c r="K2637" s="6" t="inlineStr">
        <is>
          <t>Demanda doméstica fixa informada pelo usuário.</t>
        </is>
      </c>
    </row>
    <row r="2638">
      <c r="A2638" s="6" t="inlineStr">
        <is>
          <t>Soja</t>
        </is>
      </c>
      <c r="B2638" s="6" t="inlineStr">
        <is>
          <t>Belém - PA</t>
        </is>
      </c>
      <c r="C2638" s="6" t="n">
        <v>-1.4554</v>
      </c>
      <c r="D2638" s="6" t="n">
        <v>-48.4898</v>
      </c>
      <c r="E2638" s="6" t="inlineStr">
        <is>
          <t>2024-09</t>
        </is>
      </c>
      <c r="F2638" s="6" t="n">
        <v>225786.3551095024</v>
      </c>
      <c r="G2638" s="6" t="inlineStr">
        <is>
          <t>DOMESTICA</t>
        </is>
      </c>
      <c r="H2638" s="6" t="inlineStr">
        <is>
          <t>FIXO</t>
        </is>
      </c>
      <c r="I2638" s="11">
        <f>IF($H2638="AUTO_OFERTA_TOTAL_PRODUTO_PERIODO",SUMIFS(Oferta!$F:$F,Oferta!$A:$A,$A2638,Oferta!$E:$E,$E2638),$F2638)</f>
        <v/>
      </c>
      <c r="J2638" s="6" t="inlineStr">
        <is>
          <t>Informado</t>
        </is>
      </c>
      <c r="K2638" s="6" t="inlineStr">
        <is>
          <t>Demanda doméstica fixa informada pelo usuário.</t>
        </is>
      </c>
    </row>
    <row r="2639">
      <c r="A2639" s="6" t="inlineStr">
        <is>
          <t>Soja</t>
        </is>
      </c>
      <c r="B2639" s="6" t="inlineStr">
        <is>
          <t>Belém - PA</t>
        </is>
      </c>
      <c r="C2639" s="6" t="n">
        <v>-1.4554</v>
      </c>
      <c r="D2639" s="6" t="n">
        <v>-48.4898</v>
      </c>
      <c r="E2639" s="6" t="inlineStr">
        <is>
          <t>2024-10</t>
        </is>
      </c>
      <c r="F2639" s="6" t="n">
        <v>191865.4003512674</v>
      </c>
      <c r="G2639" s="6" t="inlineStr">
        <is>
          <t>DOMESTICA</t>
        </is>
      </c>
      <c r="H2639" s="6" t="inlineStr">
        <is>
          <t>FIXO</t>
        </is>
      </c>
      <c r="I2639" s="11">
        <f>IF($H2639="AUTO_OFERTA_TOTAL_PRODUTO_PERIODO",SUMIFS(Oferta!$F:$F,Oferta!$A:$A,$A2639,Oferta!$E:$E,$E2639),$F2639)</f>
        <v/>
      </c>
      <c r="J2639" s="6" t="inlineStr">
        <is>
          <t>Informado</t>
        </is>
      </c>
      <c r="K2639" s="6" t="inlineStr">
        <is>
          <t>Demanda doméstica fixa informada pelo usuário.</t>
        </is>
      </c>
    </row>
    <row r="2640">
      <c r="A2640" s="6" t="inlineStr">
        <is>
          <t>Soja</t>
        </is>
      </c>
      <c r="B2640" s="6" t="inlineStr">
        <is>
          <t>Belém - PA</t>
        </is>
      </c>
      <c r="C2640" s="6" t="n">
        <v>-1.4554</v>
      </c>
      <c r="D2640" s="6" t="n">
        <v>-48.4898</v>
      </c>
      <c r="E2640" s="6" t="inlineStr">
        <is>
          <t>2024-11</t>
        </is>
      </c>
      <c r="F2640" s="6" t="n">
        <v>90102.536076562</v>
      </c>
      <c r="G2640" s="6" t="inlineStr">
        <is>
          <t>DOMESTICA</t>
        </is>
      </c>
      <c r="H2640" s="6" t="inlineStr">
        <is>
          <t>FIXO</t>
        </is>
      </c>
      <c r="I2640" s="11">
        <f>IF($H2640="AUTO_OFERTA_TOTAL_PRODUTO_PERIODO",SUMIFS(Oferta!$F:$F,Oferta!$A:$A,$A2640,Oferta!$E:$E,$E2640),$F2640)</f>
        <v/>
      </c>
      <c r="J2640" s="6" t="inlineStr">
        <is>
          <t>Informado</t>
        </is>
      </c>
      <c r="K2640" s="6" t="inlineStr">
        <is>
          <t>Demanda doméstica fixa informada pelo usuário.</t>
        </is>
      </c>
    </row>
    <row r="2641">
      <c r="A2641" s="6" t="inlineStr">
        <is>
          <t>Soja</t>
        </is>
      </c>
      <c r="B2641" s="6" t="inlineStr">
        <is>
          <t>Belém - PA</t>
        </is>
      </c>
      <c r="C2641" s="6" t="n">
        <v>-1.4554</v>
      </c>
      <c r="D2641" s="6" t="n">
        <v>-48.4898</v>
      </c>
      <c r="E2641" s="6" t="inlineStr">
        <is>
          <t>2024-12</t>
        </is>
      </c>
      <c r="F2641" s="6" t="n">
        <v>56181.5813183269</v>
      </c>
      <c r="G2641" s="6" t="inlineStr">
        <is>
          <t>DOMESTICA</t>
        </is>
      </c>
      <c r="H2641" s="6" t="inlineStr">
        <is>
          <t>FIXO</t>
        </is>
      </c>
      <c r="I2641" s="11">
        <f>IF($H2641="AUTO_OFERTA_TOTAL_PRODUTO_PERIODO",SUMIFS(Oferta!$F:$F,Oferta!$A:$A,$A2641,Oferta!$E:$E,$E2641),$F2641)</f>
        <v/>
      </c>
      <c r="J2641" s="6" t="inlineStr">
        <is>
          <t>Informado</t>
        </is>
      </c>
      <c r="K2641" s="6" t="inlineStr">
        <is>
          <t>Demanda doméstica fixa informada pelo usuário.</t>
        </is>
      </c>
    </row>
    <row r="2642">
      <c r="A2642" s="6" t="inlineStr">
        <is>
          <t>Soja</t>
        </is>
      </c>
      <c r="B2642" s="6" t="inlineStr">
        <is>
          <t>Porto Velho - RO</t>
        </is>
      </c>
      <c r="C2642" s="6" t="n">
        <v>-8.760770000000001</v>
      </c>
      <c r="D2642" s="6" t="n">
        <v>-63.8999</v>
      </c>
      <c r="E2642" s="6" t="inlineStr">
        <is>
          <t>2024-01</t>
        </is>
      </c>
      <c r="F2642" s="6" t="n">
        <v>21113.7644254223</v>
      </c>
      <c r="G2642" s="6" t="inlineStr">
        <is>
          <t>DOMESTICA</t>
        </is>
      </c>
      <c r="H2642" s="6" t="inlineStr">
        <is>
          <t>FIXO</t>
        </is>
      </c>
      <c r="I2642" s="11">
        <f>IF($H2642="AUTO_OFERTA_TOTAL_PRODUTO_PERIODO",SUMIFS(Oferta!$F:$F,Oferta!$A:$A,$A2642,Oferta!$E:$E,$E2642),$F2642)</f>
        <v/>
      </c>
      <c r="J2642" s="6" t="inlineStr">
        <is>
          <t>Informado</t>
        </is>
      </c>
      <c r="K2642" s="6" t="inlineStr">
        <is>
          <t>Demanda doméstica fixa informada pelo usuário.</t>
        </is>
      </c>
    </row>
    <row r="2643">
      <c r="A2643" s="6" t="inlineStr">
        <is>
          <t>Soja</t>
        </is>
      </c>
      <c r="B2643" s="6" t="inlineStr">
        <is>
          <t>Porto Velho - RO</t>
        </is>
      </c>
      <c r="C2643" s="6" t="n">
        <v>-8.760770000000001</v>
      </c>
      <c r="D2643" s="6" t="n">
        <v>-63.8999</v>
      </c>
      <c r="E2643" s="6" t="inlineStr">
        <is>
          <t>2024-02</t>
        </is>
      </c>
      <c r="F2643" s="6" t="n">
        <v>21113.7644254223</v>
      </c>
      <c r="G2643" s="6" t="inlineStr">
        <is>
          <t>DOMESTICA</t>
        </is>
      </c>
      <c r="H2643" s="6" t="inlineStr">
        <is>
          <t>FIXO</t>
        </is>
      </c>
      <c r="I2643" s="11">
        <f>IF($H2643="AUTO_OFERTA_TOTAL_PRODUTO_PERIODO",SUMIFS(Oferta!$F:$F,Oferta!$A:$A,$A2643,Oferta!$E:$E,$E2643),$F2643)</f>
        <v/>
      </c>
      <c r="J2643" s="6" t="inlineStr">
        <is>
          <t>Informado</t>
        </is>
      </c>
      <c r="K2643" s="6" t="inlineStr">
        <is>
          <t>Demanda doméstica fixa informada pelo usuário.</t>
        </is>
      </c>
    </row>
    <row r="2644">
      <c r="A2644" s="6" t="inlineStr">
        <is>
          <t>Soja</t>
        </is>
      </c>
      <c r="B2644" s="6" t="inlineStr">
        <is>
          <t>Porto Velho - RO</t>
        </is>
      </c>
      <c r="C2644" s="6" t="n">
        <v>-8.760770000000001</v>
      </c>
      <c r="D2644" s="6" t="n">
        <v>-63.8999</v>
      </c>
      <c r="E2644" s="6" t="inlineStr">
        <is>
          <t>2024-03</t>
        </is>
      </c>
      <c r="F2644" s="6" t="n">
        <v>27487.7310444177</v>
      </c>
      <c r="G2644" s="6" t="inlineStr">
        <is>
          <t>DOMESTICA</t>
        </is>
      </c>
      <c r="H2644" s="6" t="inlineStr">
        <is>
          <t>FIXO</t>
        </is>
      </c>
      <c r="I2644" s="11">
        <f>IF($H2644="AUTO_OFERTA_TOTAL_PRODUTO_PERIODO",SUMIFS(Oferta!$F:$F,Oferta!$A:$A,$A2644,Oferta!$E:$E,$E2644),$F2644)</f>
        <v/>
      </c>
      <c r="J2644" s="6" t="inlineStr">
        <is>
          <t>Informado</t>
        </is>
      </c>
      <c r="K2644" s="6" t="inlineStr">
        <is>
          <t>Demanda doméstica fixa informada pelo usuário.</t>
        </is>
      </c>
    </row>
    <row r="2645">
      <c r="A2645" s="6" t="inlineStr">
        <is>
          <t>Soja</t>
        </is>
      </c>
      <c r="B2645" s="6" t="inlineStr">
        <is>
          <t>Porto Velho - RO</t>
        </is>
      </c>
      <c r="C2645" s="6" t="n">
        <v>-8.760770000000001</v>
      </c>
      <c r="D2645" s="6" t="n">
        <v>-63.8999</v>
      </c>
      <c r="E2645" s="6" t="inlineStr">
        <is>
          <t>2024-04</t>
        </is>
      </c>
      <c r="F2645" s="6" t="n">
        <v>65731.5307583901</v>
      </c>
      <c r="G2645" s="6" t="inlineStr">
        <is>
          <t>DOMESTICA</t>
        </is>
      </c>
      <c r="H2645" s="6" t="inlineStr">
        <is>
          <t>FIXO</t>
        </is>
      </c>
      <c r="I2645" s="11">
        <f>IF($H2645="AUTO_OFERTA_TOTAL_PRODUTO_PERIODO",SUMIFS(Oferta!$F:$F,Oferta!$A:$A,$A2645,Oferta!$E:$E,$E2645),$F2645)</f>
        <v/>
      </c>
      <c r="J2645" s="6" t="inlineStr">
        <is>
          <t>Informado</t>
        </is>
      </c>
      <c r="K2645" s="6" t="inlineStr">
        <is>
          <t>Demanda doméstica fixa informada pelo usuário.</t>
        </is>
      </c>
    </row>
    <row r="2646">
      <c r="A2646" s="6" t="inlineStr">
        <is>
          <t>Soja</t>
        </is>
      </c>
      <c r="B2646" s="6" t="inlineStr">
        <is>
          <t>Porto Velho - RO</t>
        </is>
      </c>
      <c r="C2646" s="6" t="n">
        <v>-8.760770000000001</v>
      </c>
      <c r="D2646" s="6" t="n">
        <v>-63.8999</v>
      </c>
      <c r="E2646" s="6" t="inlineStr">
        <is>
          <t>2024-05</t>
        </is>
      </c>
      <c r="F2646" s="6" t="n">
        <v>78479.4639963809</v>
      </c>
      <c r="G2646" s="6" t="inlineStr">
        <is>
          <t>DOMESTICA</t>
        </is>
      </c>
      <c r="H2646" s="6" t="inlineStr">
        <is>
          <t>FIXO</t>
        </is>
      </c>
      <c r="I2646" s="11">
        <f>IF($H2646="AUTO_OFERTA_TOTAL_PRODUTO_PERIODO",SUMIFS(Oferta!$F:$F,Oferta!$A:$A,$A2646,Oferta!$E:$E,$E2646),$F2646)</f>
        <v/>
      </c>
      <c r="J2646" s="6" t="inlineStr">
        <is>
          <t>Informado</t>
        </is>
      </c>
      <c r="K2646" s="6" t="inlineStr">
        <is>
          <t>Demanda doméstica fixa informada pelo usuário.</t>
        </is>
      </c>
    </row>
    <row r="2647">
      <c r="A2647" s="6" t="inlineStr">
        <is>
          <t>Soja</t>
        </is>
      </c>
      <c r="B2647" s="6" t="inlineStr">
        <is>
          <t>Porto Velho - RO</t>
        </is>
      </c>
      <c r="C2647" s="6" t="n">
        <v>-8.760770000000001</v>
      </c>
      <c r="D2647" s="6" t="n">
        <v>-63.8999</v>
      </c>
      <c r="E2647" s="6" t="inlineStr">
        <is>
          <t>2024-06</t>
        </is>
      </c>
      <c r="F2647" s="6" t="n">
        <v>72105.4973773855</v>
      </c>
      <c r="G2647" s="6" t="inlineStr">
        <is>
          <t>DOMESTICA</t>
        </is>
      </c>
      <c r="H2647" s="6" t="inlineStr">
        <is>
          <t>FIXO</t>
        </is>
      </c>
      <c r="I2647" s="11">
        <f>IF($H2647="AUTO_OFERTA_TOTAL_PRODUTO_PERIODO",SUMIFS(Oferta!$F:$F,Oferta!$A:$A,$A2647,Oferta!$E:$E,$E2647),$F2647)</f>
        <v/>
      </c>
      <c r="J2647" s="6" t="inlineStr">
        <is>
          <t>Informado</t>
        </is>
      </c>
      <c r="K2647" s="6" t="inlineStr">
        <is>
          <t>Demanda doméstica fixa informada pelo usuário.</t>
        </is>
      </c>
    </row>
    <row r="2648">
      <c r="A2648" s="6" t="inlineStr">
        <is>
          <t>Soja</t>
        </is>
      </c>
      <c r="B2648" s="6" t="inlineStr">
        <is>
          <t>Porto Velho - RO</t>
        </is>
      </c>
      <c r="C2648" s="6" t="n">
        <v>-8.760770000000001</v>
      </c>
      <c r="D2648" s="6" t="n">
        <v>-63.8999</v>
      </c>
      <c r="E2648" s="6" t="inlineStr">
        <is>
          <t>2024-07</t>
        </is>
      </c>
      <c r="F2648" s="6" t="n">
        <v>33861.6976634131</v>
      </c>
      <c r="G2648" s="6" t="inlineStr">
        <is>
          <t>DOMESTICA</t>
        </is>
      </c>
      <c r="H2648" s="6" t="inlineStr">
        <is>
          <t>FIXO</t>
        </is>
      </c>
      <c r="I2648" s="11">
        <f>IF($H2648="AUTO_OFERTA_TOTAL_PRODUTO_PERIODO",SUMIFS(Oferta!$F:$F,Oferta!$A:$A,$A2648,Oferta!$E:$E,$E2648),$F2648)</f>
        <v/>
      </c>
      <c r="J2648" s="6" t="inlineStr">
        <is>
          <t>Informado</t>
        </is>
      </c>
      <c r="K2648" s="6" t="inlineStr">
        <is>
          <t>Demanda doméstica fixa informada pelo usuário.</t>
        </is>
      </c>
    </row>
    <row r="2649">
      <c r="A2649" s="6" t="inlineStr">
        <is>
          <t>Soja</t>
        </is>
      </c>
      <c r="B2649" s="6" t="inlineStr">
        <is>
          <t>Porto Velho - RO</t>
        </is>
      </c>
      <c r="C2649" s="6" t="n">
        <v>-8.760770000000001</v>
      </c>
      <c r="D2649" s="6" t="n">
        <v>-63.8999</v>
      </c>
      <c r="E2649" s="6" t="inlineStr">
        <is>
          <t>2024-08</t>
        </is>
      </c>
      <c r="F2649" s="6" t="n">
        <v>21113.7644254223</v>
      </c>
      <c r="G2649" s="6" t="inlineStr">
        <is>
          <t>DOMESTICA</t>
        </is>
      </c>
      <c r="H2649" s="6" t="inlineStr">
        <is>
          <t>FIXO</t>
        </is>
      </c>
      <c r="I2649" s="11">
        <f>IF($H2649="AUTO_OFERTA_TOTAL_PRODUTO_PERIODO",SUMIFS(Oferta!$F:$F,Oferta!$A:$A,$A2649,Oferta!$E:$E,$E2649),$F2649)</f>
        <v/>
      </c>
      <c r="J2649" s="6" t="inlineStr">
        <is>
          <t>Informado</t>
        </is>
      </c>
      <c r="K2649" s="6" t="inlineStr">
        <is>
          <t>Demanda doméstica fixa informada pelo usuário.</t>
        </is>
      </c>
    </row>
    <row r="2650">
      <c r="A2650" s="6" t="inlineStr">
        <is>
          <t>Soja</t>
        </is>
      </c>
      <c r="B2650" s="6" t="inlineStr">
        <is>
          <t>Porto Velho - RO</t>
        </is>
      </c>
      <c r="C2650" s="6" t="n">
        <v>-8.760770000000001</v>
      </c>
      <c r="D2650" s="6" t="n">
        <v>-63.8999</v>
      </c>
      <c r="E2650" s="6" t="inlineStr">
        <is>
          <t>2024-09</t>
        </is>
      </c>
      <c r="F2650" s="6" t="n">
        <v>21113.7644254223</v>
      </c>
      <c r="G2650" s="6" t="inlineStr">
        <is>
          <t>DOMESTICA</t>
        </is>
      </c>
      <c r="H2650" s="6" t="inlineStr">
        <is>
          <t>FIXO</t>
        </is>
      </c>
      <c r="I2650" s="11">
        <f>IF($H2650="AUTO_OFERTA_TOTAL_PRODUTO_PERIODO",SUMIFS(Oferta!$F:$F,Oferta!$A:$A,$A2650,Oferta!$E:$E,$E2650),$F2650)</f>
        <v/>
      </c>
      <c r="J2650" s="6" t="inlineStr">
        <is>
          <t>Informado</t>
        </is>
      </c>
      <c r="K2650" s="6" t="inlineStr">
        <is>
          <t>Demanda doméstica fixa informada pelo usuário.</t>
        </is>
      </c>
    </row>
    <row r="2651">
      <c r="A2651" s="6" t="inlineStr">
        <is>
          <t>Soja</t>
        </is>
      </c>
      <c r="B2651" s="6" t="inlineStr">
        <is>
          <t>Porto Velho - RO</t>
        </is>
      </c>
      <c r="C2651" s="6" t="n">
        <v>-8.760770000000001</v>
      </c>
      <c r="D2651" s="6" t="n">
        <v>-63.8999</v>
      </c>
      <c r="E2651" s="6" t="inlineStr">
        <is>
          <t>2024-10</t>
        </is>
      </c>
      <c r="F2651" s="6" t="n">
        <v>21113.7644254223</v>
      </c>
      <c r="G2651" s="6" t="inlineStr">
        <is>
          <t>DOMESTICA</t>
        </is>
      </c>
      <c r="H2651" s="6" t="inlineStr">
        <is>
          <t>FIXO</t>
        </is>
      </c>
      <c r="I2651" s="11">
        <f>IF($H2651="AUTO_OFERTA_TOTAL_PRODUTO_PERIODO",SUMIFS(Oferta!$F:$F,Oferta!$A:$A,$A2651,Oferta!$E:$E,$E2651),$F2651)</f>
        <v/>
      </c>
      <c r="J2651" s="6" t="inlineStr">
        <is>
          <t>Informado</t>
        </is>
      </c>
      <c r="K2651" s="6" t="inlineStr">
        <is>
          <t>Demanda doméstica fixa informada pelo usuário.</t>
        </is>
      </c>
    </row>
    <row r="2652">
      <c r="A2652" s="6" t="inlineStr">
        <is>
          <t>Soja</t>
        </is>
      </c>
      <c r="B2652" s="6" t="inlineStr">
        <is>
          <t>Porto Velho - RO</t>
        </is>
      </c>
      <c r="C2652" s="6" t="n">
        <v>-8.760770000000001</v>
      </c>
      <c r="D2652" s="6" t="n">
        <v>-63.8999</v>
      </c>
      <c r="E2652" s="6" t="inlineStr">
        <is>
          <t>2024-11</t>
        </is>
      </c>
      <c r="F2652" s="6" t="n">
        <v>21113.7644254223</v>
      </c>
      <c r="G2652" s="6" t="inlineStr">
        <is>
          <t>DOMESTICA</t>
        </is>
      </c>
      <c r="H2652" s="6" t="inlineStr">
        <is>
          <t>FIXO</t>
        </is>
      </c>
      <c r="I2652" s="11">
        <f>IF($H2652="AUTO_OFERTA_TOTAL_PRODUTO_PERIODO",SUMIFS(Oferta!$F:$F,Oferta!$A:$A,$A2652,Oferta!$E:$E,$E2652),$F2652)</f>
        <v/>
      </c>
      <c r="J2652" s="6" t="inlineStr">
        <is>
          <t>Informado</t>
        </is>
      </c>
      <c r="K2652" s="6" t="inlineStr">
        <is>
          <t>Demanda doméstica fixa informada pelo usuário.</t>
        </is>
      </c>
    </row>
    <row r="2653">
      <c r="A2653" s="6" t="inlineStr">
        <is>
          <t>Soja</t>
        </is>
      </c>
      <c r="B2653" s="6" t="inlineStr">
        <is>
          <t>Porto Velho - RO</t>
        </is>
      </c>
      <c r="C2653" s="6" t="n">
        <v>-8.760770000000001</v>
      </c>
      <c r="D2653" s="6" t="n">
        <v>-63.8999</v>
      </c>
      <c r="E2653" s="6" t="inlineStr">
        <is>
          <t>2024-12</t>
        </is>
      </c>
      <c r="F2653" s="6" t="n">
        <v>21113.7644254223</v>
      </c>
      <c r="G2653" s="6" t="inlineStr">
        <is>
          <t>DOMESTICA</t>
        </is>
      </c>
      <c r="H2653" s="6" t="inlineStr">
        <is>
          <t>FIXO</t>
        </is>
      </c>
      <c r="I2653" s="11">
        <f>IF($H2653="AUTO_OFERTA_TOTAL_PRODUTO_PERIODO",SUMIFS(Oferta!$F:$F,Oferta!$A:$A,$A2653,Oferta!$E:$E,$E2653),$F2653)</f>
        <v/>
      </c>
      <c r="J2653" s="6" t="inlineStr">
        <is>
          <t>Informado</t>
        </is>
      </c>
      <c r="K2653" s="6" t="inlineStr">
        <is>
          <t>Demanda doméstica fixa informada pelo usuário.</t>
        </is>
      </c>
    </row>
    <row r="2654">
      <c r="A2654" s="6" t="inlineStr">
        <is>
          <t>Soja</t>
        </is>
      </c>
      <c r="B2654" s="6" t="inlineStr">
        <is>
          <t>Boa Vista - RR</t>
        </is>
      </c>
      <c r="C2654" s="6" t="n">
        <v>2.82384</v>
      </c>
      <c r="D2654" s="6" t="n">
        <v>-60.6753</v>
      </c>
      <c r="E2654" s="6" t="inlineStr">
        <is>
          <t>2024-01</t>
        </is>
      </c>
      <c r="F2654" s="6" t="n">
        <v>3533.7290756136</v>
      </c>
      <c r="G2654" s="6" t="inlineStr">
        <is>
          <t>DOMESTICA</t>
        </is>
      </c>
      <c r="H2654" s="6" t="inlineStr">
        <is>
          <t>FIXO</t>
        </is>
      </c>
      <c r="I2654" s="11">
        <f>IF($H2654="AUTO_OFERTA_TOTAL_PRODUTO_PERIODO",SUMIFS(Oferta!$F:$F,Oferta!$A:$A,$A2654,Oferta!$E:$E,$E2654),$F2654)</f>
        <v/>
      </c>
      <c r="J2654" s="6" t="inlineStr">
        <is>
          <t>Informado</t>
        </is>
      </c>
      <c r="K2654" s="6" t="inlineStr">
        <is>
          <t>Demanda doméstica fixa informada pelo usuário.</t>
        </is>
      </c>
    </row>
    <row r="2655">
      <c r="A2655" s="6" t="inlineStr">
        <is>
          <t>Soja</t>
        </is>
      </c>
      <c r="B2655" s="6" t="inlineStr">
        <is>
          <t>Boa Vista - RR</t>
        </is>
      </c>
      <c r="C2655" s="6" t="n">
        <v>2.82384</v>
      </c>
      <c r="D2655" s="6" t="n">
        <v>-60.6753</v>
      </c>
      <c r="E2655" s="6" t="inlineStr">
        <is>
          <t>2024-02</t>
        </is>
      </c>
      <c r="F2655" s="6" t="n">
        <v>2414.1317447262</v>
      </c>
      <c r="G2655" s="6" t="inlineStr">
        <is>
          <t>DOMESTICA</t>
        </is>
      </c>
      <c r="H2655" s="6" t="inlineStr">
        <is>
          <t>FIXO</t>
        </is>
      </c>
      <c r="I2655" s="11">
        <f>IF($H2655="AUTO_OFERTA_TOTAL_PRODUTO_PERIODO",SUMIFS(Oferta!$F:$F,Oferta!$A:$A,$A2655,Oferta!$E:$E,$E2655),$F2655)</f>
        <v/>
      </c>
      <c r="J2655" s="6" t="inlineStr">
        <is>
          <t>Informado</t>
        </is>
      </c>
      <c r="K2655" s="6" t="inlineStr">
        <is>
          <t>Demanda doméstica fixa informada pelo usuário.</t>
        </is>
      </c>
    </row>
    <row r="2656">
      <c r="A2656" s="6" t="inlineStr">
        <is>
          <t>Soja</t>
        </is>
      </c>
      <c r="B2656" s="6" t="inlineStr">
        <is>
          <t>Boa Vista - RR</t>
        </is>
      </c>
      <c r="C2656" s="6" t="n">
        <v>2.82384</v>
      </c>
      <c r="D2656" s="6" t="n">
        <v>-60.6753</v>
      </c>
      <c r="E2656" s="6" t="inlineStr">
        <is>
          <t>2024-03</t>
        </is>
      </c>
      <c r="F2656" s="6" t="n">
        <v>1854.3330792824</v>
      </c>
      <c r="G2656" s="6" t="inlineStr">
        <is>
          <t>DOMESTICA</t>
        </is>
      </c>
      <c r="H2656" s="6" t="inlineStr">
        <is>
          <t>FIXO</t>
        </is>
      </c>
      <c r="I2656" s="11">
        <f>IF($H2656="AUTO_OFERTA_TOTAL_PRODUTO_PERIODO",SUMIFS(Oferta!$F:$F,Oferta!$A:$A,$A2656,Oferta!$E:$E,$E2656),$F2656)</f>
        <v/>
      </c>
      <c r="J2656" s="6" t="inlineStr">
        <is>
          <t>Informado</t>
        </is>
      </c>
      <c r="K2656" s="6" t="inlineStr">
        <is>
          <t>Demanda doméstica fixa informada pelo usuário.</t>
        </is>
      </c>
    </row>
    <row r="2657">
      <c r="A2657" s="6" t="inlineStr">
        <is>
          <t>Soja</t>
        </is>
      </c>
      <c r="B2657" s="6" t="inlineStr">
        <is>
          <t>Boa Vista - RR</t>
        </is>
      </c>
      <c r="C2657" s="6" t="n">
        <v>2.82384</v>
      </c>
      <c r="D2657" s="6" t="n">
        <v>-60.6753</v>
      </c>
      <c r="E2657" s="6" t="inlineStr">
        <is>
          <t>2024-04</t>
        </is>
      </c>
      <c r="F2657" s="6" t="n">
        <v>1854.3330792824</v>
      </c>
      <c r="G2657" s="6" t="inlineStr">
        <is>
          <t>DOMESTICA</t>
        </is>
      </c>
      <c r="H2657" s="6" t="inlineStr">
        <is>
          <t>FIXO</t>
        </is>
      </c>
      <c r="I2657" s="11">
        <f>IF($H2657="AUTO_OFERTA_TOTAL_PRODUTO_PERIODO",SUMIFS(Oferta!$F:$F,Oferta!$A:$A,$A2657,Oferta!$E:$E,$E2657),$F2657)</f>
        <v/>
      </c>
      <c r="J2657" s="6" t="inlineStr">
        <is>
          <t>Informado</t>
        </is>
      </c>
      <c r="K2657" s="6" t="inlineStr">
        <is>
          <t>Demanda doméstica fixa informada pelo usuário.</t>
        </is>
      </c>
    </row>
    <row r="2658">
      <c r="A2658" s="6" t="inlineStr">
        <is>
          <t>Soja</t>
        </is>
      </c>
      <c r="B2658" s="6" t="inlineStr">
        <is>
          <t>Boa Vista - RR</t>
        </is>
      </c>
      <c r="C2658" s="6" t="n">
        <v>2.82384</v>
      </c>
      <c r="D2658" s="6" t="n">
        <v>-60.6753</v>
      </c>
      <c r="E2658" s="6" t="inlineStr">
        <is>
          <t>2024-05</t>
        </is>
      </c>
      <c r="F2658" s="6" t="n">
        <v>1854.3330792824</v>
      </c>
      <c r="G2658" s="6" t="inlineStr">
        <is>
          <t>DOMESTICA</t>
        </is>
      </c>
      <c r="H2658" s="6" t="inlineStr">
        <is>
          <t>FIXO</t>
        </is>
      </c>
      <c r="I2658" s="11">
        <f>IF($H2658="AUTO_OFERTA_TOTAL_PRODUTO_PERIODO",SUMIFS(Oferta!$F:$F,Oferta!$A:$A,$A2658,Oferta!$E:$E,$E2658),$F2658)</f>
        <v/>
      </c>
      <c r="J2658" s="6" t="inlineStr">
        <is>
          <t>Informado</t>
        </is>
      </c>
      <c r="K2658" s="6" t="inlineStr">
        <is>
          <t>Demanda doméstica fixa informada pelo usuário.</t>
        </is>
      </c>
    </row>
    <row r="2659">
      <c r="A2659" s="6" t="inlineStr">
        <is>
          <t>Soja</t>
        </is>
      </c>
      <c r="B2659" s="6" t="inlineStr">
        <is>
          <t>Boa Vista - RR</t>
        </is>
      </c>
      <c r="C2659" s="6" t="n">
        <v>2.82384</v>
      </c>
      <c r="D2659" s="6" t="n">
        <v>-60.6753</v>
      </c>
      <c r="E2659" s="6" t="inlineStr">
        <is>
          <t>2024-06</t>
        </is>
      </c>
      <c r="F2659" s="6" t="n">
        <v>1854.3330792824</v>
      </c>
      <c r="G2659" s="6" t="inlineStr">
        <is>
          <t>DOMESTICA</t>
        </is>
      </c>
      <c r="H2659" s="6" t="inlineStr">
        <is>
          <t>FIXO</t>
        </is>
      </c>
      <c r="I2659" s="11">
        <f>IF($H2659="AUTO_OFERTA_TOTAL_PRODUTO_PERIODO",SUMIFS(Oferta!$F:$F,Oferta!$A:$A,$A2659,Oferta!$E:$E,$E2659),$F2659)</f>
        <v/>
      </c>
      <c r="J2659" s="6" t="inlineStr">
        <is>
          <t>Informado</t>
        </is>
      </c>
      <c r="K2659" s="6" t="inlineStr">
        <is>
          <t>Demanda doméstica fixa informada pelo usuário.</t>
        </is>
      </c>
    </row>
    <row r="2660">
      <c r="A2660" s="6" t="inlineStr">
        <is>
          <t>Soja</t>
        </is>
      </c>
      <c r="B2660" s="6" t="inlineStr">
        <is>
          <t>Boa Vista - RR</t>
        </is>
      </c>
      <c r="C2660" s="6" t="n">
        <v>2.82384</v>
      </c>
      <c r="D2660" s="6" t="n">
        <v>-60.6753</v>
      </c>
      <c r="E2660" s="6" t="inlineStr">
        <is>
          <t>2024-07</t>
        </is>
      </c>
      <c r="F2660" s="6" t="n">
        <v>1854.3330792824</v>
      </c>
      <c r="G2660" s="6" t="inlineStr">
        <is>
          <t>DOMESTICA</t>
        </is>
      </c>
      <c r="H2660" s="6" t="inlineStr">
        <is>
          <t>FIXO</t>
        </is>
      </c>
      <c r="I2660" s="11">
        <f>IF($H2660="AUTO_OFERTA_TOTAL_PRODUTO_PERIODO",SUMIFS(Oferta!$F:$F,Oferta!$A:$A,$A2660,Oferta!$E:$E,$E2660),$F2660)</f>
        <v/>
      </c>
      <c r="J2660" s="6" t="inlineStr">
        <is>
          <t>Informado</t>
        </is>
      </c>
      <c r="K2660" s="6" t="inlineStr">
        <is>
          <t>Demanda doméstica fixa informada pelo usuário.</t>
        </is>
      </c>
    </row>
    <row r="2661">
      <c r="A2661" s="6" t="inlineStr">
        <is>
          <t>Soja</t>
        </is>
      </c>
      <c r="B2661" s="6" t="inlineStr">
        <is>
          <t>Boa Vista - RR</t>
        </is>
      </c>
      <c r="C2661" s="6" t="n">
        <v>2.82384</v>
      </c>
      <c r="D2661" s="6" t="n">
        <v>-60.6753</v>
      </c>
      <c r="E2661" s="6" t="inlineStr">
        <is>
          <t>2024-08</t>
        </is>
      </c>
      <c r="F2661" s="6" t="n">
        <v>2414.1317447262</v>
      </c>
      <c r="G2661" s="6" t="inlineStr">
        <is>
          <t>DOMESTICA</t>
        </is>
      </c>
      <c r="H2661" s="6" t="inlineStr">
        <is>
          <t>FIXO</t>
        </is>
      </c>
      <c r="I2661" s="11">
        <f>IF($H2661="AUTO_OFERTA_TOTAL_PRODUTO_PERIODO",SUMIFS(Oferta!$F:$F,Oferta!$A:$A,$A2661,Oferta!$E:$E,$E2661),$F2661)</f>
        <v/>
      </c>
      <c r="J2661" s="6" t="inlineStr">
        <is>
          <t>Informado</t>
        </is>
      </c>
      <c r="K2661" s="6" t="inlineStr">
        <is>
          <t>Demanda doméstica fixa informada pelo usuário.</t>
        </is>
      </c>
    </row>
    <row r="2662">
      <c r="A2662" s="6" t="inlineStr">
        <is>
          <t>Soja</t>
        </is>
      </c>
      <c r="B2662" s="6" t="inlineStr">
        <is>
          <t>Boa Vista - RR</t>
        </is>
      </c>
      <c r="C2662" s="6" t="n">
        <v>2.82384</v>
      </c>
      <c r="D2662" s="6" t="n">
        <v>-60.6753</v>
      </c>
      <c r="E2662" s="6" t="inlineStr">
        <is>
          <t>2024-09</t>
        </is>
      </c>
      <c r="F2662" s="6" t="n">
        <v>3533.7290756136</v>
      </c>
      <c r="G2662" s="6" t="inlineStr">
        <is>
          <t>DOMESTICA</t>
        </is>
      </c>
      <c r="H2662" s="6" t="inlineStr">
        <is>
          <t>FIXO</t>
        </is>
      </c>
      <c r="I2662" s="11">
        <f>IF($H2662="AUTO_OFERTA_TOTAL_PRODUTO_PERIODO",SUMIFS(Oferta!$F:$F,Oferta!$A:$A,$A2662,Oferta!$E:$E,$E2662),$F2662)</f>
        <v/>
      </c>
      <c r="J2662" s="6" t="inlineStr">
        <is>
          <t>Informado</t>
        </is>
      </c>
      <c r="K2662" s="6" t="inlineStr">
        <is>
          <t>Demanda doméstica fixa informada pelo usuário.</t>
        </is>
      </c>
    </row>
    <row r="2663">
      <c r="A2663" s="6" t="inlineStr">
        <is>
          <t>Soja</t>
        </is>
      </c>
      <c r="B2663" s="6" t="inlineStr">
        <is>
          <t>Boa Vista - RR</t>
        </is>
      </c>
      <c r="C2663" s="6" t="n">
        <v>2.82384</v>
      </c>
      <c r="D2663" s="6" t="n">
        <v>-60.6753</v>
      </c>
      <c r="E2663" s="6" t="inlineStr">
        <is>
          <t>2024-10</t>
        </is>
      </c>
      <c r="F2663" s="6" t="n">
        <v>6892.5210682761</v>
      </c>
      <c r="G2663" s="6" t="inlineStr">
        <is>
          <t>DOMESTICA</t>
        </is>
      </c>
      <c r="H2663" s="6" t="inlineStr">
        <is>
          <t>FIXO</t>
        </is>
      </c>
      <c r="I2663" s="11">
        <f>IF($H2663="AUTO_OFERTA_TOTAL_PRODUTO_PERIODO",SUMIFS(Oferta!$F:$F,Oferta!$A:$A,$A2663,Oferta!$E:$E,$E2663),$F2663)</f>
        <v/>
      </c>
      <c r="J2663" s="6" t="inlineStr">
        <is>
          <t>Informado</t>
        </is>
      </c>
      <c r="K2663" s="6" t="inlineStr">
        <is>
          <t>Demanda doméstica fixa informada pelo usuário.</t>
        </is>
      </c>
    </row>
    <row r="2664">
      <c r="A2664" s="6" t="inlineStr">
        <is>
          <t>Soja</t>
        </is>
      </c>
      <c r="B2664" s="6" t="inlineStr">
        <is>
          <t>Boa Vista - RR</t>
        </is>
      </c>
      <c r="C2664" s="6" t="n">
        <v>2.82384</v>
      </c>
      <c r="D2664" s="6" t="n">
        <v>-60.6753</v>
      </c>
      <c r="E2664" s="6" t="inlineStr">
        <is>
          <t>2024-11</t>
        </is>
      </c>
      <c r="F2664" s="6" t="n">
        <v>7452.3197337199</v>
      </c>
      <c r="G2664" s="6" t="inlineStr">
        <is>
          <t>DOMESTICA</t>
        </is>
      </c>
      <c r="H2664" s="6" t="inlineStr">
        <is>
          <t>FIXO</t>
        </is>
      </c>
      <c r="I2664" s="11">
        <f>IF($H2664="AUTO_OFERTA_TOTAL_PRODUTO_PERIODO",SUMIFS(Oferta!$F:$F,Oferta!$A:$A,$A2664,Oferta!$E:$E,$E2664),$F2664)</f>
        <v/>
      </c>
      <c r="J2664" s="6" t="inlineStr">
        <is>
          <t>Informado</t>
        </is>
      </c>
      <c r="K2664" s="6" t="inlineStr">
        <is>
          <t>Demanda doméstica fixa informada pelo usuário.</t>
        </is>
      </c>
    </row>
    <row r="2665">
      <c r="A2665" s="6" t="inlineStr">
        <is>
          <t>Soja</t>
        </is>
      </c>
      <c r="B2665" s="6" t="inlineStr">
        <is>
          <t>Boa Vista - RR</t>
        </is>
      </c>
      <c r="C2665" s="6" t="n">
        <v>2.82384</v>
      </c>
      <c r="D2665" s="6" t="n">
        <v>-60.6753</v>
      </c>
      <c r="E2665" s="6" t="inlineStr">
        <is>
          <t>2024-12</t>
        </is>
      </c>
      <c r="F2665" s="6" t="n">
        <v>6892.5210682761</v>
      </c>
      <c r="G2665" s="6" t="inlineStr">
        <is>
          <t>DOMESTICA</t>
        </is>
      </c>
      <c r="H2665" s="6" t="inlineStr">
        <is>
          <t>FIXO</t>
        </is>
      </c>
      <c r="I2665" s="11">
        <f>IF($H2665="AUTO_OFERTA_TOTAL_PRODUTO_PERIODO",SUMIFS(Oferta!$F:$F,Oferta!$A:$A,$A2665,Oferta!$E:$E,$E2665),$F2665)</f>
        <v/>
      </c>
      <c r="J2665" s="6" t="inlineStr">
        <is>
          <t>Informado</t>
        </is>
      </c>
      <c r="K2665" s="6" t="inlineStr">
        <is>
          <t>Demanda doméstica fixa informada pelo usuário.</t>
        </is>
      </c>
    </row>
    <row r="2666">
      <c r="A2666" s="6" t="inlineStr">
        <is>
          <t>Soja</t>
        </is>
      </c>
      <c r="B2666" s="6" t="inlineStr">
        <is>
          <t>Palmas - TO</t>
        </is>
      </c>
      <c r="C2666" s="6" t="n">
        <v>-10.24</v>
      </c>
      <c r="D2666" s="6" t="n">
        <v>-48.3558</v>
      </c>
      <c r="E2666" s="6" t="inlineStr">
        <is>
          <t>2024-01</t>
        </is>
      </c>
      <c r="F2666" s="6" t="n">
        <v>16382.9419387004</v>
      </c>
      <c r="G2666" s="6" t="inlineStr">
        <is>
          <t>DOMESTICA</t>
        </is>
      </c>
      <c r="H2666" s="6" t="inlineStr">
        <is>
          <t>FIXO</t>
        </is>
      </c>
      <c r="I2666" s="11">
        <f>IF($H2666="AUTO_OFERTA_TOTAL_PRODUTO_PERIODO",SUMIFS(Oferta!$F:$F,Oferta!$A:$A,$A2666,Oferta!$E:$E,$E2666),$F2666)</f>
        <v/>
      </c>
      <c r="J2666" s="6" t="inlineStr">
        <is>
          <t>Informado</t>
        </is>
      </c>
      <c r="K2666" s="6" t="inlineStr">
        <is>
          <t>Demanda doméstica fixa informada pelo usuário.</t>
        </is>
      </c>
    </row>
    <row r="2667">
      <c r="A2667" s="6" t="inlineStr">
        <is>
          <t>Soja</t>
        </is>
      </c>
      <c r="B2667" s="6" t="inlineStr">
        <is>
          <t>Palmas - TO</t>
        </is>
      </c>
      <c r="C2667" s="6" t="n">
        <v>-10.24</v>
      </c>
      <c r="D2667" s="6" t="n">
        <v>-48.3558</v>
      </c>
      <c r="E2667" s="6" t="inlineStr">
        <is>
          <t>2024-02</t>
        </is>
      </c>
      <c r="F2667" s="6" t="n">
        <v>16382.9419387004</v>
      </c>
      <c r="G2667" s="6" t="inlineStr">
        <is>
          <t>DOMESTICA</t>
        </is>
      </c>
      <c r="H2667" s="6" t="inlineStr">
        <is>
          <t>FIXO</t>
        </is>
      </c>
      <c r="I2667" s="11">
        <f>IF($H2667="AUTO_OFERTA_TOTAL_PRODUTO_PERIODO",SUMIFS(Oferta!$F:$F,Oferta!$A:$A,$A2667,Oferta!$E:$E,$E2667),$F2667)</f>
        <v/>
      </c>
      <c r="J2667" s="6" t="inlineStr">
        <is>
          <t>Informado</t>
        </is>
      </c>
      <c r="K2667" s="6" t="inlineStr">
        <is>
          <t>Demanda doméstica fixa informada pelo usuário.</t>
        </is>
      </c>
    </row>
    <row r="2668">
      <c r="A2668" s="6" t="inlineStr">
        <is>
          <t>Soja</t>
        </is>
      </c>
      <c r="B2668" s="6" t="inlineStr">
        <is>
          <t>Palmas - TO</t>
        </is>
      </c>
      <c r="C2668" s="6" t="n">
        <v>-10.24</v>
      </c>
      <c r="D2668" s="6" t="n">
        <v>-48.3558</v>
      </c>
      <c r="E2668" s="6" t="inlineStr">
        <is>
          <t>2024-03</t>
        </is>
      </c>
      <c r="F2668" s="6" t="n">
        <v>26274.5295243308</v>
      </c>
      <c r="G2668" s="6" t="inlineStr">
        <is>
          <t>DOMESTICA</t>
        </is>
      </c>
      <c r="H2668" s="6" t="inlineStr">
        <is>
          <t>FIXO</t>
        </is>
      </c>
      <c r="I2668" s="11">
        <f>IF($H2668="AUTO_OFERTA_TOTAL_PRODUTO_PERIODO",SUMIFS(Oferta!$F:$F,Oferta!$A:$A,$A2668,Oferta!$E:$E,$E2668),$F2668)</f>
        <v/>
      </c>
      <c r="J2668" s="6" t="inlineStr">
        <is>
          <t>Informado</t>
        </is>
      </c>
      <c r="K2668" s="6" t="inlineStr">
        <is>
          <t>Demanda doméstica fixa informada pelo usuário.</t>
        </is>
      </c>
    </row>
    <row r="2669">
      <c r="A2669" s="6" t="inlineStr">
        <is>
          <t>Soja</t>
        </is>
      </c>
      <c r="B2669" s="6" t="inlineStr">
        <is>
          <t>Palmas - TO</t>
        </is>
      </c>
      <c r="C2669" s="6" t="n">
        <v>-10.24</v>
      </c>
      <c r="D2669" s="6" t="n">
        <v>-48.3558</v>
      </c>
      <c r="E2669" s="6" t="inlineStr">
        <is>
          <t>2024-04</t>
        </is>
      </c>
      <c r="F2669" s="6" t="n">
        <v>46057.7046955916</v>
      </c>
      <c r="G2669" s="6" t="inlineStr">
        <is>
          <t>DOMESTICA</t>
        </is>
      </c>
      <c r="H2669" s="6" t="inlineStr">
        <is>
          <t>FIXO</t>
        </is>
      </c>
      <c r="I2669" s="11">
        <f>IF($H2669="AUTO_OFERTA_TOTAL_PRODUTO_PERIODO",SUMIFS(Oferta!$F:$F,Oferta!$A:$A,$A2669,Oferta!$E:$E,$E2669),$F2669)</f>
        <v/>
      </c>
      <c r="J2669" s="6" t="inlineStr">
        <is>
          <t>Informado</t>
        </is>
      </c>
      <c r="K2669" s="6" t="inlineStr">
        <is>
          <t>Demanda doméstica fixa informada pelo usuário.</t>
        </is>
      </c>
    </row>
    <row r="2670">
      <c r="A2670" s="6" t="inlineStr">
        <is>
          <t>Soja</t>
        </is>
      </c>
      <c r="B2670" s="6" t="inlineStr">
        <is>
          <t>Palmas - TO</t>
        </is>
      </c>
      <c r="C2670" s="6" t="n">
        <v>-10.24</v>
      </c>
      <c r="D2670" s="6" t="n">
        <v>-48.3558</v>
      </c>
      <c r="E2670" s="6" t="inlineStr">
        <is>
          <t>2024-05</t>
        </is>
      </c>
      <c r="F2670" s="6" t="n">
        <v>65840.8798668524</v>
      </c>
      <c r="G2670" s="6" t="inlineStr">
        <is>
          <t>DOMESTICA</t>
        </is>
      </c>
      <c r="H2670" s="6" t="inlineStr">
        <is>
          <t>FIXO</t>
        </is>
      </c>
      <c r="I2670" s="11">
        <f>IF($H2670="AUTO_OFERTA_TOTAL_PRODUTO_PERIODO",SUMIFS(Oferta!$F:$F,Oferta!$A:$A,$A2670,Oferta!$E:$E,$E2670),$F2670)</f>
        <v/>
      </c>
      <c r="J2670" s="6" t="inlineStr">
        <is>
          <t>Informado</t>
        </is>
      </c>
      <c r="K2670" s="6" t="inlineStr">
        <is>
          <t>Demanda doméstica fixa informada pelo usuário.</t>
        </is>
      </c>
    </row>
    <row r="2671">
      <c r="A2671" s="6" t="inlineStr">
        <is>
          <t>Soja</t>
        </is>
      </c>
      <c r="B2671" s="6" t="inlineStr">
        <is>
          <t>Palmas - TO</t>
        </is>
      </c>
      <c r="C2671" s="6" t="n">
        <v>-10.24</v>
      </c>
      <c r="D2671" s="6" t="n">
        <v>-48.3558</v>
      </c>
      <c r="E2671" s="6" t="inlineStr">
        <is>
          <t>2024-06</t>
        </is>
      </c>
      <c r="F2671" s="6" t="n">
        <v>65840.8798668524</v>
      </c>
      <c r="G2671" s="6" t="inlineStr">
        <is>
          <t>DOMESTICA</t>
        </is>
      </c>
      <c r="H2671" s="6" t="inlineStr">
        <is>
          <t>FIXO</t>
        </is>
      </c>
      <c r="I2671" s="11">
        <f>IF($H2671="AUTO_OFERTA_TOTAL_PRODUTO_PERIODO",SUMIFS(Oferta!$F:$F,Oferta!$A:$A,$A2671,Oferta!$E:$E,$E2671),$F2671)</f>
        <v/>
      </c>
      <c r="J2671" s="6" t="inlineStr">
        <is>
          <t>Informado</t>
        </is>
      </c>
      <c r="K2671" s="6" t="inlineStr">
        <is>
          <t>Demanda doméstica fixa informada pelo usuário.</t>
        </is>
      </c>
    </row>
    <row r="2672">
      <c r="A2672" s="6" t="inlineStr">
        <is>
          <t>Soja</t>
        </is>
      </c>
      <c r="B2672" s="6" t="inlineStr">
        <is>
          <t>Palmas - TO</t>
        </is>
      </c>
      <c r="C2672" s="6" t="n">
        <v>-10.24</v>
      </c>
      <c r="D2672" s="6" t="n">
        <v>-48.3558</v>
      </c>
      <c r="E2672" s="6" t="inlineStr">
        <is>
          <t>2024-07</t>
        </is>
      </c>
      <c r="F2672" s="6" t="n">
        <v>46057.7046955916</v>
      </c>
      <c r="G2672" s="6" t="inlineStr">
        <is>
          <t>DOMESTICA</t>
        </is>
      </c>
      <c r="H2672" s="6" t="inlineStr">
        <is>
          <t>FIXO</t>
        </is>
      </c>
      <c r="I2672" s="11">
        <f>IF($H2672="AUTO_OFERTA_TOTAL_PRODUTO_PERIODO",SUMIFS(Oferta!$F:$F,Oferta!$A:$A,$A2672,Oferta!$E:$E,$E2672),$F2672)</f>
        <v/>
      </c>
      <c r="J2672" s="6" t="inlineStr">
        <is>
          <t>Informado</t>
        </is>
      </c>
      <c r="K2672" s="6" t="inlineStr">
        <is>
          <t>Demanda doméstica fixa informada pelo usuário.</t>
        </is>
      </c>
    </row>
    <row r="2673">
      <c r="A2673" s="6" t="inlineStr">
        <is>
          <t>Soja</t>
        </is>
      </c>
      <c r="B2673" s="6" t="inlineStr">
        <is>
          <t>Palmas - TO</t>
        </is>
      </c>
      <c r="C2673" s="6" t="n">
        <v>-10.24</v>
      </c>
      <c r="D2673" s="6" t="n">
        <v>-48.3558</v>
      </c>
      <c r="E2673" s="6" t="inlineStr">
        <is>
          <t>2024-08</t>
        </is>
      </c>
      <c r="F2673" s="6" t="n">
        <v>26274.5295243308</v>
      </c>
      <c r="G2673" s="6" t="inlineStr">
        <is>
          <t>DOMESTICA</t>
        </is>
      </c>
      <c r="H2673" s="6" t="inlineStr">
        <is>
          <t>FIXO</t>
        </is>
      </c>
      <c r="I2673" s="11">
        <f>IF($H2673="AUTO_OFERTA_TOTAL_PRODUTO_PERIODO",SUMIFS(Oferta!$F:$F,Oferta!$A:$A,$A2673,Oferta!$E:$E,$E2673),$F2673)</f>
        <v/>
      </c>
      <c r="J2673" s="6" t="inlineStr">
        <is>
          <t>Informado</t>
        </is>
      </c>
      <c r="K2673" s="6" t="inlineStr">
        <is>
          <t>Demanda doméstica fixa informada pelo usuário.</t>
        </is>
      </c>
    </row>
    <row r="2674">
      <c r="A2674" s="6" t="inlineStr">
        <is>
          <t>Soja</t>
        </is>
      </c>
      <c r="B2674" s="6" t="inlineStr">
        <is>
          <t>Palmas - TO</t>
        </is>
      </c>
      <c r="C2674" s="6" t="n">
        <v>-10.24</v>
      </c>
      <c r="D2674" s="6" t="n">
        <v>-48.3558</v>
      </c>
      <c r="E2674" s="6" t="inlineStr">
        <is>
          <t>2024-09</t>
        </is>
      </c>
      <c r="F2674" s="6" t="n">
        <v>16382.9419387004</v>
      </c>
      <c r="G2674" s="6" t="inlineStr">
        <is>
          <t>DOMESTICA</t>
        </is>
      </c>
      <c r="H2674" s="6" t="inlineStr">
        <is>
          <t>FIXO</t>
        </is>
      </c>
      <c r="I2674" s="11">
        <f>IF($H2674="AUTO_OFERTA_TOTAL_PRODUTO_PERIODO",SUMIFS(Oferta!$F:$F,Oferta!$A:$A,$A2674,Oferta!$E:$E,$E2674),$F2674)</f>
        <v/>
      </c>
      <c r="J2674" s="6" t="inlineStr">
        <is>
          <t>Informado</t>
        </is>
      </c>
      <c r="K2674" s="6" t="inlineStr">
        <is>
          <t>Demanda doméstica fixa informada pelo usuário.</t>
        </is>
      </c>
    </row>
    <row r="2675">
      <c r="A2675" s="6" t="inlineStr">
        <is>
          <t>Soja</t>
        </is>
      </c>
      <c r="B2675" s="6" t="inlineStr">
        <is>
          <t>Palmas - TO</t>
        </is>
      </c>
      <c r="C2675" s="6" t="n">
        <v>-10.24</v>
      </c>
      <c r="D2675" s="6" t="n">
        <v>-48.3558</v>
      </c>
      <c r="E2675" s="6" t="inlineStr">
        <is>
          <t>2024-10</t>
        </is>
      </c>
      <c r="F2675" s="6" t="n">
        <v>16382.9419387004</v>
      </c>
      <c r="G2675" s="6" t="inlineStr">
        <is>
          <t>DOMESTICA</t>
        </is>
      </c>
      <c r="H2675" s="6" t="inlineStr">
        <is>
          <t>FIXO</t>
        </is>
      </c>
      <c r="I2675" s="11">
        <f>IF($H2675="AUTO_OFERTA_TOTAL_PRODUTO_PERIODO",SUMIFS(Oferta!$F:$F,Oferta!$A:$A,$A2675,Oferta!$E:$E,$E2675),$F2675)</f>
        <v/>
      </c>
      <c r="J2675" s="6" t="inlineStr">
        <is>
          <t>Informado</t>
        </is>
      </c>
      <c r="K2675" s="6" t="inlineStr">
        <is>
          <t>Demanda doméstica fixa informada pelo usuário.</t>
        </is>
      </c>
    </row>
    <row r="2676">
      <c r="A2676" s="6" t="inlineStr">
        <is>
          <t>Soja</t>
        </is>
      </c>
      <c r="B2676" s="6" t="inlineStr">
        <is>
          <t>Palmas - TO</t>
        </is>
      </c>
      <c r="C2676" s="6" t="n">
        <v>-10.24</v>
      </c>
      <c r="D2676" s="6" t="n">
        <v>-48.3558</v>
      </c>
      <c r="E2676" s="6" t="inlineStr">
        <is>
          <t>2024-11</t>
        </is>
      </c>
      <c r="F2676" s="6" t="n">
        <v>16382.9419387004</v>
      </c>
      <c r="G2676" s="6" t="inlineStr">
        <is>
          <t>DOMESTICA</t>
        </is>
      </c>
      <c r="H2676" s="6" t="inlineStr">
        <is>
          <t>FIXO</t>
        </is>
      </c>
      <c r="I2676" s="11">
        <f>IF($H2676="AUTO_OFERTA_TOTAL_PRODUTO_PERIODO",SUMIFS(Oferta!$F:$F,Oferta!$A:$A,$A2676,Oferta!$E:$E,$E2676),$F2676)</f>
        <v/>
      </c>
      <c r="J2676" s="6" t="inlineStr">
        <is>
          <t>Informado</t>
        </is>
      </c>
      <c r="K2676" s="6" t="inlineStr">
        <is>
          <t>Demanda doméstica fixa informada pelo usuário.</t>
        </is>
      </c>
    </row>
    <row r="2677">
      <c r="A2677" s="6" t="inlineStr">
        <is>
          <t>Soja</t>
        </is>
      </c>
      <c r="B2677" s="6" t="inlineStr">
        <is>
          <t>Palmas - TO</t>
        </is>
      </c>
      <c r="C2677" s="6" t="n">
        <v>-10.24</v>
      </c>
      <c r="D2677" s="6" t="n">
        <v>-48.3558</v>
      </c>
      <c r="E2677" s="6" t="inlineStr">
        <is>
          <t>2024-12</t>
        </is>
      </c>
      <c r="F2677" s="6" t="n">
        <v>16382.9419387004</v>
      </c>
      <c r="G2677" s="6" t="inlineStr">
        <is>
          <t>DOMESTICA</t>
        </is>
      </c>
      <c r="H2677" s="6" t="inlineStr">
        <is>
          <t>FIXO</t>
        </is>
      </c>
      <c r="I2677" s="11">
        <f>IF($H2677="AUTO_OFERTA_TOTAL_PRODUTO_PERIODO",SUMIFS(Oferta!$F:$F,Oferta!$A:$A,$A2677,Oferta!$E:$E,$E2677),$F2677)</f>
        <v/>
      </c>
      <c r="J2677" s="6" t="inlineStr">
        <is>
          <t>Informado</t>
        </is>
      </c>
      <c r="K2677" s="6" t="inlineStr">
        <is>
          <t>Demanda doméstica fixa informada pelo usuário.</t>
        </is>
      </c>
    </row>
    <row r="2678">
      <c r="A2678" s="6" t="inlineStr">
        <is>
          <t>Soja</t>
        </is>
      </c>
      <c r="B2678" s="6" t="inlineStr">
        <is>
          <t>Maceió - AL</t>
        </is>
      </c>
      <c r="C2678" s="6" t="n">
        <v>-9.665990000000001</v>
      </c>
      <c r="D2678" s="6" t="n">
        <v>-35.735</v>
      </c>
      <c r="E2678" s="6" t="inlineStr">
        <is>
          <t>2024-01</t>
        </is>
      </c>
      <c r="F2678" s="6" t="n">
        <v>35842.0757882801</v>
      </c>
      <c r="G2678" s="6" t="inlineStr">
        <is>
          <t>DOMESTICA</t>
        </is>
      </c>
      <c r="H2678" s="6" t="inlineStr">
        <is>
          <t>FIXO</t>
        </is>
      </c>
      <c r="I2678" s="11">
        <f>IF($H2678="AUTO_OFERTA_TOTAL_PRODUTO_PERIODO",SUMIFS(Oferta!$F:$F,Oferta!$A:$A,$A2678,Oferta!$E:$E,$E2678),$F2678)</f>
        <v/>
      </c>
      <c r="J2678" s="6" t="inlineStr">
        <is>
          <t>Informado</t>
        </is>
      </c>
      <c r="K2678" s="6" t="inlineStr">
        <is>
          <t>Demanda doméstica fixa informada pelo usuário.</t>
        </is>
      </c>
    </row>
    <row r="2679">
      <c r="A2679" s="6" t="inlineStr">
        <is>
          <t>Soja</t>
        </is>
      </c>
      <c r="B2679" s="6" t="inlineStr">
        <is>
          <t>Maceió - AL</t>
        </is>
      </c>
      <c r="C2679" s="6" t="n">
        <v>-9.665990000000001</v>
      </c>
      <c r="D2679" s="6" t="n">
        <v>-35.735</v>
      </c>
      <c r="E2679" s="6" t="inlineStr">
        <is>
          <t>2024-02</t>
        </is>
      </c>
      <c r="F2679" s="6" t="n">
        <v>35842.0757882801</v>
      </c>
      <c r="G2679" s="6" t="inlineStr">
        <is>
          <t>DOMESTICA</t>
        </is>
      </c>
      <c r="H2679" s="6" t="inlineStr">
        <is>
          <t>FIXO</t>
        </is>
      </c>
      <c r="I2679" s="11">
        <f>IF($H2679="AUTO_OFERTA_TOTAL_PRODUTO_PERIODO",SUMIFS(Oferta!$F:$F,Oferta!$A:$A,$A2679,Oferta!$E:$E,$E2679),$F2679)</f>
        <v/>
      </c>
      <c r="J2679" s="6" t="inlineStr">
        <is>
          <t>Informado</t>
        </is>
      </c>
      <c r="K2679" s="6" t="inlineStr">
        <is>
          <t>Demanda doméstica fixa informada pelo usuário.</t>
        </is>
      </c>
    </row>
    <row r="2680">
      <c r="A2680" s="6" t="inlineStr">
        <is>
          <t>Soja</t>
        </is>
      </c>
      <c r="B2680" s="6" t="inlineStr">
        <is>
          <t>Maceió - AL</t>
        </is>
      </c>
      <c r="C2680" s="6" t="n">
        <v>-9.665990000000001</v>
      </c>
      <c r="D2680" s="6" t="n">
        <v>-35.735</v>
      </c>
      <c r="E2680" s="6" t="inlineStr">
        <is>
          <t>2024-03</t>
        </is>
      </c>
      <c r="F2680" s="6" t="n">
        <v>35842.0757882801</v>
      </c>
      <c r="G2680" s="6" t="inlineStr">
        <is>
          <t>DOMESTICA</t>
        </is>
      </c>
      <c r="H2680" s="6" t="inlineStr">
        <is>
          <t>FIXO</t>
        </is>
      </c>
      <c r="I2680" s="11">
        <f>IF($H2680="AUTO_OFERTA_TOTAL_PRODUTO_PERIODO",SUMIFS(Oferta!$F:$F,Oferta!$A:$A,$A2680,Oferta!$E:$E,$E2680),$F2680)</f>
        <v/>
      </c>
      <c r="J2680" s="6" t="inlineStr">
        <is>
          <t>Informado</t>
        </is>
      </c>
      <c r="K2680" s="6" t="inlineStr">
        <is>
          <t>Demanda doméstica fixa informada pelo usuário.</t>
        </is>
      </c>
    </row>
    <row r="2681">
      <c r="A2681" s="6" t="inlineStr">
        <is>
          <t>Soja</t>
        </is>
      </c>
      <c r="B2681" s="6" t="inlineStr">
        <is>
          <t>Maceió - AL</t>
        </is>
      </c>
      <c r="C2681" s="6" t="n">
        <v>-9.665990000000001</v>
      </c>
      <c r="D2681" s="6" t="n">
        <v>-35.735</v>
      </c>
      <c r="E2681" s="6" t="inlineStr">
        <is>
          <t>2024-04</t>
        </is>
      </c>
      <c r="F2681" s="6" t="n">
        <v>35842.0757882801</v>
      </c>
      <c r="G2681" s="6" t="inlineStr">
        <is>
          <t>DOMESTICA</t>
        </is>
      </c>
      <c r="H2681" s="6" t="inlineStr">
        <is>
          <t>FIXO</t>
        </is>
      </c>
      <c r="I2681" s="11">
        <f>IF($H2681="AUTO_OFERTA_TOTAL_PRODUTO_PERIODO",SUMIFS(Oferta!$F:$F,Oferta!$A:$A,$A2681,Oferta!$E:$E,$E2681),$F2681)</f>
        <v/>
      </c>
      <c r="J2681" s="6" t="inlineStr">
        <is>
          <t>Informado</t>
        </is>
      </c>
      <c r="K2681" s="6" t="inlineStr">
        <is>
          <t>Demanda doméstica fixa informada pelo usuário.</t>
        </is>
      </c>
    </row>
    <row r="2682">
      <c r="A2682" s="6" t="inlineStr">
        <is>
          <t>Soja</t>
        </is>
      </c>
      <c r="B2682" s="6" t="inlineStr">
        <is>
          <t>Maceió - AL</t>
        </is>
      </c>
      <c r="C2682" s="6" t="n">
        <v>-9.665990000000001</v>
      </c>
      <c r="D2682" s="6" t="n">
        <v>-35.735</v>
      </c>
      <c r="E2682" s="6" t="inlineStr">
        <is>
          <t>2024-05</t>
        </is>
      </c>
      <c r="F2682" s="6" t="n">
        <v>35842.0757882801</v>
      </c>
      <c r="G2682" s="6" t="inlineStr">
        <is>
          <t>DOMESTICA</t>
        </is>
      </c>
      <c r="H2682" s="6" t="inlineStr">
        <is>
          <t>FIXO</t>
        </is>
      </c>
      <c r="I2682" s="11">
        <f>IF($H2682="AUTO_OFERTA_TOTAL_PRODUTO_PERIODO",SUMIFS(Oferta!$F:$F,Oferta!$A:$A,$A2682,Oferta!$E:$E,$E2682),$F2682)</f>
        <v/>
      </c>
      <c r="J2682" s="6" t="inlineStr">
        <is>
          <t>Informado</t>
        </is>
      </c>
      <c r="K2682" s="6" t="inlineStr">
        <is>
          <t>Demanda doméstica fixa informada pelo usuário.</t>
        </is>
      </c>
    </row>
    <row r="2683">
      <c r="A2683" s="6" t="inlineStr">
        <is>
          <t>Soja</t>
        </is>
      </c>
      <c r="B2683" s="6" t="inlineStr">
        <is>
          <t>Maceió - AL</t>
        </is>
      </c>
      <c r="C2683" s="6" t="n">
        <v>-9.665990000000001</v>
      </c>
      <c r="D2683" s="6" t="n">
        <v>-35.735</v>
      </c>
      <c r="E2683" s="6" t="inlineStr">
        <is>
          <t>2024-06</t>
        </is>
      </c>
      <c r="F2683" s="6" t="n">
        <v>35842.0757882801</v>
      </c>
      <c r="G2683" s="6" t="inlineStr">
        <is>
          <t>DOMESTICA</t>
        </is>
      </c>
      <c r="H2683" s="6" t="inlineStr">
        <is>
          <t>FIXO</t>
        </is>
      </c>
      <c r="I2683" s="11">
        <f>IF($H2683="AUTO_OFERTA_TOTAL_PRODUTO_PERIODO",SUMIFS(Oferta!$F:$F,Oferta!$A:$A,$A2683,Oferta!$E:$E,$E2683),$F2683)</f>
        <v/>
      </c>
      <c r="J2683" s="6" t="inlineStr">
        <is>
          <t>Informado</t>
        </is>
      </c>
      <c r="K2683" s="6" t="inlineStr">
        <is>
          <t>Demanda doméstica fixa informada pelo usuário.</t>
        </is>
      </c>
    </row>
    <row r="2684">
      <c r="A2684" s="6" t="inlineStr">
        <is>
          <t>Soja</t>
        </is>
      </c>
      <c r="B2684" s="6" t="inlineStr">
        <is>
          <t>Maceió - AL</t>
        </is>
      </c>
      <c r="C2684" s="6" t="n">
        <v>-9.665990000000001</v>
      </c>
      <c r="D2684" s="6" t="n">
        <v>-35.735</v>
      </c>
      <c r="E2684" s="6" t="inlineStr">
        <is>
          <t>2024-07</t>
        </is>
      </c>
      <c r="F2684" s="6" t="n">
        <v>35842.0757882801</v>
      </c>
      <c r="G2684" s="6" t="inlineStr">
        <is>
          <t>DOMESTICA</t>
        </is>
      </c>
      <c r="H2684" s="6" t="inlineStr">
        <is>
          <t>FIXO</t>
        </is>
      </c>
      <c r="I2684" s="11">
        <f>IF($H2684="AUTO_OFERTA_TOTAL_PRODUTO_PERIODO",SUMIFS(Oferta!$F:$F,Oferta!$A:$A,$A2684,Oferta!$E:$E,$E2684),$F2684)</f>
        <v/>
      </c>
      <c r="J2684" s="6" t="inlineStr">
        <is>
          <t>Informado</t>
        </is>
      </c>
      <c r="K2684" s="6" t="inlineStr">
        <is>
          <t>Demanda doméstica fixa informada pelo usuário.</t>
        </is>
      </c>
    </row>
    <row r="2685">
      <c r="A2685" s="6" t="inlineStr">
        <is>
          <t>Soja</t>
        </is>
      </c>
      <c r="B2685" s="6" t="inlineStr">
        <is>
          <t>Maceió - AL</t>
        </is>
      </c>
      <c r="C2685" s="6" t="n">
        <v>-9.665990000000001</v>
      </c>
      <c r="D2685" s="6" t="n">
        <v>-35.735</v>
      </c>
      <c r="E2685" s="6" t="inlineStr">
        <is>
          <t>2024-08</t>
        </is>
      </c>
      <c r="F2685" s="6" t="n">
        <v>35842.0757882801</v>
      </c>
      <c r="G2685" s="6" t="inlineStr">
        <is>
          <t>DOMESTICA</t>
        </is>
      </c>
      <c r="H2685" s="6" t="inlineStr">
        <is>
          <t>FIXO</t>
        </is>
      </c>
      <c r="I2685" s="11">
        <f>IF($H2685="AUTO_OFERTA_TOTAL_PRODUTO_PERIODO",SUMIFS(Oferta!$F:$F,Oferta!$A:$A,$A2685,Oferta!$E:$E,$E2685),$F2685)</f>
        <v/>
      </c>
      <c r="J2685" s="6" t="inlineStr">
        <is>
          <t>Informado</t>
        </is>
      </c>
      <c r="K2685" s="6" t="inlineStr">
        <is>
          <t>Demanda doméstica fixa informada pelo usuário.</t>
        </is>
      </c>
    </row>
    <row r="2686">
      <c r="A2686" s="6" t="inlineStr">
        <is>
          <t>Soja</t>
        </is>
      </c>
      <c r="B2686" s="6" t="inlineStr">
        <is>
          <t>Maceió - AL</t>
        </is>
      </c>
      <c r="C2686" s="6" t="n">
        <v>-9.665990000000001</v>
      </c>
      <c r="D2686" s="6" t="n">
        <v>-35.735</v>
      </c>
      <c r="E2686" s="6" t="inlineStr">
        <is>
          <t>2024-09</t>
        </is>
      </c>
      <c r="F2686" s="6" t="n">
        <v>35842.0757882801</v>
      </c>
      <c r="G2686" s="6" t="inlineStr">
        <is>
          <t>DOMESTICA</t>
        </is>
      </c>
      <c r="H2686" s="6" t="inlineStr">
        <is>
          <t>FIXO</t>
        </is>
      </c>
      <c r="I2686" s="11">
        <f>IF($H2686="AUTO_OFERTA_TOTAL_PRODUTO_PERIODO",SUMIFS(Oferta!$F:$F,Oferta!$A:$A,$A2686,Oferta!$E:$E,$E2686),$F2686)</f>
        <v/>
      </c>
      <c r="J2686" s="6" t="inlineStr">
        <is>
          <t>Informado</t>
        </is>
      </c>
      <c r="K2686" s="6" t="inlineStr">
        <is>
          <t>Demanda doméstica fixa informada pelo usuário.</t>
        </is>
      </c>
    </row>
    <row r="2687">
      <c r="A2687" s="6" t="inlineStr">
        <is>
          <t>Soja</t>
        </is>
      </c>
      <c r="B2687" s="6" t="inlineStr">
        <is>
          <t>Maceió - AL</t>
        </is>
      </c>
      <c r="C2687" s="6" t="n">
        <v>-9.665990000000001</v>
      </c>
      <c r="D2687" s="6" t="n">
        <v>-35.735</v>
      </c>
      <c r="E2687" s="6" t="inlineStr">
        <is>
          <t>2024-10</t>
        </is>
      </c>
      <c r="F2687" s="6" t="n">
        <v>35842.0757882801</v>
      </c>
      <c r="G2687" s="6" t="inlineStr">
        <is>
          <t>DOMESTICA</t>
        </is>
      </c>
      <c r="H2687" s="6" t="inlineStr">
        <is>
          <t>FIXO</t>
        </is>
      </c>
      <c r="I2687" s="11">
        <f>IF($H2687="AUTO_OFERTA_TOTAL_PRODUTO_PERIODO",SUMIFS(Oferta!$F:$F,Oferta!$A:$A,$A2687,Oferta!$E:$E,$E2687),$F2687)</f>
        <v/>
      </c>
      <c r="J2687" s="6" t="inlineStr">
        <is>
          <t>Informado</t>
        </is>
      </c>
      <c r="K2687" s="6" t="inlineStr">
        <is>
          <t>Demanda doméstica fixa informada pelo usuário.</t>
        </is>
      </c>
    </row>
    <row r="2688">
      <c r="A2688" s="6" t="inlineStr">
        <is>
          <t>Soja</t>
        </is>
      </c>
      <c r="B2688" s="6" t="inlineStr">
        <is>
          <t>Maceió - AL</t>
        </is>
      </c>
      <c r="C2688" s="6" t="n">
        <v>-9.665990000000001</v>
      </c>
      <c r="D2688" s="6" t="n">
        <v>-35.735</v>
      </c>
      <c r="E2688" s="6" t="inlineStr">
        <is>
          <t>2024-11</t>
        </is>
      </c>
      <c r="F2688" s="6" t="n">
        <v>35842.0757882801</v>
      </c>
      <c r="G2688" s="6" t="inlineStr">
        <is>
          <t>DOMESTICA</t>
        </is>
      </c>
      <c r="H2688" s="6" t="inlineStr">
        <is>
          <t>FIXO</t>
        </is>
      </c>
      <c r="I2688" s="11">
        <f>IF($H2688="AUTO_OFERTA_TOTAL_PRODUTO_PERIODO",SUMIFS(Oferta!$F:$F,Oferta!$A:$A,$A2688,Oferta!$E:$E,$E2688),$F2688)</f>
        <v/>
      </c>
      <c r="J2688" s="6" t="inlineStr">
        <is>
          <t>Informado</t>
        </is>
      </c>
      <c r="K2688" s="6" t="inlineStr">
        <is>
          <t>Demanda doméstica fixa informada pelo usuário.</t>
        </is>
      </c>
    </row>
    <row r="2689">
      <c r="A2689" s="6" t="inlineStr">
        <is>
          <t>Soja</t>
        </is>
      </c>
      <c r="B2689" s="6" t="inlineStr">
        <is>
          <t>Maceió - AL</t>
        </is>
      </c>
      <c r="C2689" s="6" t="n">
        <v>-9.665990000000001</v>
      </c>
      <c r="D2689" s="6" t="n">
        <v>-35.735</v>
      </c>
      <c r="E2689" s="6" t="inlineStr">
        <is>
          <t>2024-12</t>
        </is>
      </c>
      <c r="F2689" s="6" t="n">
        <v>35842.0757882801</v>
      </c>
      <c r="G2689" s="6" t="inlineStr">
        <is>
          <t>DOMESTICA</t>
        </is>
      </c>
      <c r="H2689" s="6" t="inlineStr">
        <is>
          <t>FIXO</t>
        </is>
      </c>
      <c r="I2689" s="11">
        <f>IF($H2689="AUTO_OFERTA_TOTAL_PRODUTO_PERIODO",SUMIFS(Oferta!$F:$F,Oferta!$A:$A,$A2689,Oferta!$E:$E,$E2689),$F2689)</f>
        <v/>
      </c>
      <c r="J2689" s="6" t="inlineStr">
        <is>
          <t>Informado</t>
        </is>
      </c>
      <c r="K2689" s="6" t="inlineStr">
        <is>
          <t>Demanda doméstica fixa informada pelo usuário.</t>
        </is>
      </c>
    </row>
    <row r="2690">
      <c r="A2690" s="6" t="inlineStr">
        <is>
          <t>Soja</t>
        </is>
      </c>
      <c r="B2690" s="6" t="inlineStr">
        <is>
          <t>Salvador - BA</t>
        </is>
      </c>
      <c r="C2690" s="6" t="n">
        <v>-12.9718</v>
      </c>
      <c r="D2690" s="6" t="n">
        <v>-38.5011</v>
      </c>
      <c r="E2690" s="6" t="inlineStr">
        <is>
          <t>2024-01</t>
        </is>
      </c>
      <c r="F2690" s="6" t="n">
        <v>118932.790233163</v>
      </c>
      <c r="G2690" s="6" t="inlineStr">
        <is>
          <t>DOMESTICA</t>
        </is>
      </c>
      <c r="H2690" s="6" t="inlineStr">
        <is>
          <t>FIXO</t>
        </is>
      </c>
      <c r="I2690" s="11">
        <f>IF($H2690="AUTO_OFERTA_TOTAL_PRODUTO_PERIODO",SUMIFS(Oferta!$F:$F,Oferta!$A:$A,$A2690,Oferta!$E:$E,$E2690),$F2690)</f>
        <v/>
      </c>
      <c r="J2690" s="6" t="inlineStr">
        <is>
          <t>Informado</t>
        </is>
      </c>
      <c r="K2690" s="6" t="inlineStr">
        <is>
          <t>Demanda doméstica fixa informada pelo usuário.</t>
        </is>
      </c>
    </row>
    <row r="2691">
      <c r="A2691" s="6" t="inlineStr">
        <is>
          <t>Soja</t>
        </is>
      </c>
      <c r="B2691" s="6" t="inlineStr">
        <is>
          <t>Salvador - BA</t>
        </is>
      </c>
      <c r="C2691" s="6" t="n">
        <v>-12.9718</v>
      </c>
      <c r="D2691" s="6" t="n">
        <v>-38.5011</v>
      </c>
      <c r="E2691" s="6" t="inlineStr">
        <is>
          <t>2024-02</t>
        </is>
      </c>
      <c r="F2691" s="6" t="n">
        <v>118932.790233163</v>
      </c>
      <c r="G2691" s="6" t="inlineStr">
        <is>
          <t>DOMESTICA</t>
        </is>
      </c>
      <c r="H2691" s="6" t="inlineStr">
        <is>
          <t>FIXO</t>
        </is>
      </c>
      <c r="I2691" s="11">
        <f>IF($H2691="AUTO_OFERTA_TOTAL_PRODUTO_PERIODO",SUMIFS(Oferta!$F:$F,Oferta!$A:$A,$A2691,Oferta!$E:$E,$E2691),$F2691)</f>
        <v/>
      </c>
      <c r="J2691" s="6" t="inlineStr">
        <is>
          <t>Informado</t>
        </is>
      </c>
      <c r="K2691" s="6" t="inlineStr">
        <is>
          <t>Demanda doméstica fixa informada pelo usuário.</t>
        </is>
      </c>
    </row>
    <row r="2692">
      <c r="A2692" s="6" t="inlineStr">
        <is>
          <t>Soja</t>
        </is>
      </c>
      <c r="B2692" s="6" t="inlineStr">
        <is>
          <t>Salvador - BA</t>
        </is>
      </c>
      <c r="C2692" s="6" t="n">
        <v>-12.9718</v>
      </c>
      <c r="D2692" s="6" t="n">
        <v>-38.5011</v>
      </c>
      <c r="E2692" s="6" t="inlineStr">
        <is>
          <t>2024-03</t>
        </is>
      </c>
      <c r="F2692" s="6" t="n">
        <v>190741.2673550727</v>
      </c>
      <c r="G2692" s="6" t="inlineStr">
        <is>
          <t>DOMESTICA</t>
        </is>
      </c>
      <c r="H2692" s="6" t="inlineStr">
        <is>
          <t>FIXO</t>
        </is>
      </c>
      <c r="I2692" s="11">
        <f>IF($H2692="AUTO_OFERTA_TOTAL_PRODUTO_PERIODO",SUMIFS(Oferta!$F:$F,Oferta!$A:$A,$A2692,Oferta!$E:$E,$E2692),$F2692)</f>
        <v/>
      </c>
      <c r="J2692" s="6" t="inlineStr">
        <is>
          <t>Informado</t>
        </is>
      </c>
      <c r="K2692" s="6" t="inlineStr">
        <is>
          <t>Demanda doméstica fixa informada pelo usuário.</t>
        </is>
      </c>
    </row>
    <row r="2693">
      <c r="A2693" s="6" t="inlineStr">
        <is>
          <t>Soja</t>
        </is>
      </c>
      <c r="B2693" s="6" t="inlineStr">
        <is>
          <t>Salvador - BA</t>
        </is>
      </c>
      <c r="C2693" s="6" t="n">
        <v>-12.9718</v>
      </c>
      <c r="D2693" s="6" t="n">
        <v>-38.5011</v>
      </c>
      <c r="E2693" s="6" t="inlineStr">
        <is>
          <t>2024-04</t>
        </is>
      </c>
      <c r="F2693" s="6" t="n">
        <v>334358.2215988922</v>
      </c>
      <c r="G2693" s="6" t="inlineStr">
        <is>
          <t>DOMESTICA</t>
        </is>
      </c>
      <c r="H2693" s="6" t="inlineStr">
        <is>
          <t>FIXO</t>
        </is>
      </c>
      <c r="I2693" s="11">
        <f>IF($H2693="AUTO_OFERTA_TOTAL_PRODUTO_PERIODO",SUMIFS(Oferta!$F:$F,Oferta!$A:$A,$A2693,Oferta!$E:$E,$E2693),$F2693)</f>
        <v/>
      </c>
      <c r="J2693" s="6" t="inlineStr">
        <is>
          <t>Informado</t>
        </is>
      </c>
      <c r="K2693" s="6" t="inlineStr">
        <is>
          <t>Demanda doméstica fixa informada pelo usuário.</t>
        </is>
      </c>
    </row>
    <row r="2694">
      <c r="A2694" s="6" t="inlineStr">
        <is>
          <t>Soja</t>
        </is>
      </c>
      <c r="B2694" s="6" t="inlineStr">
        <is>
          <t>Salvador - BA</t>
        </is>
      </c>
      <c r="C2694" s="6" t="n">
        <v>-12.9718</v>
      </c>
      <c r="D2694" s="6" t="n">
        <v>-38.5011</v>
      </c>
      <c r="E2694" s="6" t="inlineStr">
        <is>
          <t>2024-05</t>
        </is>
      </c>
      <c r="F2694" s="6" t="n">
        <v>477975.1758427118</v>
      </c>
      <c r="G2694" s="6" t="inlineStr">
        <is>
          <t>DOMESTICA</t>
        </is>
      </c>
      <c r="H2694" s="6" t="inlineStr">
        <is>
          <t>FIXO</t>
        </is>
      </c>
      <c r="I2694" s="11">
        <f>IF($H2694="AUTO_OFERTA_TOTAL_PRODUTO_PERIODO",SUMIFS(Oferta!$F:$F,Oferta!$A:$A,$A2694,Oferta!$E:$E,$E2694),$F2694)</f>
        <v/>
      </c>
      <c r="J2694" s="6" t="inlineStr">
        <is>
          <t>Informado</t>
        </is>
      </c>
      <c r="K2694" s="6" t="inlineStr">
        <is>
          <t>Demanda doméstica fixa informada pelo usuário.</t>
        </is>
      </c>
    </row>
    <row r="2695">
      <c r="A2695" s="6" t="inlineStr">
        <is>
          <t>Soja</t>
        </is>
      </c>
      <c r="B2695" s="6" t="inlineStr">
        <is>
          <t>Salvador - BA</t>
        </is>
      </c>
      <c r="C2695" s="6" t="n">
        <v>-12.9718</v>
      </c>
      <c r="D2695" s="6" t="n">
        <v>-38.5011</v>
      </c>
      <c r="E2695" s="6" t="inlineStr">
        <is>
          <t>2024-06</t>
        </is>
      </c>
      <c r="F2695" s="6" t="n">
        <v>442070.937281757</v>
      </c>
      <c r="G2695" s="6" t="inlineStr">
        <is>
          <t>DOMESTICA</t>
        </is>
      </c>
      <c r="H2695" s="6" t="inlineStr">
        <is>
          <t>FIXO</t>
        </is>
      </c>
      <c r="I2695" s="11">
        <f>IF($H2695="AUTO_OFERTA_TOTAL_PRODUTO_PERIODO",SUMIFS(Oferta!$F:$F,Oferta!$A:$A,$A2695,Oferta!$E:$E,$E2695),$F2695)</f>
        <v/>
      </c>
      <c r="J2695" s="6" t="inlineStr">
        <is>
          <t>Informado</t>
        </is>
      </c>
      <c r="K2695" s="6" t="inlineStr">
        <is>
          <t>Demanda doméstica fixa informada pelo usuário.</t>
        </is>
      </c>
    </row>
    <row r="2696">
      <c r="A2696" s="6" t="inlineStr">
        <is>
          <t>Soja</t>
        </is>
      </c>
      <c r="B2696" s="6" t="inlineStr">
        <is>
          <t>Salvador - BA</t>
        </is>
      </c>
      <c r="C2696" s="6" t="n">
        <v>-12.9718</v>
      </c>
      <c r="D2696" s="6" t="n">
        <v>-38.5011</v>
      </c>
      <c r="E2696" s="6" t="inlineStr">
        <is>
          <t>2024-07</t>
        </is>
      </c>
      <c r="F2696" s="6" t="n">
        <v>298453.9830379374</v>
      </c>
      <c r="G2696" s="6" t="inlineStr">
        <is>
          <t>DOMESTICA</t>
        </is>
      </c>
      <c r="H2696" s="6" t="inlineStr">
        <is>
          <t>FIXO</t>
        </is>
      </c>
      <c r="I2696" s="11">
        <f>IF($H2696="AUTO_OFERTA_TOTAL_PRODUTO_PERIODO",SUMIFS(Oferta!$F:$F,Oferta!$A:$A,$A2696,Oferta!$E:$E,$E2696),$F2696)</f>
        <v/>
      </c>
      <c r="J2696" s="6" t="inlineStr">
        <is>
          <t>Informado</t>
        </is>
      </c>
      <c r="K2696" s="6" t="inlineStr">
        <is>
          <t>Demanda doméstica fixa informada pelo usuário.</t>
        </is>
      </c>
    </row>
    <row r="2697">
      <c r="A2697" s="6" t="inlineStr">
        <is>
          <t>Soja</t>
        </is>
      </c>
      <c r="B2697" s="6" t="inlineStr">
        <is>
          <t>Salvador - BA</t>
        </is>
      </c>
      <c r="C2697" s="6" t="n">
        <v>-12.9718</v>
      </c>
      <c r="D2697" s="6" t="n">
        <v>-38.5011</v>
      </c>
      <c r="E2697" s="6" t="inlineStr">
        <is>
          <t>2024-08</t>
        </is>
      </c>
      <c r="F2697" s="6" t="n">
        <v>154837.0287941179</v>
      </c>
      <c r="G2697" s="6" t="inlineStr">
        <is>
          <t>DOMESTICA</t>
        </is>
      </c>
      <c r="H2697" s="6" t="inlineStr">
        <is>
          <t>FIXO</t>
        </is>
      </c>
      <c r="I2697" s="11">
        <f>IF($H2697="AUTO_OFERTA_TOTAL_PRODUTO_PERIODO",SUMIFS(Oferta!$F:$F,Oferta!$A:$A,$A2697,Oferta!$E:$E,$E2697),$F2697)</f>
        <v/>
      </c>
      <c r="J2697" s="6" t="inlineStr">
        <is>
          <t>Informado</t>
        </is>
      </c>
      <c r="K2697" s="6" t="inlineStr">
        <is>
          <t>Demanda doméstica fixa informada pelo usuário.</t>
        </is>
      </c>
    </row>
    <row r="2698">
      <c r="A2698" s="6" t="inlineStr">
        <is>
          <t>Soja</t>
        </is>
      </c>
      <c r="B2698" s="6" t="inlineStr">
        <is>
          <t>Salvador - BA</t>
        </is>
      </c>
      <c r="C2698" s="6" t="n">
        <v>-12.9718</v>
      </c>
      <c r="D2698" s="6" t="n">
        <v>-38.5011</v>
      </c>
      <c r="E2698" s="6" t="inlineStr">
        <is>
          <t>2024-09</t>
        </is>
      </c>
      <c r="F2698" s="6" t="n">
        <v>118932.790233163</v>
      </c>
      <c r="G2698" s="6" t="inlineStr">
        <is>
          <t>DOMESTICA</t>
        </is>
      </c>
      <c r="H2698" s="6" t="inlineStr">
        <is>
          <t>FIXO</t>
        </is>
      </c>
      <c r="I2698" s="11">
        <f>IF($H2698="AUTO_OFERTA_TOTAL_PRODUTO_PERIODO",SUMIFS(Oferta!$F:$F,Oferta!$A:$A,$A2698,Oferta!$E:$E,$E2698),$F2698)</f>
        <v/>
      </c>
      <c r="J2698" s="6" t="inlineStr">
        <is>
          <t>Informado</t>
        </is>
      </c>
      <c r="K2698" s="6" t="inlineStr">
        <is>
          <t>Demanda doméstica fixa informada pelo usuário.</t>
        </is>
      </c>
    </row>
    <row r="2699">
      <c r="A2699" s="6" t="inlineStr">
        <is>
          <t>Soja</t>
        </is>
      </c>
      <c r="B2699" s="6" t="inlineStr">
        <is>
          <t>Salvador - BA</t>
        </is>
      </c>
      <c r="C2699" s="6" t="n">
        <v>-12.9718</v>
      </c>
      <c r="D2699" s="6" t="n">
        <v>-38.5011</v>
      </c>
      <c r="E2699" s="6" t="inlineStr">
        <is>
          <t>2024-10</t>
        </is>
      </c>
      <c r="F2699" s="6" t="n">
        <v>118932.790233163</v>
      </c>
      <c r="G2699" s="6" t="inlineStr">
        <is>
          <t>DOMESTICA</t>
        </is>
      </c>
      <c r="H2699" s="6" t="inlineStr">
        <is>
          <t>FIXO</t>
        </is>
      </c>
      <c r="I2699" s="11">
        <f>IF($H2699="AUTO_OFERTA_TOTAL_PRODUTO_PERIODO",SUMIFS(Oferta!$F:$F,Oferta!$A:$A,$A2699,Oferta!$E:$E,$E2699),$F2699)</f>
        <v/>
      </c>
      <c r="J2699" s="6" t="inlineStr">
        <is>
          <t>Informado</t>
        </is>
      </c>
      <c r="K2699" s="6" t="inlineStr">
        <is>
          <t>Demanda doméstica fixa informada pelo usuário.</t>
        </is>
      </c>
    </row>
    <row r="2700">
      <c r="A2700" s="6" t="inlineStr">
        <is>
          <t>Soja</t>
        </is>
      </c>
      <c r="B2700" s="6" t="inlineStr">
        <is>
          <t>Salvador - BA</t>
        </is>
      </c>
      <c r="C2700" s="6" t="n">
        <v>-12.9718</v>
      </c>
      <c r="D2700" s="6" t="n">
        <v>-38.5011</v>
      </c>
      <c r="E2700" s="6" t="inlineStr">
        <is>
          <t>2024-11</t>
        </is>
      </c>
      <c r="F2700" s="6" t="n">
        <v>118932.790233163</v>
      </c>
      <c r="G2700" s="6" t="inlineStr">
        <is>
          <t>DOMESTICA</t>
        </is>
      </c>
      <c r="H2700" s="6" t="inlineStr">
        <is>
          <t>FIXO</t>
        </is>
      </c>
      <c r="I2700" s="11">
        <f>IF($H2700="AUTO_OFERTA_TOTAL_PRODUTO_PERIODO",SUMIFS(Oferta!$F:$F,Oferta!$A:$A,$A2700,Oferta!$E:$E,$E2700),$F2700)</f>
        <v/>
      </c>
      <c r="J2700" s="6" t="inlineStr">
        <is>
          <t>Informado</t>
        </is>
      </c>
      <c r="K2700" s="6" t="inlineStr">
        <is>
          <t>Demanda doméstica fixa informada pelo usuário.</t>
        </is>
      </c>
    </row>
    <row r="2701">
      <c r="A2701" s="6" t="inlineStr">
        <is>
          <t>Soja</t>
        </is>
      </c>
      <c r="B2701" s="6" t="inlineStr">
        <is>
          <t>Salvador - BA</t>
        </is>
      </c>
      <c r="C2701" s="6" t="n">
        <v>-12.9718</v>
      </c>
      <c r="D2701" s="6" t="n">
        <v>-38.5011</v>
      </c>
      <c r="E2701" s="6" t="inlineStr">
        <is>
          <t>2024-12</t>
        </is>
      </c>
      <c r="F2701" s="6" t="n">
        <v>118932.790233163</v>
      </c>
      <c r="G2701" s="6" t="inlineStr">
        <is>
          <t>DOMESTICA</t>
        </is>
      </c>
      <c r="H2701" s="6" t="inlineStr">
        <is>
          <t>FIXO</t>
        </is>
      </c>
      <c r="I2701" s="11">
        <f>IF($H2701="AUTO_OFERTA_TOTAL_PRODUTO_PERIODO",SUMIFS(Oferta!$F:$F,Oferta!$A:$A,$A2701,Oferta!$E:$E,$E2701),$F2701)</f>
        <v/>
      </c>
      <c r="J2701" s="6" t="inlineStr">
        <is>
          <t>Informado</t>
        </is>
      </c>
      <c r="K2701" s="6" t="inlineStr">
        <is>
          <t>Demanda doméstica fixa informada pelo usuário.</t>
        </is>
      </c>
    </row>
    <row r="2702">
      <c r="A2702" s="6" t="inlineStr">
        <is>
          <t>Soja</t>
        </is>
      </c>
      <c r="B2702" s="6" t="inlineStr">
        <is>
          <t>Fortaleza - CE</t>
        </is>
      </c>
      <c r="C2702" s="6" t="n">
        <v>-3.71664</v>
      </c>
      <c r="D2702" s="6" t="n">
        <v>-38.5423</v>
      </c>
      <c r="E2702" s="6" t="inlineStr">
        <is>
          <t>2024-01</t>
        </is>
      </c>
      <c r="F2702" s="6" t="n">
        <v>80896.65833782899</v>
      </c>
      <c r="G2702" s="6" t="inlineStr">
        <is>
          <t>DOMESTICA</t>
        </is>
      </c>
      <c r="H2702" s="6" t="inlineStr">
        <is>
          <t>FIXO</t>
        </is>
      </c>
      <c r="I2702" s="11">
        <f>IF($H2702="AUTO_OFERTA_TOTAL_PRODUTO_PERIODO",SUMIFS(Oferta!$F:$F,Oferta!$A:$A,$A2702,Oferta!$E:$E,$E2702),$F2702)</f>
        <v/>
      </c>
      <c r="J2702" s="6" t="inlineStr">
        <is>
          <t>Informado</t>
        </is>
      </c>
      <c r="K2702" s="6" t="inlineStr">
        <is>
          <t>Demanda doméstica fixa informada pelo usuário.</t>
        </is>
      </c>
    </row>
    <row r="2703">
      <c r="A2703" s="6" t="inlineStr">
        <is>
          <t>Soja</t>
        </is>
      </c>
      <c r="B2703" s="6" t="inlineStr">
        <is>
          <t>Fortaleza - CE</t>
        </is>
      </c>
      <c r="C2703" s="6" t="n">
        <v>-3.71664</v>
      </c>
      <c r="D2703" s="6" t="n">
        <v>-38.5423</v>
      </c>
      <c r="E2703" s="6" t="inlineStr">
        <is>
          <t>2024-02</t>
        </is>
      </c>
      <c r="F2703" s="6" t="n">
        <v>80896.65833782899</v>
      </c>
      <c r="G2703" s="6" t="inlineStr">
        <is>
          <t>DOMESTICA</t>
        </is>
      </c>
      <c r="H2703" s="6" t="inlineStr">
        <is>
          <t>FIXO</t>
        </is>
      </c>
      <c r="I2703" s="11">
        <f>IF($H2703="AUTO_OFERTA_TOTAL_PRODUTO_PERIODO",SUMIFS(Oferta!$F:$F,Oferta!$A:$A,$A2703,Oferta!$E:$E,$E2703),$F2703)</f>
        <v/>
      </c>
      <c r="J2703" s="6" t="inlineStr">
        <is>
          <t>Informado</t>
        </is>
      </c>
      <c r="K2703" s="6" t="inlineStr">
        <is>
          <t>Demanda doméstica fixa informada pelo usuário.</t>
        </is>
      </c>
    </row>
    <row r="2704">
      <c r="A2704" s="6" t="inlineStr">
        <is>
          <t>Soja</t>
        </is>
      </c>
      <c r="B2704" s="6" t="inlineStr">
        <is>
          <t>Fortaleza - CE</t>
        </is>
      </c>
      <c r="C2704" s="6" t="n">
        <v>-3.71664</v>
      </c>
      <c r="D2704" s="6" t="n">
        <v>-38.5423</v>
      </c>
      <c r="E2704" s="6" t="inlineStr">
        <is>
          <t>2024-03</t>
        </is>
      </c>
      <c r="F2704" s="6" t="n">
        <v>80896.65833782899</v>
      </c>
      <c r="G2704" s="6" t="inlineStr">
        <is>
          <t>DOMESTICA</t>
        </is>
      </c>
      <c r="H2704" s="6" t="inlineStr">
        <is>
          <t>FIXO</t>
        </is>
      </c>
      <c r="I2704" s="11">
        <f>IF($H2704="AUTO_OFERTA_TOTAL_PRODUTO_PERIODO",SUMIFS(Oferta!$F:$F,Oferta!$A:$A,$A2704,Oferta!$E:$E,$E2704),$F2704)</f>
        <v/>
      </c>
      <c r="J2704" s="6" t="inlineStr">
        <is>
          <t>Informado</t>
        </is>
      </c>
      <c r="K2704" s="6" t="inlineStr">
        <is>
          <t>Demanda doméstica fixa informada pelo usuário.</t>
        </is>
      </c>
    </row>
    <row r="2705">
      <c r="A2705" s="6" t="inlineStr">
        <is>
          <t>Soja</t>
        </is>
      </c>
      <c r="B2705" s="6" t="inlineStr">
        <is>
          <t>Fortaleza - CE</t>
        </is>
      </c>
      <c r="C2705" s="6" t="n">
        <v>-3.71664</v>
      </c>
      <c r="D2705" s="6" t="n">
        <v>-38.5423</v>
      </c>
      <c r="E2705" s="6" t="inlineStr">
        <is>
          <t>2024-04</t>
        </is>
      </c>
      <c r="F2705" s="6" t="n">
        <v>80896.65833782899</v>
      </c>
      <c r="G2705" s="6" t="inlineStr">
        <is>
          <t>DOMESTICA</t>
        </is>
      </c>
      <c r="H2705" s="6" t="inlineStr">
        <is>
          <t>FIXO</t>
        </is>
      </c>
      <c r="I2705" s="11">
        <f>IF($H2705="AUTO_OFERTA_TOTAL_PRODUTO_PERIODO",SUMIFS(Oferta!$F:$F,Oferta!$A:$A,$A2705,Oferta!$E:$E,$E2705),$F2705)</f>
        <v/>
      </c>
      <c r="J2705" s="6" t="inlineStr">
        <is>
          <t>Informado</t>
        </is>
      </c>
      <c r="K2705" s="6" t="inlineStr">
        <is>
          <t>Demanda doméstica fixa informada pelo usuário.</t>
        </is>
      </c>
    </row>
    <row r="2706">
      <c r="A2706" s="6" t="inlineStr">
        <is>
          <t>Soja</t>
        </is>
      </c>
      <c r="B2706" s="6" t="inlineStr">
        <is>
          <t>Fortaleza - CE</t>
        </is>
      </c>
      <c r="C2706" s="6" t="n">
        <v>-3.71664</v>
      </c>
      <c r="D2706" s="6" t="n">
        <v>-38.5423</v>
      </c>
      <c r="E2706" s="6" t="inlineStr">
        <is>
          <t>2024-05</t>
        </is>
      </c>
      <c r="F2706" s="6" t="n">
        <v>80896.65833782899</v>
      </c>
      <c r="G2706" s="6" t="inlineStr">
        <is>
          <t>DOMESTICA</t>
        </is>
      </c>
      <c r="H2706" s="6" t="inlineStr">
        <is>
          <t>FIXO</t>
        </is>
      </c>
      <c r="I2706" s="11">
        <f>IF($H2706="AUTO_OFERTA_TOTAL_PRODUTO_PERIODO",SUMIFS(Oferta!$F:$F,Oferta!$A:$A,$A2706,Oferta!$E:$E,$E2706),$F2706)</f>
        <v/>
      </c>
      <c r="J2706" s="6" t="inlineStr">
        <is>
          <t>Informado</t>
        </is>
      </c>
      <c r="K2706" s="6" t="inlineStr">
        <is>
          <t>Demanda doméstica fixa informada pelo usuário.</t>
        </is>
      </c>
    </row>
    <row r="2707">
      <c r="A2707" s="6" t="inlineStr">
        <is>
          <t>Soja</t>
        </is>
      </c>
      <c r="B2707" s="6" t="inlineStr">
        <is>
          <t>Fortaleza - CE</t>
        </is>
      </c>
      <c r="C2707" s="6" t="n">
        <v>-3.71664</v>
      </c>
      <c r="D2707" s="6" t="n">
        <v>-38.5423</v>
      </c>
      <c r="E2707" s="6" t="inlineStr">
        <is>
          <t>2024-06</t>
        </is>
      </c>
      <c r="F2707" s="6" t="n">
        <v>80896.65833782899</v>
      </c>
      <c r="G2707" s="6" t="inlineStr">
        <is>
          <t>DOMESTICA</t>
        </is>
      </c>
      <c r="H2707" s="6" t="inlineStr">
        <is>
          <t>FIXO</t>
        </is>
      </c>
      <c r="I2707" s="11">
        <f>IF($H2707="AUTO_OFERTA_TOTAL_PRODUTO_PERIODO",SUMIFS(Oferta!$F:$F,Oferta!$A:$A,$A2707,Oferta!$E:$E,$E2707),$F2707)</f>
        <v/>
      </c>
      <c r="J2707" s="6" t="inlineStr">
        <is>
          <t>Informado</t>
        </is>
      </c>
      <c r="K2707" s="6" t="inlineStr">
        <is>
          <t>Demanda doméstica fixa informada pelo usuário.</t>
        </is>
      </c>
    </row>
    <row r="2708">
      <c r="A2708" s="6" t="inlineStr">
        <is>
          <t>Soja</t>
        </is>
      </c>
      <c r="B2708" s="6" t="inlineStr">
        <is>
          <t>Fortaleza - CE</t>
        </is>
      </c>
      <c r="C2708" s="6" t="n">
        <v>-3.71664</v>
      </c>
      <c r="D2708" s="6" t="n">
        <v>-38.5423</v>
      </c>
      <c r="E2708" s="6" t="inlineStr">
        <is>
          <t>2024-07</t>
        </is>
      </c>
      <c r="F2708" s="6" t="n">
        <v>80896.65833782899</v>
      </c>
      <c r="G2708" s="6" t="inlineStr">
        <is>
          <t>DOMESTICA</t>
        </is>
      </c>
      <c r="H2708" s="6" t="inlineStr">
        <is>
          <t>FIXO</t>
        </is>
      </c>
      <c r="I2708" s="11">
        <f>IF($H2708="AUTO_OFERTA_TOTAL_PRODUTO_PERIODO",SUMIFS(Oferta!$F:$F,Oferta!$A:$A,$A2708,Oferta!$E:$E,$E2708),$F2708)</f>
        <v/>
      </c>
      <c r="J2708" s="6" t="inlineStr">
        <is>
          <t>Informado</t>
        </is>
      </c>
      <c r="K2708" s="6" t="inlineStr">
        <is>
          <t>Demanda doméstica fixa informada pelo usuário.</t>
        </is>
      </c>
    </row>
    <row r="2709">
      <c r="A2709" s="6" t="inlineStr">
        <is>
          <t>Soja</t>
        </is>
      </c>
      <c r="B2709" s="6" t="inlineStr">
        <is>
          <t>Fortaleza - CE</t>
        </is>
      </c>
      <c r="C2709" s="6" t="n">
        <v>-3.71664</v>
      </c>
      <c r="D2709" s="6" t="n">
        <v>-38.5423</v>
      </c>
      <c r="E2709" s="6" t="inlineStr">
        <is>
          <t>2024-08</t>
        </is>
      </c>
      <c r="F2709" s="6" t="n">
        <v>80896.65833782899</v>
      </c>
      <c r="G2709" s="6" t="inlineStr">
        <is>
          <t>DOMESTICA</t>
        </is>
      </c>
      <c r="H2709" s="6" t="inlineStr">
        <is>
          <t>FIXO</t>
        </is>
      </c>
      <c r="I2709" s="11">
        <f>IF($H2709="AUTO_OFERTA_TOTAL_PRODUTO_PERIODO",SUMIFS(Oferta!$F:$F,Oferta!$A:$A,$A2709,Oferta!$E:$E,$E2709),$F2709)</f>
        <v/>
      </c>
      <c r="J2709" s="6" t="inlineStr">
        <is>
          <t>Informado</t>
        </is>
      </c>
      <c r="K2709" s="6" t="inlineStr">
        <is>
          <t>Demanda doméstica fixa informada pelo usuário.</t>
        </is>
      </c>
    </row>
    <row r="2710">
      <c r="A2710" s="6" t="inlineStr">
        <is>
          <t>Soja</t>
        </is>
      </c>
      <c r="B2710" s="6" t="inlineStr">
        <is>
          <t>Fortaleza - CE</t>
        </is>
      </c>
      <c r="C2710" s="6" t="n">
        <v>-3.71664</v>
      </c>
      <c r="D2710" s="6" t="n">
        <v>-38.5423</v>
      </c>
      <c r="E2710" s="6" t="inlineStr">
        <is>
          <t>2024-09</t>
        </is>
      </c>
      <c r="F2710" s="6" t="n">
        <v>80896.65833782899</v>
      </c>
      <c r="G2710" s="6" t="inlineStr">
        <is>
          <t>DOMESTICA</t>
        </is>
      </c>
      <c r="H2710" s="6" t="inlineStr">
        <is>
          <t>FIXO</t>
        </is>
      </c>
      <c r="I2710" s="11">
        <f>IF($H2710="AUTO_OFERTA_TOTAL_PRODUTO_PERIODO",SUMIFS(Oferta!$F:$F,Oferta!$A:$A,$A2710,Oferta!$E:$E,$E2710),$F2710)</f>
        <v/>
      </c>
      <c r="J2710" s="6" t="inlineStr">
        <is>
          <t>Informado</t>
        </is>
      </c>
      <c r="K2710" s="6" t="inlineStr">
        <is>
          <t>Demanda doméstica fixa informada pelo usuário.</t>
        </is>
      </c>
    </row>
    <row r="2711">
      <c r="A2711" s="6" t="inlineStr">
        <is>
          <t>Soja</t>
        </is>
      </c>
      <c r="B2711" s="6" t="inlineStr">
        <is>
          <t>Fortaleza - CE</t>
        </is>
      </c>
      <c r="C2711" s="6" t="n">
        <v>-3.71664</v>
      </c>
      <c r="D2711" s="6" t="n">
        <v>-38.5423</v>
      </c>
      <c r="E2711" s="6" t="inlineStr">
        <is>
          <t>2024-10</t>
        </is>
      </c>
      <c r="F2711" s="6" t="n">
        <v>80896.65833782899</v>
      </c>
      <c r="G2711" s="6" t="inlineStr">
        <is>
          <t>DOMESTICA</t>
        </is>
      </c>
      <c r="H2711" s="6" t="inlineStr">
        <is>
          <t>FIXO</t>
        </is>
      </c>
      <c r="I2711" s="11">
        <f>IF($H2711="AUTO_OFERTA_TOTAL_PRODUTO_PERIODO",SUMIFS(Oferta!$F:$F,Oferta!$A:$A,$A2711,Oferta!$E:$E,$E2711),$F2711)</f>
        <v/>
      </c>
      <c r="J2711" s="6" t="inlineStr">
        <is>
          <t>Informado</t>
        </is>
      </c>
      <c r="K2711" s="6" t="inlineStr">
        <is>
          <t>Demanda doméstica fixa informada pelo usuário.</t>
        </is>
      </c>
    </row>
    <row r="2712">
      <c r="A2712" s="6" t="inlineStr">
        <is>
          <t>Soja</t>
        </is>
      </c>
      <c r="B2712" s="6" t="inlineStr">
        <is>
          <t>Fortaleza - CE</t>
        </is>
      </c>
      <c r="C2712" s="6" t="n">
        <v>-3.71664</v>
      </c>
      <c r="D2712" s="6" t="n">
        <v>-38.5423</v>
      </c>
      <c r="E2712" s="6" t="inlineStr">
        <is>
          <t>2024-11</t>
        </is>
      </c>
      <c r="F2712" s="6" t="n">
        <v>80896.65833782899</v>
      </c>
      <c r="G2712" s="6" t="inlineStr">
        <is>
          <t>DOMESTICA</t>
        </is>
      </c>
      <c r="H2712" s="6" t="inlineStr">
        <is>
          <t>FIXO</t>
        </is>
      </c>
      <c r="I2712" s="11">
        <f>IF($H2712="AUTO_OFERTA_TOTAL_PRODUTO_PERIODO",SUMIFS(Oferta!$F:$F,Oferta!$A:$A,$A2712,Oferta!$E:$E,$E2712),$F2712)</f>
        <v/>
      </c>
      <c r="J2712" s="6" t="inlineStr">
        <is>
          <t>Informado</t>
        </is>
      </c>
      <c r="K2712" s="6" t="inlineStr">
        <is>
          <t>Demanda doméstica fixa informada pelo usuário.</t>
        </is>
      </c>
    </row>
    <row r="2713">
      <c r="A2713" s="6" t="inlineStr">
        <is>
          <t>Soja</t>
        </is>
      </c>
      <c r="B2713" s="6" t="inlineStr">
        <is>
          <t>Fortaleza - CE</t>
        </is>
      </c>
      <c r="C2713" s="6" t="n">
        <v>-3.71664</v>
      </c>
      <c r="D2713" s="6" t="n">
        <v>-38.5423</v>
      </c>
      <c r="E2713" s="6" t="inlineStr">
        <is>
          <t>2024-12</t>
        </is>
      </c>
      <c r="F2713" s="6" t="n">
        <v>80896.65833782899</v>
      </c>
      <c r="G2713" s="6" t="inlineStr">
        <is>
          <t>DOMESTICA</t>
        </is>
      </c>
      <c r="H2713" s="6" t="inlineStr">
        <is>
          <t>FIXO</t>
        </is>
      </c>
      <c r="I2713" s="11">
        <f>IF($H2713="AUTO_OFERTA_TOTAL_PRODUTO_PERIODO",SUMIFS(Oferta!$F:$F,Oferta!$A:$A,$A2713,Oferta!$E:$E,$E2713),$F2713)</f>
        <v/>
      </c>
      <c r="J2713" s="6" t="inlineStr">
        <is>
          <t>Informado</t>
        </is>
      </c>
      <c r="K2713" s="6" t="inlineStr">
        <is>
          <t>Demanda doméstica fixa informada pelo usuário.</t>
        </is>
      </c>
    </row>
    <row r="2714">
      <c r="A2714" s="6" t="inlineStr">
        <is>
          <t>Soja</t>
        </is>
      </c>
      <c r="B2714" s="6" t="inlineStr">
        <is>
          <t>São Luís - MA</t>
        </is>
      </c>
      <c r="C2714" s="6" t="n">
        <v>-2.53874</v>
      </c>
      <c r="D2714" s="6" t="n">
        <v>-44.2825</v>
      </c>
      <c r="E2714" s="6" t="inlineStr">
        <is>
          <t>2024-01</t>
        </is>
      </c>
      <c r="F2714" s="6" t="n">
        <v>38681.7957320057</v>
      </c>
      <c r="G2714" s="6" t="inlineStr">
        <is>
          <t>DOMESTICA</t>
        </is>
      </c>
      <c r="H2714" s="6" t="inlineStr">
        <is>
          <t>FIXO</t>
        </is>
      </c>
      <c r="I2714" s="11">
        <f>IF($H2714="AUTO_OFERTA_TOTAL_PRODUTO_PERIODO",SUMIFS(Oferta!$F:$F,Oferta!$A:$A,$A2714,Oferta!$E:$E,$E2714),$F2714)</f>
        <v/>
      </c>
      <c r="J2714" s="6" t="inlineStr">
        <is>
          <t>Informado</t>
        </is>
      </c>
      <c r="K2714" s="6" t="inlineStr">
        <is>
          <t>Demanda doméstica fixa informada pelo usuário.</t>
        </is>
      </c>
    </row>
    <row r="2715">
      <c r="A2715" s="6" t="inlineStr">
        <is>
          <t>Soja</t>
        </is>
      </c>
      <c r="B2715" s="6" t="inlineStr">
        <is>
          <t>São Luís - MA</t>
        </is>
      </c>
      <c r="C2715" s="6" t="n">
        <v>-2.53874</v>
      </c>
      <c r="D2715" s="6" t="n">
        <v>-44.2825</v>
      </c>
      <c r="E2715" s="6" t="inlineStr">
        <is>
          <t>2024-02</t>
        </is>
      </c>
      <c r="F2715" s="6" t="n">
        <v>38681.7957320057</v>
      </c>
      <c r="G2715" s="6" t="inlineStr">
        <is>
          <t>DOMESTICA</t>
        </is>
      </c>
      <c r="H2715" s="6" t="inlineStr">
        <is>
          <t>FIXO</t>
        </is>
      </c>
      <c r="I2715" s="11">
        <f>IF($H2715="AUTO_OFERTA_TOTAL_PRODUTO_PERIODO",SUMIFS(Oferta!$F:$F,Oferta!$A:$A,$A2715,Oferta!$E:$E,$E2715),$F2715)</f>
        <v/>
      </c>
      <c r="J2715" s="6" t="inlineStr">
        <is>
          <t>Informado</t>
        </is>
      </c>
      <c r="K2715" s="6" t="inlineStr">
        <is>
          <t>Demanda doméstica fixa informada pelo usuário.</t>
        </is>
      </c>
    </row>
    <row r="2716">
      <c r="A2716" s="6" t="inlineStr">
        <is>
          <t>Soja</t>
        </is>
      </c>
      <c r="B2716" s="6" t="inlineStr">
        <is>
          <t>São Luís - MA</t>
        </is>
      </c>
      <c r="C2716" s="6" t="n">
        <v>-2.53874</v>
      </c>
      <c r="D2716" s="6" t="n">
        <v>-44.2825</v>
      </c>
      <c r="E2716" s="6" t="inlineStr">
        <is>
          <t>2024-03</t>
        </is>
      </c>
      <c r="F2716" s="6" t="n">
        <v>50359.3189718565</v>
      </c>
      <c r="G2716" s="6" t="inlineStr">
        <is>
          <t>DOMESTICA</t>
        </is>
      </c>
      <c r="H2716" s="6" t="inlineStr">
        <is>
          <t>FIXO</t>
        </is>
      </c>
      <c r="I2716" s="11">
        <f>IF($H2716="AUTO_OFERTA_TOTAL_PRODUTO_PERIODO",SUMIFS(Oferta!$F:$F,Oferta!$A:$A,$A2716,Oferta!$E:$E,$E2716),$F2716)</f>
        <v/>
      </c>
      <c r="J2716" s="6" t="inlineStr">
        <is>
          <t>Informado</t>
        </is>
      </c>
      <c r="K2716" s="6" t="inlineStr">
        <is>
          <t>Demanda doméstica fixa informada pelo usuário.</t>
        </is>
      </c>
    </row>
    <row r="2717">
      <c r="A2717" s="6" t="inlineStr">
        <is>
          <t>Soja</t>
        </is>
      </c>
      <c r="B2717" s="6" t="inlineStr">
        <is>
          <t>São Luís - MA</t>
        </is>
      </c>
      <c r="C2717" s="6" t="n">
        <v>-2.53874</v>
      </c>
      <c r="D2717" s="6" t="n">
        <v>-44.2825</v>
      </c>
      <c r="E2717" s="6" t="inlineStr">
        <is>
          <t>2024-04</t>
        </is>
      </c>
      <c r="F2717" s="6" t="n">
        <v>97069.4119312596</v>
      </c>
      <c r="G2717" s="6" t="inlineStr">
        <is>
          <t>DOMESTICA</t>
        </is>
      </c>
      <c r="H2717" s="6" t="inlineStr">
        <is>
          <t>FIXO</t>
        </is>
      </c>
      <c r="I2717" s="11">
        <f>IF($H2717="AUTO_OFERTA_TOTAL_PRODUTO_PERIODO",SUMIFS(Oferta!$F:$F,Oferta!$A:$A,$A2717,Oferta!$E:$E,$E2717),$F2717)</f>
        <v/>
      </c>
      <c r="J2717" s="6" t="inlineStr">
        <is>
          <t>Informado</t>
        </is>
      </c>
      <c r="K2717" s="6" t="inlineStr">
        <is>
          <t>Demanda doméstica fixa informada pelo usuário.</t>
        </is>
      </c>
    </row>
    <row r="2718">
      <c r="A2718" s="6" t="inlineStr">
        <is>
          <t>Soja</t>
        </is>
      </c>
      <c r="B2718" s="6" t="inlineStr">
        <is>
          <t>São Luís - MA</t>
        </is>
      </c>
      <c r="C2718" s="6" t="n">
        <v>-2.53874</v>
      </c>
      <c r="D2718" s="6" t="n">
        <v>-44.2825</v>
      </c>
      <c r="E2718" s="6" t="inlineStr">
        <is>
          <t>2024-05</t>
        </is>
      </c>
      <c r="F2718" s="6" t="n">
        <v>143779.5048906626</v>
      </c>
      <c r="G2718" s="6" t="inlineStr">
        <is>
          <t>DOMESTICA</t>
        </is>
      </c>
      <c r="H2718" s="6" t="inlineStr">
        <is>
          <t>FIXO</t>
        </is>
      </c>
      <c r="I2718" s="11">
        <f>IF($H2718="AUTO_OFERTA_TOTAL_PRODUTO_PERIODO",SUMIFS(Oferta!$F:$F,Oferta!$A:$A,$A2718,Oferta!$E:$E,$E2718),$F2718)</f>
        <v/>
      </c>
      <c r="J2718" s="6" t="inlineStr">
        <is>
          <t>Informado</t>
        </is>
      </c>
      <c r="K2718" s="6" t="inlineStr">
        <is>
          <t>Demanda doméstica fixa informada pelo usuário.</t>
        </is>
      </c>
    </row>
    <row r="2719">
      <c r="A2719" s="6" t="inlineStr">
        <is>
          <t>Soja</t>
        </is>
      </c>
      <c r="B2719" s="6" t="inlineStr">
        <is>
          <t>São Luís - MA</t>
        </is>
      </c>
      <c r="C2719" s="6" t="n">
        <v>-2.53874</v>
      </c>
      <c r="D2719" s="6" t="n">
        <v>-44.2825</v>
      </c>
      <c r="E2719" s="6" t="inlineStr">
        <is>
          <t>2024-06</t>
        </is>
      </c>
      <c r="F2719" s="6" t="n">
        <v>155457.0281305134</v>
      </c>
      <c r="G2719" s="6" t="inlineStr">
        <is>
          <t>DOMESTICA</t>
        </is>
      </c>
      <c r="H2719" s="6" t="inlineStr">
        <is>
          <t>FIXO</t>
        </is>
      </c>
      <c r="I2719" s="11">
        <f>IF($H2719="AUTO_OFERTA_TOTAL_PRODUTO_PERIODO",SUMIFS(Oferta!$F:$F,Oferta!$A:$A,$A2719,Oferta!$E:$E,$E2719),$F2719)</f>
        <v/>
      </c>
      <c r="J2719" s="6" t="inlineStr">
        <is>
          <t>Informado</t>
        </is>
      </c>
      <c r="K2719" s="6" t="inlineStr">
        <is>
          <t>Demanda doméstica fixa informada pelo usuário.</t>
        </is>
      </c>
    </row>
    <row r="2720">
      <c r="A2720" s="6" t="inlineStr">
        <is>
          <t>Soja</t>
        </is>
      </c>
      <c r="B2720" s="6" t="inlineStr">
        <is>
          <t>São Luís - MA</t>
        </is>
      </c>
      <c r="C2720" s="6" t="n">
        <v>-2.53874</v>
      </c>
      <c r="D2720" s="6" t="n">
        <v>-44.2825</v>
      </c>
      <c r="E2720" s="6" t="inlineStr">
        <is>
          <t>2024-07</t>
        </is>
      </c>
      <c r="F2720" s="6" t="n">
        <v>108746.9351711103</v>
      </c>
      <c r="G2720" s="6" t="inlineStr">
        <is>
          <t>DOMESTICA</t>
        </is>
      </c>
      <c r="H2720" s="6" t="inlineStr">
        <is>
          <t>FIXO</t>
        </is>
      </c>
      <c r="I2720" s="11">
        <f>IF($H2720="AUTO_OFERTA_TOTAL_PRODUTO_PERIODO",SUMIFS(Oferta!$F:$F,Oferta!$A:$A,$A2720,Oferta!$E:$E,$E2720),$F2720)</f>
        <v/>
      </c>
      <c r="J2720" s="6" t="inlineStr">
        <is>
          <t>Informado</t>
        </is>
      </c>
      <c r="K2720" s="6" t="inlineStr">
        <is>
          <t>Demanda doméstica fixa informada pelo usuário.</t>
        </is>
      </c>
    </row>
    <row r="2721">
      <c r="A2721" s="6" t="inlineStr">
        <is>
          <t>Soja</t>
        </is>
      </c>
      <c r="B2721" s="6" t="inlineStr">
        <is>
          <t>São Luís - MA</t>
        </is>
      </c>
      <c r="C2721" s="6" t="n">
        <v>-2.53874</v>
      </c>
      <c r="D2721" s="6" t="n">
        <v>-44.2825</v>
      </c>
      <c r="E2721" s="6" t="inlineStr">
        <is>
          <t>2024-08</t>
        </is>
      </c>
      <c r="F2721" s="6" t="n">
        <v>62036.8422117072</v>
      </c>
      <c r="G2721" s="6" t="inlineStr">
        <is>
          <t>DOMESTICA</t>
        </is>
      </c>
      <c r="H2721" s="6" t="inlineStr">
        <is>
          <t>FIXO</t>
        </is>
      </c>
      <c r="I2721" s="11">
        <f>IF($H2721="AUTO_OFERTA_TOTAL_PRODUTO_PERIODO",SUMIFS(Oferta!$F:$F,Oferta!$A:$A,$A2721,Oferta!$E:$E,$E2721),$F2721)</f>
        <v/>
      </c>
      <c r="J2721" s="6" t="inlineStr">
        <is>
          <t>Informado</t>
        </is>
      </c>
      <c r="K2721" s="6" t="inlineStr">
        <is>
          <t>Demanda doméstica fixa informada pelo usuário.</t>
        </is>
      </c>
    </row>
    <row r="2722">
      <c r="A2722" s="6" t="inlineStr">
        <is>
          <t>Soja</t>
        </is>
      </c>
      <c r="B2722" s="6" t="inlineStr">
        <is>
          <t>São Luís - MA</t>
        </is>
      </c>
      <c r="C2722" s="6" t="n">
        <v>-2.53874</v>
      </c>
      <c r="D2722" s="6" t="n">
        <v>-44.2825</v>
      </c>
      <c r="E2722" s="6" t="inlineStr">
        <is>
          <t>2024-09</t>
        </is>
      </c>
      <c r="F2722" s="6" t="n">
        <v>38681.7957320057</v>
      </c>
      <c r="G2722" s="6" t="inlineStr">
        <is>
          <t>DOMESTICA</t>
        </is>
      </c>
      <c r="H2722" s="6" t="inlineStr">
        <is>
          <t>FIXO</t>
        </is>
      </c>
      <c r="I2722" s="11">
        <f>IF($H2722="AUTO_OFERTA_TOTAL_PRODUTO_PERIODO",SUMIFS(Oferta!$F:$F,Oferta!$A:$A,$A2722,Oferta!$E:$E,$E2722),$F2722)</f>
        <v/>
      </c>
      <c r="J2722" s="6" t="inlineStr">
        <is>
          <t>Informado</t>
        </is>
      </c>
      <c r="K2722" s="6" t="inlineStr">
        <is>
          <t>Demanda doméstica fixa informada pelo usuário.</t>
        </is>
      </c>
    </row>
    <row r="2723">
      <c r="A2723" s="6" t="inlineStr">
        <is>
          <t>Soja</t>
        </is>
      </c>
      <c r="B2723" s="6" t="inlineStr">
        <is>
          <t>São Luís - MA</t>
        </is>
      </c>
      <c r="C2723" s="6" t="n">
        <v>-2.53874</v>
      </c>
      <c r="D2723" s="6" t="n">
        <v>-44.2825</v>
      </c>
      <c r="E2723" s="6" t="inlineStr">
        <is>
          <t>2024-10</t>
        </is>
      </c>
      <c r="F2723" s="6" t="n">
        <v>38681.7957320057</v>
      </c>
      <c r="G2723" s="6" t="inlineStr">
        <is>
          <t>DOMESTICA</t>
        </is>
      </c>
      <c r="H2723" s="6" t="inlineStr">
        <is>
          <t>FIXO</t>
        </is>
      </c>
      <c r="I2723" s="11">
        <f>IF($H2723="AUTO_OFERTA_TOTAL_PRODUTO_PERIODO",SUMIFS(Oferta!$F:$F,Oferta!$A:$A,$A2723,Oferta!$E:$E,$E2723),$F2723)</f>
        <v/>
      </c>
      <c r="J2723" s="6" t="inlineStr">
        <is>
          <t>Informado</t>
        </is>
      </c>
      <c r="K2723" s="6" t="inlineStr">
        <is>
          <t>Demanda doméstica fixa informada pelo usuário.</t>
        </is>
      </c>
    </row>
    <row r="2724">
      <c r="A2724" s="6" t="inlineStr">
        <is>
          <t>Soja</t>
        </is>
      </c>
      <c r="B2724" s="6" t="inlineStr">
        <is>
          <t>São Luís - MA</t>
        </is>
      </c>
      <c r="C2724" s="6" t="n">
        <v>-2.53874</v>
      </c>
      <c r="D2724" s="6" t="n">
        <v>-44.2825</v>
      </c>
      <c r="E2724" s="6" t="inlineStr">
        <is>
          <t>2024-11</t>
        </is>
      </c>
      <c r="F2724" s="6" t="n">
        <v>38681.7957320057</v>
      </c>
      <c r="G2724" s="6" t="inlineStr">
        <is>
          <t>DOMESTICA</t>
        </is>
      </c>
      <c r="H2724" s="6" t="inlineStr">
        <is>
          <t>FIXO</t>
        </is>
      </c>
      <c r="I2724" s="11">
        <f>IF($H2724="AUTO_OFERTA_TOTAL_PRODUTO_PERIODO",SUMIFS(Oferta!$F:$F,Oferta!$A:$A,$A2724,Oferta!$E:$E,$E2724),$F2724)</f>
        <v/>
      </c>
      <c r="J2724" s="6" t="inlineStr">
        <is>
          <t>Informado</t>
        </is>
      </c>
      <c r="K2724" s="6" t="inlineStr">
        <is>
          <t>Demanda doméstica fixa informada pelo usuário.</t>
        </is>
      </c>
    </row>
    <row r="2725">
      <c r="A2725" s="6" t="inlineStr">
        <is>
          <t>Soja</t>
        </is>
      </c>
      <c r="B2725" s="6" t="inlineStr">
        <is>
          <t>São Luís - MA</t>
        </is>
      </c>
      <c r="C2725" s="6" t="n">
        <v>-2.53874</v>
      </c>
      <c r="D2725" s="6" t="n">
        <v>-44.2825</v>
      </c>
      <c r="E2725" s="6" t="inlineStr">
        <is>
          <t>2024-12</t>
        </is>
      </c>
      <c r="F2725" s="6" t="n">
        <v>38681.7957320057</v>
      </c>
      <c r="G2725" s="6" t="inlineStr">
        <is>
          <t>DOMESTICA</t>
        </is>
      </c>
      <c r="H2725" s="6" t="inlineStr">
        <is>
          <t>FIXO</t>
        </is>
      </c>
      <c r="I2725" s="11">
        <f>IF($H2725="AUTO_OFERTA_TOTAL_PRODUTO_PERIODO",SUMIFS(Oferta!$F:$F,Oferta!$A:$A,$A2725,Oferta!$E:$E,$E2725),$F2725)</f>
        <v/>
      </c>
      <c r="J2725" s="6" t="inlineStr">
        <is>
          <t>Informado</t>
        </is>
      </c>
      <c r="K2725" s="6" t="inlineStr">
        <is>
          <t>Demanda doméstica fixa informada pelo usuário.</t>
        </is>
      </c>
    </row>
    <row r="2726">
      <c r="A2726" s="6" t="inlineStr">
        <is>
          <t>Soja</t>
        </is>
      </c>
      <c r="B2726" s="6" t="inlineStr">
        <is>
          <t>João Pessoa - PB</t>
        </is>
      </c>
      <c r="C2726" s="6" t="n">
        <v>-7.11509</v>
      </c>
      <c r="D2726" s="6" t="n">
        <v>-34.8641</v>
      </c>
      <c r="E2726" s="6" t="inlineStr">
        <is>
          <t>2024-01</t>
        </is>
      </c>
      <c r="F2726" s="6" t="n">
        <v>34497.4149961934</v>
      </c>
      <c r="G2726" s="6" t="inlineStr">
        <is>
          <t>DOMESTICA</t>
        </is>
      </c>
      <c r="H2726" s="6" t="inlineStr">
        <is>
          <t>FIXO</t>
        </is>
      </c>
      <c r="I2726" s="11">
        <f>IF($H2726="AUTO_OFERTA_TOTAL_PRODUTO_PERIODO",SUMIFS(Oferta!$F:$F,Oferta!$A:$A,$A2726,Oferta!$E:$E,$E2726),$F2726)</f>
        <v/>
      </c>
      <c r="J2726" s="6" t="inlineStr">
        <is>
          <t>Informado</t>
        </is>
      </c>
      <c r="K2726" s="6" t="inlineStr">
        <is>
          <t>Demanda doméstica fixa informada pelo usuário.</t>
        </is>
      </c>
    </row>
    <row r="2727">
      <c r="A2727" s="6" t="inlineStr">
        <is>
          <t>Soja</t>
        </is>
      </c>
      <c r="B2727" s="6" t="inlineStr">
        <is>
          <t>João Pessoa - PB</t>
        </is>
      </c>
      <c r="C2727" s="6" t="n">
        <v>-7.11509</v>
      </c>
      <c r="D2727" s="6" t="n">
        <v>-34.8641</v>
      </c>
      <c r="E2727" s="6" t="inlineStr">
        <is>
          <t>2024-02</t>
        </is>
      </c>
      <c r="F2727" s="6" t="n">
        <v>34497.4149961934</v>
      </c>
      <c r="G2727" s="6" t="inlineStr">
        <is>
          <t>DOMESTICA</t>
        </is>
      </c>
      <c r="H2727" s="6" t="inlineStr">
        <is>
          <t>FIXO</t>
        </is>
      </c>
      <c r="I2727" s="11">
        <f>IF($H2727="AUTO_OFERTA_TOTAL_PRODUTO_PERIODO",SUMIFS(Oferta!$F:$F,Oferta!$A:$A,$A2727,Oferta!$E:$E,$E2727),$F2727)</f>
        <v/>
      </c>
      <c r="J2727" s="6" t="inlineStr">
        <is>
          <t>Informado</t>
        </is>
      </c>
      <c r="K2727" s="6" t="inlineStr">
        <is>
          <t>Demanda doméstica fixa informada pelo usuário.</t>
        </is>
      </c>
    </row>
    <row r="2728">
      <c r="A2728" s="6" t="inlineStr">
        <is>
          <t>Soja</t>
        </is>
      </c>
      <c r="B2728" s="6" t="inlineStr">
        <is>
          <t>João Pessoa - PB</t>
        </is>
      </c>
      <c r="C2728" s="6" t="n">
        <v>-7.11509</v>
      </c>
      <c r="D2728" s="6" t="n">
        <v>-34.8641</v>
      </c>
      <c r="E2728" s="6" t="inlineStr">
        <is>
          <t>2024-03</t>
        </is>
      </c>
      <c r="F2728" s="6" t="n">
        <v>34497.4149961934</v>
      </c>
      <c r="G2728" s="6" t="inlineStr">
        <is>
          <t>DOMESTICA</t>
        </is>
      </c>
      <c r="H2728" s="6" t="inlineStr">
        <is>
          <t>FIXO</t>
        </is>
      </c>
      <c r="I2728" s="11">
        <f>IF($H2728="AUTO_OFERTA_TOTAL_PRODUTO_PERIODO",SUMIFS(Oferta!$F:$F,Oferta!$A:$A,$A2728,Oferta!$E:$E,$E2728),$F2728)</f>
        <v/>
      </c>
      <c r="J2728" s="6" t="inlineStr">
        <is>
          <t>Informado</t>
        </is>
      </c>
      <c r="K2728" s="6" t="inlineStr">
        <is>
          <t>Demanda doméstica fixa informada pelo usuário.</t>
        </is>
      </c>
    </row>
    <row r="2729">
      <c r="A2729" s="6" t="inlineStr">
        <is>
          <t>Soja</t>
        </is>
      </c>
      <c r="B2729" s="6" t="inlineStr">
        <is>
          <t>João Pessoa - PB</t>
        </is>
      </c>
      <c r="C2729" s="6" t="n">
        <v>-7.11509</v>
      </c>
      <c r="D2729" s="6" t="n">
        <v>-34.8641</v>
      </c>
      <c r="E2729" s="6" t="inlineStr">
        <is>
          <t>2024-04</t>
        </is>
      </c>
      <c r="F2729" s="6" t="n">
        <v>34497.4149961934</v>
      </c>
      <c r="G2729" s="6" t="inlineStr">
        <is>
          <t>DOMESTICA</t>
        </is>
      </c>
      <c r="H2729" s="6" t="inlineStr">
        <is>
          <t>FIXO</t>
        </is>
      </c>
      <c r="I2729" s="11">
        <f>IF($H2729="AUTO_OFERTA_TOTAL_PRODUTO_PERIODO",SUMIFS(Oferta!$F:$F,Oferta!$A:$A,$A2729,Oferta!$E:$E,$E2729),$F2729)</f>
        <v/>
      </c>
      <c r="J2729" s="6" t="inlineStr">
        <is>
          <t>Informado</t>
        </is>
      </c>
      <c r="K2729" s="6" t="inlineStr">
        <is>
          <t>Demanda doméstica fixa informada pelo usuário.</t>
        </is>
      </c>
    </row>
    <row r="2730">
      <c r="A2730" s="6" t="inlineStr">
        <is>
          <t>Soja</t>
        </is>
      </c>
      <c r="B2730" s="6" t="inlineStr">
        <is>
          <t>João Pessoa - PB</t>
        </is>
      </c>
      <c r="C2730" s="6" t="n">
        <v>-7.11509</v>
      </c>
      <c r="D2730" s="6" t="n">
        <v>-34.8641</v>
      </c>
      <c r="E2730" s="6" t="inlineStr">
        <is>
          <t>2024-05</t>
        </is>
      </c>
      <c r="F2730" s="6" t="n">
        <v>34497.4149961934</v>
      </c>
      <c r="G2730" s="6" t="inlineStr">
        <is>
          <t>DOMESTICA</t>
        </is>
      </c>
      <c r="H2730" s="6" t="inlineStr">
        <is>
          <t>FIXO</t>
        </is>
      </c>
      <c r="I2730" s="11">
        <f>IF($H2730="AUTO_OFERTA_TOTAL_PRODUTO_PERIODO",SUMIFS(Oferta!$F:$F,Oferta!$A:$A,$A2730,Oferta!$E:$E,$E2730),$F2730)</f>
        <v/>
      </c>
      <c r="J2730" s="6" t="inlineStr">
        <is>
          <t>Informado</t>
        </is>
      </c>
      <c r="K2730" s="6" t="inlineStr">
        <is>
          <t>Demanda doméstica fixa informada pelo usuário.</t>
        </is>
      </c>
    </row>
    <row r="2731">
      <c r="A2731" s="6" t="inlineStr">
        <is>
          <t>Soja</t>
        </is>
      </c>
      <c r="B2731" s="6" t="inlineStr">
        <is>
          <t>João Pessoa - PB</t>
        </is>
      </c>
      <c r="C2731" s="6" t="n">
        <v>-7.11509</v>
      </c>
      <c r="D2731" s="6" t="n">
        <v>-34.8641</v>
      </c>
      <c r="E2731" s="6" t="inlineStr">
        <is>
          <t>2024-06</t>
        </is>
      </c>
      <c r="F2731" s="6" t="n">
        <v>34497.4149961934</v>
      </c>
      <c r="G2731" s="6" t="inlineStr">
        <is>
          <t>DOMESTICA</t>
        </is>
      </c>
      <c r="H2731" s="6" t="inlineStr">
        <is>
          <t>FIXO</t>
        </is>
      </c>
      <c r="I2731" s="11">
        <f>IF($H2731="AUTO_OFERTA_TOTAL_PRODUTO_PERIODO",SUMIFS(Oferta!$F:$F,Oferta!$A:$A,$A2731,Oferta!$E:$E,$E2731),$F2731)</f>
        <v/>
      </c>
      <c r="J2731" s="6" t="inlineStr">
        <is>
          <t>Informado</t>
        </is>
      </c>
      <c r="K2731" s="6" t="inlineStr">
        <is>
          <t>Demanda doméstica fixa informada pelo usuário.</t>
        </is>
      </c>
    </row>
    <row r="2732">
      <c r="A2732" s="6" t="inlineStr">
        <is>
          <t>Soja</t>
        </is>
      </c>
      <c r="B2732" s="6" t="inlineStr">
        <is>
          <t>João Pessoa - PB</t>
        </is>
      </c>
      <c r="C2732" s="6" t="n">
        <v>-7.11509</v>
      </c>
      <c r="D2732" s="6" t="n">
        <v>-34.8641</v>
      </c>
      <c r="E2732" s="6" t="inlineStr">
        <is>
          <t>2024-07</t>
        </is>
      </c>
      <c r="F2732" s="6" t="n">
        <v>34497.4149961934</v>
      </c>
      <c r="G2732" s="6" t="inlineStr">
        <is>
          <t>DOMESTICA</t>
        </is>
      </c>
      <c r="H2732" s="6" t="inlineStr">
        <is>
          <t>FIXO</t>
        </is>
      </c>
      <c r="I2732" s="11">
        <f>IF($H2732="AUTO_OFERTA_TOTAL_PRODUTO_PERIODO",SUMIFS(Oferta!$F:$F,Oferta!$A:$A,$A2732,Oferta!$E:$E,$E2732),$F2732)</f>
        <v/>
      </c>
      <c r="J2732" s="6" t="inlineStr">
        <is>
          <t>Informado</t>
        </is>
      </c>
      <c r="K2732" s="6" t="inlineStr">
        <is>
          <t>Demanda doméstica fixa informada pelo usuário.</t>
        </is>
      </c>
    </row>
    <row r="2733">
      <c r="A2733" s="6" t="inlineStr">
        <is>
          <t>Soja</t>
        </is>
      </c>
      <c r="B2733" s="6" t="inlineStr">
        <is>
          <t>João Pessoa - PB</t>
        </is>
      </c>
      <c r="C2733" s="6" t="n">
        <v>-7.11509</v>
      </c>
      <c r="D2733" s="6" t="n">
        <v>-34.8641</v>
      </c>
      <c r="E2733" s="6" t="inlineStr">
        <is>
          <t>2024-08</t>
        </is>
      </c>
      <c r="F2733" s="6" t="n">
        <v>34497.4149961934</v>
      </c>
      <c r="G2733" s="6" t="inlineStr">
        <is>
          <t>DOMESTICA</t>
        </is>
      </c>
      <c r="H2733" s="6" t="inlineStr">
        <is>
          <t>FIXO</t>
        </is>
      </c>
      <c r="I2733" s="11">
        <f>IF($H2733="AUTO_OFERTA_TOTAL_PRODUTO_PERIODO",SUMIFS(Oferta!$F:$F,Oferta!$A:$A,$A2733,Oferta!$E:$E,$E2733),$F2733)</f>
        <v/>
      </c>
      <c r="J2733" s="6" t="inlineStr">
        <is>
          <t>Informado</t>
        </is>
      </c>
      <c r="K2733" s="6" t="inlineStr">
        <is>
          <t>Demanda doméstica fixa informada pelo usuário.</t>
        </is>
      </c>
    </row>
    <row r="2734">
      <c r="A2734" s="6" t="inlineStr">
        <is>
          <t>Soja</t>
        </is>
      </c>
      <c r="B2734" s="6" t="inlineStr">
        <is>
          <t>João Pessoa - PB</t>
        </is>
      </c>
      <c r="C2734" s="6" t="n">
        <v>-7.11509</v>
      </c>
      <c r="D2734" s="6" t="n">
        <v>-34.8641</v>
      </c>
      <c r="E2734" s="6" t="inlineStr">
        <is>
          <t>2024-09</t>
        </is>
      </c>
      <c r="F2734" s="6" t="n">
        <v>34497.4149961934</v>
      </c>
      <c r="G2734" s="6" t="inlineStr">
        <is>
          <t>DOMESTICA</t>
        </is>
      </c>
      <c r="H2734" s="6" t="inlineStr">
        <is>
          <t>FIXO</t>
        </is>
      </c>
      <c r="I2734" s="11">
        <f>IF($H2734="AUTO_OFERTA_TOTAL_PRODUTO_PERIODO",SUMIFS(Oferta!$F:$F,Oferta!$A:$A,$A2734,Oferta!$E:$E,$E2734),$F2734)</f>
        <v/>
      </c>
      <c r="J2734" s="6" t="inlineStr">
        <is>
          <t>Informado</t>
        </is>
      </c>
      <c r="K2734" s="6" t="inlineStr">
        <is>
          <t>Demanda doméstica fixa informada pelo usuário.</t>
        </is>
      </c>
    </row>
    <row r="2735">
      <c r="A2735" s="6" t="inlineStr">
        <is>
          <t>Soja</t>
        </is>
      </c>
      <c r="B2735" s="6" t="inlineStr">
        <is>
          <t>João Pessoa - PB</t>
        </is>
      </c>
      <c r="C2735" s="6" t="n">
        <v>-7.11509</v>
      </c>
      <c r="D2735" s="6" t="n">
        <v>-34.8641</v>
      </c>
      <c r="E2735" s="6" t="inlineStr">
        <is>
          <t>2024-10</t>
        </is>
      </c>
      <c r="F2735" s="6" t="n">
        <v>34497.4149961934</v>
      </c>
      <c r="G2735" s="6" t="inlineStr">
        <is>
          <t>DOMESTICA</t>
        </is>
      </c>
      <c r="H2735" s="6" t="inlineStr">
        <is>
          <t>FIXO</t>
        </is>
      </c>
      <c r="I2735" s="11">
        <f>IF($H2735="AUTO_OFERTA_TOTAL_PRODUTO_PERIODO",SUMIFS(Oferta!$F:$F,Oferta!$A:$A,$A2735,Oferta!$E:$E,$E2735),$F2735)</f>
        <v/>
      </c>
      <c r="J2735" s="6" t="inlineStr">
        <is>
          <t>Informado</t>
        </is>
      </c>
      <c r="K2735" s="6" t="inlineStr">
        <is>
          <t>Demanda doméstica fixa informada pelo usuário.</t>
        </is>
      </c>
    </row>
    <row r="2736">
      <c r="A2736" s="6" t="inlineStr">
        <is>
          <t>Soja</t>
        </is>
      </c>
      <c r="B2736" s="6" t="inlineStr">
        <is>
          <t>João Pessoa - PB</t>
        </is>
      </c>
      <c r="C2736" s="6" t="n">
        <v>-7.11509</v>
      </c>
      <c r="D2736" s="6" t="n">
        <v>-34.8641</v>
      </c>
      <c r="E2736" s="6" t="inlineStr">
        <is>
          <t>2024-11</t>
        </is>
      </c>
      <c r="F2736" s="6" t="n">
        <v>34497.4149961934</v>
      </c>
      <c r="G2736" s="6" t="inlineStr">
        <is>
          <t>DOMESTICA</t>
        </is>
      </c>
      <c r="H2736" s="6" t="inlineStr">
        <is>
          <t>FIXO</t>
        </is>
      </c>
      <c r="I2736" s="11">
        <f>IF($H2736="AUTO_OFERTA_TOTAL_PRODUTO_PERIODO",SUMIFS(Oferta!$F:$F,Oferta!$A:$A,$A2736,Oferta!$E:$E,$E2736),$F2736)</f>
        <v/>
      </c>
      <c r="J2736" s="6" t="inlineStr">
        <is>
          <t>Informado</t>
        </is>
      </c>
      <c r="K2736" s="6" t="inlineStr">
        <is>
          <t>Demanda doméstica fixa informada pelo usuário.</t>
        </is>
      </c>
    </row>
    <row r="2737">
      <c r="A2737" s="6" t="inlineStr">
        <is>
          <t>Soja</t>
        </is>
      </c>
      <c r="B2737" s="6" t="inlineStr">
        <is>
          <t>João Pessoa - PB</t>
        </is>
      </c>
      <c r="C2737" s="6" t="n">
        <v>-7.11509</v>
      </c>
      <c r="D2737" s="6" t="n">
        <v>-34.8641</v>
      </c>
      <c r="E2737" s="6" t="inlineStr">
        <is>
          <t>2024-12</t>
        </is>
      </c>
      <c r="F2737" s="6" t="n">
        <v>34497.4149961934</v>
      </c>
      <c r="G2737" s="6" t="inlineStr">
        <is>
          <t>DOMESTICA</t>
        </is>
      </c>
      <c r="H2737" s="6" t="inlineStr">
        <is>
          <t>FIXO</t>
        </is>
      </c>
      <c r="I2737" s="11">
        <f>IF($H2737="AUTO_OFERTA_TOTAL_PRODUTO_PERIODO",SUMIFS(Oferta!$F:$F,Oferta!$A:$A,$A2737,Oferta!$E:$E,$E2737),$F2737)</f>
        <v/>
      </c>
      <c r="J2737" s="6" t="inlineStr">
        <is>
          <t>Informado</t>
        </is>
      </c>
      <c r="K2737" s="6" t="inlineStr">
        <is>
          <t>Demanda doméstica fixa informada pelo usuário.</t>
        </is>
      </c>
    </row>
    <row r="2738">
      <c r="A2738" s="6" t="inlineStr">
        <is>
          <t>Soja</t>
        </is>
      </c>
      <c r="B2738" s="6" t="inlineStr">
        <is>
          <t>Recife - PE</t>
        </is>
      </c>
      <c r="C2738" s="6" t="n">
        <v>-8.046659999999999</v>
      </c>
      <c r="D2738" s="6" t="n">
        <v>-34.8771</v>
      </c>
      <c r="E2738" s="6" t="inlineStr">
        <is>
          <t>2024-01</t>
        </is>
      </c>
      <c r="F2738" s="6" t="n">
        <v>107011.0761427697</v>
      </c>
      <c r="G2738" s="6" t="inlineStr">
        <is>
          <t>DOMESTICA</t>
        </is>
      </c>
      <c r="H2738" s="6" t="inlineStr">
        <is>
          <t>FIXO</t>
        </is>
      </c>
      <c r="I2738" s="11">
        <f>IF($H2738="AUTO_OFERTA_TOTAL_PRODUTO_PERIODO",SUMIFS(Oferta!$F:$F,Oferta!$A:$A,$A2738,Oferta!$E:$E,$E2738),$F2738)</f>
        <v/>
      </c>
      <c r="J2738" s="6" t="inlineStr">
        <is>
          <t>Informado</t>
        </is>
      </c>
      <c r="K2738" s="6" t="inlineStr">
        <is>
          <t>Demanda doméstica fixa informada pelo usuário.</t>
        </is>
      </c>
    </row>
    <row r="2739">
      <c r="A2739" s="6" t="inlineStr">
        <is>
          <t>Soja</t>
        </is>
      </c>
      <c r="B2739" s="6" t="inlineStr">
        <is>
          <t>Recife - PE</t>
        </is>
      </c>
      <c r="C2739" s="6" t="n">
        <v>-8.046659999999999</v>
      </c>
      <c r="D2739" s="6" t="n">
        <v>-34.8771</v>
      </c>
      <c r="E2739" s="6" t="inlineStr">
        <is>
          <t>2024-02</t>
        </is>
      </c>
      <c r="F2739" s="6" t="n">
        <v>107011.0761427697</v>
      </c>
      <c r="G2739" s="6" t="inlineStr">
        <is>
          <t>DOMESTICA</t>
        </is>
      </c>
      <c r="H2739" s="6" t="inlineStr">
        <is>
          <t>FIXO</t>
        </is>
      </c>
      <c r="I2739" s="11">
        <f>IF($H2739="AUTO_OFERTA_TOTAL_PRODUTO_PERIODO",SUMIFS(Oferta!$F:$F,Oferta!$A:$A,$A2739,Oferta!$E:$E,$E2739),$F2739)</f>
        <v/>
      </c>
      <c r="J2739" s="6" t="inlineStr">
        <is>
          <t>Informado</t>
        </is>
      </c>
      <c r="K2739" s="6" t="inlineStr">
        <is>
          <t>Demanda doméstica fixa informada pelo usuário.</t>
        </is>
      </c>
    </row>
    <row r="2740">
      <c r="A2740" s="6" t="inlineStr">
        <is>
          <t>Soja</t>
        </is>
      </c>
      <c r="B2740" s="6" t="inlineStr">
        <is>
          <t>Recife - PE</t>
        </is>
      </c>
      <c r="C2740" s="6" t="n">
        <v>-8.046659999999999</v>
      </c>
      <c r="D2740" s="6" t="n">
        <v>-34.8771</v>
      </c>
      <c r="E2740" s="6" t="inlineStr">
        <is>
          <t>2024-03</t>
        </is>
      </c>
      <c r="F2740" s="6" t="n">
        <v>107011.0761427697</v>
      </c>
      <c r="G2740" s="6" t="inlineStr">
        <is>
          <t>DOMESTICA</t>
        </is>
      </c>
      <c r="H2740" s="6" t="inlineStr">
        <is>
          <t>FIXO</t>
        </is>
      </c>
      <c r="I2740" s="11">
        <f>IF($H2740="AUTO_OFERTA_TOTAL_PRODUTO_PERIODO",SUMIFS(Oferta!$F:$F,Oferta!$A:$A,$A2740,Oferta!$E:$E,$E2740),$F2740)</f>
        <v/>
      </c>
      <c r="J2740" s="6" t="inlineStr">
        <is>
          <t>Informado</t>
        </is>
      </c>
      <c r="K2740" s="6" t="inlineStr">
        <is>
          <t>Demanda doméstica fixa informada pelo usuário.</t>
        </is>
      </c>
    </row>
    <row r="2741">
      <c r="A2741" s="6" t="inlineStr">
        <is>
          <t>Soja</t>
        </is>
      </c>
      <c r="B2741" s="6" t="inlineStr">
        <is>
          <t>Recife - PE</t>
        </is>
      </c>
      <c r="C2741" s="6" t="n">
        <v>-8.046659999999999</v>
      </c>
      <c r="D2741" s="6" t="n">
        <v>-34.8771</v>
      </c>
      <c r="E2741" s="6" t="inlineStr">
        <is>
          <t>2024-04</t>
        </is>
      </c>
      <c r="F2741" s="6" t="n">
        <v>107011.0761427697</v>
      </c>
      <c r="G2741" s="6" t="inlineStr">
        <is>
          <t>DOMESTICA</t>
        </is>
      </c>
      <c r="H2741" s="6" t="inlineStr">
        <is>
          <t>FIXO</t>
        </is>
      </c>
      <c r="I2741" s="11">
        <f>IF($H2741="AUTO_OFERTA_TOTAL_PRODUTO_PERIODO",SUMIFS(Oferta!$F:$F,Oferta!$A:$A,$A2741,Oferta!$E:$E,$E2741),$F2741)</f>
        <v/>
      </c>
      <c r="J2741" s="6" t="inlineStr">
        <is>
          <t>Informado</t>
        </is>
      </c>
      <c r="K2741" s="6" t="inlineStr">
        <is>
          <t>Demanda doméstica fixa informada pelo usuário.</t>
        </is>
      </c>
    </row>
    <row r="2742">
      <c r="A2742" s="6" t="inlineStr">
        <is>
          <t>Soja</t>
        </is>
      </c>
      <c r="B2742" s="6" t="inlineStr">
        <is>
          <t>Recife - PE</t>
        </is>
      </c>
      <c r="C2742" s="6" t="n">
        <v>-8.046659999999999</v>
      </c>
      <c r="D2742" s="6" t="n">
        <v>-34.8771</v>
      </c>
      <c r="E2742" s="6" t="inlineStr">
        <is>
          <t>2024-05</t>
        </is>
      </c>
      <c r="F2742" s="6" t="n">
        <v>107011.0761427697</v>
      </c>
      <c r="G2742" s="6" t="inlineStr">
        <is>
          <t>DOMESTICA</t>
        </is>
      </c>
      <c r="H2742" s="6" t="inlineStr">
        <is>
          <t>FIXO</t>
        </is>
      </c>
      <c r="I2742" s="11">
        <f>IF($H2742="AUTO_OFERTA_TOTAL_PRODUTO_PERIODO",SUMIFS(Oferta!$F:$F,Oferta!$A:$A,$A2742,Oferta!$E:$E,$E2742),$F2742)</f>
        <v/>
      </c>
      <c r="J2742" s="6" t="inlineStr">
        <is>
          <t>Informado</t>
        </is>
      </c>
      <c r="K2742" s="6" t="inlineStr">
        <is>
          <t>Demanda doméstica fixa informada pelo usuário.</t>
        </is>
      </c>
    </row>
    <row r="2743">
      <c r="A2743" s="6" t="inlineStr">
        <is>
          <t>Soja</t>
        </is>
      </c>
      <c r="B2743" s="6" t="inlineStr">
        <is>
          <t>Recife - PE</t>
        </is>
      </c>
      <c r="C2743" s="6" t="n">
        <v>-8.046659999999999</v>
      </c>
      <c r="D2743" s="6" t="n">
        <v>-34.8771</v>
      </c>
      <c r="E2743" s="6" t="inlineStr">
        <is>
          <t>2024-06</t>
        </is>
      </c>
      <c r="F2743" s="6" t="n">
        <v>107011.0761427697</v>
      </c>
      <c r="G2743" s="6" t="inlineStr">
        <is>
          <t>DOMESTICA</t>
        </is>
      </c>
      <c r="H2743" s="6" t="inlineStr">
        <is>
          <t>FIXO</t>
        </is>
      </c>
      <c r="I2743" s="11">
        <f>IF($H2743="AUTO_OFERTA_TOTAL_PRODUTO_PERIODO",SUMIFS(Oferta!$F:$F,Oferta!$A:$A,$A2743,Oferta!$E:$E,$E2743),$F2743)</f>
        <v/>
      </c>
      <c r="J2743" s="6" t="inlineStr">
        <is>
          <t>Informado</t>
        </is>
      </c>
      <c r="K2743" s="6" t="inlineStr">
        <is>
          <t>Demanda doméstica fixa informada pelo usuário.</t>
        </is>
      </c>
    </row>
    <row r="2744">
      <c r="A2744" s="6" t="inlineStr">
        <is>
          <t>Soja</t>
        </is>
      </c>
      <c r="B2744" s="6" t="inlineStr">
        <is>
          <t>Recife - PE</t>
        </is>
      </c>
      <c r="C2744" s="6" t="n">
        <v>-8.046659999999999</v>
      </c>
      <c r="D2744" s="6" t="n">
        <v>-34.8771</v>
      </c>
      <c r="E2744" s="6" t="inlineStr">
        <is>
          <t>2024-07</t>
        </is>
      </c>
      <c r="F2744" s="6" t="n">
        <v>107011.0761427697</v>
      </c>
      <c r="G2744" s="6" t="inlineStr">
        <is>
          <t>DOMESTICA</t>
        </is>
      </c>
      <c r="H2744" s="6" t="inlineStr">
        <is>
          <t>FIXO</t>
        </is>
      </c>
      <c r="I2744" s="11">
        <f>IF($H2744="AUTO_OFERTA_TOTAL_PRODUTO_PERIODO",SUMIFS(Oferta!$F:$F,Oferta!$A:$A,$A2744,Oferta!$E:$E,$E2744),$F2744)</f>
        <v/>
      </c>
      <c r="J2744" s="6" t="inlineStr">
        <is>
          <t>Informado</t>
        </is>
      </c>
      <c r="K2744" s="6" t="inlineStr">
        <is>
          <t>Demanda doméstica fixa informada pelo usuário.</t>
        </is>
      </c>
    </row>
    <row r="2745">
      <c r="A2745" s="6" t="inlineStr">
        <is>
          <t>Soja</t>
        </is>
      </c>
      <c r="B2745" s="6" t="inlineStr">
        <is>
          <t>Recife - PE</t>
        </is>
      </c>
      <c r="C2745" s="6" t="n">
        <v>-8.046659999999999</v>
      </c>
      <c r="D2745" s="6" t="n">
        <v>-34.8771</v>
      </c>
      <c r="E2745" s="6" t="inlineStr">
        <is>
          <t>2024-08</t>
        </is>
      </c>
      <c r="F2745" s="6" t="n">
        <v>107011.0761427697</v>
      </c>
      <c r="G2745" s="6" t="inlineStr">
        <is>
          <t>DOMESTICA</t>
        </is>
      </c>
      <c r="H2745" s="6" t="inlineStr">
        <is>
          <t>FIXO</t>
        </is>
      </c>
      <c r="I2745" s="11">
        <f>IF($H2745="AUTO_OFERTA_TOTAL_PRODUTO_PERIODO",SUMIFS(Oferta!$F:$F,Oferta!$A:$A,$A2745,Oferta!$E:$E,$E2745),$F2745)</f>
        <v/>
      </c>
      <c r="J2745" s="6" t="inlineStr">
        <is>
          <t>Informado</t>
        </is>
      </c>
      <c r="K2745" s="6" t="inlineStr">
        <is>
          <t>Demanda doméstica fixa informada pelo usuário.</t>
        </is>
      </c>
    </row>
    <row r="2746">
      <c r="A2746" s="6" t="inlineStr">
        <is>
          <t>Soja</t>
        </is>
      </c>
      <c r="B2746" s="6" t="inlineStr">
        <is>
          <t>Recife - PE</t>
        </is>
      </c>
      <c r="C2746" s="6" t="n">
        <v>-8.046659999999999</v>
      </c>
      <c r="D2746" s="6" t="n">
        <v>-34.8771</v>
      </c>
      <c r="E2746" s="6" t="inlineStr">
        <is>
          <t>2024-09</t>
        </is>
      </c>
      <c r="F2746" s="6" t="n">
        <v>107011.0761427697</v>
      </c>
      <c r="G2746" s="6" t="inlineStr">
        <is>
          <t>DOMESTICA</t>
        </is>
      </c>
      <c r="H2746" s="6" t="inlineStr">
        <is>
          <t>FIXO</t>
        </is>
      </c>
      <c r="I2746" s="11">
        <f>IF($H2746="AUTO_OFERTA_TOTAL_PRODUTO_PERIODO",SUMIFS(Oferta!$F:$F,Oferta!$A:$A,$A2746,Oferta!$E:$E,$E2746),$F2746)</f>
        <v/>
      </c>
      <c r="J2746" s="6" t="inlineStr">
        <is>
          <t>Informado</t>
        </is>
      </c>
      <c r="K2746" s="6" t="inlineStr">
        <is>
          <t>Demanda doméstica fixa informada pelo usuário.</t>
        </is>
      </c>
    </row>
    <row r="2747">
      <c r="A2747" s="6" t="inlineStr">
        <is>
          <t>Soja</t>
        </is>
      </c>
      <c r="B2747" s="6" t="inlineStr">
        <is>
          <t>Recife - PE</t>
        </is>
      </c>
      <c r="C2747" s="6" t="n">
        <v>-8.046659999999999</v>
      </c>
      <c r="D2747" s="6" t="n">
        <v>-34.8771</v>
      </c>
      <c r="E2747" s="6" t="inlineStr">
        <is>
          <t>2024-10</t>
        </is>
      </c>
      <c r="F2747" s="6" t="n">
        <v>107011.0761427697</v>
      </c>
      <c r="G2747" s="6" t="inlineStr">
        <is>
          <t>DOMESTICA</t>
        </is>
      </c>
      <c r="H2747" s="6" t="inlineStr">
        <is>
          <t>FIXO</t>
        </is>
      </c>
      <c r="I2747" s="11">
        <f>IF($H2747="AUTO_OFERTA_TOTAL_PRODUTO_PERIODO",SUMIFS(Oferta!$F:$F,Oferta!$A:$A,$A2747,Oferta!$E:$E,$E2747),$F2747)</f>
        <v/>
      </c>
      <c r="J2747" s="6" t="inlineStr">
        <is>
          <t>Informado</t>
        </is>
      </c>
      <c r="K2747" s="6" t="inlineStr">
        <is>
          <t>Demanda doméstica fixa informada pelo usuário.</t>
        </is>
      </c>
    </row>
    <row r="2748">
      <c r="A2748" s="6" t="inlineStr">
        <is>
          <t>Soja</t>
        </is>
      </c>
      <c r="B2748" s="6" t="inlineStr">
        <is>
          <t>Recife - PE</t>
        </is>
      </c>
      <c r="C2748" s="6" t="n">
        <v>-8.046659999999999</v>
      </c>
      <c r="D2748" s="6" t="n">
        <v>-34.8771</v>
      </c>
      <c r="E2748" s="6" t="inlineStr">
        <is>
          <t>2024-11</t>
        </is>
      </c>
      <c r="F2748" s="6" t="n">
        <v>107011.0761427697</v>
      </c>
      <c r="G2748" s="6" t="inlineStr">
        <is>
          <t>DOMESTICA</t>
        </is>
      </c>
      <c r="H2748" s="6" t="inlineStr">
        <is>
          <t>FIXO</t>
        </is>
      </c>
      <c r="I2748" s="11">
        <f>IF($H2748="AUTO_OFERTA_TOTAL_PRODUTO_PERIODO",SUMIFS(Oferta!$F:$F,Oferta!$A:$A,$A2748,Oferta!$E:$E,$E2748),$F2748)</f>
        <v/>
      </c>
      <c r="J2748" s="6" t="inlineStr">
        <is>
          <t>Informado</t>
        </is>
      </c>
      <c r="K2748" s="6" t="inlineStr">
        <is>
          <t>Demanda doméstica fixa informada pelo usuário.</t>
        </is>
      </c>
    </row>
    <row r="2749">
      <c r="A2749" s="6" t="inlineStr">
        <is>
          <t>Soja</t>
        </is>
      </c>
      <c r="B2749" s="6" t="inlineStr">
        <is>
          <t>Recife - PE</t>
        </is>
      </c>
      <c r="C2749" s="6" t="n">
        <v>-8.046659999999999</v>
      </c>
      <c r="D2749" s="6" t="n">
        <v>-34.8771</v>
      </c>
      <c r="E2749" s="6" t="inlineStr">
        <is>
          <t>2024-12</t>
        </is>
      </c>
      <c r="F2749" s="6" t="n">
        <v>107011.0761427697</v>
      </c>
      <c r="G2749" s="6" t="inlineStr">
        <is>
          <t>DOMESTICA</t>
        </is>
      </c>
      <c r="H2749" s="6" t="inlineStr">
        <is>
          <t>FIXO</t>
        </is>
      </c>
      <c r="I2749" s="11">
        <f>IF($H2749="AUTO_OFERTA_TOTAL_PRODUTO_PERIODO",SUMIFS(Oferta!$F:$F,Oferta!$A:$A,$A2749,Oferta!$E:$E,$E2749),$F2749)</f>
        <v/>
      </c>
      <c r="J2749" s="6" t="inlineStr">
        <is>
          <t>Informado</t>
        </is>
      </c>
      <c r="K2749" s="6" t="inlineStr">
        <is>
          <t>Demanda doméstica fixa informada pelo usuário.</t>
        </is>
      </c>
    </row>
    <row r="2750">
      <c r="A2750" s="6" t="inlineStr">
        <is>
          <t>Soja</t>
        </is>
      </c>
      <c r="B2750" s="6" t="inlineStr">
        <is>
          <t>Teresina - PI</t>
        </is>
      </c>
      <c r="C2750" s="6" t="n">
        <v>-5.09194</v>
      </c>
      <c r="D2750" s="6" t="n">
        <v>-42.8034</v>
      </c>
      <c r="E2750" s="6" t="inlineStr">
        <is>
          <t>2024-01</t>
        </is>
      </c>
      <c r="F2750" s="6" t="n">
        <v>21328.9019144191</v>
      </c>
      <c r="G2750" s="6" t="inlineStr">
        <is>
          <t>DOMESTICA</t>
        </is>
      </c>
      <c r="H2750" s="6" t="inlineStr">
        <is>
          <t>FIXO</t>
        </is>
      </c>
      <c r="I2750" s="11">
        <f>IF($H2750="AUTO_OFERTA_TOTAL_PRODUTO_PERIODO",SUMIFS(Oferta!$F:$F,Oferta!$A:$A,$A2750,Oferta!$E:$E,$E2750),$F2750)</f>
        <v/>
      </c>
      <c r="J2750" s="6" t="inlineStr">
        <is>
          <t>Informado</t>
        </is>
      </c>
      <c r="K2750" s="6" t="inlineStr">
        <is>
          <t>Demanda doméstica fixa informada pelo usuário.</t>
        </is>
      </c>
    </row>
    <row r="2751">
      <c r="A2751" s="6" t="inlineStr">
        <is>
          <t>Soja</t>
        </is>
      </c>
      <c r="B2751" s="6" t="inlineStr">
        <is>
          <t>Teresina - PI</t>
        </is>
      </c>
      <c r="C2751" s="6" t="n">
        <v>-5.09194</v>
      </c>
      <c r="D2751" s="6" t="n">
        <v>-42.8034</v>
      </c>
      <c r="E2751" s="6" t="inlineStr">
        <is>
          <t>2024-02</t>
        </is>
      </c>
      <c r="F2751" s="6" t="n">
        <v>21328.9019144191</v>
      </c>
      <c r="G2751" s="6" t="inlineStr">
        <is>
          <t>DOMESTICA</t>
        </is>
      </c>
      <c r="H2751" s="6" t="inlineStr">
        <is>
          <t>FIXO</t>
        </is>
      </c>
      <c r="I2751" s="11">
        <f>IF($H2751="AUTO_OFERTA_TOTAL_PRODUTO_PERIODO",SUMIFS(Oferta!$F:$F,Oferta!$A:$A,$A2751,Oferta!$E:$E,$E2751),$F2751)</f>
        <v/>
      </c>
      <c r="J2751" s="6" t="inlineStr">
        <is>
          <t>Informado</t>
        </is>
      </c>
      <c r="K2751" s="6" t="inlineStr">
        <is>
          <t>Demanda doméstica fixa informada pelo usuário.</t>
        </is>
      </c>
    </row>
    <row r="2752">
      <c r="A2752" s="6" t="inlineStr">
        <is>
          <t>Soja</t>
        </is>
      </c>
      <c r="B2752" s="6" t="inlineStr">
        <is>
          <t>Teresina - PI</t>
        </is>
      </c>
      <c r="C2752" s="6" t="n">
        <v>-5.09194</v>
      </c>
      <c r="D2752" s="6" t="n">
        <v>-42.8034</v>
      </c>
      <c r="E2752" s="6" t="inlineStr">
        <is>
          <t>2024-03</t>
        </is>
      </c>
      <c r="F2752" s="6" t="n">
        <v>34206.7294853892</v>
      </c>
      <c r="G2752" s="6" t="inlineStr">
        <is>
          <t>DOMESTICA</t>
        </is>
      </c>
      <c r="H2752" s="6" t="inlineStr">
        <is>
          <t>FIXO</t>
        </is>
      </c>
      <c r="I2752" s="11">
        <f>IF($H2752="AUTO_OFERTA_TOTAL_PRODUTO_PERIODO",SUMIFS(Oferta!$F:$F,Oferta!$A:$A,$A2752,Oferta!$E:$E,$E2752),$F2752)</f>
        <v/>
      </c>
      <c r="J2752" s="6" t="inlineStr">
        <is>
          <t>Informado</t>
        </is>
      </c>
      <c r="K2752" s="6" t="inlineStr">
        <is>
          <t>Demanda doméstica fixa informada pelo usuário.</t>
        </is>
      </c>
    </row>
    <row r="2753">
      <c r="A2753" s="6" t="inlineStr">
        <is>
          <t>Soja</t>
        </is>
      </c>
      <c r="B2753" s="6" t="inlineStr">
        <is>
          <t>Teresina - PI</t>
        </is>
      </c>
      <c r="C2753" s="6" t="n">
        <v>-5.09194</v>
      </c>
      <c r="D2753" s="6" t="n">
        <v>-42.8034</v>
      </c>
      <c r="E2753" s="6" t="inlineStr">
        <is>
          <t>2024-04</t>
        </is>
      </c>
      <c r="F2753" s="6" t="n">
        <v>47084.5570563592</v>
      </c>
      <c r="G2753" s="6" t="inlineStr">
        <is>
          <t>DOMESTICA</t>
        </is>
      </c>
      <c r="H2753" s="6" t="inlineStr">
        <is>
          <t>FIXO</t>
        </is>
      </c>
      <c r="I2753" s="11">
        <f>IF($H2753="AUTO_OFERTA_TOTAL_PRODUTO_PERIODO",SUMIFS(Oferta!$F:$F,Oferta!$A:$A,$A2753,Oferta!$E:$E,$E2753),$F2753)</f>
        <v/>
      </c>
      <c r="J2753" s="6" t="inlineStr">
        <is>
          <t>Informado</t>
        </is>
      </c>
      <c r="K2753" s="6" t="inlineStr">
        <is>
          <t>Demanda doméstica fixa informada pelo usuário.</t>
        </is>
      </c>
    </row>
    <row r="2754">
      <c r="A2754" s="6" t="inlineStr">
        <is>
          <t>Soja</t>
        </is>
      </c>
      <c r="B2754" s="6" t="inlineStr">
        <is>
          <t>Teresina - PI</t>
        </is>
      </c>
      <c r="C2754" s="6" t="n">
        <v>-5.09194</v>
      </c>
      <c r="D2754" s="6" t="n">
        <v>-42.8034</v>
      </c>
      <c r="E2754" s="6" t="inlineStr">
        <is>
          <t>2024-05</t>
        </is>
      </c>
      <c r="F2754" s="6" t="n">
        <v>85718.03976926929</v>
      </c>
      <c r="G2754" s="6" t="inlineStr">
        <is>
          <t>DOMESTICA</t>
        </is>
      </c>
      <c r="H2754" s="6" t="inlineStr">
        <is>
          <t>FIXO</t>
        </is>
      </c>
      <c r="I2754" s="11">
        <f>IF($H2754="AUTO_OFERTA_TOTAL_PRODUTO_PERIODO",SUMIFS(Oferta!$F:$F,Oferta!$A:$A,$A2754,Oferta!$E:$E,$E2754),$F2754)</f>
        <v/>
      </c>
      <c r="J2754" s="6" t="inlineStr">
        <is>
          <t>Informado</t>
        </is>
      </c>
      <c r="K2754" s="6" t="inlineStr">
        <is>
          <t>Demanda doméstica fixa informada pelo usuário.</t>
        </is>
      </c>
    </row>
    <row r="2755">
      <c r="A2755" s="6" t="inlineStr">
        <is>
          <t>Soja</t>
        </is>
      </c>
      <c r="B2755" s="6" t="inlineStr">
        <is>
          <t>Teresina - PI</t>
        </is>
      </c>
      <c r="C2755" s="6" t="n">
        <v>-5.09194</v>
      </c>
      <c r="D2755" s="6" t="n">
        <v>-42.8034</v>
      </c>
      <c r="E2755" s="6" t="inlineStr">
        <is>
          <t>2024-06</t>
        </is>
      </c>
      <c r="F2755" s="6" t="n">
        <v>85718.03976926929</v>
      </c>
      <c r="G2755" s="6" t="inlineStr">
        <is>
          <t>DOMESTICA</t>
        </is>
      </c>
      <c r="H2755" s="6" t="inlineStr">
        <is>
          <t>FIXO</t>
        </is>
      </c>
      <c r="I2755" s="11">
        <f>IF($H2755="AUTO_OFERTA_TOTAL_PRODUTO_PERIODO",SUMIFS(Oferta!$F:$F,Oferta!$A:$A,$A2755,Oferta!$E:$E,$E2755),$F2755)</f>
        <v/>
      </c>
      <c r="J2755" s="6" t="inlineStr">
        <is>
          <t>Informado</t>
        </is>
      </c>
      <c r="K2755" s="6" t="inlineStr">
        <is>
          <t>Demanda doméstica fixa informada pelo usuário.</t>
        </is>
      </c>
    </row>
    <row r="2756">
      <c r="A2756" s="6" t="inlineStr">
        <is>
          <t>Soja</t>
        </is>
      </c>
      <c r="B2756" s="6" t="inlineStr">
        <is>
          <t>Teresina - PI</t>
        </is>
      </c>
      <c r="C2756" s="6" t="n">
        <v>-5.09194</v>
      </c>
      <c r="D2756" s="6" t="n">
        <v>-42.8034</v>
      </c>
      <c r="E2756" s="6" t="inlineStr">
        <is>
          <t>2024-07</t>
        </is>
      </c>
      <c r="F2756" s="6" t="n">
        <v>72840.2121982993</v>
      </c>
      <c r="G2756" s="6" t="inlineStr">
        <is>
          <t>DOMESTICA</t>
        </is>
      </c>
      <c r="H2756" s="6" t="inlineStr">
        <is>
          <t>FIXO</t>
        </is>
      </c>
      <c r="I2756" s="11">
        <f>IF($H2756="AUTO_OFERTA_TOTAL_PRODUTO_PERIODO",SUMIFS(Oferta!$F:$F,Oferta!$A:$A,$A2756,Oferta!$E:$E,$E2756),$F2756)</f>
        <v/>
      </c>
      <c r="J2756" s="6" t="inlineStr">
        <is>
          <t>Informado</t>
        </is>
      </c>
      <c r="K2756" s="6" t="inlineStr">
        <is>
          <t>Demanda doméstica fixa informada pelo usuário.</t>
        </is>
      </c>
    </row>
    <row r="2757">
      <c r="A2757" s="6" t="inlineStr">
        <is>
          <t>Soja</t>
        </is>
      </c>
      <c r="B2757" s="6" t="inlineStr">
        <is>
          <t>Teresina - PI</t>
        </is>
      </c>
      <c r="C2757" s="6" t="n">
        <v>-5.09194</v>
      </c>
      <c r="D2757" s="6" t="n">
        <v>-42.8034</v>
      </c>
      <c r="E2757" s="6" t="inlineStr">
        <is>
          <t>2024-08</t>
        </is>
      </c>
      <c r="F2757" s="6" t="n">
        <v>34206.7294853892</v>
      </c>
      <c r="G2757" s="6" t="inlineStr">
        <is>
          <t>DOMESTICA</t>
        </is>
      </c>
      <c r="H2757" s="6" t="inlineStr">
        <is>
          <t>FIXO</t>
        </is>
      </c>
      <c r="I2757" s="11">
        <f>IF($H2757="AUTO_OFERTA_TOTAL_PRODUTO_PERIODO",SUMIFS(Oferta!$F:$F,Oferta!$A:$A,$A2757,Oferta!$E:$E,$E2757),$F2757)</f>
        <v/>
      </c>
      <c r="J2757" s="6" t="inlineStr">
        <is>
          <t>Informado</t>
        </is>
      </c>
      <c r="K2757" s="6" t="inlineStr">
        <is>
          <t>Demanda doméstica fixa informada pelo usuário.</t>
        </is>
      </c>
    </row>
    <row r="2758">
      <c r="A2758" s="6" t="inlineStr">
        <is>
          <t>Soja</t>
        </is>
      </c>
      <c r="B2758" s="6" t="inlineStr">
        <is>
          <t>Teresina - PI</t>
        </is>
      </c>
      <c r="C2758" s="6" t="n">
        <v>-5.09194</v>
      </c>
      <c r="D2758" s="6" t="n">
        <v>-42.8034</v>
      </c>
      <c r="E2758" s="6" t="inlineStr">
        <is>
          <t>2024-09</t>
        </is>
      </c>
      <c r="F2758" s="6" t="n">
        <v>21328.9019144191</v>
      </c>
      <c r="G2758" s="6" t="inlineStr">
        <is>
          <t>DOMESTICA</t>
        </is>
      </c>
      <c r="H2758" s="6" t="inlineStr">
        <is>
          <t>FIXO</t>
        </is>
      </c>
      <c r="I2758" s="11">
        <f>IF($H2758="AUTO_OFERTA_TOTAL_PRODUTO_PERIODO",SUMIFS(Oferta!$F:$F,Oferta!$A:$A,$A2758,Oferta!$E:$E,$E2758),$F2758)</f>
        <v/>
      </c>
      <c r="J2758" s="6" t="inlineStr">
        <is>
          <t>Informado</t>
        </is>
      </c>
      <c r="K2758" s="6" t="inlineStr">
        <is>
          <t>Demanda doméstica fixa informada pelo usuário.</t>
        </is>
      </c>
    </row>
    <row r="2759">
      <c r="A2759" s="6" t="inlineStr">
        <is>
          <t>Soja</t>
        </is>
      </c>
      <c r="B2759" s="6" t="inlineStr">
        <is>
          <t>Teresina - PI</t>
        </is>
      </c>
      <c r="C2759" s="6" t="n">
        <v>-5.09194</v>
      </c>
      <c r="D2759" s="6" t="n">
        <v>-42.8034</v>
      </c>
      <c r="E2759" s="6" t="inlineStr">
        <is>
          <t>2024-10</t>
        </is>
      </c>
      <c r="F2759" s="6" t="n">
        <v>21328.9019144191</v>
      </c>
      <c r="G2759" s="6" t="inlineStr">
        <is>
          <t>DOMESTICA</t>
        </is>
      </c>
      <c r="H2759" s="6" t="inlineStr">
        <is>
          <t>FIXO</t>
        </is>
      </c>
      <c r="I2759" s="11">
        <f>IF($H2759="AUTO_OFERTA_TOTAL_PRODUTO_PERIODO",SUMIFS(Oferta!$F:$F,Oferta!$A:$A,$A2759,Oferta!$E:$E,$E2759),$F2759)</f>
        <v/>
      </c>
      <c r="J2759" s="6" t="inlineStr">
        <is>
          <t>Informado</t>
        </is>
      </c>
      <c r="K2759" s="6" t="inlineStr">
        <is>
          <t>Demanda doméstica fixa informada pelo usuário.</t>
        </is>
      </c>
    </row>
    <row r="2760">
      <c r="A2760" s="6" t="inlineStr">
        <is>
          <t>Soja</t>
        </is>
      </c>
      <c r="B2760" s="6" t="inlineStr">
        <is>
          <t>Teresina - PI</t>
        </is>
      </c>
      <c r="C2760" s="6" t="n">
        <v>-5.09194</v>
      </c>
      <c r="D2760" s="6" t="n">
        <v>-42.8034</v>
      </c>
      <c r="E2760" s="6" t="inlineStr">
        <is>
          <t>2024-11</t>
        </is>
      </c>
      <c r="F2760" s="6" t="n">
        <v>21328.9019144191</v>
      </c>
      <c r="G2760" s="6" t="inlineStr">
        <is>
          <t>DOMESTICA</t>
        </is>
      </c>
      <c r="H2760" s="6" t="inlineStr">
        <is>
          <t>FIXO</t>
        </is>
      </c>
      <c r="I2760" s="11">
        <f>IF($H2760="AUTO_OFERTA_TOTAL_PRODUTO_PERIODO",SUMIFS(Oferta!$F:$F,Oferta!$A:$A,$A2760,Oferta!$E:$E,$E2760),$F2760)</f>
        <v/>
      </c>
      <c r="J2760" s="6" t="inlineStr">
        <is>
          <t>Informado</t>
        </is>
      </c>
      <c r="K2760" s="6" t="inlineStr">
        <is>
          <t>Demanda doméstica fixa informada pelo usuário.</t>
        </is>
      </c>
    </row>
    <row r="2761">
      <c r="A2761" s="6" t="inlineStr">
        <is>
          <t>Soja</t>
        </is>
      </c>
      <c r="B2761" s="6" t="inlineStr">
        <is>
          <t>Teresina - PI</t>
        </is>
      </c>
      <c r="C2761" s="6" t="n">
        <v>-5.09194</v>
      </c>
      <c r="D2761" s="6" t="n">
        <v>-42.8034</v>
      </c>
      <c r="E2761" s="6" t="inlineStr">
        <is>
          <t>2024-12</t>
        </is>
      </c>
      <c r="F2761" s="6" t="n">
        <v>21328.9019144191</v>
      </c>
      <c r="G2761" s="6" t="inlineStr">
        <is>
          <t>DOMESTICA</t>
        </is>
      </c>
      <c r="H2761" s="6" t="inlineStr">
        <is>
          <t>FIXO</t>
        </is>
      </c>
      <c r="I2761" s="11">
        <f>IF($H2761="AUTO_OFERTA_TOTAL_PRODUTO_PERIODO",SUMIFS(Oferta!$F:$F,Oferta!$A:$A,$A2761,Oferta!$E:$E,$E2761),$F2761)</f>
        <v/>
      </c>
      <c r="J2761" s="6" t="inlineStr">
        <is>
          <t>Informado</t>
        </is>
      </c>
      <c r="K2761" s="6" t="inlineStr">
        <is>
          <t>Demanda doméstica fixa informada pelo usuário.</t>
        </is>
      </c>
    </row>
    <row r="2762">
      <c r="A2762" s="6" t="inlineStr">
        <is>
          <t>Soja</t>
        </is>
      </c>
      <c r="B2762" s="6" t="inlineStr">
        <is>
          <t>Aracaju - SE</t>
        </is>
      </c>
      <c r="C2762" s="6" t="n">
        <v>-10.9091</v>
      </c>
      <c r="D2762" s="6" t="n">
        <v>-37.0677</v>
      </c>
      <c r="E2762" s="6" t="inlineStr">
        <is>
          <t>2024-01</t>
        </is>
      </c>
      <c r="F2762" s="6" t="n">
        <v>23553.2055765216</v>
      </c>
      <c r="G2762" s="6" t="inlineStr">
        <is>
          <t>DOMESTICA</t>
        </is>
      </c>
      <c r="H2762" s="6" t="inlineStr">
        <is>
          <t>FIXO</t>
        </is>
      </c>
      <c r="I2762" s="11">
        <f>IF($H2762="AUTO_OFERTA_TOTAL_PRODUTO_PERIODO",SUMIFS(Oferta!$F:$F,Oferta!$A:$A,$A2762,Oferta!$E:$E,$E2762),$F2762)</f>
        <v/>
      </c>
      <c r="J2762" s="6" t="inlineStr">
        <is>
          <t>Informado</t>
        </is>
      </c>
      <c r="K2762" s="6" t="inlineStr">
        <is>
          <t>Demanda doméstica fixa informada pelo usuário.</t>
        </is>
      </c>
    </row>
    <row r="2763">
      <c r="A2763" s="6" t="inlineStr">
        <is>
          <t>Soja</t>
        </is>
      </c>
      <c r="B2763" s="6" t="inlineStr">
        <is>
          <t>Aracaju - SE</t>
        </is>
      </c>
      <c r="C2763" s="6" t="n">
        <v>-10.9091</v>
      </c>
      <c r="D2763" s="6" t="n">
        <v>-37.0677</v>
      </c>
      <c r="E2763" s="6" t="inlineStr">
        <is>
          <t>2024-02</t>
        </is>
      </c>
      <c r="F2763" s="6" t="n">
        <v>23553.2055765216</v>
      </c>
      <c r="G2763" s="6" t="inlineStr">
        <is>
          <t>DOMESTICA</t>
        </is>
      </c>
      <c r="H2763" s="6" t="inlineStr">
        <is>
          <t>FIXO</t>
        </is>
      </c>
      <c r="I2763" s="11">
        <f>IF($H2763="AUTO_OFERTA_TOTAL_PRODUTO_PERIODO",SUMIFS(Oferta!$F:$F,Oferta!$A:$A,$A2763,Oferta!$E:$E,$E2763),$F2763)</f>
        <v/>
      </c>
      <c r="J2763" s="6" t="inlineStr">
        <is>
          <t>Informado</t>
        </is>
      </c>
      <c r="K2763" s="6" t="inlineStr">
        <is>
          <t>Demanda doméstica fixa informada pelo usuário.</t>
        </is>
      </c>
    </row>
    <row r="2764">
      <c r="A2764" s="6" t="inlineStr">
        <is>
          <t>Soja</t>
        </is>
      </c>
      <c r="B2764" s="6" t="inlineStr">
        <is>
          <t>Aracaju - SE</t>
        </is>
      </c>
      <c r="C2764" s="6" t="n">
        <v>-10.9091</v>
      </c>
      <c r="D2764" s="6" t="n">
        <v>-37.0677</v>
      </c>
      <c r="E2764" s="6" t="inlineStr">
        <is>
          <t>2024-03</t>
        </is>
      </c>
      <c r="F2764" s="6" t="n">
        <v>23553.2055765216</v>
      </c>
      <c r="G2764" s="6" t="inlineStr">
        <is>
          <t>DOMESTICA</t>
        </is>
      </c>
      <c r="H2764" s="6" t="inlineStr">
        <is>
          <t>FIXO</t>
        </is>
      </c>
      <c r="I2764" s="11">
        <f>IF($H2764="AUTO_OFERTA_TOTAL_PRODUTO_PERIODO",SUMIFS(Oferta!$F:$F,Oferta!$A:$A,$A2764,Oferta!$E:$E,$E2764),$F2764)</f>
        <v/>
      </c>
      <c r="J2764" s="6" t="inlineStr">
        <is>
          <t>Informado</t>
        </is>
      </c>
      <c r="K2764" s="6" t="inlineStr">
        <is>
          <t>Demanda doméstica fixa informada pelo usuário.</t>
        </is>
      </c>
    </row>
    <row r="2765">
      <c r="A2765" s="6" t="inlineStr">
        <is>
          <t>Soja</t>
        </is>
      </c>
      <c r="B2765" s="6" t="inlineStr">
        <is>
          <t>Aracaju - SE</t>
        </is>
      </c>
      <c r="C2765" s="6" t="n">
        <v>-10.9091</v>
      </c>
      <c r="D2765" s="6" t="n">
        <v>-37.0677</v>
      </c>
      <c r="E2765" s="6" t="inlineStr">
        <is>
          <t>2024-04</t>
        </is>
      </c>
      <c r="F2765" s="6" t="n">
        <v>23553.2055765216</v>
      </c>
      <c r="G2765" s="6" t="inlineStr">
        <is>
          <t>DOMESTICA</t>
        </is>
      </c>
      <c r="H2765" s="6" t="inlineStr">
        <is>
          <t>FIXO</t>
        </is>
      </c>
      <c r="I2765" s="11">
        <f>IF($H2765="AUTO_OFERTA_TOTAL_PRODUTO_PERIODO",SUMIFS(Oferta!$F:$F,Oferta!$A:$A,$A2765,Oferta!$E:$E,$E2765),$F2765)</f>
        <v/>
      </c>
      <c r="J2765" s="6" t="inlineStr">
        <is>
          <t>Informado</t>
        </is>
      </c>
      <c r="K2765" s="6" t="inlineStr">
        <is>
          <t>Demanda doméstica fixa informada pelo usuário.</t>
        </is>
      </c>
    </row>
    <row r="2766">
      <c r="A2766" s="6" t="inlineStr">
        <is>
          <t>Soja</t>
        </is>
      </c>
      <c r="B2766" s="6" t="inlineStr">
        <is>
          <t>Aracaju - SE</t>
        </is>
      </c>
      <c r="C2766" s="6" t="n">
        <v>-10.9091</v>
      </c>
      <c r="D2766" s="6" t="n">
        <v>-37.0677</v>
      </c>
      <c r="E2766" s="6" t="inlineStr">
        <is>
          <t>2024-05</t>
        </is>
      </c>
      <c r="F2766" s="6" t="n">
        <v>23553.2055765216</v>
      </c>
      <c r="G2766" s="6" t="inlineStr">
        <is>
          <t>DOMESTICA</t>
        </is>
      </c>
      <c r="H2766" s="6" t="inlineStr">
        <is>
          <t>FIXO</t>
        </is>
      </c>
      <c r="I2766" s="11">
        <f>IF($H2766="AUTO_OFERTA_TOTAL_PRODUTO_PERIODO",SUMIFS(Oferta!$F:$F,Oferta!$A:$A,$A2766,Oferta!$E:$E,$E2766),$F2766)</f>
        <v/>
      </c>
      <c r="J2766" s="6" t="inlineStr">
        <is>
          <t>Informado</t>
        </is>
      </c>
      <c r="K2766" s="6" t="inlineStr">
        <is>
          <t>Demanda doméstica fixa informada pelo usuário.</t>
        </is>
      </c>
    </row>
    <row r="2767">
      <c r="A2767" s="6" t="inlineStr">
        <is>
          <t>Soja</t>
        </is>
      </c>
      <c r="B2767" s="6" t="inlineStr">
        <is>
          <t>Aracaju - SE</t>
        </is>
      </c>
      <c r="C2767" s="6" t="n">
        <v>-10.9091</v>
      </c>
      <c r="D2767" s="6" t="n">
        <v>-37.0677</v>
      </c>
      <c r="E2767" s="6" t="inlineStr">
        <is>
          <t>2024-06</t>
        </is>
      </c>
      <c r="F2767" s="6" t="n">
        <v>23553.2055765216</v>
      </c>
      <c r="G2767" s="6" t="inlineStr">
        <is>
          <t>DOMESTICA</t>
        </is>
      </c>
      <c r="H2767" s="6" t="inlineStr">
        <is>
          <t>FIXO</t>
        </is>
      </c>
      <c r="I2767" s="11">
        <f>IF($H2767="AUTO_OFERTA_TOTAL_PRODUTO_PERIODO",SUMIFS(Oferta!$F:$F,Oferta!$A:$A,$A2767,Oferta!$E:$E,$E2767),$F2767)</f>
        <v/>
      </c>
      <c r="J2767" s="6" t="inlineStr">
        <is>
          <t>Informado</t>
        </is>
      </c>
      <c r="K2767" s="6" t="inlineStr">
        <is>
          <t>Demanda doméstica fixa informada pelo usuário.</t>
        </is>
      </c>
    </row>
    <row r="2768">
      <c r="A2768" s="6" t="inlineStr">
        <is>
          <t>Soja</t>
        </is>
      </c>
      <c r="B2768" s="6" t="inlineStr">
        <is>
          <t>Aracaju - SE</t>
        </is>
      </c>
      <c r="C2768" s="6" t="n">
        <v>-10.9091</v>
      </c>
      <c r="D2768" s="6" t="n">
        <v>-37.0677</v>
      </c>
      <c r="E2768" s="6" t="inlineStr">
        <is>
          <t>2024-07</t>
        </is>
      </c>
      <c r="F2768" s="6" t="n">
        <v>23553.2055765216</v>
      </c>
      <c r="G2768" s="6" t="inlineStr">
        <is>
          <t>DOMESTICA</t>
        </is>
      </c>
      <c r="H2768" s="6" t="inlineStr">
        <is>
          <t>FIXO</t>
        </is>
      </c>
      <c r="I2768" s="11">
        <f>IF($H2768="AUTO_OFERTA_TOTAL_PRODUTO_PERIODO",SUMIFS(Oferta!$F:$F,Oferta!$A:$A,$A2768,Oferta!$E:$E,$E2768),$F2768)</f>
        <v/>
      </c>
      <c r="J2768" s="6" t="inlineStr">
        <is>
          <t>Informado</t>
        </is>
      </c>
      <c r="K2768" s="6" t="inlineStr">
        <is>
          <t>Demanda doméstica fixa informada pelo usuário.</t>
        </is>
      </c>
    </row>
    <row r="2769">
      <c r="A2769" s="6" t="inlineStr">
        <is>
          <t>Soja</t>
        </is>
      </c>
      <c r="B2769" s="6" t="inlineStr">
        <is>
          <t>Aracaju - SE</t>
        </is>
      </c>
      <c r="C2769" s="6" t="n">
        <v>-10.9091</v>
      </c>
      <c r="D2769" s="6" t="n">
        <v>-37.0677</v>
      </c>
      <c r="E2769" s="6" t="inlineStr">
        <is>
          <t>2024-08</t>
        </is>
      </c>
      <c r="F2769" s="6" t="n">
        <v>23553.2055765216</v>
      </c>
      <c r="G2769" s="6" t="inlineStr">
        <is>
          <t>DOMESTICA</t>
        </is>
      </c>
      <c r="H2769" s="6" t="inlineStr">
        <is>
          <t>FIXO</t>
        </is>
      </c>
      <c r="I2769" s="11">
        <f>IF($H2769="AUTO_OFERTA_TOTAL_PRODUTO_PERIODO",SUMIFS(Oferta!$F:$F,Oferta!$A:$A,$A2769,Oferta!$E:$E,$E2769),$F2769)</f>
        <v/>
      </c>
      <c r="J2769" s="6" t="inlineStr">
        <is>
          <t>Informado</t>
        </is>
      </c>
      <c r="K2769" s="6" t="inlineStr">
        <is>
          <t>Demanda doméstica fixa informada pelo usuário.</t>
        </is>
      </c>
    </row>
    <row r="2770">
      <c r="A2770" s="6" t="inlineStr">
        <is>
          <t>Soja</t>
        </is>
      </c>
      <c r="B2770" s="6" t="inlineStr">
        <is>
          <t>Aracaju - SE</t>
        </is>
      </c>
      <c r="C2770" s="6" t="n">
        <v>-10.9091</v>
      </c>
      <c r="D2770" s="6" t="n">
        <v>-37.0677</v>
      </c>
      <c r="E2770" s="6" t="inlineStr">
        <is>
          <t>2024-09</t>
        </is>
      </c>
      <c r="F2770" s="6" t="n">
        <v>23553.2055765216</v>
      </c>
      <c r="G2770" s="6" t="inlineStr">
        <is>
          <t>DOMESTICA</t>
        </is>
      </c>
      <c r="H2770" s="6" t="inlineStr">
        <is>
          <t>FIXO</t>
        </is>
      </c>
      <c r="I2770" s="11">
        <f>IF($H2770="AUTO_OFERTA_TOTAL_PRODUTO_PERIODO",SUMIFS(Oferta!$F:$F,Oferta!$A:$A,$A2770,Oferta!$E:$E,$E2770),$F2770)</f>
        <v/>
      </c>
      <c r="J2770" s="6" t="inlineStr">
        <is>
          <t>Informado</t>
        </is>
      </c>
      <c r="K2770" s="6" t="inlineStr">
        <is>
          <t>Demanda doméstica fixa informada pelo usuário.</t>
        </is>
      </c>
    </row>
    <row r="2771">
      <c r="A2771" s="6" t="inlineStr">
        <is>
          <t>Soja</t>
        </is>
      </c>
      <c r="B2771" s="6" t="inlineStr">
        <is>
          <t>Aracaju - SE</t>
        </is>
      </c>
      <c r="C2771" s="6" t="n">
        <v>-10.9091</v>
      </c>
      <c r="D2771" s="6" t="n">
        <v>-37.0677</v>
      </c>
      <c r="E2771" s="6" t="inlineStr">
        <is>
          <t>2024-10</t>
        </is>
      </c>
      <c r="F2771" s="6" t="n">
        <v>23553.2055765216</v>
      </c>
      <c r="G2771" s="6" t="inlineStr">
        <is>
          <t>DOMESTICA</t>
        </is>
      </c>
      <c r="H2771" s="6" t="inlineStr">
        <is>
          <t>FIXO</t>
        </is>
      </c>
      <c r="I2771" s="11">
        <f>IF($H2771="AUTO_OFERTA_TOTAL_PRODUTO_PERIODO",SUMIFS(Oferta!$F:$F,Oferta!$A:$A,$A2771,Oferta!$E:$E,$E2771),$F2771)</f>
        <v/>
      </c>
      <c r="J2771" s="6" t="inlineStr">
        <is>
          <t>Informado</t>
        </is>
      </c>
      <c r="K2771" s="6" t="inlineStr">
        <is>
          <t>Demanda doméstica fixa informada pelo usuário.</t>
        </is>
      </c>
    </row>
    <row r="2772">
      <c r="A2772" s="6" t="inlineStr">
        <is>
          <t>Soja</t>
        </is>
      </c>
      <c r="B2772" s="6" t="inlineStr">
        <is>
          <t>Aracaju - SE</t>
        </is>
      </c>
      <c r="C2772" s="6" t="n">
        <v>-10.9091</v>
      </c>
      <c r="D2772" s="6" t="n">
        <v>-37.0677</v>
      </c>
      <c r="E2772" s="6" t="inlineStr">
        <is>
          <t>2024-11</t>
        </is>
      </c>
      <c r="F2772" s="6" t="n">
        <v>23553.2055765216</v>
      </c>
      <c r="G2772" s="6" t="inlineStr">
        <is>
          <t>DOMESTICA</t>
        </is>
      </c>
      <c r="H2772" s="6" t="inlineStr">
        <is>
          <t>FIXO</t>
        </is>
      </c>
      <c r="I2772" s="11">
        <f>IF($H2772="AUTO_OFERTA_TOTAL_PRODUTO_PERIODO",SUMIFS(Oferta!$F:$F,Oferta!$A:$A,$A2772,Oferta!$E:$E,$E2772),$F2772)</f>
        <v/>
      </c>
      <c r="J2772" s="6" t="inlineStr">
        <is>
          <t>Informado</t>
        </is>
      </c>
      <c r="K2772" s="6" t="inlineStr">
        <is>
          <t>Demanda doméstica fixa informada pelo usuário.</t>
        </is>
      </c>
    </row>
    <row r="2773">
      <c r="A2773" s="6" t="inlineStr">
        <is>
          <t>Soja</t>
        </is>
      </c>
      <c r="B2773" s="6" t="inlineStr">
        <is>
          <t>Aracaju - SE</t>
        </is>
      </c>
      <c r="C2773" s="6" t="n">
        <v>-10.9091</v>
      </c>
      <c r="D2773" s="6" t="n">
        <v>-37.0677</v>
      </c>
      <c r="E2773" s="6" t="inlineStr">
        <is>
          <t>2024-12</t>
        </is>
      </c>
      <c r="F2773" s="6" t="n">
        <v>23553.2055765216</v>
      </c>
      <c r="G2773" s="6" t="inlineStr">
        <is>
          <t>DOMESTICA</t>
        </is>
      </c>
      <c r="H2773" s="6" t="inlineStr">
        <is>
          <t>FIXO</t>
        </is>
      </c>
      <c r="I2773" s="11">
        <f>IF($H2773="AUTO_OFERTA_TOTAL_PRODUTO_PERIODO",SUMIFS(Oferta!$F:$F,Oferta!$A:$A,$A2773,Oferta!$E:$E,$E2773),$F2773)</f>
        <v/>
      </c>
      <c r="J2773" s="6" t="inlineStr">
        <is>
          <t>Informado</t>
        </is>
      </c>
      <c r="K2773" s="6" t="inlineStr">
        <is>
          <t>Demanda doméstica fixa informada pelo usuário.</t>
        </is>
      </c>
    </row>
    <row r="2774">
      <c r="A2774" s="6" t="inlineStr">
        <is>
          <t>Soja</t>
        </is>
      </c>
      <c r="B2774" s="6" t="inlineStr">
        <is>
          <t>Natal - RN</t>
        </is>
      </c>
      <c r="C2774" s="6" t="n">
        <v>-5.79357</v>
      </c>
      <c r="D2774" s="6" t="n">
        <v>-35.1986</v>
      </c>
      <c r="E2774" s="6" t="inlineStr">
        <is>
          <t>2024-01</t>
        </is>
      </c>
      <c r="F2774" s="6" t="n">
        <v>31079.8138540798</v>
      </c>
      <c r="G2774" s="6" t="inlineStr">
        <is>
          <t>DOMESTICA</t>
        </is>
      </c>
      <c r="H2774" s="6" t="inlineStr">
        <is>
          <t>FIXO</t>
        </is>
      </c>
      <c r="I2774" s="11">
        <f>IF($H2774="AUTO_OFERTA_TOTAL_PRODUTO_PERIODO",SUMIFS(Oferta!$F:$F,Oferta!$A:$A,$A2774,Oferta!$E:$E,$E2774),$F2774)</f>
        <v/>
      </c>
      <c r="J2774" s="6" t="inlineStr">
        <is>
          <t>Informado</t>
        </is>
      </c>
      <c r="K2774" s="6" t="inlineStr">
        <is>
          <t>Demanda doméstica fixa informada pelo usuário.</t>
        </is>
      </c>
    </row>
    <row r="2775">
      <c r="A2775" s="6" t="inlineStr">
        <is>
          <t>Soja</t>
        </is>
      </c>
      <c r="B2775" s="6" t="inlineStr">
        <is>
          <t>Natal - RN</t>
        </is>
      </c>
      <c r="C2775" s="6" t="n">
        <v>-5.79357</v>
      </c>
      <c r="D2775" s="6" t="n">
        <v>-35.1986</v>
      </c>
      <c r="E2775" s="6" t="inlineStr">
        <is>
          <t>2024-02</t>
        </is>
      </c>
      <c r="F2775" s="6" t="n">
        <v>31079.8138540798</v>
      </c>
      <c r="G2775" s="6" t="inlineStr">
        <is>
          <t>DOMESTICA</t>
        </is>
      </c>
      <c r="H2775" s="6" t="inlineStr">
        <is>
          <t>FIXO</t>
        </is>
      </c>
      <c r="I2775" s="11">
        <f>IF($H2775="AUTO_OFERTA_TOTAL_PRODUTO_PERIODO",SUMIFS(Oferta!$F:$F,Oferta!$A:$A,$A2775,Oferta!$E:$E,$E2775),$F2775)</f>
        <v/>
      </c>
      <c r="J2775" s="6" t="inlineStr">
        <is>
          <t>Informado</t>
        </is>
      </c>
      <c r="K2775" s="6" t="inlineStr">
        <is>
          <t>Demanda doméstica fixa informada pelo usuário.</t>
        </is>
      </c>
    </row>
    <row r="2776">
      <c r="A2776" s="6" t="inlineStr">
        <is>
          <t>Soja</t>
        </is>
      </c>
      <c r="B2776" s="6" t="inlineStr">
        <is>
          <t>Natal - RN</t>
        </is>
      </c>
      <c r="C2776" s="6" t="n">
        <v>-5.79357</v>
      </c>
      <c r="D2776" s="6" t="n">
        <v>-35.1986</v>
      </c>
      <c r="E2776" s="6" t="inlineStr">
        <is>
          <t>2024-03</t>
        </is>
      </c>
      <c r="F2776" s="6" t="n">
        <v>31079.8138540798</v>
      </c>
      <c r="G2776" s="6" t="inlineStr">
        <is>
          <t>DOMESTICA</t>
        </is>
      </c>
      <c r="H2776" s="6" t="inlineStr">
        <is>
          <t>FIXO</t>
        </is>
      </c>
      <c r="I2776" s="11">
        <f>IF($H2776="AUTO_OFERTA_TOTAL_PRODUTO_PERIODO",SUMIFS(Oferta!$F:$F,Oferta!$A:$A,$A2776,Oferta!$E:$E,$E2776),$F2776)</f>
        <v/>
      </c>
      <c r="J2776" s="6" t="inlineStr">
        <is>
          <t>Informado</t>
        </is>
      </c>
      <c r="K2776" s="6" t="inlineStr">
        <is>
          <t>Demanda doméstica fixa informada pelo usuário.</t>
        </is>
      </c>
    </row>
    <row r="2777">
      <c r="A2777" s="6" t="inlineStr">
        <is>
          <t>Soja</t>
        </is>
      </c>
      <c r="B2777" s="6" t="inlineStr">
        <is>
          <t>Natal - RN</t>
        </is>
      </c>
      <c r="C2777" s="6" t="n">
        <v>-5.79357</v>
      </c>
      <c r="D2777" s="6" t="n">
        <v>-35.1986</v>
      </c>
      <c r="E2777" s="6" t="inlineStr">
        <is>
          <t>2024-04</t>
        </is>
      </c>
      <c r="F2777" s="6" t="n">
        <v>31079.8138540798</v>
      </c>
      <c r="G2777" s="6" t="inlineStr">
        <is>
          <t>DOMESTICA</t>
        </is>
      </c>
      <c r="H2777" s="6" t="inlineStr">
        <is>
          <t>FIXO</t>
        </is>
      </c>
      <c r="I2777" s="11">
        <f>IF($H2777="AUTO_OFERTA_TOTAL_PRODUTO_PERIODO",SUMIFS(Oferta!$F:$F,Oferta!$A:$A,$A2777,Oferta!$E:$E,$E2777),$F2777)</f>
        <v/>
      </c>
      <c r="J2777" s="6" t="inlineStr">
        <is>
          <t>Informado</t>
        </is>
      </c>
      <c r="K2777" s="6" t="inlineStr">
        <is>
          <t>Demanda doméstica fixa informada pelo usuário.</t>
        </is>
      </c>
    </row>
    <row r="2778">
      <c r="A2778" s="6" t="inlineStr">
        <is>
          <t>Soja</t>
        </is>
      </c>
      <c r="B2778" s="6" t="inlineStr">
        <is>
          <t>Natal - RN</t>
        </is>
      </c>
      <c r="C2778" s="6" t="n">
        <v>-5.79357</v>
      </c>
      <c r="D2778" s="6" t="n">
        <v>-35.1986</v>
      </c>
      <c r="E2778" s="6" t="inlineStr">
        <is>
          <t>2024-05</t>
        </is>
      </c>
      <c r="F2778" s="6" t="n">
        <v>31079.8138540798</v>
      </c>
      <c r="G2778" s="6" t="inlineStr">
        <is>
          <t>DOMESTICA</t>
        </is>
      </c>
      <c r="H2778" s="6" t="inlineStr">
        <is>
          <t>FIXO</t>
        </is>
      </c>
      <c r="I2778" s="11">
        <f>IF($H2778="AUTO_OFERTA_TOTAL_PRODUTO_PERIODO",SUMIFS(Oferta!$F:$F,Oferta!$A:$A,$A2778,Oferta!$E:$E,$E2778),$F2778)</f>
        <v/>
      </c>
      <c r="J2778" s="6" t="inlineStr">
        <is>
          <t>Informado</t>
        </is>
      </c>
      <c r="K2778" s="6" t="inlineStr">
        <is>
          <t>Demanda doméstica fixa informada pelo usuário.</t>
        </is>
      </c>
    </row>
    <row r="2779">
      <c r="A2779" s="6" t="inlineStr">
        <is>
          <t>Soja</t>
        </is>
      </c>
      <c r="B2779" s="6" t="inlineStr">
        <is>
          <t>Natal - RN</t>
        </is>
      </c>
      <c r="C2779" s="6" t="n">
        <v>-5.79357</v>
      </c>
      <c r="D2779" s="6" t="n">
        <v>-35.1986</v>
      </c>
      <c r="E2779" s="6" t="inlineStr">
        <is>
          <t>2024-06</t>
        </is>
      </c>
      <c r="F2779" s="6" t="n">
        <v>31079.8138540798</v>
      </c>
      <c r="G2779" s="6" t="inlineStr">
        <is>
          <t>DOMESTICA</t>
        </is>
      </c>
      <c r="H2779" s="6" t="inlineStr">
        <is>
          <t>FIXO</t>
        </is>
      </c>
      <c r="I2779" s="11">
        <f>IF($H2779="AUTO_OFERTA_TOTAL_PRODUTO_PERIODO",SUMIFS(Oferta!$F:$F,Oferta!$A:$A,$A2779,Oferta!$E:$E,$E2779),$F2779)</f>
        <v/>
      </c>
      <c r="J2779" s="6" t="inlineStr">
        <is>
          <t>Informado</t>
        </is>
      </c>
      <c r="K2779" s="6" t="inlineStr">
        <is>
          <t>Demanda doméstica fixa informada pelo usuário.</t>
        </is>
      </c>
    </row>
    <row r="2780">
      <c r="A2780" s="6" t="inlineStr">
        <is>
          <t>Soja</t>
        </is>
      </c>
      <c r="B2780" s="6" t="inlineStr">
        <is>
          <t>Natal - RN</t>
        </is>
      </c>
      <c r="C2780" s="6" t="n">
        <v>-5.79357</v>
      </c>
      <c r="D2780" s="6" t="n">
        <v>-35.1986</v>
      </c>
      <c r="E2780" s="6" t="inlineStr">
        <is>
          <t>2024-07</t>
        </is>
      </c>
      <c r="F2780" s="6" t="n">
        <v>31079.8138540798</v>
      </c>
      <c r="G2780" s="6" t="inlineStr">
        <is>
          <t>DOMESTICA</t>
        </is>
      </c>
      <c r="H2780" s="6" t="inlineStr">
        <is>
          <t>FIXO</t>
        </is>
      </c>
      <c r="I2780" s="11">
        <f>IF($H2780="AUTO_OFERTA_TOTAL_PRODUTO_PERIODO",SUMIFS(Oferta!$F:$F,Oferta!$A:$A,$A2780,Oferta!$E:$E,$E2780),$F2780)</f>
        <v/>
      </c>
      <c r="J2780" s="6" t="inlineStr">
        <is>
          <t>Informado</t>
        </is>
      </c>
      <c r="K2780" s="6" t="inlineStr">
        <is>
          <t>Demanda doméstica fixa informada pelo usuário.</t>
        </is>
      </c>
    </row>
    <row r="2781">
      <c r="A2781" s="6" t="inlineStr">
        <is>
          <t>Soja</t>
        </is>
      </c>
      <c r="B2781" s="6" t="inlineStr">
        <is>
          <t>Natal - RN</t>
        </is>
      </c>
      <c r="C2781" s="6" t="n">
        <v>-5.79357</v>
      </c>
      <c r="D2781" s="6" t="n">
        <v>-35.1986</v>
      </c>
      <c r="E2781" s="6" t="inlineStr">
        <is>
          <t>2024-08</t>
        </is>
      </c>
      <c r="F2781" s="6" t="n">
        <v>31079.8138540798</v>
      </c>
      <c r="G2781" s="6" t="inlineStr">
        <is>
          <t>DOMESTICA</t>
        </is>
      </c>
      <c r="H2781" s="6" t="inlineStr">
        <is>
          <t>FIXO</t>
        </is>
      </c>
      <c r="I2781" s="11">
        <f>IF($H2781="AUTO_OFERTA_TOTAL_PRODUTO_PERIODO",SUMIFS(Oferta!$F:$F,Oferta!$A:$A,$A2781,Oferta!$E:$E,$E2781),$F2781)</f>
        <v/>
      </c>
      <c r="J2781" s="6" t="inlineStr">
        <is>
          <t>Informado</t>
        </is>
      </c>
      <c r="K2781" s="6" t="inlineStr">
        <is>
          <t>Demanda doméstica fixa informada pelo usuário.</t>
        </is>
      </c>
    </row>
    <row r="2782">
      <c r="A2782" s="6" t="inlineStr">
        <is>
          <t>Soja</t>
        </is>
      </c>
      <c r="B2782" s="6" t="inlineStr">
        <is>
          <t>Natal - RN</t>
        </is>
      </c>
      <c r="C2782" s="6" t="n">
        <v>-5.79357</v>
      </c>
      <c r="D2782" s="6" t="n">
        <v>-35.1986</v>
      </c>
      <c r="E2782" s="6" t="inlineStr">
        <is>
          <t>2024-09</t>
        </is>
      </c>
      <c r="F2782" s="6" t="n">
        <v>31079.8138540798</v>
      </c>
      <c r="G2782" s="6" t="inlineStr">
        <is>
          <t>DOMESTICA</t>
        </is>
      </c>
      <c r="H2782" s="6" t="inlineStr">
        <is>
          <t>FIXO</t>
        </is>
      </c>
      <c r="I2782" s="11">
        <f>IF($H2782="AUTO_OFERTA_TOTAL_PRODUTO_PERIODO",SUMIFS(Oferta!$F:$F,Oferta!$A:$A,$A2782,Oferta!$E:$E,$E2782),$F2782)</f>
        <v/>
      </c>
      <c r="J2782" s="6" t="inlineStr">
        <is>
          <t>Informado</t>
        </is>
      </c>
      <c r="K2782" s="6" t="inlineStr">
        <is>
          <t>Demanda doméstica fixa informada pelo usuário.</t>
        </is>
      </c>
    </row>
    <row r="2783">
      <c r="A2783" s="6" t="inlineStr">
        <is>
          <t>Soja</t>
        </is>
      </c>
      <c r="B2783" s="6" t="inlineStr">
        <is>
          <t>Natal - RN</t>
        </is>
      </c>
      <c r="C2783" s="6" t="n">
        <v>-5.79357</v>
      </c>
      <c r="D2783" s="6" t="n">
        <v>-35.1986</v>
      </c>
      <c r="E2783" s="6" t="inlineStr">
        <is>
          <t>2024-10</t>
        </is>
      </c>
      <c r="F2783" s="6" t="n">
        <v>31079.8138540798</v>
      </c>
      <c r="G2783" s="6" t="inlineStr">
        <is>
          <t>DOMESTICA</t>
        </is>
      </c>
      <c r="H2783" s="6" t="inlineStr">
        <is>
          <t>FIXO</t>
        </is>
      </c>
      <c r="I2783" s="11">
        <f>IF($H2783="AUTO_OFERTA_TOTAL_PRODUTO_PERIODO",SUMIFS(Oferta!$F:$F,Oferta!$A:$A,$A2783,Oferta!$E:$E,$E2783),$F2783)</f>
        <v/>
      </c>
      <c r="J2783" s="6" t="inlineStr">
        <is>
          <t>Informado</t>
        </is>
      </c>
      <c r="K2783" s="6" t="inlineStr">
        <is>
          <t>Demanda doméstica fixa informada pelo usuário.</t>
        </is>
      </c>
    </row>
    <row r="2784">
      <c r="A2784" s="6" t="inlineStr">
        <is>
          <t>Soja</t>
        </is>
      </c>
      <c r="B2784" s="6" t="inlineStr">
        <is>
          <t>Natal - RN</t>
        </is>
      </c>
      <c r="C2784" s="6" t="n">
        <v>-5.79357</v>
      </c>
      <c r="D2784" s="6" t="n">
        <v>-35.1986</v>
      </c>
      <c r="E2784" s="6" t="inlineStr">
        <is>
          <t>2024-11</t>
        </is>
      </c>
      <c r="F2784" s="6" t="n">
        <v>31079.8138540798</v>
      </c>
      <c r="G2784" s="6" t="inlineStr">
        <is>
          <t>DOMESTICA</t>
        </is>
      </c>
      <c r="H2784" s="6" t="inlineStr">
        <is>
          <t>FIXO</t>
        </is>
      </c>
      <c r="I2784" s="11">
        <f>IF($H2784="AUTO_OFERTA_TOTAL_PRODUTO_PERIODO",SUMIFS(Oferta!$F:$F,Oferta!$A:$A,$A2784,Oferta!$E:$E,$E2784),$F2784)</f>
        <v/>
      </c>
      <c r="J2784" s="6" t="inlineStr">
        <is>
          <t>Informado</t>
        </is>
      </c>
      <c r="K2784" s="6" t="inlineStr">
        <is>
          <t>Demanda doméstica fixa informada pelo usuário.</t>
        </is>
      </c>
    </row>
    <row r="2785">
      <c r="A2785" s="6" t="inlineStr">
        <is>
          <t>Soja</t>
        </is>
      </c>
      <c r="B2785" s="6" t="inlineStr">
        <is>
          <t>Natal - RN</t>
        </is>
      </c>
      <c r="C2785" s="6" t="n">
        <v>-5.79357</v>
      </c>
      <c r="D2785" s="6" t="n">
        <v>-35.1986</v>
      </c>
      <c r="E2785" s="6" t="inlineStr">
        <is>
          <t>2024-12</t>
        </is>
      </c>
      <c r="F2785" s="6" t="n">
        <v>31079.8138540798</v>
      </c>
      <c r="G2785" s="6" t="inlineStr">
        <is>
          <t>DOMESTICA</t>
        </is>
      </c>
      <c r="H2785" s="6" t="inlineStr">
        <is>
          <t>FIXO</t>
        </is>
      </c>
      <c r="I2785" s="11">
        <f>IF($H2785="AUTO_OFERTA_TOTAL_PRODUTO_PERIODO",SUMIFS(Oferta!$F:$F,Oferta!$A:$A,$A2785,Oferta!$E:$E,$E2785),$F2785)</f>
        <v/>
      </c>
      <c r="J2785" s="6" t="inlineStr">
        <is>
          <t>Informado</t>
        </is>
      </c>
      <c r="K2785" s="6" t="inlineStr">
        <is>
          <t>Demanda doméstica fixa informada pelo usuário.</t>
        </is>
      </c>
    </row>
    <row r="2786">
      <c r="A2786" s="6" t="inlineStr">
        <is>
          <t>Soja</t>
        </is>
      </c>
      <c r="B2786" s="6" t="inlineStr">
        <is>
          <t>Brasília - DF</t>
        </is>
      </c>
      <c r="C2786" s="6" t="n">
        <v>-15.7795</v>
      </c>
      <c r="D2786" s="6" t="n">
        <v>-47.9297</v>
      </c>
      <c r="E2786" s="6" t="inlineStr">
        <is>
          <t>2024-01</t>
        </is>
      </c>
      <c r="F2786" s="6" t="n">
        <v>17689.4695507803</v>
      </c>
      <c r="G2786" s="6" t="inlineStr">
        <is>
          <t>DOMESTICA</t>
        </is>
      </c>
      <c r="H2786" s="6" t="inlineStr">
        <is>
          <t>FIXO</t>
        </is>
      </c>
      <c r="I2786" s="11">
        <f>IF($H2786="AUTO_OFERTA_TOTAL_PRODUTO_PERIODO",SUMIFS(Oferta!$F:$F,Oferta!$A:$A,$A2786,Oferta!$E:$E,$E2786),$F2786)</f>
        <v/>
      </c>
      <c r="J2786" s="6" t="inlineStr">
        <is>
          <t>Informado</t>
        </is>
      </c>
      <c r="K2786" s="6" t="inlineStr">
        <is>
          <t>Demanda doméstica fixa informada pelo usuário.</t>
        </is>
      </c>
    </row>
    <row r="2787">
      <c r="A2787" s="6" t="inlineStr">
        <is>
          <t>Soja</t>
        </is>
      </c>
      <c r="B2787" s="6" t="inlineStr">
        <is>
          <t>Brasília - DF</t>
        </is>
      </c>
      <c r="C2787" s="6" t="n">
        <v>-15.7795</v>
      </c>
      <c r="D2787" s="6" t="n">
        <v>-47.9297</v>
      </c>
      <c r="E2787" s="6" t="inlineStr">
        <is>
          <t>2024-02</t>
        </is>
      </c>
      <c r="F2787" s="6" t="n">
        <v>17689.4695507803</v>
      </c>
      <c r="G2787" s="6" t="inlineStr">
        <is>
          <t>DOMESTICA</t>
        </is>
      </c>
      <c r="H2787" s="6" t="inlineStr">
        <is>
          <t>FIXO</t>
        </is>
      </c>
      <c r="I2787" s="11">
        <f>IF($H2787="AUTO_OFERTA_TOTAL_PRODUTO_PERIODO",SUMIFS(Oferta!$F:$F,Oferta!$A:$A,$A2787,Oferta!$E:$E,$E2787),$F2787)</f>
        <v/>
      </c>
      <c r="J2787" s="6" t="inlineStr">
        <is>
          <t>Informado</t>
        </is>
      </c>
      <c r="K2787" s="6" t="inlineStr">
        <is>
          <t>Demanda doméstica fixa informada pelo usuário.</t>
        </is>
      </c>
    </row>
    <row r="2788">
      <c r="A2788" s="6" t="inlineStr">
        <is>
          <t>Soja</t>
        </is>
      </c>
      <c r="B2788" s="6" t="inlineStr">
        <is>
          <t>Brasília - DF</t>
        </is>
      </c>
      <c r="C2788" s="6" t="n">
        <v>-15.7795</v>
      </c>
      <c r="D2788" s="6" t="n">
        <v>-47.9297</v>
      </c>
      <c r="E2788" s="6" t="inlineStr">
        <is>
          <t>2024-03</t>
        </is>
      </c>
      <c r="F2788" s="6" t="n">
        <v>28369.9039965345</v>
      </c>
      <c r="G2788" s="6" t="inlineStr">
        <is>
          <t>DOMESTICA</t>
        </is>
      </c>
      <c r="H2788" s="6" t="inlineStr">
        <is>
          <t>FIXO</t>
        </is>
      </c>
      <c r="I2788" s="11">
        <f>IF($H2788="AUTO_OFERTA_TOTAL_PRODUTO_PERIODO",SUMIFS(Oferta!$F:$F,Oferta!$A:$A,$A2788,Oferta!$E:$E,$E2788),$F2788)</f>
        <v/>
      </c>
      <c r="J2788" s="6" t="inlineStr">
        <is>
          <t>Informado</t>
        </is>
      </c>
      <c r="K2788" s="6" t="inlineStr">
        <is>
          <t>Demanda doméstica fixa informada pelo usuário.</t>
        </is>
      </c>
    </row>
    <row r="2789">
      <c r="A2789" s="6" t="inlineStr">
        <is>
          <t>Soja</t>
        </is>
      </c>
      <c r="B2789" s="6" t="inlineStr">
        <is>
          <t>Brasília - DF</t>
        </is>
      </c>
      <c r="C2789" s="6" t="n">
        <v>-15.7795</v>
      </c>
      <c r="D2789" s="6" t="n">
        <v>-47.9297</v>
      </c>
      <c r="E2789" s="6" t="inlineStr">
        <is>
          <t>2024-04</t>
        </is>
      </c>
      <c r="F2789" s="6" t="n">
        <v>39050.3384422886</v>
      </c>
      <c r="G2789" s="6" t="inlineStr">
        <is>
          <t>DOMESTICA</t>
        </is>
      </c>
      <c r="H2789" s="6" t="inlineStr">
        <is>
          <t>FIXO</t>
        </is>
      </c>
      <c r="I2789" s="11">
        <f>IF($H2789="AUTO_OFERTA_TOTAL_PRODUTO_PERIODO",SUMIFS(Oferta!$F:$F,Oferta!$A:$A,$A2789,Oferta!$E:$E,$E2789),$F2789)</f>
        <v/>
      </c>
      <c r="J2789" s="6" t="inlineStr">
        <is>
          <t>Informado</t>
        </is>
      </c>
      <c r="K2789" s="6" t="inlineStr">
        <is>
          <t>Demanda doméstica fixa informada pelo usuário.</t>
        </is>
      </c>
    </row>
    <row r="2790">
      <c r="A2790" s="6" t="inlineStr">
        <is>
          <t>Soja</t>
        </is>
      </c>
      <c r="B2790" s="6" t="inlineStr">
        <is>
          <t>Brasília - DF</t>
        </is>
      </c>
      <c r="C2790" s="6" t="n">
        <v>-15.7795</v>
      </c>
      <c r="D2790" s="6" t="n">
        <v>-47.9297</v>
      </c>
      <c r="E2790" s="6" t="inlineStr">
        <is>
          <t>2024-05</t>
        </is>
      </c>
      <c r="F2790" s="6" t="n">
        <v>71091.64177955109</v>
      </c>
      <c r="G2790" s="6" t="inlineStr">
        <is>
          <t>DOMESTICA</t>
        </is>
      </c>
      <c r="H2790" s="6" t="inlineStr">
        <is>
          <t>FIXO</t>
        </is>
      </c>
      <c r="I2790" s="11">
        <f>IF($H2790="AUTO_OFERTA_TOTAL_PRODUTO_PERIODO",SUMIFS(Oferta!$F:$F,Oferta!$A:$A,$A2790,Oferta!$E:$E,$E2790),$F2790)</f>
        <v/>
      </c>
      <c r="J2790" s="6" t="inlineStr">
        <is>
          <t>Informado</t>
        </is>
      </c>
      <c r="K2790" s="6" t="inlineStr">
        <is>
          <t>Demanda doméstica fixa informada pelo usuário.</t>
        </is>
      </c>
    </row>
    <row r="2791">
      <c r="A2791" s="6" t="inlineStr">
        <is>
          <t>Soja</t>
        </is>
      </c>
      <c r="B2791" s="6" t="inlineStr">
        <is>
          <t>Brasília - DF</t>
        </is>
      </c>
      <c r="C2791" s="6" t="n">
        <v>-15.7795</v>
      </c>
      <c r="D2791" s="6" t="n">
        <v>-47.9297</v>
      </c>
      <c r="E2791" s="6" t="inlineStr">
        <is>
          <t>2024-06</t>
        </is>
      </c>
      <c r="F2791" s="6" t="n">
        <v>71091.64177955109</v>
      </c>
      <c r="G2791" s="6" t="inlineStr">
        <is>
          <t>DOMESTICA</t>
        </is>
      </c>
      <c r="H2791" s="6" t="inlineStr">
        <is>
          <t>FIXO</t>
        </is>
      </c>
      <c r="I2791" s="11">
        <f>IF($H2791="AUTO_OFERTA_TOTAL_PRODUTO_PERIODO",SUMIFS(Oferta!$F:$F,Oferta!$A:$A,$A2791,Oferta!$E:$E,$E2791),$F2791)</f>
        <v/>
      </c>
      <c r="J2791" s="6" t="inlineStr">
        <is>
          <t>Informado</t>
        </is>
      </c>
      <c r="K2791" s="6" t="inlineStr">
        <is>
          <t>Demanda doméstica fixa informada pelo usuário.</t>
        </is>
      </c>
    </row>
    <row r="2792">
      <c r="A2792" s="6" t="inlineStr">
        <is>
          <t>Soja</t>
        </is>
      </c>
      <c r="B2792" s="6" t="inlineStr">
        <is>
          <t>Brasília - DF</t>
        </is>
      </c>
      <c r="C2792" s="6" t="n">
        <v>-15.7795</v>
      </c>
      <c r="D2792" s="6" t="n">
        <v>-47.9297</v>
      </c>
      <c r="E2792" s="6" t="inlineStr">
        <is>
          <t>2024-07</t>
        </is>
      </c>
      <c r="F2792" s="6" t="n">
        <v>60411.207333797</v>
      </c>
      <c r="G2792" s="6" t="inlineStr">
        <is>
          <t>DOMESTICA</t>
        </is>
      </c>
      <c r="H2792" s="6" t="inlineStr">
        <is>
          <t>FIXO</t>
        </is>
      </c>
      <c r="I2792" s="11">
        <f>IF($H2792="AUTO_OFERTA_TOTAL_PRODUTO_PERIODO",SUMIFS(Oferta!$F:$F,Oferta!$A:$A,$A2792,Oferta!$E:$E,$E2792),$F2792)</f>
        <v/>
      </c>
      <c r="J2792" s="6" t="inlineStr">
        <is>
          <t>Informado</t>
        </is>
      </c>
      <c r="K2792" s="6" t="inlineStr">
        <is>
          <t>Demanda doméstica fixa informada pelo usuário.</t>
        </is>
      </c>
    </row>
    <row r="2793">
      <c r="A2793" s="6" t="inlineStr">
        <is>
          <t>Soja</t>
        </is>
      </c>
      <c r="B2793" s="6" t="inlineStr">
        <is>
          <t>Brasília - DF</t>
        </is>
      </c>
      <c r="C2793" s="6" t="n">
        <v>-15.7795</v>
      </c>
      <c r="D2793" s="6" t="n">
        <v>-47.9297</v>
      </c>
      <c r="E2793" s="6" t="inlineStr">
        <is>
          <t>2024-08</t>
        </is>
      </c>
      <c r="F2793" s="6" t="n">
        <v>28369.9039965345</v>
      </c>
      <c r="G2793" s="6" t="inlineStr">
        <is>
          <t>DOMESTICA</t>
        </is>
      </c>
      <c r="H2793" s="6" t="inlineStr">
        <is>
          <t>FIXO</t>
        </is>
      </c>
      <c r="I2793" s="11">
        <f>IF($H2793="AUTO_OFERTA_TOTAL_PRODUTO_PERIODO",SUMIFS(Oferta!$F:$F,Oferta!$A:$A,$A2793,Oferta!$E:$E,$E2793),$F2793)</f>
        <v/>
      </c>
      <c r="J2793" s="6" t="inlineStr">
        <is>
          <t>Informado</t>
        </is>
      </c>
      <c r="K2793" s="6" t="inlineStr">
        <is>
          <t>Demanda doméstica fixa informada pelo usuário.</t>
        </is>
      </c>
    </row>
    <row r="2794">
      <c r="A2794" s="6" t="inlineStr">
        <is>
          <t>Soja</t>
        </is>
      </c>
      <c r="B2794" s="6" t="inlineStr">
        <is>
          <t>Brasília - DF</t>
        </is>
      </c>
      <c r="C2794" s="6" t="n">
        <v>-15.7795</v>
      </c>
      <c r="D2794" s="6" t="n">
        <v>-47.9297</v>
      </c>
      <c r="E2794" s="6" t="inlineStr">
        <is>
          <t>2024-09</t>
        </is>
      </c>
      <c r="F2794" s="6" t="n">
        <v>17689.4695507803</v>
      </c>
      <c r="G2794" s="6" t="inlineStr">
        <is>
          <t>DOMESTICA</t>
        </is>
      </c>
      <c r="H2794" s="6" t="inlineStr">
        <is>
          <t>FIXO</t>
        </is>
      </c>
      <c r="I2794" s="11">
        <f>IF($H2794="AUTO_OFERTA_TOTAL_PRODUTO_PERIODO",SUMIFS(Oferta!$F:$F,Oferta!$A:$A,$A2794,Oferta!$E:$E,$E2794),$F2794)</f>
        <v/>
      </c>
      <c r="J2794" s="6" t="inlineStr">
        <is>
          <t>Informado</t>
        </is>
      </c>
      <c r="K2794" s="6" t="inlineStr">
        <is>
          <t>Demanda doméstica fixa informada pelo usuário.</t>
        </is>
      </c>
    </row>
    <row r="2795">
      <c r="A2795" s="6" t="inlineStr">
        <is>
          <t>Soja</t>
        </is>
      </c>
      <c r="B2795" s="6" t="inlineStr">
        <is>
          <t>Brasília - DF</t>
        </is>
      </c>
      <c r="C2795" s="6" t="n">
        <v>-15.7795</v>
      </c>
      <c r="D2795" s="6" t="n">
        <v>-47.9297</v>
      </c>
      <c r="E2795" s="6" t="inlineStr">
        <is>
          <t>2024-10</t>
        </is>
      </c>
      <c r="F2795" s="6" t="n">
        <v>17689.4695507803</v>
      </c>
      <c r="G2795" s="6" t="inlineStr">
        <is>
          <t>DOMESTICA</t>
        </is>
      </c>
      <c r="H2795" s="6" t="inlineStr">
        <is>
          <t>FIXO</t>
        </is>
      </c>
      <c r="I2795" s="11">
        <f>IF($H2795="AUTO_OFERTA_TOTAL_PRODUTO_PERIODO",SUMIFS(Oferta!$F:$F,Oferta!$A:$A,$A2795,Oferta!$E:$E,$E2795),$F2795)</f>
        <v/>
      </c>
      <c r="J2795" s="6" t="inlineStr">
        <is>
          <t>Informado</t>
        </is>
      </c>
      <c r="K2795" s="6" t="inlineStr">
        <is>
          <t>Demanda doméstica fixa informada pelo usuário.</t>
        </is>
      </c>
    </row>
    <row r="2796">
      <c r="A2796" s="6" t="inlineStr">
        <is>
          <t>Soja</t>
        </is>
      </c>
      <c r="B2796" s="6" t="inlineStr">
        <is>
          <t>Brasília - DF</t>
        </is>
      </c>
      <c r="C2796" s="6" t="n">
        <v>-15.7795</v>
      </c>
      <c r="D2796" s="6" t="n">
        <v>-47.9297</v>
      </c>
      <c r="E2796" s="6" t="inlineStr">
        <is>
          <t>2024-11</t>
        </is>
      </c>
      <c r="F2796" s="6" t="n">
        <v>17689.4695507803</v>
      </c>
      <c r="G2796" s="6" t="inlineStr">
        <is>
          <t>DOMESTICA</t>
        </is>
      </c>
      <c r="H2796" s="6" t="inlineStr">
        <is>
          <t>FIXO</t>
        </is>
      </c>
      <c r="I2796" s="11">
        <f>IF($H2796="AUTO_OFERTA_TOTAL_PRODUTO_PERIODO",SUMIFS(Oferta!$F:$F,Oferta!$A:$A,$A2796,Oferta!$E:$E,$E2796),$F2796)</f>
        <v/>
      </c>
      <c r="J2796" s="6" t="inlineStr">
        <is>
          <t>Informado</t>
        </is>
      </c>
      <c r="K2796" s="6" t="inlineStr">
        <is>
          <t>Demanda doméstica fixa informada pelo usuário.</t>
        </is>
      </c>
    </row>
    <row r="2797">
      <c r="A2797" s="6" t="inlineStr">
        <is>
          <t>Soja</t>
        </is>
      </c>
      <c r="B2797" s="6" t="inlineStr">
        <is>
          <t>Brasília - DF</t>
        </is>
      </c>
      <c r="C2797" s="6" t="n">
        <v>-15.7795</v>
      </c>
      <c r="D2797" s="6" t="n">
        <v>-47.9297</v>
      </c>
      <c r="E2797" s="6" t="inlineStr">
        <is>
          <t>2024-12</t>
        </is>
      </c>
      <c r="F2797" s="6" t="n">
        <v>17689.4695507803</v>
      </c>
      <c r="G2797" s="6" t="inlineStr">
        <is>
          <t>DOMESTICA</t>
        </is>
      </c>
      <c r="H2797" s="6" t="inlineStr">
        <is>
          <t>FIXO</t>
        </is>
      </c>
      <c r="I2797" s="11">
        <f>IF($H2797="AUTO_OFERTA_TOTAL_PRODUTO_PERIODO",SUMIFS(Oferta!$F:$F,Oferta!$A:$A,$A2797,Oferta!$E:$E,$E2797),$F2797)</f>
        <v/>
      </c>
      <c r="J2797" s="6" t="inlineStr">
        <is>
          <t>Informado</t>
        </is>
      </c>
      <c r="K2797" s="6" t="inlineStr">
        <is>
          <t>Demanda doméstica fixa informada pelo usuário.</t>
        </is>
      </c>
    </row>
    <row r="2798">
      <c r="A2798" s="6" t="inlineStr">
        <is>
          <t>Soja</t>
        </is>
      </c>
      <c r="B2798" s="6" t="inlineStr">
        <is>
          <t>Goiânia - GO</t>
        </is>
      </c>
      <c r="C2798" s="6" t="n">
        <v>-16.6864</v>
      </c>
      <c r="D2798" s="6" t="n">
        <v>-49.2643</v>
      </c>
      <c r="E2798" s="6" t="inlineStr">
        <is>
          <t>2024-01</t>
        </is>
      </c>
      <c r="F2798" s="6" t="n">
        <v>154377.9035593407</v>
      </c>
      <c r="G2798" s="6" t="inlineStr">
        <is>
          <t>DOMESTICA</t>
        </is>
      </c>
      <c r="H2798" s="6" t="inlineStr">
        <is>
          <t>FIXO</t>
        </is>
      </c>
      <c r="I2798" s="11">
        <f>IF($H2798="AUTO_OFERTA_TOTAL_PRODUTO_PERIODO",SUMIFS(Oferta!$F:$F,Oferta!$A:$A,$A2798,Oferta!$E:$E,$E2798),$F2798)</f>
        <v/>
      </c>
      <c r="J2798" s="6" t="inlineStr">
        <is>
          <t>Informado</t>
        </is>
      </c>
      <c r="K2798" s="6" t="inlineStr">
        <is>
          <t>Demanda doméstica fixa informada pelo usuário.</t>
        </is>
      </c>
    </row>
    <row r="2799">
      <c r="A2799" s="6" t="inlineStr">
        <is>
          <t>Soja</t>
        </is>
      </c>
      <c r="B2799" s="6" t="inlineStr">
        <is>
          <t>Goiânia - GO</t>
        </is>
      </c>
      <c r="C2799" s="6" t="n">
        <v>-16.6864</v>
      </c>
      <c r="D2799" s="6" t="n">
        <v>-49.2643</v>
      </c>
      <c r="E2799" s="6" t="inlineStr">
        <is>
          <t>2024-02</t>
        </is>
      </c>
      <c r="F2799" s="6" t="n">
        <v>154377.9035593407</v>
      </c>
      <c r="G2799" s="6" t="inlineStr">
        <is>
          <t>DOMESTICA</t>
        </is>
      </c>
      <c r="H2799" s="6" t="inlineStr">
        <is>
          <t>FIXO</t>
        </is>
      </c>
      <c r="I2799" s="11">
        <f>IF($H2799="AUTO_OFERTA_TOTAL_PRODUTO_PERIODO",SUMIFS(Oferta!$F:$F,Oferta!$A:$A,$A2799,Oferta!$E:$E,$E2799),$F2799)</f>
        <v/>
      </c>
      <c r="J2799" s="6" t="inlineStr">
        <is>
          <t>Informado</t>
        </is>
      </c>
      <c r="K2799" s="6" t="inlineStr">
        <is>
          <t>Demanda doméstica fixa informada pelo usuário.</t>
        </is>
      </c>
    </row>
    <row r="2800">
      <c r="A2800" s="6" t="inlineStr">
        <is>
          <t>Soja</t>
        </is>
      </c>
      <c r="B2800" s="6" t="inlineStr">
        <is>
          <t>Goiânia - GO</t>
        </is>
      </c>
      <c r="C2800" s="6" t="n">
        <v>-16.6864</v>
      </c>
      <c r="D2800" s="6" t="n">
        <v>-49.2643</v>
      </c>
      <c r="E2800" s="6" t="inlineStr">
        <is>
          <t>2024-03</t>
        </is>
      </c>
      <c r="F2800" s="6" t="n">
        <v>247587.2038215841</v>
      </c>
      <c r="G2800" s="6" t="inlineStr">
        <is>
          <t>DOMESTICA</t>
        </is>
      </c>
      <c r="H2800" s="6" t="inlineStr">
        <is>
          <t>FIXO</t>
        </is>
      </c>
      <c r="I2800" s="11">
        <f>IF($H2800="AUTO_OFERTA_TOTAL_PRODUTO_PERIODO",SUMIFS(Oferta!$F:$F,Oferta!$A:$A,$A2800,Oferta!$E:$E,$E2800),$F2800)</f>
        <v/>
      </c>
      <c r="J2800" s="6" t="inlineStr">
        <is>
          <t>Informado</t>
        </is>
      </c>
      <c r="K2800" s="6" t="inlineStr">
        <is>
          <t>Demanda doméstica fixa informada pelo usuário.</t>
        </is>
      </c>
    </row>
    <row r="2801">
      <c r="A2801" s="6" t="inlineStr">
        <is>
          <t>Soja</t>
        </is>
      </c>
      <c r="B2801" s="6" t="inlineStr">
        <is>
          <t>Goiânia - GO</t>
        </is>
      </c>
      <c r="C2801" s="6" t="n">
        <v>-16.6864</v>
      </c>
      <c r="D2801" s="6" t="n">
        <v>-49.2643</v>
      </c>
      <c r="E2801" s="6" t="inlineStr">
        <is>
          <t>2024-04</t>
        </is>
      </c>
      <c r="F2801" s="6" t="n">
        <v>527215.1046083146</v>
      </c>
      <c r="G2801" s="6" t="inlineStr">
        <is>
          <t>DOMESTICA</t>
        </is>
      </c>
      <c r="H2801" s="6" t="inlineStr">
        <is>
          <t>FIXO</t>
        </is>
      </c>
      <c r="I2801" s="11">
        <f>IF($H2801="AUTO_OFERTA_TOTAL_PRODUTO_PERIODO",SUMIFS(Oferta!$F:$F,Oferta!$A:$A,$A2801,Oferta!$E:$E,$E2801),$F2801)</f>
        <v/>
      </c>
      <c r="J2801" s="6" t="inlineStr">
        <is>
          <t>Informado</t>
        </is>
      </c>
      <c r="K2801" s="6" t="inlineStr">
        <is>
          <t>Demanda doméstica fixa informada pelo usuário.</t>
        </is>
      </c>
    </row>
    <row r="2802">
      <c r="A2802" s="6" t="inlineStr">
        <is>
          <t>Soja</t>
        </is>
      </c>
      <c r="B2802" s="6" t="inlineStr">
        <is>
          <t>Goiânia - GO</t>
        </is>
      </c>
      <c r="C2802" s="6" t="n">
        <v>-16.6864</v>
      </c>
      <c r="D2802" s="6" t="n">
        <v>-49.2643</v>
      </c>
      <c r="E2802" s="6" t="inlineStr">
        <is>
          <t>2024-05</t>
        </is>
      </c>
      <c r="F2802" s="6" t="n">
        <v>620424.4048705578</v>
      </c>
      <c r="G2802" s="6" t="inlineStr">
        <is>
          <t>DOMESTICA</t>
        </is>
      </c>
      <c r="H2802" s="6" t="inlineStr">
        <is>
          <t>FIXO</t>
        </is>
      </c>
      <c r="I2802" s="11">
        <f>IF($H2802="AUTO_OFERTA_TOTAL_PRODUTO_PERIODO",SUMIFS(Oferta!$F:$F,Oferta!$A:$A,$A2802,Oferta!$E:$E,$E2802),$F2802)</f>
        <v/>
      </c>
      <c r="J2802" s="6" t="inlineStr">
        <is>
          <t>Informado</t>
        </is>
      </c>
      <c r="K2802" s="6" t="inlineStr">
        <is>
          <t>Demanda doméstica fixa informada pelo usuário.</t>
        </is>
      </c>
    </row>
    <row r="2803">
      <c r="A2803" s="6" t="inlineStr">
        <is>
          <t>Soja</t>
        </is>
      </c>
      <c r="B2803" s="6" t="inlineStr">
        <is>
          <t>Goiânia - GO</t>
        </is>
      </c>
      <c r="C2803" s="6" t="n">
        <v>-16.6864</v>
      </c>
      <c r="D2803" s="6" t="n">
        <v>-49.2643</v>
      </c>
      <c r="E2803" s="6" t="inlineStr">
        <is>
          <t>2024-06</t>
        </is>
      </c>
      <c r="F2803" s="6" t="n">
        <v>527215.1046083146</v>
      </c>
      <c r="G2803" s="6" t="inlineStr">
        <is>
          <t>DOMESTICA</t>
        </is>
      </c>
      <c r="H2803" s="6" t="inlineStr">
        <is>
          <t>FIXO</t>
        </is>
      </c>
      <c r="I2803" s="11">
        <f>IF($H2803="AUTO_OFERTA_TOTAL_PRODUTO_PERIODO",SUMIFS(Oferta!$F:$F,Oferta!$A:$A,$A2803,Oferta!$E:$E,$E2803),$F2803)</f>
        <v/>
      </c>
      <c r="J2803" s="6" t="inlineStr">
        <is>
          <t>Informado</t>
        </is>
      </c>
      <c r="K2803" s="6" t="inlineStr">
        <is>
          <t>Demanda doméstica fixa informada pelo usuário.</t>
        </is>
      </c>
    </row>
    <row r="2804">
      <c r="A2804" s="6" t="inlineStr">
        <is>
          <t>Soja</t>
        </is>
      </c>
      <c r="B2804" s="6" t="inlineStr">
        <is>
          <t>Goiânia - GO</t>
        </is>
      </c>
      <c r="C2804" s="6" t="n">
        <v>-16.6864</v>
      </c>
      <c r="D2804" s="6" t="n">
        <v>-49.2643</v>
      </c>
      <c r="E2804" s="6" t="inlineStr">
        <is>
          <t>2024-07</t>
        </is>
      </c>
      <c r="F2804" s="6" t="n">
        <v>247587.2038215841</v>
      </c>
      <c r="G2804" s="6" t="inlineStr">
        <is>
          <t>DOMESTICA</t>
        </is>
      </c>
      <c r="H2804" s="6" t="inlineStr">
        <is>
          <t>FIXO</t>
        </is>
      </c>
      <c r="I2804" s="11">
        <f>IF($H2804="AUTO_OFERTA_TOTAL_PRODUTO_PERIODO",SUMIFS(Oferta!$F:$F,Oferta!$A:$A,$A2804,Oferta!$E:$E,$E2804),$F2804)</f>
        <v/>
      </c>
      <c r="J2804" s="6" t="inlineStr">
        <is>
          <t>Informado</t>
        </is>
      </c>
      <c r="K2804" s="6" t="inlineStr">
        <is>
          <t>Demanda doméstica fixa informada pelo usuário.</t>
        </is>
      </c>
    </row>
    <row r="2805">
      <c r="A2805" s="6" t="inlineStr">
        <is>
          <t>Soja</t>
        </is>
      </c>
      <c r="B2805" s="6" t="inlineStr">
        <is>
          <t>Goiânia - GO</t>
        </is>
      </c>
      <c r="C2805" s="6" t="n">
        <v>-16.6864</v>
      </c>
      <c r="D2805" s="6" t="n">
        <v>-49.2643</v>
      </c>
      <c r="E2805" s="6" t="inlineStr">
        <is>
          <t>2024-08</t>
        </is>
      </c>
      <c r="F2805" s="6" t="n">
        <v>154377.9035593407</v>
      </c>
      <c r="G2805" s="6" t="inlineStr">
        <is>
          <t>DOMESTICA</t>
        </is>
      </c>
      <c r="H2805" s="6" t="inlineStr">
        <is>
          <t>FIXO</t>
        </is>
      </c>
      <c r="I2805" s="11">
        <f>IF($H2805="AUTO_OFERTA_TOTAL_PRODUTO_PERIODO",SUMIFS(Oferta!$F:$F,Oferta!$A:$A,$A2805,Oferta!$E:$E,$E2805),$F2805)</f>
        <v/>
      </c>
      <c r="J2805" s="6" t="inlineStr">
        <is>
          <t>Informado</t>
        </is>
      </c>
      <c r="K2805" s="6" t="inlineStr">
        <is>
          <t>Demanda doméstica fixa informada pelo usuário.</t>
        </is>
      </c>
    </row>
    <row r="2806">
      <c r="A2806" s="6" t="inlineStr">
        <is>
          <t>Soja</t>
        </is>
      </c>
      <c r="B2806" s="6" t="inlineStr">
        <is>
          <t>Goiânia - GO</t>
        </is>
      </c>
      <c r="C2806" s="6" t="n">
        <v>-16.6864</v>
      </c>
      <c r="D2806" s="6" t="n">
        <v>-49.2643</v>
      </c>
      <c r="E2806" s="6" t="inlineStr">
        <is>
          <t>2024-09</t>
        </is>
      </c>
      <c r="F2806" s="6" t="n">
        <v>154377.9035593407</v>
      </c>
      <c r="G2806" s="6" t="inlineStr">
        <is>
          <t>DOMESTICA</t>
        </is>
      </c>
      <c r="H2806" s="6" t="inlineStr">
        <is>
          <t>FIXO</t>
        </is>
      </c>
      <c r="I2806" s="11">
        <f>IF($H2806="AUTO_OFERTA_TOTAL_PRODUTO_PERIODO",SUMIFS(Oferta!$F:$F,Oferta!$A:$A,$A2806,Oferta!$E:$E,$E2806),$F2806)</f>
        <v/>
      </c>
      <c r="J2806" s="6" t="inlineStr">
        <is>
          <t>Informado</t>
        </is>
      </c>
      <c r="K2806" s="6" t="inlineStr">
        <is>
          <t>Demanda doméstica fixa informada pelo usuário.</t>
        </is>
      </c>
    </row>
    <row r="2807">
      <c r="A2807" s="6" t="inlineStr">
        <is>
          <t>Soja</t>
        </is>
      </c>
      <c r="B2807" s="6" t="inlineStr">
        <is>
          <t>Goiânia - GO</t>
        </is>
      </c>
      <c r="C2807" s="6" t="n">
        <v>-16.6864</v>
      </c>
      <c r="D2807" s="6" t="n">
        <v>-49.2643</v>
      </c>
      <c r="E2807" s="6" t="inlineStr">
        <is>
          <t>2024-10</t>
        </is>
      </c>
      <c r="F2807" s="6" t="n">
        <v>154377.9035593407</v>
      </c>
      <c r="G2807" s="6" t="inlineStr">
        <is>
          <t>DOMESTICA</t>
        </is>
      </c>
      <c r="H2807" s="6" t="inlineStr">
        <is>
          <t>FIXO</t>
        </is>
      </c>
      <c r="I2807" s="11">
        <f>IF($H2807="AUTO_OFERTA_TOTAL_PRODUTO_PERIODO",SUMIFS(Oferta!$F:$F,Oferta!$A:$A,$A2807,Oferta!$E:$E,$E2807),$F2807)</f>
        <v/>
      </c>
      <c r="J2807" s="6" t="inlineStr">
        <is>
          <t>Informado</t>
        </is>
      </c>
      <c r="K2807" s="6" t="inlineStr">
        <is>
          <t>Demanda doméstica fixa informada pelo usuário.</t>
        </is>
      </c>
    </row>
    <row r="2808">
      <c r="A2808" s="6" t="inlineStr">
        <is>
          <t>Soja</t>
        </is>
      </c>
      <c r="B2808" s="6" t="inlineStr">
        <is>
          <t>Goiânia - GO</t>
        </is>
      </c>
      <c r="C2808" s="6" t="n">
        <v>-16.6864</v>
      </c>
      <c r="D2808" s="6" t="n">
        <v>-49.2643</v>
      </c>
      <c r="E2808" s="6" t="inlineStr">
        <is>
          <t>2024-11</t>
        </is>
      </c>
      <c r="F2808" s="6" t="n">
        <v>154377.9035593407</v>
      </c>
      <c r="G2808" s="6" t="inlineStr">
        <is>
          <t>DOMESTICA</t>
        </is>
      </c>
      <c r="H2808" s="6" t="inlineStr">
        <is>
          <t>FIXO</t>
        </is>
      </c>
      <c r="I2808" s="11">
        <f>IF($H2808="AUTO_OFERTA_TOTAL_PRODUTO_PERIODO",SUMIFS(Oferta!$F:$F,Oferta!$A:$A,$A2808,Oferta!$E:$E,$E2808),$F2808)</f>
        <v/>
      </c>
      <c r="J2808" s="6" t="inlineStr">
        <is>
          <t>Informado</t>
        </is>
      </c>
      <c r="K2808" s="6" t="inlineStr">
        <is>
          <t>Demanda doméstica fixa informada pelo usuário.</t>
        </is>
      </c>
    </row>
    <row r="2809">
      <c r="A2809" s="6" t="inlineStr">
        <is>
          <t>Soja</t>
        </is>
      </c>
      <c r="B2809" s="6" t="inlineStr">
        <is>
          <t>Goiânia - GO</t>
        </is>
      </c>
      <c r="C2809" s="6" t="n">
        <v>-16.6864</v>
      </c>
      <c r="D2809" s="6" t="n">
        <v>-49.2643</v>
      </c>
      <c r="E2809" s="6" t="inlineStr">
        <is>
          <t>2024-12</t>
        </is>
      </c>
      <c r="F2809" s="6" t="n">
        <v>154377.9035593407</v>
      </c>
      <c r="G2809" s="6" t="inlineStr">
        <is>
          <t>DOMESTICA</t>
        </is>
      </c>
      <c r="H2809" s="6" t="inlineStr">
        <is>
          <t>FIXO</t>
        </is>
      </c>
      <c r="I2809" s="11">
        <f>IF($H2809="AUTO_OFERTA_TOTAL_PRODUTO_PERIODO",SUMIFS(Oferta!$F:$F,Oferta!$A:$A,$A2809,Oferta!$E:$E,$E2809),$F2809)</f>
        <v/>
      </c>
      <c r="J2809" s="6" t="inlineStr">
        <is>
          <t>Informado</t>
        </is>
      </c>
      <c r="K2809" s="6" t="inlineStr">
        <is>
          <t>Demanda doméstica fixa informada pelo usuário.</t>
        </is>
      </c>
    </row>
    <row r="2810">
      <c r="A2810" s="6" t="inlineStr">
        <is>
          <t>Soja</t>
        </is>
      </c>
      <c r="B2810" s="6" t="inlineStr">
        <is>
          <t>Cuiabá - MT</t>
        </is>
      </c>
      <c r="C2810" s="6" t="n">
        <v>-15.601</v>
      </c>
      <c r="D2810" s="6" t="n">
        <v>-56.0974</v>
      </c>
      <c r="E2810" s="6" t="inlineStr">
        <is>
          <t>2024-01</t>
        </is>
      </c>
      <c r="F2810" s="6" t="n">
        <v>189243.8229716552</v>
      </c>
      <c r="G2810" s="6" t="inlineStr">
        <is>
          <t>DOMESTICA</t>
        </is>
      </c>
      <c r="H2810" s="6" t="inlineStr">
        <is>
          <t>FIXO</t>
        </is>
      </c>
      <c r="I2810" s="11">
        <f>IF($H2810="AUTO_OFERTA_TOTAL_PRODUTO_PERIODO",SUMIFS(Oferta!$F:$F,Oferta!$A:$A,$A2810,Oferta!$E:$E,$E2810),$F2810)</f>
        <v/>
      </c>
      <c r="J2810" s="6" t="inlineStr">
        <is>
          <t>Informado</t>
        </is>
      </c>
      <c r="K2810" s="6" t="inlineStr">
        <is>
          <t>Demanda doméstica fixa informada pelo usuário.</t>
        </is>
      </c>
    </row>
    <row r="2811">
      <c r="A2811" s="6" t="inlineStr">
        <is>
          <t>Soja</t>
        </is>
      </c>
      <c r="B2811" s="6" t="inlineStr">
        <is>
          <t>Cuiabá - MT</t>
        </is>
      </c>
      <c r="C2811" s="6" t="n">
        <v>-15.601</v>
      </c>
      <c r="D2811" s="6" t="n">
        <v>-56.0974</v>
      </c>
      <c r="E2811" s="6" t="inlineStr">
        <is>
          <t>2024-02</t>
        </is>
      </c>
      <c r="F2811" s="6" t="n">
        <v>303504.2443885035</v>
      </c>
      <c r="G2811" s="6" t="inlineStr">
        <is>
          <t>DOMESTICA</t>
        </is>
      </c>
      <c r="H2811" s="6" t="inlineStr">
        <is>
          <t>FIXO</t>
        </is>
      </c>
      <c r="I2811" s="11">
        <f>IF($H2811="AUTO_OFERTA_TOTAL_PRODUTO_PERIODO",SUMIFS(Oferta!$F:$F,Oferta!$A:$A,$A2811,Oferta!$E:$E,$E2811),$F2811)</f>
        <v/>
      </c>
      <c r="J2811" s="6" t="inlineStr">
        <is>
          <t>Informado</t>
        </is>
      </c>
      <c r="K2811" s="6" t="inlineStr">
        <is>
          <t>Demanda doméstica fixa informada pelo usuário.</t>
        </is>
      </c>
    </row>
    <row r="2812">
      <c r="A2812" s="6" t="inlineStr">
        <is>
          <t>Soja</t>
        </is>
      </c>
      <c r="B2812" s="6" t="inlineStr">
        <is>
          <t>Cuiabá - MT</t>
        </is>
      </c>
      <c r="C2812" s="6" t="n">
        <v>-15.601</v>
      </c>
      <c r="D2812" s="6" t="n">
        <v>-56.0974</v>
      </c>
      <c r="E2812" s="6" t="inlineStr">
        <is>
          <t>2024-03</t>
        </is>
      </c>
      <c r="F2812" s="6" t="n">
        <v>532025.0872222002</v>
      </c>
      <c r="G2812" s="6" t="inlineStr">
        <is>
          <t>DOMESTICA</t>
        </is>
      </c>
      <c r="H2812" s="6" t="inlineStr">
        <is>
          <t>FIXO</t>
        </is>
      </c>
      <c r="I2812" s="11">
        <f>IF($H2812="AUTO_OFERTA_TOTAL_PRODUTO_PERIODO",SUMIFS(Oferta!$F:$F,Oferta!$A:$A,$A2812,Oferta!$E:$E,$E2812),$F2812)</f>
        <v/>
      </c>
      <c r="J2812" s="6" t="inlineStr">
        <is>
          <t>Informado</t>
        </is>
      </c>
      <c r="K2812" s="6" t="inlineStr">
        <is>
          <t>Demanda doméstica fixa informada pelo usuário.</t>
        </is>
      </c>
    </row>
    <row r="2813">
      <c r="A2813" s="6" t="inlineStr">
        <is>
          <t>Soja</t>
        </is>
      </c>
      <c r="B2813" s="6" t="inlineStr">
        <is>
          <t>Cuiabá - MT</t>
        </is>
      </c>
      <c r="C2813" s="6" t="n">
        <v>-15.601</v>
      </c>
      <c r="D2813" s="6" t="n">
        <v>-56.0974</v>
      </c>
      <c r="E2813" s="6" t="inlineStr">
        <is>
          <t>2024-04</t>
        </is>
      </c>
      <c r="F2813" s="6" t="n">
        <v>760545.930055897</v>
      </c>
      <c r="G2813" s="6" t="inlineStr">
        <is>
          <t>DOMESTICA</t>
        </is>
      </c>
      <c r="H2813" s="6" t="inlineStr">
        <is>
          <t>FIXO</t>
        </is>
      </c>
      <c r="I2813" s="11">
        <f>IF($H2813="AUTO_OFERTA_TOTAL_PRODUTO_PERIODO",SUMIFS(Oferta!$F:$F,Oferta!$A:$A,$A2813,Oferta!$E:$E,$E2813),$F2813)</f>
        <v/>
      </c>
      <c r="J2813" s="6" t="inlineStr">
        <is>
          <t>Informado</t>
        </is>
      </c>
      <c r="K2813" s="6" t="inlineStr">
        <is>
          <t>Demanda doméstica fixa informada pelo usuário.</t>
        </is>
      </c>
    </row>
    <row r="2814">
      <c r="A2814" s="6" t="inlineStr">
        <is>
          <t>Soja</t>
        </is>
      </c>
      <c r="B2814" s="6" t="inlineStr">
        <is>
          <t>Cuiabá - MT</t>
        </is>
      </c>
      <c r="C2814" s="6" t="n">
        <v>-15.601</v>
      </c>
      <c r="D2814" s="6" t="n">
        <v>-56.0974</v>
      </c>
      <c r="E2814" s="6" t="inlineStr">
        <is>
          <t>2024-05</t>
        </is>
      </c>
      <c r="F2814" s="6" t="n">
        <v>760545.930055897</v>
      </c>
      <c r="G2814" s="6" t="inlineStr">
        <is>
          <t>DOMESTICA</t>
        </is>
      </c>
      <c r="H2814" s="6" t="inlineStr">
        <is>
          <t>FIXO</t>
        </is>
      </c>
      <c r="I2814" s="11">
        <f>IF($H2814="AUTO_OFERTA_TOTAL_PRODUTO_PERIODO",SUMIFS(Oferta!$F:$F,Oferta!$A:$A,$A2814,Oferta!$E:$E,$E2814),$F2814)</f>
        <v/>
      </c>
      <c r="J2814" s="6" t="inlineStr">
        <is>
          <t>Informado</t>
        </is>
      </c>
      <c r="K2814" s="6" t="inlineStr">
        <is>
          <t>Demanda doméstica fixa informada pelo usuário.</t>
        </is>
      </c>
    </row>
    <row r="2815">
      <c r="A2815" s="6" t="inlineStr">
        <is>
          <t>Soja</t>
        </is>
      </c>
      <c r="B2815" s="6" t="inlineStr">
        <is>
          <t>Cuiabá - MT</t>
        </is>
      </c>
      <c r="C2815" s="6" t="n">
        <v>-15.601</v>
      </c>
      <c r="D2815" s="6" t="n">
        <v>-56.0974</v>
      </c>
      <c r="E2815" s="6" t="inlineStr">
        <is>
          <t>2024-06</t>
        </is>
      </c>
      <c r="F2815" s="6" t="n">
        <v>532025.0872222002</v>
      </c>
      <c r="G2815" s="6" t="inlineStr">
        <is>
          <t>DOMESTICA</t>
        </is>
      </c>
      <c r="H2815" s="6" t="inlineStr">
        <is>
          <t>FIXO</t>
        </is>
      </c>
      <c r="I2815" s="11">
        <f>IF($H2815="AUTO_OFERTA_TOTAL_PRODUTO_PERIODO",SUMIFS(Oferta!$F:$F,Oferta!$A:$A,$A2815,Oferta!$E:$E,$E2815),$F2815)</f>
        <v/>
      </c>
      <c r="J2815" s="6" t="inlineStr">
        <is>
          <t>Informado</t>
        </is>
      </c>
      <c r="K2815" s="6" t="inlineStr">
        <is>
          <t>Demanda doméstica fixa informada pelo usuário.</t>
        </is>
      </c>
    </row>
    <row r="2816">
      <c r="A2816" s="6" t="inlineStr">
        <is>
          <t>Soja</t>
        </is>
      </c>
      <c r="B2816" s="6" t="inlineStr">
        <is>
          <t>Cuiabá - MT</t>
        </is>
      </c>
      <c r="C2816" s="6" t="n">
        <v>-15.601</v>
      </c>
      <c r="D2816" s="6" t="n">
        <v>-56.0974</v>
      </c>
      <c r="E2816" s="6" t="inlineStr">
        <is>
          <t>2024-07</t>
        </is>
      </c>
      <c r="F2816" s="6" t="n">
        <v>303504.2443885035</v>
      </c>
      <c r="G2816" s="6" t="inlineStr">
        <is>
          <t>DOMESTICA</t>
        </is>
      </c>
      <c r="H2816" s="6" t="inlineStr">
        <is>
          <t>FIXO</t>
        </is>
      </c>
      <c r="I2816" s="11">
        <f>IF($H2816="AUTO_OFERTA_TOTAL_PRODUTO_PERIODO",SUMIFS(Oferta!$F:$F,Oferta!$A:$A,$A2816,Oferta!$E:$E,$E2816),$F2816)</f>
        <v/>
      </c>
      <c r="J2816" s="6" t="inlineStr">
        <is>
          <t>Informado</t>
        </is>
      </c>
      <c r="K2816" s="6" t="inlineStr">
        <is>
          <t>Demanda doméstica fixa informada pelo usuário.</t>
        </is>
      </c>
    </row>
    <row r="2817">
      <c r="A2817" s="6" t="inlineStr">
        <is>
          <t>Soja</t>
        </is>
      </c>
      <c r="B2817" s="6" t="inlineStr">
        <is>
          <t>Cuiabá - MT</t>
        </is>
      </c>
      <c r="C2817" s="6" t="n">
        <v>-15.601</v>
      </c>
      <c r="D2817" s="6" t="n">
        <v>-56.0974</v>
      </c>
      <c r="E2817" s="6" t="inlineStr">
        <is>
          <t>2024-08</t>
        </is>
      </c>
      <c r="F2817" s="6" t="n">
        <v>189243.8229716552</v>
      </c>
      <c r="G2817" s="6" t="inlineStr">
        <is>
          <t>DOMESTICA</t>
        </is>
      </c>
      <c r="H2817" s="6" t="inlineStr">
        <is>
          <t>FIXO</t>
        </is>
      </c>
      <c r="I2817" s="11">
        <f>IF($H2817="AUTO_OFERTA_TOTAL_PRODUTO_PERIODO",SUMIFS(Oferta!$F:$F,Oferta!$A:$A,$A2817,Oferta!$E:$E,$E2817),$F2817)</f>
        <v/>
      </c>
      <c r="J2817" s="6" t="inlineStr">
        <is>
          <t>Informado</t>
        </is>
      </c>
      <c r="K2817" s="6" t="inlineStr">
        <is>
          <t>Demanda doméstica fixa informada pelo usuário.</t>
        </is>
      </c>
    </row>
    <row r="2818">
      <c r="A2818" s="6" t="inlineStr">
        <is>
          <t>Soja</t>
        </is>
      </c>
      <c r="B2818" s="6" t="inlineStr">
        <is>
          <t>Cuiabá - MT</t>
        </is>
      </c>
      <c r="C2818" s="6" t="n">
        <v>-15.601</v>
      </c>
      <c r="D2818" s="6" t="n">
        <v>-56.0974</v>
      </c>
      <c r="E2818" s="6" t="inlineStr">
        <is>
          <t>2024-09</t>
        </is>
      </c>
      <c r="F2818" s="6" t="n">
        <v>189243.8229716552</v>
      </c>
      <c r="G2818" s="6" t="inlineStr">
        <is>
          <t>DOMESTICA</t>
        </is>
      </c>
      <c r="H2818" s="6" t="inlineStr">
        <is>
          <t>FIXO</t>
        </is>
      </c>
      <c r="I2818" s="11">
        <f>IF($H2818="AUTO_OFERTA_TOTAL_PRODUTO_PERIODO",SUMIFS(Oferta!$F:$F,Oferta!$A:$A,$A2818,Oferta!$E:$E,$E2818),$F2818)</f>
        <v/>
      </c>
      <c r="J2818" s="6" t="inlineStr">
        <is>
          <t>Informado</t>
        </is>
      </c>
      <c r="K2818" s="6" t="inlineStr">
        <is>
          <t>Demanda doméstica fixa informada pelo usuário.</t>
        </is>
      </c>
    </row>
    <row r="2819">
      <c r="A2819" s="6" t="inlineStr">
        <is>
          <t>Soja</t>
        </is>
      </c>
      <c r="B2819" s="6" t="inlineStr">
        <is>
          <t>Cuiabá - MT</t>
        </is>
      </c>
      <c r="C2819" s="6" t="n">
        <v>-15.601</v>
      </c>
      <c r="D2819" s="6" t="n">
        <v>-56.0974</v>
      </c>
      <c r="E2819" s="6" t="inlineStr">
        <is>
          <t>2024-10</t>
        </is>
      </c>
      <c r="F2819" s="6" t="n">
        <v>189243.8229716552</v>
      </c>
      <c r="G2819" s="6" t="inlineStr">
        <is>
          <t>DOMESTICA</t>
        </is>
      </c>
      <c r="H2819" s="6" t="inlineStr">
        <is>
          <t>FIXO</t>
        </is>
      </c>
      <c r="I2819" s="11">
        <f>IF($H2819="AUTO_OFERTA_TOTAL_PRODUTO_PERIODO",SUMIFS(Oferta!$F:$F,Oferta!$A:$A,$A2819,Oferta!$E:$E,$E2819),$F2819)</f>
        <v/>
      </c>
      <c r="J2819" s="6" t="inlineStr">
        <is>
          <t>Informado</t>
        </is>
      </c>
      <c r="K2819" s="6" t="inlineStr">
        <is>
          <t>Demanda doméstica fixa informada pelo usuário.</t>
        </is>
      </c>
    </row>
    <row r="2820">
      <c r="A2820" s="6" t="inlineStr">
        <is>
          <t>Soja</t>
        </is>
      </c>
      <c r="B2820" s="6" t="inlineStr">
        <is>
          <t>Cuiabá - MT</t>
        </is>
      </c>
      <c r="C2820" s="6" t="n">
        <v>-15.601</v>
      </c>
      <c r="D2820" s="6" t="n">
        <v>-56.0974</v>
      </c>
      <c r="E2820" s="6" t="inlineStr">
        <is>
          <t>2024-11</t>
        </is>
      </c>
      <c r="F2820" s="6" t="n">
        <v>189243.8229716552</v>
      </c>
      <c r="G2820" s="6" t="inlineStr">
        <is>
          <t>DOMESTICA</t>
        </is>
      </c>
      <c r="H2820" s="6" t="inlineStr">
        <is>
          <t>FIXO</t>
        </is>
      </c>
      <c r="I2820" s="11">
        <f>IF($H2820="AUTO_OFERTA_TOTAL_PRODUTO_PERIODO",SUMIFS(Oferta!$F:$F,Oferta!$A:$A,$A2820,Oferta!$E:$E,$E2820),$F2820)</f>
        <v/>
      </c>
      <c r="J2820" s="6" t="inlineStr">
        <is>
          <t>Informado</t>
        </is>
      </c>
      <c r="K2820" s="6" t="inlineStr">
        <is>
          <t>Demanda doméstica fixa informada pelo usuário.</t>
        </is>
      </c>
    </row>
    <row r="2821">
      <c r="A2821" s="6" t="inlineStr">
        <is>
          <t>Soja</t>
        </is>
      </c>
      <c r="B2821" s="6" t="inlineStr">
        <is>
          <t>Cuiabá - MT</t>
        </is>
      </c>
      <c r="C2821" s="6" t="n">
        <v>-15.601</v>
      </c>
      <c r="D2821" s="6" t="n">
        <v>-56.0974</v>
      </c>
      <c r="E2821" s="6" t="inlineStr">
        <is>
          <t>2024-12</t>
        </is>
      </c>
      <c r="F2821" s="6" t="n">
        <v>189243.8229716552</v>
      </c>
      <c r="G2821" s="6" t="inlineStr">
        <is>
          <t>DOMESTICA</t>
        </is>
      </c>
      <c r="H2821" s="6" t="inlineStr">
        <is>
          <t>FIXO</t>
        </is>
      </c>
      <c r="I2821" s="11">
        <f>IF($H2821="AUTO_OFERTA_TOTAL_PRODUTO_PERIODO",SUMIFS(Oferta!$F:$F,Oferta!$A:$A,$A2821,Oferta!$E:$E,$E2821),$F2821)</f>
        <v/>
      </c>
      <c r="J2821" s="6" t="inlineStr">
        <is>
          <t>Informado</t>
        </is>
      </c>
      <c r="K2821" s="6" t="inlineStr">
        <is>
          <t>Demanda doméstica fixa informada pelo usuário.</t>
        </is>
      </c>
    </row>
    <row r="2822">
      <c r="A2822" s="6" t="inlineStr">
        <is>
          <t>Soja</t>
        </is>
      </c>
      <c r="B2822" s="6" t="inlineStr">
        <is>
          <t>Campo Grande - MS</t>
        </is>
      </c>
      <c r="C2822" s="6" t="n">
        <v>-20.4486</v>
      </c>
      <c r="D2822" s="6" t="n">
        <v>-54.6295</v>
      </c>
      <c r="E2822" s="6" t="inlineStr">
        <is>
          <t>2024-01</t>
        </is>
      </c>
      <c r="F2822" s="6" t="n">
        <v>62178.2976096059</v>
      </c>
      <c r="G2822" s="6" t="inlineStr">
        <is>
          <t>DOMESTICA</t>
        </is>
      </c>
      <c r="H2822" s="6" t="inlineStr">
        <is>
          <t>FIXO</t>
        </is>
      </c>
      <c r="I2822" s="11">
        <f>IF($H2822="AUTO_OFERTA_TOTAL_PRODUTO_PERIODO",SUMIFS(Oferta!$F:$F,Oferta!$A:$A,$A2822,Oferta!$E:$E,$E2822),$F2822)</f>
        <v/>
      </c>
      <c r="J2822" s="6" t="inlineStr">
        <is>
          <t>Informado</t>
        </is>
      </c>
      <c r="K2822" s="6" t="inlineStr">
        <is>
          <t>Demanda doméstica fixa informada pelo usuário.</t>
        </is>
      </c>
    </row>
    <row r="2823">
      <c r="A2823" s="6" t="inlineStr">
        <is>
          <t>Soja</t>
        </is>
      </c>
      <c r="B2823" s="6" t="inlineStr">
        <is>
          <t>Campo Grande - MS</t>
        </is>
      </c>
      <c r="C2823" s="6" t="n">
        <v>-20.4486</v>
      </c>
      <c r="D2823" s="6" t="n">
        <v>-54.6295</v>
      </c>
      <c r="E2823" s="6" t="inlineStr">
        <is>
          <t>2024-02</t>
        </is>
      </c>
      <c r="F2823" s="6" t="n">
        <v>62178.2976096059</v>
      </c>
      <c r="G2823" s="6" t="inlineStr">
        <is>
          <t>DOMESTICA</t>
        </is>
      </c>
      <c r="H2823" s="6" t="inlineStr">
        <is>
          <t>FIXO</t>
        </is>
      </c>
      <c r="I2823" s="11">
        <f>IF($H2823="AUTO_OFERTA_TOTAL_PRODUTO_PERIODO",SUMIFS(Oferta!$F:$F,Oferta!$A:$A,$A2823,Oferta!$E:$E,$E2823),$F2823)</f>
        <v/>
      </c>
      <c r="J2823" s="6" t="inlineStr">
        <is>
          <t>Informado</t>
        </is>
      </c>
      <c r="K2823" s="6" t="inlineStr">
        <is>
          <t>Demanda doméstica fixa informada pelo usuário.</t>
        </is>
      </c>
    </row>
    <row r="2824">
      <c r="A2824" s="6" t="inlineStr">
        <is>
          <t>Soja</t>
        </is>
      </c>
      <c r="B2824" s="6" t="inlineStr">
        <is>
          <t>Campo Grande - MS</t>
        </is>
      </c>
      <c r="C2824" s="6" t="n">
        <v>-20.4486</v>
      </c>
      <c r="D2824" s="6" t="n">
        <v>-54.6295</v>
      </c>
      <c r="E2824" s="6" t="inlineStr">
        <is>
          <t>2024-03</t>
        </is>
      </c>
      <c r="F2824" s="6" t="n">
        <v>99719.9112606886</v>
      </c>
      <c r="G2824" s="6" t="inlineStr">
        <is>
          <t>DOMESTICA</t>
        </is>
      </c>
      <c r="H2824" s="6" t="inlineStr">
        <is>
          <t>FIXO</t>
        </is>
      </c>
      <c r="I2824" s="11">
        <f>IF($H2824="AUTO_OFERTA_TOTAL_PRODUTO_PERIODO",SUMIFS(Oferta!$F:$F,Oferta!$A:$A,$A2824,Oferta!$E:$E,$E2824),$F2824)</f>
        <v/>
      </c>
      <c r="J2824" s="6" t="inlineStr">
        <is>
          <t>Informado</t>
        </is>
      </c>
      <c r="K2824" s="6" t="inlineStr">
        <is>
          <t>Demanda doméstica fixa informada pelo usuário.</t>
        </is>
      </c>
    </row>
    <row r="2825">
      <c r="A2825" s="6" t="inlineStr">
        <is>
          <t>Soja</t>
        </is>
      </c>
      <c r="B2825" s="6" t="inlineStr">
        <is>
          <t>Campo Grande - MS</t>
        </is>
      </c>
      <c r="C2825" s="6" t="n">
        <v>-20.4486</v>
      </c>
      <c r="D2825" s="6" t="n">
        <v>-54.6295</v>
      </c>
      <c r="E2825" s="6" t="inlineStr">
        <is>
          <t>2024-04</t>
        </is>
      </c>
      <c r="F2825" s="6" t="n">
        <v>212344.752213937</v>
      </c>
      <c r="G2825" s="6" t="inlineStr">
        <is>
          <t>DOMESTICA</t>
        </is>
      </c>
      <c r="H2825" s="6" t="inlineStr">
        <is>
          <t>FIXO</t>
        </is>
      </c>
      <c r="I2825" s="11">
        <f>IF($H2825="AUTO_OFERTA_TOTAL_PRODUTO_PERIODO",SUMIFS(Oferta!$F:$F,Oferta!$A:$A,$A2825,Oferta!$E:$E,$E2825),$F2825)</f>
        <v/>
      </c>
      <c r="J2825" s="6" t="inlineStr">
        <is>
          <t>Informado</t>
        </is>
      </c>
      <c r="K2825" s="6" t="inlineStr">
        <is>
          <t>Demanda doméstica fixa informada pelo usuário.</t>
        </is>
      </c>
    </row>
    <row r="2826">
      <c r="A2826" s="6" t="inlineStr">
        <is>
          <t>Soja</t>
        </is>
      </c>
      <c r="B2826" s="6" t="inlineStr">
        <is>
          <t>Campo Grande - MS</t>
        </is>
      </c>
      <c r="C2826" s="6" t="n">
        <v>-20.4486</v>
      </c>
      <c r="D2826" s="6" t="n">
        <v>-54.6295</v>
      </c>
      <c r="E2826" s="6" t="inlineStr">
        <is>
          <t>2024-05</t>
        </is>
      </c>
      <c r="F2826" s="6" t="n">
        <v>249886.3658650197</v>
      </c>
      <c r="G2826" s="6" t="inlineStr">
        <is>
          <t>DOMESTICA</t>
        </is>
      </c>
      <c r="H2826" s="6" t="inlineStr">
        <is>
          <t>FIXO</t>
        </is>
      </c>
      <c r="I2826" s="11">
        <f>IF($H2826="AUTO_OFERTA_TOTAL_PRODUTO_PERIODO",SUMIFS(Oferta!$F:$F,Oferta!$A:$A,$A2826,Oferta!$E:$E,$E2826),$F2826)</f>
        <v/>
      </c>
      <c r="J2826" s="6" t="inlineStr">
        <is>
          <t>Informado</t>
        </is>
      </c>
      <c r="K2826" s="6" t="inlineStr">
        <is>
          <t>Demanda doméstica fixa informada pelo usuário.</t>
        </is>
      </c>
    </row>
    <row r="2827">
      <c r="A2827" s="6" t="inlineStr">
        <is>
          <t>Soja</t>
        </is>
      </c>
      <c r="B2827" s="6" t="inlineStr">
        <is>
          <t>Campo Grande - MS</t>
        </is>
      </c>
      <c r="C2827" s="6" t="n">
        <v>-20.4486</v>
      </c>
      <c r="D2827" s="6" t="n">
        <v>-54.6295</v>
      </c>
      <c r="E2827" s="6" t="inlineStr">
        <is>
          <t>2024-06</t>
        </is>
      </c>
      <c r="F2827" s="6" t="n">
        <v>212344.752213937</v>
      </c>
      <c r="G2827" s="6" t="inlineStr">
        <is>
          <t>DOMESTICA</t>
        </is>
      </c>
      <c r="H2827" s="6" t="inlineStr">
        <is>
          <t>FIXO</t>
        </is>
      </c>
      <c r="I2827" s="11">
        <f>IF($H2827="AUTO_OFERTA_TOTAL_PRODUTO_PERIODO",SUMIFS(Oferta!$F:$F,Oferta!$A:$A,$A2827,Oferta!$E:$E,$E2827),$F2827)</f>
        <v/>
      </c>
      <c r="J2827" s="6" t="inlineStr">
        <is>
          <t>Informado</t>
        </is>
      </c>
      <c r="K2827" s="6" t="inlineStr">
        <is>
          <t>Demanda doméstica fixa informada pelo usuário.</t>
        </is>
      </c>
    </row>
    <row r="2828">
      <c r="A2828" s="6" t="inlineStr">
        <is>
          <t>Soja</t>
        </is>
      </c>
      <c r="B2828" s="6" t="inlineStr">
        <is>
          <t>Campo Grande - MS</t>
        </is>
      </c>
      <c r="C2828" s="6" t="n">
        <v>-20.4486</v>
      </c>
      <c r="D2828" s="6" t="n">
        <v>-54.6295</v>
      </c>
      <c r="E2828" s="6" t="inlineStr">
        <is>
          <t>2024-07</t>
        </is>
      </c>
      <c r="F2828" s="6" t="n">
        <v>99719.9112606886</v>
      </c>
      <c r="G2828" s="6" t="inlineStr">
        <is>
          <t>DOMESTICA</t>
        </is>
      </c>
      <c r="H2828" s="6" t="inlineStr">
        <is>
          <t>FIXO</t>
        </is>
      </c>
      <c r="I2828" s="11">
        <f>IF($H2828="AUTO_OFERTA_TOTAL_PRODUTO_PERIODO",SUMIFS(Oferta!$F:$F,Oferta!$A:$A,$A2828,Oferta!$E:$E,$E2828),$F2828)</f>
        <v/>
      </c>
      <c r="J2828" s="6" t="inlineStr">
        <is>
          <t>Informado</t>
        </is>
      </c>
      <c r="K2828" s="6" t="inlineStr">
        <is>
          <t>Demanda doméstica fixa informada pelo usuário.</t>
        </is>
      </c>
    </row>
    <row r="2829">
      <c r="A2829" s="6" t="inlineStr">
        <is>
          <t>Soja</t>
        </is>
      </c>
      <c r="B2829" s="6" t="inlineStr">
        <is>
          <t>Campo Grande - MS</t>
        </is>
      </c>
      <c r="C2829" s="6" t="n">
        <v>-20.4486</v>
      </c>
      <c r="D2829" s="6" t="n">
        <v>-54.6295</v>
      </c>
      <c r="E2829" s="6" t="inlineStr">
        <is>
          <t>2024-08</t>
        </is>
      </c>
      <c r="F2829" s="6" t="n">
        <v>62178.2976096059</v>
      </c>
      <c r="G2829" s="6" t="inlineStr">
        <is>
          <t>DOMESTICA</t>
        </is>
      </c>
      <c r="H2829" s="6" t="inlineStr">
        <is>
          <t>FIXO</t>
        </is>
      </c>
      <c r="I2829" s="11">
        <f>IF($H2829="AUTO_OFERTA_TOTAL_PRODUTO_PERIODO",SUMIFS(Oferta!$F:$F,Oferta!$A:$A,$A2829,Oferta!$E:$E,$E2829),$F2829)</f>
        <v/>
      </c>
      <c r="J2829" s="6" t="inlineStr">
        <is>
          <t>Informado</t>
        </is>
      </c>
      <c r="K2829" s="6" t="inlineStr">
        <is>
          <t>Demanda doméstica fixa informada pelo usuário.</t>
        </is>
      </c>
    </row>
    <row r="2830">
      <c r="A2830" s="6" t="inlineStr">
        <is>
          <t>Soja</t>
        </is>
      </c>
      <c r="B2830" s="6" t="inlineStr">
        <is>
          <t>Campo Grande - MS</t>
        </is>
      </c>
      <c r="C2830" s="6" t="n">
        <v>-20.4486</v>
      </c>
      <c r="D2830" s="6" t="n">
        <v>-54.6295</v>
      </c>
      <c r="E2830" s="6" t="inlineStr">
        <is>
          <t>2024-09</t>
        </is>
      </c>
      <c r="F2830" s="6" t="n">
        <v>62178.2976096059</v>
      </c>
      <c r="G2830" s="6" t="inlineStr">
        <is>
          <t>DOMESTICA</t>
        </is>
      </c>
      <c r="H2830" s="6" t="inlineStr">
        <is>
          <t>FIXO</t>
        </is>
      </c>
      <c r="I2830" s="11">
        <f>IF($H2830="AUTO_OFERTA_TOTAL_PRODUTO_PERIODO",SUMIFS(Oferta!$F:$F,Oferta!$A:$A,$A2830,Oferta!$E:$E,$E2830),$F2830)</f>
        <v/>
      </c>
      <c r="J2830" s="6" t="inlineStr">
        <is>
          <t>Informado</t>
        </is>
      </c>
      <c r="K2830" s="6" t="inlineStr">
        <is>
          <t>Demanda doméstica fixa informada pelo usuário.</t>
        </is>
      </c>
    </row>
    <row r="2831">
      <c r="A2831" s="6" t="inlineStr">
        <is>
          <t>Soja</t>
        </is>
      </c>
      <c r="B2831" s="6" t="inlineStr">
        <is>
          <t>Campo Grande - MS</t>
        </is>
      </c>
      <c r="C2831" s="6" t="n">
        <v>-20.4486</v>
      </c>
      <c r="D2831" s="6" t="n">
        <v>-54.6295</v>
      </c>
      <c r="E2831" s="6" t="inlineStr">
        <is>
          <t>2024-10</t>
        </is>
      </c>
      <c r="F2831" s="6" t="n">
        <v>62178.2976096059</v>
      </c>
      <c r="G2831" s="6" t="inlineStr">
        <is>
          <t>DOMESTICA</t>
        </is>
      </c>
      <c r="H2831" s="6" t="inlineStr">
        <is>
          <t>FIXO</t>
        </is>
      </c>
      <c r="I2831" s="11">
        <f>IF($H2831="AUTO_OFERTA_TOTAL_PRODUTO_PERIODO",SUMIFS(Oferta!$F:$F,Oferta!$A:$A,$A2831,Oferta!$E:$E,$E2831),$F2831)</f>
        <v/>
      </c>
      <c r="J2831" s="6" t="inlineStr">
        <is>
          <t>Informado</t>
        </is>
      </c>
      <c r="K2831" s="6" t="inlineStr">
        <is>
          <t>Demanda doméstica fixa informada pelo usuário.</t>
        </is>
      </c>
    </row>
    <row r="2832">
      <c r="A2832" s="6" t="inlineStr">
        <is>
          <t>Soja</t>
        </is>
      </c>
      <c r="B2832" s="6" t="inlineStr">
        <is>
          <t>Campo Grande - MS</t>
        </is>
      </c>
      <c r="C2832" s="6" t="n">
        <v>-20.4486</v>
      </c>
      <c r="D2832" s="6" t="n">
        <v>-54.6295</v>
      </c>
      <c r="E2832" s="6" t="inlineStr">
        <is>
          <t>2024-11</t>
        </is>
      </c>
      <c r="F2832" s="6" t="n">
        <v>62178.2976096059</v>
      </c>
      <c r="G2832" s="6" t="inlineStr">
        <is>
          <t>DOMESTICA</t>
        </is>
      </c>
      <c r="H2832" s="6" t="inlineStr">
        <is>
          <t>FIXO</t>
        </is>
      </c>
      <c r="I2832" s="11">
        <f>IF($H2832="AUTO_OFERTA_TOTAL_PRODUTO_PERIODO",SUMIFS(Oferta!$F:$F,Oferta!$A:$A,$A2832,Oferta!$E:$E,$E2832),$F2832)</f>
        <v/>
      </c>
      <c r="J2832" s="6" t="inlineStr">
        <is>
          <t>Informado</t>
        </is>
      </c>
      <c r="K2832" s="6" t="inlineStr">
        <is>
          <t>Demanda doméstica fixa informada pelo usuário.</t>
        </is>
      </c>
    </row>
    <row r="2833">
      <c r="A2833" s="6" t="inlineStr">
        <is>
          <t>Soja</t>
        </is>
      </c>
      <c r="B2833" s="6" t="inlineStr">
        <is>
          <t>Campo Grande - MS</t>
        </is>
      </c>
      <c r="C2833" s="6" t="n">
        <v>-20.4486</v>
      </c>
      <c r="D2833" s="6" t="n">
        <v>-54.6295</v>
      </c>
      <c r="E2833" s="6" t="inlineStr">
        <is>
          <t>2024-12</t>
        </is>
      </c>
      <c r="F2833" s="6" t="n">
        <v>62178.2976096059</v>
      </c>
      <c r="G2833" s="6" t="inlineStr">
        <is>
          <t>DOMESTICA</t>
        </is>
      </c>
      <c r="H2833" s="6" t="inlineStr">
        <is>
          <t>FIXO</t>
        </is>
      </c>
      <c r="I2833" s="11">
        <f>IF($H2833="AUTO_OFERTA_TOTAL_PRODUTO_PERIODO",SUMIFS(Oferta!$F:$F,Oferta!$A:$A,$A2833,Oferta!$E:$E,$E2833),$F2833)</f>
        <v/>
      </c>
      <c r="J2833" s="6" t="inlineStr">
        <is>
          <t>Informado</t>
        </is>
      </c>
      <c r="K2833" s="6" t="inlineStr">
        <is>
          <t>Demanda doméstica fixa informada pelo usuário.</t>
        </is>
      </c>
    </row>
    <row r="2834">
      <c r="A2834" s="6" t="inlineStr">
        <is>
          <t>Soja</t>
        </is>
      </c>
      <c r="B2834" s="6" t="inlineStr">
        <is>
          <t>Vitória - ES</t>
        </is>
      </c>
      <c r="C2834" s="6" t="n">
        <v>-20.3155</v>
      </c>
      <c r="D2834" s="6" t="n">
        <v>-40.3128</v>
      </c>
      <c r="E2834" s="6" t="inlineStr">
        <is>
          <t>2024-01</t>
        </is>
      </c>
      <c r="F2834" s="6" t="n">
        <v>85256.2103499511</v>
      </c>
      <c r="G2834" s="6" t="inlineStr">
        <is>
          <t>DOMESTICA</t>
        </is>
      </c>
      <c r="H2834" s="6" t="inlineStr">
        <is>
          <t>FIXO</t>
        </is>
      </c>
      <c r="I2834" s="11">
        <f>IF($H2834="AUTO_OFERTA_TOTAL_PRODUTO_PERIODO",SUMIFS(Oferta!$F:$F,Oferta!$A:$A,$A2834,Oferta!$E:$E,$E2834),$F2834)</f>
        <v/>
      </c>
      <c r="J2834" s="6" t="inlineStr">
        <is>
          <t>Informado</t>
        </is>
      </c>
      <c r="K2834" s="6" t="inlineStr">
        <is>
          <t>Demanda doméstica fixa informada pelo usuário.</t>
        </is>
      </c>
    </row>
    <row r="2835">
      <c r="A2835" s="6" t="inlineStr">
        <is>
          <t>Soja</t>
        </is>
      </c>
      <c r="B2835" s="6" t="inlineStr">
        <is>
          <t>Vitória - ES</t>
        </is>
      </c>
      <c r="C2835" s="6" t="n">
        <v>-20.3155</v>
      </c>
      <c r="D2835" s="6" t="n">
        <v>-40.3128</v>
      </c>
      <c r="E2835" s="6" t="inlineStr">
        <is>
          <t>2024-02</t>
        </is>
      </c>
      <c r="F2835" s="6" t="n">
        <v>85256.2103499511</v>
      </c>
      <c r="G2835" s="6" t="inlineStr">
        <is>
          <t>DOMESTICA</t>
        </is>
      </c>
      <c r="H2835" s="6" t="inlineStr">
        <is>
          <t>FIXO</t>
        </is>
      </c>
      <c r="I2835" s="11">
        <f>IF($H2835="AUTO_OFERTA_TOTAL_PRODUTO_PERIODO",SUMIFS(Oferta!$F:$F,Oferta!$A:$A,$A2835,Oferta!$E:$E,$E2835),$F2835)</f>
        <v/>
      </c>
      <c r="J2835" s="6" t="inlineStr">
        <is>
          <t>Informado</t>
        </is>
      </c>
      <c r="K2835" s="6" t="inlineStr">
        <is>
          <t>Demanda doméstica fixa informada pelo usuário.</t>
        </is>
      </c>
    </row>
    <row r="2836">
      <c r="A2836" s="6" t="inlineStr">
        <is>
          <t>Soja</t>
        </is>
      </c>
      <c r="B2836" s="6" t="inlineStr">
        <is>
          <t>Vitória - ES</t>
        </is>
      </c>
      <c r="C2836" s="6" t="n">
        <v>-20.3155</v>
      </c>
      <c r="D2836" s="6" t="n">
        <v>-40.3128</v>
      </c>
      <c r="E2836" s="6" t="inlineStr">
        <is>
          <t>2024-03</t>
        </is>
      </c>
      <c r="F2836" s="6" t="n">
        <v>85256.2103499511</v>
      </c>
      <c r="G2836" s="6" t="inlineStr">
        <is>
          <t>DOMESTICA</t>
        </is>
      </c>
      <c r="H2836" s="6" t="inlineStr">
        <is>
          <t>FIXO</t>
        </is>
      </c>
      <c r="I2836" s="11">
        <f>IF($H2836="AUTO_OFERTA_TOTAL_PRODUTO_PERIODO",SUMIFS(Oferta!$F:$F,Oferta!$A:$A,$A2836,Oferta!$E:$E,$E2836),$F2836)</f>
        <v/>
      </c>
      <c r="J2836" s="6" t="inlineStr">
        <is>
          <t>Informado</t>
        </is>
      </c>
      <c r="K2836" s="6" t="inlineStr">
        <is>
          <t>Demanda doméstica fixa informada pelo usuário.</t>
        </is>
      </c>
    </row>
    <row r="2837">
      <c r="A2837" s="6" t="inlineStr">
        <is>
          <t>Soja</t>
        </is>
      </c>
      <c r="B2837" s="6" t="inlineStr">
        <is>
          <t>Vitória - ES</t>
        </is>
      </c>
      <c r="C2837" s="6" t="n">
        <v>-20.3155</v>
      </c>
      <c r="D2837" s="6" t="n">
        <v>-40.3128</v>
      </c>
      <c r="E2837" s="6" t="inlineStr">
        <is>
          <t>2024-04</t>
        </is>
      </c>
      <c r="F2837" s="6" t="n">
        <v>85256.2103499511</v>
      </c>
      <c r="G2837" s="6" t="inlineStr">
        <is>
          <t>DOMESTICA</t>
        </is>
      </c>
      <c r="H2837" s="6" t="inlineStr">
        <is>
          <t>FIXO</t>
        </is>
      </c>
      <c r="I2837" s="11">
        <f>IF($H2837="AUTO_OFERTA_TOTAL_PRODUTO_PERIODO",SUMIFS(Oferta!$F:$F,Oferta!$A:$A,$A2837,Oferta!$E:$E,$E2837),$F2837)</f>
        <v/>
      </c>
      <c r="J2837" s="6" t="inlineStr">
        <is>
          <t>Informado</t>
        </is>
      </c>
      <c r="K2837" s="6" t="inlineStr">
        <is>
          <t>Demanda doméstica fixa informada pelo usuário.</t>
        </is>
      </c>
    </row>
    <row r="2838">
      <c r="A2838" s="6" t="inlineStr">
        <is>
          <t>Soja</t>
        </is>
      </c>
      <c r="B2838" s="6" t="inlineStr">
        <is>
          <t>Vitória - ES</t>
        </is>
      </c>
      <c r="C2838" s="6" t="n">
        <v>-20.3155</v>
      </c>
      <c r="D2838" s="6" t="n">
        <v>-40.3128</v>
      </c>
      <c r="E2838" s="6" t="inlineStr">
        <is>
          <t>2024-05</t>
        </is>
      </c>
      <c r="F2838" s="6" t="n">
        <v>85256.2103499511</v>
      </c>
      <c r="G2838" s="6" t="inlineStr">
        <is>
          <t>DOMESTICA</t>
        </is>
      </c>
      <c r="H2838" s="6" t="inlineStr">
        <is>
          <t>FIXO</t>
        </is>
      </c>
      <c r="I2838" s="11">
        <f>IF($H2838="AUTO_OFERTA_TOTAL_PRODUTO_PERIODO",SUMIFS(Oferta!$F:$F,Oferta!$A:$A,$A2838,Oferta!$E:$E,$E2838),$F2838)</f>
        <v/>
      </c>
      <c r="J2838" s="6" t="inlineStr">
        <is>
          <t>Informado</t>
        </is>
      </c>
      <c r="K2838" s="6" t="inlineStr">
        <is>
          <t>Demanda doméstica fixa informada pelo usuário.</t>
        </is>
      </c>
    </row>
    <row r="2839">
      <c r="A2839" s="6" t="inlineStr">
        <is>
          <t>Soja</t>
        </is>
      </c>
      <c r="B2839" s="6" t="inlineStr">
        <is>
          <t>Vitória - ES</t>
        </is>
      </c>
      <c r="C2839" s="6" t="n">
        <v>-20.3155</v>
      </c>
      <c r="D2839" s="6" t="n">
        <v>-40.3128</v>
      </c>
      <c r="E2839" s="6" t="inlineStr">
        <is>
          <t>2024-06</t>
        </is>
      </c>
      <c r="F2839" s="6" t="n">
        <v>85256.2103499511</v>
      </c>
      <c r="G2839" s="6" t="inlineStr">
        <is>
          <t>DOMESTICA</t>
        </is>
      </c>
      <c r="H2839" s="6" t="inlineStr">
        <is>
          <t>FIXO</t>
        </is>
      </c>
      <c r="I2839" s="11">
        <f>IF($H2839="AUTO_OFERTA_TOTAL_PRODUTO_PERIODO",SUMIFS(Oferta!$F:$F,Oferta!$A:$A,$A2839,Oferta!$E:$E,$E2839),$F2839)</f>
        <v/>
      </c>
      <c r="J2839" s="6" t="inlineStr">
        <is>
          <t>Informado</t>
        </is>
      </c>
      <c r="K2839" s="6" t="inlineStr">
        <is>
          <t>Demanda doméstica fixa informada pelo usuário.</t>
        </is>
      </c>
    </row>
    <row r="2840">
      <c r="A2840" s="6" t="inlineStr">
        <is>
          <t>Soja</t>
        </is>
      </c>
      <c r="B2840" s="6" t="inlineStr">
        <is>
          <t>Vitória - ES</t>
        </is>
      </c>
      <c r="C2840" s="6" t="n">
        <v>-20.3155</v>
      </c>
      <c r="D2840" s="6" t="n">
        <v>-40.3128</v>
      </c>
      <c r="E2840" s="6" t="inlineStr">
        <is>
          <t>2024-07</t>
        </is>
      </c>
      <c r="F2840" s="6" t="n">
        <v>85256.2103499511</v>
      </c>
      <c r="G2840" s="6" t="inlineStr">
        <is>
          <t>DOMESTICA</t>
        </is>
      </c>
      <c r="H2840" s="6" t="inlineStr">
        <is>
          <t>FIXO</t>
        </is>
      </c>
      <c r="I2840" s="11">
        <f>IF($H2840="AUTO_OFERTA_TOTAL_PRODUTO_PERIODO",SUMIFS(Oferta!$F:$F,Oferta!$A:$A,$A2840,Oferta!$E:$E,$E2840),$F2840)</f>
        <v/>
      </c>
      <c r="J2840" s="6" t="inlineStr">
        <is>
          <t>Informado</t>
        </is>
      </c>
      <c r="K2840" s="6" t="inlineStr">
        <is>
          <t>Demanda doméstica fixa informada pelo usuário.</t>
        </is>
      </c>
    </row>
    <row r="2841">
      <c r="A2841" s="6" t="inlineStr">
        <is>
          <t>Soja</t>
        </is>
      </c>
      <c r="B2841" s="6" t="inlineStr">
        <is>
          <t>Vitória - ES</t>
        </is>
      </c>
      <c r="C2841" s="6" t="n">
        <v>-20.3155</v>
      </c>
      <c r="D2841" s="6" t="n">
        <v>-40.3128</v>
      </c>
      <c r="E2841" s="6" t="inlineStr">
        <is>
          <t>2024-08</t>
        </is>
      </c>
      <c r="F2841" s="6" t="n">
        <v>85256.2103499511</v>
      </c>
      <c r="G2841" s="6" t="inlineStr">
        <is>
          <t>DOMESTICA</t>
        </is>
      </c>
      <c r="H2841" s="6" t="inlineStr">
        <is>
          <t>FIXO</t>
        </is>
      </c>
      <c r="I2841" s="11">
        <f>IF($H2841="AUTO_OFERTA_TOTAL_PRODUTO_PERIODO",SUMIFS(Oferta!$F:$F,Oferta!$A:$A,$A2841,Oferta!$E:$E,$E2841),$F2841)</f>
        <v/>
      </c>
      <c r="J2841" s="6" t="inlineStr">
        <is>
          <t>Informado</t>
        </is>
      </c>
      <c r="K2841" s="6" t="inlineStr">
        <is>
          <t>Demanda doméstica fixa informada pelo usuário.</t>
        </is>
      </c>
    </row>
    <row r="2842">
      <c r="A2842" s="6" t="inlineStr">
        <is>
          <t>Soja</t>
        </is>
      </c>
      <c r="B2842" s="6" t="inlineStr">
        <is>
          <t>Vitória - ES</t>
        </is>
      </c>
      <c r="C2842" s="6" t="n">
        <v>-20.3155</v>
      </c>
      <c r="D2842" s="6" t="n">
        <v>-40.3128</v>
      </c>
      <c r="E2842" s="6" t="inlineStr">
        <is>
          <t>2024-09</t>
        </is>
      </c>
      <c r="F2842" s="6" t="n">
        <v>85256.2103499511</v>
      </c>
      <c r="G2842" s="6" t="inlineStr">
        <is>
          <t>DOMESTICA</t>
        </is>
      </c>
      <c r="H2842" s="6" t="inlineStr">
        <is>
          <t>FIXO</t>
        </is>
      </c>
      <c r="I2842" s="11">
        <f>IF($H2842="AUTO_OFERTA_TOTAL_PRODUTO_PERIODO",SUMIFS(Oferta!$F:$F,Oferta!$A:$A,$A2842,Oferta!$E:$E,$E2842),$F2842)</f>
        <v/>
      </c>
      <c r="J2842" s="6" t="inlineStr">
        <is>
          <t>Informado</t>
        </is>
      </c>
      <c r="K2842" s="6" t="inlineStr">
        <is>
          <t>Demanda doméstica fixa informada pelo usuário.</t>
        </is>
      </c>
    </row>
    <row r="2843">
      <c r="A2843" s="6" t="inlineStr">
        <is>
          <t>Soja</t>
        </is>
      </c>
      <c r="B2843" s="6" t="inlineStr">
        <is>
          <t>Vitória - ES</t>
        </is>
      </c>
      <c r="C2843" s="6" t="n">
        <v>-20.3155</v>
      </c>
      <c r="D2843" s="6" t="n">
        <v>-40.3128</v>
      </c>
      <c r="E2843" s="6" t="inlineStr">
        <is>
          <t>2024-10</t>
        </is>
      </c>
      <c r="F2843" s="6" t="n">
        <v>85256.2103499511</v>
      </c>
      <c r="G2843" s="6" t="inlineStr">
        <is>
          <t>DOMESTICA</t>
        </is>
      </c>
      <c r="H2843" s="6" t="inlineStr">
        <is>
          <t>FIXO</t>
        </is>
      </c>
      <c r="I2843" s="11">
        <f>IF($H2843="AUTO_OFERTA_TOTAL_PRODUTO_PERIODO",SUMIFS(Oferta!$F:$F,Oferta!$A:$A,$A2843,Oferta!$E:$E,$E2843),$F2843)</f>
        <v/>
      </c>
      <c r="J2843" s="6" t="inlineStr">
        <is>
          <t>Informado</t>
        </is>
      </c>
      <c r="K2843" s="6" t="inlineStr">
        <is>
          <t>Demanda doméstica fixa informada pelo usuário.</t>
        </is>
      </c>
    </row>
    <row r="2844">
      <c r="A2844" s="6" t="inlineStr">
        <is>
          <t>Soja</t>
        </is>
      </c>
      <c r="B2844" s="6" t="inlineStr">
        <is>
          <t>Vitória - ES</t>
        </is>
      </c>
      <c r="C2844" s="6" t="n">
        <v>-20.3155</v>
      </c>
      <c r="D2844" s="6" t="n">
        <v>-40.3128</v>
      </c>
      <c r="E2844" s="6" t="inlineStr">
        <is>
          <t>2024-11</t>
        </is>
      </c>
      <c r="F2844" s="6" t="n">
        <v>85256.2103499511</v>
      </c>
      <c r="G2844" s="6" t="inlineStr">
        <is>
          <t>DOMESTICA</t>
        </is>
      </c>
      <c r="H2844" s="6" t="inlineStr">
        <is>
          <t>FIXO</t>
        </is>
      </c>
      <c r="I2844" s="11">
        <f>IF($H2844="AUTO_OFERTA_TOTAL_PRODUTO_PERIODO",SUMIFS(Oferta!$F:$F,Oferta!$A:$A,$A2844,Oferta!$E:$E,$E2844),$F2844)</f>
        <v/>
      </c>
      <c r="J2844" s="6" t="inlineStr">
        <is>
          <t>Informado</t>
        </is>
      </c>
      <c r="K2844" s="6" t="inlineStr">
        <is>
          <t>Demanda doméstica fixa informada pelo usuário.</t>
        </is>
      </c>
    </row>
    <row r="2845">
      <c r="A2845" s="6" t="inlineStr">
        <is>
          <t>Soja</t>
        </is>
      </c>
      <c r="B2845" s="6" t="inlineStr">
        <is>
          <t>Vitória - ES</t>
        </is>
      </c>
      <c r="C2845" s="6" t="n">
        <v>-20.3155</v>
      </c>
      <c r="D2845" s="6" t="n">
        <v>-40.3128</v>
      </c>
      <c r="E2845" s="6" t="inlineStr">
        <is>
          <t>2024-12</t>
        </is>
      </c>
      <c r="F2845" s="6" t="n">
        <v>85256.2103499511</v>
      </c>
      <c r="G2845" s="6" t="inlineStr">
        <is>
          <t>DOMESTICA</t>
        </is>
      </c>
      <c r="H2845" s="6" t="inlineStr">
        <is>
          <t>FIXO</t>
        </is>
      </c>
      <c r="I2845" s="11">
        <f>IF($H2845="AUTO_OFERTA_TOTAL_PRODUTO_PERIODO",SUMIFS(Oferta!$F:$F,Oferta!$A:$A,$A2845,Oferta!$E:$E,$E2845),$F2845)</f>
        <v/>
      </c>
      <c r="J2845" s="6" t="inlineStr">
        <is>
          <t>Informado</t>
        </is>
      </c>
      <c r="K2845" s="6" t="inlineStr">
        <is>
          <t>Demanda doméstica fixa informada pelo usuário.</t>
        </is>
      </c>
    </row>
    <row r="2846">
      <c r="A2846" s="6" t="inlineStr">
        <is>
          <t>Soja</t>
        </is>
      </c>
      <c r="B2846" s="6" t="inlineStr">
        <is>
          <t>Belo Horizonte - MG</t>
        </is>
      </c>
      <c r="C2846" s="6" t="n">
        <v>-19.9102</v>
      </c>
      <c r="D2846" s="6" t="n">
        <v>-43.9266</v>
      </c>
      <c r="E2846" s="6" t="inlineStr">
        <is>
          <t>2024-01</t>
        </is>
      </c>
      <c r="F2846" s="6" t="n">
        <v>310232.5405918478</v>
      </c>
      <c r="G2846" s="6" t="inlineStr">
        <is>
          <t>DOMESTICA</t>
        </is>
      </c>
      <c r="H2846" s="6" t="inlineStr">
        <is>
          <t>FIXO</t>
        </is>
      </c>
      <c r="I2846" s="11">
        <f>IF($H2846="AUTO_OFERTA_TOTAL_PRODUTO_PERIODO",SUMIFS(Oferta!$F:$F,Oferta!$A:$A,$A2846,Oferta!$E:$E,$E2846),$F2846)</f>
        <v/>
      </c>
      <c r="J2846" s="6" t="inlineStr">
        <is>
          <t>Informado</t>
        </is>
      </c>
      <c r="K2846" s="6" t="inlineStr">
        <is>
          <t>Demanda doméstica fixa informada pelo usuário.</t>
        </is>
      </c>
    </row>
    <row r="2847">
      <c r="A2847" s="6" t="inlineStr">
        <is>
          <t>Soja</t>
        </is>
      </c>
      <c r="B2847" s="6" t="inlineStr">
        <is>
          <t>Belo Horizonte - MG</t>
        </is>
      </c>
      <c r="C2847" s="6" t="n">
        <v>-19.9102</v>
      </c>
      <c r="D2847" s="6" t="n">
        <v>-43.9266</v>
      </c>
      <c r="E2847" s="6" t="inlineStr">
        <is>
          <t>2024-02</t>
        </is>
      </c>
      <c r="F2847" s="6" t="n">
        <v>310232.5405918478</v>
      </c>
      <c r="G2847" s="6" t="inlineStr">
        <is>
          <t>DOMESTICA</t>
        </is>
      </c>
      <c r="H2847" s="6" t="inlineStr">
        <is>
          <t>FIXO</t>
        </is>
      </c>
      <c r="I2847" s="11">
        <f>IF($H2847="AUTO_OFERTA_TOTAL_PRODUTO_PERIODO",SUMIFS(Oferta!$F:$F,Oferta!$A:$A,$A2847,Oferta!$E:$E,$E2847),$F2847)</f>
        <v/>
      </c>
      <c r="J2847" s="6" t="inlineStr">
        <is>
          <t>Informado</t>
        </is>
      </c>
      <c r="K2847" s="6" t="inlineStr">
        <is>
          <t>Demanda doméstica fixa informada pelo usuário.</t>
        </is>
      </c>
    </row>
    <row r="2848">
      <c r="A2848" s="6" t="inlineStr">
        <is>
          <t>Soja</t>
        </is>
      </c>
      <c r="B2848" s="6" t="inlineStr">
        <is>
          <t>Belo Horizonte - MG</t>
        </is>
      </c>
      <c r="C2848" s="6" t="n">
        <v>-19.9102</v>
      </c>
      <c r="D2848" s="6" t="n">
        <v>-43.9266</v>
      </c>
      <c r="E2848" s="6" t="inlineStr">
        <is>
          <t>2024-03</t>
        </is>
      </c>
      <c r="F2848" s="6" t="n">
        <v>403887.6471856131</v>
      </c>
      <c r="G2848" s="6" t="inlineStr">
        <is>
          <t>DOMESTICA</t>
        </is>
      </c>
      <c r="H2848" s="6" t="inlineStr">
        <is>
          <t>FIXO</t>
        </is>
      </c>
      <c r="I2848" s="11">
        <f>IF($H2848="AUTO_OFERTA_TOTAL_PRODUTO_PERIODO",SUMIFS(Oferta!$F:$F,Oferta!$A:$A,$A2848,Oferta!$E:$E,$E2848),$F2848)</f>
        <v/>
      </c>
      <c r="J2848" s="6" t="inlineStr">
        <is>
          <t>Informado</t>
        </is>
      </c>
      <c r="K2848" s="6" t="inlineStr">
        <is>
          <t>Demanda doméstica fixa informada pelo usuário.</t>
        </is>
      </c>
    </row>
    <row r="2849">
      <c r="A2849" s="6" t="inlineStr">
        <is>
          <t>Soja</t>
        </is>
      </c>
      <c r="B2849" s="6" t="inlineStr">
        <is>
          <t>Belo Horizonte - MG</t>
        </is>
      </c>
      <c r="C2849" s="6" t="n">
        <v>-19.9102</v>
      </c>
      <c r="D2849" s="6" t="n">
        <v>-43.9266</v>
      </c>
      <c r="E2849" s="6" t="inlineStr">
        <is>
          <t>2024-04</t>
        </is>
      </c>
      <c r="F2849" s="6" t="n">
        <v>591197.8603731438</v>
      </c>
      <c r="G2849" s="6" t="inlineStr">
        <is>
          <t>DOMESTICA</t>
        </is>
      </c>
      <c r="H2849" s="6" t="inlineStr">
        <is>
          <t>FIXO</t>
        </is>
      </c>
      <c r="I2849" s="11">
        <f>IF($H2849="AUTO_OFERTA_TOTAL_PRODUTO_PERIODO",SUMIFS(Oferta!$F:$F,Oferta!$A:$A,$A2849,Oferta!$E:$E,$E2849),$F2849)</f>
        <v/>
      </c>
      <c r="J2849" s="6" t="inlineStr">
        <is>
          <t>Informado</t>
        </is>
      </c>
      <c r="K2849" s="6" t="inlineStr">
        <is>
          <t>Demanda doméstica fixa informada pelo usuário.</t>
        </is>
      </c>
    </row>
    <row r="2850">
      <c r="A2850" s="6" t="inlineStr">
        <is>
          <t>Soja</t>
        </is>
      </c>
      <c r="B2850" s="6" t="inlineStr">
        <is>
          <t>Belo Horizonte - MG</t>
        </is>
      </c>
      <c r="C2850" s="6" t="n">
        <v>-19.9102</v>
      </c>
      <c r="D2850" s="6" t="n">
        <v>-43.9266</v>
      </c>
      <c r="E2850" s="6" t="inlineStr">
        <is>
          <t>2024-05</t>
        </is>
      </c>
      <c r="F2850" s="6" t="n">
        <v>1153128.499935736</v>
      </c>
      <c r="G2850" s="6" t="inlineStr">
        <is>
          <t>DOMESTICA</t>
        </is>
      </c>
      <c r="H2850" s="6" t="inlineStr">
        <is>
          <t>FIXO</t>
        </is>
      </c>
      <c r="I2850" s="11">
        <f>IF($H2850="AUTO_OFERTA_TOTAL_PRODUTO_PERIODO",SUMIFS(Oferta!$F:$F,Oferta!$A:$A,$A2850,Oferta!$E:$E,$E2850),$F2850)</f>
        <v/>
      </c>
      <c r="J2850" s="6" t="inlineStr">
        <is>
          <t>Informado</t>
        </is>
      </c>
      <c r="K2850" s="6" t="inlineStr">
        <is>
          <t>Demanda doméstica fixa informada pelo usuário.</t>
        </is>
      </c>
    </row>
    <row r="2851">
      <c r="A2851" s="6" t="inlineStr">
        <is>
          <t>Soja</t>
        </is>
      </c>
      <c r="B2851" s="6" t="inlineStr">
        <is>
          <t>Belo Horizonte - MG</t>
        </is>
      </c>
      <c r="C2851" s="6" t="n">
        <v>-19.9102</v>
      </c>
      <c r="D2851" s="6" t="n">
        <v>-43.9266</v>
      </c>
      <c r="E2851" s="6" t="inlineStr">
        <is>
          <t>2024-06</t>
        </is>
      </c>
      <c r="F2851" s="6" t="n">
        <v>1153128.499935736</v>
      </c>
      <c r="G2851" s="6" t="inlineStr">
        <is>
          <t>DOMESTICA</t>
        </is>
      </c>
      <c r="H2851" s="6" t="inlineStr">
        <is>
          <t>FIXO</t>
        </is>
      </c>
      <c r="I2851" s="11">
        <f>IF($H2851="AUTO_OFERTA_TOTAL_PRODUTO_PERIODO",SUMIFS(Oferta!$F:$F,Oferta!$A:$A,$A2851,Oferta!$E:$E,$E2851),$F2851)</f>
        <v/>
      </c>
      <c r="J2851" s="6" t="inlineStr">
        <is>
          <t>Informado</t>
        </is>
      </c>
      <c r="K2851" s="6" t="inlineStr">
        <is>
          <t>Demanda doméstica fixa informada pelo usuário.</t>
        </is>
      </c>
    </row>
    <row r="2852">
      <c r="A2852" s="6" t="inlineStr">
        <is>
          <t>Soja</t>
        </is>
      </c>
      <c r="B2852" s="6" t="inlineStr">
        <is>
          <t>Belo Horizonte - MG</t>
        </is>
      </c>
      <c r="C2852" s="6" t="n">
        <v>-19.9102</v>
      </c>
      <c r="D2852" s="6" t="n">
        <v>-43.9266</v>
      </c>
      <c r="E2852" s="6" t="inlineStr">
        <is>
          <t>2024-07</t>
        </is>
      </c>
      <c r="F2852" s="6" t="n">
        <v>965818.2867482052</v>
      </c>
      <c r="G2852" s="6" t="inlineStr">
        <is>
          <t>DOMESTICA</t>
        </is>
      </c>
      <c r="H2852" s="6" t="inlineStr">
        <is>
          <t>FIXO</t>
        </is>
      </c>
      <c r="I2852" s="11">
        <f>IF($H2852="AUTO_OFERTA_TOTAL_PRODUTO_PERIODO",SUMIFS(Oferta!$F:$F,Oferta!$A:$A,$A2852,Oferta!$E:$E,$E2852),$F2852)</f>
        <v/>
      </c>
      <c r="J2852" s="6" t="inlineStr">
        <is>
          <t>Informado</t>
        </is>
      </c>
      <c r="K2852" s="6" t="inlineStr">
        <is>
          <t>Demanda doméstica fixa informada pelo usuário.</t>
        </is>
      </c>
    </row>
    <row r="2853">
      <c r="A2853" s="6" t="inlineStr">
        <is>
          <t>Soja</t>
        </is>
      </c>
      <c r="B2853" s="6" t="inlineStr">
        <is>
          <t>Belo Horizonte - MG</t>
        </is>
      </c>
      <c r="C2853" s="6" t="n">
        <v>-19.9102</v>
      </c>
      <c r="D2853" s="6" t="n">
        <v>-43.9266</v>
      </c>
      <c r="E2853" s="6" t="inlineStr">
        <is>
          <t>2024-08</t>
        </is>
      </c>
      <c r="F2853" s="6" t="n">
        <v>403887.6471856131</v>
      </c>
      <c r="G2853" s="6" t="inlineStr">
        <is>
          <t>DOMESTICA</t>
        </is>
      </c>
      <c r="H2853" s="6" t="inlineStr">
        <is>
          <t>FIXO</t>
        </is>
      </c>
      <c r="I2853" s="11">
        <f>IF($H2853="AUTO_OFERTA_TOTAL_PRODUTO_PERIODO",SUMIFS(Oferta!$F:$F,Oferta!$A:$A,$A2853,Oferta!$E:$E,$E2853),$F2853)</f>
        <v/>
      </c>
      <c r="J2853" s="6" t="inlineStr">
        <is>
          <t>Informado</t>
        </is>
      </c>
      <c r="K2853" s="6" t="inlineStr">
        <is>
          <t>Demanda doméstica fixa informada pelo usuário.</t>
        </is>
      </c>
    </row>
    <row r="2854">
      <c r="A2854" s="6" t="inlineStr">
        <is>
          <t>Soja</t>
        </is>
      </c>
      <c r="B2854" s="6" t="inlineStr">
        <is>
          <t>Belo Horizonte - MG</t>
        </is>
      </c>
      <c r="C2854" s="6" t="n">
        <v>-19.9102</v>
      </c>
      <c r="D2854" s="6" t="n">
        <v>-43.9266</v>
      </c>
      <c r="E2854" s="6" t="inlineStr">
        <is>
          <t>2024-09</t>
        </is>
      </c>
      <c r="F2854" s="6" t="n">
        <v>310232.5405918478</v>
      </c>
      <c r="G2854" s="6" t="inlineStr">
        <is>
          <t>DOMESTICA</t>
        </is>
      </c>
      <c r="H2854" s="6" t="inlineStr">
        <is>
          <t>FIXO</t>
        </is>
      </c>
      <c r="I2854" s="11">
        <f>IF($H2854="AUTO_OFERTA_TOTAL_PRODUTO_PERIODO",SUMIFS(Oferta!$F:$F,Oferta!$A:$A,$A2854,Oferta!$E:$E,$E2854),$F2854)</f>
        <v/>
      </c>
      <c r="J2854" s="6" t="inlineStr">
        <is>
          <t>Informado</t>
        </is>
      </c>
      <c r="K2854" s="6" t="inlineStr">
        <is>
          <t>Demanda doméstica fixa informada pelo usuário.</t>
        </is>
      </c>
    </row>
    <row r="2855">
      <c r="A2855" s="6" t="inlineStr">
        <is>
          <t>Soja</t>
        </is>
      </c>
      <c r="B2855" s="6" t="inlineStr">
        <is>
          <t>Belo Horizonte - MG</t>
        </is>
      </c>
      <c r="C2855" s="6" t="n">
        <v>-19.9102</v>
      </c>
      <c r="D2855" s="6" t="n">
        <v>-43.9266</v>
      </c>
      <c r="E2855" s="6" t="inlineStr">
        <is>
          <t>2024-10</t>
        </is>
      </c>
      <c r="F2855" s="6" t="n">
        <v>310232.5405918478</v>
      </c>
      <c r="G2855" s="6" t="inlineStr">
        <is>
          <t>DOMESTICA</t>
        </is>
      </c>
      <c r="H2855" s="6" t="inlineStr">
        <is>
          <t>FIXO</t>
        </is>
      </c>
      <c r="I2855" s="11">
        <f>IF($H2855="AUTO_OFERTA_TOTAL_PRODUTO_PERIODO",SUMIFS(Oferta!$F:$F,Oferta!$A:$A,$A2855,Oferta!$E:$E,$E2855),$F2855)</f>
        <v/>
      </c>
      <c r="J2855" s="6" t="inlineStr">
        <is>
          <t>Informado</t>
        </is>
      </c>
      <c r="K2855" s="6" t="inlineStr">
        <is>
          <t>Demanda doméstica fixa informada pelo usuário.</t>
        </is>
      </c>
    </row>
    <row r="2856">
      <c r="A2856" s="6" t="inlineStr">
        <is>
          <t>Soja</t>
        </is>
      </c>
      <c r="B2856" s="6" t="inlineStr">
        <is>
          <t>Belo Horizonte - MG</t>
        </is>
      </c>
      <c r="C2856" s="6" t="n">
        <v>-19.9102</v>
      </c>
      <c r="D2856" s="6" t="n">
        <v>-43.9266</v>
      </c>
      <c r="E2856" s="6" t="inlineStr">
        <is>
          <t>2024-11</t>
        </is>
      </c>
      <c r="F2856" s="6" t="n">
        <v>310232.5405918478</v>
      </c>
      <c r="G2856" s="6" t="inlineStr">
        <is>
          <t>DOMESTICA</t>
        </is>
      </c>
      <c r="H2856" s="6" t="inlineStr">
        <is>
          <t>FIXO</t>
        </is>
      </c>
      <c r="I2856" s="11">
        <f>IF($H2856="AUTO_OFERTA_TOTAL_PRODUTO_PERIODO",SUMIFS(Oferta!$F:$F,Oferta!$A:$A,$A2856,Oferta!$E:$E,$E2856),$F2856)</f>
        <v/>
      </c>
      <c r="J2856" s="6" t="inlineStr">
        <is>
          <t>Informado</t>
        </is>
      </c>
      <c r="K2856" s="6" t="inlineStr">
        <is>
          <t>Demanda doméstica fixa informada pelo usuário.</t>
        </is>
      </c>
    </row>
    <row r="2857">
      <c r="A2857" s="6" t="inlineStr">
        <is>
          <t>Soja</t>
        </is>
      </c>
      <c r="B2857" s="6" t="inlineStr">
        <is>
          <t>Belo Horizonte - MG</t>
        </is>
      </c>
      <c r="C2857" s="6" t="n">
        <v>-19.9102</v>
      </c>
      <c r="D2857" s="6" t="n">
        <v>-43.9266</v>
      </c>
      <c r="E2857" s="6" t="inlineStr">
        <is>
          <t>2024-12</t>
        </is>
      </c>
      <c r="F2857" s="6" t="n">
        <v>310232.5405918478</v>
      </c>
      <c r="G2857" s="6" t="inlineStr">
        <is>
          <t>DOMESTICA</t>
        </is>
      </c>
      <c r="H2857" s="6" t="inlineStr">
        <is>
          <t>FIXO</t>
        </is>
      </c>
      <c r="I2857" s="11">
        <f>IF($H2857="AUTO_OFERTA_TOTAL_PRODUTO_PERIODO",SUMIFS(Oferta!$F:$F,Oferta!$A:$A,$A2857,Oferta!$E:$E,$E2857),$F2857)</f>
        <v/>
      </c>
      <c r="J2857" s="6" t="inlineStr">
        <is>
          <t>Informado</t>
        </is>
      </c>
      <c r="K2857" s="6" t="inlineStr">
        <is>
          <t>Demanda doméstica fixa informada pelo usuário.</t>
        </is>
      </c>
    </row>
    <row r="2858">
      <c r="A2858" s="6" t="inlineStr">
        <is>
          <t>Soja</t>
        </is>
      </c>
      <c r="B2858" s="6" t="inlineStr">
        <is>
          <t>Rio de Janeiro - RJ</t>
        </is>
      </c>
      <c r="C2858" s="6" t="n">
        <v>-22.9129</v>
      </c>
      <c r="D2858" s="6" t="n">
        <v>-43.2003</v>
      </c>
      <c r="E2858" s="6" t="inlineStr">
        <is>
          <t>2024-01</t>
        </is>
      </c>
      <c r="F2858" s="6" t="n">
        <v>148467.9562535173</v>
      </c>
      <c r="G2858" s="6" t="inlineStr">
        <is>
          <t>DOMESTICA</t>
        </is>
      </c>
      <c r="H2858" s="6" t="inlineStr">
        <is>
          <t>FIXO</t>
        </is>
      </c>
      <c r="I2858" s="11">
        <f>IF($H2858="AUTO_OFERTA_TOTAL_PRODUTO_PERIODO",SUMIFS(Oferta!$F:$F,Oferta!$A:$A,$A2858,Oferta!$E:$E,$E2858),$F2858)</f>
        <v/>
      </c>
      <c r="J2858" s="6" t="inlineStr">
        <is>
          <t>Informado</t>
        </is>
      </c>
      <c r="K2858" s="6" t="inlineStr">
        <is>
          <t>Demanda doméstica fixa informada pelo usuário.</t>
        </is>
      </c>
    </row>
    <row r="2859">
      <c r="A2859" s="6" t="inlineStr">
        <is>
          <t>Soja</t>
        </is>
      </c>
      <c r="B2859" s="6" t="inlineStr">
        <is>
          <t>Rio de Janeiro - RJ</t>
        </is>
      </c>
      <c r="C2859" s="6" t="n">
        <v>-22.9129</v>
      </c>
      <c r="D2859" s="6" t="n">
        <v>-43.2003</v>
      </c>
      <c r="E2859" s="6" t="inlineStr">
        <is>
          <t>2024-02</t>
        </is>
      </c>
      <c r="F2859" s="6" t="n">
        <v>148467.9562535173</v>
      </c>
      <c r="G2859" s="6" t="inlineStr">
        <is>
          <t>DOMESTICA</t>
        </is>
      </c>
      <c r="H2859" s="6" t="inlineStr">
        <is>
          <t>FIXO</t>
        </is>
      </c>
      <c r="I2859" s="11">
        <f>IF($H2859="AUTO_OFERTA_TOTAL_PRODUTO_PERIODO",SUMIFS(Oferta!$F:$F,Oferta!$A:$A,$A2859,Oferta!$E:$E,$E2859),$F2859)</f>
        <v/>
      </c>
      <c r="J2859" s="6" t="inlineStr">
        <is>
          <t>Informado</t>
        </is>
      </c>
      <c r="K2859" s="6" t="inlineStr">
        <is>
          <t>Demanda doméstica fixa informada pelo usuário.</t>
        </is>
      </c>
    </row>
    <row r="2860">
      <c r="A2860" s="6" t="inlineStr">
        <is>
          <t>Soja</t>
        </is>
      </c>
      <c r="B2860" s="6" t="inlineStr">
        <is>
          <t>Rio de Janeiro - RJ</t>
        </is>
      </c>
      <c r="C2860" s="6" t="n">
        <v>-22.9129</v>
      </c>
      <c r="D2860" s="6" t="n">
        <v>-43.2003</v>
      </c>
      <c r="E2860" s="6" t="inlineStr">
        <is>
          <t>2024-03</t>
        </is>
      </c>
      <c r="F2860" s="6" t="n">
        <v>148467.9562535173</v>
      </c>
      <c r="G2860" s="6" t="inlineStr">
        <is>
          <t>DOMESTICA</t>
        </is>
      </c>
      <c r="H2860" s="6" t="inlineStr">
        <is>
          <t>FIXO</t>
        </is>
      </c>
      <c r="I2860" s="11">
        <f>IF($H2860="AUTO_OFERTA_TOTAL_PRODUTO_PERIODO",SUMIFS(Oferta!$F:$F,Oferta!$A:$A,$A2860,Oferta!$E:$E,$E2860),$F2860)</f>
        <v/>
      </c>
      <c r="J2860" s="6" t="inlineStr">
        <is>
          <t>Informado</t>
        </is>
      </c>
      <c r="K2860" s="6" t="inlineStr">
        <is>
          <t>Demanda doméstica fixa informada pelo usuário.</t>
        </is>
      </c>
    </row>
    <row r="2861">
      <c r="A2861" s="6" t="inlineStr">
        <is>
          <t>Soja</t>
        </is>
      </c>
      <c r="B2861" s="6" t="inlineStr">
        <is>
          <t>Rio de Janeiro - RJ</t>
        </is>
      </c>
      <c r="C2861" s="6" t="n">
        <v>-22.9129</v>
      </c>
      <c r="D2861" s="6" t="n">
        <v>-43.2003</v>
      </c>
      <c r="E2861" s="6" t="inlineStr">
        <is>
          <t>2024-04</t>
        </is>
      </c>
      <c r="F2861" s="6" t="n">
        <v>148467.9562535173</v>
      </c>
      <c r="G2861" s="6" t="inlineStr">
        <is>
          <t>DOMESTICA</t>
        </is>
      </c>
      <c r="H2861" s="6" t="inlineStr">
        <is>
          <t>FIXO</t>
        </is>
      </c>
      <c r="I2861" s="11">
        <f>IF($H2861="AUTO_OFERTA_TOTAL_PRODUTO_PERIODO",SUMIFS(Oferta!$F:$F,Oferta!$A:$A,$A2861,Oferta!$E:$E,$E2861),$F2861)</f>
        <v/>
      </c>
      <c r="J2861" s="6" t="inlineStr">
        <is>
          <t>Informado</t>
        </is>
      </c>
      <c r="K2861" s="6" t="inlineStr">
        <is>
          <t>Demanda doméstica fixa informada pelo usuário.</t>
        </is>
      </c>
    </row>
    <row r="2862">
      <c r="A2862" s="6" t="inlineStr">
        <is>
          <t>Soja</t>
        </is>
      </c>
      <c r="B2862" s="6" t="inlineStr">
        <is>
          <t>Rio de Janeiro - RJ</t>
        </is>
      </c>
      <c r="C2862" s="6" t="n">
        <v>-22.9129</v>
      </c>
      <c r="D2862" s="6" t="n">
        <v>-43.2003</v>
      </c>
      <c r="E2862" s="6" t="inlineStr">
        <is>
          <t>2024-05</t>
        </is>
      </c>
      <c r="F2862" s="6" t="n">
        <v>148467.9562535173</v>
      </c>
      <c r="G2862" s="6" t="inlineStr">
        <is>
          <t>DOMESTICA</t>
        </is>
      </c>
      <c r="H2862" s="6" t="inlineStr">
        <is>
          <t>FIXO</t>
        </is>
      </c>
      <c r="I2862" s="11">
        <f>IF($H2862="AUTO_OFERTA_TOTAL_PRODUTO_PERIODO",SUMIFS(Oferta!$F:$F,Oferta!$A:$A,$A2862,Oferta!$E:$E,$E2862),$F2862)</f>
        <v/>
      </c>
      <c r="J2862" s="6" t="inlineStr">
        <is>
          <t>Informado</t>
        </is>
      </c>
      <c r="K2862" s="6" t="inlineStr">
        <is>
          <t>Demanda doméstica fixa informada pelo usuário.</t>
        </is>
      </c>
    </row>
    <row r="2863">
      <c r="A2863" s="6" t="inlineStr">
        <is>
          <t>Soja</t>
        </is>
      </c>
      <c r="B2863" s="6" t="inlineStr">
        <is>
          <t>Rio de Janeiro - RJ</t>
        </is>
      </c>
      <c r="C2863" s="6" t="n">
        <v>-22.9129</v>
      </c>
      <c r="D2863" s="6" t="n">
        <v>-43.2003</v>
      </c>
      <c r="E2863" s="6" t="inlineStr">
        <is>
          <t>2024-06</t>
        </is>
      </c>
      <c r="F2863" s="6" t="n">
        <v>148467.9562535173</v>
      </c>
      <c r="G2863" s="6" t="inlineStr">
        <is>
          <t>DOMESTICA</t>
        </is>
      </c>
      <c r="H2863" s="6" t="inlineStr">
        <is>
          <t>FIXO</t>
        </is>
      </c>
      <c r="I2863" s="11">
        <f>IF($H2863="AUTO_OFERTA_TOTAL_PRODUTO_PERIODO",SUMIFS(Oferta!$F:$F,Oferta!$A:$A,$A2863,Oferta!$E:$E,$E2863),$F2863)</f>
        <v/>
      </c>
      <c r="J2863" s="6" t="inlineStr">
        <is>
          <t>Informado</t>
        </is>
      </c>
      <c r="K2863" s="6" t="inlineStr">
        <is>
          <t>Demanda doméstica fixa informada pelo usuário.</t>
        </is>
      </c>
    </row>
    <row r="2864">
      <c r="A2864" s="6" t="inlineStr">
        <is>
          <t>Soja</t>
        </is>
      </c>
      <c r="B2864" s="6" t="inlineStr">
        <is>
          <t>Rio de Janeiro - RJ</t>
        </is>
      </c>
      <c r="C2864" s="6" t="n">
        <v>-22.9129</v>
      </c>
      <c r="D2864" s="6" t="n">
        <v>-43.2003</v>
      </c>
      <c r="E2864" s="6" t="inlineStr">
        <is>
          <t>2024-07</t>
        </is>
      </c>
      <c r="F2864" s="6" t="n">
        <v>148467.9562535173</v>
      </c>
      <c r="G2864" s="6" t="inlineStr">
        <is>
          <t>DOMESTICA</t>
        </is>
      </c>
      <c r="H2864" s="6" t="inlineStr">
        <is>
          <t>FIXO</t>
        </is>
      </c>
      <c r="I2864" s="11">
        <f>IF($H2864="AUTO_OFERTA_TOTAL_PRODUTO_PERIODO",SUMIFS(Oferta!$F:$F,Oferta!$A:$A,$A2864,Oferta!$E:$E,$E2864),$F2864)</f>
        <v/>
      </c>
      <c r="J2864" s="6" t="inlineStr">
        <is>
          <t>Informado</t>
        </is>
      </c>
      <c r="K2864" s="6" t="inlineStr">
        <is>
          <t>Demanda doméstica fixa informada pelo usuário.</t>
        </is>
      </c>
    </row>
    <row r="2865">
      <c r="A2865" s="6" t="inlineStr">
        <is>
          <t>Soja</t>
        </is>
      </c>
      <c r="B2865" s="6" t="inlineStr">
        <is>
          <t>Rio de Janeiro - RJ</t>
        </is>
      </c>
      <c r="C2865" s="6" t="n">
        <v>-22.9129</v>
      </c>
      <c r="D2865" s="6" t="n">
        <v>-43.2003</v>
      </c>
      <c r="E2865" s="6" t="inlineStr">
        <is>
          <t>2024-08</t>
        </is>
      </c>
      <c r="F2865" s="6" t="n">
        <v>148467.9562535173</v>
      </c>
      <c r="G2865" s="6" t="inlineStr">
        <is>
          <t>DOMESTICA</t>
        </is>
      </c>
      <c r="H2865" s="6" t="inlineStr">
        <is>
          <t>FIXO</t>
        </is>
      </c>
      <c r="I2865" s="11">
        <f>IF($H2865="AUTO_OFERTA_TOTAL_PRODUTO_PERIODO",SUMIFS(Oferta!$F:$F,Oferta!$A:$A,$A2865,Oferta!$E:$E,$E2865),$F2865)</f>
        <v/>
      </c>
      <c r="J2865" s="6" t="inlineStr">
        <is>
          <t>Informado</t>
        </is>
      </c>
      <c r="K2865" s="6" t="inlineStr">
        <is>
          <t>Demanda doméstica fixa informada pelo usuário.</t>
        </is>
      </c>
    </row>
    <row r="2866">
      <c r="A2866" s="6" t="inlineStr">
        <is>
          <t>Soja</t>
        </is>
      </c>
      <c r="B2866" s="6" t="inlineStr">
        <is>
          <t>Rio de Janeiro - RJ</t>
        </is>
      </c>
      <c r="C2866" s="6" t="n">
        <v>-22.9129</v>
      </c>
      <c r="D2866" s="6" t="n">
        <v>-43.2003</v>
      </c>
      <c r="E2866" s="6" t="inlineStr">
        <is>
          <t>2024-09</t>
        </is>
      </c>
      <c r="F2866" s="6" t="n">
        <v>148467.9562535173</v>
      </c>
      <c r="G2866" s="6" t="inlineStr">
        <is>
          <t>DOMESTICA</t>
        </is>
      </c>
      <c r="H2866" s="6" t="inlineStr">
        <is>
          <t>FIXO</t>
        </is>
      </c>
      <c r="I2866" s="11">
        <f>IF($H2866="AUTO_OFERTA_TOTAL_PRODUTO_PERIODO",SUMIFS(Oferta!$F:$F,Oferta!$A:$A,$A2866,Oferta!$E:$E,$E2866),$F2866)</f>
        <v/>
      </c>
      <c r="J2866" s="6" t="inlineStr">
        <is>
          <t>Informado</t>
        </is>
      </c>
      <c r="K2866" s="6" t="inlineStr">
        <is>
          <t>Demanda doméstica fixa informada pelo usuário.</t>
        </is>
      </c>
    </row>
    <row r="2867">
      <c r="A2867" s="6" t="inlineStr">
        <is>
          <t>Soja</t>
        </is>
      </c>
      <c r="B2867" s="6" t="inlineStr">
        <is>
          <t>Rio de Janeiro - RJ</t>
        </is>
      </c>
      <c r="C2867" s="6" t="n">
        <v>-22.9129</v>
      </c>
      <c r="D2867" s="6" t="n">
        <v>-43.2003</v>
      </c>
      <c r="E2867" s="6" t="inlineStr">
        <is>
          <t>2024-10</t>
        </is>
      </c>
      <c r="F2867" s="6" t="n">
        <v>148467.9562535173</v>
      </c>
      <c r="G2867" s="6" t="inlineStr">
        <is>
          <t>DOMESTICA</t>
        </is>
      </c>
      <c r="H2867" s="6" t="inlineStr">
        <is>
          <t>FIXO</t>
        </is>
      </c>
      <c r="I2867" s="11">
        <f>IF($H2867="AUTO_OFERTA_TOTAL_PRODUTO_PERIODO",SUMIFS(Oferta!$F:$F,Oferta!$A:$A,$A2867,Oferta!$E:$E,$E2867),$F2867)</f>
        <v/>
      </c>
      <c r="J2867" s="6" t="inlineStr">
        <is>
          <t>Informado</t>
        </is>
      </c>
      <c r="K2867" s="6" t="inlineStr">
        <is>
          <t>Demanda doméstica fixa informada pelo usuário.</t>
        </is>
      </c>
    </row>
    <row r="2868">
      <c r="A2868" s="6" t="inlineStr">
        <is>
          <t>Soja</t>
        </is>
      </c>
      <c r="B2868" s="6" t="inlineStr">
        <is>
          <t>Rio de Janeiro - RJ</t>
        </is>
      </c>
      <c r="C2868" s="6" t="n">
        <v>-22.9129</v>
      </c>
      <c r="D2868" s="6" t="n">
        <v>-43.2003</v>
      </c>
      <c r="E2868" s="6" t="inlineStr">
        <is>
          <t>2024-11</t>
        </is>
      </c>
      <c r="F2868" s="6" t="n">
        <v>148467.9562535173</v>
      </c>
      <c r="G2868" s="6" t="inlineStr">
        <is>
          <t>DOMESTICA</t>
        </is>
      </c>
      <c r="H2868" s="6" t="inlineStr">
        <is>
          <t>FIXO</t>
        </is>
      </c>
      <c r="I2868" s="11">
        <f>IF($H2868="AUTO_OFERTA_TOTAL_PRODUTO_PERIODO",SUMIFS(Oferta!$F:$F,Oferta!$A:$A,$A2868,Oferta!$E:$E,$E2868),$F2868)</f>
        <v/>
      </c>
      <c r="J2868" s="6" t="inlineStr">
        <is>
          <t>Informado</t>
        </is>
      </c>
      <c r="K2868" s="6" t="inlineStr">
        <is>
          <t>Demanda doméstica fixa informada pelo usuário.</t>
        </is>
      </c>
    </row>
    <row r="2869">
      <c r="A2869" s="6" t="inlineStr">
        <is>
          <t>Soja</t>
        </is>
      </c>
      <c r="B2869" s="6" t="inlineStr">
        <is>
          <t>Rio de Janeiro - RJ</t>
        </is>
      </c>
      <c r="C2869" s="6" t="n">
        <v>-22.9129</v>
      </c>
      <c r="D2869" s="6" t="n">
        <v>-43.2003</v>
      </c>
      <c r="E2869" s="6" t="inlineStr">
        <is>
          <t>2024-12</t>
        </is>
      </c>
      <c r="F2869" s="6" t="n">
        <v>148467.9562535173</v>
      </c>
      <c r="G2869" s="6" t="inlineStr">
        <is>
          <t>DOMESTICA</t>
        </is>
      </c>
      <c r="H2869" s="6" t="inlineStr">
        <is>
          <t>FIXO</t>
        </is>
      </c>
      <c r="I2869" s="11">
        <f>IF($H2869="AUTO_OFERTA_TOTAL_PRODUTO_PERIODO",SUMIFS(Oferta!$F:$F,Oferta!$A:$A,$A2869,Oferta!$E:$E,$E2869),$F2869)</f>
        <v/>
      </c>
      <c r="J2869" s="6" t="inlineStr">
        <is>
          <t>Informado</t>
        </is>
      </c>
      <c r="K2869" s="6" t="inlineStr">
        <is>
          <t>Demanda doméstica fixa informada pelo usuário.</t>
        </is>
      </c>
    </row>
    <row r="2870">
      <c r="A2870" s="6" t="inlineStr">
        <is>
          <t>Soja</t>
        </is>
      </c>
      <c r="B2870" s="6" t="inlineStr">
        <is>
          <t>São Paulo - SP</t>
        </is>
      </c>
      <c r="C2870" s="6" t="n">
        <v>-23.5329</v>
      </c>
      <c r="D2870" s="6" t="n">
        <v>-46.6395</v>
      </c>
      <c r="E2870" s="6" t="inlineStr">
        <is>
          <t>2024-01</t>
        </is>
      </c>
      <c r="F2870" s="6" t="n">
        <v>567007.6611308106</v>
      </c>
      <c r="G2870" s="6" t="inlineStr">
        <is>
          <t>DOMESTICA</t>
        </is>
      </c>
      <c r="H2870" s="6" t="inlineStr">
        <is>
          <t>FIXO</t>
        </is>
      </c>
      <c r="I2870" s="11">
        <f>IF($H2870="AUTO_OFERTA_TOTAL_PRODUTO_PERIODO",SUMIFS(Oferta!$F:$F,Oferta!$A:$A,$A2870,Oferta!$E:$E,$E2870),$F2870)</f>
        <v/>
      </c>
      <c r="J2870" s="6" t="inlineStr">
        <is>
          <t>Informado</t>
        </is>
      </c>
      <c r="K2870" s="6" t="inlineStr">
        <is>
          <t>Demanda doméstica fixa informada pelo usuário.</t>
        </is>
      </c>
    </row>
    <row r="2871">
      <c r="A2871" s="6" t="inlineStr">
        <is>
          <t>Soja</t>
        </is>
      </c>
      <c r="B2871" s="6" t="inlineStr">
        <is>
          <t>São Paulo - SP</t>
        </is>
      </c>
      <c r="C2871" s="6" t="n">
        <v>-23.5329</v>
      </c>
      <c r="D2871" s="6" t="n">
        <v>-46.6395</v>
      </c>
      <c r="E2871" s="6" t="inlineStr">
        <is>
          <t>2024-02</t>
        </is>
      </c>
      <c r="F2871" s="6" t="n">
        <v>909351.9093607338</v>
      </c>
      <c r="G2871" s="6" t="inlineStr">
        <is>
          <t>DOMESTICA</t>
        </is>
      </c>
      <c r="H2871" s="6" t="inlineStr">
        <is>
          <t>FIXO</t>
        </is>
      </c>
      <c r="I2871" s="11">
        <f>IF($H2871="AUTO_OFERTA_TOTAL_PRODUTO_PERIODO",SUMIFS(Oferta!$F:$F,Oferta!$A:$A,$A2871,Oferta!$E:$E,$E2871),$F2871)</f>
        <v/>
      </c>
      <c r="J2871" s="6" t="inlineStr">
        <is>
          <t>Informado</t>
        </is>
      </c>
      <c r="K2871" s="6" t="inlineStr">
        <is>
          <t>Demanda doméstica fixa informada pelo usuário.</t>
        </is>
      </c>
    </row>
    <row r="2872">
      <c r="A2872" s="6" t="inlineStr">
        <is>
          <t>Soja</t>
        </is>
      </c>
      <c r="B2872" s="6" t="inlineStr">
        <is>
          <t>São Paulo - SP</t>
        </is>
      </c>
      <c r="C2872" s="6" t="n">
        <v>-23.5329</v>
      </c>
      <c r="D2872" s="6" t="n">
        <v>-46.6395</v>
      </c>
      <c r="E2872" s="6" t="inlineStr">
        <is>
          <t>2024-03</t>
        </is>
      </c>
      <c r="F2872" s="6" t="n">
        <v>1251696.157590657</v>
      </c>
      <c r="G2872" s="6" t="inlineStr">
        <is>
          <t>DOMESTICA</t>
        </is>
      </c>
      <c r="H2872" s="6" t="inlineStr">
        <is>
          <t>FIXO</t>
        </is>
      </c>
      <c r="I2872" s="11">
        <f>IF($H2872="AUTO_OFERTA_TOTAL_PRODUTO_PERIODO",SUMIFS(Oferta!$F:$F,Oferta!$A:$A,$A2872,Oferta!$E:$E,$E2872),$F2872)</f>
        <v/>
      </c>
      <c r="J2872" s="6" t="inlineStr">
        <is>
          <t>Informado</t>
        </is>
      </c>
      <c r="K2872" s="6" t="inlineStr">
        <is>
          <t>Demanda doméstica fixa informada pelo usuário.</t>
        </is>
      </c>
    </row>
    <row r="2873">
      <c r="A2873" s="6" t="inlineStr">
        <is>
          <t>Soja</t>
        </is>
      </c>
      <c r="B2873" s="6" t="inlineStr">
        <is>
          <t>São Paulo - SP</t>
        </is>
      </c>
      <c r="C2873" s="6" t="n">
        <v>-23.5329</v>
      </c>
      <c r="D2873" s="6" t="n">
        <v>-46.6395</v>
      </c>
      <c r="E2873" s="6" t="inlineStr">
        <is>
          <t>2024-04</t>
        </is>
      </c>
      <c r="F2873" s="6" t="n">
        <v>2278728.902280427</v>
      </c>
      <c r="G2873" s="6" t="inlineStr">
        <is>
          <t>DOMESTICA</t>
        </is>
      </c>
      <c r="H2873" s="6" t="inlineStr">
        <is>
          <t>FIXO</t>
        </is>
      </c>
      <c r="I2873" s="11">
        <f>IF($H2873="AUTO_OFERTA_TOTAL_PRODUTO_PERIODO",SUMIFS(Oferta!$F:$F,Oferta!$A:$A,$A2873,Oferta!$E:$E,$E2873),$F2873)</f>
        <v/>
      </c>
      <c r="J2873" s="6" t="inlineStr">
        <is>
          <t>Informado</t>
        </is>
      </c>
      <c r="K2873" s="6" t="inlineStr">
        <is>
          <t>Demanda doméstica fixa informada pelo usuário.</t>
        </is>
      </c>
    </row>
    <row r="2874">
      <c r="A2874" s="6" t="inlineStr">
        <is>
          <t>Soja</t>
        </is>
      </c>
      <c r="B2874" s="6" t="inlineStr">
        <is>
          <t>São Paulo - SP</t>
        </is>
      </c>
      <c r="C2874" s="6" t="n">
        <v>-23.5329</v>
      </c>
      <c r="D2874" s="6" t="n">
        <v>-46.6395</v>
      </c>
      <c r="E2874" s="6" t="inlineStr">
        <is>
          <t>2024-05</t>
        </is>
      </c>
      <c r="F2874" s="6" t="n">
        <v>2278728.902280427</v>
      </c>
      <c r="G2874" s="6" t="inlineStr">
        <is>
          <t>DOMESTICA</t>
        </is>
      </c>
      <c r="H2874" s="6" t="inlineStr">
        <is>
          <t>FIXO</t>
        </is>
      </c>
      <c r="I2874" s="11">
        <f>IF($H2874="AUTO_OFERTA_TOTAL_PRODUTO_PERIODO",SUMIFS(Oferta!$F:$F,Oferta!$A:$A,$A2874,Oferta!$E:$E,$E2874),$F2874)</f>
        <v/>
      </c>
      <c r="J2874" s="6" t="inlineStr">
        <is>
          <t>Informado</t>
        </is>
      </c>
      <c r="K2874" s="6" t="inlineStr">
        <is>
          <t>Demanda doméstica fixa informada pelo usuário.</t>
        </is>
      </c>
    </row>
    <row r="2875">
      <c r="A2875" s="6" t="inlineStr">
        <is>
          <t>Soja</t>
        </is>
      </c>
      <c r="B2875" s="6" t="inlineStr">
        <is>
          <t>São Paulo - SP</t>
        </is>
      </c>
      <c r="C2875" s="6" t="n">
        <v>-23.5329</v>
      </c>
      <c r="D2875" s="6" t="n">
        <v>-46.6395</v>
      </c>
      <c r="E2875" s="6" t="inlineStr">
        <is>
          <t>2024-06</t>
        </is>
      </c>
      <c r="F2875" s="6" t="n">
        <v>1936384.654050504</v>
      </c>
      <c r="G2875" s="6" t="inlineStr">
        <is>
          <t>DOMESTICA</t>
        </is>
      </c>
      <c r="H2875" s="6" t="inlineStr">
        <is>
          <t>FIXO</t>
        </is>
      </c>
      <c r="I2875" s="11">
        <f>IF($H2875="AUTO_OFERTA_TOTAL_PRODUTO_PERIODO",SUMIFS(Oferta!$F:$F,Oferta!$A:$A,$A2875,Oferta!$E:$E,$E2875),$F2875)</f>
        <v/>
      </c>
      <c r="J2875" s="6" t="inlineStr">
        <is>
          <t>Informado</t>
        </is>
      </c>
      <c r="K2875" s="6" t="inlineStr">
        <is>
          <t>Demanda doméstica fixa informada pelo usuário.</t>
        </is>
      </c>
    </row>
    <row r="2876">
      <c r="A2876" s="6" t="inlineStr">
        <is>
          <t>Soja</t>
        </is>
      </c>
      <c r="B2876" s="6" t="inlineStr">
        <is>
          <t>São Paulo - SP</t>
        </is>
      </c>
      <c r="C2876" s="6" t="n">
        <v>-23.5329</v>
      </c>
      <c r="D2876" s="6" t="n">
        <v>-46.6395</v>
      </c>
      <c r="E2876" s="6" t="inlineStr">
        <is>
          <t>2024-07</t>
        </is>
      </c>
      <c r="F2876" s="6" t="n">
        <v>909351.9093607338</v>
      </c>
      <c r="G2876" s="6" t="inlineStr">
        <is>
          <t>DOMESTICA</t>
        </is>
      </c>
      <c r="H2876" s="6" t="inlineStr">
        <is>
          <t>FIXO</t>
        </is>
      </c>
      <c r="I2876" s="11">
        <f>IF($H2876="AUTO_OFERTA_TOTAL_PRODUTO_PERIODO",SUMIFS(Oferta!$F:$F,Oferta!$A:$A,$A2876,Oferta!$E:$E,$E2876),$F2876)</f>
        <v/>
      </c>
      <c r="J2876" s="6" t="inlineStr">
        <is>
          <t>Informado</t>
        </is>
      </c>
      <c r="K2876" s="6" t="inlineStr">
        <is>
          <t>Demanda doméstica fixa informada pelo usuário.</t>
        </is>
      </c>
    </row>
    <row r="2877">
      <c r="A2877" s="6" t="inlineStr">
        <is>
          <t>Soja</t>
        </is>
      </c>
      <c r="B2877" s="6" t="inlineStr">
        <is>
          <t>São Paulo - SP</t>
        </is>
      </c>
      <c r="C2877" s="6" t="n">
        <v>-23.5329</v>
      </c>
      <c r="D2877" s="6" t="n">
        <v>-46.6395</v>
      </c>
      <c r="E2877" s="6" t="inlineStr">
        <is>
          <t>2024-08</t>
        </is>
      </c>
      <c r="F2877" s="6" t="n">
        <v>567007.6611308106</v>
      </c>
      <c r="G2877" s="6" t="inlineStr">
        <is>
          <t>DOMESTICA</t>
        </is>
      </c>
      <c r="H2877" s="6" t="inlineStr">
        <is>
          <t>FIXO</t>
        </is>
      </c>
      <c r="I2877" s="11">
        <f>IF($H2877="AUTO_OFERTA_TOTAL_PRODUTO_PERIODO",SUMIFS(Oferta!$F:$F,Oferta!$A:$A,$A2877,Oferta!$E:$E,$E2877),$F2877)</f>
        <v/>
      </c>
      <c r="J2877" s="6" t="inlineStr">
        <is>
          <t>Informado</t>
        </is>
      </c>
      <c r="K2877" s="6" t="inlineStr">
        <is>
          <t>Demanda doméstica fixa informada pelo usuário.</t>
        </is>
      </c>
    </row>
    <row r="2878">
      <c r="A2878" s="6" t="inlineStr">
        <is>
          <t>Soja</t>
        </is>
      </c>
      <c r="B2878" s="6" t="inlineStr">
        <is>
          <t>São Paulo - SP</t>
        </is>
      </c>
      <c r="C2878" s="6" t="n">
        <v>-23.5329</v>
      </c>
      <c r="D2878" s="6" t="n">
        <v>-46.6395</v>
      </c>
      <c r="E2878" s="6" t="inlineStr">
        <is>
          <t>2024-09</t>
        </is>
      </c>
      <c r="F2878" s="6" t="n">
        <v>567007.6611308106</v>
      </c>
      <c r="G2878" s="6" t="inlineStr">
        <is>
          <t>DOMESTICA</t>
        </is>
      </c>
      <c r="H2878" s="6" t="inlineStr">
        <is>
          <t>FIXO</t>
        </is>
      </c>
      <c r="I2878" s="11">
        <f>IF($H2878="AUTO_OFERTA_TOTAL_PRODUTO_PERIODO",SUMIFS(Oferta!$F:$F,Oferta!$A:$A,$A2878,Oferta!$E:$E,$E2878),$F2878)</f>
        <v/>
      </c>
      <c r="J2878" s="6" t="inlineStr">
        <is>
          <t>Informado</t>
        </is>
      </c>
      <c r="K2878" s="6" t="inlineStr">
        <is>
          <t>Demanda doméstica fixa informada pelo usuário.</t>
        </is>
      </c>
    </row>
    <row r="2879">
      <c r="A2879" s="6" t="inlineStr">
        <is>
          <t>Soja</t>
        </is>
      </c>
      <c r="B2879" s="6" t="inlineStr">
        <is>
          <t>São Paulo - SP</t>
        </is>
      </c>
      <c r="C2879" s="6" t="n">
        <v>-23.5329</v>
      </c>
      <c r="D2879" s="6" t="n">
        <v>-46.6395</v>
      </c>
      <c r="E2879" s="6" t="inlineStr">
        <is>
          <t>2024-10</t>
        </is>
      </c>
      <c r="F2879" s="6" t="n">
        <v>567007.6611308106</v>
      </c>
      <c r="G2879" s="6" t="inlineStr">
        <is>
          <t>DOMESTICA</t>
        </is>
      </c>
      <c r="H2879" s="6" t="inlineStr">
        <is>
          <t>FIXO</t>
        </is>
      </c>
      <c r="I2879" s="11">
        <f>IF($H2879="AUTO_OFERTA_TOTAL_PRODUTO_PERIODO",SUMIFS(Oferta!$F:$F,Oferta!$A:$A,$A2879,Oferta!$E:$E,$E2879),$F2879)</f>
        <v/>
      </c>
      <c r="J2879" s="6" t="inlineStr">
        <is>
          <t>Informado</t>
        </is>
      </c>
      <c r="K2879" s="6" t="inlineStr">
        <is>
          <t>Demanda doméstica fixa informada pelo usuário.</t>
        </is>
      </c>
    </row>
    <row r="2880">
      <c r="A2880" s="6" t="inlineStr">
        <is>
          <t>Soja</t>
        </is>
      </c>
      <c r="B2880" s="6" t="inlineStr">
        <is>
          <t>São Paulo - SP</t>
        </is>
      </c>
      <c r="C2880" s="6" t="n">
        <v>-23.5329</v>
      </c>
      <c r="D2880" s="6" t="n">
        <v>-46.6395</v>
      </c>
      <c r="E2880" s="6" t="inlineStr">
        <is>
          <t>2024-11</t>
        </is>
      </c>
      <c r="F2880" s="6" t="n">
        <v>567007.6611308106</v>
      </c>
      <c r="G2880" s="6" t="inlineStr">
        <is>
          <t>DOMESTICA</t>
        </is>
      </c>
      <c r="H2880" s="6" t="inlineStr">
        <is>
          <t>FIXO</t>
        </is>
      </c>
      <c r="I2880" s="11">
        <f>IF($H2880="AUTO_OFERTA_TOTAL_PRODUTO_PERIODO",SUMIFS(Oferta!$F:$F,Oferta!$A:$A,$A2880,Oferta!$E:$E,$E2880),$F2880)</f>
        <v/>
      </c>
      <c r="J2880" s="6" t="inlineStr">
        <is>
          <t>Informado</t>
        </is>
      </c>
      <c r="K2880" s="6" t="inlineStr">
        <is>
          <t>Demanda doméstica fixa informada pelo usuário.</t>
        </is>
      </c>
    </row>
    <row r="2881">
      <c r="A2881" s="6" t="inlineStr">
        <is>
          <t>Soja</t>
        </is>
      </c>
      <c r="B2881" s="6" t="inlineStr">
        <is>
          <t>São Paulo - SP</t>
        </is>
      </c>
      <c r="C2881" s="6" t="n">
        <v>-23.5329</v>
      </c>
      <c r="D2881" s="6" t="n">
        <v>-46.6395</v>
      </c>
      <c r="E2881" s="6" t="inlineStr">
        <is>
          <t>2024-12</t>
        </is>
      </c>
      <c r="F2881" s="6" t="n">
        <v>567007.6611308106</v>
      </c>
      <c r="G2881" s="6" t="inlineStr">
        <is>
          <t>DOMESTICA</t>
        </is>
      </c>
      <c r="H2881" s="6" t="inlineStr">
        <is>
          <t>FIXO</t>
        </is>
      </c>
      <c r="I2881" s="11">
        <f>IF($H2881="AUTO_OFERTA_TOTAL_PRODUTO_PERIODO",SUMIFS(Oferta!$F:$F,Oferta!$A:$A,$A2881,Oferta!$E:$E,$E2881),$F2881)</f>
        <v/>
      </c>
      <c r="J2881" s="6" t="inlineStr">
        <is>
          <t>Informado</t>
        </is>
      </c>
      <c r="K2881" s="6" t="inlineStr">
        <is>
          <t>Demanda doméstica fixa informada pelo usuário.</t>
        </is>
      </c>
    </row>
    <row r="2882">
      <c r="A2882" s="6" t="inlineStr">
        <is>
          <t>Soja</t>
        </is>
      </c>
      <c r="B2882" s="6" t="inlineStr">
        <is>
          <t>Curitiba - PR</t>
        </is>
      </c>
      <c r="C2882" s="6" t="n">
        <v>-25.4195</v>
      </c>
      <c r="D2882" s="6" t="n">
        <v>-49.2646</v>
      </c>
      <c r="E2882" s="6" t="inlineStr">
        <is>
          <t>2024-01</t>
        </is>
      </c>
      <c r="F2882" s="6" t="n">
        <v>295095.9263370249</v>
      </c>
      <c r="G2882" s="6" t="inlineStr">
        <is>
          <t>DOMESTICA</t>
        </is>
      </c>
      <c r="H2882" s="6" t="inlineStr">
        <is>
          <t>FIXO</t>
        </is>
      </c>
      <c r="I2882" s="11">
        <f>IF($H2882="AUTO_OFERTA_TOTAL_PRODUTO_PERIODO",SUMIFS(Oferta!$F:$F,Oferta!$A:$A,$A2882,Oferta!$E:$E,$E2882),$F2882)</f>
        <v/>
      </c>
      <c r="J2882" s="6" t="inlineStr">
        <is>
          <t>Informado</t>
        </is>
      </c>
      <c r="K2882" s="6" t="inlineStr">
        <is>
          <t>Demanda doméstica fixa informada pelo usuário.</t>
        </is>
      </c>
    </row>
    <row r="2883">
      <c r="A2883" s="6" t="inlineStr">
        <is>
          <t>Soja</t>
        </is>
      </c>
      <c r="B2883" s="6" t="inlineStr">
        <is>
          <t>Curitiba - PR</t>
        </is>
      </c>
      <c r="C2883" s="6" t="n">
        <v>-25.4195</v>
      </c>
      <c r="D2883" s="6" t="n">
        <v>-49.2646</v>
      </c>
      <c r="E2883" s="6" t="inlineStr">
        <is>
          <t>2024-02</t>
        </is>
      </c>
      <c r="F2883" s="6" t="n">
        <v>384181.4890048059</v>
      </c>
      <c r="G2883" s="6" t="inlineStr">
        <is>
          <t>DOMESTICA</t>
        </is>
      </c>
      <c r="H2883" s="6" t="inlineStr">
        <is>
          <t>FIXO</t>
        </is>
      </c>
      <c r="I2883" s="11">
        <f>IF($H2883="AUTO_OFERTA_TOTAL_PRODUTO_PERIODO",SUMIFS(Oferta!$F:$F,Oferta!$A:$A,$A2883,Oferta!$E:$E,$E2883),$F2883)</f>
        <v/>
      </c>
      <c r="J2883" s="6" t="inlineStr">
        <is>
          <t>Informado</t>
        </is>
      </c>
      <c r="K2883" s="6" t="inlineStr">
        <is>
          <t>Demanda doméstica fixa informada pelo usuário.</t>
        </is>
      </c>
    </row>
    <row r="2884">
      <c r="A2884" s="6" t="inlineStr">
        <is>
          <t>Soja</t>
        </is>
      </c>
      <c r="B2884" s="6" t="inlineStr">
        <is>
          <t>Curitiba - PR</t>
        </is>
      </c>
      <c r="C2884" s="6" t="n">
        <v>-25.4195</v>
      </c>
      <c r="D2884" s="6" t="n">
        <v>-49.2646</v>
      </c>
      <c r="E2884" s="6" t="inlineStr">
        <is>
          <t>2024-03</t>
        </is>
      </c>
      <c r="F2884" s="6" t="n">
        <v>562352.614340368</v>
      </c>
      <c r="G2884" s="6" t="inlineStr">
        <is>
          <t>DOMESTICA</t>
        </is>
      </c>
      <c r="H2884" s="6" t="inlineStr">
        <is>
          <t>FIXO</t>
        </is>
      </c>
      <c r="I2884" s="11">
        <f>IF($H2884="AUTO_OFERTA_TOTAL_PRODUTO_PERIODO",SUMIFS(Oferta!$F:$F,Oferta!$A:$A,$A2884,Oferta!$E:$E,$E2884),$F2884)</f>
        <v/>
      </c>
      <c r="J2884" s="6" t="inlineStr">
        <is>
          <t>Informado</t>
        </is>
      </c>
      <c r="K2884" s="6" t="inlineStr">
        <is>
          <t>Demanda doméstica fixa informada pelo usuário.</t>
        </is>
      </c>
    </row>
    <row r="2885">
      <c r="A2885" s="6" t="inlineStr">
        <is>
          <t>Soja</t>
        </is>
      </c>
      <c r="B2885" s="6" t="inlineStr">
        <is>
          <t>Curitiba - PR</t>
        </is>
      </c>
      <c r="C2885" s="6" t="n">
        <v>-25.4195</v>
      </c>
      <c r="D2885" s="6" t="n">
        <v>-49.2646</v>
      </c>
      <c r="E2885" s="6" t="inlineStr">
        <is>
          <t>2024-04</t>
        </is>
      </c>
      <c r="F2885" s="6" t="n">
        <v>918694.8650114924</v>
      </c>
      <c r="G2885" s="6" t="inlineStr">
        <is>
          <t>DOMESTICA</t>
        </is>
      </c>
      <c r="H2885" s="6" t="inlineStr">
        <is>
          <t>FIXO</t>
        </is>
      </c>
      <c r="I2885" s="11">
        <f>IF($H2885="AUTO_OFERTA_TOTAL_PRODUTO_PERIODO",SUMIFS(Oferta!$F:$F,Oferta!$A:$A,$A2885,Oferta!$E:$E,$E2885),$F2885)</f>
        <v/>
      </c>
      <c r="J2885" s="6" t="inlineStr">
        <is>
          <t>Informado</t>
        </is>
      </c>
      <c r="K2885" s="6" t="inlineStr">
        <is>
          <t>Demanda doméstica fixa informada pelo usuário.</t>
        </is>
      </c>
    </row>
    <row r="2886">
      <c r="A2886" s="6" t="inlineStr">
        <is>
          <t>Soja</t>
        </is>
      </c>
      <c r="B2886" s="6" t="inlineStr">
        <is>
          <t>Curitiba - PR</t>
        </is>
      </c>
      <c r="C2886" s="6" t="n">
        <v>-25.4195</v>
      </c>
      <c r="D2886" s="6" t="n">
        <v>-49.2646</v>
      </c>
      <c r="E2886" s="6" t="inlineStr">
        <is>
          <t>2024-05</t>
        </is>
      </c>
      <c r="F2886" s="6" t="n">
        <v>1007780.427679274</v>
      </c>
      <c r="G2886" s="6" t="inlineStr">
        <is>
          <t>DOMESTICA</t>
        </is>
      </c>
      <c r="H2886" s="6" t="inlineStr">
        <is>
          <t>FIXO</t>
        </is>
      </c>
      <c r="I2886" s="11">
        <f>IF($H2886="AUTO_OFERTA_TOTAL_PRODUTO_PERIODO",SUMIFS(Oferta!$F:$F,Oferta!$A:$A,$A2886,Oferta!$E:$E,$E2886),$F2886)</f>
        <v/>
      </c>
      <c r="J2886" s="6" t="inlineStr">
        <is>
          <t>Informado</t>
        </is>
      </c>
      <c r="K2886" s="6" t="inlineStr">
        <is>
          <t>Demanda doméstica fixa informada pelo usuário.</t>
        </is>
      </c>
    </row>
    <row r="2887">
      <c r="A2887" s="6" t="inlineStr">
        <is>
          <t>Soja</t>
        </is>
      </c>
      <c r="B2887" s="6" t="inlineStr">
        <is>
          <t>Curitiba - PR</t>
        </is>
      </c>
      <c r="C2887" s="6" t="n">
        <v>-25.4195</v>
      </c>
      <c r="D2887" s="6" t="n">
        <v>-49.2646</v>
      </c>
      <c r="E2887" s="6" t="inlineStr">
        <is>
          <t>2024-06</t>
        </is>
      </c>
      <c r="F2887" s="6" t="n">
        <v>829609.3023437113</v>
      </c>
      <c r="G2887" s="6" t="inlineStr">
        <is>
          <t>DOMESTICA</t>
        </is>
      </c>
      <c r="H2887" s="6" t="inlineStr">
        <is>
          <t>FIXO</t>
        </is>
      </c>
      <c r="I2887" s="11">
        <f>IF($H2887="AUTO_OFERTA_TOTAL_PRODUTO_PERIODO",SUMIFS(Oferta!$F:$F,Oferta!$A:$A,$A2887,Oferta!$E:$E,$E2887),$F2887)</f>
        <v/>
      </c>
      <c r="J2887" s="6" t="inlineStr">
        <is>
          <t>Informado</t>
        </is>
      </c>
      <c r="K2887" s="6" t="inlineStr">
        <is>
          <t>Demanda doméstica fixa informada pelo usuário.</t>
        </is>
      </c>
    </row>
    <row r="2888">
      <c r="A2888" s="6" t="inlineStr">
        <is>
          <t>Soja</t>
        </is>
      </c>
      <c r="B2888" s="6" t="inlineStr">
        <is>
          <t>Curitiba - PR</t>
        </is>
      </c>
      <c r="C2888" s="6" t="n">
        <v>-25.4195</v>
      </c>
      <c r="D2888" s="6" t="n">
        <v>-49.2646</v>
      </c>
      <c r="E2888" s="6" t="inlineStr">
        <is>
          <t>2024-07</t>
        </is>
      </c>
      <c r="F2888" s="6" t="n">
        <v>473267.0516725869</v>
      </c>
      <c r="G2888" s="6" t="inlineStr">
        <is>
          <t>DOMESTICA</t>
        </is>
      </c>
      <c r="H2888" s="6" t="inlineStr">
        <is>
          <t>FIXO</t>
        </is>
      </c>
      <c r="I2888" s="11">
        <f>IF($H2888="AUTO_OFERTA_TOTAL_PRODUTO_PERIODO",SUMIFS(Oferta!$F:$F,Oferta!$A:$A,$A2888,Oferta!$E:$E,$E2888),$F2888)</f>
        <v/>
      </c>
      <c r="J2888" s="6" t="inlineStr">
        <is>
          <t>Informado</t>
        </is>
      </c>
      <c r="K2888" s="6" t="inlineStr">
        <is>
          <t>Demanda doméstica fixa informada pelo usuário.</t>
        </is>
      </c>
    </row>
    <row r="2889">
      <c r="A2889" s="6" t="inlineStr">
        <is>
          <t>Soja</t>
        </is>
      </c>
      <c r="B2889" s="6" t="inlineStr">
        <is>
          <t>Curitiba - PR</t>
        </is>
      </c>
      <c r="C2889" s="6" t="n">
        <v>-25.4195</v>
      </c>
      <c r="D2889" s="6" t="n">
        <v>-49.2646</v>
      </c>
      <c r="E2889" s="6" t="inlineStr">
        <is>
          <t>2024-08</t>
        </is>
      </c>
      <c r="F2889" s="6" t="n">
        <v>295095.9263370249</v>
      </c>
      <c r="G2889" s="6" t="inlineStr">
        <is>
          <t>DOMESTICA</t>
        </is>
      </c>
      <c r="H2889" s="6" t="inlineStr">
        <is>
          <t>FIXO</t>
        </is>
      </c>
      <c r="I2889" s="11">
        <f>IF($H2889="AUTO_OFERTA_TOTAL_PRODUTO_PERIODO",SUMIFS(Oferta!$F:$F,Oferta!$A:$A,$A2889,Oferta!$E:$E,$E2889),$F2889)</f>
        <v/>
      </c>
      <c r="J2889" s="6" t="inlineStr">
        <is>
          <t>Informado</t>
        </is>
      </c>
      <c r="K2889" s="6" t="inlineStr">
        <is>
          <t>Demanda doméstica fixa informada pelo usuário.</t>
        </is>
      </c>
    </row>
    <row r="2890">
      <c r="A2890" s="6" t="inlineStr">
        <is>
          <t>Soja</t>
        </is>
      </c>
      <c r="B2890" s="6" t="inlineStr">
        <is>
          <t>Curitiba - PR</t>
        </is>
      </c>
      <c r="C2890" s="6" t="n">
        <v>-25.4195</v>
      </c>
      <c r="D2890" s="6" t="n">
        <v>-49.2646</v>
      </c>
      <c r="E2890" s="6" t="inlineStr">
        <is>
          <t>2024-09</t>
        </is>
      </c>
      <c r="F2890" s="6" t="n">
        <v>295095.9263370249</v>
      </c>
      <c r="G2890" s="6" t="inlineStr">
        <is>
          <t>DOMESTICA</t>
        </is>
      </c>
      <c r="H2890" s="6" t="inlineStr">
        <is>
          <t>FIXO</t>
        </is>
      </c>
      <c r="I2890" s="11">
        <f>IF($H2890="AUTO_OFERTA_TOTAL_PRODUTO_PERIODO",SUMIFS(Oferta!$F:$F,Oferta!$A:$A,$A2890,Oferta!$E:$E,$E2890),$F2890)</f>
        <v/>
      </c>
      <c r="J2890" s="6" t="inlineStr">
        <is>
          <t>Informado</t>
        </is>
      </c>
      <c r="K2890" s="6" t="inlineStr">
        <is>
          <t>Demanda doméstica fixa informada pelo usuário.</t>
        </is>
      </c>
    </row>
    <row r="2891">
      <c r="A2891" s="6" t="inlineStr">
        <is>
          <t>Soja</t>
        </is>
      </c>
      <c r="B2891" s="6" t="inlineStr">
        <is>
          <t>Curitiba - PR</t>
        </is>
      </c>
      <c r="C2891" s="6" t="n">
        <v>-25.4195</v>
      </c>
      <c r="D2891" s="6" t="n">
        <v>-49.2646</v>
      </c>
      <c r="E2891" s="6" t="inlineStr">
        <is>
          <t>2024-10</t>
        </is>
      </c>
      <c r="F2891" s="6" t="n">
        <v>295095.9263370249</v>
      </c>
      <c r="G2891" s="6" t="inlineStr">
        <is>
          <t>DOMESTICA</t>
        </is>
      </c>
      <c r="H2891" s="6" t="inlineStr">
        <is>
          <t>FIXO</t>
        </is>
      </c>
      <c r="I2891" s="11">
        <f>IF($H2891="AUTO_OFERTA_TOTAL_PRODUTO_PERIODO",SUMIFS(Oferta!$F:$F,Oferta!$A:$A,$A2891,Oferta!$E:$E,$E2891),$F2891)</f>
        <v/>
      </c>
      <c r="J2891" s="6" t="inlineStr">
        <is>
          <t>Informado</t>
        </is>
      </c>
      <c r="K2891" s="6" t="inlineStr">
        <is>
          <t>Demanda doméstica fixa informada pelo usuário.</t>
        </is>
      </c>
    </row>
    <row r="2892">
      <c r="A2892" s="6" t="inlineStr">
        <is>
          <t>Soja</t>
        </is>
      </c>
      <c r="B2892" s="6" t="inlineStr">
        <is>
          <t>Curitiba - PR</t>
        </is>
      </c>
      <c r="C2892" s="6" t="n">
        <v>-25.4195</v>
      </c>
      <c r="D2892" s="6" t="n">
        <v>-49.2646</v>
      </c>
      <c r="E2892" s="6" t="inlineStr">
        <is>
          <t>2024-11</t>
        </is>
      </c>
      <c r="F2892" s="6" t="n">
        <v>295095.9263370249</v>
      </c>
      <c r="G2892" s="6" t="inlineStr">
        <is>
          <t>DOMESTICA</t>
        </is>
      </c>
      <c r="H2892" s="6" t="inlineStr">
        <is>
          <t>FIXO</t>
        </is>
      </c>
      <c r="I2892" s="11">
        <f>IF($H2892="AUTO_OFERTA_TOTAL_PRODUTO_PERIODO",SUMIFS(Oferta!$F:$F,Oferta!$A:$A,$A2892,Oferta!$E:$E,$E2892),$F2892)</f>
        <v/>
      </c>
      <c r="J2892" s="6" t="inlineStr">
        <is>
          <t>Informado</t>
        </is>
      </c>
      <c r="K2892" s="6" t="inlineStr">
        <is>
          <t>Demanda doméstica fixa informada pelo usuário.</t>
        </is>
      </c>
    </row>
    <row r="2893">
      <c r="A2893" s="6" t="inlineStr">
        <is>
          <t>Soja</t>
        </is>
      </c>
      <c r="B2893" s="6" t="inlineStr">
        <is>
          <t>Curitiba - PR</t>
        </is>
      </c>
      <c r="C2893" s="6" t="n">
        <v>-25.4195</v>
      </c>
      <c r="D2893" s="6" t="n">
        <v>-49.2646</v>
      </c>
      <c r="E2893" s="6" t="inlineStr">
        <is>
          <t>2024-12</t>
        </is>
      </c>
      <c r="F2893" s="6" t="n">
        <v>295095.9263370249</v>
      </c>
      <c r="G2893" s="6" t="inlineStr">
        <is>
          <t>DOMESTICA</t>
        </is>
      </c>
      <c r="H2893" s="6" t="inlineStr">
        <is>
          <t>FIXO</t>
        </is>
      </c>
      <c r="I2893" s="11">
        <f>IF($H2893="AUTO_OFERTA_TOTAL_PRODUTO_PERIODO",SUMIFS(Oferta!$F:$F,Oferta!$A:$A,$A2893,Oferta!$E:$E,$E2893),$F2893)</f>
        <v/>
      </c>
      <c r="J2893" s="6" t="inlineStr">
        <is>
          <t>Informado</t>
        </is>
      </c>
      <c r="K2893" s="6" t="inlineStr">
        <is>
          <t>Demanda doméstica fixa informada pelo usuário.</t>
        </is>
      </c>
    </row>
    <row r="2894">
      <c r="A2894" s="6" t="inlineStr">
        <is>
          <t>Soja</t>
        </is>
      </c>
      <c r="B2894" s="6" t="inlineStr">
        <is>
          <t>Florianópolis - SC</t>
        </is>
      </c>
      <c r="C2894" s="6" t="n">
        <v>-27.5945</v>
      </c>
      <c r="D2894" s="6" t="n">
        <v>-48.5477</v>
      </c>
      <c r="E2894" s="6" t="inlineStr">
        <is>
          <t>2024-01</t>
        </is>
      </c>
      <c r="F2894" s="6" t="n">
        <v>129865.332137208</v>
      </c>
      <c r="G2894" s="6" t="inlineStr">
        <is>
          <t>DOMESTICA</t>
        </is>
      </c>
      <c r="H2894" s="6" t="inlineStr">
        <is>
          <t>FIXO</t>
        </is>
      </c>
      <c r="I2894" s="11">
        <f>IF($H2894="AUTO_OFERTA_TOTAL_PRODUTO_PERIODO",SUMIFS(Oferta!$F:$F,Oferta!$A:$A,$A2894,Oferta!$E:$E,$E2894),$F2894)</f>
        <v/>
      </c>
      <c r="J2894" s="6" t="inlineStr">
        <is>
          <t>Informado</t>
        </is>
      </c>
      <c r="K2894" s="6" t="inlineStr">
        <is>
          <t>Demanda doméstica fixa informada pelo usuário.</t>
        </is>
      </c>
    </row>
    <row r="2895">
      <c r="A2895" s="6" t="inlineStr">
        <is>
          <t>Soja</t>
        </is>
      </c>
      <c r="B2895" s="6" t="inlineStr">
        <is>
          <t>Florianópolis - SC</t>
        </is>
      </c>
      <c r="C2895" s="6" t="n">
        <v>-27.5945</v>
      </c>
      <c r="D2895" s="6" t="n">
        <v>-48.5477</v>
      </c>
      <c r="E2895" s="6" t="inlineStr">
        <is>
          <t>2024-02</t>
        </is>
      </c>
      <c r="F2895" s="6" t="n">
        <v>129865.332137208</v>
      </c>
      <c r="G2895" s="6" t="inlineStr">
        <is>
          <t>DOMESTICA</t>
        </is>
      </c>
      <c r="H2895" s="6" t="inlineStr">
        <is>
          <t>FIXO</t>
        </is>
      </c>
      <c r="I2895" s="11">
        <f>IF($H2895="AUTO_OFERTA_TOTAL_PRODUTO_PERIODO",SUMIFS(Oferta!$F:$F,Oferta!$A:$A,$A2895,Oferta!$E:$E,$E2895),$F2895)</f>
        <v/>
      </c>
      <c r="J2895" s="6" t="inlineStr">
        <is>
          <t>Informado</t>
        </is>
      </c>
      <c r="K2895" s="6" t="inlineStr">
        <is>
          <t>Demanda doméstica fixa informada pelo usuário.</t>
        </is>
      </c>
    </row>
    <row r="2896">
      <c r="A2896" s="6" t="inlineStr">
        <is>
          <t>Soja</t>
        </is>
      </c>
      <c r="B2896" s="6" t="inlineStr">
        <is>
          <t>Florianópolis - SC</t>
        </is>
      </c>
      <c r="C2896" s="6" t="n">
        <v>-27.5945</v>
      </c>
      <c r="D2896" s="6" t="n">
        <v>-48.5477</v>
      </c>
      <c r="E2896" s="6" t="inlineStr">
        <is>
          <t>2024-03</t>
        </is>
      </c>
      <c r="F2896" s="6" t="n">
        <v>208274.5892766543</v>
      </c>
      <c r="G2896" s="6" t="inlineStr">
        <is>
          <t>DOMESTICA</t>
        </is>
      </c>
      <c r="H2896" s="6" t="inlineStr">
        <is>
          <t>FIXO</t>
        </is>
      </c>
      <c r="I2896" s="11">
        <f>IF($H2896="AUTO_OFERTA_TOTAL_PRODUTO_PERIODO",SUMIFS(Oferta!$F:$F,Oferta!$A:$A,$A2896,Oferta!$E:$E,$E2896),$F2896)</f>
        <v/>
      </c>
      <c r="J2896" s="6" t="inlineStr">
        <is>
          <t>Informado</t>
        </is>
      </c>
      <c r="K2896" s="6" t="inlineStr">
        <is>
          <t>Demanda doméstica fixa informada pelo usuário.</t>
        </is>
      </c>
    </row>
    <row r="2897">
      <c r="A2897" s="6" t="inlineStr">
        <is>
          <t>Soja</t>
        </is>
      </c>
      <c r="B2897" s="6" t="inlineStr">
        <is>
          <t>Florianópolis - SC</t>
        </is>
      </c>
      <c r="C2897" s="6" t="n">
        <v>-27.5945</v>
      </c>
      <c r="D2897" s="6" t="n">
        <v>-48.5477</v>
      </c>
      <c r="E2897" s="6" t="inlineStr">
        <is>
          <t>2024-04</t>
        </is>
      </c>
      <c r="F2897" s="6" t="n">
        <v>365093.1035555468</v>
      </c>
      <c r="G2897" s="6" t="inlineStr">
        <is>
          <t>DOMESTICA</t>
        </is>
      </c>
      <c r="H2897" s="6" t="inlineStr">
        <is>
          <t>FIXO</t>
        </is>
      </c>
      <c r="I2897" s="11">
        <f>IF($H2897="AUTO_OFERTA_TOTAL_PRODUTO_PERIODO",SUMIFS(Oferta!$F:$F,Oferta!$A:$A,$A2897,Oferta!$E:$E,$E2897),$F2897)</f>
        <v/>
      </c>
      <c r="J2897" s="6" t="inlineStr">
        <is>
          <t>Informado</t>
        </is>
      </c>
      <c r="K2897" s="6" t="inlineStr">
        <is>
          <t>Demanda doméstica fixa informada pelo usuário.</t>
        </is>
      </c>
    </row>
    <row r="2898">
      <c r="A2898" s="6" t="inlineStr">
        <is>
          <t>Soja</t>
        </is>
      </c>
      <c r="B2898" s="6" t="inlineStr">
        <is>
          <t>Florianópolis - SC</t>
        </is>
      </c>
      <c r="C2898" s="6" t="n">
        <v>-27.5945</v>
      </c>
      <c r="D2898" s="6" t="n">
        <v>-48.5477</v>
      </c>
      <c r="E2898" s="6" t="inlineStr">
        <is>
          <t>2024-05</t>
        </is>
      </c>
      <c r="F2898" s="6" t="n">
        <v>521911.6178344394</v>
      </c>
      <c r="G2898" s="6" t="inlineStr">
        <is>
          <t>DOMESTICA</t>
        </is>
      </c>
      <c r="H2898" s="6" t="inlineStr">
        <is>
          <t>FIXO</t>
        </is>
      </c>
      <c r="I2898" s="11">
        <f>IF($H2898="AUTO_OFERTA_TOTAL_PRODUTO_PERIODO",SUMIFS(Oferta!$F:$F,Oferta!$A:$A,$A2898,Oferta!$E:$E,$E2898),$F2898)</f>
        <v/>
      </c>
      <c r="J2898" s="6" t="inlineStr">
        <is>
          <t>Informado</t>
        </is>
      </c>
      <c r="K2898" s="6" t="inlineStr">
        <is>
          <t>Demanda doméstica fixa informada pelo usuário.</t>
        </is>
      </c>
    </row>
    <row r="2899">
      <c r="A2899" s="6" t="inlineStr">
        <is>
          <t>Soja</t>
        </is>
      </c>
      <c r="B2899" s="6" t="inlineStr">
        <is>
          <t>Florianópolis - SC</t>
        </is>
      </c>
      <c r="C2899" s="6" t="n">
        <v>-27.5945</v>
      </c>
      <c r="D2899" s="6" t="n">
        <v>-48.5477</v>
      </c>
      <c r="E2899" s="6" t="inlineStr">
        <is>
          <t>2024-06</t>
        </is>
      </c>
      <c r="F2899" s="6" t="n">
        <v>521911.6178344394</v>
      </c>
      <c r="G2899" s="6" t="inlineStr">
        <is>
          <t>DOMESTICA</t>
        </is>
      </c>
      <c r="H2899" s="6" t="inlineStr">
        <is>
          <t>FIXO</t>
        </is>
      </c>
      <c r="I2899" s="11">
        <f>IF($H2899="AUTO_OFERTA_TOTAL_PRODUTO_PERIODO",SUMIFS(Oferta!$F:$F,Oferta!$A:$A,$A2899,Oferta!$E:$E,$E2899),$F2899)</f>
        <v/>
      </c>
      <c r="J2899" s="6" t="inlineStr">
        <is>
          <t>Informado</t>
        </is>
      </c>
      <c r="K2899" s="6" t="inlineStr">
        <is>
          <t>Demanda doméstica fixa informada pelo usuário.</t>
        </is>
      </c>
    </row>
    <row r="2900">
      <c r="A2900" s="6" t="inlineStr">
        <is>
          <t>Soja</t>
        </is>
      </c>
      <c r="B2900" s="6" t="inlineStr">
        <is>
          <t>Florianópolis - SC</t>
        </is>
      </c>
      <c r="C2900" s="6" t="n">
        <v>-27.5945</v>
      </c>
      <c r="D2900" s="6" t="n">
        <v>-48.5477</v>
      </c>
      <c r="E2900" s="6" t="inlineStr">
        <is>
          <t>2024-07</t>
        </is>
      </c>
      <c r="F2900" s="6" t="n">
        <v>365093.1035555468</v>
      </c>
      <c r="G2900" s="6" t="inlineStr">
        <is>
          <t>DOMESTICA</t>
        </is>
      </c>
      <c r="H2900" s="6" t="inlineStr">
        <is>
          <t>FIXO</t>
        </is>
      </c>
      <c r="I2900" s="11">
        <f>IF($H2900="AUTO_OFERTA_TOTAL_PRODUTO_PERIODO",SUMIFS(Oferta!$F:$F,Oferta!$A:$A,$A2900,Oferta!$E:$E,$E2900),$F2900)</f>
        <v/>
      </c>
      <c r="J2900" s="6" t="inlineStr">
        <is>
          <t>Informado</t>
        </is>
      </c>
      <c r="K2900" s="6" t="inlineStr">
        <is>
          <t>Demanda doméstica fixa informada pelo usuário.</t>
        </is>
      </c>
    </row>
    <row r="2901">
      <c r="A2901" s="6" t="inlineStr">
        <is>
          <t>Soja</t>
        </is>
      </c>
      <c r="B2901" s="6" t="inlineStr">
        <is>
          <t>Florianópolis - SC</t>
        </is>
      </c>
      <c r="C2901" s="6" t="n">
        <v>-27.5945</v>
      </c>
      <c r="D2901" s="6" t="n">
        <v>-48.5477</v>
      </c>
      <c r="E2901" s="6" t="inlineStr">
        <is>
          <t>2024-08</t>
        </is>
      </c>
      <c r="F2901" s="6" t="n">
        <v>208274.5892766543</v>
      </c>
      <c r="G2901" s="6" t="inlineStr">
        <is>
          <t>DOMESTICA</t>
        </is>
      </c>
      <c r="H2901" s="6" t="inlineStr">
        <is>
          <t>FIXO</t>
        </is>
      </c>
      <c r="I2901" s="11">
        <f>IF($H2901="AUTO_OFERTA_TOTAL_PRODUTO_PERIODO",SUMIFS(Oferta!$F:$F,Oferta!$A:$A,$A2901,Oferta!$E:$E,$E2901),$F2901)</f>
        <v/>
      </c>
      <c r="J2901" s="6" t="inlineStr">
        <is>
          <t>Informado</t>
        </is>
      </c>
      <c r="K2901" s="6" t="inlineStr">
        <is>
          <t>Demanda doméstica fixa informada pelo usuário.</t>
        </is>
      </c>
    </row>
    <row r="2902">
      <c r="A2902" s="6" t="inlineStr">
        <is>
          <t>Soja</t>
        </is>
      </c>
      <c r="B2902" s="6" t="inlineStr">
        <is>
          <t>Florianópolis - SC</t>
        </is>
      </c>
      <c r="C2902" s="6" t="n">
        <v>-27.5945</v>
      </c>
      <c r="D2902" s="6" t="n">
        <v>-48.5477</v>
      </c>
      <c r="E2902" s="6" t="inlineStr">
        <is>
          <t>2024-09</t>
        </is>
      </c>
      <c r="F2902" s="6" t="n">
        <v>129865.332137208</v>
      </c>
      <c r="G2902" s="6" t="inlineStr">
        <is>
          <t>DOMESTICA</t>
        </is>
      </c>
      <c r="H2902" s="6" t="inlineStr">
        <is>
          <t>FIXO</t>
        </is>
      </c>
      <c r="I2902" s="11">
        <f>IF($H2902="AUTO_OFERTA_TOTAL_PRODUTO_PERIODO",SUMIFS(Oferta!$F:$F,Oferta!$A:$A,$A2902,Oferta!$E:$E,$E2902),$F2902)</f>
        <v/>
      </c>
      <c r="J2902" s="6" t="inlineStr">
        <is>
          <t>Informado</t>
        </is>
      </c>
      <c r="K2902" s="6" t="inlineStr">
        <is>
          <t>Demanda doméstica fixa informada pelo usuário.</t>
        </is>
      </c>
    </row>
    <row r="2903">
      <c r="A2903" s="6" t="inlineStr">
        <is>
          <t>Soja</t>
        </is>
      </c>
      <c r="B2903" s="6" t="inlineStr">
        <is>
          <t>Florianópolis - SC</t>
        </is>
      </c>
      <c r="C2903" s="6" t="n">
        <v>-27.5945</v>
      </c>
      <c r="D2903" s="6" t="n">
        <v>-48.5477</v>
      </c>
      <c r="E2903" s="6" t="inlineStr">
        <is>
          <t>2024-10</t>
        </is>
      </c>
      <c r="F2903" s="6" t="n">
        <v>129865.332137208</v>
      </c>
      <c r="G2903" s="6" t="inlineStr">
        <is>
          <t>DOMESTICA</t>
        </is>
      </c>
      <c r="H2903" s="6" t="inlineStr">
        <is>
          <t>FIXO</t>
        </is>
      </c>
      <c r="I2903" s="11">
        <f>IF($H2903="AUTO_OFERTA_TOTAL_PRODUTO_PERIODO",SUMIFS(Oferta!$F:$F,Oferta!$A:$A,$A2903,Oferta!$E:$E,$E2903),$F2903)</f>
        <v/>
      </c>
      <c r="J2903" s="6" t="inlineStr">
        <is>
          <t>Informado</t>
        </is>
      </c>
      <c r="K2903" s="6" t="inlineStr">
        <is>
          <t>Demanda doméstica fixa informada pelo usuário.</t>
        </is>
      </c>
    </row>
    <row r="2904">
      <c r="A2904" s="6" t="inlineStr">
        <is>
          <t>Soja</t>
        </is>
      </c>
      <c r="B2904" s="6" t="inlineStr">
        <is>
          <t>Florianópolis - SC</t>
        </is>
      </c>
      <c r="C2904" s="6" t="n">
        <v>-27.5945</v>
      </c>
      <c r="D2904" s="6" t="n">
        <v>-48.5477</v>
      </c>
      <c r="E2904" s="6" t="inlineStr">
        <is>
          <t>2024-11</t>
        </is>
      </c>
      <c r="F2904" s="6" t="n">
        <v>129865.332137208</v>
      </c>
      <c r="G2904" s="6" t="inlineStr">
        <is>
          <t>DOMESTICA</t>
        </is>
      </c>
      <c r="H2904" s="6" t="inlineStr">
        <is>
          <t>FIXO</t>
        </is>
      </c>
      <c r="I2904" s="11">
        <f>IF($H2904="AUTO_OFERTA_TOTAL_PRODUTO_PERIODO",SUMIFS(Oferta!$F:$F,Oferta!$A:$A,$A2904,Oferta!$E:$E,$E2904),$F2904)</f>
        <v/>
      </c>
      <c r="J2904" s="6" t="inlineStr">
        <is>
          <t>Informado</t>
        </is>
      </c>
      <c r="K2904" s="6" t="inlineStr">
        <is>
          <t>Demanda doméstica fixa informada pelo usuário.</t>
        </is>
      </c>
    </row>
    <row r="2905">
      <c r="A2905" s="6" t="inlineStr">
        <is>
          <t>Soja</t>
        </is>
      </c>
      <c r="B2905" s="6" t="inlineStr">
        <is>
          <t>Florianópolis - SC</t>
        </is>
      </c>
      <c r="C2905" s="6" t="n">
        <v>-27.5945</v>
      </c>
      <c r="D2905" s="6" t="n">
        <v>-48.5477</v>
      </c>
      <c r="E2905" s="6" t="inlineStr">
        <is>
          <t>2024-12</t>
        </is>
      </c>
      <c r="F2905" s="6" t="n">
        <v>129865.332137208</v>
      </c>
      <c r="G2905" s="6" t="inlineStr">
        <is>
          <t>DOMESTICA</t>
        </is>
      </c>
      <c r="H2905" s="6" t="inlineStr">
        <is>
          <t>FIXO</t>
        </is>
      </c>
      <c r="I2905" s="11">
        <f>IF($H2905="AUTO_OFERTA_TOTAL_PRODUTO_PERIODO",SUMIFS(Oferta!$F:$F,Oferta!$A:$A,$A2905,Oferta!$E:$E,$E2905),$F2905)</f>
        <v/>
      </c>
      <c r="J2905" s="6" t="inlineStr">
        <is>
          <t>Informado</t>
        </is>
      </c>
      <c r="K2905" s="6" t="inlineStr">
        <is>
          <t>Demanda doméstica fixa informada pelo usuário.</t>
        </is>
      </c>
    </row>
    <row r="2906">
      <c r="A2906" s="6" t="inlineStr">
        <is>
          <t>Soja</t>
        </is>
      </c>
      <c r="B2906" s="6" t="inlineStr">
        <is>
          <t>Porto Alegre - RS</t>
        </is>
      </c>
      <c r="C2906" s="6" t="n">
        <v>-30.0318</v>
      </c>
      <c r="D2906" s="6" t="n">
        <v>-51.2065</v>
      </c>
      <c r="E2906" s="6" t="inlineStr">
        <is>
          <t>2024-01</t>
        </is>
      </c>
      <c r="F2906" s="6" t="n">
        <v>266285.3736994848</v>
      </c>
      <c r="G2906" s="6" t="inlineStr">
        <is>
          <t>DOMESTICA</t>
        </is>
      </c>
      <c r="H2906" s="6" t="inlineStr">
        <is>
          <t>FIXO</t>
        </is>
      </c>
      <c r="I2906" s="11">
        <f>IF($H2906="AUTO_OFERTA_TOTAL_PRODUTO_PERIODO",SUMIFS(Oferta!$F:$F,Oferta!$A:$A,$A2906,Oferta!$E:$E,$E2906),$F2906)</f>
        <v/>
      </c>
      <c r="J2906" s="6" t="inlineStr">
        <is>
          <t>Informado</t>
        </is>
      </c>
      <c r="K2906" s="6" t="inlineStr">
        <is>
          <t>Demanda doméstica fixa informada pelo usuário.</t>
        </is>
      </c>
    </row>
    <row r="2907">
      <c r="A2907" s="6" t="inlineStr">
        <is>
          <t>Soja</t>
        </is>
      </c>
      <c r="B2907" s="6" t="inlineStr">
        <is>
          <t>Porto Alegre - RS</t>
        </is>
      </c>
      <c r="C2907" s="6" t="n">
        <v>-30.0318</v>
      </c>
      <c r="D2907" s="6" t="n">
        <v>-51.2065</v>
      </c>
      <c r="E2907" s="6" t="inlineStr">
        <is>
          <t>2024-02</t>
        </is>
      </c>
      <c r="F2907" s="6" t="n">
        <v>346673.4110427254</v>
      </c>
      <c r="G2907" s="6" t="inlineStr">
        <is>
          <t>DOMESTICA</t>
        </is>
      </c>
      <c r="H2907" s="6" t="inlineStr">
        <is>
          <t>FIXO</t>
        </is>
      </c>
      <c r="I2907" s="11">
        <f>IF($H2907="AUTO_OFERTA_TOTAL_PRODUTO_PERIODO",SUMIFS(Oferta!$F:$F,Oferta!$A:$A,$A2907,Oferta!$E:$E,$E2907),$F2907)</f>
        <v/>
      </c>
      <c r="J2907" s="6" t="inlineStr">
        <is>
          <t>Informado</t>
        </is>
      </c>
      <c r="K2907" s="6" t="inlineStr">
        <is>
          <t>Demanda doméstica fixa informada pelo usuário.</t>
        </is>
      </c>
    </row>
    <row r="2908">
      <c r="A2908" s="6" t="inlineStr">
        <is>
          <t>Soja</t>
        </is>
      </c>
      <c r="B2908" s="6" t="inlineStr">
        <is>
          <t>Porto Alegre - RS</t>
        </is>
      </c>
      <c r="C2908" s="6" t="n">
        <v>-30.0318</v>
      </c>
      <c r="D2908" s="6" t="n">
        <v>-51.2065</v>
      </c>
      <c r="E2908" s="6" t="inlineStr">
        <is>
          <t>2024-03</t>
        </is>
      </c>
      <c r="F2908" s="6" t="n">
        <v>507449.4857292068</v>
      </c>
      <c r="G2908" s="6" t="inlineStr">
        <is>
          <t>DOMESTICA</t>
        </is>
      </c>
      <c r="H2908" s="6" t="inlineStr">
        <is>
          <t>FIXO</t>
        </is>
      </c>
      <c r="I2908" s="11">
        <f>IF($H2908="AUTO_OFERTA_TOTAL_PRODUTO_PERIODO",SUMIFS(Oferta!$F:$F,Oferta!$A:$A,$A2908,Oferta!$E:$E,$E2908),$F2908)</f>
        <v/>
      </c>
      <c r="J2908" s="6" t="inlineStr">
        <is>
          <t>Informado</t>
        </is>
      </c>
      <c r="K2908" s="6" t="inlineStr">
        <is>
          <t>Demanda doméstica fixa informada pelo usuário.</t>
        </is>
      </c>
    </row>
    <row r="2909">
      <c r="A2909" s="6" t="inlineStr">
        <is>
          <t>Soja</t>
        </is>
      </c>
      <c r="B2909" s="6" t="inlineStr">
        <is>
          <t>Porto Alegre - RS</t>
        </is>
      </c>
      <c r="C2909" s="6" t="n">
        <v>-30.0318</v>
      </c>
      <c r="D2909" s="6" t="n">
        <v>-51.2065</v>
      </c>
      <c r="E2909" s="6" t="inlineStr">
        <is>
          <t>2024-04</t>
        </is>
      </c>
      <c r="F2909" s="6" t="n">
        <v>989777.7097886512</v>
      </c>
      <c r="G2909" s="6" t="inlineStr">
        <is>
          <t>DOMESTICA</t>
        </is>
      </c>
      <c r="H2909" s="6" t="inlineStr">
        <is>
          <t>FIXO</t>
        </is>
      </c>
      <c r="I2909" s="11">
        <f>IF($H2909="AUTO_OFERTA_TOTAL_PRODUTO_PERIODO",SUMIFS(Oferta!$F:$F,Oferta!$A:$A,$A2909,Oferta!$E:$E,$E2909),$F2909)</f>
        <v/>
      </c>
      <c r="J2909" s="6" t="inlineStr">
        <is>
          <t>Informado</t>
        </is>
      </c>
      <c r="K2909" s="6" t="inlineStr">
        <is>
          <t>Demanda doméstica fixa informada pelo usuário.</t>
        </is>
      </c>
    </row>
    <row r="2910">
      <c r="A2910" s="6" t="inlineStr">
        <is>
          <t>Soja</t>
        </is>
      </c>
      <c r="B2910" s="6" t="inlineStr">
        <is>
          <t>Porto Alegre - RS</t>
        </is>
      </c>
      <c r="C2910" s="6" t="n">
        <v>-30.0318</v>
      </c>
      <c r="D2910" s="6" t="n">
        <v>-51.2065</v>
      </c>
      <c r="E2910" s="6" t="inlineStr">
        <is>
          <t>2024-05</t>
        </is>
      </c>
      <c r="F2910" s="6" t="n">
        <v>1070165.747131892</v>
      </c>
      <c r="G2910" s="6" t="inlineStr">
        <is>
          <t>DOMESTICA</t>
        </is>
      </c>
      <c r="H2910" s="6" t="inlineStr">
        <is>
          <t>FIXO</t>
        </is>
      </c>
      <c r="I2910" s="11">
        <f>IF($H2910="AUTO_OFERTA_TOTAL_PRODUTO_PERIODO",SUMIFS(Oferta!$F:$F,Oferta!$A:$A,$A2910,Oferta!$E:$E,$E2910),$F2910)</f>
        <v/>
      </c>
      <c r="J2910" s="6" t="inlineStr">
        <is>
          <t>Informado</t>
        </is>
      </c>
      <c r="K2910" s="6" t="inlineStr">
        <is>
          <t>Demanda doméstica fixa informada pelo usuário.</t>
        </is>
      </c>
    </row>
    <row r="2911">
      <c r="A2911" s="6" t="inlineStr">
        <is>
          <t>Soja</t>
        </is>
      </c>
      <c r="B2911" s="6" t="inlineStr">
        <is>
          <t>Porto Alegre - RS</t>
        </is>
      </c>
      <c r="C2911" s="6" t="n">
        <v>-30.0318</v>
      </c>
      <c r="D2911" s="6" t="n">
        <v>-51.2065</v>
      </c>
      <c r="E2911" s="6" t="inlineStr">
        <is>
          <t>2024-06</t>
        </is>
      </c>
      <c r="F2911" s="6" t="n">
        <v>989777.7097886512</v>
      </c>
      <c r="G2911" s="6" t="inlineStr">
        <is>
          <t>DOMESTICA</t>
        </is>
      </c>
      <c r="H2911" s="6" t="inlineStr">
        <is>
          <t>FIXO</t>
        </is>
      </c>
      <c r="I2911" s="11">
        <f>IF($H2911="AUTO_OFERTA_TOTAL_PRODUTO_PERIODO",SUMIFS(Oferta!$F:$F,Oferta!$A:$A,$A2911,Oferta!$E:$E,$E2911),$F2911)</f>
        <v/>
      </c>
      <c r="J2911" s="6" t="inlineStr">
        <is>
          <t>Informado</t>
        </is>
      </c>
      <c r="K2911" s="6" t="inlineStr">
        <is>
          <t>Demanda doméstica fixa informada pelo usuário.</t>
        </is>
      </c>
    </row>
    <row r="2912">
      <c r="A2912" s="6" t="inlineStr">
        <is>
          <t>Soja</t>
        </is>
      </c>
      <c r="B2912" s="6" t="inlineStr">
        <is>
          <t>Porto Alegre - RS</t>
        </is>
      </c>
      <c r="C2912" s="6" t="n">
        <v>-30.0318</v>
      </c>
      <c r="D2912" s="6" t="n">
        <v>-51.2065</v>
      </c>
      <c r="E2912" s="6" t="inlineStr">
        <is>
          <t>2024-07</t>
        </is>
      </c>
      <c r="F2912" s="6" t="n">
        <v>507449.4857292069</v>
      </c>
      <c r="G2912" s="6" t="inlineStr">
        <is>
          <t>DOMESTICA</t>
        </is>
      </c>
      <c r="H2912" s="6" t="inlineStr">
        <is>
          <t>FIXO</t>
        </is>
      </c>
      <c r="I2912" s="11">
        <f>IF($H2912="AUTO_OFERTA_TOTAL_PRODUTO_PERIODO",SUMIFS(Oferta!$F:$F,Oferta!$A:$A,$A2912,Oferta!$E:$E,$E2912),$F2912)</f>
        <v/>
      </c>
      <c r="J2912" s="6" t="inlineStr">
        <is>
          <t>Informado</t>
        </is>
      </c>
      <c r="K2912" s="6" t="inlineStr">
        <is>
          <t>Demanda doméstica fixa informada pelo usuário.</t>
        </is>
      </c>
    </row>
    <row r="2913">
      <c r="A2913" s="6" t="inlineStr">
        <is>
          <t>Soja</t>
        </is>
      </c>
      <c r="B2913" s="6" t="inlineStr">
        <is>
          <t>Porto Alegre - RS</t>
        </is>
      </c>
      <c r="C2913" s="6" t="n">
        <v>-30.0318</v>
      </c>
      <c r="D2913" s="6" t="n">
        <v>-51.2065</v>
      </c>
      <c r="E2913" s="6" t="inlineStr">
        <is>
          <t>2024-08</t>
        </is>
      </c>
      <c r="F2913" s="6" t="n">
        <v>346673.4110427254</v>
      </c>
      <c r="G2913" s="6" t="inlineStr">
        <is>
          <t>DOMESTICA</t>
        </is>
      </c>
      <c r="H2913" s="6" t="inlineStr">
        <is>
          <t>FIXO</t>
        </is>
      </c>
      <c r="I2913" s="11">
        <f>IF($H2913="AUTO_OFERTA_TOTAL_PRODUTO_PERIODO",SUMIFS(Oferta!$F:$F,Oferta!$A:$A,$A2913,Oferta!$E:$E,$E2913),$F2913)</f>
        <v/>
      </c>
      <c r="J2913" s="6" t="inlineStr">
        <is>
          <t>Informado</t>
        </is>
      </c>
      <c r="K2913" s="6" t="inlineStr">
        <is>
          <t>Demanda doméstica fixa informada pelo usuário.</t>
        </is>
      </c>
    </row>
    <row r="2914">
      <c r="A2914" s="6" t="inlineStr">
        <is>
          <t>Soja</t>
        </is>
      </c>
      <c r="B2914" s="6" t="inlineStr">
        <is>
          <t>Porto Alegre - RS</t>
        </is>
      </c>
      <c r="C2914" s="6" t="n">
        <v>-30.0318</v>
      </c>
      <c r="D2914" s="6" t="n">
        <v>-51.2065</v>
      </c>
      <c r="E2914" s="6" t="inlineStr">
        <is>
          <t>2024-09</t>
        </is>
      </c>
      <c r="F2914" s="6" t="n">
        <v>266285.3736994848</v>
      </c>
      <c r="G2914" s="6" t="inlineStr">
        <is>
          <t>DOMESTICA</t>
        </is>
      </c>
      <c r="H2914" s="6" t="inlineStr">
        <is>
          <t>FIXO</t>
        </is>
      </c>
      <c r="I2914" s="11">
        <f>IF($H2914="AUTO_OFERTA_TOTAL_PRODUTO_PERIODO",SUMIFS(Oferta!$F:$F,Oferta!$A:$A,$A2914,Oferta!$E:$E,$E2914),$F2914)</f>
        <v/>
      </c>
      <c r="J2914" s="6" t="inlineStr">
        <is>
          <t>Informado</t>
        </is>
      </c>
      <c r="K2914" s="6" t="inlineStr">
        <is>
          <t>Demanda doméstica fixa informada pelo usuário.</t>
        </is>
      </c>
    </row>
    <row r="2915">
      <c r="A2915" s="6" t="inlineStr">
        <is>
          <t>Soja</t>
        </is>
      </c>
      <c r="B2915" s="6" t="inlineStr">
        <is>
          <t>Porto Alegre - RS</t>
        </is>
      </c>
      <c r="C2915" s="6" t="n">
        <v>-30.0318</v>
      </c>
      <c r="D2915" s="6" t="n">
        <v>-51.2065</v>
      </c>
      <c r="E2915" s="6" t="inlineStr">
        <is>
          <t>2024-10</t>
        </is>
      </c>
      <c r="F2915" s="6" t="n">
        <v>266285.3736994848</v>
      </c>
      <c r="G2915" s="6" t="inlineStr">
        <is>
          <t>DOMESTICA</t>
        </is>
      </c>
      <c r="H2915" s="6" t="inlineStr">
        <is>
          <t>FIXO</t>
        </is>
      </c>
      <c r="I2915" s="11">
        <f>IF($H2915="AUTO_OFERTA_TOTAL_PRODUTO_PERIODO",SUMIFS(Oferta!$F:$F,Oferta!$A:$A,$A2915,Oferta!$E:$E,$E2915),$F2915)</f>
        <v/>
      </c>
      <c r="J2915" s="6" t="inlineStr">
        <is>
          <t>Informado</t>
        </is>
      </c>
      <c r="K2915" s="6" t="inlineStr">
        <is>
          <t>Demanda doméstica fixa informada pelo usuário.</t>
        </is>
      </c>
    </row>
    <row r="2916">
      <c r="A2916" s="6" t="inlineStr">
        <is>
          <t>Soja</t>
        </is>
      </c>
      <c r="B2916" s="6" t="inlineStr">
        <is>
          <t>Porto Alegre - RS</t>
        </is>
      </c>
      <c r="C2916" s="6" t="n">
        <v>-30.0318</v>
      </c>
      <c r="D2916" s="6" t="n">
        <v>-51.2065</v>
      </c>
      <c r="E2916" s="6" t="inlineStr">
        <is>
          <t>2024-11</t>
        </is>
      </c>
      <c r="F2916" s="6" t="n">
        <v>266285.3736994848</v>
      </c>
      <c r="G2916" s="6" t="inlineStr">
        <is>
          <t>DOMESTICA</t>
        </is>
      </c>
      <c r="H2916" s="6" t="inlineStr">
        <is>
          <t>FIXO</t>
        </is>
      </c>
      <c r="I2916" s="11">
        <f>IF($H2916="AUTO_OFERTA_TOTAL_PRODUTO_PERIODO",SUMIFS(Oferta!$F:$F,Oferta!$A:$A,$A2916,Oferta!$E:$E,$E2916),$F2916)</f>
        <v/>
      </c>
      <c r="J2916" s="6" t="inlineStr">
        <is>
          <t>Informado</t>
        </is>
      </c>
      <c r="K2916" s="6" t="inlineStr">
        <is>
          <t>Demanda doméstica fixa informada pelo usuário.</t>
        </is>
      </c>
    </row>
    <row r="2917">
      <c r="A2917" s="6" t="inlineStr">
        <is>
          <t>Soja</t>
        </is>
      </c>
      <c r="B2917" s="6" t="inlineStr">
        <is>
          <t>Porto Alegre - RS</t>
        </is>
      </c>
      <c r="C2917" s="6" t="n">
        <v>-30.0318</v>
      </c>
      <c r="D2917" s="6" t="n">
        <v>-51.2065</v>
      </c>
      <c r="E2917" s="6" t="inlineStr">
        <is>
          <t>2024-12</t>
        </is>
      </c>
      <c r="F2917" s="6" t="n">
        <v>266285.3736994848</v>
      </c>
      <c r="G2917" s="6" t="inlineStr">
        <is>
          <t>DOMESTICA</t>
        </is>
      </c>
      <c r="H2917" s="6" t="inlineStr">
        <is>
          <t>FIXO</t>
        </is>
      </c>
      <c r="I2917" s="11">
        <f>IF($H2917="AUTO_OFERTA_TOTAL_PRODUTO_PERIODO",SUMIFS(Oferta!$F:$F,Oferta!$A:$A,$A2917,Oferta!$E:$E,$E2917),$F2917)</f>
        <v/>
      </c>
      <c r="J2917" s="6" t="inlineStr">
        <is>
          <t>Informado</t>
        </is>
      </c>
      <c r="K2917" s="6" t="inlineStr">
        <is>
          <t>Demanda doméstica fixa informada pelo usuário.</t>
        </is>
      </c>
    </row>
    <row r="2918">
      <c r="A2918" s="6" t="inlineStr">
        <is>
          <t>Soja</t>
        </is>
      </c>
      <c r="B2918" s="6" t="inlineStr">
        <is>
          <t>Rio Branco - AC</t>
        </is>
      </c>
      <c r="C2918" s="6" t="n">
        <v>-9.97499</v>
      </c>
      <c r="D2918" s="6" t="n">
        <v>-67.82429999999999</v>
      </c>
      <c r="E2918" s="6" t="inlineStr">
        <is>
          <t>2025-01</t>
        </is>
      </c>
      <c r="F2918" s="6" t="n">
        <v>8562.3981677025</v>
      </c>
      <c r="G2918" s="6" t="inlineStr">
        <is>
          <t>DOMESTICA</t>
        </is>
      </c>
      <c r="H2918" s="6" t="inlineStr">
        <is>
          <t>FIXO</t>
        </is>
      </c>
      <c r="I2918" s="11">
        <f>IF($H2918="AUTO_OFERTA_TOTAL_PRODUTO_PERIODO",SUMIFS(Oferta!$F:$F,Oferta!$A:$A,$A2918,Oferta!$E:$E,$E2918),$F2918)</f>
        <v/>
      </c>
      <c r="J2918" s="6" t="inlineStr">
        <is>
          <t>Informado</t>
        </is>
      </c>
      <c r="K2918" s="6" t="inlineStr">
        <is>
          <t>Demanda doméstica fixa informada pelo usuário.</t>
        </is>
      </c>
    </row>
    <row r="2919">
      <c r="A2919" s="6" t="inlineStr">
        <is>
          <t>Soja</t>
        </is>
      </c>
      <c r="B2919" s="6" t="inlineStr">
        <is>
          <t>Rio Branco - AC</t>
        </is>
      </c>
      <c r="C2919" s="6" t="n">
        <v>-9.97499</v>
      </c>
      <c r="D2919" s="6" t="n">
        <v>-67.82429999999999</v>
      </c>
      <c r="E2919" s="6" t="inlineStr">
        <is>
          <t>2025-02</t>
        </is>
      </c>
      <c r="F2919" s="6" t="n">
        <v>8562.3981677025</v>
      </c>
      <c r="G2919" s="6" t="inlineStr">
        <is>
          <t>DOMESTICA</t>
        </is>
      </c>
      <c r="H2919" s="6" t="inlineStr">
        <is>
          <t>FIXO</t>
        </is>
      </c>
      <c r="I2919" s="11">
        <f>IF($H2919="AUTO_OFERTA_TOTAL_PRODUTO_PERIODO",SUMIFS(Oferta!$F:$F,Oferta!$A:$A,$A2919,Oferta!$E:$E,$E2919),$F2919)</f>
        <v/>
      </c>
      <c r="J2919" s="6" t="inlineStr">
        <is>
          <t>Informado</t>
        </is>
      </c>
      <c r="K2919" s="6" t="inlineStr">
        <is>
          <t>Demanda doméstica fixa informada pelo usuário.</t>
        </is>
      </c>
    </row>
    <row r="2920">
      <c r="A2920" s="6" t="inlineStr">
        <is>
          <t>Soja</t>
        </is>
      </c>
      <c r="B2920" s="6" t="inlineStr">
        <is>
          <t>Rio Branco - AC</t>
        </is>
      </c>
      <c r="C2920" s="6" t="n">
        <v>-9.97499</v>
      </c>
      <c r="D2920" s="6" t="n">
        <v>-67.82429999999999</v>
      </c>
      <c r="E2920" s="6" t="inlineStr">
        <is>
          <t>2025-03</t>
        </is>
      </c>
      <c r="F2920" s="6" t="n">
        <v>8562.3981677025</v>
      </c>
      <c r="G2920" s="6" t="inlineStr">
        <is>
          <t>DOMESTICA</t>
        </is>
      </c>
      <c r="H2920" s="6" t="inlineStr">
        <is>
          <t>FIXO</t>
        </is>
      </c>
      <c r="I2920" s="11">
        <f>IF($H2920="AUTO_OFERTA_TOTAL_PRODUTO_PERIODO",SUMIFS(Oferta!$F:$F,Oferta!$A:$A,$A2920,Oferta!$E:$E,$E2920),$F2920)</f>
        <v/>
      </c>
      <c r="J2920" s="6" t="inlineStr">
        <is>
          <t>Informado</t>
        </is>
      </c>
      <c r="K2920" s="6" t="inlineStr">
        <is>
          <t>Demanda doméstica fixa informada pelo usuário.</t>
        </is>
      </c>
    </row>
    <row r="2921">
      <c r="A2921" s="6" t="inlineStr">
        <is>
          <t>Soja</t>
        </is>
      </c>
      <c r="B2921" s="6" t="inlineStr">
        <is>
          <t>Rio Branco - AC</t>
        </is>
      </c>
      <c r="C2921" s="6" t="n">
        <v>-9.97499</v>
      </c>
      <c r="D2921" s="6" t="n">
        <v>-67.82429999999999</v>
      </c>
      <c r="E2921" s="6" t="inlineStr">
        <is>
          <t>2025-04</t>
        </is>
      </c>
      <c r="F2921" s="6" t="n">
        <v>8562.3981677025</v>
      </c>
      <c r="G2921" s="6" t="inlineStr">
        <is>
          <t>DOMESTICA</t>
        </is>
      </c>
      <c r="H2921" s="6" t="inlineStr">
        <is>
          <t>FIXO</t>
        </is>
      </c>
      <c r="I2921" s="11">
        <f>IF($H2921="AUTO_OFERTA_TOTAL_PRODUTO_PERIODO",SUMIFS(Oferta!$F:$F,Oferta!$A:$A,$A2921,Oferta!$E:$E,$E2921),$F2921)</f>
        <v/>
      </c>
      <c r="J2921" s="6" t="inlineStr">
        <is>
          <t>Informado</t>
        </is>
      </c>
      <c r="K2921" s="6" t="inlineStr">
        <is>
          <t>Demanda doméstica fixa informada pelo usuário.</t>
        </is>
      </c>
    </row>
    <row r="2922">
      <c r="A2922" s="6" t="inlineStr">
        <is>
          <t>Soja</t>
        </is>
      </c>
      <c r="B2922" s="6" t="inlineStr">
        <is>
          <t>Rio Branco - AC</t>
        </is>
      </c>
      <c r="C2922" s="6" t="n">
        <v>-9.97499</v>
      </c>
      <c r="D2922" s="6" t="n">
        <v>-67.82429999999999</v>
      </c>
      <c r="E2922" s="6" t="inlineStr">
        <is>
          <t>2025-05</t>
        </is>
      </c>
      <c r="F2922" s="6" t="n">
        <v>8562.3981677025</v>
      </c>
      <c r="G2922" s="6" t="inlineStr">
        <is>
          <t>DOMESTICA</t>
        </is>
      </c>
      <c r="H2922" s="6" t="inlineStr">
        <is>
          <t>FIXO</t>
        </is>
      </c>
      <c r="I2922" s="11">
        <f>IF($H2922="AUTO_OFERTA_TOTAL_PRODUTO_PERIODO",SUMIFS(Oferta!$F:$F,Oferta!$A:$A,$A2922,Oferta!$E:$E,$E2922),$F2922)</f>
        <v/>
      </c>
      <c r="J2922" s="6" t="inlineStr">
        <is>
          <t>Informado</t>
        </is>
      </c>
      <c r="K2922" s="6" t="inlineStr">
        <is>
          <t>Demanda doméstica fixa informada pelo usuário.</t>
        </is>
      </c>
    </row>
    <row r="2923">
      <c r="A2923" s="6" t="inlineStr">
        <is>
          <t>Soja</t>
        </is>
      </c>
      <c r="B2923" s="6" t="inlineStr">
        <is>
          <t>Rio Branco - AC</t>
        </is>
      </c>
      <c r="C2923" s="6" t="n">
        <v>-9.97499</v>
      </c>
      <c r="D2923" s="6" t="n">
        <v>-67.82429999999999</v>
      </c>
      <c r="E2923" s="6" t="inlineStr">
        <is>
          <t>2025-06</t>
        </is>
      </c>
      <c r="F2923" s="6" t="n">
        <v>8562.3981677025</v>
      </c>
      <c r="G2923" s="6" t="inlineStr">
        <is>
          <t>DOMESTICA</t>
        </is>
      </c>
      <c r="H2923" s="6" t="inlineStr">
        <is>
          <t>FIXO</t>
        </is>
      </c>
      <c r="I2923" s="11">
        <f>IF($H2923="AUTO_OFERTA_TOTAL_PRODUTO_PERIODO",SUMIFS(Oferta!$F:$F,Oferta!$A:$A,$A2923,Oferta!$E:$E,$E2923),$F2923)</f>
        <v/>
      </c>
      <c r="J2923" s="6" t="inlineStr">
        <is>
          <t>Informado</t>
        </is>
      </c>
      <c r="K2923" s="6" t="inlineStr">
        <is>
          <t>Demanda doméstica fixa informada pelo usuário.</t>
        </is>
      </c>
    </row>
    <row r="2924">
      <c r="A2924" s="6" t="inlineStr">
        <is>
          <t>Soja</t>
        </is>
      </c>
      <c r="B2924" s="6" t="inlineStr">
        <is>
          <t>Rio Branco - AC</t>
        </is>
      </c>
      <c r="C2924" s="6" t="n">
        <v>-9.97499</v>
      </c>
      <c r="D2924" s="6" t="n">
        <v>-67.82429999999999</v>
      </c>
      <c r="E2924" s="6" t="inlineStr">
        <is>
          <t>2025-07</t>
        </is>
      </c>
      <c r="F2924" s="6" t="n">
        <v>8562.3981677025</v>
      </c>
      <c r="G2924" s="6" t="inlineStr">
        <is>
          <t>DOMESTICA</t>
        </is>
      </c>
      <c r="H2924" s="6" t="inlineStr">
        <is>
          <t>FIXO</t>
        </is>
      </c>
      <c r="I2924" s="11">
        <f>IF($H2924="AUTO_OFERTA_TOTAL_PRODUTO_PERIODO",SUMIFS(Oferta!$F:$F,Oferta!$A:$A,$A2924,Oferta!$E:$E,$E2924),$F2924)</f>
        <v/>
      </c>
      <c r="J2924" s="6" t="inlineStr">
        <is>
          <t>Informado</t>
        </is>
      </c>
      <c r="K2924" s="6" t="inlineStr">
        <is>
          <t>Demanda doméstica fixa informada pelo usuário.</t>
        </is>
      </c>
    </row>
    <row r="2925">
      <c r="A2925" s="6" t="inlineStr">
        <is>
          <t>Soja</t>
        </is>
      </c>
      <c r="B2925" s="6" t="inlineStr">
        <is>
          <t>Rio Branco - AC</t>
        </is>
      </c>
      <c r="C2925" s="6" t="n">
        <v>-9.97499</v>
      </c>
      <c r="D2925" s="6" t="n">
        <v>-67.82429999999999</v>
      </c>
      <c r="E2925" s="6" t="inlineStr">
        <is>
          <t>2025-08</t>
        </is>
      </c>
      <c r="F2925" s="6" t="n">
        <v>8562.3981677025</v>
      </c>
      <c r="G2925" s="6" t="inlineStr">
        <is>
          <t>DOMESTICA</t>
        </is>
      </c>
      <c r="H2925" s="6" t="inlineStr">
        <is>
          <t>FIXO</t>
        </is>
      </c>
      <c r="I2925" s="11">
        <f>IF($H2925="AUTO_OFERTA_TOTAL_PRODUTO_PERIODO",SUMIFS(Oferta!$F:$F,Oferta!$A:$A,$A2925,Oferta!$E:$E,$E2925),$F2925)</f>
        <v/>
      </c>
      <c r="J2925" s="6" t="inlineStr">
        <is>
          <t>Informado</t>
        </is>
      </c>
      <c r="K2925" s="6" t="inlineStr">
        <is>
          <t>Demanda doméstica fixa informada pelo usuário.</t>
        </is>
      </c>
    </row>
    <row r="2926">
      <c r="A2926" s="6" t="inlineStr">
        <is>
          <t>Soja</t>
        </is>
      </c>
      <c r="B2926" s="6" t="inlineStr">
        <is>
          <t>Rio Branco - AC</t>
        </is>
      </c>
      <c r="C2926" s="6" t="n">
        <v>-9.97499</v>
      </c>
      <c r="D2926" s="6" t="n">
        <v>-67.82429999999999</v>
      </c>
      <c r="E2926" s="6" t="inlineStr">
        <is>
          <t>2025-09</t>
        </is>
      </c>
      <c r="F2926" s="6" t="n">
        <v>8562.3981677025</v>
      </c>
      <c r="G2926" s="6" t="inlineStr">
        <is>
          <t>DOMESTICA</t>
        </is>
      </c>
      <c r="H2926" s="6" t="inlineStr">
        <is>
          <t>FIXO</t>
        </is>
      </c>
      <c r="I2926" s="11">
        <f>IF($H2926="AUTO_OFERTA_TOTAL_PRODUTO_PERIODO",SUMIFS(Oferta!$F:$F,Oferta!$A:$A,$A2926,Oferta!$E:$E,$E2926),$F2926)</f>
        <v/>
      </c>
      <c r="J2926" s="6" t="inlineStr">
        <is>
          <t>Informado</t>
        </is>
      </c>
      <c r="K2926" s="6" t="inlineStr">
        <is>
          <t>Demanda doméstica fixa informada pelo usuário.</t>
        </is>
      </c>
    </row>
    <row r="2927">
      <c r="A2927" s="6" t="inlineStr">
        <is>
          <t>Soja</t>
        </is>
      </c>
      <c r="B2927" s="6" t="inlineStr">
        <is>
          <t>Rio Branco - AC</t>
        </is>
      </c>
      <c r="C2927" s="6" t="n">
        <v>-9.97499</v>
      </c>
      <c r="D2927" s="6" t="n">
        <v>-67.82429999999999</v>
      </c>
      <c r="E2927" s="6" t="inlineStr">
        <is>
          <t>2025-10</t>
        </is>
      </c>
      <c r="F2927" s="6" t="n">
        <v>8562.3981677025</v>
      </c>
      <c r="G2927" s="6" t="inlineStr">
        <is>
          <t>DOMESTICA</t>
        </is>
      </c>
      <c r="H2927" s="6" t="inlineStr">
        <is>
          <t>FIXO</t>
        </is>
      </c>
      <c r="I2927" s="11">
        <f>IF($H2927="AUTO_OFERTA_TOTAL_PRODUTO_PERIODO",SUMIFS(Oferta!$F:$F,Oferta!$A:$A,$A2927,Oferta!$E:$E,$E2927),$F2927)</f>
        <v/>
      </c>
      <c r="J2927" s="6" t="inlineStr">
        <is>
          <t>Informado</t>
        </is>
      </c>
      <c r="K2927" s="6" t="inlineStr">
        <is>
          <t>Demanda doméstica fixa informada pelo usuário.</t>
        </is>
      </c>
    </row>
    <row r="2928">
      <c r="A2928" s="6" t="inlineStr">
        <is>
          <t>Soja</t>
        </is>
      </c>
      <c r="B2928" s="6" t="inlineStr">
        <is>
          <t>Rio Branco - AC</t>
        </is>
      </c>
      <c r="C2928" s="6" t="n">
        <v>-9.97499</v>
      </c>
      <c r="D2928" s="6" t="n">
        <v>-67.82429999999999</v>
      </c>
      <c r="E2928" s="6" t="inlineStr">
        <is>
          <t>2025-11</t>
        </is>
      </c>
      <c r="F2928" s="6" t="n">
        <v>8562.3981677025</v>
      </c>
      <c r="G2928" s="6" t="inlineStr">
        <is>
          <t>DOMESTICA</t>
        </is>
      </c>
      <c r="H2928" s="6" t="inlineStr">
        <is>
          <t>FIXO</t>
        </is>
      </c>
      <c r="I2928" s="11">
        <f>IF($H2928="AUTO_OFERTA_TOTAL_PRODUTO_PERIODO",SUMIFS(Oferta!$F:$F,Oferta!$A:$A,$A2928,Oferta!$E:$E,$E2928),$F2928)</f>
        <v/>
      </c>
      <c r="J2928" s="6" t="inlineStr">
        <is>
          <t>Informado</t>
        </is>
      </c>
      <c r="K2928" s="6" t="inlineStr">
        <is>
          <t>Demanda doméstica fixa informada pelo usuário.</t>
        </is>
      </c>
    </row>
    <row r="2929">
      <c r="A2929" s="6" t="inlineStr">
        <is>
          <t>Soja</t>
        </is>
      </c>
      <c r="B2929" s="6" t="inlineStr">
        <is>
          <t>Rio Branco - AC</t>
        </is>
      </c>
      <c r="C2929" s="6" t="n">
        <v>-9.97499</v>
      </c>
      <c r="D2929" s="6" t="n">
        <v>-67.82429999999999</v>
      </c>
      <c r="E2929" s="6" t="inlineStr">
        <is>
          <t>2025-12</t>
        </is>
      </c>
      <c r="F2929" s="6" t="n">
        <v>8562.3981677025</v>
      </c>
      <c r="G2929" s="6" t="inlineStr">
        <is>
          <t>DOMESTICA</t>
        </is>
      </c>
      <c r="H2929" s="6" t="inlineStr">
        <is>
          <t>FIXO</t>
        </is>
      </c>
      <c r="I2929" s="11">
        <f>IF($H2929="AUTO_OFERTA_TOTAL_PRODUTO_PERIODO",SUMIFS(Oferta!$F:$F,Oferta!$A:$A,$A2929,Oferta!$E:$E,$E2929),$F2929)</f>
        <v/>
      </c>
      <c r="J2929" s="6" t="inlineStr">
        <is>
          <t>Informado</t>
        </is>
      </c>
      <c r="K2929" s="6" t="inlineStr">
        <is>
          <t>Demanda doméstica fixa informada pelo usuário.</t>
        </is>
      </c>
    </row>
    <row r="2930">
      <c r="A2930" s="6" t="inlineStr">
        <is>
          <t>Soja</t>
        </is>
      </c>
      <c r="B2930" s="6" t="inlineStr">
        <is>
          <t>Macapá - AP</t>
        </is>
      </c>
      <c r="C2930" s="6" t="n">
        <v>0.034934</v>
      </c>
      <c r="D2930" s="6" t="n">
        <v>-51.0694</v>
      </c>
      <c r="E2930" s="6" t="inlineStr">
        <is>
          <t>2025-01</t>
        </is>
      </c>
      <c r="F2930" s="6" t="n">
        <v>5815.9487897274</v>
      </c>
      <c r="G2930" s="6" t="inlineStr">
        <is>
          <t>DOMESTICA</t>
        </is>
      </c>
      <c r="H2930" s="6" t="inlineStr">
        <is>
          <t>FIXO</t>
        </is>
      </c>
      <c r="I2930" s="11">
        <f>IF($H2930="AUTO_OFERTA_TOTAL_PRODUTO_PERIODO",SUMIFS(Oferta!$F:$F,Oferta!$A:$A,$A2930,Oferta!$E:$E,$E2930),$F2930)</f>
        <v/>
      </c>
      <c r="J2930" s="6" t="inlineStr">
        <is>
          <t>Informado</t>
        </is>
      </c>
      <c r="K2930" s="6" t="inlineStr">
        <is>
          <t>Demanda doméstica fixa informada pelo usuário.</t>
        </is>
      </c>
    </row>
    <row r="2931">
      <c r="A2931" s="6" t="inlineStr">
        <is>
          <t>Soja</t>
        </is>
      </c>
      <c r="B2931" s="6" t="inlineStr">
        <is>
          <t>Macapá - AP</t>
        </is>
      </c>
      <c r="C2931" s="6" t="n">
        <v>0.034934</v>
      </c>
      <c r="D2931" s="6" t="n">
        <v>-51.0694</v>
      </c>
      <c r="E2931" s="6" t="inlineStr">
        <is>
          <t>2025-02</t>
        </is>
      </c>
      <c r="F2931" s="6" t="n">
        <v>5815.9487897274</v>
      </c>
      <c r="G2931" s="6" t="inlineStr">
        <is>
          <t>DOMESTICA</t>
        </is>
      </c>
      <c r="H2931" s="6" t="inlineStr">
        <is>
          <t>FIXO</t>
        </is>
      </c>
      <c r="I2931" s="11">
        <f>IF($H2931="AUTO_OFERTA_TOTAL_PRODUTO_PERIODO",SUMIFS(Oferta!$F:$F,Oferta!$A:$A,$A2931,Oferta!$E:$E,$E2931),$F2931)</f>
        <v/>
      </c>
      <c r="J2931" s="6" t="inlineStr">
        <is>
          <t>Informado</t>
        </is>
      </c>
      <c r="K2931" s="6" t="inlineStr">
        <is>
          <t>Demanda doméstica fixa informada pelo usuário.</t>
        </is>
      </c>
    </row>
    <row r="2932">
      <c r="A2932" s="6" t="inlineStr">
        <is>
          <t>Soja</t>
        </is>
      </c>
      <c r="B2932" s="6" t="inlineStr">
        <is>
          <t>Macapá - AP</t>
        </is>
      </c>
      <c r="C2932" s="6" t="n">
        <v>0.034934</v>
      </c>
      <c r="D2932" s="6" t="n">
        <v>-51.0694</v>
      </c>
      <c r="E2932" s="6" t="inlineStr">
        <is>
          <t>2025-03</t>
        </is>
      </c>
      <c r="F2932" s="6" t="n">
        <v>5815.9487897274</v>
      </c>
      <c r="G2932" s="6" t="inlineStr">
        <is>
          <t>DOMESTICA</t>
        </is>
      </c>
      <c r="H2932" s="6" t="inlineStr">
        <is>
          <t>FIXO</t>
        </is>
      </c>
      <c r="I2932" s="11">
        <f>IF($H2932="AUTO_OFERTA_TOTAL_PRODUTO_PERIODO",SUMIFS(Oferta!$F:$F,Oferta!$A:$A,$A2932,Oferta!$E:$E,$E2932),$F2932)</f>
        <v/>
      </c>
      <c r="J2932" s="6" t="inlineStr">
        <is>
          <t>Informado</t>
        </is>
      </c>
      <c r="K2932" s="6" t="inlineStr">
        <is>
          <t>Demanda doméstica fixa informada pelo usuário.</t>
        </is>
      </c>
    </row>
    <row r="2933">
      <c r="A2933" s="6" t="inlineStr">
        <is>
          <t>Soja</t>
        </is>
      </c>
      <c r="B2933" s="6" t="inlineStr">
        <is>
          <t>Macapá - AP</t>
        </is>
      </c>
      <c r="C2933" s="6" t="n">
        <v>0.034934</v>
      </c>
      <c r="D2933" s="6" t="n">
        <v>-51.0694</v>
      </c>
      <c r="E2933" s="6" t="inlineStr">
        <is>
          <t>2025-04</t>
        </is>
      </c>
      <c r="F2933" s="6" t="n">
        <v>5815.9487897274</v>
      </c>
      <c r="G2933" s="6" t="inlineStr">
        <is>
          <t>DOMESTICA</t>
        </is>
      </c>
      <c r="H2933" s="6" t="inlineStr">
        <is>
          <t>FIXO</t>
        </is>
      </c>
      <c r="I2933" s="11">
        <f>IF($H2933="AUTO_OFERTA_TOTAL_PRODUTO_PERIODO",SUMIFS(Oferta!$F:$F,Oferta!$A:$A,$A2933,Oferta!$E:$E,$E2933),$F2933)</f>
        <v/>
      </c>
      <c r="J2933" s="6" t="inlineStr">
        <is>
          <t>Informado</t>
        </is>
      </c>
      <c r="K2933" s="6" t="inlineStr">
        <is>
          <t>Demanda doméstica fixa informada pelo usuário.</t>
        </is>
      </c>
    </row>
    <row r="2934">
      <c r="A2934" s="6" t="inlineStr">
        <is>
          <t>Soja</t>
        </is>
      </c>
      <c r="B2934" s="6" t="inlineStr">
        <is>
          <t>Macapá - AP</t>
        </is>
      </c>
      <c r="C2934" s="6" t="n">
        <v>0.034934</v>
      </c>
      <c r="D2934" s="6" t="n">
        <v>-51.0694</v>
      </c>
      <c r="E2934" s="6" t="inlineStr">
        <is>
          <t>2025-05</t>
        </is>
      </c>
      <c r="F2934" s="6" t="n">
        <v>5815.9487897274</v>
      </c>
      <c r="G2934" s="6" t="inlineStr">
        <is>
          <t>DOMESTICA</t>
        </is>
      </c>
      <c r="H2934" s="6" t="inlineStr">
        <is>
          <t>FIXO</t>
        </is>
      </c>
      <c r="I2934" s="11">
        <f>IF($H2934="AUTO_OFERTA_TOTAL_PRODUTO_PERIODO",SUMIFS(Oferta!$F:$F,Oferta!$A:$A,$A2934,Oferta!$E:$E,$E2934),$F2934)</f>
        <v/>
      </c>
      <c r="J2934" s="6" t="inlineStr">
        <is>
          <t>Informado</t>
        </is>
      </c>
      <c r="K2934" s="6" t="inlineStr">
        <is>
          <t>Demanda doméstica fixa informada pelo usuário.</t>
        </is>
      </c>
    </row>
    <row r="2935">
      <c r="A2935" s="6" t="inlineStr">
        <is>
          <t>Soja</t>
        </is>
      </c>
      <c r="B2935" s="6" t="inlineStr">
        <is>
          <t>Macapá - AP</t>
        </is>
      </c>
      <c r="C2935" s="6" t="n">
        <v>0.034934</v>
      </c>
      <c r="D2935" s="6" t="n">
        <v>-51.0694</v>
      </c>
      <c r="E2935" s="6" t="inlineStr">
        <is>
          <t>2025-06</t>
        </is>
      </c>
      <c r="F2935" s="6" t="n">
        <v>5815.9487897274</v>
      </c>
      <c r="G2935" s="6" t="inlineStr">
        <is>
          <t>DOMESTICA</t>
        </is>
      </c>
      <c r="H2935" s="6" t="inlineStr">
        <is>
          <t>FIXO</t>
        </is>
      </c>
      <c r="I2935" s="11">
        <f>IF($H2935="AUTO_OFERTA_TOTAL_PRODUTO_PERIODO",SUMIFS(Oferta!$F:$F,Oferta!$A:$A,$A2935,Oferta!$E:$E,$E2935),$F2935)</f>
        <v/>
      </c>
      <c r="J2935" s="6" t="inlineStr">
        <is>
          <t>Informado</t>
        </is>
      </c>
      <c r="K2935" s="6" t="inlineStr">
        <is>
          <t>Demanda doméstica fixa informada pelo usuário.</t>
        </is>
      </c>
    </row>
    <row r="2936">
      <c r="A2936" s="6" t="inlineStr">
        <is>
          <t>Soja</t>
        </is>
      </c>
      <c r="B2936" s="6" t="inlineStr">
        <is>
          <t>Macapá - AP</t>
        </is>
      </c>
      <c r="C2936" s="6" t="n">
        <v>0.034934</v>
      </c>
      <c r="D2936" s="6" t="n">
        <v>-51.0694</v>
      </c>
      <c r="E2936" s="6" t="inlineStr">
        <is>
          <t>2025-07</t>
        </is>
      </c>
      <c r="F2936" s="6" t="n">
        <v>5815.9487897274</v>
      </c>
      <c r="G2936" s="6" t="inlineStr">
        <is>
          <t>DOMESTICA</t>
        </is>
      </c>
      <c r="H2936" s="6" t="inlineStr">
        <is>
          <t>FIXO</t>
        </is>
      </c>
      <c r="I2936" s="11">
        <f>IF($H2936="AUTO_OFERTA_TOTAL_PRODUTO_PERIODO",SUMIFS(Oferta!$F:$F,Oferta!$A:$A,$A2936,Oferta!$E:$E,$E2936),$F2936)</f>
        <v/>
      </c>
      <c r="J2936" s="6" t="inlineStr">
        <is>
          <t>Informado</t>
        </is>
      </c>
      <c r="K2936" s="6" t="inlineStr">
        <is>
          <t>Demanda doméstica fixa informada pelo usuário.</t>
        </is>
      </c>
    </row>
    <row r="2937">
      <c r="A2937" s="6" t="inlineStr">
        <is>
          <t>Soja</t>
        </is>
      </c>
      <c r="B2937" s="6" t="inlineStr">
        <is>
          <t>Macapá - AP</t>
        </is>
      </c>
      <c r="C2937" s="6" t="n">
        <v>0.034934</v>
      </c>
      <c r="D2937" s="6" t="n">
        <v>-51.0694</v>
      </c>
      <c r="E2937" s="6" t="inlineStr">
        <is>
          <t>2025-08</t>
        </is>
      </c>
      <c r="F2937" s="6" t="n">
        <v>5815.9487897274</v>
      </c>
      <c r="G2937" s="6" t="inlineStr">
        <is>
          <t>DOMESTICA</t>
        </is>
      </c>
      <c r="H2937" s="6" t="inlineStr">
        <is>
          <t>FIXO</t>
        </is>
      </c>
      <c r="I2937" s="11">
        <f>IF($H2937="AUTO_OFERTA_TOTAL_PRODUTO_PERIODO",SUMIFS(Oferta!$F:$F,Oferta!$A:$A,$A2937,Oferta!$E:$E,$E2937),$F2937)</f>
        <v/>
      </c>
      <c r="J2937" s="6" t="inlineStr">
        <is>
          <t>Informado</t>
        </is>
      </c>
      <c r="K2937" s="6" t="inlineStr">
        <is>
          <t>Demanda doméstica fixa informada pelo usuário.</t>
        </is>
      </c>
    </row>
    <row r="2938">
      <c r="A2938" s="6" t="inlineStr">
        <is>
          <t>Soja</t>
        </is>
      </c>
      <c r="B2938" s="6" t="inlineStr">
        <is>
          <t>Macapá - AP</t>
        </is>
      </c>
      <c r="C2938" s="6" t="n">
        <v>0.034934</v>
      </c>
      <c r="D2938" s="6" t="n">
        <v>-51.0694</v>
      </c>
      <c r="E2938" s="6" t="inlineStr">
        <is>
          <t>2025-09</t>
        </is>
      </c>
      <c r="F2938" s="6" t="n">
        <v>5815.9487897274</v>
      </c>
      <c r="G2938" s="6" t="inlineStr">
        <is>
          <t>DOMESTICA</t>
        </is>
      </c>
      <c r="H2938" s="6" t="inlineStr">
        <is>
          <t>FIXO</t>
        </is>
      </c>
      <c r="I2938" s="11">
        <f>IF($H2938="AUTO_OFERTA_TOTAL_PRODUTO_PERIODO",SUMIFS(Oferta!$F:$F,Oferta!$A:$A,$A2938,Oferta!$E:$E,$E2938),$F2938)</f>
        <v/>
      </c>
      <c r="J2938" s="6" t="inlineStr">
        <is>
          <t>Informado</t>
        </is>
      </c>
      <c r="K2938" s="6" t="inlineStr">
        <is>
          <t>Demanda doméstica fixa informada pelo usuário.</t>
        </is>
      </c>
    </row>
    <row r="2939">
      <c r="A2939" s="6" t="inlineStr">
        <is>
          <t>Soja</t>
        </is>
      </c>
      <c r="B2939" s="6" t="inlineStr">
        <is>
          <t>Macapá - AP</t>
        </is>
      </c>
      <c r="C2939" s="6" t="n">
        <v>0.034934</v>
      </c>
      <c r="D2939" s="6" t="n">
        <v>-51.0694</v>
      </c>
      <c r="E2939" s="6" t="inlineStr">
        <is>
          <t>2025-10</t>
        </is>
      </c>
      <c r="F2939" s="6" t="n">
        <v>5815.9487897274</v>
      </c>
      <c r="G2939" s="6" t="inlineStr">
        <is>
          <t>DOMESTICA</t>
        </is>
      </c>
      <c r="H2939" s="6" t="inlineStr">
        <is>
          <t>FIXO</t>
        </is>
      </c>
      <c r="I2939" s="11">
        <f>IF($H2939="AUTO_OFERTA_TOTAL_PRODUTO_PERIODO",SUMIFS(Oferta!$F:$F,Oferta!$A:$A,$A2939,Oferta!$E:$E,$E2939),$F2939)</f>
        <v/>
      </c>
      <c r="J2939" s="6" t="inlineStr">
        <is>
          <t>Informado</t>
        </is>
      </c>
      <c r="K2939" s="6" t="inlineStr">
        <is>
          <t>Demanda doméstica fixa informada pelo usuário.</t>
        </is>
      </c>
    </row>
    <row r="2940">
      <c r="A2940" s="6" t="inlineStr">
        <is>
          <t>Soja</t>
        </is>
      </c>
      <c r="B2940" s="6" t="inlineStr">
        <is>
          <t>Macapá - AP</t>
        </is>
      </c>
      <c r="C2940" s="6" t="n">
        <v>0.034934</v>
      </c>
      <c r="D2940" s="6" t="n">
        <v>-51.0694</v>
      </c>
      <c r="E2940" s="6" t="inlineStr">
        <is>
          <t>2025-11</t>
        </is>
      </c>
      <c r="F2940" s="6" t="n">
        <v>5815.9487897274</v>
      </c>
      <c r="G2940" s="6" t="inlineStr">
        <is>
          <t>DOMESTICA</t>
        </is>
      </c>
      <c r="H2940" s="6" t="inlineStr">
        <is>
          <t>FIXO</t>
        </is>
      </c>
      <c r="I2940" s="11">
        <f>IF($H2940="AUTO_OFERTA_TOTAL_PRODUTO_PERIODO",SUMIFS(Oferta!$F:$F,Oferta!$A:$A,$A2940,Oferta!$E:$E,$E2940),$F2940)</f>
        <v/>
      </c>
      <c r="J2940" s="6" t="inlineStr">
        <is>
          <t>Informado</t>
        </is>
      </c>
      <c r="K2940" s="6" t="inlineStr">
        <is>
          <t>Demanda doméstica fixa informada pelo usuário.</t>
        </is>
      </c>
    </row>
    <row r="2941">
      <c r="A2941" s="6" t="inlineStr">
        <is>
          <t>Soja</t>
        </is>
      </c>
      <c r="B2941" s="6" t="inlineStr">
        <is>
          <t>Macapá - AP</t>
        </is>
      </c>
      <c r="C2941" s="6" t="n">
        <v>0.034934</v>
      </c>
      <c r="D2941" s="6" t="n">
        <v>-51.0694</v>
      </c>
      <c r="E2941" s="6" t="inlineStr">
        <is>
          <t>2025-12</t>
        </is>
      </c>
      <c r="F2941" s="6" t="n">
        <v>5815.9487897274</v>
      </c>
      <c r="G2941" s="6" t="inlineStr">
        <is>
          <t>DOMESTICA</t>
        </is>
      </c>
      <c r="H2941" s="6" t="inlineStr">
        <is>
          <t>FIXO</t>
        </is>
      </c>
      <c r="I2941" s="11">
        <f>IF($H2941="AUTO_OFERTA_TOTAL_PRODUTO_PERIODO",SUMIFS(Oferta!$F:$F,Oferta!$A:$A,$A2941,Oferta!$E:$E,$E2941),$F2941)</f>
        <v/>
      </c>
      <c r="J2941" s="6" t="inlineStr">
        <is>
          <t>Informado</t>
        </is>
      </c>
      <c r="K2941" s="6" t="inlineStr">
        <is>
          <t>Demanda doméstica fixa informada pelo usuário.</t>
        </is>
      </c>
    </row>
    <row r="2942">
      <c r="A2942" s="6" t="inlineStr">
        <is>
          <t>Soja</t>
        </is>
      </c>
      <c r="B2942" s="6" t="inlineStr">
        <is>
          <t>Manaus - AM</t>
        </is>
      </c>
      <c r="C2942" s="6" t="n">
        <v>-3.11866</v>
      </c>
      <c r="D2942" s="6" t="n">
        <v>-60.0212</v>
      </c>
      <c r="E2942" s="6" t="inlineStr">
        <is>
          <t>2025-01</t>
        </is>
      </c>
      <c r="F2942" s="6" t="n">
        <v>38449.7947679757</v>
      </c>
      <c r="G2942" s="6" t="inlineStr">
        <is>
          <t>DOMESTICA</t>
        </is>
      </c>
      <c r="H2942" s="6" t="inlineStr">
        <is>
          <t>FIXO</t>
        </is>
      </c>
      <c r="I2942" s="11">
        <f>IF($H2942="AUTO_OFERTA_TOTAL_PRODUTO_PERIODO",SUMIFS(Oferta!$F:$F,Oferta!$A:$A,$A2942,Oferta!$E:$E,$E2942),$F2942)</f>
        <v/>
      </c>
      <c r="J2942" s="6" t="inlineStr">
        <is>
          <t>Informado</t>
        </is>
      </c>
      <c r="K2942" s="6" t="inlineStr">
        <is>
          <t>Demanda doméstica fixa informada pelo usuário.</t>
        </is>
      </c>
    </row>
    <row r="2943">
      <c r="A2943" s="6" t="inlineStr">
        <is>
          <t>Soja</t>
        </is>
      </c>
      <c r="B2943" s="6" t="inlineStr">
        <is>
          <t>Manaus - AM</t>
        </is>
      </c>
      <c r="C2943" s="6" t="n">
        <v>-3.11866</v>
      </c>
      <c r="D2943" s="6" t="n">
        <v>-60.0212</v>
      </c>
      <c r="E2943" s="6" t="inlineStr">
        <is>
          <t>2025-02</t>
        </is>
      </c>
      <c r="F2943" s="6" t="n">
        <v>74113.3725237792</v>
      </c>
      <c r="G2943" s="6" t="inlineStr">
        <is>
          <t>DOMESTICA</t>
        </is>
      </c>
      <c r="H2943" s="6" t="inlineStr">
        <is>
          <t>FIXO</t>
        </is>
      </c>
      <c r="I2943" s="11">
        <f>IF($H2943="AUTO_OFERTA_TOTAL_PRODUTO_PERIODO",SUMIFS(Oferta!$F:$F,Oferta!$A:$A,$A2943,Oferta!$E:$E,$E2943),$F2943)</f>
        <v/>
      </c>
      <c r="J2943" s="6" t="inlineStr">
        <is>
          <t>Informado</t>
        </is>
      </c>
      <c r="K2943" s="6" t="inlineStr">
        <is>
          <t>Demanda doméstica fixa informada pelo usuário.</t>
        </is>
      </c>
    </row>
    <row r="2944">
      <c r="A2944" s="6" t="inlineStr">
        <is>
          <t>Soja</t>
        </is>
      </c>
      <c r="B2944" s="6" t="inlineStr">
        <is>
          <t>Manaus - AM</t>
        </is>
      </c>
      <c r="C2944" s="6" t="n">
        <v>-3.11866</v>
      </c>
      <c r="D2944" s="6" t="n">
        <v>-60.0212</v>
      </c>
      <c r="E2944" s="6" t="inlineStr">
        <is>
          <t>2025-03</t>
        </is>
      </c>
      <c r="F2944" s="6" t="n">
        <v>109776.9502795827</v>
      </c>
      <c r="G2944" s="6" t="inlineStr">
        <is>
          <t>DOMESTICA</t>
        </is>
      </c>
      <c r="H2944" s="6" t="inlineStr">
        <is>
          <t>FIXO</t>
        </is>
      </c>
      <c r="I2944" s="11">
        <f>IF($H2944="AUTO_OFERTA_TOTAL_PRODUTO_PERIODO",SUMIFS(Oferta!$F:$F,Oferta!$A:$A,$A2944,Oferta!$E:$E,$E2944),$F2944)</f>
        <v/>
      </c>
      <c r="J2944" s="6" t="inlineStr">
        <is>
          <t>Informado</t>
        </is>
      </c>
      <c r="K2944" s="6" t="inlineStr">
        <is>
          <t>Demanda doméstica fixa informada pelo usuário.</t>
        </is>
      </c>
    </row>
    <row r="2945">
      <c r="A2945" s="6" t="inlineStr">
        <is>
          <t>Soja</t>
        </is>
      </c>
      <c r="B2945" s="6" t="inlineStr">
        <is>
          <t>Manaus - AM</t>
        </is>
      </c>
      <c r="C2945" s="6" t="n">
        <v>-3.11866</v>
      </c>
      <c r="D2945" s="6" t="n">
        <v>-60.0212</v>
      </c>
      <c r="E2945" s="6" t="inlineStr">
        <is>
          <t>2025-04</t>
        </is>
      </c>
      <c r="F2945" s="6" t="n">
        <v>118692.8447185336</v>
      </c>
      <c r="G2945" s="6" t="inlineStr">
        <is>
          <t>DOMESTICA</t>
        </is>
      </c>
      <c r="H2945" s="6" t="inlineStr">
        <is>
          <t>FIXO</t>
        </is>
      </c>
      <c r="I2945" s="11">
        <f>IF($H2945="AUTO_OFERTA_TOTAL_PRODUTO_PERIODO",SUMIFS(Oferta!$F:$F,Oferta!$A:$A,$A2945,Oferta!$E:$E,$E2945),$F2945)</f>
        <v/>
      </c>
      <c r="J2945" s="6" t="inlineStr">
        <is>
          <t>Informado</t>
        </is>
      </c>
      <c r="K2945" s="6" t="inlineStr">
        <is>
          <t>Demanda doméstica fixa informada pelo usuário.</t>
        </is>
      </c>
    </row>
    <row r="2946">
      <c r="A2946" s="6" t="inlineStr">
        <is>
          <t>Soja</t>
        </is>
      </c>
      <c r="B2946" s="6" t="inlineStr">
        <is>
          <t>Manaus - AM</t>
        </is>
      </c>
      <c r="C2946" s="6" t="n">
        <v>-3.11866</v>
      </c>
      <c r="D2946" s="6" t="n">
        <v>-60.0212</v>
      </c>
      <c r="E2946" s="6" t="inlineStr">
        <is>
          <t>2025-05</t>
        </is>
      </c>
      <c r="F2946" s="6" t="n">
        <v>83029.26696273001</v>
      </c>
      <c r="G2946" s="6" t="inlineStr">
        <is>
          <t>DOMESTICA</t>
        </is>
      </c>
      <c r="H2946" s="6" t="inlineStr">
        <is>
          <t>FIXO</t>
        </is>
      </c>
      <c r="I2946" s="11">
        <f>IF($H2946="AUTO_OFERTA_TOTAL_PRODUTO_PERIODO",SUMIFS(Oferta!$F:$F,Oferta!$A:$A,$A2946,Oferta!$E:$E,$E2946),$F2946)</f>
        <v/>
      </c>
      <c r="J2946" s="6" t="inlineStr">
        <is>
          <t>Informado</t>
        </is>
      </c>
      <c r="K2946" s="6" t="inlineStr">
        <is>
          <t>Demanda doméstica fixa informada pelo usuário.</t>
        </is>
      </c>
    </row>
    <row r="2947">
      <c r="A2947" s="6" t="inlineStr">
        <is>
          <t>Soja</t>
        </is>
      </c>
      <c r="B2947" s="6" t="inlineStr">
        <is>
          <t>Manaus - AM</t>
        </is>
      </c>
      <c r="C2947" s="6" t="n">
        <v>-3.11866</v>
      </c>
      <c r="D2947" s="6" t="n">
        <v>-60.0212</v>
      </c>
      <c r="E2947" s="6" t="inlineStr">
        <is>
          <t>2025-06</t>
        </is>
      </c>
      <c r="F2947" s="6" t="n">
        <v>47365.6892069265</v>
      </c>
      <c r="G2947" s="6" t="inlineStr">
        <is>
          <t>DOMESTICA</t>
        </is>
      </c>
      <c r="H2947" s="6" t="inlineStr">
        <is>
          <t>FIXO</t>
        </is>
      </c>
      <c r="I2947" s="11">
        <f>IF($H2947="AUTO_OFERTA_TOTAL_PRODUTO_PERIODO",SUMIFS(Oferta!$F:$F,Oferta!$A:$A,$A2947,Oferta!$E:$E,$E2947),$F2947)</f>
        <v/>
      </c>
      <c r="J2947" s="6" t="inlineStr">
        <is>
          <t>Informado</t>
        </is>
      </c>
      <c r="K2947" s="6" t="inlineStr">
        <is>
          <t>Demanda doméstica fixa informada pelo usuário.</t>
        </is>
      </c>
    </row>
    <row r="2948">
      <c r="A2948" s="6" t="inlineStr">
        <is>
          <t>Soja</t>
        </is>
      </c>
      <c r="B2948" s="6" t="inlineStr">
        <is>
          <t>Manaus - AM</t>
        </is>
      </c>
      <c r="C2948" s="6" t="n">
        <v>-3.11866</v>
      </c>
      <c r="D2948" s="6" t="n">
        <v>-60.0212</v>
      </c>
      <c r="E2948" s="6" t="inlineStr">
        <is>
          <t>2025-07</t>
        </is>
      </c>
      <c r="F2948" s="6" t="n">
        <v>29533.9003290248</v>
      </c>
      <c r="G2948" s="6" t="inlineStr">
        <is>
          <t>DOMESTICA</t>
        </is>
      </c>
      <c r="H2948" s="6" t="inlineStr">
        <is>
          <t>FIXO</t>
        </is>
      </c>
      <c r="I2948" s="11">
        <f>IF($H2948="AUTO_OFERTA_TOTAL_PRODUTO_PERIODO",SUMIFS(Oferta!$F:$F,Oferta!$A:$A,$A2948,Oferta!$E:$E,$E2948),$F2948)</f>
        <v/>
      </c>
      <c r="J2948" s="6" t="inlineStr">
        <is>
          <t>Informado</t>
        </is>
      </c>
      <c r="K2948" s="6" t="inlineStr">
        <is>
          <t>Demanda doméstica fixa informada pelo usuário.</t>
        </is>
      </c>
    </row>
    <row r="2949">
      <c r="A2949" s="6" t="inlineStr">
        <is>
          <t>Soja</t>
        </is>
      </c>
      <c r="B2949" s="6" t="inlineStr">
        <is>
          <t>Manaus - AM</t>
        </is>
      </c>
      <c r="C2949" s="6" t="n">
        <v>-3.11866</v>
      </c>
      <c r="D2949" s="6" t="n">
        <v>-60.0212</v>
      </c>
      <c r="E2949" s="6" t="inlineStr">
        <is>
          <t>2025-08</t>
        </is>
      </c>
      <c r="F2949" s="6" t="n">
        <v>29533.9003290248</v>
      </c>
      <c r="G2949" s="6" t="inlineStr">
        <is>
          <t>DOMESTICA</t>
        </is>
      </c>
      <c r="H2949" s="6" t="inlineStr">
        <is>
          <t>FIXO</t>
        </is>
      </c>
      <c r="I2949" s="11">
        <f>IF($H2949="AUTO_OFERTA_TOTAL_PRODUTO_PERIODO",SUMIFS(Oferta!$F:$F,Oferta!$A:$A,$A2949,Oferta!$E:$E,$E2949),$F2949)</f>
        <v/>
      </c>
      <c r="J2949" s="6" t="inlineStr">
        <is>
          <t>Informado</t>
        </is>
      </c>
      <c r="K2949" s="6" t="inlineStr">
        <is>
          <t>Demanda doméstica fixa informada pelo usuário.</t>
        </is>
      </c>
    </row>
    <row r="2950">
      <c r="A2950" s="6" t="inlineStr">
        <is>
          <t>Soja</t>
        </is>
      </c>
      <c r="B2950" s="6" t="inlineStr">
        <is>
          <t>Manaus - AM</t>
        </is>
      </c>
      <c r="C2950" s="6" t="n">
        <v>-3.11866</v>
      </c>
      <c r="D2950" s="6" t="n">
        <v>-60.0212</v>
      </c>
      <c r="E2950" s="6" t="inlineStr">
        <is>
          <t>2025-09</t>
        </is>
      </c>
      <c r="F2950" s="6" t="n">
        <v>29533.9003290248</v>
      </c>
      <c r="G2950" s="6" t="inlineStr">
        <is>
          <t>DOMESTICA</t>
        </is>
      </c>
      <c r="H2950" s="6" t="inlineStr">
        <is>
          <t>FIXO</t>
        </is>
      </c>
      <c r="I2950" s="11">
        <f>IF($H2950="AUTO_OFERTA_TOTAL_PRODUTO_PERIODO",SUMIFS(Oferta!$F:$F,Oferta!$A:$A,$A2950,Oferta!$E:$E,$E2950),$F2950)</f>
        <v/>
      </c>
      <c r="J2950" s="6" t="inlineStr">
        <is>
          <t>Informado</t>
        </is>
      </c>
      <c r="K2950" s="6" t="inlineStr">
        <is>
          <t>Demanda doméstica fixa informada pelo usuário.</t>
        </is>
      </c>
    </row>
    <row r="2951">
      <c r="A2951" s="6" t="inlineStr">
        <is>
          <t>Soja</t>
        </is>
      </c>
      <c r="B2951" s="6" t="inlineStr">
        <is>
          <t>Manaus - AM</t>
        </is>
      </c>
      <c r="C2951" s="6" t="n">
        <v>-3.11866</v>
      </c>
      <c r="D2951" s="6" t="n">
        <v>-60.0212</v>
      </c>
      <c r="E2951" s="6" t="inlineStr">
        <is>
          <t>2025-10</t>
        </is>
      </c>
      <c r="F2951" s="6" t="n">
        <v>29533.9003290248</v>
      </c>
      <c r="G2951" s="6" t="inlineStr">
        <is>
          <t>DOMESTICA</t>
        </is>
      </c>
      <c r="H2951" s="6" t="inlineStr">
        <is>
          <t>FIXO</t>
        </is>
      </c>
      <c r="I2951" s="11">
        <f>IF($H2951="AUTO_OFERTA_TOTAL_PRODUTO_PERIODO",SUMIFS(Oferta!$F:$F,Oferta!$A:$A,$A2951,Oferta!$E:$E,$E2951),$F2951)</f>
        <v/>
      </c>
      <c r="J2951" s="6" t="inlineStr">
        <is>
          <t>Informado</t>
        </is>
      </c>
      <c r="K2951" s="6" t="inlineStr">
        <is>
          <t>Demanda doméstica fixa informada pelo usuário.</t>
        </is>
      </c>
    </row>
    <row r="2952">
      <c r="A2952" s="6" t="inlineStr">
        <is>
          <t>Soja</t>
        </is>
      </c>
      <c r="B2952" s="6" t="inlineStr">
        <is>
          <t>Manaus - AM</t>
        </is>
      </c>
      <c r="C2952" s="6" t="n">
        <v>-3.11866</v>
      </c>
      <c r="D2952" s="6" t="n">
        <v>-60.0212</v>
      </c>
      <c r="E2952" s="6" t="inlineStr">
        <is>
          <t>2025-11</t>
        </is>
      </c>
      <c r="F2952" s="6" t="n">
        <v>29533.9003290248</v>
      </c>
      <c r="G2952" s="6" t="inlineStr">
        <is>
          <t>DOMESTICA</t>
        </is>
      </c>
      <c r="H2952" s="6" t="inlineStr">
        <is>
          <t>FIXO</t>
        </is>
      </c>
      <c r="I2952" s="11">
        <f>IF($H2952="AUTO_OFERTA_TOTAL_PRODUTO_PERIODO",SUMIFS(Oferta!$F:$F,Oferta!$A:$A,$A2952,Oferta!$E:$E,$E2952),$F2952)</f>
        <v/>
      </c>
      <c r="J2952" s="6" t="inlineStr">
        <is>
          <t>Informado</t>
        </is>
      </c>
      <c r="K2952" s="6" t="inlineStr">
        <is>
          <t>Demanda doméstica fixa informada pelo usuário.</t>
        </is>
      </c>
    </row>
    <row r="2953">
      <c r="A2953" s="6" t="inlineStr">
        <is>
          <t>Soja</t>
        </is>
      </c>
      <c r="B2953" s="6" t="inlineStr">
        <is>
          <t>Manaus - AM</t>
        </is>
      </c>
      <c r="C2953" s="6" t="n">
        <v>-3.11866</v>
      </c>
      <c r="D2953" s="6" t="n">
        <v>-60.0212</v>
      </c>
      <c r="E2953" s="6" t="inlineStr">
        <is>
          <t>2025-12</t>
        </is>
      </c>
      <c r="F2953" s="6" t="n">
        <v>29533.9003290248</v>
      </c>
      <c r="G2953" s="6" t="inlineStr">
        <is>
          <t>DOMESTICA</t>
        </is>
      </c>
      <c r="H2953" s="6" t="inlineStr">
        <is>
          <t>FIXO</t>
        </is>
      </c>
      <c r="I2953" s="11">
        <f>IF($H2953="AUTO_OFERTA_TOTAL_PRODUTO_PERIODO",SUMIFS(Oferta!$F:$F,Oferta!$A:$A,$A2953,Oferta!$E:$E,$E2953),$F2953)</f>
        <v/>
      </c>
      <c r="J2953" s="6" t="inlineStr">
        <is>
          <t>Informado</t>
        </is>
      </c>
      <c r="K2953" s="6" t="inlineStr">
        <is>
          <t>Demanda doméstica fixa informada pelo usuário.</t>
        </is>
      </c>
    </row>
    <row r="2954">
      <c r="A2954" s="6" t="inlineStr">
        <is>
          <t>Soja</t>
        </is>
      </c>
      <c r="B2954" s="6" t="inlineStr">
        <is>
          <t>Belém - PA</t>
        </is>
      </c>
      <c r="C2954" s="6" t="n">
        <v>-1.4554</v>
      </c>
      <c r="D2954" s="6" t="n">
        <v>-48.4898</v>
      </c>
      <c r="E2954" s="6" t="inlineStr">
        <is>
          <t>2025-01</t>
        </is>
      </c>
      <c r="F2954" s="6" t="n">
        <v>60543.3601718275</v>
      </c>
      <c r="G2954" s="6" t="inlineStr">
        <is>
          <t>DOMESTICA</t>
        </is>
      </c>
      <c r="H2954" s="6" t="inlineStr">
        <is>
          <t>FIXO</t>
        </is>
      </c>
      <c r="I2954" s="11">
        <f>IF($H2954="AUTO_OFERTA_TOTAL_PRODUTO_PERIODO",SUMIFS(Oferta!$F:$F,Oferta!$A:$A,$A2954,Oferta!$E:$E,$E2954),$F2954)</f>
        <v/>
      </c>
      <c r="J2954" s="6" t="inlineStr">
        <is>
          <t>Informado</t>
        </is>
      </c>
      <c r="K2954" s="6" t="inlineStr">
        <is>
          <t>Demanda doméstica fixa informada pelo usuário.</t>
        </is>
      </c>
    </row>
    <row r="2955">
      <c r="A2955" s="6" t="inlineStr">
        <is>
          <t>Soja</t>
        </is>
      </c>
      <c r="B2955" s="6" t="inlineStr">
        <is>
          <t>Belém - PA</t>
        </is>
      </c>
      <c r="C2955" s="6" t="n">
        <v>-1.4554</v>
      </c>
      <c r="D2955" s="6" t="n">
        <v>-48.4898</v>
      </c>
      <c r="E2955" s="6" t="inlineStr">
        <is>
          <t>2025-02</t>
        </is>
      </c>
      <c r="F2955" s="6" t="n">
        <v>60543.3601718275</v>
      </c>
      <c r="G2955" s="6" t="inlineStr">
        <is>
          <t>DOMESTICA</t>
        </is>
      </c>
      <c r="H2955" s="6" t="inlineStr">
        <is>
          <t>FIXO</t>
        </is>
      </c>
      <c r="I2955" s="11">
        <f>IF($H2955="AUTO_OFERTA_TOTAL_PRODUTO_PERIODO",SUMIFS(Oferta!$F:$F,Oferta!$A:$A,$A2955,Oferta!$E:$E,$E2955),$F2955)</f>
        <v/>
      </c>
      <c r="J2955" s="6" t="inlineStr">
        <is>
          <t>Informado</t>
        </is>
      </c>
      <c r="K2955" s="6" t="inlineStr">
        <is>
          <t>Demanda doméstica fixa informada pelo usuário.</t>
        </is>
      </c>
    </row>
    <row r="2956">
      <c r="A2956" s="6" t="inlineStr">
        <is>
          <t>Soja</t>
        </is>
      </c>
      <c r="B2956" s="6" t="inlineStr">
        <is>
          <t>Belém - PA</t>
        </is>
      </c>
      <c r="C2956" s="6" t="n">
        <v>-1.4554</v>
      </c>
      <c r="D2956" s="6" t="n">
        <v>-48.4898</v>
      </c>
      <c r="E2956" s="6" t="inlineStr">
        <is>
          <t>2025-03</t>
        </is>
      </c>
      <c r="F2956" s="6" t="n">
        <v>60543.3601718275</v>
      </c>
      <c r="G2956" s="6" t="inlineStr">
        <is>
          <t>DOMESTICA</t>
        </is>
      </c>
      <c r="H2956" s="6" t="inlineStr">
        <is>
          <t>FIXO</t>
        </is>
      </c>
      <c r="I2956" s="11">
        <f>IF($H2956="AUTO_OFERTA_TOTAL_PRODUTO_PERIODO",SUMIFS(Oferta!$F:$F,Oferta!$A:$A,$A2956,Oferta!$E:$E,$E2956),$F2956)</f>
        <v/>
      </c>
      <c r="J2956" s="6" t="inlineStr">
        <is>
          <t>Informado</t>
        </is>
      </c>
      <c r="K2956" s="6" t="inlineStr">
        <is>
          <t>Demanda doméstica fixa informada pelo usuário.</t>
        </is>
      </c>
    </row>
    <row r="2957">
      <c r="A2957" s="6" t="inlineStr">
        <is>
          <t>Soja</t>
        </is>
      </c>
      <c r="B2957" s="6" t="inlineStr">
        <is>
          <t>Belém - PA</t>
        </is>
      </c>
      <c r="C2957" s="6" t="n">
        <v>-1.4554</v>
      </c>
      <c r="D2957" s="6" t="n">
        <v>-48.4898</v>
      </c>
      <c r="E2957" s="6" t="inlineStr">
        <is>
          <t>2025-04</t>
        </is>
      </c>
      <c r="F2957" s="6" t="n">
        <v>60543.3601718275</v>
      </c>
      <c r="G2957" s="6" t="inlineStr">
        <is>
          <t>DOMESTICA</t>
        </is>
      </c>
      <c r="H2957" s="6" t="inlineStr">
        <is>
          <t>FIXO</t>
        </is>
      </c>
      <c r="I2957" s="11">
        <f>IF($H2957="AUTO_OFERTA_TOTAL_PRODUTO_PERIODO",SUMIFS(Oferta!$F:$F,Oferta!$A:$A,$A2957,Oferta!$E:$E,$E2957),$F2957)</f>
        <v/>
      </c>
      <c r="J2957" s="6" t="inlineStr">
        <is>
          <t>Informado</t>
        </is>
      </c>
      <c r="K2957" s="6" t="inlineStr">
        <is>
          <t>Demanda doméstica fixa informada pelo usuário.</t>
        </is>
      </c>
    </row>
    <row r="2958">
      <c r="A2958" s="6" t="inlineStr">
        <is>
          <t>Soja</t>
        </is>
      </c>
      <c r="B2958" s="6" t="inlineStr">
        <is>
          <t>Belém - PA</t>
        </is>
      </c>
      <c r="C2958" s="6" t="n">
        <v>-1.4554</v>
      </c>
      <c r="D2958" s="6" t="n">
        <v>-48.4898</v>
      </c>
      <c r="E2958" s="6" t="inlineStr">
        <is>
          <t>2025-05</t>
        </is>
      </c>
      <c r="F2958" s="6" t="n">
        <v>60543.3601718275</v>
      </c>
      <c r="G2958" s="6" t="inlineStr">
        <is>
          <t>DOMESTICA</t>
        </is>
      </c>
      <c r="H2958" s="6" t="inlineStr">
        <is>
          <t>FIXO</t>
        </is>
      </c>
      <c r="I2958" s="11">
        <f>IF($H2958="AUTO_OFERTA_TOTAL_PRODUTO_PERIODO",SUMIFS(Oferta!$F:$F,Oferta!$A:$A,$A2958,Oferta!$E:$E,$E2958),$F2958)</f>
        <v/>
      </c>
      <c r="J2958" s="6" t="inlineStr">
        <is>
          <t>Informado</t>
        </is>
      </c>
      <c r="K2958" s="6" t="inlineStr">
        <is>
          <t>Demanda doméstica fixa informada pelo usuário.</t>
        </is>
      </c>
    </row>
    <row r="2959">
      <c r="A2959" s="6" t="inlineStr">
        <is>
          <t>Soja</t>
        </is>
      </c>
      <c r="B2959" s="6" t="inlineStr">
        <is>
          <t>Belém - PA</t>
        </is>
      </c>
      <c r="C2959" s="6" t="n">
        <v>-1.4554</v>
      </c>
      <c r="D2959" s="6" t="n">
        <v>-48.4898</v>
      </c>
      <c r="E2959" s="6" t="inlineStr">
        <is>
          <t>2025-06</t>
        </is>
      </c>
      <c r="F2959" s="6" t="n">
        <v>60543.3601718275</v>
      </c>
      <c r="G2959" s="6" t="inlineStr">
        <is>
          <t>DOMESTICA</t>
        </is>
      </c>
      <c r="H2959" s="6" t="inlineStr">
        <is>
          <t>FIXO</t>
        </is>
      </c>
      <c r="I2959" s="11">
        <f>IF($H2959="AUTO_OFERTA_TOTAL_PRODUTO_PERIODO",SUMIFS(Oferta!$F:$F,Oferta!$A:$A,$A2959,Oferta!$E:$E,$E2959),$F2959)</f>
        <v/>
      </c>
      <c r="J2959" s="6" t="inlineStr">
        <is>
          <t>Informado</t>
        </is>
      </c>
      <c r="K2959" s="6" t="inlineStr">
        <is>
          <t>Demanda doméstica fixa informada pelo usuário.</t>
        </is>
      </c>
    </row>
    <row r="2960">
      <c r="A2960" s="6" t="inlineStr">
        <is>
          <t>Soja</t>
        </is>
      </c>
      <c r="B2960" s="6" t="inlineStr">
        <is>
          <t>Belém - PA</t>
        </is>
      </c>
      <c r="C2960" s="6" t="n">
        <v>-1.4554</v>
      </c>
      <c r="D2960" s="6" t="n">
        <v>-48.4898</v>
      </c>
      <c r="E2960" s="6" t="inlineStr">
        <is>
          <t>2025-07</t>
        </is>
      </c>
      <c r="F2960" s="6" t="n">
        <v>97097.8417850064</v>
      </c>
      <c r="G2960" s="6" t="inlineStr">
        <is>
          <t>DOMESTICA</t>
        </is>
      </c>
      <c r="H2960" s="6" t="inlineStr">
        <is>
          <t>FIXO</t>
        </is>
      </c>
      <c r="I2960" s="11">
        <f>IF($H2960="AUTO_OFERTA_TOTAL_PRODUTO_PERIODO",SUMIFS(Oferta!$F:$F,Oferta!$A:$A,$A2960,Oferta!$E:$E,$E2960),$F2960)</f>
        <v/>
      </c>
      <c r="J2960" s="6" t="inlineStr">
        <is>
          <t>Informado</t>
        </is>
      </c>
      <c r="K2960" s="6" t="inlineStr">
        <is>
          <t>Demanda doméstica fixa informada pelo usuário.</t>
        </is>
      </c>
    </row>
    <row r="2961">
      <c r="A2961" s="6" t="inlineStr">
        <is>
          <t>Soja</t>
        </is>
      </c>
      <c r="B2961" s="6" t="inlineStr">
        <is>
          <t>Belém - PA</t>
        </is>
      </c>
      <c r="C2961" s="6" t="n">
        <v>-1.4554</v>
      </c>
      <c r="D2961" s="6" t="n">
        <v>-48.4898</v>
      </c>
      <c r="E2961" s="6" t="inlineStr">
        <is>
          <t>2025-08</t>
        </is>
      </c>
      <c r="F2961" s="6" t="n">
        <v>206761.2866245431</v>
      </c>
      <c r="G2961" s="6" t="inlineStr">
        <is>
          <t>DOMESTICA</t>
        </is>
      </c>
      <c r="H2961" s="6" t="inlineStr">
        <is>
          <t>FIXO</t>
        </is>
      </c>
      <c r="I2961" s="11">
        <f>IF($H2961="AUTO_OFERTA_TOTAL_PRODUTO_PERIODO",SUMIFS(Oferta!$F:$F,Oferta!$A:$A,$A2961,Oferta!$E:$E,$E2961),$F2961)</f>
        <v/>
      </c>
      <c r="J2961" s="6" t="inlineStr">
        <is>
          <t>Informado</t>
        </is>
      </c>
      <c r="K2961" s="6" t="inlineStr">
        <is>
          <t>Demanda doméstica fixa informada pelo usuário.</t>
        </is>
      </c>
    </row>
    <row r="2962">
      <c r="A2962" s="6" t="inlineStr">
        <is>
          <t>Soja</t>
        </is>
      </c>
      <c r="B2962" s="6" t="inlineStr">
        <is>
          <t>Belém - PA</t>
        </is>
      </c>
      <c r="C2962" s="6" t="n">
        <v>-1.4554</v>
      </c>
      <c r="D2962" s="6" t="n">
        <v>-48.4898</v>
      </c>
      <c r="E2962" s="6" t="inlineStr">
        <is>
          <t>2025-09</t>
        </is>
      </c>
      <c r="F2962" s="6" t="n">
        <v>243315.7682377219</v>
      </c>
      <c r="G2962" s="6" t="inlineStr">
        <is>
          <t>DOMESTICA</t>
        </is>
      </c>
      <c r="H2962" s="6" t="inlineStr">
        <is>
          <t>FIXO</t>
        </is>
      </c>
      <c r="I2962" s="11">
        <f>IF($H2962="AUTO_OFERTA_TOTAL_PRODUTO_PERIODO",SUMIFS(Oferta!$F:$F,Oferta!$A:$A,$A2962,Oferta!$E:$E,$E2962),$F2962)</f>
        <v/>
      </c>
      <c r="J2962" s="6" t="inlineStr">
        <is>
          <t>Informado</t>
        </is>
      </c>
      <c r="K2962" s="6" t="inlineStr">
        <is>
          <t>Demanda doméstica fixa informada pelo usuário.</t>
        </is>
      </c>
    </row>
    <row r="2963">
      <c r="A2963" s="6" t="inlineStr">
        <is>
          <t>Soja</t>
        </is>
      </c>
      <c r="B2963" s="6" t="inlineStr">
        <is>
          <t>Belém - PA</t>
        </is>
      </c>
      <c r="C2963" s="6" t="n">
        <v>-1.4554</v>
      </c>
      <c r="D2963" s="6" t="n">
        <v>-48.4898</v>
      </c>
      <c r="E2963" s="6" t="inlineStr">
        <is>
          <t>2025-10</t>
        </is>
      </c>
      <c r="F2963" s="6" t="n">
        <v>206761.2866245431</v>
      </c>
      <c r="G2963" s="6" t="inlineStr">
        <is>
          <t>DOMESTICA</t>
        </is>
      </c>
      <c r="H2963" s="6" t="inlineStr">
        <is>
          <t>FIXO</t>
        </is>
      </c>
      <c r="I2963" s="11">
        <f>IF($H2963="AUTO_OFERTA_TOTAL_PRODUTO_PERIODO",SUMIFS(Oferta!$F:$F,Oferta!$A:$A,$A2963,Oferta!$E:$E,$E2963),$F2963)</f>
        <v/>
      </c>
      <c r="J2963" s="6" t="inlineStr">
        <is>
          <t>Informado</t>
        </is>
      </c>
      <c r="K2963" s="6" t="inlineStr">
        <is>
          <t>Demanda doméstica fixa informada pelo usuário.</t>
        </is>
      </c>
    </row>
    <row r="2964">
      <c r="A2964" s="6" t="inlineStr">
        <is>
          <t>Soja</t>
        </is>
      </c>
      <c r="B2964" s="6" t="inlineStr">
        <is>
          <t>Belém - PA</t>
        </is>
      </c>
      <c r="C2964" s="6" t="n">
        <v>-1.4554</v>
      </c>
      <c r="D2964" s="6" t="n">
        <v>-48.4898</v>
      </c>
      <c r="E2964" s="6" t="inlineStr">
        <is>
          <t>2025-11</t>
        </is>
      </c>
      <c r="F2964" s="6" t="n">
        <v>97097.8417850064</v>
      </c>
      <c r="G2964" s="6" t="inlineStr">
        <is>
          <t>DOMESTICA</t>
        </is>
      </c>
      <c r="H2964" s="6" t="inlineStr">
        <is>
          <t>FIXO</t>
        </is>
      </c>
      <c r="I2964" s="11">
        <f>IF($H2964="AUTO_OFERTA_TOTAL_PRODUTO_PERIODO",SUMIFS(Oferta!$F:$F,Oferta!$A:$A,$A2964,Oferta!$E:$E,$E2964),$F2964)</f>
        <v/>
      </c>
      <c r="J2964" s="6" t="inlineStr">
        <is>
          <t>Informado</t>
        </is>
      </c>
      <c r="K2964" s="6" t="inlineStr">
        <is>
          <t>Demanda doméstica fixa informada pelo usuário.</t>
        </is>
      </c>
    </row>
    <row r="2965">
      <c r="A2965" s="6" t="inlineStr">
        <is>
          <t>Soja</t>
        </is>
      </c>
      <c r="B2965" s="6" t="inlineStr">
        <is>
          <t>Belém - PA</t>
        </is>
      </c>
      <c r="C2965" s="6" t="n">
        <v>-1.4554</v>
      </c>
      <c r="D2965" s="6" t="n">
        <v>-48.4898</v>
      </c>
      <c r="E2965" s="6" t="inlineStr">
        <is>
          <t>2025-12</t>
        </is>
      </c>
      <c r="F2965" s="6" t="n">
        <v>60543.3601718275</v>
      </c>
      <c r="G2965" s="6" t="inlineStr">
        <is>
          <t>DOMESTICA</t>
        </is>
      </c>
      <c r="H2965" s="6" t="inlineStr">
        <is>
          <t>FIXO</t>
        </is>
      </c>
      <c r="I2965" s="11">
        <f>IF($H2965="AUTO_OFERTA_TOTAL_PRODUTO_PERIODO",SUMIFS(Oferta!$F:$F,Oferta!$A:$A,$A2965,Oferta!$E:$E,$E2965),$F2965)</f>
        <v/>
      </c>
      <c r="J2965" s="6" t="inlineStr">
        <is>
          <t>Informado</t>
        </is>
      </c>
      <c r="K2965" s="6" t="inlineStr">
        <is>
          <t>Demanda doméstica fixa informada pelo usuário.</t>
        </is>
      </c>
    </row>
    <row r="2966">
      <c r="A2966" s="6" t="inlineStr">
        <is>
          <t>Soja</t>
        </is>
      </c>
      <c r="B2966" s="6" t="inlineStr">
        <is>
          <t>Porto Velho - RO</t>
        </is>
      </c>
      <c r="C2966" s="6" t="n">
        <v>-8.760770000000001</v>
      </c>
      <c r="D2966" s="6" t="n">
        <v>-63.8999</v>
      </c>
      <c r="E2966" s="6" t="inlineStr">
        <is>
          <t>2025-01</t>
        </is>
      </c>
      <c r="F2966" s="6" t="n">
        <v>22752.977296039</v>
      </c>
      <c r="G2966" s="6" t="inlineStr">
        <is>
          <t>DOMESTICA</t>
        </is>
      </c>
      <c r="H2966" s="6" t="inlineStr">
        <is>
          <t>FIXO</t>
        </is>
      </c>
      <c r="I2966" s="11">
        <f>IF($H2966="AUTO_OFERTA_TOTAL_PRODUTO_PERIODO",SUMIFS(Oferta!$F:$F,Oferta!$A:$A,$A2966,Oferta!$E:$E,$E2966),$F2966)</f>
        <v/>
      </c>
      <c r="J2966" s="6" t="inlineStr">
        <is>
          <t>Informado</t>
        </is>
      </c>
      <c r="K2966" s="6" t="inlineStr">
        <is>
          <t>Demanda doméstica fixa informada pelo usuário.</t>
        </is>
      </c>
    </row>
    <row r="2967">
      <c r="A2967" s="6" t="inlineStr">
        <is>
          <t>Soja</t>
        </is>
      </c>
      <c r="B2967" s="6" t="inlineStr">
        <is>
          <t>Porto Velho - RO</t>
        </is>
      </c>
      <c r="C2967" s="6" t="n">
        <v>-8.760770000000001</v>
      </c>
      <c r="D2967" s="6" t="n">
        <v>-63.8999</v>
      </c>
      <c r="E2967" s="6" t="inlineStr">
        <is>
          <t>2025-02</t>
        </is>
      </c>
      <c r="F2967" s="6" t="n">
        <v>22752.977296039</v>
      </c>
      <c r="G2967" s="6" t="inlineStr">
        <is>
          <t>DOMESTICA</t>
        </is>
      </c>
      <c r="H2967" s="6" t="inlineStr">
        <is>
          <t>FIXO</t>
        </is>
      </c>
      <c r="I2967" s="11">
        <f>IF($H2967="AUTO_OFERTA_TOTAL_PRODUTO_PERIODO",SUMIFS(Oferta!$F:$F,Oferta!$A:$A,$A2967,Oferta!$E:$E,$E2967),$F2967)</f>
        <v/>
      </c>
      <c r="J2967" s="6" t="inlineStr">
        <is>
          <t>Informado</t>
        </is>
      </c>
      <c r="K2967" s="6" t="inlineStr">
        <is>
          <t>Demanda doméstica fixa informada pelo usuário.</t>
        </is>
      </c>
    </row>
    <row r="2968">
      <c r="A2968" s="6" t="inlineStr">
        <is>
          <t>Soja</t>
        </is>
      </c>
      <c r="B2968" s="6" t="inlineStr">
        <is>
          <t>Porto Velho - RO</t>
        </is>
      </c>
      <c r="C2968" s="6" t="n">
        <v>-8.760770000000001</v>
      </c>
      <c r="D2968" s="6" t="n">
        <v>-63.8999</v>
      </c>
      <c r="E2968" s="6" t="inlineStr">
        <is>
          <t>2025-03</t>
        </is>
      </c>
      <c r="F2968" s="6" t="n">
        <v>29621.8006306922</v>
      </c>
      <c r="G2968" s="6" t="inlineStr">
        <is>
          <t>DOMESTICA</t>
        </is>
      </c>
      <c r="H2968" s="6" t="inlineStr">
        <is>
          <t>FIXO</t>
        </is>
      </c>
      <c r="I2968" s="11">
        <f>IF($H2968="AUTO_OFERTA_TOTAL_PRODUTO_PERIODO",SUMIFS(Oferta!$F:$F,Oferta!$A:$A,$A2968,Oferta!$E:$E,$E2968),$F2968)</f>
        <v/>
      </c>
      <c r="J2968" s="6" t="inlineStr">
        <is>
          <t>Informado</t>
        </is>
      </c>
      <c r="K2968" s="6" t="inlineStr">
        <is>
          <t>Demanda doméstica fixa informada pelo usuário.</t>
        </is>
      </c>
    </row>
    <row r="2969">
      <c r="A2969" s="6" t="inlineStr">
        <is>
          <t>Soja</t>
        </is>
      </c>
      <c r="B2969" s="6" t="inlineStr">
        <is>
          <t>Porto Velho - RO</t>
        </is>
      </c>
      <c r="C2969" s="6" t="n">
        <v>-8.760770000000001</v>
      </c>
      <c r="D2969" s="6" t="n">
        <v>-63.8999</v>
      </c>
      <c r="E2969" s="6" t="inlineStr">
        <is>
          <t>2025-04</t>
        </is>
      </c>
      <c r="F2969" s="6" t="n">
        <v>70834.7406386119</v>
      </c>
      <c r="G2969" s="6" t="inlineStr">
        <is>
          <t>DOMESTICA</t>
        </is>
      </c>
      <c r="H2969" s="6" t="inlineStr">
        <is>
          <t>FIXO</t>
        </is>
      </c>
      <c r="I2969" s="11">
        <f>IF($H2969="AUTO_OFERTA_TOTAL_PRODUTO_PERIODO",SUMIFS(Oferta!$F:$F,Oferta!$A:$A,$A2969,Oferta!$E:$E,$E2969),$F2969)</f>
        <v/>
      </c>
      <c r="J2969" s="6" t="inlineStr">
        <is>
          <t>Informado</t>
        </is>
      </c>
      <c r="K2969" s="6" t="inlineStr">
        <is>
          <t>Demanda doméstica fixa informada pelo usuário.</t>
        </is>
      </c>
    </row>
    <row r="2970">
      <c r="A2970" s="6" t="inlineStr">
        <is>
          <t>Soja</t>
        </is>
      </c>
      <c r="B2970" s="6" t="inlineStr">
        <is>
          <t>Porto Velho - RO</t>
        </is>
      </c>
      <c r="C2970" s="6" t="n">
        <v>-8.760770000000001</v>
      </c>
      <c r="D2970" s="6" t="n">
        <v>-63.8999</v>
      </c>
      <c r="E2970" s="6" t="inlineStr">
        <is>
          <t>2025-05</t>
        </is>
      </c>
      <c r="F2970" s="6" t="n">
        <v>84572.3873079184</v>
      </c>
      <c r="G2970" s="6" t="inlineStr">
        <is>
          <t>DOMESTICA</t>
        </is>
      </c>
      <c r="H2970" s="6" t="inlineStr">
        <is>
          <t>FIXO</t>
        </is>
      </c>
      <c r="I2970" s="11">
        <f>IF($H2970="AUTO_OFERTA_TOTAL_PRODUTO_PERIODO",SUMIFS(Oferta!$F:$F,Oferta!$A:$A,$A2970,Oferta!$E:$E,$E2970),$F2970)</f>
        <v/>
      </c>
      <c r="J2970" s="6" t="inlineStr">
        <is>
          <t>Informado</t>
        </is>
      </c>
      <c r="K2970" s="6" t="inlineStr">
        <is>
          <t>Demanda doméstica fixa informada pelo usuário.</t>
        </is>
      </c>
    </row>
    <row r="2971">
      <c r="A2971" s="6" t="inlineStr">
        <is>
          <t>Soja</t>
        </is>
      </c>
      <c r="B2971" s="6" t="inlineStr">
        <is>
          <t>Porto Velho - RO</t>
        </is>
      </c>
      <c r="C2971" s="6" t="n">
        <v>-8.760770000000001</v>
      </c>
      <c r="D2971" s="6" t="n">
        <v>-63.8999</v>
      </c>
      <c r="E2971" s="6" t="inlineStr">
        <is>
          <t>2025-06</t>
        </is>
      </c>
      <c r="F2971" s="6" t="n">
        <v>77703.56397326521</v>
      </c>
      <c r="G2971" s="6" t="inlineStr">
        <is>
          <t>DOMESTICA</t>
        </is>
      </c>
      <c r="H2971" s="6" t="inlineStr">
        <is>
          <t>FIXO</t>
        </is>
      </c>
      <c r="I2971" s="11">
        <f>IF($H2971="AUTO_OFERTA_TOTAL_PRODUTO_PERIODO",SUMIFS(Oferta!$F:$F,Oferta!$A:$A,$A2971,Oferta!$E:$E,$E2971),$F2971)</f>
        <v/>
      </c>
      <c r="J2971" s="6" t="inlineStr">
        <is>
          <t>Informado</t>
        </is>
      </c>
      <c r="K2971" s="6" t="inlineStr">
        <is>
          <t>Demanda doméstica fixa informada pelo usuário.</t>
        </is>
      </c>
    </row>
    <row r="2972">
      <c r="A2972" s="6" t="inlineStr">
        <is>
          <t>Soja</t>
        </is>
      </c>
      <c r="B2972" s="6" t="inlineStr">
        <is>
          <t>Porto Velho - RO</t>
        </is>
      </c>
      <c r="C2972" s="6" t="n">
        <v>-8.760770000000001</v>
      </c>
      <c r="D2972" s="6" t="n">
        <v>-63.8999</v>
      </c>
      <c r="E2972" s="6" t="inlineStr">
        <is>
          <t>2025-07</t>
        </is>
      </c>
      <c r="F2972" s="6" t="n">
        <v>36490.6239653455</v>
      </c>
      <c r="G2972" s="6" t="inlineStr">
        <is>
          <t>DOMESTICA</t>
        </is>
      </c>
      <c r="H2972" s="6" t="inlineStr">
        <is>
          <t>FIXO</t>
        </is>
      </c>
      <c r="I2972" s="11">
        <f>IF($H2972="AUTO_OFERTA_TOTAL_PRODUTO_PERIODO",SUMIFS(Oferta!$F:$F,Oferta!$A:$A,$A2972,Oferta!$E:$E,$E2972),$F2972)</f>
        <v/>
      </c>
      <c r="J2972" s="6" t="inlineStr">
        <is>
          <t>Informado</t>
        </is>
      </c>
      <c r="K2972" s="6" t="inlineStr">
        <is>
          <t>Demanda doméstica fixa informada pelo usuário.</t>
        </is>
      </c>
    </row>
    <row r="2973">
      <c r="A2973" s="6" t="inlineStr">
        <is>
          <t>Soja</t>
        </is>
      </c>
      <c r="B2973" s="6" t="inlineStr">
        <is>
          <t>Porto Velho - RO</t>
        </is>
      </c>
      <c r="C2973" s="6" t="n">
        <v>-8.760770000000001</v>
      </c>
      <c r="D2973" s="6" t="n">
        <v>-63.8999</v>
      </c>
      <c r="E2973" s="6" t="inlineStr">
        <is>
          <t>2025-08</t>
        </is>
      </c>
      <c r="F2973" s="6" t="n">
        <v>22752.977296039</v>
      </c>
      <c r="G2973" s="6" t="inlineStr">
        <is>
          <t>DOMESTICA</t>
        </is>
      </c>
      <c r="H2973" s="6" t="inlineStr">
        <is>
          <t>FIXO</t>
        </is>
      </c>
      <c r="I2973" s="11">
        <f>IF($H2973="AUTO_OFERTA_TOTAL_PRODUTO_PERIODO",SUMIFS(Oferta!$F:$F,Oferta!$A:$A,$A2973,Oferta!$E:$E,$E2973),$F2973)</f>
        <v/>
      </c>
      <c r="J2973" s="6" t="inlineStr">
        <is>
          <t>Informado</t>
        </is>
      </c>
      <c r="K2973" s="6" t="inlineStr">
        <is>
          <t>Demanda doméstica fixa informada pelo usuário.</t>
        </is>
      </c>
    </row>
    <row r="2974">
      <c r="A2974" s="6" t="inlineStr">
        <is>
          <t>Soja</t>
        </is>
      </c>
      <c r="B2974" s="6" t="inlineStr">
        <is>
          <t>Porto Velho - RO</t>
        </is>
      </c>
      <c r="C2974" s="6" t="n">
        <v>-8.760770000000001</v>
      </c>
      <c r="D2974" s="6" t="n">
        <v>-63.8999</v>
      </c>
      <c r="E2974" s="6" t="inlineStr">
        <is>
          <t>2025-09</t>
        </is>
      </c>
      <c r="F2974" s="6" t="n">
        <v>22752.977296039</v>
      </c>
      <c r="G2974" s="6" t="inlineStr">
        <is>
          <t>DOMESTICA</t>
        </is>
      </c>
      <c r="H2974" s="6" t="inlineStr">
        <is>
          <t>FIXO</t>
        </is>
      </c>
      <c r="I2974" s="11">
        <f>IF($H2974="AUTO_OFERTA_TOTAL_PRODUTO_PERIODO",SUMIFS(Oferta!$F:$F,Oferta!$A:$A,$A2974,Oferta!$E:$E,$E2974),$F2974)</f>
        <v/>
      </c>
      <c r="J2974" s="6" t="inlineStr">
        <is>
          <t>Informado</t>
        </is>
      </c>
      <c r="K2974" s="6" t="inlineStr">
        <is>
          <t>Demanda doméstica fixa informada pelo usuário.</t>
        </is>
      </c>
    </row>
    <row r="2975">
      <c r="A2975" s="6" t="inlineStr">
        <is>
          <t>Soja</t>
        </is>
      </c>
      <c r="B2975" s="6" t="inlineStr">
        <is>
          <t>Porto Velho - RO</t>
        </is>
      </c>
      <c r="C2975" s="6" t="n">
        <v>-8.760770000000001</v>
      </c>
      <c r="D2975" s="6" t="n">
        <v>-63.8999</v>
      </c>
      <c r="E2975" s="6" t="inlineStr">
        <is>
          <t>2025-10</t>
        </is>
      </c>
      <c r="F2975" s="6" t="n">
        <v>22752.977296039</v>
      </c>
      <c r="G2975" s="6" t="inlineStr">
        <is>
          <t>DOMESTICA</t>
        </is>
      </c>
      <c r="H2975" s="6" t="inlineStr">
        <is>
          <t>FIXO</t>
        </is>
      </c>
      <c r="I2975" s="11">
        <f>IF($H2975="AUTO_OFERTA_TOTAL_PRODUTO_PERIODO",SUMIFS(Oferta!$F:$F,Oferta!$A:$A,$A2975,Oferta!$E:$E,$E2975),$F2975)</f>
        <v/>
      </c>
      <c r="J2975" s="6" t="inlineStr">
        <is>
          <t>Informado</t>
        </is>
      </c>
      <c r="K2975" s="6" t="inlineStr">
        <is>
          <t>Demanda doméstica fixa informada pelo usuário.</t>
        </is>
      </c>
    </row>
    <row r="2976">
      <c r="A2976" s="6" t="inlineStr">
        <is>
          <t>Soja</t>
        </is>
      </c>
      <c r="B2976" s="6" t="inlineStr">
        <is>
          <t>Porto Velho - RO</t>
        </is>
      </c>
      <c r="C2976" s="6" t="n">
        <v>-8.760770000000001</v>
      </c>
      <c r="D2976" s="6" t="n">
        <v>-63.8999</v>
      </c>
      <c r="E2976" s="6" t="inlineStr">
        <is>
          <t>2025-11</t>
        </is>
      </c>
      <c r="F2976" s="6" t="n">
        <v>22752.977296039</v>
      </c>
      <c r="G2976" s="6" t="inlineStr">
        <is>
          <t>DOMESTICA</t>
        </is>
      </c>
      <c r="H2976" s="6" t="inlineStr">
        <is>
          <t>FIXO</t>
        </is>
      </c>
      <c r="I2976" s="11">
        <f>IF($H2976="AUTO_OFERTA_TOTAL_PRODUTO_PERIODO",SUMIFS(Oferta!$F:$F,Oferta!$A:$A,$A2976,Oferta!$E:$E,$E2976),$F2976)</f>
        <v/>
      </c>
      <c r="J2976" s="6" t="inlineStr">
        <is>
          <t>Informado</t>
        </is>
      </c>
      <c r="K2976" s="6" t="inlineStr">
        <is>
          <t>Demanda doméstica fixa informada pelo usuário.</t>
        </is>
      </c>
    </row>
    <row r="2977">
      <c r="A2977" s="6" t="inlineStr">
        <is>
          <t>Soja</t>
        </is>
      </c>
      <c r="B2977" s="6" t="inlineStr">
        <is>
          <t>Porto Velho - RO</t>
        </is>
      </c>
      <c r="C2977" s="6" t="n">
        <v>-8.760770000000001</v>
      </c>
      <c r="D2977" s="6" t="n">
        <v>-63.8999</v>
      </c>
      <c r="E2977" s="6" t="inlineStr">
        <is>
          <t>2025-12</t>
        </is>
      </c>
      <c r="F2977" s="6" t="n">
        <v>22752.977296039</v>
      </c>
      <c r="G2977" s="6" t="inlineStr">
        <is>
          <t>DOMESTICA</t>
        </is>
      </c>
      <c r="H2977" s="6" t="inlineStr">
        <is>
          <t>FIXO</t>
        </is>
      </c>
      <c r="I2977" s="11">
        <f>IF($H2977="AUTO_OFERTA_TOTAL_PRODUTO_PERIODO",SUMIFS(Oferta!$F:$F,Oferta!$A:$A,$A2977,Oferta!$E:$E,$E2977),$F2977)</f>
        <v/>
      </c>
      <c r="J2977" s="6" t="inlineStr">
        <is>
          <t>Informado</t>
        </is>
      </c>
      <c r="K2977" s="6" t="inlineStr">
        <is>
          <t>Demanda doméstica fixa informada pelo usuário.</t>
        </is>
      </c>
    </row>
    <row r="2978">
      <c r="A2978" s="6" t="inlineStr">
        <is>
          <t>Soja</t>
        </is>
      </c>
      <c r="B2978" s="6" t="inlineStr">
        <is>
          <t>Boa Vista - RR</t>
        </is>
      </c>
      <c r="C2978" s="6" t="n">
        <v>2.82384</v>
      </c>
      <c r="D2978" s="6" t="n">
        <v>-60.6753</v>
      </c>
      <c r="E2978" s="6" t="inlineStr">
        <is>
          <t>2025-01</t>
        </is>
      </c>
      <c r="F2978" s="6" t="n">
        <v>3808.0777926545</v>
      </c>
      <c r="G2978" s="6" t="inlineStr">
        <is>
          <t>DOMESTICA</t>
        </is>
      </c>
      <c r="H2978" s="6" t="inlineStr">
        <is>
          <t>FIXO</t>
        </is>
      </c>
      <c r="I2978" s="11">
        <f>IF($H2978="AUTO_OFERTA_TOTAL_PRODUTO_PERIODO",SUMIFS(Oferta!$F:$F,Oferta!$A:$A,$A2978,Oferta!$E:$E,$E2978),$F2978)</f>
        <v/>
      </c>
      <c r="J2978" s="6" t="inlineStr">
        <is>
          <t>Informado</t>
        </is>
      </c>
      <c r="K2978" s="6" t="inlineStr">
        <is>
          <t>Demanda doméstica fixa informada pelo usuário.</t>
        </is>
      </c>
    </row>
    <row r="2979">
      <c r="A2979" s="6" t="inlineStr">
        <is>
          <t>Soja</t>
        </is>
      </c>
      <c r="B2979" s="6" t="inlineStr">
        <is>
          <t>Boa Vista - RR</t>
        </is>
      </c>
      <c r="C2979" s="6" t="n">
        <v>2.82384</v>
      </c>
      <c r="D2979" s="6" t="n">
        <v>-60.6753</v>
      </c>
      <c r="E2979" s="6" t="inlineStr">
        <is>
          <t>2025-02</t>
        </is>
      </c>
      <c r="F2979" s="6" t="n">
        <v>2601.5580959719</v>
      </c>
      <c r="G2979" s="6" t="inlineStr">
        <is>
          <t>DOMESTICA</t>
        </is>
      </c>
      <c r="H2979" s="6" t="inlineStr">
        <is>
          <t>FIXO</t>
        </is>
      </c>
      <c r="I2979" s="11">
        <f>IF($H2979="AUTO_OFERTA_TOTAL_PRODUTO_PERIODO",SUMIFS(Oferta!$F:$F,Oferta!$A:$A,$A2979,Oferta!$E:$E,$E2979),$F2979)</f>
        <v/>
      </c>
      <c r="J2979" s="6" t="inlineStr">
        <is>
          <t>Informado</t>
        </is>
      </c>
      <c r="K2979" s="6" t="inlineStr">
        <is>
          <t>Demanda doméstica fixa informada pelo usuário.</t>
        </is>
      </c>
    </row>
    <row r="2980">
      <c r="A2980" s="6" t="inlineStr">
        <is>
          <t>Soja</t>
        </is>
      </c>
      <c r="B2980" s="6" t="inlineStr">
        <is>
          <t>Boa Vista - RR</t>
        </is>
      </c>
      <c r="C2980" s="6" t="n">
        <v>2.82384</v>
      </c>
      <c r="D2980" s="6" t="n">
        <v>-60.6753</v>
      </c>
      <c r="E2980" s="6" t="inlineStr">
        <is>
          <t>2025-03</t>
        </is>
      </c>
      <c r="F2980" s="6" t="n">
        <v>1998.2982476306</v>
      </c>
      <c r="G2980" s="6" t="inlineStr">
        <is>
          <t>DOMESTICA</t>
        </is>
      </c>
      <c r="H2980" s="6" t="inlineStr">
        <is>
          <t>FIXO</t>
        </is>
      </c>
      <c r="I2980" s="11">
        <f>IF($H2980="AUTO_OFERTA_TOTAL_PRODUTO_PERIODO",SUMIFS(Oferta!$F:$F,Oferta!$A:$A,$A2980,Oferta!$E:$E,$E2980),$F2980)</f>
        <v/>
      </c>
      <c r="J2980" s="6" t="inlineStr">
        <is>
          <t>Informado</t>
        </is>
      </c>
      <c r="K2980" s="6" t="inlineStr">
        <is>
          <t>Demanda doméstica fixa informada pelo usuário.</t>
        </is>
      </c>
    </row>
    <row r="2981">
      <c r="A2981" s="6" t="inlineStr">
        <is>
          <t>Soja</t>
        </is>
      </c>
      <c r="B2981" s="6" t="inlineStr">
        <is>
          <t>Boa Vista - RR</t>
        </is>
      </c>
      <c r="C2981" s="6" t="n">
        <v>2.82384</v>
      </c>
      <c r="D2981" s="6" t="n">
        <v>-60.6753</v>
      </c>
      <c r="E2981" s="6" t="inlineStr">
        <is>
          <t>2025-04</t>
        </is>
      </c>
      <c r="F2981" s="6" t="n">
        <v>1998.2982476306</v>
      </c>
      <c r="G2981" s="6" t="inlineStr">
        <is>
          <t>DOMESTICA</t>
        </is>
      </c>
      <c r="H2981" s="6" t="inlineStr">
        <is>
          <t>FIXO</t>
        </is>
      </c>
      <c r="I2981" s="11">
        <f>IF($H2981="AUTO_OFERTA_TOTAL_PRODUTO_PERIODO",SUMIFS(Oferta!$F:$F,Oferta!$A:$A,$A2981,Oferta!$E:$E,$E2981),$F2981)</f>
        <v/>
      </c>
      <c r="J2981" s="6" t="inlineStr">
        <is>
          <t>Informado</t>
        </is>
      </c>
      <c r="K2981" s="6" t="inlineStr">
        <is>
          <t>Demanda doméstica fixa informada pelo usuário.</t>
        </is>
      </c>
    </row>
    <row r="2982">
      <c r="A2982" s="6" t="inlineStr">
        <is>
          <t>Soja</t>
        </is>
      </c>
      <c r="B2982" s="6" t="inlineStr">
        <is>
          <t>Boa Vista - RR</t>
        </is>
      </c>
      <c r="C2982" s="6" t="n">
        <v>2.82384</v>
      </c>
      <c r="D2982" s="6" t="n">
        <v>-60.6753</v>
      </c>
      <c r="E2982" s="6" t="inlineStr">
        <is>
          <t>2025-05</t>
        </is>
      </c>
      <c r="F2982" s="6" t="n">
        <v>1998.2982476306</v>
      </c>
      <c r="G2982" s="6" t="inlineStr">
        <is>
          <t>DOMESTICA</t>
        </is>
      </c>
      <c r="H2982" s="6" t="inlineStr">
        <is>
          <t>FIXO</t>
        </is>
      </c>
      <c r="I2982" s="11">
        <f>IF($H2982="AUTO_OFERTA_TOTAL_PRODUTO_PERIODO",SUMIFS(Oferta!$F:$F,Oferta!$A:$A,$A2982,Oferta!$E:$E,$E2982),$F2982)</f>
        <v/>
      </c>
      <c r="J2982" s="6" t="inlineStr">
        <is>
          <t>Informado</t>
        </is>
      </c>
      <c r="K2982" s="6" t="inlineStr">
        <is>
          <t>Demanda doméstica fixa informada pelo usuário.</t>
        </is>
      </c>
    </row>
    <row r="2983">
      <c r="A2983" s="6" t="inlineStr">
        <is>
          <t>Soja</t>
        </is>
      </c>
      <c r="B2983" s="6" t="inlineStr">
        <is>
          <t>Boa Vista - RR</t>
        </is>
      </c>
      <c r="C2983" s="6" t="n">
        <v>2.82384</v>
      </c>
      <c r="D2983" s="6" t="n">
        <v>-60.6753</v>
      </c>
      <c r="E2983" s="6" t="inlineStr">
        <is>
          <t>2025-06</t>
        </is>
      </c>
      <c r="F2983" s="6" t="n">
        <v>1998.2982476306</v>
      </c>
      <c r="G2983" s="6" t="inlineStr">
        <is>
          <t>DOMESTICA</t>
        </is>
      </c>
      <c r="H2983" s="6" t="inlineStr">
        <is>
          <t>FIXO</t>
        </is>
      </c>
      <c r="I2983" s="11">
        <f>IF($H2983="AUTO_OFERTA_TOTAL_PRODUTO_PERIODO",SUMIFS(Oferta!$F:$F,Oferta!$A:$A,$A2983,Oferta!$E:$E,$E2983),$F2983)</f>
        <v/>
      </c>
      <c r="J2983" s="6" t="inlineStr">
        <is>
          <t>Informado</t>
        </is>
      </c>
      <c r="K2983" s="6" t="inlineStr">
        <is>
          <t>Demanda doméstica fixa informada pelo usuário.</t>
        </is>
      </c>
    </row>
    <row r="2984">
      <c r="A2984" s="6" t="inlineStr">
        <is>
          <t>Soja</t>
        </is>
      </c>
      <c r="B2984" s="6" t="inlineStr">
        <is>
          <t>Boa Vista - RR</t>
        </is>
      </c>
      <c r="C2984" s="6" t="n">
        <v>2.82384</v>
      </c>
      <c r="D2984" s="6" t="n">
        <v>-60.6753</v>
      </c>
      <c r="E2984" s="6" t="inlineStr">
        <is>
          <t>2025-07</t>
        </is>
      </c>
      <c r="F2984" s="6" t="n">
        <v>1998.2982476306</v>
      </c>
      <c r="G2984" s="6" t="inlineStr">
        <is>
          <t>DOMESTICA</t>
        </is>
      </c>
      <c r="H2984" s="6" t="inlineStr">
        <is>
          <t>FIXO</t>
        </is>
      </c>
      <c r="I2984" s="11">
        <f>IF($H2984="AUTO_OFERTA_TOTAL_PRODUTO_PERIODO",SUMIFS(Oferta!$F:$F,Oferta!$A:$A,$A2984,Oferta!$E:$E,$E2984),$F2984)</f>
        <v/>
      </c>
      <c r="J2984" s="6" t="inlineStr">
        <is>
          <t>Informado</t>
        </is>
      </c>
      <c r="K2984" s="6" t="inlineStr">
        <is>
          <t>Demanda doméstica fixa informada pelo usuário.</t>
        </is>
      </c>
    </row>
    <row r="2985">
      <c r="A2985" s="6" t="inlineStr">
        <is>
          <t>Soja</t>
        </is>
      </c>
      <c r="B2985" s="6" t="inlineStr">
        <is>
          <t>Boa Vista - RR</t>
        </is>
      </c>
      <c r="C2985" s="6" t="n">
        <v>2.82384</v>
      </c>
      <c r="D2985" s="6" t="n">
        <v>-60.6753</v>
      </c>
      <c r="E2985" s="6" t="inlineStr">
        <is>
          <t>2025-08</t>
        </is>
      </c>
      <c r="F2985" s="6" t="n">
        <v>2601.5580959719</v>
      </c>
      <c r="G2985" s="6" t="inlineStr">
        <is>
          <t>DOMESTICA</t>
        </is>
      </c>
      <c r="H2985" s="6" t="inlineStr">
        <is>
          <t>FIXO</t>
        </is>
      </c>
      <c r="I2985" s="11">
        <f>IF($H2985="AUTO_OFERTA_TOTAL_PRODUTO_PERIODO",SUMIFS(Oferta!$F:$F,Oferta!$A:$A,$A2985,Oferta!$E:$E,$E2985),$F2985)</f>
        <v/>
      </c>
      <c r="J2985" s="6" t="inlineStr">
        <is>
          <t>Informado</t>
        </is>
      </c>
      <c r="K2985" s="6" t="inlineStr">
        <is>
          <t>Demanda doméstica fixa informada pelo usuário.</t>
        </is>
      </c>
    </row>
    <row r="2986">
      <c r="A2986" s="6" t="inlineStr">
        <is>
          <t>Soja</t>
        </is>
      </c>
      <c r="B2986" s="6" t="inlineStr">
        <is>
          <t>Boa Vista - RR</t>
        </is>
      </c>
      <c r="C2986" s="6" t="n">
        <v>2.82384</v>
      </c>
      <c r="D2986" s="6" t="n">
        <v>-60.6753</v>
      </c>
      <c r="E2986" s="6" t="inlineStr">
        <is>
          <t>2025-09</t>
        </is>
      </c>
      <c r="F2986" s="6" t="n">
        <v>3808.0777926545</v>
      </c>
      <c r="G2986" s="6" t="inlineStr">
        <is>
          <t>DOMESTICA</t>
        </is>
      </c>
      <c r="H2986" s="6" t="inlineStr">
        <is>
          <t>FIXO</t>
        </is>
      </c>
      <c r="I2986" s="11">
        <f>IF($H2986="AUTO_OFERTA_TOTAL_PRODUTO_PERIODO",SUMIFS(Oferta!$F:$F,Oferta!$A:$A,$A2986,Oferta!$E:$E,$E2986),$F2986)</f>
        <v/>
      </c>
      <c r="J2986" s="6" t="inlineStr">
        <is>
          <t>Informado</t>
        </is>
      </c>
      <c r="K2986" s="6" t="inlineStr">
        <is>
          <t>Demanda doméstica fixa informada pelo usuário.</t>
        </is>
      </c>
    </row>
    <row r="2987">
      <c r="A2987" s="6" t="inlineStr">
        <is>
          <t>Soja</t>
        </is>
      </c>
      <c r="B2987" s="6" t="inlineStr">
        <is>
          <t>Boa Vista - RR</t>
        </is>
      </c>
      <c r="C2987" s="6" t="n">
        <v>2.82384</v>
      </c>
      <c r="D2987" s="6" t="n">
        <v>-60.6753</v>
      </c>
      <c r="E2987" s="6" t="inlineStr">
        <is>
          <t>2025-10</t>
        </is>
      </c>
      <c r="F2987" s="6" t="n">
        <v>7427.6368827024</v>
      </c>
      <c r="G2987" s="6" t="inlineStr">
        <is>
          <t>DOMESTICA</t>
        </is>
      </c>
      <c r="H2987" s="6" t="inlineStr">
        <is>
          <t>FIXO</t>
        </is>
      </c>
      <c r="I2987" s="11">
        <f>IF($H2987="AUTO_OFERTA_TOTAL_PRODUTO_PERIODO",SUMIFS(Oferta!$F:$F,Oferta!$A:$A,$A2987,Oferta!$E:$E,$E2987),$F2987)</f>
        <v/>
      </c>
      <c r="J2987" s="6" t="inlineStr">
        <is>
          <t>Informado</t>
        </is>
      </c>
      <c r="K2987" s="6" t="inlineStr">
        <is>
          <t>Demanda doméstica fixa informada pelo usuário.</t>
        </is>
      </c>
    </row>
    <row r="2988">
      <c r="A2988" s="6" t="inlineStr">
        <is>
          <t>Soja</t>
        </is>
      </c>
      <c r="B2988" s="6" t="inlineStr">
        <is>
          <t>Boa Vista - RR</t>
        </is>
      </c>
      <c r="C2988" s="6" t="n">
        <v>2.82384</v>
      </c>
      <c r="D2988" s="6" t="n">
        <v>-60.6753</v>
      </c>
      <c r="E2988" s="6" t="inlineStr">
        <is>
          <t>2025-11</t>
        </is>
      </c>
      <c r="F2988" s="6" t="n">
        <v>8030.8967310437</v>
      </c>
      <c r="G2988" s="6" t="inlineStr">
        <is>
          <t>DOMESTICA</t>
        </is>
      </c>
      <c r="H2988" s="6" t="inlineStr">
        <is>
          <t>FIXO</t>
        </is>
      </c>
      <c r="I2988" s="11">
        <f>IF($H2988="AUTO_OFERTA_TOTAL_PRODUTO_PERIODO",SUMIFS(Oferta!$F:$F,Oferta!$A:$A,$A2988,Oferta!$E:$E,$E2988),$F2988)</f>
        <v/>
      </c>
      <c r="J2988" s="6" t="inlineStr">
        <is>
          <t>Informado</t>
        </is>
      </c>
      <c r="K2988" s="6" t="inlineStr">
        <is>
          <t>Demanda doméstica fixa informada pelo usuário.</t>
        </is>
      </c>
    </row>
    <row r="2989">
      <c r="A2989" s="6" t="inlineStr">
        <is>
          <t>Soja</t>
        </is>
      </c>
      <c r="B2989" s="6" t="inlineStr">
        <is>
          <t>Boa Vista - RR</t>
        </is>
      </c>
      <c r="C2989" s="6" t="n">
        <v>2.82384</v>
      </c>
      <c r="D2989" s="6" t="n">
        <v>-60.6753</v>
      </c>
      <c r="E2989" s="6" t="inlineStr">
        <is>
          <t>2025-12</t>
        </is>
      </c>
      <c r="F2989" s="6" t="n">
        <v>7427.6368827024</v>
      </c>
      <c r="G2989" s="6" t="inlineStr">
        <is>
          <t>DOMESTICA</t>
        </is>
      </c>
      <c r="H2989" s="6" t="inlineStr">
        <is>
          <t>FIXO</t>
        </is>
      </c>
      <c r="I2989" s="11">
        <f>IF($H2989="AUTO_OFERTA_TOTAL_PRODUTO_PERIODO",SUMIFS(Oferta!$F:$F,Oferta!$A:$A,$A2989,Oferta!$E:$E,$E2989),$F2989)</f>
        <v/>
      </c>
      <c r="J2989" s="6" t="inlineStr">
        <is>
          <t>Informado</t>
        </is>
      </c>
      <c r="K2989" s="6" t="inlineStr">
        <is>
          <t>Demanda doméstica fixa informada pelo usuário.</t>
        </is>
      </c>
    </row>
    <row r="2990">
      <c r="A2990" s="6" t="inlineStr">
        <is>
          <t>Soja</t>
        </is>
      </c>
      <c r="B2990" s="6" t="inlineStr">
        <is>
          <t>Palmas - TO</t>
        </is>
      </c>
      <c r="C2990" s="6" t="n">
        <v>-10.24</v>
      </c>
      <c r="D2990" s="6" t="n">
        <v>-48.3558</v>
      </c>
      <c r="E2990" s="6" t="inlineStr">
        <is>
          <t>2025-01</t>
        </is>
      </c>
      <c r="F2990" s="6" t="n">
        <v>17654.8671503007</v>
      </c>
      <c r="G2990" s="6" t="inlineStr">
        <is>
          <t>DOMESTICA</t>
        </is>
      </c>
      <c r="H2990" s="6" t="inlineStr">
        <is>
          <t>FIXO</t>
        </is>
      </c>
      <c r="I2990" s="11">
        <f>IF($H2990="AUTO_OFERTA_TOTAL_PRODUTO_PERIODO",SUMIFS(Oferta!$F:$F,Oferta!$A:$A,$A2990,Oferta!$E:$E,$E2990),$F2990)</f>
        <v/>
      </c>
      <c r="J2990" s="6" t="inlineStr">
        <is>
          <t>Informado</t>
        </is>
      </c>
      <c r="K2990" s="6" t="inlineStr">
        <is>
          <t>Demanda doméstica fixa informada pelo usuário.</t>
        </is>
      </c>
    </row>
    <row r="2991">
      <c r="A2991" s="6" t="inlineStr">
        <is>
          <t>Soja</t>
        </is>
      </c>
      <c r="B2991" s="6" t="inlineStr">
        <is>
          <t>Palmas - TO</t>
        </is>
      </c>
      <c r="C2991" s="6" t="n">
        <v>-10.24</v>
      </c>
      <c r="D2991" s="6" t="n">
        <v>-48.3558</v>
      </c>
      <c r="E2991" s="6" t="inlineStr">
        <is>
          <t>2025-02</t>
        </is>
      </c>
      <c r="F2991" s="6" t="n">
        <v>17654.8671503007</v>
      </c>
      <c r="G2991" s="6" t="inlineStr">
        <is>
          <t>DOMESTICA</t>
        </is>
      </c>
      <c r="H2991" s="6" t="inlineStr">
        <is>
          <t>FIXO</t>
        </is>
      </c>
      <c r="I2991" s="11">
        <f>IF($H2991="AUTO_OFERTA_TOTAL_PRODUTO_PERIODO",SUMIFS(Oferta!$F:$F,Oferta!$A:$A,$A2991,Oferta!$E:$E,$E2991),$F2991)</f>
        <v/>
      </c>
      <c r="J2991" s="6" t="inlineStr">
        <is>
          <t>Informado</t>
        </is>
      </c>
      <c r="K2991" s="6" t="inlineStr">
        <is>
          <t>Demanda doméstica fixa informada pelo usuário.</t>
        </is>
      </c>
    </row>
    <row r="2992">
      <c r="A2992" s="6" t="inlineStr">
        <is>
          <t>Soja</t>
        </is>
      </c>
      <c r="B2992" s="6" t="inlineStr">
        <is>
          <t>Palmas - TO</t>
        </is>
      </c>
      <c r="C2992" s="6" t="n">
        <v>-10.24</v>
      </c>
      <c r="D2992" s="6" t="n">
        <v>-48.3558</v>
      </c>
      <c r="E2992" s="6" t="inlineStr">
        <is>
          <t>2025-03</t>
        </is>
      </c>
      <c r="F2992" s="6" t="n">
        <v>28314.4095806709</v>
      </c>
      <c r="G2992" s="6" t="inlineStr">
        <is>
          <t>DOMESTICA</t>
        </is>
      </c>
      <c r="H2992" s="6" t="inlineStr">
        <is>
          <t>FIXO</t>
        </is>
      </c>
      <c r="I2992" s="11">
        <f>IF($H2992="AUTO_OFERTA_TOTAL_PRODUTO_PERIODO",SUMIFS(Oferta!$F:$F,Oferta!$A:$A,$A2992,Oferta!$E:$E,$E2992),$F2992)</f>
        <v/>
      </c>
      <c r="J2992" s="6" t="inlineStr">
        <is>
          <t>Informado</t>
        </is>
      </c>
      <c r="K2992" s="6" t="inlineStr">
        <is>
          <t>Demanda doméstica fixa informada pelo usuário.</t>
        </is>
      </c>
    </row>
    <row r="2993">
      <c r="A2993" s="6" t="inlineStr">
        <is>
          <t>Soja</t>
        </is>
      </c>
      <c r="B2993" s="6" t="inlineStr">
        <is>
          <t>Palmas - TO</t>
        </is>
      </c>
      <c r="C2993" s="6" t="n">
        <v>-10.24</v>
      </c>
      <c r="D2993" s="6" t="n">
        <v>-48.3558</v>
      </c>
      <c r="E2993" s="6" t="inlineStr">
        <is>
          <t>2025-04</t>
        </is>
      </c>
      <c r="F2993" s="6" t="n">
        <v>49633.4944414112</v>
      </c>
      <c r="G2993" s="6" t="inlineStr">
        <is>
          <t>DOMESTICA</t>
        </is>
      </c>
      <c r="H2993" s="6" t="inlineStr">
        <is>
          <t>FIXO</t>
        </is>
      </c>
      <c r="I2993" s="11">
        <f>IF($H2993="AUTO_OFERTA_TOTAL_PRODUTO_PERIODO",SUMIFS(Oferta!$F:$F,Oferta!$A:$A,$A2993,Oferta!$E:$E,$E2993),$F2993)</f>
        <v/>
      </c>
      <c r="J2993" s="6" t="inlineStr">
        <is>
          <t>Informado</t>
        </is>
      </c>
      <c r="K2993" s="6" t="inlineStr">
        <is>
          <t>Demanda doméstica fixa informada pelo usuário.</t>
        </is>
      </c>
    </row>
    <row r="2994">
      <c r="A2994" s="6" t="inlineStr">
        <is>
          <t>Soja</t>
        </is>
      </c>
      <c r="B2994" s="6" t="inlineStr">
        <is>
          <t>Palmas - TO</t>
        </is>
      </c>
      <c r="C2994" s="6" t="n">
        <v>-10.24</v>
      </c>
      <c r="D2994" s="6" t="n">
        <v>-48.3558</v>
      </c>
      <c r="E2994" s="6" t="inlineStr">
        <is>
          <t>2025-05</t>
        </is>
      </c>
      <c r="F2994" s="6" t="n">
        <v>70952.5793021516</v>
      </c>
      <c r="G2994" s="6" t="inlineStr">
        <is>
          <t>DOMESTICA</t>
        </is>
      </c>
      <c r="H2994" s="6" t="inlineStr">
        <is>
          <t>FIXO</t>
        </is>
      </c>
      <c r="I2994" s="11">
        <f>IF($H2994="AUTO_OFERTA_TOTAL_PRODUTO_PERIODO",SUMIFS(Oferta!$F:$F,Oferta!$A:$A,$A2994,Oferta!$E:$E,$E2994),$F2994)</f>
        <v/>
      </c>
      <c r="J2994" s="6" t="inlineStr">
        <is>
          <t>Informado</t>
        </is>
      </c>
      <c r="K2994" s="6" t="inlineStr">
        <is>
          <t>Demanda doméstica fixa informada pelo usuário.</t>
        </is>
      </c>
    </row>
    <row r="2995">
      <c r="A2995" s="6" t="inlineStr">
        <is>
          <t>Soja</t>
        </is>
      </c>
      <c r="B2995" s="6" t="inlineStr">
        <is>
          <t>Palmas - TO</t>
        </is>
      </c>
      <c r="C2995" s="6" t="n">
        <v>-10.24</v>
      </c>
      <c r="D2995" s="6" t="n">
        <v>-48.3558</v>
      </c>
      <c r="E2995" s="6" t="inlineStr">
        <is>
          <t>2025-06</t>
        </is>
      </c>
      <c r="F2995" s="6" t="n">
        <v>70952.5793021516</v>
      </c>
      <c r="G2995" s="6" t="inlineStr">
        <is>
          <t>DOMESTICA</t>
        </is>
      </c>
      <c r="H2995" s="6" t="inlineStr">
        <is>
          <t>FIXO</t>
        </is>
      </c>
      <c r="I2995" s="11">
        <f>IF($H2995="AUTO_OFERTA_TOTAL_PRODUTO_PERIODO",SUMIFS(Oferta!$F:$F,Oferta!$A:$A,$A2995,Oferta!$E:$E,$E2995),$F2995)</f>
        <v/>
      </c>
      <c r="J2995" s="6" t="inlineStr">
        <is>
          <t>Informado</t>
        </is>
      </c>
      <c r="K2995" s="6" t="inlineStr">
        <is>
          <t>Demanda doméstica fixa informada pelo usuário.</t>
        </is>
      </c>
    </row>
    <row r="2996">
      <c r="A2996" s="6" t="inlineStr">
        <is>
          <t>Soja</t>
        </is>
      </c>
      <c r="B2996" s="6" t="inlineStr">
        <is>
          <t>Palmas - TO</t>
        </is>
      </c>
      <c r="C2996" s="6" t="n">
        <v>-10.24</v>
      </c>
      <c r="D2996" s="6" t="n">
        <v>-48.3558</v>
      </c>
      <c r="E2996" s="6" t="inlineStr">
        <is>
          <t>2025-07</t>
        </is>
      </c>
      <c r="F2996" s="6" t="n">
        <v>49633.4944414112</v>
      </c>
      <c r="G2996" s="6" t="inlineStr">
        <is>
          <t>DOMESTICA</t>
        </is>
      </c>
      <c r="H2996" s="6" t="inlineStr">
        <is>
          <t>FIXO</t>
        </is>
      </c>
      <c r="I2996" s="11">
        <f>IF($H2996="AUTO_OFERTA_TOTAL_PRODUTO_PERIODO",SUMIFS(Oferta!$F:$F,Oferta!$A:$A,$A2996,Oferta!$E:$E,$E2996),$F2996)</f>
        <v/>
      </c>
      <c r="J2996" s="6" t="inlineStr">
        <is>
          <t>Informado</t>
        </is>
      </c>
      <c r="K2996" s="6" t="inlineStr">
        <is>
          <t>Demanda doméstica fixa informada pelo usuário.</t>
        </is>
      </c>
    </row>
    <row r="2997">
      <c r="A2997" s="6" t="inlineStr">
        <is>
          <t>Soja</t>
        </is>
      </c>
      <c r="B2997" s="6" t="inlineStr">
        <is>
          <t>Palmas - TO</t>
        </is>
      </c>
      <c r="C2997" s="6" t="n">
        <v>-10.24</v>
      </c>
      <c r="D2997" s="6" t="n">
        <v>-48.3558</v>
      </c>
      <c r="E2997" s="6" t="inlineStr">
        <is>
          <t>2025-08</t>
        </is>
      </c>
      <c r="F2997" s="6" t="n">
        <v>28314.4095806709</v>
      </c>
      <c r="G2997" s="6" t="inlineStr">
        <is>
          <t>DOMESTICA</t>
        </is>
      </c>
      <c r="H2997" s="6" t="inlineStr">
        <is>
          <t>FIXO</t>
        </is>
      </c>
      <c r="I2997" s="11">
        <f>IF($H2997="AUTO_OFERTA_TOTAL_PRODUTO_PERIODO",SUMIFS(Oferta!$F:$F,Oferta!$A:$A,$A2997,Oferta!$E:$E,$E2997),$F2997)</f>
        <v/>
      </c>
      <c r="J2997" s="6" t="inlineStr">
        <is>
          <t>Informado</t>
        </is>
      </c>
      <c r="K2997" s="6" t="inlineStr">
        <is>
          <t>Demanda doméstica fixa informada pelo usuário.</t>
        </is>
      </c>
    </row>
    <row r="2998">
      <c r="A2998" s="6" t="inlineStr">
        <is>
          <t>Soja</t>
        </is>
      </c>
      <c r="B2998" s="6" t="inlineStr">
        <is>
          <t>Palmas - TO</t>
        </is>
      </c>
      <c r="C2998" s="6" t="n">
        <v>-10.24</v>
      </c>
      <c r="D2998" s="6" t="n">
        <v>-48.3558</v>
      </c>
      <c r="E2998" s="6" t="inlineStr">
        <is>
          <t>2025-09</t>
        </is>
      </c>
      <c r="F2998" s="6" t="n">
        <v>17654.8671503007</v>
      </c>
      <c r="G2998" s="6" t="inlineStr">
        <is>
          <t>DOMESTICA</t>
        </is>
      </c>
      <c r="H2998" s="6" t="inlineStr">
        <is>
          <t>FIXO</t>
        </is>
      </c>
      <c r="I2998" s="11">
        <f>IF($H2998="AUTO_OFERTA_TOTAL_PRODUTO_PERIODO",SUMIFS(Oferta!$F:$F,Oferta!$A:$A,$A2998,Oferta!$E:$E,$E2998),$F2998)</f>
        <v/>
      </c>
      <c r="J2998" s="6" t="inlineStr">
        <is>
          <t>Informado</t>
        </is>
      </c>
      <c r="K2998" s="6" t="inlineStr">
        <is>
          <t>Demanda doméstica fixa informada pelo usuário.</t>
        </is>
      </c>
    </row>
    <row r="2999">
      <c r="A2999" s="6" t="inlineStr">
        <is>
          <t>Soja</t>
        </is>
      </c>
      <c r="B2999" s="6" t="inlineStr">
        <is>
          <t>Palmas - TO</t>
        </is>
      </c>
      <c r="C2999" s="6" t="n">
        <v>-10.24</v>
      </c>
      <c r="D2999" s="6" t="n">
        <v>-48.3558</v>
      </c>
      <c r="E2999" s="6" t="inlineStr">
        <is>
          <t>2025-10</t>
        </is>
      </c>
      <c r="F2999" s="6" t="n">
        <v>17654.8671503007</v>
      </c>
      <c r="G2999" s="6" t="inlineStr">
        <is>
          <t>DOMESTICA</t>
        </is>
      </c>
      <c r="H2999" s="6" t="inlineStr">
        <is>
          <t>FIXO</t>
        </is>
      </c>
      <c r="I2999" s="11">
        <f>IF($H2999="AUTO_OFERTA_TOTAL_PRODUTO_PERIODO",SUMIFS(Oferta!$F:$F,Oferta!$A:$A,$A2999,Oferta!$E:$E,$E2999),$F2999)</f>
        <v/>
      </c>
      <c r="J2999" s="6" t="inlineStr">
        <is>
          <t>Informado</t>
        </is>
      </c>
      <c r="K2999" s="6" t="inlineStr">
        <is>
          <t>Demanda doméstica fixa informada pelo usuário.</t>
        </is>
      </c>
    </row>
    <row r="3000">
      <c r="A3000" s="6" t="inlineStr">
        <is>
          <t>Soja</t>
        </is>
      </c>
      <c r="B3000" s="6" t="inlineStr">
        <is>
          <t>Palmas - TO</t>
        </is>
      </c>
      <c r="C3000" s="6" t="n">
        <v>-10.24</v>
      </c>
      <c r="D3000" s="6" t="n">
        <v>-48.3558</v>
      </c>
      <c r="E3000" s="6" t="inlineStr">
        <is>
          <t>2025-11</t>
        </is>
      </c>
      <c r="F3000" s="6" t="n">
        <v>17654.8671503007</v>
      </c>
      <c r="G3000" s="6" t="inlineStr">
        <is>
          <t>DOMESTICA</t>
        </is>
      </c>
      <c r="H3000" s="6" t="inlineStr">
        <is>
          <t>FIXO</t>
        </is>
      </c>
      <c r="I3000" s="11">
        <f>IF($H3000="AUTO_OFERTA_TOTAL_PRODUTO_PERIODO",SUMIFS(Oferta!$F:$F,Oferta!$A:$A,$A3000,Oferta!$E:$E,$E3000),$F3000)</f>
        <v/>
      </c>
      <c r="J3000" s="6" t="inlineStr">
        <is>
          <t>Informado</t>
        </is>
      </c>
      <c r="K3000" s="6" t="inlineStr">
        <is>
          <t>Demanda doméstica fixa informada pelo usuário.</t>
        </is>
      </c>
    </row>
    <row r="3001">
      <c r="A3001" s="6" t="inlineStr">
        <is>
          <t>Soja</t>
        </is>
      </c>
      <c r="B3001" s="6" t="inlineStr">
        <is>
          <t>Palmas - TO</t>
        </is>
      </c>
      <c r="C3001" s="6" t="n">
        <v>-10.24</v>
      </c>
      <c r="D3001" s="6" t="n">
        <v>-48.3558</v>
      </c>
      <c r="E3001" s="6" t="inlineStr">
        <is>
          <t>2025-12</t>
        </is>
      </c>
      <c r="F3001" s="6" t="n">
        <v>17654.8671503007</v>
      </c>
      <c r="G3001" s="6" t="inlineStr">
        <is>
          <t>DOMESTICA</t>
        </is>
      </c>
      <c r="H3001" s="6" t="inlineStr">
        <is>
          <t>FIXO</t>
        </is>
      </c>
      <c r="I3001" s="11">
        <f>IF($H3001="AUTO_OFERTA_TOTAL_PRODUTO_PERIODO",SUMIFS(Oferta!$F:$F,Oferta!$A:$A,$A3001,Oferta!$E:$E,$E3001),$F3001)</f>
        <v/>
      </c>
      <c r="J3001" s="6" t="inlineStr">
        <is>
          <t>Informado</t>
        </is>
      </c>
      <c r="K3001" s="6" t="inlineStr">
        <is>
          <t>Demanda doméstica fixa informada pelo usuário.</t>
        </is>
      </c>
    </row>
    <row r="3002">
      <c r="A3002" s="6" t="inlineStr">
        <is>
          <t>Soja</t>
        </is>
      </c>
      <c r="B3002" s="6" t="inlineStr">
        <is>
          <t>Maceió - AL</t>
        </is>
      </c>
      <c r="C3002" s="6" t="n">
        <v>-9.665990000000001</v>
      </c>
      <c r="D3002" s="6" t="n">
        <v>-35.735</v>
      </c>
      <c r="E3002" s="6" t="inlineStr">
        <is>
          <t>2025-01</t>
        </is>
      </c>
      <c r="F3002" s="6" t="n">
        <v>38624.7530389093</v>
      </c>
      <c r="G3002" s="6" t="inlineStr">
        <is>
          <t>DOMESTICA</t>
        </is>
      </c>
      <c r="H3002" s="6" t="inlineStr">
        <is>
          <t>FIXO</t>
        </is>
      </c>
      <c r="I3002" s="11">
        <f>IF($H3002="AUTO_OFERTA_TOTAL_PRODUTO_PERIODO",SUMIFS(Oferta!$F:$F,Oferta!$A:$A,$A3002,Oferta!$E:$E,$E3002),$F3002)</f>
        <v/>
      </c>
      <c r="J3002" s="6" t="inlineStr">
        <is>
          <t>Informado</t>
        </is>
      </c>
      <c r="K3002" s="6" t="inlineStr">
        <is>
          <t>Demanda doméstica fixa informada pelo usuário.</t>
        </is>
      </c>
    </row>
    <row r="3003">
      <c r="A3003" s="6" t="inlineStr">
        <is>
          <t>Soja</t>
        </is>
      </c>
      <c r="B3003" s="6" t="inlineStr">
        <is>
          <t>Maceió - AL</t>
        </is>
      </c>
      <c r="C3003" s="6" t="n">
        <v>-9.665990000000001</v>
      </c>
      <c r="D3003" s="6" t="n">
        <v>-35.735</v>
      </c>
      <c r="E3003" s="6" t="inlineStr">
        <is>
          <t>2025-02</t>
        </is>
      </c>
      <c r="F3003" s="6" t="n">
        <v>38624.7530389093</v>
      </c>
      <c r="G3003" s="6" t="inlineStr">
        <is>
          <t>DOMESTICA</t>
        </is>
      </c>
      <c r="H3003" s="6" t="inlineStr">
        <is>
          <t>FIXO</t>
        </is>
      </c>
      <c r="I3003" s="11">
        <f>IF($H3003="AUTO_OFERTA_TOTAL_PRODUTO_PERIODO",SUMIFS(Oferta!$F:$F,Oferta!$A:$A,$A3003,Oferta!$E:$E,$E3003),$F3003)</f>
        <v/>
      </c>
      <c r="J3003" s="6" t="inlineStr">
        <is>
          <t>Informado</t>
        </is>
      </c>
      <c r="K3003" s="6" t="inlineStr">
        <is>
          <t>Demanda doméstica fixa informada pelo usuário.</t>
        </is>
      </c>
    </row>
    <row r="3004">
      <c r="A3004" s="6" t="inlineStr">
        <is>
          <t>Soja</t>
        </is>
      </c>
      <c r="B3004" s="6" t="inlineStr">
        <is>
          <t>Maceió - AL</t>
        </is>
      </c>
      <c r="C3004" s="6" t="n">
        <v>-9.665990000000001</v>
      </c>
      <c r="D3004" s="6" t="n">
        <v>-35.735</v>
      </c>
      <c r="E3004" s="6" t="inlineStr">
        <is>
          <t>2025-03</t>
        </is>
      </c>
      <c r="F3004" s="6" t="n">
        <v>38624.7530389093</v>
      </c>
      <c r="G3004" s="6" t="inlineStr">
        <is>
          <t>DOMESTICA</t>
        </is>
      </c>
      <c r="H3004" s="6" t="inlineStr">
        <is>
          <t>FIXO</t>
        </is>
      </c>
      <c r="I3004" s="11">
        <f>IF($H3004="AUTO_OFERTA_TOTAL_PRODUTO_PERIODO",SUMIFS(Oferta!$F:$F,Oferta!$A:$A,$A3004,Oferta!$E:$E,$E3004),$F3004)</f>
        <v/>
      </c>
      <c r="J3004" s="6" t="inlineStr">
        <is>
          <t>Informado</t>
        </is>
      </c>
      <c r="K3004" s="6" t="inlineStr">
        <is>
          <t>Demanda doméstica fixa informada pelo usuário.</t>
        </is>
      </c>
    </row>
    <row r="3005">
      <c r="A3005" s="6" t="inlineStr">
        <is>
          <t>Soja</t>
        </is>
      </c>
      <c r="B3005" s="6" t="inlineStr">
        <is>
          <t>Maceió - AL</t>
        </is>
      </c>
      <c r="C3005" s="6" t="n">
        <v>-9.665990000000001</v>
      </c>
      <c r="D3005" s="6" t="n">
        <v>-35.735</v>
      </c>
      <c r="E3005" s="6" t="inlineStr">
        <is>
          <t>2025-04</t>
        </is>
      </c>
      <c r="F3005" s="6" t="n">
        <v>38624.7530389093</v>
      </c>
      <c r="G3005" s="6" t="inlineStr">
        <is>
          <t>DOMESTICA</t>
        </is>
      </c>
      <c r="H3005" s="6" t="inlineStr">
        <is>
          <t>FIXO</t>
        </is>
      </c>
      <c r="I3005" s="11">
        <f>IF($H3005="AUTO_OFERTA_TOTAL_PRODUTO_PERIODO",SUMIFS(Oferta!$F:$F,Oferta!$A:$A,$A3005,Oferta!$E:$E,$E3005),$F3005)</f>
        <v/>
      </c>
      <c r="J3005" s="6" t="inlineStr">
        <is>
          <t>Informado</t>
        </is>
      </c>
      <c r="K3005" s="6" t="inlineStr">
        <is>
          <t>Demanda doméstica fixa informada pelo usuário.</t>
        </is>
      </c>
    </row>
    <row r="3006">
      <c r="A3006" s="6" t="inlineStr">
        <is>
          <t>Soja</t>
        </is>
      </c>
      <c r="B3006" s="6" t="inlineStr">
        <is>
          <t>Maceió - AL</t>
        </is>
      </c>
      <c r="C3006" s="6" t="n">
        <v>-9.665990000000001</v>
      </c>
      <c r="D3006" s="6" t="n">
        <v>-35.735</v>
      </c>
      <c r="E3006" s="6" t="inlineStr">
        <is>
          <t>2025-05</t>
        </is>
      </c>
      <c r="F3006" s="6" t="n">
        <v>38624.7530389093</v>
      </c>
      <c r="G3006" s="6" t="inlineStr">
        <is>
          <t>DOMESTICA</t>
        </is>
      </c>
      <c r="H3006" s="6" t="inlineStr">
        <is>
          <t>FIXO</t>
        </is>
      </c>
      <c r="I3006" s="11">
        <f>IF($H3006="AUTO_OFERTA_TOTAL_PRODUTO_PERIODO",SUMIFS(Oferta!$F:$F,Oferta!$A:$A,$A3006,Oferta!$E:$E,$E3006),$F3006)</f>
        <v/>
      </c>
      <c r="J3006" s="6" t="inlineStr">
        <is>
          <t>Informado</t>
        </is>
      </c>
      <c r="K3006" s="6" t="inlineStr">
        <is>
          <t>Demanda doméstica fixa informada pelo usuário.</t>
        </is>
      </c>
    </row>
    <row r="3007">
      <c r="A3007" s="6" t="inlineStr">
        <is>
          <t>Soja</t>
        </is>
      </c>
      <c r="B3007" s="6" t="inlineStr">
        <is>
          <t>Maceió - AL</t>
        </is>
      </c>
      <c r="C3007" s="6" t="n">
        <v>-9.665990000000001</v>
      </c>
      <c r="D3007" s="6" t="n">
        <v>-35.735</v>
      </c>
      <c r="E3007" s="6" t="inlineStr">
        <is>
          <t>2025-06</t>
        </is>
      </c>
      <c r="F3007" s="6" t="n">
        <v>38624.7530389093</v>
      </c>
      <c r="G3007" s="6" t="inlineStr">
        <is>
          <t>DOMESTICA</t>
        </is>
      </c>
      <c r="H3007" s="6" t="inlineStr">
        <is>
          <t>FIXO</t>
        </is>
      </c>
      <c r="I3007" s="11">
        <f>IF($H3007="AUTO_OFERTA_TOTAL_PRODUTO_PERIODO",SUMIFS(Oferta!$F:$F,Oferta!$A:$A,$A3007,Oferta!$E:$E,$E3007),$F3007)</f>
        <v/>
      </c>
      <c r="J3007" s="6" t="inlineStr">
        <is>
          <t>Informado</t>
        </is>
      </c>
      <c r="K3007" s="6" t="inlineStr">
        <is>
          <t>Demanda doméstica fixa informada pelo usuário.</t>
        </is>
      </c>
    </row>
    <row r="3008">
      <c r="A3008" s="6" t="inlineStr">
        <is>
          <t>Soja</t>
        </is>
      </c>
      <c r="B3008" s="6" t="inlineStr">
        <is>
          <t>Maceió - AL</t>
        </is>
      </c>
      <c r="C3008" s="6" t="n">
        <v>-9.665990000000001</v>
      </c>
      <c r="D3008" s="6" t="n">
        <v>-35.735</v>
      </c>
      <c r="E3008" s="6" t="inlineStr">
        <is>
          <t>2025-07</t>
        </is>
      </c>
      <c r="F3008" s="6" t="n">
        <v>38624.7530389093</v>
      </c>
      <c r="G3008" s="6" t="inlineStr">
        <is>
          <t>DOMESTICA</t>
        </is>
      </c>
      <c r="H3008" s="6" t="inlineStr">
        <is>
          <t>FIXO</t>
        </is>
      </c>
      <c r="I3008" s="11">
        <f>IF($H3008="AUTO_OFERTA_TOTAL_PRODUTO_PERIODO",SUMIFS(Oferta!$F:$F,Oferta!$A:$A,$A3008,Oferta!$E:$E,$E3008),$F3008)</f>
        <v/>
      </c>
      <c r="J3008" s="6" t="inlineStr">
        <is>
          <t>Informado</t>
        </is>
      </c>
      <c r="K3008" s="6" t="inlineStr">
        <is>
          <t>Demanda doméstica fixa informada pelo usuário.</t>
        </is>
      </c>
    </row>
    <row r="3009">
      <c r="A3009" s="6" t="inlineStr">
        <is>
          <t>Soja</t>
        </is>
      </c>
      <c r="B3009" s="6" t="inlineStr">
        <is>
          <t>Maceió - AL</t>
        </is>
      </c>
      <c r="C3009" s="6" t="n">
        <v>-9.665990000000001</v>
      </c>
      <c r="D3009" s="6" t="n">
        <v>-35.735</v>
      </c>
      <c r="E3009" s="6" t="inlineStr">
        <is>
          <t>2025-08</t>
        </is>
      </c>
      <c r="F3009" s="6" t="n">
        <v>38624.7530389093</v>
      </c>
      <c r="G3009" s="6" t="inlineStr">
        <is>
          <t>DOMESTICA</t>
        </is>
      </c>
      <c r="H3009" s="6" t="inlineStr">
        <is>
          <t>FIXO</t>
        </is>
      </c>
      <c r="I3009" s="11">
        <f>IF($H3009="AUTO_OFERTA_TOTAL_PRODUTO_PERIODO",SUMIFS(Oferta!$F:$F,Oferta!$A:$A,$A3009,Oferta!$E:$E,$E3009),$F3009)</f>
        <v/>
      </c>
      <c r="J3009" s="6" t="inlineStr">
        <is>
          <t>Informado</t>
        </is>
      </c>
      <c r="K3009" s="6" t="inlineStr">
        <is>
          <t>Demanda doméstica fixa informada pelo usuário.</t>
        </is>
      </c>
    </row>
    <row r="3010">
      <c r="A3010" s="6" t="inlineStr">
        <is>
          <t>Soja</t>
        </is>
      </c>
      <c r="B3010" s="6" t="inlineStr">
        <is>
          <t>Maceió - AL</t>
        </is>
      </c>
      <c r="C3010" s="6" t="n">
        <v>-9.665990000000001</v>
      </c>
      <c r="D3010" s="6" t="n">
        <v>-35.735</v>
      </c>
      <c r="E3010" s="6" t="inlineStr">
        <is>
          <t>2025-09</t>
        </is>
      </c>
      <c r="F3010" s="6" t="n">
        <v>38624.7530389093</v>
      </c>
      <c r="G3010" s="6" t="inlineStr">
        <is>
          <t>DOMESTICA</t>
        </is>
      </c>
      <c r="H3010" s="6" t="inlineStr">
        <is>
          <t>FIXO</t>
        </is>
      </c>
      <c r="I3010" s="11">
        <f>IF($H3010="AUTO_OFERTA_TOTAL_PRODUTO_PERIODO",SUMIFS(Oferta!$F:$F,Oferta!$A:$A,$A3010,Oferta!$E:$E,$E3010),$F3010)</f>
        <v/>
      </c>
      <c r="J3010" s="6" t="inlineStr">
        <is>
          <t>Informado</t>
        </is>
      </c>
      <c r="K3010" s="6" t="inlineStr">
        <is>
          <t>Demanda doméstica fixa informada pelo usuário.</t>
        </is>
      </c>
    </row>
    <row r="3011">
      <c r="A3011" s="6" t="inlineStr">
        <is>
          <t>Soja</t>
        </is>
      </c>
      <c r="B3011" s="6" t="inlineStr">
        <is>
          <t>Maceió - AL</t>
        </is>
      </c>
      <c r="C3011" s="6" t="n">
        <v>-9.665990000000001</v>
      </c>
      <c r="D3011" s="6" t="n">
        <v>-35.735</v>
      </c>
      <c r="E3011" s="6" t="inlineStr">
        <is>
          <t>2025-10</t>
        </is>
      </c>
      <c r="F3011" s="6" t="n">
        <v>38624.7530389093</v>
      </c>
      <c r="G3011" s="6" t="inlineStr">
        <is>
          <t>DOMESTICA</t>
        </is>
      </c>
      <c r="H3011" s="6" t="inlineStr">
        <is>
          <t>FIXO</t>
        </is>
      </c>
      <c r="I3011" s="11">
        <f>IF($H3011="AUTO_OFERTA_TOTAL_PRODUTO_PERIODO",SUMIFS(Oferta!$F:$F,Oferta!$A:$A,$A3011,Oferta!$E:$E,$E3011),$F3011)</f>
        <v/>
      </c>
      <c r="J3011" s="6" t="inlineStr">
        <is>
          <t>Informado</t>
        </is>
      </c>
      <c r="K3011" s="6" t="inlineStr">
        <is>
          <t>Demanda doméstica fixa informada pelo usuário.</t>
        </is>
      </c>
    </row>
    <row r="3012">
      <c r="A3012" s="6" t="inlineStr">
        <is>
          <t>Soja</t>
        </is>
      </c>
      <c r="B3012" s="6" t="inlineStr">
        <is>
          <t>Maceió - AL</t>
        </is>
      </c>
      <c r="C3012" s="6" t="n">
        <v>-9.665990000000001</v>
      </c>
      <c r="D3012" s="6" t="n">
        <v>-35.735</v>
      </c>
      <c r="E3012" s="6" t="inlineStr">
        <is>
          <t>2025-11</t>
        </is>
      </c>
      <c r="F3012" s="6" t="n">
        <v>38624.7530389093</v>
      </c>
      <c r="G3012" s="6" t="inlineStr">
        <is>
          <t>DOMESTICA</t>
        </is>
      </c>
      <c r="H3012" s="6" t="inlineStr">
        <is>
          <t>FIXO</t>
        </is>
      </c>
      <c r="I3012" s="11">
        <f>IF($H3012="AUTO_OFERTA_TOTAL_PRODUTO_PERIODO",SUMIFS(Oferta!$F:$F,Oferta!$A:$A,$A3012,Oferta!$E:$E,$E3012),$F3012)</f>
        <v/>
      </c>
      <c r="J3012" s="6" t="inlineStr">
        <is>
          <t>Informado</t>
        </is>
      </c>
      <c r="K3012" s="6" t="inlineStr">
        <is>
          <t>Demanda doméstica fixa informada pelo usuário.</t>
        </is>
      </c>
    </row>
    <row r="3013">
      <c r="A3013" s="6" t="inlineStr">
        <is>
          <t>Soja</t>
        </is>
      </c>
      <c r="B3013" s="6" t="inlineStr">
        <is>
          <t>Maceió - AL</t>
        </is>
      </c>
      <c r="C3013" s="6" t="n">
        <v>-9.665990000000001</v>
      </c>
      <c r="D3013" s="6" t="n">
        <v>-35.735</v>
      </c>
      <c r="E3013" s="6" t="inlineStr">
        <is>
          <t>2025-12</t>
        </is>
      </c>
      <c r="F3013" s="6" t="n">
        <v>38624.7530389093</v>
      </c>
      <c r="G3013" s="6" t="inlineStr">
        <is>
          <t>DOMESTICA</t>
        </is>
      </c>
      <c r="H3013" s="6" t="inlineStr">
        <is>
          <t>FIXO</t>
        </is>
      </c>
      <c r="I3013" s="11">
        <f>IF($H3013="AUTO_OFERTA_TOTAL_PRODUTO_PERIODO",SUMIFS(Oferta!$F:$F,Oferta!$A:$A,$A3013,Oferta!$E:$E,$E3013),$F3013)</f>
        <v/>
      </c>
      <c r="J3013" s="6" t="inlineStr">
        <is>
          <t>Informado</t>
        </is>
      </c>
      <c r="K3013" s="6" t="inlineStr">
        <is>
          <t>Demanda doméstica fixa informada pelo usuário.</t>
        </is>
      </c>
    </row>
    <row r="3014">
      <c r="A3014" s="6" t="inlineStr">
        <is>
          <t>Soja</t>
        </is>
      </c>
      <c r="B3014" s="6" t="inlineStr">
        <is>
          <t>Salvador - BA</t>
        </is>
      </c>
      <c r="C3014" s="6" t="n">
        <v>-12.9718</v>
      </c>
      <c r="D3014" s="6" t="n">
        <v>-38.5011</v>
      </c>
      <c r="E3014" s="6" t="inlineStr">
        <is>
          <t>2025-01</t>
        </is>
      </c>
      <c r="F3014" s="6" t="n">
        <v>128166.3952199563</v>
      </c>
      <c r="G3014" s="6" t="inlineStr">
        <is>
          <t>DOMESTICA</t>
        </is>
      </c>
      <c r="H3014" s="6" t="inlineStr">
        <is>
          <t>FIXO</t>
        </is>
      </c>
      <c r="I3014" s="11">
        <f>IF($H3014="AUTO_OFERTA_TOTAL_PRODUTO_PERIODO",SUMIFS(Oferta!$F:$F,Oferta!$A:$A,$A3014,Oferta!$E:$E,$E3014),$F3014)</f>
        <v/>
      </c>
      <c r="J3014" s="6" t="inlineStr">
        <is>
          <t>Informado</t>
        </is>
      </c>
      <c r="K3014" s="6" t="inlineStr">
        <is>
          <t>Demanda doméstica fixa informada pelo usuário.</t>
        </is>
      </c>
    </row>
    <row r="3015">
      <c r="A3015" s="6" t="inlineStr">
        <is>
          <t>Soja</t>
        </is>
      </c>
      <c r="B3015" s="6" t="inlineStr">
        <is>
          <t>Salvador - BA</t>
        </is>
      </c>
      <c r="C3015" s="6" t="n">
        <v>-12.9718</v>
      </c>
      <c r="D3015" s="6" t="n">
        <v>-38.5011</v>
      </c>
      <c r="E3015" s="6" t="inlineStr">
        <is>
          <t>2025-02</t>
        </is>
      </c>
      <c r="F3015" s="6" t="n">
        <v>128166.3952199563</v>
      </c>
      <c r="G3015" s="6" t="inlineStr">
        <is>
          <t>DOMESTICA</t>
        </is>
      </c>
      <c r="H3015" s="6" t="inlineStr">
        <is>
          <t>FIXO</t>
        </is>
      </c>
      <c r="I3015" s="11">
        <f>IF($H3015="AUTO_OFERTA_TOTAL_PRODUTO_PERIODO",SUMIFS(Oferta!$F:$F,Oferta!$A:$A,$A3015,Oferta!$E:$E,$E3015),$F3015)</f>
        <v/>
      </c>
      <c r="J3015" s="6" t="inlineStr">
        <is>
          <t>Informado</t>
        </is>
      </c>
      <c r="K3015" s="6" t="inlineStr">
        <is>
          <t>Demanda doméstica fixa informada pelo usuário.</t>
        </is>
      </c>
    </row>
    <row r="3016">
      <c r="A3016" s="6" t="inlineStr">
        <is>
          <t>Soja</t>
        </is>
      </c>
      <c r="B3016" s="6" t="inlineStr">
        <is>
          <t>Salvador - BA</t>
        </is>
      </c>
      <c r="C3016" s="6" t="n">
        <v>-12.9718</v>
      </c>
      <c r="D3016" s="6" t="n">
        <v>-38.5011</v>
      </c>
      <c r="E3016" s="6" t="inlineStr">
        <is>
          <t>2025-03</t>
        </is>
      </c>
      <c r="F3016" s="6" t="n">
        <v>205549.879126345</v>
      </c>
      <c r="G3016" s="6" t="inlineStr">
        <is>
          <t>DOMESTICA</t>
        </is>
      </c>
      <c r="H3016" s="6" t="inlineStr">
        <is>
          <t>FIXO</t>
        </is>
      </c>
      <c r="I3016" s="11">
        <f>IF($H3016="AUTO_OFERTA_TOTAL_PRODUTO_PERIODO",SUMIFS(Oferta!$F:$F,Oferta!$A:$A,$A3016,Oferta!$E:$E,$E3016),$F3016)</f>
        <v/>
      </c>
      <c r="J3016" s="6" t="inlineStr">
        <is>
          <t>Informado</t>
        </is>
      </c>
      <c r="K3016" s="6" t="inlineStr">
        <is>
          <t>Demanda doméstica fixa informada pelo usuário.</t>
        </is>
      </c>
    </row>
    <row r="3017">
      <c r="A3017" s="6" t="inlineStr">
        <is>
          <t>Soja</t>
        </is>
      </c>
      <c r="B3017" s="6" t="inlineStr">
        <is>
          <t>Salvador - BA</t>
        </is>
      </c>
      <c r="C3017" s="6" t="n">
        <v>-12.9718</v>
      </c>
      <c r="D3017" s="6" t="n">
        <v>-38.5011</v>
      </c>
      <c r="E3017" s="6" t="inlineStr">
        <is>
          <t>2025-04</t>
        </is>
      </c>
      <c r="F3017" s="6" t="n">
        <v>360316.8469391224</v>
      </c>
      <c r="G3017" s="6" t="inlineStr">
        <is>
          <t>DOMESTICA</t>
        </is>
      </c>
      <c r="H3017" s="6" t="inlineStr">
        <is>
          <t>FIXO</t>
        </is>
      </c>
      <c r="I3017" s="11">
        <f>IF($H3017="AUTO_OFERTA_TOTAL_PRODUTO_PERIODO",SUMIFS(Oferta!$F:$F,Oferta!$A:$A,$A3017,Oferta!$E:$E,$E3017),$F3017)</f>
        <v/>
      </c>
      <c r="J3017" s="6" t="inlineStr">
        <is>
          <t>Informado</t>
        </is>
      </c>
      <c r="K3017" s="6" t="inlineStr">
        <is>
          <t>Demanda doméstica fixa informada pelo usuário.</t>
        </is>
      </c>
    </row>
    <row r="3018">
      <c r="A3018" s="6" t="inlineStr">
        <is>
          <t>Soja</t>
        </is>
      </c>
      <c r="B3018" s="6" t="inlineStr">
        <is>
          <t>Salvador - BA</t>
        </is>
      </c>
      <c r="C3018" s="6" t="n">
        <v>-12.9718</v>
      </c>
      <c r="D3018" s="6" t="n">
        <v>-38.5011</v>
      </c>
      <c r="E3018" s="6" t="inlineStr">
        <is>
          <t>2025-05</t>
        </is>
      </c>
      <c r="F3018" s="6" t="n">
        <v>515083.8147518998</v>
      </c>
      <c r="G3018" s="6" t="inlineStr">
        <is>
          <t>DOMESTICA</t>
        </is>
      </c>
      <c r="H3018" s="6" t="inlineStr">
        <is>
          <t>FIXO</t>
        </is>
      </c>
      <c r="I3018" s="11">
        <f>IF($H3018="AUTO_OFERTA_TOTAL_PRODUTO_PERIODO",SUMIFS(Oferta!$F:$F,Oferta!$A:$A,$A3018,Oferta!$E:$E,$E3018),$F3018)</f>
        <v/>
      </c>
      <c r="J3018" s="6" t="inlineStr">
        <is>
          <t>Informado</t>
        </is>
      </c>
      <c r="K3018" s="6" t="inlineStr">
        <is>
          <t>Demanda doméstica fixa informada pelo usuário.</t>
        </is>
      </c>
    </row>
    <row r="3019">
      <c r="A3019" s="6" t="inlineStr">
        <is>
          <t>Soja</t>
        </is>
      </c>
      <c r="B3019" s="6" t="inlineStr">
        <is>
          <t>Salvador - BA</t>
        </is>
      </c>
      <c r="C3019" s="6" t="n">
        <v>-12.9718</v>
      </c>
      <c r="D3019" s="6" t="n">
        <v>-38.5011</v>
      </c>
      <c r="E3019" s="6" t="inlineStr">
        <is>
          <t>2025-06</t>
        </is>
      </c>
      <c r="F3019" s="6" t="n">
        <v>476392.0727987055</v>
      </c>
      <c r="G3019" s="6" t="inlineStr">
        <is>
          <t>DOMESTICA</t>
        </is>
      </c>
      <c r="H3019" s="6" t="inlineStr">
        <is>
          <t>FIXO</t>
        </is>
      </c>
      <c r="I3019" s="11">
        <f>IF($H3019="AUTO_OFERTA_TOTAL_PRODUTO_PERIODO",SUMIFS(Oferta!$F:$F,Oferta!$A:$A,$A3019,Oferta!$E:$E,$E3019),$F3019)</f>
        <v/>
      </c>
      <c r="J3019" s="6" t="inlineStr">
        <is>
          <t>Informado</t>
        </is>
      </c>
      <c r="K3019" s="6" t="inlineStr">
        <is>
          <t>Demanda doméstica fixa informada pelo usuário.</t>
        </is>
      </c>
    </row>
    <row r="3020">
      <c r="A3020" s="6" t="inlineStr">
        <is>
          <t>Soja</t>
        </is>
      </c>
      <c r="B3020" s="6" t="inlineStr">
        <is>
          <t>Salvador - BA</t>
        </is>
      </c>
      <c r="C3020" s="6" t="n">
        <v>-12.9718</v>
      </c>
      <c r="D3020" s="6" t="n">
        <v>-38.5011</v>
      </c>
      <c r="E3020" s="6" t="inlineStr">
        <is>
          <t>2025-07</t>
        </is>
      </c>
      <c r="F3020" s="6" t="n">
        <v>321625.104985928</v>
      </c>
      <c r="G3020" s="6" t="inlineStr">
        <is>
          <t>DOMESTICA</t>
        </is>
      </c>
      <c r="H3020" s="6" t="inlineStr">
        <is>
          <t>FIXO</t>
        </is>
      </c>
      <c r="I3020" s="11">
        <f>IF($H3020="AUTO_OFERTA_TOTAL_PRODUTO_PERIODO",SUMIFS(Oferta!$F:$F,Oferta!$A:$A,$A3020,Oferta!$E:$E,$E3020),$F3020)</f>
        <v/>
      </c>
      <c r="J3020" s="6" t="inlineStr">
        <is>
          <t>Informado</t>
        </is>
      </c>
      <c r="K3020" s="6" t="inlineStr">
        <is>
          <t>Demanda doméstica fixa informada pelo usuário.</t>
        </is>
      </c>
    </row>
    <row r="3021">
      <c r="A3021" s="6" t="inlineStr">
        <is>
          <t>Soja</t>
        </is>
      </c>
      <c r="B3021" s="6" t="inlineStr">
        <is>
          <t>Salvador - BA</t>
        </is>
      </c>
      <c r="C3021" s="6" t="n">
        <v>-12.9718</v>
      </c>
      <c r="D3021" s="6" t="n">
        <v>-38.5011</v>
      </c>
      <c r="E3021" s="6" t="inlineStr">
        <is>
          <t>2025-08</t>
        </is>
      </c>
      <c r="F3021" s="6" t="n">
        <v>166858.1371731506</v>
      </c>
      <c r="G3021" s="6" t="inlineStr">
        <is>
          <t>DOMESTICA</t>
        </is>
      </c>
      <c r="H3021" s="6" t="inlineStr">
        <is>
          <t>FIXO</t>
        </is>
      </c>
      <c r="I3021" s="11">
        <f>IF($H3021="AUTO_OFERTA_TOTAL_PRODUTO_PERIODO",SUMIFS(Oferta!$F:$F,Oferta!$A:$A,$A3021,Oferta!$E:$E,$E3021),$F3021)</f>
        <v/>
      </c>
      <c r="J3021" s="6" t="inlineStr">
        <is>
          <t>Informado</t>
        </is>
      </c>
      <c r="K3021" s="6" t="inlineStr">
        <is>
          <t>Demanda doméstica fixa informada pelo usuário.</t>
        </is>
      </c>
    </row>
    <row r="3022">
      <c r="A3022" s="6" t="inlineStr">
        <is>
          <t>Soja</t>
        </is>
      </c>
      <c r="B3022" s="6" t="inlineStr">
        <is>
          <t>Salvador - BA</t>
        </is>
      </c>
      <c r="C3022" s="6" t="n">
        <v>-12.9718</v>
      </c>
      <c r="D3022" s="6" t="n">
        <v>-38.5011</v>
      </c>
      <c r="E3022" s="6" t="inlineStr">
        <is>
          <t>2025-09</t>
        </is>
      </c>
      <c r="F3022" s="6" t="n">
        <v>128166.3952199563</v>
      </c>
      <c r="G3022" s="6" t="inlineStr">
        <is>
          <t>DOMESTICA</t>
        </is>
      </c>
      <c r="H3022" s="6" t="inlineStr">
        <is>
          <t>FIXO</t>
        </is>
      </c>
      <c r="I3022" s="11">
        <f>IF($H3022="AUTO_OFERTA_TOTAL_PRODUTO_PERIODO",SUMIFS(Oferta!$F:$F,Oferta!$A:$A,$A3022,Oferta!$E:$E,$E3022),$F3022)</f>
        <v/>
      </c>
      <c r="J3022" s="6" t="inlineStr">
        <is>
          <t>Informado</t>
        </is>
      </c>
      <c r="K3022" s="6" t="inlineStr">
        <is>
          <t>Demanda doméstica fixa informada pelo usuário.</t>
        </is>
      </c>
    </row>
    <row r="3023">
      <c r="A3023" s="6" t="inlineStr">
        <is>
          <t>Soja</t>
        </is>
      </c>
      <c r="B3023" s="6" t="inlineStr">
        <is>
          <t>Salvador - BA</t>
        </is>
      </c>
      <c r="C3023" s="6" t="n">
        <v>-12.9718</v>
      </c>
      <c r="D3023" s="6" t="n">
        <v>-38.5011</v>
      </c>
      <c r="E3023" s="6" t="inlineStr">
        <is>
          <t>2025-10</t>
        </is>
      </c>
      <c r="F3023" s="6" t="n">
        <v>128166.3952199563</v>
      </c>
      <c r="G3023" s="6" t="inlineStr">
        <is>
          <t>DOMESTICA</t>
        </is>
      </c>
      <c r="H3023" s="6" t="inlineStr">
        <is>
          <t>FIXO</t>
        </is>
      </c>
      <c r="I3023" s="11">
        <f>IF($H3023="AUTO_OFERTA_TOTAL_PRODUTO_PERIODO",SUMIFS(Oferta!$F:$F,Oferta!$A:$A,$A3023,Oferta!$E:$E,$E3023),$F3023)</f>
        <v/>
      </c>
      <c r="J3023" s="6" t="inlineStr">
        <is>
          <t>Informado</t>
        </is>
      </c>
      <c r="K3023" s="6" t="inlineStr">
        <is>
          <t>Demanda doméstica fixa informada pelo usuário.</t>
        </is>
      </c>
    </row>
    <row r="3024">
      <c r="A3024" s="6" t="inlineStr">
        <is>
          <t>Soja</t>
        </is>
      </c>
      <c r="B3024" s="6" t="inlineStr">
        <is>
          <t>Salvador - BA</t>
        </is>
      </c>
      <c r="C3024" s="6" t="n">
        <v>-12.9718</v>
      </c>
      <c r="D3024" s="6" t="n">
        <v>-38.5011</v>
      </c>
      <c r="E3024" s="6" t="inlineStr">
        <is>
          <t>2025-11</t>
        </is>
      </c>
      <c r="F3024" s="6" t="n">
        <v>128166.3952199563</v>
      </c>
      <c r="G3024" s="6" t="inlineStr">
        <is>
          <t>DOMESTICA</t>
        </is>
      </c>
      <c r="H3024" s="6" t="inlineStr">
        <is>
          <t>FIXO</t>
        </is>
      </c>
      <c r="I3024" s="11">
        <f>IF($H3024="AUTO_OFERTA_TOTAL_PRODUTO_PERIODO",SUMIFS(Oferta!$F:$F,Oferta!$A:$A,$A3024,Oferta!$E:$E,$E3024),$F3024)</f>
        <v/>
      </c>
      <c r="J3024" s="6" t="inlineStr">
        <is>
          <t>Informado</t>
        </is>
      </c>
      <c r="K3024" s="6" t="inlineStr">
        <is>
          <t>Demanda doméstica fixa informada pelo usuário.</t>
        </is>
      </c>
    </row>
    <row r="3025">
      <c r="A3025" s="6" t="inlineStr">
        <is>
          <t>Soja</t>
        </is>
      </c>
      <c r="B3025" s="6" t="inlineStr">
        <is>
          <t>Salvador - BA</t>
        </is>
      </c>
      <c r="C3025" s="6" t="n">
        <v>-12.9718</v>
      </c>
      <c r="D3025" s="6" t="n">
        <v>-38.5011</v>
      </c>
      <c r="E3025" s="6" t="inlineStr">
        <is>
          <t>2025-12</t>
        </is>
      </c>
      <c r="F3025" s="6" t="n">
        <v>128166.3952199563</v>
      </c>
      <c r="G3025" s="6" t="inlineStr">
        <is>
          <t>DOMESTICA</t>
        </is>
      </c>
      <c r="H3025" s="6" t="inlineStr">
        <is>
          <t>FIXO</t>
        </is>
      </c>
      <c r="I3025" s="11">
        <f>IF($H3025="AUTO_OFERTA_TOTAL_PRODUTO_PERIODO",SUMIFS(Oferta!$F:$F,Oferta!$A:$A,$A3025,Oferta!$E:$E,$E3025),$F3025)</f>
        <v/>
      </c>
      <c r="J3025" s="6" t="inlineStr">
        <is>
          <t>Informado</t>
        </is>
      </c>
      <c r="K3025" s="6" t="inlineStr">
        <is>
          <t>Demanda doméstica fixa informada pelo usuário.</t>
        </is>
      </c>
    </row>
    <row r="3026">
      <c r="A3026" s="6" t="inlineStr">
        <is>
          <t>Soja</t>
        </is>
      </c>
      <c r="B3026" s="6" t="inlineStr">
        <is>
          <t>Fortaleza - CE</t>
        </is>
      </c>
      <c r="C3026" s="6" t="n">
        <v>-3.71664</v>
      </c>
      <c r="D3026" s="6" t="n">
        <v>-38.5423</v>
      </c>
      <c r="E3026" s="6" t="inlineStr">
        <is>
          <t>2025-01</t>
        </is>
      </c>
      <c r="F3026" s="6" t="n">
        <v>87177.2457719478</v>
      </c>
      <c r="G3026" s="6" t="inlineStr">
        <is>
          <t>DOMESTICA</t>
        </is>
      </c>
      <c r="H3026" s="6" t="inlineStr">
        <is>
          <t>FIXO</t>
        </is>
      </c>
      <c r="I3026" s="11">
        <f>IF($H3026="AUTO_OFERTA_TOTAL_PRODUTO_PERIODO",SUMIFS(Oferta!$F:$F,Oferta!$A:$A,$A3026,Oferta!$E:$E,$E3026),$F3026)</f>
        <v/>
      </c>
      <c r="J3026" s="6" t="inlineStr">
        <is>
          <t>Informado</t>
        </is>
      </c>
      <c r="K3026" s="6" t="inlineStr">
        <is>
          <t>Demanda doméstica fixa informada pelo usuário.</t>
        </is>
      </c>
    </row>
    <row r="3027">
      <c r="A3027" s="6" t="inlineStr">
        <is>
          <t>Soja</t>
        </is>
      </c>
      <c r="B3027" s="6" t="inlineStr">
        <is>
          <t>Fortaleza - CE</t>
        </is>
      </c>
      <c r="C3027" s="6" t="n">
        <v>-3.71664</v>
      </c>
      <c r="D3027" s="6" t="n">
        <v>-38.5423</v>
      </c>
      <c r="E3027" s="6" t="inlineStr">
        <is>
          <t>2025-02</t>
        </is>
      </c>
      <c r="F3027" s="6" t="n">
        <v>87177.2457719478</v>
      </c>
      <c r="G3027" s="6" t="inlineStr">
        <is>
          <t>DOMESTICA</t>
        </is>
      </c>
      <c r="H3027" s="6" t="inlineStr">
        <is>
          <t>FIXO</t>
        </is>
      </c>
      <c r="I3027" s="11">
        <f>IF($H3027="AUTO_OFERTA_TOTAL_PRODUTO_PERIODO",SUMIFS(Oferta!$F:$F,Oferta!$A:$A,$A3027,Oferta!$E:$E,$E3027),$F3027)</f>
        <v/>
      </c>
      <c r="J3027" s="6" t="inlineStr">
        <is>
          <t>Informado</t>
        </is>
      </c>
      <c r="K3027" s="6" t="inlineStr">
        <is>
          <t>Demanda doméstica fixa informada pelo usuário.</t>
        </is>
      </c>
    </row>
    <row r="3028">
      <c r="A3028" s="6" t="inlineStr">
        <is>
          <t>Soja</t>
        </is>
      </c>
      <c r="B3028" s="6" t="inlineStr">
        <is>
          <t>Fortaleza - CE</t>
        </is>
      </c>
      <c r="C3028" s="6" t="n">
        <v>-3.71664</v>
      </c>
      <c r="D3028" s="6" t="n">
        <v>-38.5423</v>
      </c>
      <c r="E3028" s="6" t="inlineStr">
        <is>
          <t>2025-03</t>
        </is>
      </c>
      <c r="F3028" s="6" t="n">
        <v>87177.2457719478</v>
      </c>
      <c r="G3028" s="6" t="inlineStr">
        <is>
          <t>DOMESTICA</t>
        </is>
      </c>
      <c r="H3028" s="6" t="inlineStr">
        <is>
          <t>FIXO</t>
        </is>
      </c>
      <c r="I3028" s="11">
        <f>IF($H3028="AUTO_OFERTA_TOTAL_PRODUTO_PERIODO",SUMIFS(Oferta!$F:$F,Oferta!$A:$A,$A3028,Oferta!$E:$E,$E3028),$F3028)</f>
        <v/>
      </c>
      <c r="J3028" s="6" t="inlineStr">
        <is>
          <t>Informado</t>
        </is>
      </c>
      <c r="K3028" s="6" t="inlineStr">
        <is>
          <t>Demanda doméstica fixa informada pelo usuário.</t>
        </is>
      </c>
    </row>
    <row r="3029">
      <c r="A3029" s="6" t="inlineStr">
        <is>
          <t>Soja</t>
        </is>
      </c>
      <c r="B3029" s="6" t="inlineStr">
        <is>
          <t>Fortaleza - CE</t>
        </is>
      </c>
      <c r="C3029" s="6" t="n">
        <v>-3.71664</v>
      </c>
      <c r="D3029" s="6" t="n">
        <v>-38.5423</v>
      </c>
      <c r="E3029" s="6" t="inlineStr">
        <is>
          <t>2025-04</t>
        </is>
      </c>
      <c r="F3029" s="6" t="n">
        <v>87177.2457719478</v>
      </c>
      <c r="G3029" s="6" t="inlineStr">
        <is>
          <t>DOMESTICA</t>
        </is>
      </c>
      <c r="H3029" s="6" t="inlineStr">
        <is>
          <t>FIXO</t>
        </is>
      </c>
      <c r="I3029" s="11">
        <f>IF($H3029="AUTO_OFERTA_TOTAL_PRODUTO_PERIODO",SUMIFS(Oferta!$F:$F,Oferta!$A:$A,$A3029,Oferta!$E:$E,$E3029),$F3029)</f>
        <v/>
      </c>
      <c r="J3029" s="6" t="inlineStr">
        <is>
          <t>Informado</t>
        </is>
      </c>
      <c r="K3029" s="6" t="inlineStr">
        <is>
          <t>Demanda doméstica fixa informada pelo usuário.</t>
        </is>
      </c>
    </row>
    <row r="3030">
      <c r="A3030" s="6" t="inlineStr">
        <is>
          <t>Soja</t>
        </is>
      </c>
      <c r="B3030" s="6" t="inlineStr">
        <is>
          <t>Fortaleza - CE</t>
        </is>
      </c>
      <c r="C3030" s="6" t="n">
        <v>-3.71664</v>
      </c>
      <c r="D3030" s="6" t="n">
        <v>-38.5423</v>
      </c>
      <c r="E3030" s="6" t="inlineStr">
        <is>
          <t>2025-05</t>
        </is>
      </c>
      <c r="F3030" s="6" t="n">
        <v>87177.2457719478</v>
      </c>
      <c r="G3030" s="6" t="inlineStr">
        <is>
          <t>DOMESTICA</t>
        </is>
      </c>
      <c r="H3030" s="6" t="inlineStr">
        <is>
          <t>FIXO</t>
        </is>
      </c>
      <c r="I3030" s="11">
        <f>IF($H3030="AUTO_OFERTA_TOTAL_PRODUTO_PERIODO",SUMIFS(Oferta!$F:$F,Oferta!$A:$A,$A3030,Oferta!$E:$E,$E3030),$F3030)</f>
        <v/>
      </c>
      <c r="J3030" s="6" t="inlineStr">
        <is>
          <t>Informado</t>
        </is>
      </c>
      <c r="K3030" s="6" t="inlineStr">
        <is>
          <t>Demanda doméstica fixa informada pelo usuário.</t>
        </is>
      </c>
    </row>
    <row r="3031">
      <c r="A3031" s="6" t="inlineStr">
        <is>
          <t>Soja</t>
        </is>
      </c>
      <c r="B3031" s="6" t="inlineStr">
        <is>
          <t>Fortaleza - CE</t>
        </is>
      </c>
      <c r="C3031" s="6" t="n">
        <v>-3.71664</v>
      </c>
      <c r="D3031" s="6" t="n">
        <v>-38.5423</v>
      </c>
      <c r="E3031" s="6" t="inlineStr">
        <is>
          <t>2025-06</t>
        </is>
      </c>
      <c r="F3031" s="6" t="n">
        <v>87177.2457719478</v>
      </c>
      <c r="G3031" s="6" t="inlineStr">
        <is>
          <t>DOMESTICA</t>
        </is>
      </c>
      <c r="H3031" s="6" t="inlineStr">
        <is>
          <t>FIXO</t>
        </is>
      </c>
      <c r="I3031" s="11">
        <f>IF($H3031="AUTO_OFERTA_TOTAL_PRODUTO_PERIODO",SUMIFS(Oferta!$F:$F,Oferta!$A:$A,$A3031,Oferta!$E:$E,$E3031),$F3031)</f>
        <v/>
      </c>
      <c r="J3031" s="6" t="inlineStr">
        <is>
          <t>Informado</t>
        </is>
      </c>
      <c r="K3031" s="6" t="inlineStr">
        <is>
          <t>Demanda doméstica fixa informada pelo usuário.</t>
        </is>
      </c>
    </row>
    <row r="3032">
      <c r="A3032" s="6" t="inlineStr">
        <is>
          <t>Soja</t>
        </is>
      </c>
      <c r="B3032" s="6" t="inlineStr">
        <is>
          <t>Fortaleza - CE</t>
        </is>
      </c>
      <c r="C3032" s="6" t="n">
        <v>-3.71664</v>
      </c>
      <c r="D3032" s="6" t="n">
        <v>-38.5423</v>
      </c>
      <c r="E3032" s="6" t="inlineStr">
        <is>
          <t>2025-07</t>
        </is>
      </c>
      <c r="F3032" s="6" t="n">
        <v>87177.2457719478</v>
      </c>
      <c r="G3032" s="6" t="inlineStr">
        <is>
          <t>DOMESTICA</t>
        </is>
      </c>
      <c r="H3032" s="6" t="inlineStr">
        <is>
          <t>FIXO</t>
        </is>
      </c>
      <c r="I3032" s="11">
        <f>IF($H3032="AUTO_OFERTA_TOTAL_PRODUTO_PERIODO",SUMIFS(Oferta!$F:$F,Oferta!$A:$A,$A3032,Oferta!$E:$E,$E3032),$F3032)</f>
        <v/>
      </c>
      <c r="J3032" s="6" t="inlineStr">
        <is>
          <t>Informado</t>
        </is>
      </c>
      <c r="K3032" s="6" t="inlineStr">
        <is>
          <t>Demanda doméstica fixa informada pelo usuário.</t>
        </is>
      </c>
    </row>
    <row r="3033">
      <c r="A3033" s="6" t="inlineStr">
        <is>
          <t>Soja</t>
        </is>
      </c>
      <c r="B3033" s="6" t="inlineStr">
        <is>
          <t>Fortaleza - CE</t>
        </is>
      </c>
      <c r="C3033" s="6" t="n">
        <v>-3.71664</v>
      </c>
      <c r="D3033" s="6" t="n">
        <v>-38.5423</v>
      </c>
      <c r="E3033" s="6" t="inlineStr">
        <is>
          <t>2025-08</t>
        </is>
      </c>
      <c r="F3033" s="6" t="n">
        <v>87177.2457719478</v>
      </c>
      <c r="G3033" s="6" t="inlineStr">
        <is>
          <t>DOMESTICA</t>
        </is>
      </c>
      <c r="H3033" s="6" t="inlineStr">
        <is>
          <t>FIXO</t>
        </is>
      </c>
      <c r="I3033" s="11">
        <f>IF($H3033="AUTO_OFERTA_TOTAL_PRODUTO_PERIODO",SUMIFS(Oferta!$F:$F,Oferta!$A:$A,$A3033,Oferta!$E:$E,$E3033),$F3033)</f>
        <v/>
      </c>
      <c r="J3033" s="6" t="inlineStr">
        <is>
          <t>Informado</t>
        </is>
      </c>
      <c r="K3033" s="6" t="inlineStr">
        <is>
          <t>Demanda doméstica fixa informada pelo usuário.</t>
        </is>
      </c>
    </row>
    <row r="3034">
      <c r="A3034" s="6" t="inlineStr">
        <is>
          <t>Soja</t>
        </is>
      </c>
      <c r="B3034" s="6" t="inlineStr">
        <is>
          <t>Fortaleza - CE</t>
        </is>
      </c>
      <c r="C3034" s="6" t="n">
        <v>-3.71664</v>
      </c>
      <c r="D3034" s="6" t="n">
        <v>-38.5423</v>
      </c>
      <c r="E3034" s="6" t="inlineStr">
        <is>
          <t>2025-09</t>
        </is>
      </c>
      <c r="F3034" s="6" t="n">
        <v>87177.2457719478</v>
      </c>
      <c r="G3034" s="6" t="inlineStr">
        <is>
          <t>DOMESTICA</t>
        </is>
      </c>
      <c r="H3034" s="6" t="inlineStr">
        <is>
          <t>FIXO</t>
        </is>
      </c>
      <c r="I3034" s="11">
        <f>IF($H3034="AUTO_OFERTA_TOTAL_PRODUTO_PERIODO",SUMIFS(Oferta!$F:$F,Oferta!$A:$A,$A3034,Oferta!$E:$E,$E3034),$F3034)</f>
        <v/>
      </c>
      <c r="J3034" s="6" t="inlineStr">
        <is>
          <t>Informado</t>
        </is>
      </c>
      <c r="K3034" s="6" t="inlineStr">
        <is>
          <t>Demanda doméstica fixa informada pelo usuário.</t>
        </is>
      </c>
    </row>
    <row r="3035">
      <c r="A3035" s="6" t="inlineStr">
        <is>
          <t>Soja</t>
        </is>
      </c>
      <c r="B3035" s="6" t="inlineStr">
        <is>
          <t>Fortaleza - CE</t>
        </is>
      </c>
      <c r="C3035" s="6" t="n">
        <v>-3.71664</v>
      </c>
      <c r="D3035" s="6" t="n">
        <v>-38.5423</v>
      </c>
      <c r="E3035" s="6" t="inlineStr">
        <is>
          <t>2025-10</t>
        </is>
      </c>
      <c r="F3035" s="6" t="n">
        <v>87177.2457719478</v>
      </c>
      <c r="G3035" s="6" t="inlineStr">
        <is>
          <t>DOMESTICA</t>
        </is>
      </c>
      <c r="H3035" s="6" t="inlineStr">
        <is>
          <t>FIXO</t>
        </is>
      </c>
      <c r="I3035" s="11">
        <f>IF($H3035="AUTO_OFERTA_TOTAL_PRODUTO_PERIODO",SUMIFS(Oferta!$F:$F,Oferta!$A:$A,$A3035,Oferta!$E:$E,$E3035),$F3035)</f>
        <v/>
      </c>
      <c r="J3035" s="6" t="inlineStr">
        <is>
          <t>Informado</t>
        </is>
      </c>
      <c r="K3035" s="6" t="inlineStr">
        <is>
          <t>Demanda doméstica fixa informada pelo usuário.</t>
        </is>
      </c>
    </row>
    <row r="3036">
      <c r="A3036" s="6" t="inlineStr">
        <is>
          <t>Soja</t>
        </is>
      </c>
      <c r="B3036" s="6" t="inlineStr">
        <is>
          <t>Fortaleza - CE</t>
        </is>
      </c>
      <c r="C3036" s="6" t="n">
        <v>-3.71664</v>
      </c>
      <c r="D3036" s="6" t="n">
        <v>-38.5423</v>
      </c>
      <c r="E3036" s="6" t="inlineStr">
        <is>
          <t>2025-11</t>
        </is>
      </c>
      <c r="F3036" s="6" t="n">
        <v>87177.2457719478</v>
      </c>
      <c r="G3036" s="6" t="inlineStr">
        <is>
          <t>DOMESTICA</t>
        </is>
      </c>
      <c r="H3036" s="6" t="inlineStr">
        <is>
          <t>FIXO</t>
        </is>
      </c>
      <c r="I3036" s="11">
        <f>IF($H3036="AUTO_OFERTA_TOTAL_PRODUTO_PERIODO",SUMIFS(Oferta!$F:$F,Oferta!$A:$A,$A3036,Oferta!$E:$E,$E3036),$F3036)</f>
        <v/>
      </c>
      <c r="J3036" s="6" t="inlineStr">
        <is>
          <t>Informado</t>
        </is>
      </c>
      <c r="K3036" s="6" t="inlineStr">
        <is>
          <t>Demanda doméstica fixa informada pelo usuário.</t>
        </is>
      </c>
    </row>
    <row r="3037">
      <c r="A3037" s="6" t="inlineStr">
        <is>
          <t>Soja</t>
        </is>
      </c>
      <c r="B3037" s="6" t="inlineStr">
        <is>
          <t>Fortaleza - CE</t>
        </is>
      </c>
      <c r="C3037" s="6" t="n">
        <v>-3.71664</v>
      </c>
      <c r="D3037" s="6" t="n">
        <v>-38.5423</v>
      </c>
      <c r="E3037" s="6" t="inlineStr">
        <is>
          <t>2025-12</t>
        </is>
      </c>
      <c r="F3037" s="6" t="n">
        <v>87177.2457719478</v>
      </c>
      <c r="G3037" s="6" t="inlineStr">
        <is>
          <t>DOMESTICA</t>
        </is>
      </c>
      <c r="H3037" s="6" t="inlineStr">
        <is>
          <t>FIXO</t>
        </is>
      </c>
      <c r="I3037" s="11">
        <f>IF($H3037="AUTO_OFERTA_TOTAL_PRODUTO_PERIODO",SUMIFS(Oferta!$F:$F,Oferta!$A:$A,$A3037,Oferta!$E:$E,$E3037),$F3037)</f>
        <v/>
      </c>
      <c r="J3037" s="6" t="inlineStr">
        <is>
          <t>Informado</t>
        </is>
      </c>
      <c r="K3037" s="6" t="inlineStr">
        <is>
          <t>Demanda doméstica fixa informada pelo usuário.</t>
        </is>
      </c>
    </row>
    <row r="3038">
      <c r="A3038" s="6" t="inlineStr">
        <is>
          <t>Soja</t>
        </is>
      </c>
      <c r="B3038" s="6" t="inlineStr">
        <is>
          <t>São Luís - MA</t>
        </is>
      </c>
      <c r="C3038" s="6" t="n">
        <v>-2.53874</v>
      </c>
      <c r="D3038" s="6" t="n">
        <v>-44.2825</v>
      </c>
      <c r="E3038" s="6" t="inlineStr">
        <is>
          <t>2025-01</t>
        </is>
      </c>
      <c r="F3038" s="6" t="n">
        <v>41684.9407962806</v>
      </c>
      <c r="G3038" s="6" t="inlineStr">
        <is>
          <t>DOMESTICA</t>
        </is>
      </c>
      <c r="H3038" s="6" t="inlineStr">
        <is>
          <t>FIXO</t>
        </is>
      </c>
      <c r="I3038" s="11">
        <f>IF($H3038="AUTO_OFERTA_TOTAL_PRODUTO_PERIODO",SUMIFS(Oferta!$F:$F,Oferta!$A:$A,$A3038,Oferta!$E:$E,$E3038),$F3038)</f>
        <v/>
      </c>
      <c r="J3038" s="6" t="inlineStr">
        <is>
          <t>Informado</t>
        </is>
      </c>
      <c r="K3038" s="6" t="inlineStr">
        <is>
          <t>Demanda doméstica fixa informada pelo usuário.</t>
        </is>
      </c>
    </row>
    <row r="3039">
      <c r="A3039" s="6" t="inlineStr">
        <is>
          <t>Soja</t>
        </is>
      </c>
      <c r="B3039" s="6" t="inlineStr">
        <is>
          <t>São Luís - MA</t>
        </is>
      </c>
      <c r="C3039" s="6" t="n">
        <v>-2.53874</v>
      </c>
      <c r="D3039" s="6" t="n">
        <v>-44.2825</v>
      </c>
      <c r="E3039" s="6" t="inlineStr">
        <is>
          <t>2025-02</t>
        </is>
      </c>
      <c r="F3039" s="6" t="n">
        <v>41684.9407962806</v>
      </c>
      <c r="G3039" s="6" t="inlineStr">
        <is>
          <t>DOMESTICA</t>
        </is>
      </c>
      <c r="H3039" s="6" t="inlineStr">
        <is>
          <t>FIXO</t>
        </is>
      </c>
      <c r="I3039" s="11">
        <f>IF($H3039="AUTO_OFERTA_TOTAL_PRODUTO_PERIODO",SUMIFS(Oferta!$F:$F,Oferta!$A:$A,$A3039,Oferta!$E:$E,$E3039),$F3039)</f>
        <v/>
      </c>
      <c r="J3039" s="6" t="inlineStr">
        <is>
          <t>Informado</t>
        </is>
      </c>
      <c r="K3039" s="6" t="inlineStr">
        <is>
          <t>Demanda doméstica fixa informada pelo usuário.</t>
        </is>
      </c>
    </row>
    <row r="3040">
      <c r="A3040" s="6" t="inlineStr">
        <is>
          <t>Soja</t>
        </is>
      </c>
      <c r="B3040" s="6" t="inlineStr">
        <is>
          <t>São Luís - MA</t>
        </is>
      </c>
      <c r="C3040" s="6" t="n">
        <v>-2.53874</v>
      </c>
      <c r="D3040" s="6" t="n">
        <v>-44.2825</v>
      </c>
      <c r="E3040" s="6" t="inlineStr">
        <is>
          <t>2025-03</t>
        </is>
      </c>
      <c r="F3040" s="6" t="n">
        <v>54269.0738668559</v>
      </c>
      <c r="G3040" s="6" t="inlineStr">
        <is>
          <t>DOMESTICA</t>
        </is>
      </c>
      <c r="H3040" s="6" t="inlineStr">
        <is>
          <t>FIXO</t>
        </is>
      </c>
      <c r="I3040" s="11">
        <f>IF($H3040="AUTO_OFERTA_TOTAL_PRODUTO_PERIODO",SUMIFS(Oferta!$F:$F,Oferta!$A:$A,$A3040,Oferta!$E:$E,$E3040),$F3040)</f>
        <v/>
      </c>
      <c r="J3040" s="6" t="inlineStr">
        <is>
          <t>Informado</t>
        </is>
      </c>
      <c r="K3040" s="6" t="inlineStr">
        <is>
          <t>Demanda doméstica fixa informada pelo usuário.</t>
        </is>
      </c>
    </row>
    <row r="3041">
      <c r="A3041" s="6" t="inlineStr">
        <is>
          <t>Soja</t>
        </is>
      </c>
      <c r="B3041" s="6" t="inlineStr">
        <is>
          <t>São Luís - MA</t>
        </is>
      </c>
      <c r="C3041" s="6" t="n">
        <v>-2.53874</v>
      </c>
      <c r="D3041" s="6" t="n">
        <v>-44.2825</v>
      </c>
      <c r="E3041" s="6" t="inlineStr">
        <is>
          <t>2025-04</t>
        </is>
      </c>
      <c r="F3041" s="6" t="n">
        <v>104605.606149157</v>
      </c>
      <c r="G3041" s="6" t="inlineStr">
        <is>
          <t>DOMESTICA</t>
        </is>
      </c>
      <c r="H3041" s="6" t="inlineStr">
        <is>
          <t>FIXO</t>
        </is>
      </c>
      <c r="I3041" s="11">
        <f>IF($H3041="AUTO_OFERTA_TOTAL_PRODUTO_PERIODO",SUMIFS(Oferta!$F:$F,Oferta!$A:$A,$A3041,Oferta!$E:$E,$E3041),$F3041)</f>
        <v/>
      </c>
      <c r="J3041" s="6" t="inlineStr">
        <is>
          <t>Informado</t>
        </is>
      </c>
      <c r="K3041" s="6" t="inlineStr">
        <is>
          <t>Demanda doméstica fixa informada pelo usuário.</t>
        </is>
      </c>
    </row>
    <row r="3042">
      <c r="A3042" s="6" t="inlineStr">
        <is>
          <t>Soja</t>
        </is>
      </c>
      <c r="B3042" s="6" t="inlineStr">
        <is>
          <t>São Luís - MA</t>
        </is>
      </c>
      <c r="C3042" s="6" t="n">
        <v>-2.53874</v>
      </c>
      <c r="D3042" s="6" t="n">
        <v>-44.2825</v>
      </c>
      <c r="E3042" s="6" t="inlineStr">
        <is>
          <t>2025-05</t>
        </is>
      </c>
      <c r="F3042" s="6" t="n">
        <v>154942.1384314581</v>
      </c>
      <c r="G3042" s="6" t="inlineStr">
        <is>
          <t>DOMESTICA</t>
        </is>
      </c>
      <c r="H3042" s="6" t="inlineStr">
        <is>
          <t>FIXO</t>
        </is>
      </c>
      <c r="I3042" s="11">
        <f>IF($H3042="AUTO_OFERTA_TOTAL_PRODUTO_PERIODO",SUMIFS(Oferta!$F:$F,Oferta!$A:$A,$A3042,Oferta!$E:$E,$E3042),$F3042)</f>
        <v/>
      </c>
      <c r="J3042" s="6" t="inlineStr">
        <is>
          <t>Informado</t>
        </is>
      </c>
      <c r="K3042" s="6" t="inlineStr">
        <is>
          <t>Demanda doméstica fixa informada pelo usuário.</t>
        </is>
      </c>
    </row>
    <row r="3043">
      <c r="A3043" s="6" t="inlineStr">
        <is>
          <t>Soja</t>
        </is>
      </c>
      <c r="B3043" s="6" t="inlineStr">
        <is>
          <t>São Luís - MA</t>
        </is>
      </c>
      <c r="C3043" s="6" t="n">
        <v>-2.53874</v>
      </c>
      <c r="D3043" s="6" t="n">
        <v>-44.2825</v>
      </c>
      <c r="E3043" s="6" t="inlineStr">
        <is>
          <t>2025-06</t>
        </is>
      </c>
      <c r="F3043" s="6" t="n">
        <v>167526.2715020333</v>
      </c>
      <c r="G3043" s="6" t="inlineStr">
        <is>
          <t>DOMESTICA</t>
        </is>
      </c>
      <c r="H3043" s="6" t="inlineStr">
        <is>
          <t>FIXO</t>
        </is>
      </c>
      <c r="I3043" s="11">
        <f>IF($H3043="AUTO_OFERTA_TOTAL_PRODUTO_PERIODO",SUMIFS(Oferta!$F:$F,Oferta!$A:$A,$A3043,Oferta!$E:$E,$E3043),$F3043)</f>
        <v/>
      </c>
      <c r="J3043" s="6" t="inlineStr">
        <is>
          <t>Informado</t>
        </is>
      </c>
      <c r="K3043" s="6" t="inlineStr">
        <is>
          <t>Demanda doméstica fixa informada pelo usuário.</t>
        </is>
      </c>
    </row>
    <row r="3044">
      <c r="A3044" s="6" t="inlineStr">
        <is>
          <t>Soja</t>
        </is>
      </c>
      <c r="B3044" s="6" t="inlineStr">
        <is>
          <t>São Luís - MA</t>
        </is>
      </c>
      <c r="C3044" s="6" t="n">
        <v>-2.53874</v>
      </c>
      <c r="D3044" s="6" t="n">
        <v>-44.2825</v>
      </c>
      <c r="E3044" s="6" t="inlineStr">
        <is>
          <t>2025-07</t>
        </is>
      </c>
      <c r="F3044" s="6" t="n">
        <v>117189.7392197322</v>
      </c>
      <c r="G3044" s="6" t="inlineStr">
        <is>
          <t>DOMESTICA</t>
        </is>
      </c>
      <c r="H3044" s="6" t="inlineStr">
        <is>
          <t>FIXO</t>
        </is>
      </c>
      <c r="I3044" s="11">
        <f>IF($H3044="AUTO_OFERTA_TOTAL_PRODUTO_PERIODO",SUMIFS(Oferta!$F:$F,Oferta!$A:$A,$A3044,Oferta!$E:$E,$E3044),$F3044)</f>
        <v/>
      </c>
      <c r="J3044" s="6" t="inlineStr">
        <is>
          <t>Informado</t>
        </is>
      </c>
      <c r="K3044" s="6" t="inlineStr">
        <is>
          <t>Demanda doméstica fixa informada pelo usuário.</t>
        </is>
      </c>
    </row>
    <row r="3045">
      <c r="A3045" s="6" t="inlineStr">
        <is>
          <t>Soja</t>
        </is>
      </c>
      <c r="B3045" s="6" t="inlineStr">
        <is>
          <t>São Luís - MA</t>
        </is>
      </c>
      <c r="C3045" s="6" t="n">
        <v>-2.53874</v>
      </c>
      <c r="D3045" s="6" t="n">
        <v>-44.2825</v>
      </c>
      <c r="E3045" s="6" t="inlineStr">
        <is>
          <t>2025-08</t>
        </is>
      </c>
      <c r="F3045" s="6" t="n">
        <v>66853.2069374311</v>
      </c>
      <c r="G3045" s="6" t="inlineStr">
        <is>
          <t>DOMESTICA</t>
        </is>
      </c>
      <c r="H3045" s="6" t="inlineStr">
        <is>
          <t>FIXO</t>
        </is>
      </c>
      <c r="I3045" s="11">
        <f>IF($H3045="AUTO_OFERTA_TOTAL_PRODUTO_PERIODO",SUMIFS(Oferta!$F:$F,Oferta!$A:$A,$A3045,Oferta!$E:$E,$E3045),$F3045)</f>
        <v/>
      </c>
      <c r="J3045" s="6" t="inlineStr">
        <is>
          <t>Informado</t>
        </is>
      </c>
      <c r="K3045" s="6" t="inlineStr">
        <is>
          <t>Demanda doméstica fixa informada pelo usuário.</t>
        </is>
      </c>
    </row>
    <row r="3046">
      <c r="A3046" s="6" t="inlineStr">
        <is>
          <t>Soja</t>
        </is>
      </c>
      <c r="B3046" s="6" t="inlineStr">
        <is>
          <t>São Luís - MA</t>
        </is>
      </c>
      <c r="C3046" s="6" t="n">
        <v>-2.53874</v>
      </c>
      <c r="D3046" s="6" t="n">
        <v>-44.2825</v>
      </c>
      <c r="E3046" s="6" t="inlineStr">
        <is>
          <t>2025-09</t>
        </is>
      </c>
      <c r="F3046" s="6" t="n">
        <v>41684.9407962806</v>
      </c>
      <c r="G3046" s="6" t="inlineStr">
        <is>
          <t>DOMESTICA</t>
        </is>
      </c>
      <c r="H3046" s="6" t="inlineStr">
        <is>
          <t>FIXO</t>
        </is>
      </c>
      <c r="I3046" s="11">
        <f>IF($H3046="AUTO_OFERTA_TOTAL_PRODUTO_PERIODO",SUMIFS(Oferta!$F:$F,Oferta!$A:$A,$A3046,Oferta!$E:$E,$E3046),$F3046)</f>
        <v/>
      </c>
      <c r="J3046" s="6" t="inlineStr">
        <is>
          <t>Informado</t>
        </is>
      </c>
      <c r="K3046" s="6" t="inlineStr">
        <is>
          <t>Demanda doméstica fixa informada pelo usuário.</t>
        </is>
      </c>
    </row>
    <row r="3047">
      <c r="A3047" s="6" t="inlineStr">
        <is>
          <t>Soja</t>
        </is>
      </c>
      <c r="B3047" s="6" t="inlineStr">
        <is>
          <t>São Luís - MA</t>
        </is>
      </c>
      <c r="C3047" s="6" t="n">
        <v>-2.53874</v>
      </c>
      <c r="D3047" s="6" t="n">
        <v>-44.2825</v>
      </c>
      <c r="E3047" s="6" t="inlineStr">
        <is>
          <t>2025-10</t>
        </is>
      </c>
      <c r="F3047" s="6" t="n">
        <v>41684.9407962806</v>
      </c>
      <c r="G3047" s="6" t="inlineStr">
        <is>
          <t>DOMESTICA</t>
        </is>
      </c>
      <c r="H3047" s="6" t="inlineStr">
        <is>
          <t>FIXO</t>
        </is>
      </c>
      <c r="I3047" s="11">
        <f>IF($H3047="AUTO_OFERTA_TOTAL_PRODUTO_PERIODO",SUMIFS(Oferta!$F:$F,Oferta!$A:$A,$A3047,Oferta!$E:$E,$E3047),$F3047)</f>
        <v/>
      </c>
      <c r="J3047" s="6" t="inlineStr">
        <is>
          <t>Informado</t>
        </is>
      </c>
      <c r="K3047" s="6" t="inlineStr">
        <is>
          <t>Demanda doméstica fixa informada pelo usuário.</t>
        </is>
      </c>
    </row>
    <row r="3048">
      <c r="A3048" s="6" t="inlineStr">
        <is>
          <t>Soja</t>
        </is>
      </c>
      <c r="B3048" s="6" t="inlineStr">
        <is>
          <t>São Luís - MA</t>
        </is>
      </c>
      <c r="C3048" s="6" t="n">
        <v>-2.53874</v>
      </c>
      <c r="D3048" s="6" t="n">
        <v>-44.2825</v>
      </c>
      <c r="E3048" s="6" t="inlineStr">
        <is>
          <t>2025-11</t>
        </is>
      </c>
      <c r="F3048" s="6" t="n">
        <v>41684.9407962806</v>
      </c>
      <c r="G3048" s="6" t="inlineStr">
        <is>
          <t>DOMESTICA</t>
        </is>
      </c>
      <c r="H3048" s="6" t="inlineStr">
        <is>
          <t>FIXO</t>
        </is>
      </c>
      <c r="I3048" s="11">
        <f>IF($H3048="AUTO_OFERTA_TOTAL_PRODUTO_PERIODO",SUMIFS(Oferta!$F:$F,Oferta!$A:$A,$A3048,Oferta!$E:$E,$E3048),$F3048)</f>
        <v/>
      </c>
      <c r="J3048" s="6" t="inlineStr">
        <is>
          <t>Informado</t>
        </is>
      </c>
      <c r="K3048" s="6" t="inlineStr">
        <is>
          <t>Demanda doméstica fixa informada pelo usuário.</t>
        </is>
      </c>
    </row>
    <row r="3049">
      <c r="A3049" s="6" t="inlineStr">
        <is>
          <t>Soja</t>
        </is>
      </c>
      <c r="B3049" s="6" t="inlineStr">
        <is>
          <t>São Luís - MA</t>
        </is>
      </c>
      <c r="C3049" s="6" t="n">
        <v>-2.53874</v>
      </c>
      <c r="D3049" s="6" t="n">
        <v>-44.2825</v>
      </c>
      <c r="E3049" s="6" t="inlineStr">
        <is>
          <t>2025-12</t>
        </is>
      </c>
      <c r="F3049" s="6" t="n">
        <v>41684.9407962806</v>
      </c>
      <c r="G3049" s="6" t="inlineStr">
        <is>
          <t>DOMESTICA</t>
        </is>
      </c>
      <c r="H3049" s="6" t="inlineStr">
        <is>
          <t>FIXO</t>
        </is>
      </c>
      <c r="I3049" s="11">
        <f>IF($H3049="AUTO_OFERTA_TOTAL_PRODUTO_PERIODO",SUMIFS(Oferta!$F:$F,Oferta!$A:$A,$A3049,Oferta!$E:$E,$E3049),$F3049)</f>
        <v/>
      </c>
      <c r="J3049" s="6" t="inlineStr">
        <is>
          <t>Informado</t>
        </is>
      </c>
      <c r="K3049" s="6" t="inlineStr">
        <is>
          <t>Demanda doméstica fixa informada pelo usuário.</t>
        </is>
      </c>
    </row>
    <row r="3050">
      <c r="A3050" s="6" t="inlineStr">
        <is>
          <t>Soja</t>
        </is>
      </c>
      <c r="B3050" s="6" t="inlineStr">
        <is>
          <t>João Pessoa - PB</t>
        </is>
      </c>
      <c r="C3050" s="6" t="n">
        <v>-7.11509</v>
      </c>
      <c r="D3050" s="6" t="n">
        <v>-34.8641</v>
      </c>
      <c r="E3050" s="6" t="inlineStr">
        <is>
          <t>2025-01</t>
        </is>
      </c>
      <c r="F3050" s="6" t="n">
        <v>37175.6965913351</v>
      </c>
      <c r="G3050" s="6" t="inlineStr">
        <is>
          <t>DOMESTICA</t>
        </is>
      </c>
      <c r="H3050" s="6" t="inlineStr">
        <is>
          <t>FIXO</t>
        </is>
      </c>
      <c r="I3050" s="11">
        <f>IF($H3050="AUTO_OFERTA_TOTAL_PRODUTO_PERIODO",SUMIFS(Oferta!$F:$F,Oferta!$A:$A,$A3050,Oferta!$E:$E,$E3050),$F3050)</f>
        <v/>
      </c>
      <c r="J3050" s="6" t="inlineStr">
        <is>
          <t>Informado</t>
        </is>
      </c>
      <c r="K3050" s="6" t="inlineStr">
        <is>
          <t>Demanda doméstica fixa informada pelo usuário.</t>
        </is>
      </c>
    </row>
    <row r="3051">
      <c r="A3051" s="6" t="inlineStr">
        <is>
          <t>Soja</t>
        </is>
      </c>
      <c r="B3051" s="6" t="inlineStr">
        <is>
          <t>João Pessoa - PB</t>
        </is>
      </c>
      <c r="C3051" s="6" t="n">
        <v>-7.11509</v>
      </c>
      <c r="D3051" s="6" t="n">
        <v>-34.8641</v>
      </c>
      <c r="E3051" s="6" t="inlineStr">
        <is>
          <t>2025-02</t>
        </is>
      </c>
      <c r="F3051" s="6" t="n">
        <v>37175.6965913351</v>
      </c>
      <c r="G3051" s="6" t="inlineStr">
        <is>
          <t>DOMESTICA</t>
        </is>
      </c>
      <c r="H3051" s="6" t="inlineStr">
        <is>
          <t>FIXO</t>
        </is>
      </c>
      <c r="I3051" s="11">
        <f>IF($H3051="AUTO_OFERTA_TOTAL_PRODUTO_PERIODO",SUMIFS(Oferta!$F:$F,Oferta!$A:$A,$A3051,Oferta!$E:$E,$E3051),$F3051)</f>
        <v/>
      </c>
      <c r="J3051" s="6" t="inlineStr">
        <is>
          <t>Informado</t>
        </is>
      </c>
      <c r="K3051" s="6" t="inlineStr">
        <is>
          <t>Demanda doméstica fixa informada pelo usuário.</t>
        </is>
      </c>
    </row>
    <row r="3052">
      <c r="A3052" s="6" t="inlineStr">
        <is>
          <t>Soja</t>
        </is>
      </c>
      <c r="B3052" s="6" t="inlineStr">
        <is>
          <t>João Pessoa - PB</t>
        </is>
      </c>
      <c r="C3052" s="6" t="n">
        <v>-7.11509</v>
      </c>
      <c r="D3052" s="6" t="n">
        <v>-34.8641</v>
      </c>
      <c r="E3052" s="6" t="inlineStr">
        <is>
          <t>2025-03</t>
        </is>
      </c>
      <c r="F3052" s="6" t="n">
        <v>37175.6965913351</v>
      </c>
      <c r="G3052" s="6" t="inlineStr">
        <is>
          <t>DOMESTICA</t>
        </is>
      </c>
      <c r="H3052" s="6" t="inlineStr">
        <is>
          <t>FIXO</t>
        </is>
      </c>
      <c r="I3052" s="11">
        <f>IF($H3052="AUTO_OFERTA_TOTAL_PRODUTO_PERIODO",SUMIFS(Oferta!$F:$F,Oferta!$A:$A,$A3052,Oferta!$E:$E,$E3052),$F3052)</f>
        <v/>
      </c>
      <c r="J3052" s="6" t="inlineStr">
        <is>
          <t>Informado</t>
        </is>
      </c>
      <c r="K3052" s="6" t="inlineStr">
        <is>
          <t>Demanda doméstica fixa informada pelo usuário.</t>
        </is>
      </c>
    </row>
    <row r="3053">
      <c r="A3053" s="6" t="inlineStr">
        <is>
          <t>Soja</t>
        </is>
      </c>
      <c r="B3053" s="6" t="inlineStr">
        <is>
          <t>João Pessoa - PB</t>
        </is>
      </c>
      <c r="C3053" s="6" t="n">
        <v>-7.11509</v>
      </c>
      <c r="D3053" s="6" t="n">
        <v>-34.8641</v>
      </c>
      <c r="E3053" s="6" t="inlineStr">
        <is>
          <t>2025-04</t>
        </is>
      </c>
      <c r="F3053" s="6" t="n">
        <v>37175.6965913351</v>
      </c>
      <c r="G3053" s="6" t="inlineStr">
        <is>
          <t>DOMESTICA</t>
        </is>
      </c>
      <c r="H3053" s="6" t="inlineStr">
        <is>
          <t>FIXO</t>
        </is>
      </c>
      <c r="I3053" s="11">
        <f>IF($H3053="AUTO_OFERTA_TOTAL_PRODUTO_PERIODO",SUMIFS(Oferta!$F:$F,Oferta!$A:$A,$A3053,Oferta!$E:$E,$E3053),$F3053)</f>
        <v/>
      </c>
      <c r="J3053" s="6" t="inlineStr">
        <is>
          <t>Informado</t>
        </is>
      </c>
      <c r="K3053" s="6" t="inlineStr">
        <is>
          <t>Demanda doméstica fixa informada pelo usuário.</t>
        </is>
      </c>
    </row>
    <row r="3054">
      <c r="A3054" s="6" t="inlineStr">
        <is>
          <t>Soja</t>
        </is>
      </c>
      <c r="B3054" s="6" t="inlineStr">
        <is>
          <t>João Pessoa - PB</t>
        </is>
      </c>
      <c r="C3054" s="6" t="n">
        <v>-7.11509</v>
      </c>
      <c r="D3054" s="6" t="n">
        <v>-34.8641</v>
      </c>
      <c r="E3054" s="6" t="inlineStr">
        <is>
          <t>2025-05</t>
        </is>
      </c>
      <c r="F3054" s="6" t="n">
        <v>37175.6965913351</v>
      </c>
      <c r="G3054" s="6" t="inlineStr">
        <is>
          <t>DOMESTICA</t>
        </is>
      </c>
      <c r="H3054" s="6" t="inlineStr">
        <is>
          <t>FIXO</t>
        </is>
      </c>
      <c r="I3054" s="11">
        <f>IF($H3054="AUTO_OFERTA_TOTAL_PRODUTO_PERIODO",SUMIFS(Oferta!$F:$F,Oferta!$A:$A,$A3054,Oferta!$E:$E,$E3054),$F3054)</f>
        <v/>
      </c>
      <c r="J3054" s="6" t="inlineStr">
        <is>
          <t>Informado</t>
        </is>
      </c>
      <c r="K3054" s="6" t="inlineStr">
        <is>
          <t>Demanda doméstica fixa informada pelo usuário.</t>
        </is>
      </c>
    </row>
    <row r="3055">
      <c r="A3055" s="6" t="inlineStr">
        <is>
          <t>Soja</t>
        </is>
      </c>
      <c r="B3055" s="6" t="inlineStr">
        <is>
          <t>João Pessoa - PB</t>
        </is>
      </c>
      <c r="C3055" s="6" t="n">
        <v>-7.11509</v>
      </c>
      <c r="D3055" s="6" t="n">
        <v>-34.8641</v>
      </c>
      <c r="E3055" s="6" t="inlineStr">
        <is>
          <t>2025-06</t>
        </is>
      </c>
      <c r="F3055" s="6" t="n">
        <v>37175.6965913351</v>
      </c>
      <c r="G3055" s="6" t="inlineStr">
        <is>
          <t>DOMESTICA</t>
        </is>
      </c>
      <c r="H3055" s="6" t="inlineStr">
        <is>
          <t>FIXO</t>
        </is>
      </c>
      <c r="I3055" s="11">
        <f>IF($H3055="AUTO_OFERTA_TOTAL_PRODUTO_PERIODO",SUMIFS(Oferta!$F:$F,Oferta!$A:$A,$A3055,Oferta!$E:$E,$E3055),$F3055)</f>
        <v/>
      </c>
      <c r="J3055" s="6" t="inlineStr">
        <is>
          <t>Informado</t>
        </is>
      </c>
      <c r="K3055" s="6" t="inlineStr">
        <is>
          <t>Demanda doméstica fixa informada pelo usuário.</t>
        </is>
      </c>
    </row>
    <row r="3056">
      <c r="A3056" s="6" t="inlineStr">
        <is>
          <t>Soja</t>
        </is>
      </c>
      <c r="B3056" s="6" t="inlineStr">
        <is>
          <t>João Pessoa - PB</t>
        </is>
      </c>
      <c r="C3056" s="6" t="n">
        <v>-7.11509</v>
      </c>
      <c r="D3056" s="6" t="n">
        <v>-34.8641</v>
      </c>
      <c r="E3056" s="6" t="inlineStr">
        <is>
          <t>2025-07</t>
        </is>
      </c>
      <c r="F3056" s="6" t="n">
        <v>37175.6965913351</v>
      </c>
      <c r="G3056" s="6" t="inlineStr">
        <is>
          <t>DOMESTICA</t>
        </is>
      </c>
      <c r="H3056" s="6" t="inlineStr">
        <is>
          <t>FIXO</t>
        </is>
      </c>
      <c r="I3056" s="11">
        <f>IF($H3056="AUTO_OFERTA_TOTAL_PRODUTO_PERIODO",SUMIFS(Oferta!$F:$F,Oferta!$A:$A,$A3056,Oferta!$E:$E,$E3056),$F3056)</f>
        <v/>
      </c>
      <c r="J3056" s="6" t="inlineStr">
        <is>
          <t>Informado</t>
        </is>
      </c>
      <c r="K3056" s="6" t="inlineStr">
        <is>
          <t>Demanda doméstica fixa informada pelo usuário.</t>
        </is>
      </c>
    </row>
    <row r="3057">
      <c r="A3057" s="6" t="inlineStr">
        <is>
          <t>Soja</t>
        </is>
      </c>
      <c r="B3057" s="6" t="inlineStr">
        <is>
          <t>João Pessoa - PB</t>
        </is>
      </c>
      <c r="C3057" s="6" t="n">
        <v>-7.11509</v>
      </c>
      <c r="D3057" s="6" t="n">
        <v>-34.8641</v>
      </c>
      <c r="E3057" s="6" t="inlineStr">
        <is>
          <t>2025-08</t>
        </is>
      </c>
      <c r="F3057" s="6" t="n">
        <v>37175.6965913351</v>
      </c>
      <c r="G3057" s="6" t="inlineStr">
        <is>
          <t>DOMESTICA</t>
        </is>
      </c>
      <c r="H3057" s="6" t="inlineStr">
        <is>
          <t>FIXO</t>
        </is>
      </c>
      <c r="I3057" s="11">
        <f>IF($H3057="AUTO_OFERTA_TOTAL_PRODUTO_PERIODO",SUMIFS(Oferta!$F:$F,Oferta!$A:$A,$A3057,Oferta!$E:$E,$E3057),$F3057)</f>
        <v/>
      </c>
      <c r="J3057" s="6" t="inlineStr">
        <is>
          <t>Informado</t>
        </is>
      </c>
      <c r="K3057" s="6" t="inlineStr">
        <is>
          <t>Demanda doméstica fixa informada pelo usuário.</t>
        </is>
      </c>
    </row>
    <row r="3058">
      <c r="A3058" s="6" t="inlineStr">
        <is>
          <t>Soja</t>
        </is>
      </c>
      <c r="B3058" s="6" t="inlineStr">
        <is>
          <t>João Pessoa - PB</t>
        </is>
      </c>
      <c r="C3058" s="6" t="n">
        <v>-7.11509</v>
      </c>
      <c r="D3058" s="6" t="n">
        <v>-34.8641</v>
      </c>
      <c r="E3058" s="6" t="inlineStr">
        <is>
          <t>2025-09</t>
        </is>
      </c>
      <c r="F3058" s="6" t="n">
        <v>37175.6965913351</v>
      </c>
      <c r="G3058" s="6" t="inlineStr">
        <is>
          <t>DOMESTICA</t>
        </is>
      </c>
      <c r="H3058" s="6" t="inlineStr">
        <is>
          <t>FIXO</t>
        </is>
      </c>
      <c r="I3058" s="11">
        <f>IF($H3058="AUTO_OFERTA_TOTAL_PRODUTO_PERIODO",SUMIFS(Oferta!$F:$F,Oferta!$A:$A,$A3058,Oferta!$E:$E,$E3058),$F3058)</f>
        <v/>
      </c>
      <c r="J3058" s="6" t="inlineStr">
        <is>
          <t>Informado</t>
        </is>
      </c>
      <c r="K3058" s="6" t="inlineStr">
        <is>
          <t>Demanda doméstica fixa informada pelo usuário.</t>
        </is>
      </c>
    </row>
    <row r="3059">
      <c r="A3059" s="6" t="inlineStr">
        <is>
          <t>Soja</t>
        </is>
      </c>
      <c r="B3059" s="6" t="inlineStr">
        <is>
          <t>João Pessoa - PB</t>
        </is>
      </c>
      <c r="C3059" s="6" t="n">
        <v>-7.11509</v>
      </c>
      <c r="D3059" s="6" t="n">
        <v>-34.8641</v>
      </c>
      <c r="E3059" s="6" t="inlineStr">
        <is>
          <t>2025-10</t>
        </is>
      </c>
      <c r="F3059" s="6" t="n">
        <v>37175.6965913351</v>
      </c>
      <c r="G3059" s="6" t="inlineStr">
        <is>
          <t>DOMESTICA</t>
        </is>
      </c>
      <c r="H3059" s="6" t="inlineStr">
        <is>
          <t>FIXO</t>
        </is>
      </c>
      <c r="I3059" s="11">
        <f>IF($H3059="AUTO_OFERTA_TOTAL_PRODUTO_PERIODO",SUMIFS(Oferta!$F:$F,Oferta!$A:$A,$A3059,Oferta!$E:$E,$E3059),$F3059)</f>
        <v/>
      </c>
      <c r="J3059" s="6" t="inlineStr">
        <is>
          <t>Informado</t>
        </is>
      </c>
      <c r="K3059" s="6" t="inlineStr">
        <is>
          <t>Demanda doméstica fixa informada pelo usuário.</t>
        </is>
      </c>
    </row>
    <row r="3060">
      <c r="A3060" s="6" t="inlineStr">
        <is>
          <t>Soja</t>
        </is>
      </c>
      <c r="B3060" s="6" t="inlineStr">
        <is>
          <t>João Pessoa - PB</t>
        </is>
      </c>
      <c r="C3060" s="6" t="n">
        <v>-7.11509</v>
      </c>
      <c r="D3060" s="6" t="n">
        <v>-34.8641</v>
      </c>
      <c r="E3060" s="6" t="inlineStr">
        <is>
          <t>2025-11</t>
        </is>
      </c>
      <c r="F3060" s="6" t="n">
        <v>37175.6965913351</v>
      </c>
      <c r="G3060" s="6" t="inlineStr">
        <is>
          <t>DOMESTICA</t>
        </is>
      </c>
      <c r="H3060" s="6" t="inlineStr">
        <is>
          <t>FIXO</t>
        </is>
      </c>
      <c r="I3060" s="11">
        <f>IF($H3060="AUTO_OFERTA_TOTAL_PRODUTO_PERIODO",SUMIFS(Oferta!$F:$F,Oferta!$A:$A,$A3060,Oferta!$E:$E,$E3060),$F3060)</f>
        <v/>
      </c>
      <c r="J3060" s="6" t="inlineStr">
        <is>
          <t>Informado</t>
        </is>
      </c>
      <c r="K3060" s="6" t="inlineStr">
        <is>
          <t>Demanda doméstica fixa informada pelo usuário.</t>
        </is>
      </c>
    </row>
    <row r="3061">
      <c r="A3061" s="6" t="inlineStr">
        <is>
          <t>Soja</t>
        </is>
      </c>
      <c r="B3061" s="6" t="inlineStr">
        <is>
          <t>João Pessoa - PB</t>
        </is>
      </c>
      <c r="C3061" s="6" t="n">
        <v>-7.11509</v>
      </c>
      <c r="D3061" s="6" t="n">
        <v>-34.8641</v>
      </c>
      <c r="E3061" s="6" t="inlineStr">
        <is>
          <t>2025-12</t>
        </is>
      </c>
      <c r="F3061" s="6" t="n">
        <v>37175.6965913351</v>
      </c>
      <c r="G3061" s="6" t="inlineStr">
        <is>
          <t>DOMESTICA</t>
        </is>
      </c>
      <c r="H3061" s="6" t="inlineStr">
        <is>
          <t>FIXO</t>
        </is>
      </c>
      <c r="I3061" s="11">
        <f>IF($H3061="AUTO_OFERTA_TOTAL_PRODUTO_PERIODO",SUMIFS(Oferta!$F:$F,Oferta!$A:$A,$A3061,Oferta!$E:$E,$E3061),$F3061)</f>
        <v/>
      </c>
      <c r="J3061" s="6" t="inlineStr">
        <is>
          <t>Informado</t>
        </is>
      </c>
      <c r="K3061" s="6" t="inlineStr">
        <is>
          <t>Demanda doméstica fixa informada pelo usuário.</t>
        </is>
      </c>
    </row>
    <row r="3062">
      <c r="A3062" s="6" t="inlineStr">
        <is>
          <t>Soja</t>
        </is>
      </c>
      <c r="B3062" s="6" t="inlineStr">
        <is>
          <t>Recife - PE</t>
        </is>
      </c>
      <c r="C3062" s="6" t="n">
        <v>-8.046659999999999</v>
      </c>
      <c r="D3062" s="6" t="n">
        <v>-34.8771</v>
      </c>
      <c r="E3062" s="6" t="inlineStr">
        <is>
          <t>2025-01</t>
        </is>
      </c>
      <c r="F3062" s="6" t="n">
        <v>115319.1130128108</v>
      </c>
      <c r="G3062" s="6" t="inlineStr">
        <is>
          <t>DOMESTICA</t>
        </is>
      </c>
      <c r="H3062" s="6" t="inlineStr">
        <is>
          <t>FIXO</t>
        </is>
      </c>
      <c r="I3062" s="11">
        <f>IF($H3062="AUTO_OFERTA_TOTAL_PRODUTO_PERIODO",SUMIFS(Oferta!$F:$F,Oferta!$A:$A,$A3062,Oferta!$E:$E,$E3062),$F3062)</f>
        <v/>
      </c>
      <c r="J3062" s="6" t="inlineStr">
        <is>
          <t>Informado</t>
        </is>
      </c>
      <c r="K3062" s="6" t="inlineStr">
        <is>
          <t>Demanda doméstica fixa informada pelo usuário.</t>
        </is>
      </c>
    </row>
    <row r="3063">
      <c r="A3063" s="6" t="inlineStr">
        <is>
          <t>Soja</t>
        </is>
      </c>
      <c r="B3063" s="6" t="inlineStr">
        <is>
          <t>Recife - PE</t>
        </is>
      </c>
      <c r="C3063" s="6" t="n">
        <v>-8.046659999999999</v>
      </c>
      <c r="D3063" s="6" t="n">
        <v>-34.8771</v>
      </c>
      <c r="E3063" s="6" t="inlineStr">
        <is>
          <t>2025-02</t>
        </is>
      </c>
      <c r="F3063" s="6" t="n">
        <v>115319.1130128108</v>
      </c>
      <c r="G3063" s="6" t="inlineStr">
        <is>
          <t>DOMESTICA</t>
        </is>
      </c>
      <c r="H3063" s="6" t="inlineStr">
        <is>
          <t>FIXO</t>
        </is>
      </c>
      <c r="I3063" s="11">
        <f>IF($H3063="AUTO_OFERTA_TOTAL_PRODUTO_PERIODO",SUMIFS(Oferta!$F:$F,Oferta!$A:$A,$A3063,Oferta!$E:$E,$E3063),$F3063)</f>
        <v/>
      </c>
      <c r="J3063" s="6" t="inlineStr">
        <is>
          <t>Informado</t>
        </is>
      </c>
      <c r="K3063" s="6" t="inlineStr">
        <is>
          <t>Demanda doméstica fixa informada pelo usuário.</t>
        </is>
      </c>
    </row>
    <row r="3064">
      <c r="A3064" s="6" t="inlineStr">
        <is>
          <t>Soja</t>
        </is>
      </c>
      <c r="B3064" s="6" t="inlineStr">
        <is>
          <t>Recife - PE</t>
        </is>
      </c>
      <c r="C3064" s="6" t="n">
        <v>-8.046659999999999</v>
      </c>
      <c r="D3064" s="6" t="n">
        <v>-34.8771</v>
      </c>
      <c r="E3064" s="6" t="inlineStr">
        <is>
          <t>2025-03</t>
        </is>
      </c>
      <c r="F3064" s="6" t="n">
        <v>115319.1130128108</v>
      </c>
      <c r="G3064" s="6" t="inlineStr">
        <is>
          <t>DOMESTICA</t>
        </is>
      </c>
      <c r="H3064" s="6" t="inlineStr">
        <is>
          <t>FIXO</t>
        </is>
      </c>
      <c r="I3064" s="11">
        <f>IF($H3064="AUTO_OFERTA_TOTAL_PRODUTO_PERIODO",SUMIFS(Oferta!$F:$F,Oferta!$A:$A,$A3064,Oferta!$E:$E,$E3064),$F3064)</f>
        <v/>
      </c>
      <c r="J3064" s="6" t="inlineStr">
        <is>
          <t>Informado</t>
        </is>
      </c>
      <c r="K3064" s="6" t="inlineStr">
        <is>
          <t>Demanda doméstica fixa informada pelo usuário.</t>
        </is>
      </c>
    </row>
    <row r="3065">
      <c r="A3065" s="6" t="inlineStr">
        <is>
          <t>Soja</t>
        </is>
      </c>
      <c r="B3065" s="6" t="inlineStr">
        <is>
          <t>Recife - PE</t>
        </is>
      </c>
      <c r="C3065" s="6" t="n">
        <v>-8.046659999999999</v>
      </c>
      <c r="D3065" s="6" t="n">
        <v>-34.8771</v>
      </c>
      <c r="E3065" s="6" t="inlineStr">
        <is>
          <t>2025-04</t>
        </is>
      </c>
      <c r="F3065" s="6" t="n">
        <v>115319.1130128108</v>
      </c>
      <c r="G3065" s="6" t="inlineStr">
        <is>
          <t>DOMESTICA</t>
        </is>
      </c>
      <c r="H3065" s="6" t="inlineStr">
        <is>
          <t>FIXO</t>
        </is>
      </c>
      <c r="I3065" s="11">
        <f>IF($H3065="AUTO_OFERTA_TOTAL_PRODUTO_PERIODO",SUMIFS(Oferta!$F:$F,Oferta!$A:$A,$A3065,Oferta!$E:$E,$E3065),$F3065)</f>
        <v/>
      </c>
      <c r="J3065" s="6" t="inlineStr">
        <is>
          <t>Informado</t>
        </is>
      </c>
      <c r="K3065" s="6" t="inlineStr">
        <is>
          <t>Demanda doméstica fixa informada pelo usuário.</t>
        </is>
      </c>
    </row>
    <row r="3066">
      <c r="A3066" s="6" t="inlineStr">
        <is>
          <t>Soja</t>
        </is>
      </c>
      <c r="B3066" s="6" t="inlineStr">
        <is>
          <t>Recife - PE</t>
        </is>
      </c>
      <c r="C3066" s="6" t="n">
        <v>-8.046659999999999</v>
      </c>
      <c r="D3066" s="6" t="n">
        <v>-34.8771</v>
      </c>
      <c r="E3066" s="6" t="inlineStr">
        <is>
          <t>2025-05</t>
        </is>
      </c>
      <c r="F3066" s="6" t="n">
        <v>115319.1130128108</v>
      </c>
      <c r="G3066" s="6" t="inlineStr">
        <is>
          <t>DOMESTICA</t>
        </is>
      </c>
      <c r="H3066" s="6" t="inlineStr">
        <is>
          <t>FIXO</t>
        </is>
      </c>
      <c r="I3066" s="11">
        <f>IF($H3066="AUTO_OFERTA_TOTAL_PRODUTO_PERIODO",SUMIFS(Oferta!$F:$F,Oferta!$A:$A,$A3066,Oferta!$E:$E,$E3066),$F3066)</f>
        <v/>
      </c>
      <c r="J3066" s="6" t="inlineStr">
        <is>
          <t>Informado</t>
        </is>
      </c>
      <c r="K3066" s="6" t="inlineStr">
        <is>
          <t>Demanda doméstica fixa informada pelo usuário.</t>
        </is>
      </c>
    </row>
    <row r="3067">
      <c r="A3067" s="6" t="inlineStr">
        <is>
          <t>Soja</t>
        </is>
      </c>
      <c r="B3067" s="6" t="inlineStr">
        <is>
          <t>Recife - PE</t>
        </is>
      </c>
      <c r="C3067" s="6" t="n">
        <v>-8.046659999999999</v>
      </c>
      <c r="D3067" s="6" t="n">
        <v>-34.8771</v>
      </c>
      <c r="E3067" s="6" t="inlineStr">
        <is>
          <t>2025-06</t>
        </is>
      </c>
      <c r="F3067" s="6" t="n">
        <v>115319.1130128108</v>
      </c>
      <c r="G3067" s="6" t="inlineStr">
        <is>
          <t>DOMESTICA</t>
        </is>
      </c>
      <c r="H3067" s="6" t="inlineStr">
        <is>
          <t>FIXO</t>
        </is>
      </c>
      <c r="I3067" s="11">
        <f>IF($H3067="AUTO_OFERTA_TOTAL_PRODUTO_PERIODO",SUMIFS(Oferta!$F:$F,Oferta!$A:$A,$A3067,Oferta!$E:$E,$E3067),$F3067)</f>
        <v/>
      </c>
      <c r="J3067" s="6" t="inlineStr">
        <is>
          <t>Informado</t>
        </is>
      </c>
      <c r="K3067" s="6" t="inlineStr">
        <is>
          <t>Demanda doméstica fixa informada pelo usuário.</t>
        </is>
      </c>
    </row>
    <row r="3068">
      <c r="A3068" s="6" t="inlineStr">
        <is>
          <t>Soja</t>
        </is>
      </c>
      <c r="B3068" s="6" t="inlineStr">
        <is>
          <t>Recife - PE</t>
        </is>
      </c>
      <c r="C3068" s="6" t="n">
        <v>-8.046659999999999</v>
      </c>
      <c r="D3068" s="6" t="n">
        <v>-34.8771</v>
      </c>
      <c r="E3068" s="6" t="inlineStr">
        <is>
          <t>2025-07</t>
        </is>
      </c>
      <c r="F3068" s="6" t="n">
        <v>115319.1130128108</v>
      </c>
      <c r="G3068" s="6" t="inlineStr">
        <is>
          <t>DOMESTICA</t>
        </is>
      </c>
      <c r="H3068" s="6" t="inlineStr">
        <is>
          <t>FIXO</t>
        </is>
      </c>
      <c r="I3068" s="11">
        <f>IF($H3068="AUTO_OFERTA_TOTAL_PRODUTO_PERIODO",SUMIFS(Oferta!$F:$F,Oferta!$A:$A,$A3068,Oferta!$E:$E,$E3068),$F3068)</f>
        <v/>
      </c>
      <c r="J3068" s="6" t="inlineStr">
        <is>
          <t>Informado</t>
        </is>
      </c>
      <c r="K3068" s="6" t="inlineStr">
        <is>
          <t>Demanda doméstica fixa informada pelo usuário.</t>
        </is>
      </c>
    </row>
    <row r="3069">
      <c r="A3069" s="6" t="inlineStr">
        <is>
          <t>Soja</t>
        </is>
      </c>
      <c r="B3069" s="6" t="inlineStr">
        <is>
          <t>Recife - PE</t>
        </is>
      </c>
      <c r="C3069" s="6" t="n">
        <v>-8.046659999999999</v>
      </c>
      <c r="D3069" s="6" t="n">
        <v>-34.8771</v>
      </c>
      <c r="E3069" s="6" t="inlineStr">
        <is>
          <t>2025-08</t>
        </is>
      </c>
      <c r="F3069" s="6" t="n">
        <v>115319.1130128108</v>
      </c>
      <c r="G3069" s="6" t="inlineStr">
        <is>
          <t>DOMESTICA</t>
        </is>
      </c>
      <c r="H3069" s="6" t="inlineStr">
        <is>
          <t>FIXO</t>
        </is>
      </c>
      <c r="I3069" s="11">
        <f>IF($H3069="AUTO_OFERTA_TOTAL_PRODUTO_PERIODO",SUMIFS(Oferta!$F:$F,Oferta!$A:$A,$A3069,Oferta!$E:$E,$E3069),$F3069)</f>
        <v/>
      </c>
      <c r="J3069" s="6" t="inlineStr">
        <is>
          <t>Informado</t>
        </is>
      </c>
      <c r="K3069" s="6" t="inlineStr">
        <is>
          <t>Demanda doméstica fixa informada pelo usuário.</t>
        </is>
      </c>
    </row>
    <row r="3070">
      <c r="A3070" s="6" t="inlineStr">
        <is>
          <t>Soja</t>
        </is>
      </c>
      <c r="B3070" s="6" t="inlineStr">
        <is>
          <t>Recife - PE</t>
        </is>
      </c>
      <c r="C3070" s="6" t="n">
        <v>-8.046659999999999</v>
      </c>
      <c r="D3070" s="6" t="n">
        <v>-34.8771</v>
      </c>
      <c r="E3070" s="6" t="inlineStr">
        <is>
          <t>2025-09</t>
        </is>
      </c>
      <c r="F3070" s="6" t="n">
        <v>115319.1130128108</v>
      </c>
      <c r="G3070" s="6" t="inlineStr">
        <is>
          <t>DOMESTICA</t>
        </is>
      </c>
      <c r="H3070" s="6" t="inlineStr">
        <is>
          <t>FIXO</t>
        </is>
      </c>
      <c r="I3070" s="11">
        <f>IF($H3070="AUTO_OFERTA_TOTAL_PRODUTO_PERIODO",SUMIFS(Oferta!$F:$F,Oferta!$A:$A,$A3070,Oferta!$E:$E,$E3070),$F3070)</f>
        <v/>
      </c>
      <c r="J3070" s="6" t="inlineStr">
        <is>
          <t>Informado</t>
        </is>
      </c>
      <c r="K3070" s="6" t="inlineStr">
        <is>
          <t>Demanda doméstica fixa informada pelo usuário.</t>
        </is>
      </c>
    </row>
    <row r="3071">
      <c r="A3071" s="6" t="inlineStr">
        <is>
          <t>Soja</t>
        </is>
      </c>
      <c r="B3071" s="6" t="inlineStr">
        <is>
          <t>Recife - PE</t>
        </is>
      </c>
      <c r="C3071" s="6" t="n">
        <v>-8.046659999999999</v>
      </c>
      <c r="D3071" s="6" t="n">
        <v>-34.8771</v>
      </c>
      <c r="E3071" s="6" t="inlineStr">
        <is>
          <t>2025-10</t>
        </is>
      </c>
      <c r="F3071" s="6" t="n">
        <v>115319.1130128108</v>
      </c>
      <c r="G3071" s="6" t="inlineStr">
        <is>
          <t>DOMESTICA</t>
        </is>
      </c>
      <c r="H3071" s="6" t="inlineStr">
        <is>
          <t>FIXO</t>
        </is>
      </c>
      <c r="I3071" s="11">
        <f>IF($H3071="AUTO_OFERTA_TOTAL_PRODUTO_PERIODO",SUMIFS(Oferta!$F:$F,Oferta!$A:$A,$A3071,Oferta!$E:$E,$E3071),$F3071)</f>
        <v/>
      </c>
      <c r="J3071" s="6" t="inlineStr">
        <is>
          <t>Informado</t>
        </is>
      </c>
      <c r="K3071" s="6" t="inlineStr">
        <is>
          <t>Demanda doméstica fixa informada pelo usuário.</t>
        </is>
      </c>
    </row>
    <row r="3072">
      <c r="A3072" s="6" t="inlineStr">
        <is>
          <t>Soja</t>
        </is>
      </c>
      <c r="B3072" s="6" t="inlineStr">
        <is>
          <t>Recife - PE</t>
        </is>
      </c>
      <c r="C3072" s="6" t="n">
        <v>-8.046659999999999</v>
      </c>
      <c r="D3072" s="6" t="n">
        <v>-34.8771</v>
      </c>
      <c r="E3072" s="6" t="inlineStr">
        <is>
          <t>2025-11</t>
        </is>
      </c>
      <c r="F3072" s="6" t="n">
        <v>115319.1130128108</v>
      </c>
      <c r="G3072" s="6" t="inlineStr">
        <is>
          <t>DOMESTICA</t>
        </is>
      </c>
      <c r="H3072" s="6" t="inlineStr">
        <is>
          <t>FIXO</t>
        </is>
      </c>
      <c r="I3072" s="11">
        <f>IF($H3072="AUTO_OFERTA_TOTAL_PRODUTO_PERIODO",SUMIFS(Oferta!$F:$F,Oferta!$A:$A,$A3072,Oferta!$E:$E,$E3072),$F3072)</f>
        <v/>
      </c>
      <c r="J3072" s="6" t="inlineStr">
        <is>
          <t>Informado</t>
        </is>
      </c>
      <c r="K3072" s="6" t="inlineStr">
        <is>
          <t>Demanda doméstica fixa informada pelo usuário.</t>
        </is>
      </c>
    </row>
    <row r="3073">
      <c r="A3073" s="6" t="inlineStr">
        <is>
          <t>Soja</t>
        </is>
      </c>
      <c r="B3073" s="6" t="inlineStr">
        <is>
          <t>Recife - PE</t>
        </is>
      </c>
      <c r="C3073" s="6" t="n">
        <v>-8.046659999999999</v>
      </c>
      <c r="D3073" s="6" t="n">
        <v>-34.8771</v>
      </c>
      <c r="E3073" s="6" t="inlineStr">
        <is>
          <t>2025-12</t>
        </is>
      </c>
      <c r="F3073" s="6" t="n">
        <v>115319.1130128108</v>
      </c>
      <c r="G3073" s="6" t="inlineStr">
        <is>
          <t>DOMESTICA</t>
        </is>
      </c>
      <c r="H3073" s="6" t="inlineStr">
        <is>
          <t>FIXO</t>
        </is>
      </c>
      <c r="I3073" s="11">
        <f>IF($H3073="AUTO_OFERTA_TOTAL_PRODUTO_PERIODO",SUMIFS(Oferta!$F:$F,Oferta!$A:$A,$A3073,Oferta!$E:$E,$E3073),$F3073)</f>
        <v/>
      </c>
      <c r="J3073" s="6" t="inlineStr">
        <is>
          <t>Informado</t>
        </is>
      </c>
      <c r="K3073" s="6" t="inlineStr">
        <is>
          <t>Demanda doméstica fixa informada pelo usuário.</t>
        </is>
      </c>
    </row>
    <row r="3074">
      <c r="A3074" s="6" t="inlineStr">
        <is>
          <t>Soja</t>
        </is>
      </c>
      <c r="B3074" s="6" t="inlineStr">
        <is>
          <t>Teresina - PI</t>
        </is>
      </c>
      <c r="C3074" s="6" t="n">
        <v>-5.09194</v>
      </c>
      <c r="D3074" s="6" t="n">
        <v>-42.8034</v>
      </c>
      <c r="E3074" s="6" t="inlineStr">
        <is>
          <t>2025-01</t>
        </is>
      </c>
      <c r="F3074" s="6" t="n">
        <v>22984.8174503593</v>
      </c>
      <c r="G3074" s="6" t="inlineStr">
        <is>
          <t>DOMESTICA</t>
        </is>
      </c>
      <c r="H3074" s="6" t="inlineStr">
        <is>
          <t>FIXO</t>
        </is>
      </c>
      <c r="I3074" s="11">
        <f>IF($H3074="AUTO_OFERTA_TOTAL_PRODUTO_PERIODO",SUMIFS(Oferta!$F:$F,Oferta!$A:$A,$A3074,Oferta!$E:$E,$E3074),$F3074)</f>
        <v/>
      </c>
      <c r="J3074" s="6" t="inlineStr">
        <is>
          <t>Informado</t>
        </is>
      </c>
      <c r="K3074" s="6" t="inlineStr">
        <is>
          <t>Demanda doméstica fixa informada pelo usuário.</t>
        </is>
      </c>
    </row>
    <row r="3075">
      <c r="A3075" s="6" t="inlineStr">
        <is>
          <t>Soja</t>
        </is>
      </c>
      <c r="B3075" s="6" t="inlineStr">
        <is>
          <t>Teresina - PI</t>
        </is>
      </c>
      <c r="C3075" s="6" t="n">
        <v>-5.09194</v>
      </c>
      <c r="D3075" s="6" t="n">
        <v>-42.8034</v>
      </c>
      <c r="E3075" s="6" t="inlineStr">
        <is>
          <t>2025-02</t>
        </is>
      </c>
      <c r="F3075" s="6" t="n">
        <v>22984.8174503593</v>
      </c>
      <c r="G3075" s="6" t="inlineStr">
        <is>
          <t>DOMESTICA</t>
        </is>
      </c>
      <c r="H3075" s="6" t="inlineStr">
        <is>
          <t>FIXO</t>
        </is>
      </c>
      <c r="I3075" s="11">
        <f>IF($H3075="AUTO_OFERTA_TOTAL_PRODUTO_PERIODO",SUMIFS(Oferta!$F:$F,Oferta!$A:$A,$A3075,Oferta!$E:$E,$E3075),$F3075)</f>
        <v/>
      </c>
      <c r="J3075" s="6" t="inlineStr">
        <is>
          <t>Informado</t>
        </is>
      </c>
      <c r="K3075" s="6" t="inlineStr">
        <is>
          <t>Demanda doméstica fixa informada pelo usuário.</t>
        </is>
      </c>
    </row>
    <row r="3076">
      <c r="A3076" s="6" t="inlineStr">
        <is>
          <t>Soja</t>
        </is>
      </c>
      <c r="B3076" s="6" t="inlineStr">
        <is>
          <t>Teresina - PI</t>
        </is>
      </c>
      <c r="C3076" s="6" t="n">
        <v>-5.09194</v>
      </c>
      <c r="D3076" s="6" t="n">
        <v>-42.8034</v>
      </c>
      <c r="E3076" s="6" t="inlineStr">
        <is>
          <t>2025-03</t>
        </is>
      </c>
      <c r="F3076" s="6" t="n">
        <v>36862.4430807649</v>
      </c>
      <c r="G3076" s="6" t="inlineStr">
        <is>
          <t>DOMESTICA</t>
        </is>
      </c>
      <c r="H3076" s="6" t="inlineStr">
        <is>
          <t>FIXO</t>
        </is>
      </c>
      <c r="I3076" s="11">
        <f>IF($H3076="AUTO_OFERTA_TOTAL_PRODUTO_PERIODO",SUMIFS(Oferta!$F:$F,Oferta!$A:$A,$A3076,Oferta!$E:$E,$E3076),$F3076)</f>
        <v/>
      </c>
      <c r="J3076" s="6" t="inlineStr">
        <is>
          <t>Informado</t>
        </is>
      </c>
      <c r="K3076" s="6" t="inlineStr">
        <is>
          <t>Demanda doméstica fixa informada pelo usuário.</t>
        </is>
      </c>
    </row>
    <row r="3077">
      <c r="A3077" s="6" t="inlineStr">
        <is>
          <t>Soja</t>
        </is>
      </c>
      <c r="B3077" s="6" t="inlineStr">
        <is>
          <t>Teresina - PI</t>
        </is>
      </c>
      <c r="C3077" s="6" t="n">
        <v>-5.09194</v>
      </c>
      <c r="D3077" s="6" t="n">
        <v>-42.8034</v>
      </c>
      <c r="E3077" s="6" t="inlineStr">
        <is>
          <t>2025-04</t>
        </is>
      </c>
      <c r="F3077" s="6" t="n">
        <v>50740.0687111704</v>
      </c>
      <c r="G3077" s="6" t="inlineStr">
        <is>
          <t>DOMESTICA</t>
        </is>
      </c>
      <c r="H3077" s="6" t="inlineStr">
        <is>
          <t>FIXO</t>
        </is>
      </c>
      <c r="I3077" s="11">
        <f>IF($H3077="AUTO_OFERTA_TOTAL_PRODUTO_PERIODO",SUMIFS(Oferta!$F:$F,Oferta!$A:$A,$A3077,Oferta!$E:$E,$E3077),$F3077)</f>
        <v/>
      </c>
      <c r="J3077" s="6" t="inlineStr">
        <is>
          <t>Informado</t>
        </is>
      </c>
      <c r="K3077" s="6" t="inlineStr">
        <is>
          <t>Demanda doméstica fixa informada pelo usuário.</t>
        </is>
      </c>
    </row>
    <row r="3078">
      <c r="A3078" s="6" t="inlineStr">
        <is>
          <t>Soja</t>
        </is>
      </c>
      <c r="B3078" s="6" t="inlineStr">
        <is>
          <t>Teresina - PI</t>
        </is>
      </c>
      <c r="C3078" s="6" t="n">
        <v>-5.09194</v>
      </c>
      <c r="D3078" s="6" t="n">
        <v>-42.8034</v>
      </c>
      <c r="E3078" s="6" t="inlineStr">
        <is>
          <t>2025-05</t>
        </is>
      </c>
      <c r="F3078" s="6" t="n">
        <v>92372.9456023872</v>
      </c>
      <c r="G3078" s="6" t="inlineStr">
        <is>
          <t>DOMESTICA</t>
        </is>
      </c>
      <c r="H3078" s="6" t="inlineStr">
        <is>
          <t>FIXO</t>
        </is>
      </c>
      <c r="I3078" s="11">
        <f>IF($H3078="AUTO_OFERTA_TOTAL_PRODUTO_PERIODO",SUMIFS(Oferta!$F:$F,Oferta!$A:$A,$A3078,Oferta!$E:$E,$E3078),$F3078)</f>
        <v/>
      </c>
      <c r="J3078" s="6" t="inlineStr">
        <is>
          <t>Informado</t>
        </is>
      </c>
      <c r="K3078" s="6" t="inlineStr">
        <is>
          <t>Demanda doméstica fixa informada pelo usuário.</t>
        </is>
      </c>
    </row>
    <row r="3079">
      <c r="A3079" s="6" t="inlineStr">
        <is>
          <t>Soja</t>
        </is>
      </c>
      <c r="B3079" s="6" t="inlineStr">
        <is>
          <t>Teresina - PI</t>
        </is>
      </c>
      <c r="C3079" s="6" t="n">
        <v>-5.09194</v>
      </c>
      <c r="D3079" s="6" t="n">
        <v>-42.8034</v>
      </c>
      <c r="E3079" s="6" t="inlineStr">
        <is>
          <t>2025-06</t>
        </is>
      </c>
      <c r="F3079" s="6" t="n">
        <v>92372.9456023872</v>
      </c>
      <c r="G3079" s="6" t="inlineStr">
        <is>
          <t>DOMESTICA</t>
        </is>
      </c>
      <c r="H3079" s="6" t="inlineStr">
        <is>
          <t>FIXO</t>
        </is>
      </c>
      <c r="I3079" s="11">
        <f>IF($H3079="AUTO_OFERTA_TOTAL_PRODUTO_PERIODO",SUMIFS(Oferta!$F:$F,Oferta!$A:$A,$A3079,Oferta!$E:$E,$E3079),$F3079)</f>
        <v/>
      </c>
      <c r="J3079" s="6" t="inlineStr">
        <is>
          <t>Informado</t>
        </is>
      </c>
      <c r="K3079" s="6" t="inlineStr">
        <is>
          <t>Demanda doméstica fixa informada pelo usuário.</t>
        </is>
      </c>
    </row>
    <row r="3080">
      <c r="A3080" s="6" t="inlineStr">
        <is>
          <t>Soja</t>
        </is>
      </c>
      <c r="B3080" s="6" t="inlineStr">
        <is>
          <t>Teresina - PI</t>
        </is>
      </c>
      <c r="C3080" s="6" t="n">
        <v>-5.09194</v>
      </c>
      <c r="D3080" s="6" t="n">
        <v>-42.8034</v>
      </c>
      <c r="E3080" s="6" t="inlineStr">
        <is>
          <t>2025-07</t>
        </is>
      </c>
      <c r="F3080" s="6" t="n">
        <v>78495.31997198171</v>
      </c>
      <c r="G3080" s="6" t="inlineStr">
        <is>
          <t>DOMESTICA</t>
        </is>
      </c>
      <c r="H3080" s="6" t="inlineStr">
        <is>
          <t>FIXO</t>
        </is>
      </c>
      <c r="I3080" s="11">
        <f>IF($H3080="AUTO_OFERTA_TOTAL_PRODUTO_PERIODO",SUMIFS(Oferta!$F:$F,Oferta!$A:$A,$A3080,Oferta!$E:$E,$E3080),$F3080)</f>
        <v/>
      </c>
      <c r="J3080" s="6" t="inlineStr">
        <is>
          <t>Informado</t>
        </is>
      </c>
      <c r="K3080" s="6" t="inlineStr">
        <is>
          <t>Demanda doméstica fixa informada pelo usuário.</t>
        </is>
      </c>
    </row>
    <row r="3081">
      <c r="A3081" s="6" t="inlineStr">
        <is>
          <t>Soja</t>
        </is>
      </c>
      <c r="B3081" s="6" t="inlineStr">
        <is>
          <t>Teresina - PI</t>
        </is>
      </c>
      <c r="C3081" s="6" t="n">
        <v>-5.09194</v>
      </c>
      <c r="D3081" s="6" t="n">
        <v>-42.8034</v>
      </c>
      <c r="E3081" s="6" t="inlineStr">
        <is>
          <t>2025-08</t>
        </is>
      </c>
      <c r="F3081" s="6" t="n">
        <v>36862.4430807649</v>
      </c>
      <c r="G3081" s="6" t="inlineStr">
        <is>
          <t>DOMESTICA</t>
        </is>
      </c>
      <c r="H3081" s="6" t="inlineStr">
        <is>
          <t>FIXO</t>
        </is>
      </c>
      <c r="I3081" s="11">
        <f>IF($H3081="AUTO_OFERTA_TOTAL_PRODUTO_PERIODO",SUMIFS(Oferta!$F:$F,Oferta!$A:$A,$A3081,Oferta!$E:$E,$E3081),$F3081)</f>
        <v/>
      </c>
      <c r="J3081" s="6" t="inlineStr">
        <is>
          <t>Informado</t>
        </is>
      </c>
      <c r="K3081" s="6" t="inlineStr">
        <is>
          <t>Demanda doméstica fixa informada pelo usuário.</t>
        </is>
      </c>
    </row>
    <row r="3082">
      <c r="A3082" s="6" t="inlineStr">
        <is>
          <t>Soja</t>
        </is>
      </c>
      <c r="B3082" s="6" t="inlineStr">
        <is>
          <t>Teresina - PI</t>
        </is>
      </c>
      <c r="C3082" s="6" t="n">
        <v>-5.09194</v>
      </c>
      <c r="D3082" s="6" t="n">
        <v>-42.8034</v>
      </c>
      <c r="E3082" s="6" t="inlineStr">
        <is>
          <t>2025-09</t>
        </is>
      </c>
      <c r="F3082" s="6" t="n">
        <v>22984.8174503593</v>
      </c>
      <c r="G3082" s="6" t="inlineStr">
        <is>
          <t>DOMESTICA</t>
        </is>
      </c>
      <c r="H3082" s="6" t="inlineStr">
        <is>
          <t>FIXO</t>
        </is>
      </c>
      <c r="I3082" s="11">
        <f>IF($H3082="AUTO_OFERTA_TOTAL_PRODUTO_PERIODO",SUMIFS(Oferta!$F:$F,Oferta!$A:$A,$A3082,Oferta!$E:$E,$E3082),$F3082)</f>
        <v/>
      </c>
      <c r="J3082" s="6" t="inlineStr">
        <is>
          <t>Informado</t>
        </is>
      </c>
      <c r="K3082" s="6" t="inlineStr">
        <is>
          <t>Demanda doméstica fixa informada pelo usuário.</t>
        </is>
      </c>
    </row>
    <row r="3083">
      <c r="A3083" s="6" t="inlineStr">
        <is>
          <t>Soja</t>
        </is>
      </c>
      <c r="B3083" s="6" t="inlineStr">
        <is>
          <t>Teresina - PI</t>
        </is>
      </c>
      <c r="C3083" s="6" t="n">
        <v>-5.09194</v>
      </c>
      <c r="D3083" s="6" t="n">
        <v>-42.8034</v>
      </c>
      <c r="E3083" s="6" t="inlineStr">
        <is>
          <t>2025-10</t>
        </is>
      </c>
      <c r="F3083" s="6" t="n">
        <v>22984.8174503593</v>
      </c>
      <c r="G3083" s="6" t="inlineStr">
        <is>
          <t>DOMESTICA</t>
        </is>
      </c>
      <c r="H3083" s="6" t="inlineStr">
        <is>
          <t>FIXO</t>
        </is>
      </c>
      <c r="I3083" s="11">
        <f>IF($H3083="AUTO_OFERTA_TOTAL_PRODUTO_PERIODO",SUMIFS(Oferta!$F:$F,Oferta!$A:$A,$A3083,Oferta!$E:$E,$E3083),$F3083)</f>
        <v/>
      </c>
      <c r="J3083" s="6" t="inlineStr">
        <is>
          <t>Informado</t>
        </is>
      </c>
      <c r="K3083" s="6" t="inlineStr">
        <is>
          <t>Demanda doméstica fixa informada pelo usuário.</t>
        </is>
      </c>
    </row>
    <row r="3084">
      <c r="A3084" s="6" t="inlineStr">
        <is>
          <t>Soja</t>
        </is>
      </c>
      <c r="B3084" s="6" t="inlineStr">
        <is>
          <t>Teresina - PI</t>
        </is>
      </c>
      <c r="C3084" s="6" t="n">
        <v>-5.09194</v>
      </c>
      <c r="D3084" s="6" t="n">
        <v>-42.8034</v>
      </c>
      <c r="E3084" s="6" t="inlineStr">
        <is>
          <t>2025-11</t>
        </is>
      </c>
      <c r="F3084" s="6" t="n">
        <v>22984.8174503593</v>
      </c>
      <c r="G3084" s="6" t="inlineStr">
        <is>
          <t>DOMESTICA</t>
        </is>
      </c>
      <c r="H3084" s="6" t="inlineStr">
        <is>
          <t>FIXO</t>
        </is>
      </c>
      <c r="I3084" s="11">
        <f>IF($H3084="AUTO_OFERTA_TOTAL_PRODUTO_PERIODO",SUMIFS(Oferta!$F:$F,Oferta!$A:$A,$A3084,Oferta!$E:$E,$E3084),$F3084)</f>
        <v/>
      </c>
      <c r="J3084" s="6" t="inlineStr">
        <is>
          <t>Informado</t>
        </is>
      </c>
      <c r="K3084" s="6" t="inlineStr">
        <is>
          <t>Demanda doméstica fixa informada pelo usuário.</t>
        </is>
      </c>
    </row>
    <row r="3085">
      <c r="A3085" s="6" t="inlineStr">
        <is>
          <t>Soja</t>
        </is>
      </c>
      <c r="B3085" s="6" t="inlineStr">
        <is>
          <t>Teresina - PI</t>
        </is>
      </c>
      <c r="C3085" s="6" t="n">
        <v>-5.09194</v>
      </c>
      <c r="D3085" s="6" t="n">
        <v>-42.8034</v>
      </c>
      <c r="E3085" s="6" t="inlineStr">
        <is>
          <t>2025-12</t>
        </is>
      </c>
      <c r="F3085" s="6" t="n">
        <v>22984.8174503593</v>
      </c>
      <c r="G3085" s="6" t="inlineStr">
        <is>
          <t>DOMESTICA</t>
        </is>
      </c>
      <c r="H3085" s="6" t="inlineStr">
        <is>
          <t>FIXO</t>
        </is>
      </c>
      <c r="I3085" s="11">
        <f>IF($H3085="AUTO_OFERTA_TOTAL_PRODUTO_PERIODO",SUMIFS(Oferta!$F:$F,Oferta!$A:$A,$A3085,Oferta!$E:$E,$E3085),$F3085)</f>
        <v/>
      </c>
      <c r="J3085" s="6" t="inlineStr">
        <is>
          <t>Informado</t>
        </is>
      </c>
      <c r="K3085" s="6" t="inlineStr">
        <is>
          <t>Demanda doméstica fixa informada pelo usuário.</t>
        </is>
      </c>
    </row>
    <row r="3086">
      <c r="A3086" s="6" t="inlineStr">
        <is>
          <t>Soja</t>
        </is>
      </c>
      <c r="B3086" s="6" t="inlineStr">
        <is>
          <t>Aracaju - SE</t>
        </is>
      </c>
      <c r="C3086" s="6" t="n">
        <v>-10.9091</v>
      </c>
      <c r="D3086" s="6" t="n">
        <v>-37.0677</v>
      </c>
      <c r="E3086" s="6" t="inlineStr">
        <is>
          <t>2025-01</t>
        </is>
      </c>
      <c r="F3086" s="6" t="n">
        <v>25381.8097490124</v>
      </c>
      <c r="G3086" s="6" t="inlineStr">
        <is>
          <t>DOMESTICA</t>
        </is>
      </c>
      <c r="H3086" s="6" t="inlineStr">
        <is>
          <t>FIXO</t>
        </is>
      </c>
      <c r="I3086" s="11">
        <f>IF($H3086="AUTO_OFERTA_TOTAL_PRODUTO_PERIODO",SUMIFS(Oferta!$F:$F,Oferta!$A:$A,$A3086,Oferta!$E:$E,$E3086),$F3086)</f>
        <v/>
      </c>
      <c r="J3086" s="6" t="inlineStr">
        <is>
          <t>Informado</t>
        </is>
      </c>
      <c r="K3086" s="6" t="inlineStr">
        <is>
          <t>Demanda doméstica fixa informada pelo usuário.</t>
        </is>
      </c>
    </row>
    <row r="3087">
      <c r="A3087" s="6" t="inlineStr">
        <is>
          <t>Soja</t>
        </is>
      </c>
      <c r="B3087" s="6" t="inlineStr">
        <is>
          <t>Aracaju - SE</t>
        </is>
      </c>
      <c r="C3087" s="6" t="n">
        <v>-10.9091</v>
      </c>
      <c r="D3087" s="6" t="n">
        <v>-37.0677</v>
      </c>
      <c r="E3087" s="6" t="inlineStr">
        <is>
          <t>2025-02</t>
        </is>
      </c>
      <c r="F3087" s="6" t="n">
        <v>25381.8097490124</v>
      </c>
      <c r="G3087" s="6" t="inlineStr">
        <is>
          <t>DOMESTICA</t>
        </is>
      </c>
      <c r="H3087" s="6" t="inlineStr">
        <is>
          <t>FIXO</t>
        </is>
      </c>
      <c r="I3087" s="11">
        <f>IF($H3087="AUTO_OFERTA_TOTAL_PRODUTO_PERIODO",SUMIFS(Oferta!$F:$F,Oferta!$A:$A,$A3087,Oferta!$E:$E,$E3087),$F3087)</f>
        <v/>
      </c>
      <c r="J3087" s="6" t="inlineStr">
        <is>
          <t>Informado</t>
        </is>
      </c>
      <c r="K3087" s="6" t="inlineStr">
        <is>
          <t>Demanda doméstica fixa informada pelo usuário.</t>
        </is>
      </c>
    </row>
    <row r="3088">
      <c r="A3088" s="6" t="inlineStr">
        <is>
          <t>Soja</t>
        </is>
      </c>
      <c r="B3088" s="6" t="inlineStr">
        <is>
          <t>Aracaju - SE</t>
        </is>
      </c>
      <c r="C3088" s="6" t="n">
        <v>-10.9091</v>
      </c>
      <c r="D3088" s="6" t="n">
        <v>-37.0677</v>
      </c>
      <c r="E3088" s="6" t="inlineStr">
        <is>
          <t>2025-03</t>
        </is>
      </c>
      <c r="F3088" s="6" t="n">
        <v>25381.8097490124</v>
      </c>
      <c r="G3088" s="6" t="inlineStr">
        <is>
          <t>DOMESTICA</t>
        </is>
      </c>
      <c r="H3088" s="6" t="inlineStr">
        <is>
          <t>FIXO</t>
        </is>
      </c>
      <c r="I3088" s="11">
        <f>IF($H3088="AUTO_OFERTA_TOTAL_PRODUTO_PERIODO",SUMIFS(Oferta!$F:$F,Oferta!$A:$A,$A3088,Oferta!$E:$E,$E3088),$F3088)</f>
        <v/>
      </c>
      <c r="J3088" s="6" t="inlineStr">
        <is>
          <t>Informado</t>
        </is>
      </c>
      <c r="K3088" s="6" t="inlineStr">
        <is>
          <t>Demanda doméstica fixa informada pelo usuário.</t>
        </is>
      </c>
    </row>
    <row r="3089">
      <c r="A3089" s="6" t="inlineStr">
        <is>
          <t>Soja</t>
        </is>
      </c>
      <c r="B3089" s="6" t="inlineStr">
        <is>
          <t>Aracaju - SE</t>
        </is>
      </c>
      <c r="C3089" s="6" t="n">
        <v>-10.9091</v>
      </c>
      <c r="D3089" s="6" t="n">
        <v>-37.0677</v>
      </c>
      <c r="E3089" s="6" t="inlineStr">
        <is>
          <t>2025-04</t>
        </is>
      </c>
      <c r="F3089" s="6" t="n">
        <v>25381.8097490124</v>
      </c>
      <c r="G3089" s="6" t="inlineStr">
        <is>
          <t>DOMESTICA</t>
        </is>
      </c>
      <c r="H3089" s="6" t="inlineStr">
        <is>
          <t>FIXO</t>
        </is>
      </c>
      <c r="I3089" s="11">
        <f>IF($H3089="AUTO_OFERTA_TOTAL_PRODUTO_PERIODO",SUMIFS(Oferta!$F:$F,Oferta!$A:$A,$A3089,Oferta!$E:$E,$E3089),$F3089)</f>
        <v/>
      </c>
      <c r="J3089" s="6" t="inlineStr">
        <is>
          <t>Informado</t>
        </is>
      </c>
      <c r="K3089" s="6" t="inlineStr">
        <is>
          <t>Demanda doméstica fixa informada pelo usuário.</t>
        </is>
      </c>
    </row>
    <row r="3090">
      <c r="A3090" s="6" t="inlineStr">
        <is>
          <t>Soja</t>
        </is>
      </c>
      <c r="B3090" s="6" t="inlineStr">
        <is>
          <t>Aracaju - SE</t>
        </is>
      </c>
      <c r="C3090" s="6" t="n">
        <v>-10.9091</v>
      </c>
      <c r="D3090" s="6" t="n">
        <v>-37.0677</v>
      </c>
      <c r="E3090" s="6" t="inlineStr">
        <is>
          <t>2025-05</t>
        </is>
      </c>
      <c r="F3090" s="6" t="n">
        <v>25381.8097490124</v>
      </c>
      <c r="G3090" s="6" t="inlineStr">
        <is>
          <t>DOMESTICA</t>
        </is>
      </c>
      <c r="H3090" s="6" t="inlineStr">
        <is>
          <t>FIXO</t>
        </is>
      </c>
      <c r="I3090" s="11">
        <f>IF($H3090="AUTO_OFERTA_TOTAL_PRODUTO_PERIODO",SUMIFS(Oferta!$F:$F,Oferta!$A:$A,$A3090,Oferta!$E:$E,$E3090),$F3090)</f>
        <v/>
      </c>
      <c r="J3090" s="6" t="inlineStr">
        <is>
          <t>Informado</t>
        </is>
      </c>
      <c r="K3090" s="6" t="inlineStr">
        <is>
          <t>Demanda doméstica fixa informada pelo usuário.</t>
        </is>
      </c>
    </row>
    <row r="3091">
      <c r="A3091" s="6" t="inlineStr">
        <is>
          <t>Soja</t>
        </is>
      </c>
      <c r="B3091" s="6" t="inlineStr">
        <is>
          <t>Aracaju - SE</t>
        </is>
      </c>
      <c r="C3091" s="6" t="n">
        <v>-10.9091</v>
      </c>
      <c r="D3091" s="6" t="n">
        <v>-37.0677</v>
      </c>
      <c r="E3091" s="6" t="inlineStr">
        <is>
          <t>2025-06</t>
        </is>
      </c>
      <c r="F3091" s="6" t="n">
        <v>25381.8097490124</v>
      </c>
      <c r="G3091" s="6" t="inlineStr">
        <is>
          <t>DOMESTICA</t>
        </is>
      </c>
      <c r="H3091" s="6" t="inlineStr">
        <is>
          <t>FIXO</t>
        </is>
      </c>
      <c r="I3091" s="11">
        <f>IF($H3091="AUTO_OFERTA_TOTAL_PRODUTO_PERIODO",SUMIFS(Oferta!$F:$F,Oferta!$A:$A,$A3091,Oferta!$E:$E,$E3091),$F3091)</f>
        <v/>
      </c>
      <c r="J3091" s="6" t="inlineStr">
        <is>
          <t>Informado</t>
        </is>
      </c>
      <c r="K3091" s="6" t="inlineStr">
        <is>
          <t>Demanda doméstica fixa informada pelo usuário.</t>
        </is>
      </c>
    </row>
    <row r="3092">
      <c r="A3092" s="6" t="inlineStr">
        <is>
          <t>Soja</t>
        </is>
      </c>
      <c r="B3092" s="6" t="inlineStr">
        <is>
          <t>Aracaju - SE</t>
        </is>
      </c>
      <c r="C3092" s="6" t="n">
        <v>-10.9091</v>
      </c>
      <c r="D3092" s="6" t="n">
        <v>-37.0677</v>
      </c>
      <c r="E3092" s="6" t="inlineStr">
        <is>
          <t>2025-07</t>
        </is>
      </c>
      <c r="F3092" s="6" t="n">
        <v>25381.8097490124</v>
      </c>
      <c r="G3092" s="6" t="inlineStr">
        <is>
          <t>DOMESTICA</t>
        </is>
      </c>
      <c r="H3092" s="6" t="inlineStr">
        <is>
          <t>FIXO</t>
        </is>
      </c>
      <c r="I3092" s="11">
        <f>IF($H3092="AUTO_OFERTA_TOTAL_PRODUTO_PERIODO",SUMIFS(Oferta!$F:$F,Oferta!$A:$A,$A3092,Oferta!$E:$E,$E3092),$F3092)</f>
        <v/>
      </c>
      <c r="J3092" s="6" t="inlineStr">
        <is>
          <t>Informado</t>
        </is>
      </c>
      <c r="K3092" s="6" t="inlineStr">
        <is>
          <t>Demanda doméstica fixa informada pelo usuário.</t>
        </is>
      </c>
    </row>
    <row r="3093">
      <c r="A3093" s="6" t="inlineStr">
        <is>
          <t>Soja</t>
        </is>
      </c>
      <c r="B3093" s="6" t="inlineStr">
        <is>
          <t>Aracaju - SE</t>
        </is>
      </c>
      <c r="C3093" s="6" t="n">
        <v>-10.9091</v>
      </c>
      <c r="D3093" s="6" t="n">
        <v>-37.0677</v>
      </c>
      <c r="E3093" s="6" t="inlineStr">
        <is>
          <t>2025-08</t>
        </is>
      </c>
      <c r="F3093" s="6" t="n">
        <v>25381.8097490124</v>
      </c>
      <c r="G3093" s="6" t="inlineStr">
        <is>
          <t>DOMESTICA</t>
        </is>
      </c>
      <c r="H3093" s="6" t="inlineStr">
        <is>
          <t>FIXO</t>
        </is>
      </c>
      <c r="I3093" s="11">
        <f>IF($H3093="AUTO_OFERTA_TOTAL_PRODUTO_PERIODO",SUMIFS(Oferta!$F:$F,Oferta!$A:$A,$A3093,Oferta!$E:$E,$E3093),$F3093)</f>
        <v/>
      </c>
      <c r="J3093" s="6" t="inlineStr">
        <is>
          <t>Informado</t>
        </is>
      </c>
      <c r="K3093" s="6" t="inlineStr">
        <is>
          <t>Demanda doméstica fixa informada pelo usuário.</t>
        </is>
      </c>
    </row>
    <row r="3094">
      <c r="A3094" s="6" t="inlineStr">
        <is>
          <t>Soja</t>
        </is>
      </c>
      <c r="B3094" s="6" t="inlineStr">
        <is>
          <t>Aracaju - SE</t>
        </is>
      </c>
      <c r="C3094" s="6" t="n">
        <v>-10.9091</v>
      </c>
      <c r="D3094" s="6" t="n">
        <v>-37.0677</v>
      </c>
      <c r="E3094" s="6" t="inlineStr">
        <is>
          <t>2025-09</t>
        </is>
      </c>
      <c r="F3094" s="6" t="n">
        <v>25381.8097490124</v>
      </c>
      <c r="G3094" s="6" t="inlineStr">
        <is>
          <t>DOMESTICA</t>
        </is>
      </c>
      <c r="H3094" s="6" t="inlineStr">
        <is>
          <t>FIXO</t>
        </is>
      </c>
      <c r="I3094" s="11">
        <f>IF($H3094="AUTO_OFERTA_TOTAL_PRODUTO_PERIODO",SUMIFS(Oferta!$F:$F,Oferta!$A:$A,$A3094,Oferta!$E:$E,$E3094),$F3094)</f>
        <v/>
      </c>
      <c r="J3094" s="6" t="inlineStr">
        <is>
          <t>Informado</t>
        </is>
      </c>
      <c r="K3094" s="6" t="inlineStr">
        <is>
          <t>Demanda doméstica fixa informada pelo usuário.</t>
        </is>
      </c>
    </row>
    <row r="3095">
      <c r="A3095" s="6" t="inlineStr">
        <is>
          <t>Soja</t>
        </is>
      </c>
      <c r="B3095" s="6" t="inlineStr">
        <is>
          <t>Aracaju - SE</t>
        </is>
      </c>
      <c r="C3095" s="6" t="n">
        <v>-10.9091</v>
      </c>
      <c r="D3095" s="6" t="n">
        <v>-37.0677</v>
      </c>
      <c r="E3095" s="6" t="inlineStr">
        <is>
          <t>2025-10</t>
        </is>
      </c>
      <c r="F3095" s="6" t="n">
        <v>25381.8097490124</v>
      </c>
      <c r="G3095" s="6" t="inlineStr">
        <is>
          <t>DOMESTICA</t>
        </is>
      </c>
      <c r="H3095" s="6" t="inlineStr">
        <is>
          <t>FIXO</t>
        </is>
      </c>
      <c r="I3095" s="11">
        <f>IF($H3095="AUTO_OFERTA_TOTAL_PRODUTO_PERIODO",SUMIFS(Oferta!$F:$F,Oferta!$A:$A,$A3095,Oferta!$E:$E,$E3095),$F3095)</f>
        <v/>
      </c>
      <c r="J3095" s="6" t="inlineStr">
        <is>
          <t>Informado</t>
        </is>
      </c>
      <c r="K3095" s="6" t="inlineStr">
        <is>
          <t>Demanda doméstica fixa informada pelo usuário.</t>
        </is>
      </c>
    </row>
    <row r="3096">
      <c r="A3096" s="6" t="inlineStr">
        <is>
          <t>Soja</t>
        </is>
      </c>
      <c r="B3096" s="6" t="inlineStr">
        <is>
          <t>Aracaju - SE</t>
        </is>
      </c>
      <c r="C3096" s="6" t="n">
        <v>-10.9091</v>
      </c>
      <c r="D3096" s="6" t="n">
        <v>-37.0677</v>
      </c>
      <c r="E3096" s="6" t="inlineStr">
        <is>
          <t>2025-11</t>
        </is>
      </c>
      <c r="F3096" s="6" t="n">
        <v>25381.8097490124</v>
      </c>
      <c r="G3096" s="6" t="inlineStr">
        <is>
          <t>DOMESTICA</t>
        </is>
      </c>
      <c r="H3096" s="6" t="inlineStr">
        <is>
          <t>FIXO</t>
        </is>
      </c>
      <c r="I3096" s="11">
        <f>IF($H3096="AUTO_OFERTA_TOTAL_PRODUTO_PERIODO",SUMIFS(Oferta!$F:$F,Oferta!$A:$A,$A3096,Oferta!$E:$E,$E3096),$F3096)</f>
        <v/>
      </c>
      <c r="J3096" s="6" t="inlineStr">
        <is>
          <t>Informado</t>
        </is>
      </c>
      <c r="K3096" s="6" t="inlineStr">
        <is>
          <t>Demanda doméstica fixa informada pelo usuário.</t>
        </is>
      </c>
    </row>
    <row r="3097">
      <c r="A3097" s="6" t="inlineStr">
        <is>
          <t>Soja</t>
        </is>
      </c>
      <c r="B3097" s="6" t="inlineStr">
        <is>
          <t>Aracaju - SE</t>
        </is>
      </c>
      <c r="C3097" s="6" t="n">
        <v>-10.9091</v>
      </c>
      <c r="D3097" s="6" t="n">
        <v>-37.0677</v>
      </c>
      <c r="E3097" s="6" t="inlineStr">
        <is>
          <t>2025-12</t>
        </is>
      </c>
      <c r="F3097" s="6" t="n">
        <v>25381.8097490124</v>
      </c>
      <c r="G3097" s="6" t="inlineStr">
        <is>
          <t>DOMESTICA</t>
        </is>
      </c>
      <c r="H3097" s="6" t="inlineStr">
        <is>
          <t>FIXO</t>
        </is>
      </c>
      <c r="I3097" s="11">
        <f>IF($H3097="AUTO_OFERTA_TOTAL_PRODUTO_PERIODO",SUMIFS(Oferta!$F:$F,Oferta!$A:$A,$A3097,Oferta!$E:$E,$E3097),$F3097)</f>
        <v/>
      </c>
      <c r="J3097" s="6" t="inlineStr">
        <is>
          <t>Informado</t>
        </is>
      </c>
      <c r="K3097" s="6" t="inlineStr">
        <is>
          <t>Demanda doméstica fixa informada pelo usuário.</t>
        </is>
      </c>
    </row>
    <row r="3098">
      <c r="A3098" s="6" t="inlineStr">
        <is>
          <t>Soja</t>
        </is>
      </c>
      <c r="B3098" s="6" t="inlineStr">
        <is>
          <t>Natal - RN</t>
        </is>
      </c>
      <c r="C3098" s="6" t="n">
        <v>-5.79357</v>
      </c>
      <c r="D3098" s="6" t="n">
        <v>-35.1986</v>
      </c>
      <c r="E3098" s="6" t="inlineStr">
        <is>
          <t>2025-01</t>
        </is>
      </c>
      <c r="F3098" s="6" t="n">
        <v>33492.7625760346</v>
      </c>
      <c r="G3098" s="6" t="inlineStr">
        <is>
          <t>DOMESTICA</t>
        </is>
      </c>
      <c r="H3098" s="6" t="inlineStr">
        <is>
          <t>FIXO</t>
        </is>
      </c>
      <c r="I3098" s="11">
        <f>IF($H3098="AUTO_OFERTA_TOTAL_PRODUTO_PERIODO",SUMIFS(Oferta!$F:$F,Oferta!$A:$A,$A3098,Oferta!$E:$E,$E3098),$F3098)</f>
        <v/>
      </c>
      <c r="J3098" s="6" t="inlineStr">
        <is>
          <t>Informado</t>
        </is>
      </c>
      <c r="K3098" s="6" t="inlineStr">
        <is>
          <t>Demanda doméstica fixa informada pelo usuário.</t>
        </is>
      </c>
    </row>
    <row r="3099">
      <c r="A3099" s="6" t="inlineStr">
        <is>
          <t>Soja</t>
        </is>
      </c>
      <c r="B3099" s="6" t="inlineStr">
        <is>
          <t>Natal - RN</t>
        </is>
      </c>
      <c r="C3099" s="6" t="n">
        <v>-5.79357</v>
      </c>
      <c r="D3099" s="6" t="n">
        <v>-35.1986</v>
      </c>
      <c r="E3099" s="6" t="inlineStr">
        <is>
          <t>2025-02</t>
        </is>
      </c>
      <c r="F3099" s="6" t="n">
        <v>33492.7625760346</v>
      </c>
      <c r="G3099" s="6" t="inlineStr">
        <is>
          <t>DOMESTICA</t>
        </is>
      </c>
      <c r="H3099" s="6" t="inlineStr">
        <is>
          <t>FIXO</t>
        </is>
      </c>
      <c r="I3099" s="11">
        <f>IF($H3099="AUTO_OFERTA_TOTAL_PRODUTO_PERIODO",SUMIFS(Oferta!$F:$F,Oferta!$A:$A,$A3099,Oferta!$E:$E,$E3099),$F3099)</f>
        <v/>
      </c>
      <c r="J3099" s="6" t="inlineStr">
        <is>
          <t>Informado</t>
        </is>
      </c>
      <c r="K3099" s="6" t="inlineStr">
        <is>
          <t>Demanda doméstica fixa informada pelo usuário.</t>
        </is>
      </c>
    </row>
    <row r="3100">
      <c r="A3100" s="6" t="inlineStr">
        <is>
          <t>Soja</t>
        </is>
      </c>
      <c r="B3100" s="6" t="inlineStr">
        <is>
          <t>Natal - RN</t>
        </is>
      </c>
      <c r="C3100" s="6" t="n">
        <v>-5.79357</v>
      </c>
      <c r="D3100" s="6" t="n">
        <v>-35.1986</v>
      </c>
      <c r="E3100" s="6" t="inlineStr">
        <is>
          <t>2025-03</t>
        </is>
      </c>
      <c r="F3100" s="6" t="n">
        <v>33492.7625760346</v>
      </c>
      <c r="G3100" s="6" t="inlineStr">
        <is>
          <t>DOMESTICA</t>
        </is>
      </c>
      <c r="H3100" s="6" t="inlineStr">
        <is>
          <t>FIXO</t>
        </is>
      </c>
      <c r="I3100" s="11">
        <f>IF($H3100="AUTO_OFERTA_TOTAL_PRODUTO_PERIODO",SUMIFS(Oferta!$F:$F,Oferta!$A:$A,$A3100,Oferta!$E:$E,$E3100),$F3100)</f>
        <v/>
      </c>
      <c r="J3100" s="6" t="inlineStr">
        <is>
          <t>Informado</t>
        </is>
      </c>
      <c r="K3100" s="6" t="inlineStr">
        <is>
          <t>Demanda doméstica fixa informada pelo usuário.</t>
        </is>
      </c>
    </row>
    <row r="3101">
      <c r="A3101" s="6" t="inlineStr">
        <is>
          <t>Soja</t>
        </is>
      </c>
      <c r="B3101" s="6" t="inlineStr">
        <is>
          <t>Natal - RN</t>
        </is>
      </c>
      <c r="C3101" s="6" t="n">
        <v>-5.79357</v>
      </c>
      <c r="D3101" s="6" t="n">
        <v>-35.1986</v>
      </c>
      <c r="E3101" s="6" t="inlineStr">
        <is>
          <t>2025-04</t>
        </is>
      </c>
      <c r="F3101" s="6" t="n">
        <v>33492.7625760346</v>
      </c>
      <c r="G3101" s="6" t="inlineStr">
        <is>
          <t>DOMESTICA</t>
        </is>
      </c>
      <c r="H3101" s="6" t="inlineStr">
        <is>
          <t>FIXO</t>
        </is>
      </c>
      <c r="I3101" s="11">
        <f>IF($H3101="AUTO_OFERTA_TOTAL_PRODUTO_PERIODO",SUMIFS(Oferta!$F:$F,Oferta!$A:$A,$A3101,Oferta!$E:$E,$E3101),$F3101)</f>
        <v/>
      </c>
      <c r="J3101" s="6" t="inlineStr">
        <is>
          <t>Informado</t>
        </is>
      </c>
      <c r="K3101" s="6" t="inlineStr">
        <is>
          <t>Demanda doméstica fixa informada pelo usuário.</t>
        </is>
      </c>
    </row>
    <row r="3102">
      <c r="A3102" s="6" t="inlineStr">
        <is>
          <t>Soja</t>
        </is>
      </c>
      <c r="B3102" s="6" t="inlineStr">
        <is>
          <t>Natal - RN</t>
        </is>
      </c>
      <c r="C3102" s="6" t="n">
        <v>-5.79357</v>
      </c>
      <c r="D3102" s="6" t="n">
        <v>-35.1986</v>
      </c>
      <c r="E3102" s="6" t="inlineStr">
        <is>
          <t>2025-05</t>
        </is>
      </c>
      <c r="F3102" s="6" t="n">
        <v>33492.7625760346</v>
      </c>
      <c r="G3102" s="6" t="inlineStr">
        <is>
          <t>DOMESTICA</t>
        </is>
      </c>
      <c r="H3102" s="6" t="inlineStr">
        <is>
          <t>FIXO</t>
        </is>
      </c>
      <c r="I3102" s="11">
        <f>IF($H3102="AUTO_OFERTA_TOTAL_PRODUTO_PERIODO",SUMIFS(Oferta!$F:$F,Oferta!$A:$A,$A3102,Oferta!$E:$E,$E3102),$F3102)</f>
        <v/>
      </c>
      <c r="J3102" s="6" t="inlineStr">
        <is>
          <t>Informado</t>
        </is>
      </c>
      <c r="K3102" s="6" t="inlineStr">
        <is>
          <t>Demanda doméstica fixa informada pelo usuário.</t>
        </is>
      </c>
    </row>
    <row r="3103">
      <c r="A3103" s="6" t="inlineStr">
        <is>
          <t>Soja</t>
        </is>
      </c>
      <c r="B3103" s="6" t="inlineStr">
        <is>
          <t>Natal - RN</t>
        </is>
      </c>
      <c r="C3103" s="6" t="n">
        <v>-5.79357</v>
      </c>
      <c r="D3103" s="6" t="n">
        <v>-35.1986</v>
      </c>
      <c r="E3103" s="6" t="inlineStr">
        <is>
          <t>2025-06</t>
        </is>
      </c>
      <c r="F3103" s="6" t="n">
        <v>33492.7625760346</v>
      </c>
      <c r="G3103" s="6" t="inlineStr">
        <is>
          <t>DOMESTICA</t>
        </is>
      </c>
      <c r="H3103" s="6" t="inlineStr">
        <is>
          <t>FIXO</t>
        </is>
      </c>
      <c r="I3103" s="11">
        <f>IF($H3103="AUTO_OFERTA_TOTAL_PRODUTO_PERIODO",SUMIFS(Oferta!$F:$F,Oferta!$A:$A,$A3103,Oferta!$E:$E,$E3103),$F3103)</f>
        <v/>
      </c>
      <c r="J3103" s="6" t="inlineStr">
        <is>
          <t>Informado</t>
        </is>
      </c>
      <c r="K3103" s="6" t="inlineStr">
        <is>
          <t>Demanda doméstica fixa informada pelo usuário.</t>
        </is>
      </c>
    </row>
    <row r="3104">
      <c r="A3104" s="6" t="inlineStr">
        <is>
          <t>Soja</t>
        </is>
      </c>
      <c r="B3104" s="6" t="inlineStr">
        <is>
          <t>Natal - RN</t>
        </is>
      </c>
      <c r="C3104" s="6" t="n">
        <v>-5.79357</v>
      </c>
      <c r="D3104" s="6" t="n">
        <v>-35.1986</v>
      </c>
      <c r="E3104" s="6" t="inlineStr">
        <is>
          <t>2025-07</t>
        </is>
      </c>
      <c r="F3104" s="6" t="n">
        <v>33492.7625760346</v>
      </c>
      <c r="G3104" s="6" t="inlineStr">
        <is>
          <t>DOMESTICA</t>
        </is>
      </c>
      <c r="H3104" s="6" t="inlineStr">
        <is>
          <t>FIXO</t>
        </is>
      </c>
      <c r="I3104" s="11">
        <f>IF($H3104="AUTO_OFERTA_TOTAL_PRODUTO_PERIODO",SUMIFS(Oferta!$F:$F,Oferta!$A:$A,$A3104,Oferta!$E:$E,$E3104),$F3104)</f>
        <v/>
      </c>
      <c r="J3104" s="6" t="inlineStr">
        <is>
          <t>Informado</t>
        </is>
      </c>
      <c r="K3104" s="6" t="inlineStr">
        <is>
          <t>Demanda doméstica fixa informada pelo usuário.</t>
        </is>
      </c>
    </row>
    <row r="3105">
      <c r="A3105" s="6" t="inlineStr">
        <is>
          <t>Soja</t>
        </is>
      </c>
      <c r="B3105" s="6" t="inlineStr">
        <is>
          <t>Natal - RN</t>
        </is>
      </c>
      <c r="C3105" s="6" t="n">
        <v>-5.79357</v>
      </c>
      <c r="D3105" s="6" t="n">
        <v>-35.1986</v>
      </c>
      <c r="E3105" s="6" t="inlineStr">
        <is>
          <t>2025-08</t>
        </is>
      </c>
      <c r="F3105" s="6" t="n">
        <v>33492.7625760346</v>
      </c>
      <c r="G3105" s="6" t="inlineStr">
        <is>
          <t>DOMESTICA</t>
        </is>
      </c>
      <c r="H3105" s="6" t="inlineStr">
        <is>
          <t>FIXO</t>
        </is>
      </c>
      <c r="I3105" s="11">
        <f>IF($H3105="AUTO_OFERTA_TOTAL_PRODUTO_PERIODO",SUMIFS(Oferta!$F:$F,Oferta!$A:$A,$A3105,Oferta!$E:$E,$E3105),$F3105)</f>
        <v/>
      </c>
      <c r="J3105" s="6" t="inlineStr">
        <is>
          <t>Informado</t>
        </is>
      </c>
      <c r="K3105" s="6" t="inlineStr">
        <is>
          <t>Demanda doméstica fixa informada pelo usuário.</t>
        </is>
      </c>
    </row>
    <row r="3106">
      <c r="A3106" s="6" t="inlineStr">
        <is>
          <t>Soja</t>
        </is>
      </c>
      <c r="B3106" s="6" t="inlineStr">
        <is>
          <t>Natal - RN</t>
        </is>
      </c>
      <c r="C3106" s="6" t="n">
        <v>-5.79357</v>
      </c>
      <c r="D3106" s="6" t="n">
        <v>-35.1986</v>
      </c>
      <c r="E3106" s="6" t="inlineStr">
        <is>
          <t>2025-09</t>
        </is>
      </c>
      <c r="F3106" s="6" t="n">
        <v>33492.7625760346</v>
      </c>
      <c r="G3106" s="6" t="inlineStr">
        <is>
          <t>DOMESTICA</t>
        </is>
      </c>
      <c r="H3106" s="6" t="inlineStr">
        <is>
          <t>FIXO</t>
        </is>
      </c>
      <c r="I3106" s="11">
        <f>IF($H3106="AUTO_OFERTA_TOTAL_PRODUTO_PERIODO",SUMIFS(Oferta!$F:$F,Oferta!$A:$A,$A3106,Oferta!$E:$E,$E3106),$F3106)</f>
        <v/>
      </c>
      <c r="J3106" s="6" t="inlineStr">
        <is>
          <t>Informado</t>
        </is>
      </c>
      <c r="K3106" s="6" t="inlineStr">
        <is>
          <t>Demanda doméstica fixa informada pelo usuário.</t>
        </is>
      </c>
    </row>
    <row r="3107">
      <c r="A3107" s="6" t="inlineStr">
        <is>
          <t>Soja</t>
        </is>
      </c>
      <c r="B3107" s="6" t="inlineStr">
        <is>
          <t>Natal - RN</t>
        </is>
      </c>
      <c r="C3107" s="6" t="n">
        <v>-5.79357</v>
      </c>
      <c r="D3107" s="6" t="n">
        <v>-35.1986</v>
      </c>
      <c r="E3107" s="6" t="inlineStr">
        <is>
          <t>2025-10</t>
        </is>
      </c>
      <c r="F3107" s="6" t="n">
        <v>33492.7625760346</v>
      </c>
      <c r="G3107" s="6" t="inlineStr">
        <is>
          <t>DOMESTICA</t>
        </is>
      </c>
      <c r="H3107" s="6" t="inlineStr">
        <is>
          <t>FIXO</t>
        </is>
      </c>
      <c r="I3107" s="11">
        <f>IF($H3107="AUTO_OFERTA_TOTAL_PRODUTO_PERIODO",SUMIFS(Oferta!$F:$F,Oferta!$A:$A,$A3107,Oferta!$E:$E,$E3107),$F3107)</f>
        <v/>
      </c>
      <c r="J3107" s="6" t="inlineStr">
        <is>
          <t>Informado</t>
        </is>
      </c>
      <c r="K3107" s="6" t="inlineStr">
        <is>
          <t>Demanda doméstica fixa informada pelo usuário.</t>
        </is>
      </c>
    </row>
    <row r="3108">
      <c r="A3108" s="6" t="inlineStr">
        <is>
          <t>Soja</t>
        </is>
      </c>
      <c r="B3108" s="6" t="inlineStr">
        <is>
          <t>Natal - RN</t>
        </is>
      </c>
      <c r="C3108" s="6" t="n">
        <v>-5.79357</v>
      </c>
      <c r="D3108" s="6" t="n">
        <v>-35.1986</v>
      </c>
      <c r="E3108" s="6" t="inlineStr">
        <is>
          <t>2025-11</t>
        </is>
      </c>
      <c r="F3108" s="6" t="n">
        <v>33492.7625760346</v>
      </c>
      <c r="G3108" s="6" t="inlineStr">
        <is>
          <t>DOMESTICA</t>
        </is>
      </c>
      <c r="H3108" s="6" t="inlineStr">
        <is>
          <t>FIXO</t>
        </is>
      </c>
      <c r="I3108" s="11">
        <f>IF($H3108="AUTO_OFERTA_TOTAL_PRODUTO_PERIODO",SUMIFS(Oferta!$F:$F,Oferta!$A:$A,$A3108,Oferta!$E:$E,$E3108),$F3108)</f>
        <v/>
      </c>
      <c r="J3108" s="6" t="inlineStr">
        <is>
          <t>Informado</t>
        </is>
      </c>
      <c r="K3108" s="6" t="inlineStr">
        <is>
          <t>Demanda doméstica fixa informada pelo usuário.</t>
        </is>
      </c>
    </row>
    <row r="3109">
      <c r="A3109" s="6" t="inlineStr">
        <is>
          <t>Soja</t>
        </is>
      </c>
      <c r="B3109" s="6" t="inlineStr">
        <is>
          <t>Natal - RN</t>
        </is>
      </c>
      <c r="C3109" s="6" t="n">
        <v>-5.79357</v>
      </c>
      <c r="D3109" s="6" t="n">
        <v>-35.1986</v>
      </c>
      <c r="E3109" s="6" t="inlineStr">
        <is>
          <t>2025-12</t>
        </is>
      </c>
      <c r="F3109" s="6" t="n">
        <v>33492.7625760346</v>
      </c>
      <c r="G3109" s="6" t="inlineStr">
        <is>
          <t>DOMESTICA</t>
        </is>
      </c>
      <c r="H3109" s="6" t="inlineStr">
        <is>
          <t>FIXO</t>
        </is>
      </c>
      <c r="I3109" s="11">
        <f>IF($H3109="AUTO_OFERTA_TOTAL_PRODUTO_PERIODO",SUMIFS(Oferta!$F:$F,Oferta!$A:$A,$A3109,Oferta!$E:$E,$E3109),$F3109)</f>
        <v/>
      </c>
      <c r="J3109" s="6" t="inlineStr">
        <is>
          <t>Informado</t>
        </is>
      </c>
      <c r="K3109" s="6" t="inlineStr">
        <is>
          <t>Demanda doméstica fixa informada pelo usuário.</t>
        </is>
      </c>
    </row>
    <row r="3110">
      <c r="A3110" s="6" t="inlineStr">
        <is>
          <t>Soja</t>
        </is>
      </c>
      <c r="B3110" s="6" t="inlineStr">
        <is>
          <t>Brasília - DF</t>
        </is>
      </c>
      <c r="C3110" s="6" t="n">
        <v>-15.7795</v>
      </c>
      <c r="D3110" s="6" t="n">
        <v>-47.9297</v>
      </c>
      <c r="E3110" s="6" t="inlineStr">
        <is>
          <t>2025-01</t>
        </is>
      </c>
      <c r="F3110" s="6" t="n">
        <v>19062.829865775</v>
      </c>
      <c r="G3110" s="6" t="inlineStr">
        <is>
          <t>DOMESTICA</t>
        </is>
      </c>
      <c r="H3110" s="6" t="inlineStr">
        <is>
          <t>FIXO</t>
        </is>
      </c>
      <c r="I3110" s="11">
        <f>IF($H3110="AUTO_OFERTA_TOTAL_PRODUTO_PERIODO",SUMIFS(Oferta!$F:$F,Oferta!$A:$A,$A3110,Oferta!$E:$E,$E3110),$F3110)</f>
        <v/>
      </c>
      <c r="J3110" s="6" t="inlineStr">
        <is>
          <t>Informado</t>
        </is>
      </c>
      <c r="K3110" s="6" t="inlineStr">
        <is>
          <t>Demanda doméstica fixa informada pelo usuário.</t>
        </is>
      </c>
    </row>
    <row r="3111">
      <c r="A3111" s="6" t="inlineStr">
        <is>
          <t>Soja</t>
        </is>
      </c>
      <c r="B3111" s="6" t="inlineStr">
        <is>
          <t>Brasília - DF</t>
        </is>
      </c>
      <c r="C3111" s="6" t="n">
        <v>-15.7795</v>
      </c>
      <c r="D3111" s="6" t="n">
        <v>-47.9297</v>
      </c>
      <c r="E3111" s="6" t="inlineStr">
        <is>
          <t>2025-02</t>
        </is>
      </c>
      <c r="F3111" s="6" t="n">
        <v>19062.829865775</v>
      </c>
      <c r="G3111" s="6" t="inlineStr">
        <is>
          <t>DOMESTICA</t>
        </is>
      </c>
      <c r="H3111" s="6" t="inlineStr">
        <is>
          <t>FIXO</t>
        </is>
      </c>
      <c r="I3111" s="11">
        <f>IF($H3111="AUTO_OFERTA_TOTAL_PRODUTO_PERIODO",SUMIFS(Oferta!$F:$F,Oferta!$A:$A,$A3111,Oferta!$E:$E,$E3111),$F3111)</f>
        <v/>
      </c>
      <c r="J3111" s="6" t="inlineStr">
        <is>
          <t>Informado</t>
        </is>
      </c>
      <c r="K3111" s="6" t="inlineStr">
        <is>
          <t>Demanda doméstica fixa informada pelo usuário.</t>
        </is>
      </c>
    </row>
    <row r="3112">
      <c r="A3112" s="6" t="inlineStr">
        <is>
          <t>Soja</t>
        </is>
      </c>
      <c r="B3112" s="6" t="inlineStr">
        <is>
          <t>Brasília - DF</t>
        </is>
      </c>
      <c r="C3112" s="6" t="n">
        <v>-15.7795</v>
      </c>
      <c r="D3112" s="6" t="n">
        <v>-47.9297</v>
      </c>
      <c r="E3112" s="6" t="inlineStr">
        <is>
          <t>2025-03</t>
        </is>
      </c>
      <c r="F3112" s="6" t="n">
        <v>30572.4629922807</v>
      </c>
      <c r="G3112" s="6" t="inlineStr">
        <is>
          <t>DOMESTICA</t>
        </is>
      </c>
      <c r="H3112" s="6" t="inlineStr">
        <is>
          <t>FIXO</t>
        </is>
      </c>
      <c r="I3112" s="11">
        <f>IF($H3112="AUTO_OFERTA_TOTAL_PRODUTO_PERIODO",SUMIFS(Oferta!$F:$F,Oferta!$A:$A,$A3112,Oferta!$E:$E,$E3112),$F3112)</f>
        <v/>
      </c>
      <c r="J3112" s="6" t="inlineStr">
        <is>
          <t>Informado</t>
        </is>
      </c>
      <c r="K3112" s="6" t="inlineStr">
        <is>
          <t>Demanda doméstica fixa informada pelo usuário.</t>
        </is>
      </c>
    </row>
    <row r="3113">
      <c r="A3113" s="6" t="inlineStr">
        <is>
          <t>Soja</t>
        </is>
      </c>
      <c r="B3113" s="6" t="inlineStr">
        <is>
          <t>Brasília - DF</t>
        </is>
      </c>
      <c r="C3113" s="6" t="n">
        <v>-15.7795</v>
      </c>
      <c r="D3113" s="6" t="n">
        <v>-47.9297</v>
      </c>
      <c r="E3113" s="6" t="inlineStr">
        <is>
          <t>2025-04</t>
        </is>
      </c>
      <c r="F3113" s="6" t="n">
        <v>42082.0961187863</v>
      </c>
      <c r="G3113" s="6" t="inlineStr">
        <is>
          <t>DOMESTICA</t>
        </is>
      </c>
      <c r="H3113" s="6" t="inlineStr">
        <is>
          <t>FIXO</t>
        </is>
      </c>
      <c r="I3113" s="11">
        <f>IF($H3113="AUTO_OFERTA_TOTAL_PRODUTO_PERIODO",SUMIFS(Oferta!$F:$F,Oferta!$A:$A,$A3113,Oferta!$E:$E,$E3113),$F3113)</f>
        <v/>
      </c>
      <c r="J3113" s="6" t="inlineStr">
        <is>
          <t>Informado</t>
        </is>
      </c>
      <c r="K3113" s="6" t="inlineStr">
        <is>
          <t>Demanda doméstica fixa informada pelo usuário.</t>
        </is>
      </c>
    </row>
    <row r="3114">
      <c r="A3114" s="6" t="inlineStr">
        <is>
          <t>Soja</t>
        </is>
      </c>
      <c r="B3114" s="6" t="inlineStr">
        <is>
          <t>Brasília - DF</t>
        </is>
      </c>
      <c r="C3114" s="6" t="n">
        <v>-15.7795</v>
      </c>
      <c r="D3114" s="6" t="n">
        <v>-47.9297</v>
      </c>
      <c r="E3114" s="6" t="inlineStr">
        <is>
          <t>2025-05</t>
        </is>
      </c>
      <c r="F3114" s="6" t="n">
        <v>76610.99549830329</v>
      </c>
      <c r="G3114" s="6" t="inlineStr">
        <is>
          <t>DOMESTICA</t>
        </is>
      </c>
      <c r="H3114" s="6" t="inlineStr">
        <is>
          <t>FIXO</t>
        </is>
      </c>
      <c r="I3114" s="11">
        <f>IF($H3114="AUTO_OFERTA_TOTAL_PRODUTO_PERIODO",SUMIFS(Oferta!$F:$F,Oferta!$A:$A,$A3114,Oferta!$E:$E,$E3114),$F3114)</f>
        <v/>
      </c>
      <c r="J3114" s="6" t="inlineStr">
        <is>
          <t>Informado</t>
        </is>
      </c>
      <c r="K3114" s="6" t="inlineStr">
        <is>
          <t>Demanda doméstica fixa informada pelo usuário.</t>
        </is>
      </c>
    </row>
    <row r="3115">
      <c r="A3115" s="6" t="inlineStr">
        <is>
          <t>Soja</t>
        </is>
      </c>
      <c r="B3115" s="6" t="inlineStr">
        <is>
          <t>Brasília - DF</t>
        </is>
      </c>
      <c r="C3115" s="6" t="n">
        <v>-15.7795</v>
      </c>
      <c r="D3115" s="6" t="n">
        <v>-47.9297</v>
      </c>
      <c r="E3115" s="6" t="inlineStr">
        <is>
          <t>2025-06</t>
        </is>
      </c>
      <c r="F3115" s="6" t="n">
        <v>76610.99549830329</v>
      </c>
      <c r="G3115" s="6" t="inlineStr">
        <is>
          <t>DOMESTICA</t>
        </is>
      </c>
      <c r="H3115" s="6" t="inlineStr">
        <is>
          <t>FIXO</t>
        </is>
      </c>
      <c r="I3115" s="11">
        <f>IF($H3115="AUTO_OFERTA_TOTAL_PRODUTO_PERIODO",SUMIFS(Oferta!$F:$F,Oferta!$A:$A,$A3115,Oferta!$E:$E,$E3115),$F3115)</f>
        <v/>
      </c>
      <c r="J3115" s="6" t="inlineStr">
        <is>
          <t>Informado</t>
        </is>
      </c>
      <c r="K3115" s="6" t="inlineStr">
        <is>
          <t>Demanda doméstica fixa informada pelo usuário.</t>
        </is>
      </c>
    </row>
    <row r="3116">
      <c r="A3116" s="6" t="inlineStr">
        <is>
          <t>Soja</t>
        </is>
      </c>
      <c r="B3116" s="6" t="inlineStr">
        <is>
          <t>Brasília - DF</t>
        </is>
      </c>
      <c r="C3116" s="6" t="n">
        <v>-15.7795</v>
      </c>
      <c r="D3116" s="6" t="n">
        <v>-47.9297</v>
      </c>
      <c r="E3116" s="6" t="inlineStr">
        <is>
          <t>2025-07</t>
        </is>
      </c>
      <c r="F3116" s="6" t="n">
        <v>65101.3623717977</v>
      </c>
      <c r="G3116" s="6" t="inlineStr">
        <is>
          <t>DOMESTICA</t>
        </is>
      </c>
      <c r="H3116" s="6" t="inlineStr">
        <is>
          <t>FIXO</t>
        </is>
      </c>
      <c r="I3116" s="11">
        <f>IF($H3116="AUTO_OFERTA_TOTAL_PRODUTO_PERIODO",SUMIFS(Oferta!$F:$F,Oferta!$A:$A,$A3116,Oferta!$E:$E,$E3116),$F3116)</f>
        <v/>
      </c>
      <c r="J3116" s="6" t="inlineStr">
        <is>
          <t>Informado</t>
        </is>
      </c>
      <c r="K3116" s="6" t="inlineStr">
        <is>
          <t>Demanda doméstica fixa informada pelo usuário.</t>
        </is>
      </c>
    </row>
    <row r="3117">
      <c r="A3117" s="6" t="inlineStr">
        <is>
          <t>Soja</t>
        </is>
      </c>
      <c r="B3117" s="6" t="inlineStr">
        <is>
          <t>Brasília - DF</t>
        </is>
      </c>
      <c r="C3117" s="6" t="n">
        <v>-15.7795</v>
      </c>
      <c r="D3117" s="6" t="n">
        <v>-47.9297</v>
      </c>
      <c r="E3117" s="6" t="inlineStr">
        <is>
          <t>2025-08</t>
        </is>
      </c>
      <c r="F3117" s="6" t="n">
        <v>30572.4629922807</v>
      </c>
      <c r="G3117" s="6" t="inlineStr">
        <is>
          <t>DOMESTICA</t>
        </is>
      </c>
      <c r="H3117" s="6" t="inlineStr">
        <is>
          <t>FIXO</t>
        </is>
      </c>
      <c r="I3117" s="11">
        <f>IF($H3117="AUTO_OFERTA_TOTAL_PRODUTO_PERIODO",SUMIFS(Oferta!$F:$F,Oferta!$A:$A,$A3117,Oferta!$E:$E,$E3117),$F3117)</f>
        <v/>
      </c>
      <c r="J3117" s="6" t="inlineStr">
        <is>
          <t>Informado</t>
        </is>
      </c>
      <c r="K3117" s="6" t="inlineStr">
        <is>
          <t>Demanda doméstica fixa informada pelo usuário.</t>
        </is>
      </c>
    </row>
    <row r="3118">
      <c r="A3118" s="6" t="inlineStr">
        <is>
          <t>Soja</t>
        </is>
      </c>
      <c r="B3118" s="6" t="inlineStr">
        <is>
          <t>Brasília - DF</t>
        </is>
      </c>
      <c r="C3118" s="6" t="n">
        <v>-15.7795</v>
      </c>
      <c r="D3118" s="6" t="n">
        <v>-47.9297</v>
      </c>
      <c r="E3118" s="6" t="inlineStr">
        <is>
          <t>2025-09</t>
        </is>
      </c>
      <c r="F3118" s="6" t="n">
        <v>19062.829865775</v>
      </c>
      <c r="G3118" s="6" t="inlineStr">
        <is>
          <t>DOMESTICA</t>
        </is>
      </c>
      <c r="H3118" s="6" t="inlineStr">
        <is>
          <t>FIXO</t>
        </is>
      </c>
      <c r="I3118" s="11">
        <f>IF($H3118="AUTO_OFERTA_TOTAL_PRODUTO_PERIODO",SUMIFS(Oferta!$F:$F,Oferta!$A:$A,$A3118,Oferta!$E:$E,$E3118),$F3118)</f>
        <v/>
      </c>
      <c r="J3118" s="6" t="inlineStr">
        <is>
          <t>Informado</t>
        </is>
      </c>
      <c r="K3118" s="6" t="inlineStr">
        <is>
          <t>Demanda doméstica fixa informada pelo usuário.</t>
        </is>
      </c>
    </row>
    <row r="3119">
      <c r="A3119" s="6" t="inlineStr">
        <is>
          <t>Soja</t>
        </is>
      </c>
      <c r="B3119" s="6" t="inlineStr">
        <is>
          <t>Brasília - DF</t>
        </is>
      </c>
      <c r="C3119" s="6" t="n">
        <v>-15.7795</v>
      </c>
      <c r="D3119" s="6" t="n">
        <v>-47.9297</v>
      </c>
      <c r="E3119" s="6" t="inlineStr">
        <is>
          <t>2025-10</t>
        </is>
      </c>
      <c r="F3119" s="6" t="n">
        <v>19062.829865775</v>
      </c>
      <c r="G3119" s="6" t="inlineStr">
        <is>
          <t>DOMESTICA</t>
        </is>
      </c>
      <c r="H3119" s="6" t="inlineStr">
        <is>
          <t>FIXO</t>
        </is>
      </c>
      <c r="I3119" s="11">
        <f>IF($H3119="AUTO_OFERTA_TOTAL_PRODUTO_PERIODO",SUMIFS(Oferta!$F:$F,Oferta!$A:$A,$A3119,Oferta!$E:$E,$E3119),$F3119)</f>
        <v/>
      </c>
      <c r="J3119" s="6" t="inlineStr">
        <is>
          <t>Informado</t>
        </is>
      </c>
      <c r="K3119" s="6" t="inlineStr">
        <is>
          <t>Demanda doméstica fixa informada pelo usuário.</t>
        </is>
      </c>
    </row>
    <row r="3120">
      <c r="A3120" s="6" t="inlineStr">
        <is>
          <t>Soja</t>
        </is>
      </c>
      <c r="B3120" s="6" t="inlineStr">
        <is>
          <t>Brasília - DF</t>
        </is>
      </c>
      <c r="C3120" s="6" t="n">
        <v>-15.7795</v>
      </c>
      <c r="D3120" s="6" t="n">
        <v>-47.9297</v>
      </c>
      <c r="E3120" s="6" t="inlineStr">
        <is>
          <t>2025-11</t>
        </is>
      </c>
      <c r="F3120" s="6" t="n">
        <v>19062.829865775</v>
      </c>
      <c r="G3120" s="6" t="inlineStr">
        <is>
          <t>DOMESTICA</t>
        </is>
      </c>
      <c r="H3120" s="6" t="inlineStr">
        <is>
          <t>FIXO</t>
        </is>
      </c>
      <c r="I3120" s="11">
        <f>IF($H3120="AUTO_OFERTA_TOTAL_PRODUTO_PERIODO",SUMIFS(Oferta!$F:$F,Oferta!$A:$A,$A3120,Oferta!$E:$E,$E3120),$F3120)</f>
        <v/>
      </c>
      <c r="J3120" s="6" t="inlineStr">
        <is>
          <t>Informado</t>
        </is>
      </c>
      <c r="K3120" s="6" t="inlineStr">
        <is>
          <t>Demanda doméstica fixa informada pelo usuário.</t>
        </is>
      </c>
    </row>
    <row r="3121">
      <c r="A3121" s="6" t="inlineStr">
        <is>
          <t>Soja</t>
        </is>
      </c>
      <c r="B3121" s="6" t="inlineStr">
        <is>
          <t>Brasília - DF</t>
        </is>
      </c>
      <c r="C3121" s="6" t="n">
        <v>-15.7795</v>
      </c>
      <c r="D3121" s="6" t="n">
        <v>-47.9297</v>
      </c>
      <c r="E3121" s="6" t="inlineStr">
        <is>
          <t>2025-12</t>
        </is>
      </c>
      <c r="F3121" s="6" t="n">
        <v>19062.829865775</v>
      </c>
      <c r="G3121" s="6" t="inlineStr">
        <is>
          <t>DOMESTICA</t>
        </is>
      </c>
      <c r="H3121" s="6" t="inlineStr">
        <is>
          <t>FIXO</t>
        </is>
      </c>
      <c r="I3121" s="11">
        <f>IF($H3121="AUTO_OFERTA_TOTAL_PRODUTO_PERIODO",SUMIFS(Oferta!$F:$F,Oferta!$A:$A,$A3121,Oferta!$E:$E,$E3121),$F3121)</f>
        <v/>
      </c>
      <c r="J3121" s="6" t="inlineStr">
        <is>
          <t>Informado</t>
        </is>
      </c>
      <c r="K3121" s="6" t="inlineStr">
        <is>
          <t>Demanda doméstica fixa informada pelo usuário.</t>
        </is>
      </c>
    </row>
    <row r="3122">
      <c r="A3122" s="6" t="inlineStr">
        <is>
          <t>Soja</t>
        </is>
      </c>
      <c r="B3122" s="6" t="inlineStr">
        <is>
          <t>Goiânia - GO</t>
        </is>
      </c>
      <c r="C3122" s="6" t="n">
        <v>-16.6864</v>
      </c>
      <c r="D3122" s="6" t="n">
        <v>-49.2643</v>
      </c>
      <c r="E3122" s="6" t="inlineStr">
        <is>
          <t>2025-01</t>
        </is>
      </c>
      <c r="F3122" s="6" t="n">
        <v>166363.3667555009</v>
      </c>
      <c r="G3122" s="6" t="inlineStr">
        <is>
          <t>DOMESTICA</t>
        </is>
      </c>
      <c r="H3122" s="6" t="inlineStr">
        <is>
          <t>FIXO</t>
        </is>
      </c>
      <c r="I3122" s="11">
        <f>IF($H3122="AUTO_OFERTA_TOTAL_PRODUTO_PERIODO",SUMIFS(Oferta!$F:$F,Oferta!$A:$A,$A3122,Oferta!$E:$E,$E3122),$F3122)</f>
        <v/>
      </c>
      <c r="J3122" s="6" t="inlineStr">
        <is>
          <t>Informado</t>
        </is>
      </c>
      <c r="K3122" s="6" t="inlineStr">
        <is>
          <t>Demanda doméstica fixa informada pelo usuário.</t>
        </is>
      </c>
    </row>
    <row r="3123">
      <c r="A3123" s="6" t="inlineStr">
        <is>
          <t>Soja</t>
        </is>
      </c>
      <c r="B3123" s="6" t="inlineStr">
        <is>
          <t>Goiânia - GO</t>
        </is>
      </c>
      <c r="C3123" s="6" t="n">
        <v>-16.6864</v>
      </c>
      <c r="D3123" s="6" t="n">
        <v>-49.2643</v>
      </c>
      <c r="E3123" s="6" t="inlineStr">
        <is>
          <t>2025-02</t>
        </is>
      </c>
      <c r="F3123" s="6" t="n">
        <v>166363.3667555009</v>
      </c>
      <c r="G3123" s="6" t="inlineStr">
        <is>
          <t>DOMESTICA</t>
        </is>
      </c>
      <c r="H3123" s="6" t="inlineStr">
        <is>
          <t>FIXO</t>
        </is>
      </c>
      <c r="I3123" s="11">
        <f>IF($H3123="AUTO_OFERTA_TOTAL_PRODUTO_PERIODO",SUMIFS(Oferta!$F:$F,Oferta!$A:$A,$A3123,Oferta!$E:$E,$E3123),$F3123)</f>
        <v/>
      </c>
      <c r="J3123" s="6" t="inlineStr">
        <is>
          <t>Informado</t>
        </is>
      </c>
      <c r="K3123" s="6" t="inlineStr">
        <is>
          <t>Demanda doméstica fixa informada pelo usuário.</t>
        </is>
      </c>
    </row>
    <row r="3124">
      <c r="A3124" s="6" t="inlineStr">
        <is>
          <t>Soja</t>
        </is>
      </c>
      <c r="B3124" s="6" t="inlineStr">
        <is>
          <t>Goiânia - GO</t>
        </is>
      </c>
      <c r="C3124" s="6" t="n">
        <v>-16.6864</v>
      </c>
      <c r="D3124" s="6" t="n">
        <v>-49.2643</v>
      </c>
      <c r="E3124" s="6" t="inlineStr">
        <is>
          <t>2025-03</t>
        </is>
      </c>
      <c r="F3124" s="6" t="n">
        <v>266809.1730984449</v>
      </c>
      <c r="G3124" s="6" t="inlineStr">
        <is>
          <t>DOMESTICA</t>
        </is>
      </c>
      <c r="H3124" s="6" t="inlineStr">
        <is>
          <t>FIXO</t>
        </is>
      </c>
      <c r="I3124" s="11">
        <f>IF($H3124="AUTO_OFERTA_TOTAL_PRODUTO_PERIODO",SUMIFS(Oferta!$F:$F,Oferta!$A:$A,$A3124,Oferta!$E:$E,$E3124),$F3124)</f>
        <v/>
      </c>
      <c r="J3124" s="6" t="inlineStr">
        <is>
          <t>Informado</t>
        </is>
      </c>
      <c r="K3124" s="6" t="inlineStr">
        <is>
          <t>Demanda doméstica fixa informada pelo usuário.</t>
        </is>
      </c>
    </row>
    <row r="3125">
      <c r="A3125" s="6" t="inlineStr">
        <is>
          <t>Soja</t>
        </is>
      </c>
      <c r="B3125" s="6" t="inlineStr">
        <is>
          <t>Goiânia - GO</t>
        </is>
      </c>
      <c r="C3125" s="6" t="n">
        <v>-16.6864</v>
      </c>
      <c r="D3125" s="6" t="n">
        <v>-49.2643</v>
      </c>
      <c r="E3125" s="6" t="inlineStr">
        <is>
          <t>2025-04</t>
        </is>
      </c>
      <c r="F3125" s="6" t="n">
        <v>568146.5921272768</v>
      </c>
      <c r="G3125" s="6" t="inlineStr">
        <is>
          <t>DOMESTICA</t>
        </is>
      </c>
      <c r="H3125" s="6" t="inlineStr">
        <is>
          <t>FIXO</t>
        </is>
      </c>
      <c r="I3125" s="11">
        <f>IF($H3125="AUTO_OFERTA_TOTAL_PRODUTO_PERIODO",SUMIFS(Oferta!$F:$F,Oferta!$A:$A,$A3125,Oferta!$E:$E,$E3125),$F3125)</f>
        <v/>
      </c>
      <c r="J3125" s="6" t="inlineStr">
        <is>
          <t>Informado</t>
        </is>
      </c>
      <c r="K3125" s="6" t="inlineStr">
        <is>
          <t>Demanda doméstica fixa informada pelo usuário.</t>
        </is>
      </c>
    </row>
    <row r="3126">
      <c r="A3126" s="6" t="inlineStr">
        <is>
          <t>Soja</t>
        </is>
      </c>
      <c r="B3126" s="6" t="inlineStr">
        <is>
          <t>Goiânia - GO</t>
        </is>
      </c>
      <c r="C3126" s="6" t="n">
        <v>-16.6864</v>
      </c>
      <c r="D3126" s="6" t="n">
        <v>-49.2643</v>
      </c>
      <c r="E3126" s="6" t="inlineStr">
        <is>
          <t>2025-05</t>
        </is>
      </c>
      <c r="F3126" s="6" t="n">
        <v>668592.3984702207</v>
      </c>
      <c r="G3126" s="6" t="inlineStr">
        <is>
          <t>DOMESTICA</t>
        </is>
      </c>
      <c r="H3126" s="6" t="inlineStr">
        <is>
          <t>FIXO</t>
        </is>
      </c>
      <c r="I3126" s="11">
        <f>IF($H3126="AUTO_OFERTA_TOTAL_PRODUTO_PERIODO",SUMIFS(Oferta!$F:$F,Oferta!$A:$A,$A3126,Oferta!$E:$E,$E3126),$F3126)</f>
        <v/>
      </c>
      <c r="J3126" s="6" t="inlineStr">
        <is>
          <t>Informado</t>
        </is>
      </c>
      <c r="K3126" s="6" t="inlineStr">
        <is>
          <t>Demanda doméstica fixa informada pelo usuário.</t>
        </is>
      </c>
    </row>
    <row r="3127">
      <c r="A3127" s="6" t="inlineStr">
        <is>
          <t>Soja</t>
        </is>
      </c>
      <c r="B3127" s="6" t="inlineStr">
        <is>
          <t>Goiânia - GO</t>
        </is>
      </c>
      <c r="C3127" s="6" t="n">
        <v>-16.6864</v>
      </c>
      <c r="D3127" s="6" t="n">
        <v>-49.2643</v>
      </c>
      <c r="E3127" s="6" t="inlineStr">
        <is>
          <t>2025-06</t>
        </is>
      </c>
      <c r="F3127" s="6" t="n">
        <v>568146.5921272768</v>
      </c>
      <c r="G3127" s="6" t="inlineStr">
        <is>
          <t>DOMESTICA</t>
        </is>
      </c>
      <c r="H3127" s="6" t="inlineStr">
        <is>
          <t>FIXO</t>
        </is>
      </c>
      <c r="I3127" s="11">
        <f>IF($H3127="AUTO_OFERTA_TOTAL_PRODUTO_PERIODO",SUMIFS(Oferta!$F:$F,Oferta!$A:$A,$A3127,Oferta!$E:$E,$E3127),$F3127)</f>
        <v/>
      </c>
      <c r="J3127" s="6" t="inlineStr">
        <is>
          <t>Informado</t>
        </is>
      </c>
      <c r="K3127" s="6" t="inlineStr">
        <is>
          <t>Demanda doméstica fixa informada pelo usuário.</t>
        </is>
      </c>
    </row>
    <row r="3128">
      <c r="A3128" s="6" t="inlineStr">
        <is>
          <t>Soja</t>
        </is>
      </c>
      <c r="B3128" s="6" t="inlineStr">
        <is>
          <t>Goiânia - GO</t>
        </is>
      </c>
      <c r="C3128" s="6" t="n">
        <v>-16.6864</v>
      </c>
      <c r="D3128" s="6" t="n">
        <v>-49.2643</v>
      </c>
      <c r="E3128" s="6" t="inlineStr">
        <is>
          <t>2025-07</t>
        </is>
      </c>
      <c r="F3128" s="6" t="n">
        <v>266809.1730984449</v>
      </c>
      <c r="G3128" s="6" t="inlineStr">
        <is>
          <t>DOMESTICA</t>
        </is>
      </c>
      <c r="H3128" s="6" t="inlineStr">
        <is>
          <t>FIXO</t>
        </is>
      </c>
      <c r="I3128" s="11">
        <f>IF($H3128="AUTO_OFERTA_TOTAL_PRODUTO_PERIODO",SUMIFS(Oferta!$F:$F,Oferta!$A:$A,$A3128,Oferta!$E:$E,$E3128),$F3128)</f>
        <v/>
      </c>
      <c r="J3128" s="6" t="inlineStr">
        <is>
          <t>Informado</t>
        </is>
      </c>
      <c r="K3128" s="6" t="inlineStr">
        <is>
          <t>Demanda doméstica fixa informada pelo usuário.</t>
        </is>
      </c>
    </row>
    <row r="3129">
      <c r="A3129" s="6" t="inlineStr">
        <is>
          <t>Soja</t>
        </is>
      </c>
      <c r="B3129" s="6" t="inlineStr">
        <is>
          <t>Goiânia - GO</t>
        </is>
      </c>
      <c r="C3129" s="6" t="n">
        <v>-16.6864</v>
      </c>
      <c r="D3129" s="6" t="n">
        <v>-49.2643</v>
      </c>
      <c r="E3129" s="6" t="inlineStr">
        <is>
          <t>2025-08</t>
        </is>
      </c>
      <c r="F3129" s="6" t="n">
        <v>166363.3667555009</v>
      </c>
      <c r="G3129" s="6" t="inlineStr">
        <is>
          <t>DOMESTICA</t>
        </is>
      </c>
      <c r="H3129" s="6" t="inlineStr">
        <is>
          <t>FIXO</t>
        </is>
      </c>
      <c r="I3129" s="11">
        <f>IF($H3129="AUTO_OFERTA_TOTAL_PRODUTO_PERIODO",SUMIFS(Oferta!$F:$F,Oferta!$A:$A,$A3129,Oferta!$E:$E,$E3129),$F3129)</f>
        <v/>
      </c>
      <c r="J3129" s="6" t="inlineStr">
        <is>
          <t>Informado</t>
        </is>
      </c>
      <c r="K3129" s="6" t="inlineStr">
        <is>
          <t>Demanda doméstica fixa informada pelo usuário.</t>
        </is>
      </c>
    </row>
    <row r="3130">
      <c r="A3130" s="6" t="inlineStr">
        <is>
          <t>Soja</t>
        </is>
      </c>
      <c r="B3130" s="6" t="inlineStr">
        <is>
          <t>Goiânia - GO</t>
        </is>
      </c>
      <c r="C3130" s="6" t="n">
        <v>-16.6864</v>
      </c>
      <c r="D3130" s="6" t="n">
        <v>-49.2643</v>
      </c>
      <c r="E3130" s="6" t="inlineStr">
        <is>
          <t>2025-09</t>
        </is>
      </c>
      <c r="F3130" s="6" t="n">
        <v>166363.3667555009</v>
      </c>
      <c r="G3130" s="6" t="inlineStr">
        <is>
          <t>DOMESTICA</t>
        </is>
      </c>
      <c r="H3130" s="6" t="inlineStr">
        <is>
          <t>FIXO</t>
        </is>
      </c>
      <c r="I3130" s="11">
        <f>IF($H3130="AUTO_OFERTA_TOTAL_PRODUTO_PERIODO",SUMIFS(Oferta!$F:$F,Oferta!$A:$A,$A3130,Oferta!$E:$E,$E3130),$F3130)</f>
        <v/>
      </c>
      <c r="J3130" s="6" t="inlineStr">
        <is>
          <t>Informado</t>
        </is>
      </c>
      <c r="K3130" s="6" t="inlineStr">
        <is>
          <t>Demanda doméstica fixa informada pelo usuário.</t>
        </is>
      </c>
    </row>
    <row r="3131">
      <c r="A3131" s="6" t="inlineStr">
        <is>
          <t>Soja</t>
        </is>
      </c>
      <c r="B3131" s="6" t="inlineStr">
        <is>
          <t>Goiânia - GO</t>
        </is>
      </c>
      <c r="C3131" s="6" t="n">
        <v>-16.6864</v>
      </c>
      <c r="D3131" s="6" t="n">
        <v>-49.2643</v>
      </c>
      <c r="E3131" s="6" t="inlineStr">
        <is>
          <t>2025-10</t>
        </is>
      </c>
      <c r="F3131" s="6" t="n">
        <v>166363.3667555009</v>
      </c>
      <c r="G3131" s="6" t="inlineStr">
        <is>
          <t>DOMESTICA</t>
        </is>
      </c>
      <c r="H3131" s="6" t="inlineStr">
        <is>
          <t>FIXO</t>
        </is>
      </c>
      <c r="I3131" s="11">
        <f>IF($H3131="AUTO_OFERTA_TOTAL_PRODUTO_PERIODO",SUMIFS(Oferta!$F:$F,Oferta!$A:$A,$A3131,Oferta!$E:$E,$E3131),$F3131)</f>
        <v/>
      </c>
      <c r="J3131" s="6" t="inlineStr">
        <is>
          <t>Informado</t>
        </is>
      </c>
      <c r="K3131" s="6" t="inlineStr">
        <is>
          <t>Demanda doméstica fixa informada pelo usuário.</t>
        </is>
      </c>
    </row>
    <row r="3132">
      <c r="A3132" s="6" t="inlineStr">
        <is>
          <t>Soja</t>
        </is>
      </c>
      <c r="B3132" s="6" t="inlineStr">
        <is>
          <t>Goiânia - GO</t>
        </is>
      </c>
      <c r="C3132" s="6" t="n">
        <v>-16.6864</v>
      </c>
      <c r="D3132" s="6" t="n">
        <v>-49.2643</v>
      </c>
      <c r="E3132" s="6" t="inlineStr">
        <is>
          <t>2025-11</t>
        </is>
      </c>
      <c r="F3132" s="6" t="n">
        <v>166363.3667555009</v>
      </c>
      <c r="G3132" s="6" t="inlineStr">
        <is>
          <t>DOMESTICA</t>
        </is>
      </c>
      <c r="H3132" s="6" t="inlineStr">
        <is>
          <t>FIXO</t>
        </is>
      </c>
      <c r="I3132" s="11">
        <f>IF($H3132="AUTO_OFERTA_TOTAL_PRODUTO_PERIODO",SUMIFS(Oferta!$F:$F,Oferta!$A:$A,$A3132,Oferta!$E:$E,$E3132),$F3132)</f>
        <v/>
      </c>
      <c r="J3132" s="6" t="inlineStr">
        <is>
          <t>Informado</t>
        </is>
      </c>
      <c r="K3132" s="6" t="inlineStr">
        <is>
          <t>Demanda doméstica fixa informada pelo usuário.</t>
        </is>
      </c>
    </row>
    <row r="3133">
      <c r="A3133" s="6" t="inlineStr">
        <is>
          <t>Soja</t>
        </is>
      </c>
      <c r="B3133" s="6" t="inlineStr">
        <is>
          <t>Goiânia - GO</t>
        </is>
      </c>
      <c r="C3133" s="6" t="n">
        <v>-16.6864</v>
      </c>
      <c r="D3133" s="6" t="n">
        <v>-49.2643</v>
      </c>
      <c r="E3133" s="6" t="inlineStr">
        <is>
          <t>2025-12</t>
        </is>
      </c>
      <c r="F3133" s="6" t="n">
        <v>166363.3667555009</v>
      </c>
      <c r="G3133" s="6" t="inlineStr">
        <is>
          <t>DOMESTICA</t>
        </is>
      </c>
      <c r="H3133" s="6" t="inlineStr">
        <is>
          <t>FIXO</t>
        </is>
      </c>
      <c r="I3133" s="11">
        <f>IF($H3133="AUTO_OFERTA_TOTAL_PRODUTO_PERIODO",SUMIFS(Oferta!$F:$F,Oferta!$A:$A,$A3133,Oferta!$E:$E,$E3133),$F3133)</f>
        <v/>
      </c>
      <c r="J3133" s="6" t="inlineStr">
        <is>
          <t>Informado</t>
        </is>
      </c>
      <c r="K3133" s="6" t="inlineStr">
        <is>
          <t>Demanda doméstica fixa informada pelo usuário.</t>
        </is>
      </c>
    </row>
    <row r="3134">
      <c r="A3134" s="6" t="inlineStr">
        <is>
          <t>Soja</t>
        </is>
      </c>
      <c r="B3134" s="6" t="inlineStr">
        <is>
          <t>Cuiabá - MT</t>
        </is>
      </c>
      <c r="C3134" s="6" t="n">
        <v>-15.601</v>
      </c>
      <c r="D3134" s="6" t="n">
        <v>-56.0974</v>
      </c>
      <c r="E3134" s="6" t="inlineStr">
        <is>
          <t>2025-01</t>
        </is>
      </c>
      <c r="F3134" s="6" t="n">
        <v>203936.1774021296</v>
      </c>
      <c r="G3134" s="6" t="inlineStr">
        <is>
          <t>DOMESTICA</t>
        </is>
      </c>
      <c r="H3134" s="6" t="inlineStr">
        <is>
          <t>FIXO</t>
        </is>
      </c>
      <c r="I3134" s="11">
        <f>IF($H3134="AUTO_OFERTA_TOTAL_PRODUTO_PERIODO",SUMIFS(Oferta!$F:$F,Oferta!$A:$A,$A3134,Oferta!$E:$E,$E3134),$F3134)</f>
        <v/>
      </c>
      <c r="J3134" s="6" t="inlineStr">
        <is>
          <t>Informado</t>
        </is>
      </c>
      <c r="K3134" s="6" t="inlineStr">
        <is>
          <t>Demanda doméstica fixa informada pelo usuário.</t>
        </is>
      </c>
    </row>
    <row r="3135">
      <c r="A3135" s="6" t="inlineStr">
        <is>
          <t>Soja</t>
        </is>
      </c>
      <c r="B3135" s="6" t="inlineStr">
        <is>
          <t>Cuiabá - MT</t>
        </is>
      </c>
      <c r="C3135" s="6" t="n">
        <v>-15.601</v>
      </c>
      <c r="D3135" s="6" t="n">
        <v>-56.0974</v>
      </c>
      <c r="E3135" s="6" t="inlineStr">
        <is>
          <t>2025-02</t>
        </is>
      </c>
      <c r="F3135" s="6" t="n">
        <v>327067.4543241701</v>
      </c>
      <c r="G3135" s="6" t="inlineStr">
        <is>
          <t>DOMESTICA</t>
        </is>
      </c>
      <c r="H3135" s="6" t="inlineStr">
        <is>
          <t>FIXO</t>
        </is>
      </c>
      <c r="I3135" s="11">
        <f>IF($H3135="AUTO_OFERTA_TOTAL_PRODUTO_PERIODO",SUMIFS(Oferta!$F:$F,Oferta!$A:$A,$A3135,Oferta!$E:$E,$E3135),$F3135)</f>
        <v/>
      </c>
      <c r="J3135" s="6" t="inlineStr">
        <is>
          <t>Informado</t>
        </is>
      </c>
      <c r="K3135" s="6" t="inlineStr">
        <is>
          <t>Demanda doméstica fixa informada pelo usuário.</t>
        </is>
      </c>
    </row>
    <row r="3136">
      <c r="A3136" s="6" t="inlineStr">
        <is>
          <t>Soja</t>
        </is>
      </c>
      <c r="B3136" s="6" t="inlineStr">
        <is>
          <t>Cuiabá - MT</t>
        </is>
      </c>
      <c r="C3136" s="6" t="n">
        <v>-15.601</v>
      </c>
      <c r="D3136" s="6" t="n">
        <v>-56.0974</v>
      </c>
      <c r="E3136" s="6" t="inlineStr">
        <is>
          <t>2025-03</t>
        </is>
      </c>
      <c r="F3136" s="6" t="n">
        <v>573330.008168251</v>
      </c>
      <c r="G3136" s="6" t="inlineStr">
        <is>
          <t>DOMESTICA</t>
        </is>
      </c>
      <c r="H3136" s="6" t="inlineStr">
        <is>
          <t>FIXO</t>
        </is>
      </c>
      <c r="I3136" s="11">
        <f>IF($H3136="AUTO_OFERTA_TOTAL_PRODUTO_PERIODO",SUMIFS(Oferta!$F:$F,Oferta!$A:$A,$A3136,Oferta!$E:$E,$E3136),$F3136)</f>
        <v/>
      </c>
      <c r="J3136" s="6" t="inlineStr">
        <is>
          <t>Informado</t>
        </is>
      </c>
      <c r="K3136" s="6" t="inlineStr">
        <is>
          <t>Demanda doméstica fixa informada pelo usuário.</t>
        </is>
      </c>
    </row>
    <row r="3137">
      <c r="A3137" s="6" t="inlineStr">
        <is>
          <t>Soja</t>
        </is>
      </c>
      <c r="B3137" s="6" t="inlineStr">
        <is>
          <t>Cuiabá - MT</t>
        </is>
      </c>
      <c r="C3137" s="6" t="n">
        <v>-15.601</v>
      </c>
      <c r="D3137" s="6" t="n">
        <v>-56.0974</v>
      </c>
      <c r="E3137" s="6" t="inlineStr">
        <is>
          <t>2025-04</t>
        </is>
      </c>
      <c r="F3137" s="6" t="n">
        <v>819592.562012332</v>
      </c>
      <c r="G3137" s="6" t="inlineStr">
        <is>
          <t>DOMESTICA</t>
        </is>
      </c>
      <c r="H3137" s="6" t="inlineStr">
        <is>
          <t>FIXO</t>
        </is>
      </c>
      <c r="I3137" s="11">
        <f>IF($H3137="AUTO_OFERTA_TOTAL_PRODUTO_PERIODO",SUMIFS(Oferta!$F:$F,Oferta!$A:$A,$A3137,Oferta!$E:$E,$E3137),$F3137)</f>
        <v/>
      </c>
      <c r="J3137" s="6" t="inlineStr">
        <is>
          <t>Informado</t>
        </is>
      </c>
      <c r="K3137" s="6" t="inlineStr">
        <is>
          <t>Demanda doméstica fixa informada pelo usuário.</t>
        </is>
      </c>
    </row>
    <row r="3138">
      <c r="A3138" s="6" t="inlineStr">
        <is>
          <t>Soja</t>
        </is>
      </c>
      <c r="B3138" s="6" t="inlineStr">
        <is>
          <t>Cuiabá - MT</t>
        </is>
      </c>
      <c r="C3138" s="6" t="n">
        <v>-15.601</v>
      </c>
      <c r="D3138" s="6" t="n">
        <v>-56.0974</v>
      </c>
      <c r="E3138" s="6" t="inlineStr">
        <is>
          <t>2025-05</t>
        </is>
      </c>
      <c r="F3138" s="6" t="n">
        <v>819592.562012332</v>
      </c>
      <c r="G3138" s="6" t="inlineStr">
        <is>
          <t>DOMESTICA</t>
        </is>
      </c>
      <c r="H3138" s="6" t="inlineStr">
        <is>
          <t>FIXO</t>
        </is>
      </c>
      <c r="I3138" s="11">
        <f>IF($H3138="AUTO_OFERTA_TOTAL_PRODUTO_PERIODO",SUMIFS(Oferta!$F:$F,Oferta!$A:$A,$A3138,Oferta!$E:$E,$E3138),$F3138)</f>
        <v/>
      </c>
      <c r="J3138" s="6" t="inlineStr">
        <is>
          <t>Informado</t>
        </is>
      </c>
      <c r="K3138" s="6" t="inlineStr">
        <is>
          <t>Demanda doméstica fixa informada pelo usuário.</t>
        </is>
      </c>
    </row>
    <row r="3139">
      <c r="A3139" s="6" t="inlineStr">
        <is>
          <t>Soja</t>
        </is>
      </c>
      <c r="B3139" s="6" t="inlineStr">
        <is>
          <t>Cuiabá - MT</t>
        </is>
      </c>
      <c r="C3139" s="6" t="n">
        <v>-15.601</v>
      </c>
      <c r="D3139" s="6" t="n">
        <v>-56.0974</v>
      </c>
      <c r="E3139" s="6" t="inlineStr">
        <is>
          <t>2025-06</t>
        </is>
      </c>
      <c r="F3139" s="6" t="n">
        <v>573330.008168251</v>
      </c>
      <c r="G3139" s="6" t="inlineStr">
        <is>
          <t>DOMESTICA</t>
        </is>
      </c>
      <c r="H3139" s="6" t="inlineStr">
        <is>
          <t>FIXO</t>
        </is>
      </c>
      <c r="I3139" s="11">
        <f>IF($H3139="AUTO_OFERTA_TOTAL_PRODUTO_PERIODO",SUMIFS(Oferta!$F:$F,Oferta!$A:$A,$A3139,Oferta!$E:$E,$E3139),$F3139)</f>
        <v/>
      </c>
      <c r="J3139" s="6" t="inlineStr">
        <is>
          <t>Informado</t>
        </is>
      </c>
      <c r="K3139" s="6" t="inlineStr">
        <is>
          <t>Demanda doméstica fixa informada pelo usuário.</t>
        </is>
      </c>
    </row>
    <row r="3140">
      <c r="A3140" s="6" t="inlineStr">
        <is>
          <t>Soja</t>
        </is>
      </c>
      <c r="B3140" s="6" t="inlineStr">
        <is>
          <t>Cuiabá - MT</t>
        </is>
      </c>
      <c r="C3140" s="6" t="n">
        <v>-15.601</v>
      </c>
      <c r="D3140" s="6" t="n">
        <v>-56.0974</v>
      </c>
      <c r="E3140" s="6" t="inlineStr">
        <is>
          <t>2025-07</t>
        </is>
      </c>
      <c r="F3140" s="6" t="n">
        <v>327067.4543241701</v>
      </c>
      <c r="G3140" s="6" t="inlineStr">
        <is>
          <t>DOMESTICA</t>
        </is>
      </c>
      <c r="H3140" s="6" t="inlineStr">
        <is>
          <t>FIXO</t>
        </is>
      </c>
      <c r="I3140" s="11">
        <f>IF($H3140="AUTO_OFERTA_TOTAL_PRODUTO_PERIODO",SUMIFS(Oferta!$F:$F,Oferta!$A:$A,$A3140,Oferta!$E:$E,$E3140),$F3140)</f>
        <v/>
      </c>
      <c r="J3140" s="6" t="inlineStr">
        <is>
          <t>Informado</t>
        </is>
      </c>
      <c r="K3140" s="6" t="inlineStr">
        <is>
          <t>Demanda doméstica fixa informada pelo usuário.</t>
        </is>
      </c>
    </row>
    <row r="3141">
      <c r="A3141" s="6" t="inlineStr">
        <is>
          <t>Soja</t>
        </is>
      </c>
      <c r="B3141" s="6" t="inlineStr">
        <is>
          <t>Cuiabá - MT</t>
        </is>
      </c>
      <c r="C3141" s="6" t="n">
        <v>-15.601</v>
      </c>
      <c r="D3141" s="6" t="n">
        <v>-56.0974</v>
      </c>
      <c r="E3141" s="6" t="inlineStr">
        <is>
          <t>2025-08</t>
        </is>
      </c>
      <c r="F3141" s="6" t="n">
        <v>203936.1774021296</v>
      </c>
      <c r="G3141" s="6" t="inlineStr">
        <is>
          <t>DOMESTICA</t>
        </is>
      </c>
      <c r="H3141" s="6" t="inlineStr">
        <is>
          <t>FIXO</t>
        </is>
      </c>
      <c r="I3141" s="11">
        <f>IF($H3141="AUTO_OFERTA_TOTAL_PRODUTO_PERIODO",SUMIFS(Oferta!$F:$F,Oferta!$A:$A,$A3141,Oferta!$E:$E,$E3141),$F3141)</f>
        <v/>
      </c>
      <c r="J3141" s="6" t="inlineStr">
        <is>
          <t>Informado</t>
        </is>
      </c>
      <c r="K3141" s="6" t="inlineStr">
        <is>
          <t>Demanda doméstica fixa informada pelo usuário.</t>
        </is>
      </c>
    </row>
    <row r="3142">
      <c r="A3142" s="6" t="inlineStr">
        <is>
          <t>Soja</t>
        </is>
      </c>
      <c r="B3142" s="6" t="inlineStr">
        <is>
          <t>Cuiabá - MT</t>
        </is>
      </c>
      <c r="C3142" s="6" t="n">
        <v>-15.601</v>
      </c>
      <c r="D3142" s="6" t="n">
        <v>-56.0974</v>
      </c>
      <c r="E3142" s="6" t="inlineStr">
        <is>
          <t>2025-09</t>
        </is>
      </c>
      <c r="F3142" s="6" t="n">
        <v>203936.1774021296</v>
      </c>
      <c r="G3142" s="6" t="inlineStr">
        <is>
          <t>DOMESTICA</t>
        </is>
      </c>
      <c r="H3142" s="6" t="inlineStr">
        <is>
          <t>FIXO</t>
        </is>
      </c>
      <c r="I3142" s="11">
        <f>IF($H3142="AUTO_OFERTA_TOTAL_PRODUTO_PERIODO",SUMIFS(Oferta!$F:$F,Oferta!$A:$A,$A3142,Oferta!$E:$E,$E3142),$F3142)</f>
        <v/>
      </c>
      <c r="J3142" s="6" t="inlineStr">
        <is>
          <t>Informado</t>
        </is>
      </c>
      <c r="K3142" s="6" t="inlineStr">
        <is>
          <t>Demanda doméstica fixa informada pelo usuário.</t>
        </is>
      </c>
    </row>
    <row r="3143">
      <c r="A3143" s="6" t="inlineStr">
        <is>
          <t>Soja</t>
        </is>
      </c>
      <c r="B3143" s="6" t="inlineStr">
        <is>
          <t>Cuiabá - MT</t>
        </is>
      </c>
      <c r="C3143" s="6" t="n">
        <v>-15.601</v>
      </c>
      <c r="D3143" s="6" t="n">
        <v>-56.0974</v>
      </c>
      <c r="E3143" s="6" t="inlineStr">
        <is>
          <t>2025-10</t>
        </is>
      </c>
      <c r="F3143" s="6" t="n">
        <v>203936.1774021296</v>
      </c>
      <c r="G3143" s="6" t="inlineStr">
        <is>
          <t>DOMESTICA</t>
        </is>
      </c>
      <c r="H3143" s="6" t="inlineStr">
        <is>
          <t>FIXO</t>
        </is>
      </c>
      <c r="I3143" s="11">
        <f>IF($H3143="AUTO_OFERTA_TOTAL_PRODUTO_PERIODO",SUMIFS(Oferta!$F:$F,Oferta!$A:$A,$A3143,Oferta!$E:$E,$E3143),$F3143)</f>
        <v/>
      </c>
      <c r="J3143" s="6" t="inlineStr">
        <is>
          <t>Informado</t>
        </is>
      </c>
      <c r="K3143" s="6" t="inlineStr">
        <is>
          <t>Demanda doméstica fixa informada pelo usuário.</t>
        </is>
      </c>
    </row>
    <row r="3144">
      <c r="A3144" s="6" t="inlineStr">
        <is>
          <t>Soja</t>
        </is>
      </c>
      <c r="B3144" s="6" t="inlineStr">
        <is>
          <t>Cuiabá - MT</t>
        </is>
      </c>
      <c r="C3144" s="6" t="n">
        <v>-15.601</v>
      </c>
      <c r="D3144" s="6" t="n">
        <v>-56.0974</v>
      </c>
      <c r="E3144" s="6" t="inlineStr">
        <is>
          <t>2025-11</t>
        </is>
      </c>
      <c r="F3144" s="6" t="n">
        <v>203936.1774021296</v>
      </c>
      <c r="G3144" s="6" t="inlineStr">
        <is>
          <t>DOMESTICA</t>
        </is>
      </c>
      <c r="H3144" s="6" t="inlineStr">
        <is>
          <t>FIXO</t>
        </is>
      </c>
      <c r="I3144" s="11">
        <f>IF($H3144="AUTO_OFERTA_TOTAL_PRODUTO_PERIODO",SUMIFS(Oferta!$F:$F,Oferta!$A:$A,$A3144,Oferta!$E:$E,$E3144),$F3144)</f>
        <v/>
      </c>
      <c r="J3144" s="6" t="inlineStr">
        <is>
          <t>Informado</t>
        </is>
      </c>
      <c r="K3144" s="6" t="inlineStr">
        <is>
          <t>Demanda doméstica fixa informada pelo usuário.</t>
        </is>
      </c>
    </row>
    <row r="3145">
      <c r="A3145" s="6" t="inlineStr">
        <is>
          <t>Soja</t>
        </is>
      </c>
      <c r="B3145" s="6" t="inlineStr">
        <is>
          <t>Cuiabá - MT</t>
        </is>
      </c>
      <c r="C3145" s="6" t="n">
        <v>-15.601</v>
      </c>
      <c r="D3145" s="6" t="n">
        <v>-56.0974</v>
      </c>
      <c r="E3145" s="6" t="inlineStr">
        <is>
          <t>2025-12</t>
        </is>
      </c>
      <c r="F3145" s="6" t="n">
        <v>203936.1774021296</v>
      </c>
      <c r="G3145" s="6" t="inlineStr">
        <is>
          <t>DOMESTICA</t>
        </is>
      </c>
      <c r="H3145" s="6" t="inlineStr">
        <is>
          <t>FIXO</t>
        </is>
      </c>
      <c r="I3145" s="11">
        <f>IF($H3145="AUTO_OFERTA_TOTAL_PRODUTO_PERIODO",SUMIFS(Oferta!$F:$F,Oferta!$A:$A,$A3145,Oferta!$E:$E,$E3145),$F3145)</f>
        <v/>
      </c>
      <c r="J3145" s="6" t="inlineStr">
        <is>
          <t>Informado</t>
        </is>
      </c>
      <c r="K3145" s="6" t="inlineStr">
        <is>
          <t>Demanda doméstica fixa informada pelo usuário.</t>
        </is>
      </c>
    </row>
    <row r="3146">
      <c r="A3146" s="6" t="inlineStr">
        <is>
          <t>Soja</t>
        </is>
      </c>
      <c r="B3146" s="6" t="inlineStr">
        <is>
          <t>Campo Grande - MS</t>
        </is>
      </c>
      <c r="C3146" s="6" t="n">
        <v>-20.4486</v>
      </c>
      <c r="D3146" s="6" t="n">
        <v>-54.6295</v>
      </c>
      <c r="E3146" s="6" t="inlineStr">
        <is>
          <t>2025-01</t>
        </is>
      </c>
      <c r="F3146" s="6" t="n">
        <v>67005.64453178611</v>
      </c>
      <c r="G3146" s="6" t="inlineStr">
        <is>
          <t>DOMESTICA</t>
        </is>
      </c>
      <c r="H3146" s="6" t="inlineStr">
        <is>
          <t>FIXO</t>
        </is>
      </c>
      <c r="I3146" s="11">
        <f>IF($H3146="AUTO_OFERTA_TOTAL_PRODUTO_PERIODO",SUMIFS(Oferta!$F:$F,Oferta!$A:$A,$A3146,Oferta!$E:$E,$E3146),$F3146)</f>
        <v/>
      </c>
      <c r="J3146" s="6" t="inlineStr">
        <is>
          <t>Informado</t>
        </is>
      </c>
      <c r="K3146" s="6" t="inlineStr">
        <is>
          <t>Demanda doméstica fixa informada pelo usuário.</t>
        </is>
      </c>
    </row>
    <row r="3147">
      <c r="A3147" s="6" t="inlineStr">
        <is>
          <t>Soja</t>
        </is>
      </c>
      <c r="B3147" s="6" t="inlineStr">
        <is>
          <t>Campo Grande - MS</t>
        </is>
      </c>
      <c r="C3147" s="6" t="n">
        <v>-20.4486</v>
      </c>
      <c r="D3147" s="6" t="n">
        <v>-54.6295</v>
      </c>
      <c r="E3147" s="6" t="inlineStr">
        <is>
          <t>2025-02</t>
        </is>
      </c>
      <c r="F3147" s="6" t="n">
        <v>67005.64453178611</v>
      </c>
      <c r="G3147" s="6" t="inlineStr">
        <is>
          <t>DOMESTICA</t>
        </is>
      </c>
      <c r="H3147" s="6" t="inlineStr">
        <is>
          <t>FIXO</t>
        </is>
      </c>
      <c r="I3147" s="11">
        <f>IF($H3147="AUTO_OFERTA_TOTAL_PRODUTO_PERIODO",SUMIFS(Oferta!$F:$F,Oferta!$A:$A,$A3147,Oferta!$E:$E,$E3147),$F3147)</f>
        <v/>
      </c>
      <c r="J3147" s="6" t="inlineStr">
        <is>
          <t>Informado</t>
        </is>
      </c>
      <c r="K3147" s="6" t="inlineStr">
        <is>
          <t>Demanda doméstica fixa informada pelo usuário.</t>
        </is>
      </c>
    </row>
    <row r="3148">
      <c r="A3148" s="6" t="inlineStr">
        <is>
          <t>Soja</t>
        </is>
      </c>
      <c r="B3148" s="6" t="inlineStr">
        <is>
          <t>Campo Grande - MS</t>
        </is>
      </c>
      <c r="C3148" s="6" t="n">
        <v>-20.4486</v>
      </c>
      <c r="D3148" s="6" t="n">
        <v>-54.6295</v>
      </c>
      <c r="E3148" s="6" t="inlineStr">
        <is>
          <t>2025-03</t>
        </is>
      </c>
      <c r="F3148" s="6" t="n">
        <v>107461.882739657</v>
      </c>
      <c r="G3148" s="6" t="inlineStr">
        <is>
          <t>DOMESTICA</t>
        </is>
      </c>
      <c r="H3148" s="6" t="inlineStr">
        <is>
          <t>FIXO</t>
        </is>
      </c>
      <c r="I3148" s="11">
        <f>IF($H3148="AUTO_OFERTA_TOTAL_PRODUTO_PERIODO",SUMIFS(Oferta!$F:$F,Oferta!$A:$A,$A3148,Oferta!$E:$E,$E3148),$F3148)</f>
        <v/>
      </c>
      <c r="J3148" s="6" t="inlineStr">
        <is>
          <t>Informado</t>
        </is>
      </c>
      <c r="K3148" s="6" t="inlineStr">
        <is>
          <t>Demanda doméstica fixa informada pelo usuário.</t>
        </is>
      </c>
    </row>
    <row r="3149">
      <c r="A3149" s="6" t="inlineStr">
        <is>
          <t>Soja</t>
        </is>
      </c>
      <c r="B3149" s="6" t="inlineStr">
        <is>
          <t>Campo Grande - MS</t>
        </is>
      </c>
      <c r="C3149" s="6" t="n">
        <v>-20.4486</v>
      </c>
      <c r="D3149" s="6" t="n">
        <v>-54.6295</v>
      </c>
      <c r="E3149" s="6" t="inlineStr">
        <is>
          <t>2025-04</t>
        </is>
      </c>
      <c r="F3149" s="6" t="n">
        <v>228830.5973632697</v>
      </c>
      <c r="G3149" s="6" t="inlineStr">
        <is>
          <t>DOMESTICA</t>
        </is>
      </c>
      <c r="H3149" s="6" t="inlineStr">
        <is>
          <t>FIXO</t>
        </is>
      </c>
      <c r="I3149" s="11">
        <f>IF($H3149="AUTO_OFERTA_TOTAL_PRODUTO_PERIODO",SUMIFS(Oferta!$F:$F,Oferta!$A:$A,$A3149,Oferta!$E:$E,$E3149),$F3149)</f>
        <v/>
      </c>
      <c r="J3149" s="6" t="inlineStr">
        <is>
          <t>Informado</t>
        </is>
      </c>
      <c r="K3149" s="6" t="inlineStr">
        <is>
          <t>Demanda doméstica fixa informada pelo usuário.</t>
        </is>
      </c>
    </row>
    <row r="3150">
      <c r="A3150" s="6" t="inlineStr">
        <is>
          <t>Soja</t>
        </is>
      </c>
      <c r="B3150" s="6" t="inlineStr">
        <is>
          <t>Campo Grande - MS</t>
        </is>
      </c>
      <c r="C3150" s="6" t="n">
        <v>-20.4486</v>
      </c>
      <c r="D3150" s="6" t="n">
        <v>-54.6295</v>
      </c>
      <c r="E3150" s="6" t="inlineStr">
        <is>
          <t>2025-05</t>
        </is>
      </c>
      <c r="F3150" s="6" t="n">
        <v>269286.8355711405</v>
      </c>
      <c r="G3150" s="6" t="inlineStr">
        <is>
          <t>DOMESTICA</t>
        </is>
      </c>
      <c r="H3150" s="6" t="inlineStr">
        <is>
          <t>FIXO</t>
        </is>
      </c>
      <c r="I3150" s="11">
        <f>IF($H3150="AUTO_OFERTA_TOTAL_PRODUTO_PERIODO",SUMIFS(Oferta!$F:$F,Oferta!$A:$A,$A3150,Oferta!$E:$E,$E3150),$F3150)</f>
        <v/>
      </c>
      <c r="J3150" s="6" t="inlineStr">
        <is>
          <t>Informado</t>
        </is>
      </c>
      <c r="K3150" s="6" t="inlineStr">
        <is>
          <t>Demanda doméstica fixa informada pelo usuário.</t>
        </is>
      </c>
    </row>
    <row r="3151">
      <c r="A3151" s="6" t="inlineStr">
        <is>
          <t>Soja</t>
        </is>
      </c>
      <c r="B3151" s="6" t="inlineStr">
        <is>
          <t>Campo Grande - MS</t>
        </is>
      </c>
      <c r="C3151" s="6" t="n">
        <v>-20.4486</v>
      </c>
      <c r="D3151" s="6" t="n">
        <v>-54.6295</v>
      </c>
      <c r="E3151" s="6" t="inlineStr">
        <is>
          <t>2025-06</t>
        </is>
      </c>
      <c r="F3151" s="6" t="n">
        <v>228830.5973632697</v>
      </c>
      <c r="G3151" s="6" t="inlineStr">
        <is>
          <t>DOMESTICA</t>
        </is>
      </c>
      <c r="H3151" s="6" t="inlineStr">
        <is>
          <t>FIXO</t>
        </is>
      </c>
      <c r="I3151" s="11">
        <f>IF($H3151="AUTO_OFERTA_TOTAL_PRODUTO_PERIODO",SUMIFS(Oferta!$F:$F,Oferta!$A:$A,$A3151,Oferta!$E:$E,$E3151),$F3151)</f>
        <v/>
      </c>
      <c r="J3151" s="6" t="inlineStr">
        <is>
          <t>Informado</t>
        </is>
      </c>
      <c r="K3151" s="6" t="inlineStr">
        <is>
          <t>Demanda doméstica fixa informada pelo usuário.</t>
        </is>
      </c>
    </row>
    <row r="3152">
      <c r="A3152" s="6" t="inlineStr">
        <is>
          <t>Soja</t>
        </is>
      </c>
      <c r="B3152" s="6" t="inlineStr">
        <is>
          <t>Campo Grande - MS</t>
        </is>
      </c>
      <c r="C3152" s="6" t="n">
        <v>-20.4486</v>
      </c>
      <c r="D3152" s="6" t="n">
        <v>-54.6295</v>
      </c>
      <c r="E3152" s="6" t="inlineStr">
        <is>
          <t>2025-07</t>
        </is>
      </c>
      <c r="F3152" s="6" t="n">
        <v>107461.882739657</v>
      </c>
      <c r="G3152" s="6" t="inlineStr">
        <is>
          <t>DOMESTICA</t>
        </is>
      </c>
      <c r="H3152" s="6" t="inlineStr">
        <is>
          <t>FIXO</t>
        </is>
      </c>
      <c r="I3152" s="11">
        <f>IF($H3152="AUTO_OFERTA_TOTAL_PRODUTO_PERIODO",SUMIFS(Oferta!$F:$F,Oferta!$A:$A,$A3152,Oferta!$E:$E,$E3152),$F3152)</f>
        <v/>
      </c>
      <c r="J3152" s="6" t="inlineStr">
        <is>
          <t>Informado</t>
        </is>
      </c>
      <c r="K3152" s="6" t="inlineStr">
        <is>
          <t>Demanda doméstica fixa informada pelo usuário.</t>
        </is>
      </c>
    </row>
    <row r="3153">
      <c r="A3153" s="6" t="inlineStr">
        <is>
          <t>Soja</t>
        </is>
      </c>
      <c r="B3153" s="6" t="inlineStr">
        <is>
          <t>Campo Grande - MS</t>
        </is>
      </c>
      <c r="C3153" s="6" t="n">
        <v>-20.4486</v>
      </c>
      <c r="D3153" s="6" t="n">
        <v>-54.6295</v>
      </c>
      <c r="E3153" s="6" t="inlineStr">
        <is>
          <t>2025-08</t>
        </is>
      </c>
      <c r="F3153" s="6" t="n">
        <v>67005.64453178611</v>
      </c>
      <c r="G3153" s="6" t="inlineStr">
        <is>
          <t>DOMESTICA</t>
        </is>
      </c>
      <c r="H3153" s="6" t="inlineStr">
        <is>
          <t>FIXO</t>
        </is>
      </c>
      <c r="I3153" s="11">
        <f>IF($H3153="AUTO_OFERTA_TOTAL_PRODUTO_PERIODO",SUMIFS(Oferta!$F:$F,Oferta!$A:$A,$A3153,Oferta!$E:$E,$E3153),$F3153)</f>
        <v/>
      </c>
      <c r="J3153" s="6" t="inlineStr">
        <is>
          <t>Informado</t>
        </is>
      </c>
      <c r="K3153" s="6" t="inlineStr">
        <is>
          <t>Demanda doméstica fixa informada pelo usuário.</t>
        </is>
      </c>
    </row>
    <row r="3154">
      <c r="A3154" s="6" t="inlineStr">
        <is>
          <t>Soja</t>
        </is>
      </c>
      <c r="B3154" s="6" t="inlineStr">
        <is>
          <t>Campo Grande - MS</t>
        </is>
      </c>
      <c r="C3154" s="6" t="n">
        <v>-20.4486</v>
      </c>
      <c r="D3154" s="6" t="n">
        <v>-54.6295</v>
      </c>
      <c r="E3154" s="6" t="inlineStr">
        <is>
          <t>2025-09</t>
        </is>
      </c>
      <c r="F3154" s="6" t="n">
        <v>67005.64453178611</v>
      </c>
      <c r="G3154" s="6" t="inlineStr">
        <is>
          <t>DOMESTICA</t>
        </is>
      </c>
      <c r="H3154" s="6" t="inlineStr">
        <is>
          <t>FIXO</t>
        </is>
      </c>
      <c r="I3154" s="11">
        <f>IF($H3154="AUTO_OFERTA_TOTAL_PRODUTO_PERIODO",SUMIFS(Oferta!$F:$F,Oferta!$A:$A,$A3154,Oferta!$E:$E,$E3154),$F3154)</f>
        <v/>
      </c>
      <c r="J3154" s="6" t="inlineStr">
        <is>
          <t>Informado</t>
        </is>
      </c>
      <c r="K3154" s="6" t="inlineStr">
        <is>
          <t>Demanda doméstica fixa informada pelo usuário.</t>
        </is>
      </c>
    </row>
    <row r="3155">
      <c r="A3155" s="6" t="inlineStr">
        <is>
          <t>Soja</t>
        </is>
      </c>
      <c r="B3155" s="6" t="inlineStr">
        <is>
          <t>Campo Grande - MS</t>
        </is>
      </c>
      <c r="C3155" s="6" t="n">
        <v>-20.4486</v>
      </c>
      <c r="D3155" s="6" t="n">
        <v>-54.6295</v>
      </c>
      <c r="E3155" s="6" t="inlineStr">
        <is>
          <t>2025-10</t>
        </is>
      </c>
      <c r="F3155" s="6" t="n">
        <v>67005.64453178611</v>
      </c>
      <c r="G3155" s="6" t="inlineStr">
        <is>
          <t>DOMESTICA</t>
        </is>
      </c>
      <c r="H3155" s="6" t="inlineStr">
        <is>
          <t>FIXO</t>
        </is>
      </c>
      <c r="I3155" s="11">
        <f>IF($H3155="AUTO_OFERTA_TOTAL_PRODUTO_PERIODO",SUMIFS(Oferta!$F:$F,Oferta!$A:$A,$A3155,Oferta!$E:$E,$E3155),$F3155)</f>
        <v/>
      </c>
      <c r="J3155" s="6" t="inlineStr">
        <is>
          <t>Informado</t>
        </is>
      </c>
      <c r="K3155" s="6" t="inlineStr">
        <is>
          <t>Demanda doméstica fixa informada pelo usuário.</t>
        </is>
      </c>
    </row>
    <row r="3156">
      <c r="A3156" s="6" t="inlineStr">
        <is>
          <t>Soja</t>
        </is>
      </c>
      <c r="B3156" s="6" t="inlineStr">
        <is>
          <t>Campo Grande - MS</t>
        </is>
      </c>
      <c r="C3156" s="6" t="n">
        <v>-20.4486</v>
      </c>
      <c r="D3156" s="6" t="n">
        <v>-54.6295</v>
      </c>
      <c r="E3156" s="6" t="inlineStr">
        <is>
          <t>2025-11</t>
        </is>
      </c>
      <c r="F3156" s="6" t="n">
        <v>67005.64453178611</v>
      </c>
      <c r="G3156" s="6" t="inlineStr">
        <is>
          <t>DOMESTICA</t>
        </is>
      </c>
      <c r="H3156" s="6" t="inlineStr">
        <is>
          <t>FIXO</t>
        </is>
      </c>
      <c r="I3156" s="11">
        <f>IF($H3156="AUTO_OFERTA_TOTAL_PRODUTO_PERIODO",SUMIFS(Oferta!$F:$F,Oferta!$A:$A,$A3156,Oferta!$E:$E,$E3156),$F3156)</f>
        <v/>
      </c>
      <c r="J3156" s="6" t="inlineStr">
        <is>
          <t>Informado</t>
        </is>
      </c>
      <c r="K3156" s="6" t="inlineStr">
        <is>
          <t>Demanda doméstica fixa informada pelo usuário.</t>
        </is>
      </c>
    </row>
    <row r="3157">
      <c r="A3157" s="6" t="inlineStr">
        <is>
          <t>Soja</t>
        </is>
      </c>
      <c r="B3157" s="6" t="inlineStr">
        <is>
          <t>Campo Grande - MS</t>
        </is>
      </c>
      <c r="C3157" s="6" t="n">
        <v>-20.4486</v>
      </c>
      <c r="D3157" s="6" t="n">
        <v>-54.6295</v>
      </c>
      <c r="E3157" s="6" t="inlineStr">
        <is>
          <t>2025-12</t>
        </is>
      </c>
      <c r="F3157" s="6" t="n">
        <v>67005.64453178611</v>
      </c>
      <c r="G3157" s="6" t="inlineStr">
        <is>
          <t>DOMESTICA</t>
        </is>
      </c>
      <c r="H3157" s="6" t="inlineStr">
        <is>
          <t>FIXO</t>
        </is>
      </c>
      <c r="I3157" s="11">
        <f>IF($H3157="AUTO_OFERTA_TOTAL_PRODUTO_PERIODO",SUMIFS(Oferta!$F:$F,Oferta!$A:$A,$A3157,Oferta!$E:$E,$E3157),$F3157)</f>
        <v/>
      </c>
      <c r="J3157" s="6" t="inlineStr">
        <is>
          <t>Informado</t>
        </is>
      </c>
      <c r="K3157" s="6" t="inlineStr">
        <is>
          <t>Demanda doméstica fixa informada pelo usuário.</t>
        </is>
      </c>
    </row>
    <row r="3158">
      <c r="A3158" s="6" t="inlineStr">
        <is>
          <t>Soja</t>
        </is>
      </c>
      <c r="B3158" s="6" t="inlineStr">
        <is>
          <t>Vitória - ES</t>
        </is>
      </c>
      <c r="C3158" s="6" t="n">
        <v>-20.3155</v>
      </c>
      <c r="D3158" s="6" t="n">
        <v>-40.3128</v>
      </c>
      <c r="E3158" s="6" t="inlineStr">
        <is>
          <t>2025-01</t>
        </is>
      </c>
      <c r="F3158" s="6" t="n">
        <v>91875.2610549676</v>
      </c>
      <c r="G3158" s="6" t="inlineStr">
        <is>
          <t>DOMESTICA</t>
        </is>
      </c>
      <c r="H3158" s="6" t="inlineStr">
        <is>
          <t>FIXO</t>
        </is>
      </c>
      <c r="I3158" s="11">
        <f>IF($H3158="AUTO_OFERTA_TOTAL_PRODUTO_PERIODO",SUMIFS(Oferta!$F:$F,Oferta!$A:$A,$A3158,Oferta!$E:$E,$E3158),$F3158)</f>
        <v/>
      </c>
      <c r="J3158" s="6" t="inlineStr">
        <is>
          <t>Informado</t>
        </is>
      </c>
      <c r="K3158" s="6" t="inlineStr">
        <is>
          <t>Demanda doméstica fixa informada pelo usuário.</t>
        </is>
      </c>
    </row>
    <row r="3159">
      <c r="A3159" s="6" t="inlineStr">
        <is>
          <t>Soja</t>
        </is>
      </c>
      <c r="B3159" s="6" t="inlineStr">
        <is>
          <t>Vitória - ES</t>
        </is>
      </c>
      <c r="C3159" s="6" t="n">
        <v>-20.3155</v>
      </c>
      <c r="D3159" s="6" t="n">
        <v>-40.3128</v>
      </c>
      <c r="E3159" s="6" t="inlineStr">
        <is>
          <t>2025-02</t>
        </is>
      </c>
      <c r="F3159" s="6" t="n">
        <v>91875.2610549676</v>
      </c>
      <c r="G3159" s="6" t="inlineStr">
        <is>
          <t>DOMESTICA</t>
        </is>
      </c>
      <c r="H3159" s="6" t="inlineStr">
        <is>
          <t>FIXO</t>
        </is>
      </c>
      <c r="I3159" s="11">
        <f>IF($H3159="AUTO_OFERTA_TOTAL_PRODUTO_PERIODO",SUMIFS(Oferta!$F:$F,Oferta!$A:$A,$A3159,Oferta!$E:$E,$E3159),$F3159)</f>
        <v/>
      </c>
      <c r="J3159" s="6" t="inlineStr">
        <is>
          <t>Informado</t>
        </is>
      </c>
      <c r="K3159" s="6" t="inlineStr">
        <is>
          <t>Demanda doméstica fixa informada pelo usuário.</t>
        </is>
      </c>
    </row>
    <row r="3160">
      <c r="A3160" s="6" t="inlineStr">
        <is>
          <t>Soja</t>
        </is>
      </c>
      <c r="B3160" s="6" t="inlineStr">
        <is>
          <t>Vitória - ES</t>
        </is>
      </c>
      <c r="C3160" s="6" t="n">
        <v>-20.3155</v>
      </c>
      <c r="D3160" s="6" t="n">
        <v>-40.3128</v>
      </c>
      <c r="E3160" s="6" t="inlineStr">
        <is>
          <t>2025-03</t>
        </is>
      </c>
      <c r="F3160" s="6" t="n">
        <v>91875.2610549676</v>
      </c>
      <c r="G3160" s="6" t="inlineStr">
        <is>
          <t>DOMESTICA</t>
        </is>
      </c>
      <c r="H3160" s="6" t="inlineStr">
        <is>
          <t>FIXO</t>
        </is>
      </c>
      <c r="I3160" s="11">
        <f>IF($H3160="AUTO_OFERTA_TOTAL_PRODUTO_PERIODO",SUMIFS(Oferta!$F:$F,Oferta!$A:$A,$A3160,Oferta!$E:$E,$E3160),$F3160)</f>
        <v/>
      </c>
      <c r="J3160" s="6" t="inlineStr">
        <is>
          <t>Informado</t>
        </is>
      </c>
      <c r="K3160" s="6" t="inlineStr">
        <is>
          <t>Demanda doméstica fixa informada pelo usuário.</t>
        </is>
      </c>
    </row>
    <row r="3161">
      <c r="A3161" s="6" t="inlineStr">
        <is>
          <t>Soja</t>
        </is>
      </c>
      <c r="B3161" s="6" t="inlineStr">
        <is>
          <t>Vitória - ES</t>
        </is>
      </c>
      <c r="C3161" s="6" t="n">
        <v>-20.3155</v>
      </c>
      <c r="D3161" s="6" t="n">
        <v>-40.3128</v>
      </c>
      <c r="E3161" s="6" t="inlineStr">
        <is>
          <t>2025-04</t>
        </is>
      </c>
      <c r="F3161" s="6" t="n">
        <v>91875.2610549676</v>
      </c>
      <c r="G3161" s="6" t="inlineStr">
        <is>
          <t>DOMESTICA</t>
        </is>
      </c>
      <c r="H3161" s="6" t="inlineStr">
        <is>
          <t>FIXO</t>
        </is>
      </c>
      <c r="I3161" s="11">
        <f>IF($H3161="AUTO_OFERTA_TOTAL_PRODUTO_PERIODO",SUMIFS(Oferta!$F:$F,Oferta!$A:$A,$A3161,Oferta!$E:$E,$E3161),$F3161)</f>
        <v/>
      </c>
      <c r="J3161" s="6" t="inlineStr">
        <is>
          <t>Informado</t>
        </is>
      </c>
      <c r="K3161" s="6" t="inlineStr">
        <is>
          <t>Demanda doméstica fixa informada pelo usuário.</t>
        </is>
      </c>
    </row>
    <row r="3162">
      <c r="A3162" s="6" t="inlineStr">
        <is>
          <t>Soja</t>
        </is>
      </c>
      <c r="B3162" s="6" t="inlineStr">
        <is>
          <t>Vitória - ES</t>
        </is>
      </c>
      <c r="C3162" s="6" t="n">
        <v>-20.3155</v>
      </c>
      <c r="D3162" s="6" t="n">
        <v>-40.3128</v>
      </c>
      <c r="E3162" s="6" t="inlineStr">
        <is>
          <t>2025-05</t>
        </is>
      </c>
      <c r="F3162" s="6" t="n">
        <v>91875.2610549676</v>
      </c>
      <c r="G3162" s="6" t="inlineStr">
        <is>
          <t>DOMESTICA</t>
        </is>
      </c>
      <c r="H3162" s="6" t="inlineStr">
        <is>
          <t>FIXO</t>
        </is>
      </c>
      <c r="I3162" s="11">
        <f>IF($H3162="AUTO_OFERTA_TOTAL_PRODUTO_PERIODO",SUMIFS(Oferta!$F:$F,Oferta!$A:$A,$A3162,Oferta!$E:$E,$E3162),$F3162)</f>
        <v/>
      </c>
      <c r="J3162" s="6" t="inlineStr">
        <is>
          <t>Informado</t>
        </is>
      </c>
      <c r="K3162" s="6" t="inlineStr">
        <is>
          <t>Demanda doméstica fixa informada pelo usuário.</t>
        </is>
      </c>
    </row>
    <row r="3163">
      <c r="A3163" s="6" t="inlineStr">
        <is>
          <t>Soja</t>
        </is>
      </c>
      <c r="B3163" s="6" t="inlineStr">
        <is>
          <t>Vitória - ES</t>
        </is>
      </c>
      <c r="C3163" s="6" t="n">
        <v>-20.3155</v>
      </c>
      <c r="D3163" s="6" t="n">
        <v>-40.3128</v>
      </c>
      <c r="E3163" s="6" t="inlineStr">
        <is>
          <t>2025-06</t>
        </is>
      </c>
      <c r="F3163" s="6" t="n">
        <v>91875.2610549676</v>
      </c>
      <c r="G3163" s="6" t="inlineStr">
        <is>
          <t>DOMESTICA</t>
        </is>
      </c>
      <c r="H3163" s="6" t="inlineStr">
        <is>
          <t>FIXO</t>
        </is>
      </c>
      <c r="I3163" s="11">
        <f>IF($H3163="AUTO_OFERTA_TOTAL_PRODUTO_PERIODO",SUMIFS(Oferta!$F:$F,Oferta!$A:$A,$A3163,Oferta!$E:$E,$E3163),$F3163)</f>
        <v/>
      </c>
      <c r="J3163" s="6" t="inlineStr">
        <is>
          <t>Informado</t>
        </is>
      </c>
      <c r="K3163" s="6" t="inlineStr">
        <is>
          <t>Demanda doméstica fixa informada pelo usuário.</t>
        </is>
      </c>
    </row>
    <row r="3164">
      <c r="A3164" s="6" t="inlineStr">
        <is>
          <t>Soja</t>
        </is>
      </c>
      <c r="B3164" s="6" t="inlineStr">
        <is>
          <t>Vitória - ES</t>
        </is>
      </c>
      <c r="C3164" s="6" t="n">
        <v>-20.3155</v>
      </c>
      <c r="D3164" s="6" t="n">
        <v>-40.3128</v>
      </c>
      <c r="E3164" s="6" t="inlineStr">
        <is>
          <t>2025-07</t>
        </is>
      </c>
      <c r="F3164" s="6" t="n">
        <v>91875.2610549676</v>
      </c>
      <c r="G3164" s="6" t="inlineStr">
        <is>
          <t>DOMESTICA</t>
        </is>
      </c>
      <c r="H3164" s="6" t="inlineStr">
        <is>
          <t>FIXO</t>
        </is>
      </c>
      <c r="I3164" s="11">
        <f>IF($H3164="AUTO_OFERTA_TOTAL_PRODUTO_PERIODO",SUMIFS(Oferta!$F:$F,Oferta!$A:$A,$A3164,Oferta!$E:$E,$E3164),$F3164)</f>
        <v/>
      </c>
      <c r="J3164" s="6" t="inlineStr">
        <is>
          <t>Informado</t>
        </is>
      </c>
      <c r="K3164" s="6" t="inlineStr">
        <is>
          <t>Demanda doméstica fixa informada pelo usuário.</t>
        </is>
      </c>
    </row>
    <row r="3165">
      <c r="A3165" s="6" t="inlineStr">
        <is>
          <t>Soja</t>
        </is>
      </c>
      <c r="B3165" s="6" t="inlineStr">
        <is>
          <t>Vitória - ES</t>
        </is>
      </c>
      <c r="C3165" s="6" t="n">
        <v>-20.3155</v>
      </c>
      <c r="D3165" s="6" t="n">
        <v>-40.3128</v>
      </c>
      <c r="E3165" s="6" t="inlineStr">
        <is>
          <t>2025-08</t>
        </is>
      </c>
      <c r="F3165" s="6" t="n">
        <v>91875.2610549676</v>
      </c>
      <c r="G3165" s="6" t="inlineStr">
        <is>
          <t>DOMESTICA</t>
        </is>
      </c>
      <c r="H3165" s="6" t="inlineStr">
        <is>
          <t>FIXO</t>
        </is>
      </c>
      <c r="I3165" s="11">
        <f>IF($H3165="AUTO_OFERTA_TOTAL_PRODUTO_PERIODO",SUMIFS(Oferta!$F:$F,Oferta!$A:$A,$A3165,Oferta!$E:$E,$E3165),$F3165)</f>
        <v/>
      </c>
      <c r="J3165" s="6" t="inlineStr">
        <is>
          <t>Informado</t>
        </is>
      </c>
      <c r="K3165" s="6" t="inlineStr">
        <is>
          <t>Demanda doméstica fixa informada pelo usuário.</t>
        </is>
      </c>
    </row>
    <row r="3166">
      <c r="A3166" s="6" t="inlineStr">
        <is>
          <t>Soja</t>
        </is>
      </c>
      <c r="B3166" s="6" t="inlineStr">
        <is>
          <t>Vitória - ES</t>
        </is>
      </c>
      <c r="C3166" s="6" t="n">
        <v>-20.3155</v>
      </c>
      <c r="D3166" s="6" t="n">
        <v>-40.3128</v>
      </c>
      <c r="E3166" s="6" t="inlineStr">
        <is>
          <t>2025-09</t>
        </is>
      </c>
      <c r="F3166" s="6" t="n">
        <v>91875.2610549676</v>
      </c>
      <c r="G3166" s="6" t="inlineStr">
        <is>
          <t>DOMESTICA</t>
        </is>
      </c>
      <c r="H3166" s="6" t="inlineStr">
        <is>
          <t>FIXO</t>
        </is>
      </c>
      <c r="I3166" s="11">
        <f>IF($H3166="AUTO_OFERTA_TOTAL_PRODUTO_PERIODO",SUMIFS(Oferta!$F:$F,Oferta!$A:$A,$A3166,Oferta!$E:$E,$E3166),$F3166)</f>
        <v/>
      </c>
      <c r="J3166" s="6" t="inlineStr">
        <is>
          <t>Informado</t>
        </is>
      </c>
      <c r="K3166" s="6" t="inlineStr">
        <is>
          <t>Demanda doméstica fixa informada pelo usuário.</t>
        </is>
      </c>
    </row>
    <row r="3167">
      <c r="A3167" s="6" t="inlineStr">
        <is>
          <t>Soja</t>
        </is>
      </c>
      <c r="B3167" s="6" t="inlineStr">
        <is>
          <t>Vitória - ES</t>
        </is>
      </c>
      <c r="C3167" s="6" t="n">
        <v>-20.3155</v>
      </c>
      <c r="D3167" s="6" t="n">
        <v>-40.3128</v>
      </c>
      <c r="E3167" s="6" t="inlineStr">
        <is>
          <t>2025-10</t>
        </is>
      </c>
      <c r="F3167" s="6" t="n">
        <v>91875.2610549676</v>
      </c>
      <c r="G3167" s="6" t="inlineStr">
        <is>
          <t>DOMESTICA</t>
        </is>
      </c>
      <c r="H3167" s="6" t="inlineStr">
        <is>
          <t>FIXO</t>
        </is>
      </c>
      <c r="I3167" s="11">
        <f>IF($H3167="AUTO_OFERTA_TOTAL_PRODUTO_PERIODO",SUMIFS(Oferta!$F:$F,Oferta!$A:$A,$A3167,Oferta!$E:$E,$E3167),$F3167)</f>
        <v/>
      </c>
      <c r="J3167" s="6" t="inlineStr">
        <is>
          <t>Informado</t>
        </is>
      </c>
      <c r="K3167" s="6" t="inlineStr">
        <is>
          <t>Demanda doméstica fixa informada pelo usuário.</t>
        </is>
      </c>
    </row>
    <row r="3168">
      <c r="A3168" s="6" t="inlineStr">
        <is>
          <t>Soja</t>
        </is>
      </c>
      <c r="B3168" s="6" t="inlineStr">
        <is>
          <t>Vitória - ES</t>
        </is>
      </c>
      <c r="C3168" s="6" t="n">
        <v>-20.3155</v>
      </c>
      <c r="D3168" s="6" t="n">
        <v>-40.3128</v>
      </c>
      <c r="E3168" s="6" t="inlineStr">
        <is>
          <t>2025-11</t>
        </is>
      </c>
      <c r="F3168" s="6" t="n">
        <v>91875.2610549676</v>
      </c>
      <c r="G3168" s="6" t="inlineStr">
        <is>
          <t>DOMESTICA</t>
        </is>
      </c>
      <c r="H3168" s="6" t="inlineStr">
        <is>
          <t>FIXO</t>
        </is>
      </c>
      <c r="I3168" s="11">
        <f>IF($H3168="AUTO_OFERTA_TOTAL_PRODUTO_PERIODO",SUMIFS(Oferta!$F:$F,Oferta!$A:$A,$A3168,Oferta!$E:$E,$E3168),$F3168)</f>
        <v/>
      </c>
      <c r="J3168" s="6" t="inlineStr">
        <is>
          <t>Informado</t>
        </is>
      </c>
      <c r="K3168" s="6" t="inlineStr">
        <is>
          <t>Demanda doméstica fixa informada pelo usuário.</t>
        </is>
      </c>
    </row>
    <row r="3169">
      <c r="A3169" s="6" t="inlineStr">
        <is>
          <t>Soja</t>
        </is>
      </c>
      <c r="B3169" s="6" t="inlineStr">
        <is>
          <t>Vitória - ES</t>
        </is>
      </c>
      <c r="C3169" s="6" t="n">
        <v>-20.3155</v>
      </c>
      <c r="D3169" s="6" t="n">
        <v>-40.3128</v>
      </c>
      <c r="E3169" s="6" t="inlineStr">
        <is>
          <t>2025-12</t>
        </is>
      </c>
      <c r="F3169" s="6" t="n">
        <v>91875.2610549676</v>
      </c>
      <c r="G3169" s="6" t="inlineStr">
        <is>
          <t>DOMESTICA</t>
        </is>
      </c>
      <c r="H3169" s="6" t="inlineStr">
        <is>
          <t>FIXO</t>
        </is>
      </c>
      <c r="I3169" s="11">
        <f>IF($H3169="AUTO_OFERTA_TOTAL_PRODUTO_PERIODO",SUMIFS(Oferta!$F:$F,Oferta!$A:$A,$A3169,Oferta!$E:$E,$E3169),$F3169)</f>
        <v/>
      </c>
      <c r="J3169" s="6" t="inlineStr">
        <is>
          <t>Informado</t>
        </is>
      </c>
      <c r="K3169" s="6" t="inlineStr">
        <is>
          <t>Demanda doméstica fixa informada pelo usuário.</t>
        </is>
      </c>
    </row>
    <row r="3170">
      <c r="A3170" s="6" t="inlineStr">
        <is>
          <t>Soja</t>
        </is>
      </c>
      <c r="B3170" s="6" t="inlineStr">
        <is>
          <t>Belo Horizonte - MG</t>
        </is>
      </c>
      <c r="C3170" s="6" t="n">
        <v>-19.9102</v>
      </c>
      <c r="D3170" s="6" t="n">
        <v>-43.9266</v>
      </c>
      <c r="E3170" s="6" t="inlineStr">
        <is>
          <t>2025-01</t>
        </is>
      </c>
      <c r="F3170" s="6" t="n">
        <v>334318.1163885525</v>
      </c>
      <c r="G3170" s="6" t="inlineStr">
        <is>
          <t>DOMESTICA</t>
        </is>
      </c>
      <c r="H3170" s="6" t="inlineStr">
        <is>
          <t>FIXO</t>
        </is>
      </c>
      <c r="I3170" s="11">
        <f>IF($H3170="AUTO_OFERTA_TOTAL_PRODUTO_PERIODO",SUMIFS(Oferta!$F:$F,Oferta!$A:$A,$A3170,Oferta!$E:$E,$E3170),$F3170)</f>
        <v/>
      </c>
      <c r="J3170" s="6" t="inlineStr">
        <is>
          <t>Informado</t>
        </is>
      </c>
      <c r="K3170" s="6" t="inlineStr">
        <is>
          <t>Demanda doméstica fixa informada pelo usuário.</t>
        </is>
      </c>
    </row>
    <row r="3171">
      <c r="A3171" s="6" t="inlineStr">
        <is>
          <t>Soja</t>
        </is>
      </c>
      <c r="B3171" s="6" t="inlineStr">
        <is>
          <t>Belo Horizonte - MG</t>
        </is>
      </c>
      <c r="C3171" s="6" t="n">
        <v>-19.9102</v>
      </c>
      <c r="D3171" s="6" t="n">
        <v>-43.9266</v>
      </c>
      <c r="E3171" s="6" t="inlineStr">
        <is>
          <t>2025-02</t>
        </is>
      </c>
      <c r="F3171" s="6" t="n">
        <v>334318.1163885525</v>
      </c>
      <c r="G3171" s="6" t="inlineStr">
        <is>
          <t>DOMESTICA</t>
        </is>
      </c>
      <c r="H3171" s="6" t="inlineStr">
        <is>
          <t>FIXO</t>
        </is>
      </c>
      <c r="I3171" s="11">
        <f>IF($H3171="AUTO_OFERTA_TOTAL_PRODUTO_PERIODO",SUMIFS(Oferta!$F:$F,Oferta!$A:$A,$A3171,Oferta!$E:$E,$E3171),$F3171)</f>
        <v/>
      </c>
      <c r="J3171" s="6" t="inlineStr">
        <is>
          <t>Informado</t>
        </is>
      </c>
      <c r="K3171" s="6" t="inlineStr">
        <is>
          <t>Demanda doméstica fixa informada pelo usuário.</t>
        </is>
      </c>
    </row>
    <row r="3172">
      <c r="A3172" s="6" t="inlineStr">
        <is>
          <t>Soja</t>
        </is>
      </c>
      <c r="B3172" s="6" t="inlineStr">
        <is>
          <t>Belo Horizonte - MG</t>
        </is>
      </c>
      <c r="C3172" s="6" t="n">
        <v>-19.9102</v>
      </c>
      <c r="D3172" s="6" t="n">
        <v>-43.9266</v>
      </c>
      <c r="E3172" s="6" t="inlineStr">
        <is>
          <t>2025-03</t>
        </is>
      </c>
      <c r="F3172" s="6" t="n">
        <v>435244.3402039645</v>
      </c>
      <c r="G3172" s="6" t="inlineStr">
        <is>
          <t>DOMESTICA</t>
        </is>
      </c>
      <c r="H3172" s="6" t="inlineStr">
        <is>
          <t>FIXO</t>
        </is>
      </c>
      <c r="I3172" s="11">
        <f>IF($H3172="AUTO_OFERTA_TOTAL_PRODUTO_PERIODO",SUMIFS(Oferta!$F:$F,Oferta!$A:$A,$A3172,Oferta!$E:$E,$E3172),$F3172)</f>
        <v/>
      </c>
      <c r="J3172" s="6" t="inlineStr">
        <is>
          <t>Informado</t>
        </is>
      </c>
      <c r="K3172" s="6" t="inlineStr">
        <is>
          <t>Demanda doméstica fixa informada pelo usuário.</t>
        </is>
      </c>
    </row>
    <row r="3173">
      <c r="A3173" s="6" t="inlineStr">
        <is>
          <t>Soja</t>
        </is>
      </c>
      <c r="B3173" s="6" t="inlineStr">
        <is>
          <t>Belo Horizonte - MG</t>
        </is>
      </c>
      <c r="C3173" s="6" t="n">
        <v>-19.9102</v>
      </c>
      <c r="D3173" s="6" t="n">
        <v>-43.9266</v>
      </c>
      <c r="E3173" s="6" t="inlineStr">
        <is>
          <t>2025-04</t>
        </is>
      </c>
      <c r="F3173" s="6" t="n">
        <v>637096.7878347886</v>
      </c>
      <c r="G3173" s="6" t="inlineStr">
        <is>
          <t>DOMESTICA</t>
        </is>
      </c>
      <c r="H3173" s="6" t="inlineStr">
        <is>
          <t>FIXO</t>
        </is>
      </c>
      <c r="I3173" s="11">
        <f>IF($H3173="AUTO_OFERTA_TOTAL_PRODUTO_PERIODO",SUMIFS(Oferta!$F:$F,Oferta!$A:$A,$A3173,Oferta!$E:$E,$E3173),$F3173)</f>
        <v/>
      </c>
      <c r="J3173" s="6" t="inlineStr">
        <is>
          <t>Informado</t>
        </is>
      </c>
      <c r="K3173" s="6" t="inlineStr">
        <is>
          <t>Demanda doméstica fixa informada pelo usuário.</t>
        </is>
      </c>
    </row>
    <row r="3174">
      <c r="A3174" s="6" t="inlineStr">
        <is>
          <t>Soja</t>
        </is>
      </c>
      <c r="B3174" s="6" t="inlineStr">
        <is>
          <t>Belo Horizonte - MG</t>
        </is>
      </c>
      <c r="C3174" s="6" t="n">
        <v>-19.9102</v>
      </c>
      <c r="D3174" s="6" t="n">
        <v>-43.9266</v>
      </c>
      <c r="E3174" s="6" t="inlineStr">
        <is>
          <t>2025-05</t>
        </is>
      </c>
      <c r="F3174" s="6" t="n">
        <v>1242654.130727261</v>
      </c>
      <c r="G3174" s="6" t="inlineStr">
        <is>
          <t>DOMESTICA</t>
        </is>
      </c>
      <c r="H3174" s="6" t="inlineStr">
        <is>
          <t>FIXO</t>
        </is>
      </c>
      <c r="I3174" s="11">
        <f>IF($H3174="AUTO_OFERTA_TOTAL_PRODUTO_PERIODO",SUMIFS(Oferta!$F:$F,Oferta!$A:$A,$A3174,Oferta!$E:$E,$E3174),$F3174)</f>
        <v/>
      </c>
      <c r="J3174" s="6" t="inlineStr">
        <is>
          <t>Informado</t>
        </is>
      </c>
      <c r="K3174" s="6" t="inlineStr">
        <is>
          <t>Demanda doméstica fixa informada pelo usuário.</t>
        </is>
      </c>
    </row>
    <row r="3175">
      <c r="A3175" s="6" t="inlineStr">
        <is>
          <t>Soja</t>
        </is>
      </c>
      <c r="B3175" s="6" t="inlineStr">
        <is>
          <t>Belo Horizonte - MG</t>
        </is>
      </c>
      <c r="C3175" s="6" t="n">
        <v>-19.9102</v>
      </c>
      <c r="D3175" s="6" t="n">
        <v>-43.9266</v>
      </c>
      <c r="E3175" s="6" t="inlineStr">
        <is>
          <t>2025-06</t>
        </is>
      </c>
      <c r="F3175" s="6" t="n">
        <v>1242654.130727261</v>
      </c>
      <c r="G3175" s="6" t="inlineStr">
        <is>
          <t>DOMESTICA</t>
        </is>
      </c>
      <c r="H3175" s="6" t="inlineStr">
        <is>
          <t>FIXO</t>
        </is>
      </c>
      <c r="I3175" s="11">
        <f>IF($H3175="AUTO_OFERTA_TOTAL_PRODUTO_PERIODO",SUMIFS(Oferta!$F:$F,Oferta!$A:$A,$A3175,Oferta!$E:$E,$E3175),$F3175)</f>
        <v/>
      </c>
      <c r="J3175" s="6" t="inlineStr">
        <is>
          <t>Informado</t>
        </is>
      </c>
      <c r="K3175" s="6" t="inlineStr">
        <is>
          <t>Demanda doméstica fixa informada pelo usuário.</t>
        </is>
      </c>
    </row>
    <row r="3176">
      <c r="A3176" s="6" t="inlineStr">
        <is>
          <t>Soja</t>
        </is>
      </c>
      <c r="B3176" s="6" t="inlineStr">
        <is>
          <t>Belo Horizonte - MG</t>
        </is>
      </c>
      <c r="C3176" s="6" t="n">
        <v>-19.9102</v>
      </c>
      <c r="D3176" s="6" t="n">
        <v>-43.9266</v>
      </c>
      <c r="E3176" s="6" t="inlineStr">
        <is>
          <t>2025-07</t>
        </is>
      </c>
      <c r="F3176" s="6" t="n">
        <v>1040801.683096437</v>
      </c>
      <c r="G3176" s="6" t="inlineStr">
        <is>
          <t>DOMESTICA</t>
        </is>
      </c>
      <c r="H3176" s="6" t="inlineStr">
        <is>
          <t>FIXO</t>
        </is>
      </c>
      <c r="I3176" s="11">
        <f>IF($H3176="AUTO_OFERTA_TOTAL_PRODUTO_PERIODO",SUMIFS(Oferta!$F:$F,Oferta!$A:$A,$A3176,Oferta!$E:$E,$E3176),$F3176)</f>
        <v/>
      </c>
      <c r="J3176" s="6" t="inlineStr">
        <is>
          <t>Informado</t>
        </is>
      </c>
      <c r="K3176" s="6" t="inlineStr">
        <is>
          <t>Demanda doméstica fixa informada pelo usuário.</t>
        </is>
      </c>
    </row>
    <row r="3177">
      <c r="A3177" s="6" t="inlineStr">
        <is>
          <t>Soja</t>
        </is>
      </c>
      <c r="B3177" s="6" t="inlineStr">
        <is>
          <t>Belo Horizonte - MG</t>
        </is>
      </c>
      <c r="C3177" s="6" t="n">
        <v>-19.9102</v>
      </c>
      <c r="D3177" s="6" t="n">
        <v>-43.9266</v>
      </c>
      <c r="E3177" s="6" t="inlineStr">
        <is>
          <t>2025-08</t>
        </is>
      </c>
      <c r="F3177" s="6" t="n">
        <v>435244.3402039645</v>
      </c>
      <c r="G3177" s="6" t="inlineStr">
        <is>
          <t>DOMESTICA</t>
        </is>
      </c>
      <c r="H3177" s="6" t="inlineStr">
        <is>
          <t>FIXO</t>
        </is>
      </c>
      <c r="I3177" s="11">
        <f>IF($H3177="AUTO_OFERTA_TOTAL_PRODUTO_PERIODO",SUMIFS(Oferta!$F:$F,Oferta!$A:$A,$A3177,Oferta!$E:$E,$E3177),$F3177)</f>
        <v/>
      </c>
      <c r="J3177" s="6" t="inlineStr">
        <is>
          <t>Informado</t>
        </is>
      </c>
      <c r="K3177" s="6" t="inlineStr">
        <is>
          <t>Demanda doméstica fixa informada pelo usuário.</t>
        </is>
      </c>
    </row>
    <row r="3178">
      <c r="A3178" s="6" t="inlineStr">
        <is>
          <t>Soja</t>
        </is>
      </c>
      <c r="B3178" s="6" t="inlineStr">
        <is>
          <t>Belo Horizonte - MG</t>
        </is>
      </c>
      <c r="C3178" s="6" t="n">
        <v>-19.9102</v>
      </c>
      <c r="D3178" s="6" t="n">
        <v>-43.9266</v>
      </c>
      <c r="E3178" s="6" t="inlineStr">
        <is>
          <t>2025-09</t>
        </is>
      </c>
      <c r="F3178" s="6" t="n">
        <v>334318.1163885525</v>
      </c>
      <c r="G3178" s="6" t="inlineStr">
        <is>
          <t>DOMESTICA</t>
        </is>
      </c>
      <c r="H3178" s="6" t="inlineStr">
        <is>
          <t>FIXO</t>
        </is>
      </c>
      <c r="I3178" s="11">
        <f>IF($H3178="AUTO_OFERTA_TOTAL_PRODUTO_PERIODO",SUMIFS(Oferta!$F:$F,Oferta!$A:$A,$A3178,Oferta!$E:$E,$E3178),$F3178)</f>
        <v/>
      </c>
      <c r="J3178" s="6" t="inlineStr">
        <is>
          <t>Informado</t>
        </is>
      </c>
      <c r="K3178" s="6" t="inlineStr">
        <is>
          <t>Demanda doméstica fixa informada pelo usuário.</t>
        </is>
      </c>
    </row>
    <row r="3179">
      <c r="A3179" s="6" t="inlineStr">
        <is>
          <t>Soja</t>
        </is>
      </c>
      <c r="B3179" s="6" t="inlineStr">
        <is>
          <t>Belo Horizonte - MG</t>
        </is>
      </c>
      <c r="C3179" s="6" t="n">
        <v>-19.9102</v>
      </c>
      <c r="D3179" s="6" t="n">
        <v>-43.9266</v>
      </c>
      <c r="E3179" s="6" t="inlineStr">
        <is>
          <t>2025-10</t>
        </is>
      </c>
      <c r="F3179" s="6" t="n">
        <v>334318.1163885525</v>
      </c>
      <c r="G3179" s="6" t="inlineStr">
        <is>
          <t>DOMESTICA</t>
        </is>
      </c>
      <c r="H3179" s="6" t="inlineStr">
        <is>
          <t>FIXO</t>
        </is>
      </c>
      <c r="I3179" s="11">
        <f>IF($H3179="AUTO_OFERTA_TOTAL_PRODUTO_PERIODO",SUMIFS(Oferta!$F:$F,Oferta!$A:$A,$A3179,Oferta!$E:$E,$E3179),$F3179)</f>
        <v/>
      </c>
      <c r="J3179" s="6" t="inlineStr">
        <is>
          <t>Informado</t>
        </is>
      </c>
      <c r="K3179" s="6" t="inlineStr">
        <is>
          <t>Demanda doméstica fixa informada pelo usuário.</t>
        </is>
      </c>
    </row>
    <row r="3180">
      <c r="A3180" s="6" t="inlineStr">
        <is>
          <t>Soja</t>
        </is>
      </c>
      <c r="B3180" s="6" t="inlineStr">
        <is>
          <t>Belo Horizonte - MG</t>
        </is>
      </c>
      <c r="C3180" s="6" t="n">
        <v>-19.9102</v>
      </c>
      <c r="D3180" s="6" t="n">
        <v>-43.9266</v>
      </c>
      <c r="E3180" s="6" t="inlineStr">
        <is>
          <t>2025-11</t>
        </is>
      </c>
      <c r="F3180" s="6" t="n">
        <v>334318.1163885525</v>
      </c>
      <c r="G3180" s="6" t="inlineStr">
        <is>
          <t>DOMESTICA</t>
        </is>
      </c>
      <c r="H3180" s="6" t="inlineStr">
        <is>
          <t>FIXO</t>
        </is>
      </c>
      <c r="I3180" s="11">
        <f>IF($H3180="AUTO_OFERTA_TOTAL_PRODUTO_PERIODO",SUMIFS(Oferta!$F:$F,Oferta!$A:$A,$A3180,Oferta!$E:$E,$E3180),$F3180)</f>
        <v/>
      </c>
      <c r="J3180" s="6" t="inlineStr">
        <is>
          <t>Informado</t>
        </is>
      </c>
      <c r="K3180" s="6" t="inlineStr">
        <is>
          <t>Demanda doméstica fixa informada pelo usuário.</t>
        </is>
      </c>
    </row>
    <row r="3181">
      <c r="A3181" s="6" t="inlineStr">
        <is>
          <t>Soja</t>
        </is>
      </c>
      <c r="B3181" s="6" t="inlineStr">
        <is>
          <t>Belo Horizonte - MG</t>
        </is>
      </c>
      <c r="C3181" s="6" t="n">
        <v>-19.9102</v>
      </c>
      <c r="D3181" s="6" t="n">
        <v>-43.9266</v>
      </c>
      <c r="E3181" s="6" t="inlineStr">
        <is>
          <t>2025-12</t>
        </is>
      </c>
      <c r="F3181" s="6" t="n">
        <v>334318.1163885525</v>
      </c>
      <c r="G3181" s="6" t="inlineStr">
        <is>
          <t>DOMESTICA</t>
        </is>
      </c>
      <c r="H3181" s="6" t="inlineStr">
        <is>
          <t>FIXO</t>
        </is>
      </c>
      <c r="I3181" s="11">
        <f>IF($H3181="AUTO_OFERTA_TOTAL_PRODUTO_PERIODO",SUMIFS(Oferta!$F:$F,Oferta!$A:$A,$A3181,Oferta!$E:$E,$E3181),$F3181)</f>
        <v/>
      </c>
      <c r="J3181" s="6" t="inlineStr">
        <is>
          <t>Informado</t>
        </is>
      </c>
      <c r="K3181" s="6" t="inlineStr">
        <is>
          <t>Demanda doméstica fixa informada pelo usuário.</t>
        </is>
      </c>
    </row>
    <row r="3182">
      <c r="A3182" s="6" t="inlineStr">
        <is>
          <t>Soja</t>
        </is>
      </c>
      <c r="B3182" s="6" t="inlineStr">
        <is>
          <t>Rio de Janeiro - RJ</t>
        </is>
      </c>
      <c r="C3182" s="6" t="n">
        <v>-22.9129</v>
      </c>
      <c r="D3182" s="6" t="n">
        <v>-43.2003</v>
      </c>
      <c r="E3182" s="6" t="inlineStr">
        <is>
          <t>2025-01</t>
        </is>
      </c>
      <c r="F3182" s="6" t="n">
        <v>159994.5878792776</v>
      </c>
      <c r="G3182" s="6" t="inlineStr">
        <is>
          <t>DOMESTICA</t>
        </is>
      </c>
      <c r="H3182" s="6" t="inlineStr">
        <is>
          <t>FIXO</t>
        </is>
      </c>
      <c r="I3182" s="11">
        <f>IF($H3182="AUTO_OFERTA_TOTAL_PRODUTO_PERIODO",SUMIFS(Oferta!$F:$F,Oferta!$A:$A,$A3182,Oferta!$E:$E,$E3182),$F3182)</f>
        <v/>
      </c>
      <c r="J3182" s="6" t="inlineStr">
        <is>
          <t>Informado</t>
        </is>
      </c>
      <c r="K3182" s="6" t="inlineStr">
        <is>
          <t>Demanda doméstica fixa informada pelo usuário.</t>
        </is>
      </c>
    </row>
    <row r="3183">
      <c r="A3183" s="6" t="inlineStr">
        <is>
          <t>Soja</t>
        </is>
      </c>
      <c r="B3183" s="6" t="inlineStr">
        <is>
          <t>Rio de Janeiro - RJ</t>
        </is>
      </c>
      <c r="C3183" s="6" t="n">
        <v>-22.9129</v>
      </c>
      <c r="D3183" s="6" t="n">
        <v>-43.2003</v>
      </c>
      <c r="E3183" s="6" t="inlineStr">
        <is>
          <t>2025-02</t>
        </is>
      </c>
      <c r="F3183" s="6" t="n">
        <v>159994.5878792776</v>
      </c>
      <c r="G3183" s="6" t="inlineStr">
        <is>
          <t>DOMESTICA</t>
        </is>
      </c>
      <c r="H3183" s="6" t="inlineStr">
        <is>
          <t>FIXO</t>
        </is>
      </c>
      <c r="I3183" s="11">
        <f>IF($H3183="AUTO_OFERTA_TOTAL_PRODUTO_PERIODO",SUMIFS(Oferta!$F:$F,Oferta!$A:$A,$A3183,Oferta!$E:$E,$E3183),$F3183)</f>
        <v/>
      </c>
      <c r="J3183" s="6" t="inlineStr">
        <is>
          <t>Informado</t>
        </is>
      </c>
      <c r="K3183" s="6" t="inlineStr">
        <is>
          <t>Demanda doméstica fixa informada pelo usuário.</t>
        </is>
      </c>
    </row>
    <row r="3184">
      <c r="A3184" s="6" t="inlineStr">
        <is>
          <t>Soja</t>
        </is>
      </c>
      <c r="B3184" s="6" t="inlineStr">
        <is>
          <t>Rio de Janeiro - RJ</t>
        </is>
      </c>
      <c r="C3184" s="6" t="n">
        <v>-22.9129</v>
      </c>
      <c r="D3184" s="6" t="n">
        <v>-43.2003</v>
      </c>
      <c r="E3184" s="6" t="inlineStr">
        <is>
          <t>2025-03</t>
        </is>
      </c>
      <c r="F3184" s="6" t="n">
        <v>159994.5878792776</v>
      </c>
      <c r="G3184" s="6" t="inlineStr">
        <is>
          <t>DOMESTICA</t>
        </is>
      </c>
      <c r="H3184" s="6" t="inlineStr">
        <is>
          <t>FIXO</t>
        </is>
      </c>
      <c r="I3184" s="11">
        <f>IF($H3184="AUTO_OFERTA_TOTAL_PRODUTO_PERIODO",SUMIFS(Oferta!$F:$F,Oferta!$A:$A,$A3184,Oferta!$E:$E,$E3184),$F3184)</f>
        <v/>
      </c>
      <c r="J3184" s="6" t="inlineStr">
        <is>
          <t>Informado</t>
        </is>
      </c>
      <c r="K3184" s="6" t="inlineStr">
        <is>
          <t>Demanda doméstica fixa informada pelo usuário.</t>
        </is>
      </c>
    </row>
    <row r="3185">
      <c r="A3185" s="6" t="inlineStr">
        <is>
          <t>Soja</t>
        </is>
      </c>
      <c r="B3185" s="6" t="inlineStr">
        <is>
          <t>Rio de Janeiro - RJ</t>
        </is>
      </c>
      <c r="C3185" s="6" t="n">
        <v>-22.9129</v>
      </c>
      <c r="D3185" s="6" t="n">
        <v>-43.2003</v>
      </c>
      <c r="E3185" s="6" t="inlineStr">
        <is>
          <t>2025-04</t>
        </is>
      </c>
      <c r="F3185" s="6" t="n">
        <v>159994.5878792776</v>
      </c>
      <c r="G3185" s="6" t="inlineStr">
        <is>
          <t>DOMESTICA</t>
        </is>
      </c>
      <c r="H3185" s="6" t="inlineStr">
        <is>
          <t>FIXO</t>
        </is>
      </c>
      <c r="I3185" s="11">
        <f>IF($H3185="AUTO_OFERTA_TOTAL_PRODUTO_PERIODO",SUMIFS(Oferta!$F:$F,Oferta!$A:$A,$A3185,Oferta!$E:$E,$E3185),$F3185)</f>
        <v/>
      </c>
      <c r="J3185" s="6" t="inlineStr">
        <is>
          <t>Informado</t>
        </is>
      </c>
      <c r="K3185" s="6" t="inlineStr">
        <is>
          <t>Demanda doméstica fixa informada pelo usuário.</t>
        </is>
      </c>
    </row>
    <row r="3186">
      <c r="A3186" s="6" t="inlineStr">
        <is>
          <t>Soja</t>
        </is>
      </c>
      <c r="B3186" s="6" t="inlineStr">
        <is>
          <t>Rio de Janeiro - RJ</t>
        </is>
      </c>
      <c r="C3186" s="6" t="n">
        <v>-22.9129</v>
      </c>
      <c r="D3186" s="6" t="n">
        <v>-43.2003</v>
      </c>
      <c r="E3186" s="6" t="inlineStr">
        <is>
          <t>2025-05</t>
        </is>
      </c>
      <c r="F3186" s="6" t="n">
        <v>159994.5878792776</v>
      </c>
      <c r="G3186" s="6" t="inlineStr">
        <is>
          <t>DOMESTICA</t>
        </is>
      </c>
      <c r="H3186" s="6" t="inlineStr">
        <is>
          <t>FIXO</t>
        </is>
      </c>
      <c r="I3186" s="11">
        <f>IF($H3186="AUTO_OFERTA_TOTAL_PRODUTO_PERIODO",SUMIFS(Oferta!$F:$F,Oferta!$A:$A,$A3186,Oferta!$E:$E,$E3186),$F3186)</f>
        <v/>
      </c>
      <c r="J3186" s="6" t="inlineStr">
        <is>
          <t>Informado</t>
        </is>
      </c>
      <c r="K3186" s="6" t="inlineStr">
        <is>
          <t>Demanda doméstica fixa informada pelo usuário.</t>
        </is>
      </c>
    </row>
    <row r="3187">
      <c r="A3187" s="6" t="inlineStr">
        <is>
          <t>Soja</t>
        </is>
      </c>
      <c r="B3187" s="6" t="inlineStr">
        <is>
          <t>Rio de Janeiro - RJ</t>
        </is>
      </c>
      <c r="C3187" s="6" t="n">
        <v>-22.9129</v>
      </c>
      <c r="D3187" s="6" t="n">
        <v>-43.2003</v>
      </c>
      <c r="E3187" s="6" t="inlineStr">
        <is>
          <t>2025-06</t>
        </is>
      </c>
      <c r="F3187" s="6" t="n">
        <v>159994.5878792776</v>
      </c>
      <c r="G3187" s="6" t="inlineStr">
        <is>
          <t>DOMESTICA</t>
        </is>
      </c>
      <c r="H3187" s="6" t="inlineStr">
        <is>
          <t>FIXO</t>
        </is>
      </c>
      <c r="I3187" s="11">
        <f>IF($H3187="AUTO_OFERTA_TOTAL_PRODUTO_PERIODO",SUMIFS(Oferta!$F:$F,Oferta!$A:$A,$A3187,Oferta!$E:$E,$E3187),$F3187)</f>
        <v/>
      </c>
      <c r="J3187" s="6" t="inlineStr">
        <is>
          <t>Informado</t>
        </is>
      </c>
      <c r="K3187" s="6" t="inlineStr">
        <is>
          <t>Demanda doméstica fixa informada pelo usuário.</t>
        </is>
      </c>
    </row>
    <row r="3188">
      <c r="A3188" s="6" t="inlineStr">
        <is>
          <t>Soja</t>
        </is>
      </c>
      <c r="B3188" s="6" t="inlineStr">
        <is>
          <t>Rio de Janeiro - RJ</t>
        </is>
      </c>
      <c r="C3188" s="6" t="n">
        <v>-22.9129</v>
      </c>
      <c r="D3188" s="6" t="n">
        <v>-43.2003</v>
      </c>
      <c r="E3188" s="6" t="inlineStr">
        <is>
          <t>2025-07</t>
        </is>
      </c>
      <c r="F3188" s="6" t="n">
        <v>159994.5878792776</v>
      </c>
      <c r="G3188" s="6" t="inlineStr">
        <is>
          <t>DOMESTICA</t>
        </is>
      </c>
      <c r="H3188" s="6" t="inlineStr">
        <is>
          <t>FIXO</t>
        </is>
      </c>
      <c r="I3188" s="11">
        <f>IF($H3188="AUTO_OFERTA_TOTAL_PRODUTO_PERIODO",SUMIFS(Oferta!$F:$F,Oferta!$A:$A,$A3188,Oferta!$E:$E,$E3188),$F3188)</f>
        <v/>
      </c>
      <c r="J3188" s="6" t="inlineStr">
        <is>
          <t>Informado</t>
        </is>
      </c>
      <c r="K3188" s="6" t="inlineStr">
        <is>
          <t>Demanda doméstica fixa informada pelo usuário.</t>
        </is>
      </c>
    </row>
    <row r="3189">
      <c r="A3189" s="6" t="inlineStr">
        <is>
          <t>Soja</t>
        </is>
      </c>
      <c r="B3189" s="6" t="inlineStr">
        <is>
          <t>Rio de Janeiro - RJ</t>
        </is>
      </c>
      <c r="C3189" s="6" t="n">
        <v>-22.9129</v>
      </c>
      <c r="D3189" s="6" t="n">
        <v>-43.2003</v>
      </c>
      <c r="E3189" s="6" t="inlineStr">
        <is>
          <t>2025-08</t>
        </is>
      </c>
      <c r="F3189" s="6" t="n">
        <v>159994.5878792776</v>
      </c>
      <c r="G3189" s="6" t="inlineStr">
        <is>
          <t>DOMESTICA</t>
        </is>
      </c>
      <c r="H3189" s="6" t="inlineStr">
        <is>
          <t>FIXO</t>
        </is>
      </c>
      <c r="I3189" s="11">
        <f>IF($H3189="AUTO_OFERTA_TOTAL_PRODUTO_PERIODO",SUMIFS(Oferta!$F:$F,Oferta!$A:$A,$A3189,Oferta!$E:$E,$E3189),$F3189)</f>
        <v/>
      </c>
      <c r="J3189" s="6" t="inlineStr">
        <is>
          <t>Informado</t>
        </is>
      </c>
      <c r="K3189" s="6" t="inlineStr">
        <is>
          <t>Demanda doméstica fixa informada pelo usuário.</t>
        </is>
      </c>
    </row>
    <row r="3190">
      <c r="A3190" s="6" t="inlineStr">
        <is>
          <t>Soja</t>
        </is>
      </c>
      <c r="B3190" s="6" t="inlineStr">
        <is>
          <t>Rio de Janeiro - RJ</t>
        </is>
      </c>
      <c r="C3190" s="6" t="n">
        <v>-22.9129</v>
      </c>
      <c r="D3190" s="6" t="n">
        <v>-43.2003</v>
      </c>
      <c r="E3190" s="6" t="inlineStr">
        <is>
          <t>2025-09</t>
        </is>
      </c>
      <c r="F3190" s="6" t="n">
        <v>159994.5878792776</v>
      </c>
      <c r="G3190" s="6" t="inlineStr">
        <is>
          <t>DOMESTICA</t>
        </is>
      </c>
      <c r="H3190" s="6" t="inlineStr">
        <is>
          <t>FIXO</t>
        </is>
      </c>
      <c r="I3190" s="11">
        <f>IF($H3190="AUTO_OFERTA_TOTAL_PRODUTO_PERIODO",SUMIFS(Oferta!$F:$F,Oferta!$A:$A,$A3190,Oferta!$E:$E,$E3190),$F3190)</f>
        <v/>
      </c>
      <c r="J3190" s="6" t="inlineStr">
        <is>
          <t>Informado</t>
        </is>
      </c>
      <c r="K3190" s="6" t="inlineStr">
        <is>
          <t>Demanda doméstica fixa informada pelo usuário.</t>
        </is>
      </c>
    </row>
    <row r="3191">
      <c r="A3191" s="6" t="inlineStr">
        <is>
          <t>Soja</t>
        </is>
      </c>
      <c r="B3191" s="6" t="inlineStr">
        <is>
          <t>Rio de Janeiro - RJ</t>
        </is>
      </c>
      <c r="C3191" s="6" t="n">
        <v>-22.9129</v>
      </c>
      <c r="D3191" s="6" t="n">
        <v>-43.2003</v>
      </c>
      <c r="E3191" s="6" t="inlineStr">
        <is>
          <t>2025-10</t>
        </is>
      </c>
      <c r="F3191" s="6" t="n">
        <v>159994.5878792776</v>
      </c>
      <c r="G3191" s="6" t="inlineStr">
        <is>
          <t>DOMESTICA</t>
        </is>
      </c>
      <c r="H3191" s="6" t="inlineStr">
        <is>
          <t>FIXO</t>
        </is>
      </c>
      <c r="I3191" s="11">
        <f>IF($H3191="AUTO_OFERTA_TOTAL_PRODUTO_PERIODO",SUMIFS(Oferta!$F:$F,Oferta!$A:$A,$A3191,Oferta!$E:$E,$E3191),$F3191)</f>
        <v/>
      </c>
      <c r="J3191" s="6" t="inlineStr">
        <is>
          <t>Informado</t>
        </is>
      </c>
      <c r="K3191" s="6" t="inlineStr">
        <is>
          <t>Demanda doméstica fixa informada pelo usuário.</t>
        </is>
      </c>
    </row>
    <row r="3192">
      <c r="A3192" s="6" t="inlineStr">
        <is>
          <t>Soja</t>
        </is>
      </c>
      <c r="B3192" s="6" t="inlineStr">
        <is>
          <t>Rio de Janeiro - RJ</t>
        </is>
      </c>
      <c r="C3192" s="6" t="n">
        <v>-22.9129</v>
      </c>
      <c r="D3192" s="6" t="n">
        <v>-43.2003</v>
      </c>
      <c r="E3192" s="6" t="inlineStr">
        <is>
          <t>2025-11</t>
        </is>
      </c>
      <c r="F3192" s="6" t="n">
        <v>159994.5878792776</v>
      </c>
      <c r="G3192" s="6" t="inlineStr">
        <is>
          <t>DOMESTICA</t>
        </is>
      </c>
      <c r="H3192" s="6" t="inlineStr">
        <is>
          <t>FIXO</t>
        </is>
      </c>
      <c r="I3192" s="11">
        <f>IF($H3192="AUTO_OFERTA_TOTAL_PRODUTO_PERIODO",SUMIFS(Oferta!$F:$F,Oferta!$A:$A,$A3192,Oferta!$E:$E,$E3192),$F3192)</f>
        <v/>
      </c>
      <c r="J3192" s="6" t="inlineStr">
        <is>
          <t>Informado</t>
        </is>
      </c>
      <c r="K3192" s="6" t="inlineStr">
        <is>
          <t>Demanda doméstica fixa informada pelo usuário.</t>
        </is>
      </c>
    </row>
    <row r="3193">
      <c r="A3193" s="6" t="inlineStr">
        <is>
          <t>Soja</t>
        </is>
      </c>
      <c r="B3193" s="6" t="inlineStr">
        <is>
          <t>Rio de Janeiro - RJ</t>
        </is>
      </c>
      <c r="C3193" s="6" t="n">
        <v>-22.9129</v>
      </c>
      <c r="D3193" s="6" t="n">
        <v>-43.2003</v>
      </c>
      <c r="E3193" s="6" t="inlineStr">
        <is>
          <t>2025-12</t>
        </is>
      </c>
      <c r="F3193" s="6" t="n">
        <v>159994.5878792776</v>
      </c>
      <c r="G3193" s="6" t="inlineStr">
        <is>
          <t>DOMESTICA</t>
        </is>
      </c>
      <c r="H3193" s="6" t="inlineStr">
        <is>
          <t>FIXO</t>
        </is>
      </c>
      <c r="I3193" s="11">
        <f>IF($H3193="AUTO_OFERTA_TOTAL_PRODUTO_PERIODO",SUMIFS(Oferta!$F:$F,Oferta!$A:$A,$A3193,Oferta!$E:$E,$E3193),$F3193)</f>
        <v/>
      </c>
      <c r="J3193" s="6" t="inlineStr">
        <is>
          <t>Informado</t>
        </is>
      </c>
      <c r="K3193" s="6" t="inlineStr">
        <is>
          <t>Demanda doméstica fixa informada pelo usuário.</t>
        </is>
      </c>
    </row>
    <row r="3194">
      <c r="A3194" s="6" t="inlineStr">
        <is>
          <t>Soja</t>
        </is>
      </c>
      <c r="B3194" s="6" t="inlineStr">
        <is>
          <t>São Paulo - SP</t>
        </is>
      </c>
      <c r="C3194" s="6" t="n">
        <v>-23.5329</v>
      </c>
      <c r="D3194" s="6" t="n">
        <v>-46.6395</v>
      </c>
      <c r="E3194" s="6" t="inlineStr">
        <is>
          <t>2025-01</t>
        </is>
      </c>
      <c r="F3194" s="6" t="n">
        <v>611028.5300358738</v>
      </c>
      <c r="G3194" s="6" t="inlineStr">
        <is>
          <t>DOMESTICA</t>
        </is>
      </c>
      <c r="H3194" s="6" t="inlineStr">
        <is>
          <t>FIXO</t>
        </is>
      </c>
      <c r="I3194" s="11">
        <f>IF($H3194="AUTO_OFERTA_TOTAL_PRODUTO_PERIODO",SUMIFS(Oferta!$F:$F,Oferta!$A:$A,$A3194,Oferta!$E:$E,$E3194),$F3194)</f>
        <v/>
      </c>
      <c r="J3194" s="6" t="inlineStr">
        <is>
          <t>Informado</t>
        </is>
      </c>
      <c r="K3194" s="6" t="inlineStr">
        <is>
          <t>Demanda doméstica fixa informada pelo usuário.</t>
        </is>
      </c>
    </row>
    <row r="3195">
      <c r="A3195" s="6" t="inlineStr">
        <is>
          <t>Soja</t>
        </is>
      </c>
      <c r="B3195" s="6" t="inlineStr">
        <is>
          <t>São Paulo - SP</t>
        </is>
      </c>
      <c r="C3195" s="6" t="n">
        <v>-23.5329</v>
      </c>
      <c r="D3195" s="6" t="n">
        <v>-46.6395</v>
      </c>
      <c r="E3195" s="6" t="inlineStr">
        <is>
          <t>2025-02</t>
        </is>
      </c>
      <c r="F3195" s="6" t="n">
        <v>979951.416095269</v>
      </c>
      <c r="G3195" s="6" t="inlineStr">
        <is>
          <t>DOMESTICA</t>
        </is>
      </c>
      <c r="H3195" s="6" t="inlineStr">
        <is>
          <t>FIXO</t>
        </is>
      </c>
      <c r="I3195" s="11">
        <f>IF($H3195="AUTO_OFERTA_TOTAL_PRODUTO_PERIODO",SUMIFS(Oferta!$F:$F,Oferta!$A:$A,$A3195,Oferta!$E:$E,$E3195),$F3195)</f>
        <v/>
      </c>
      <c r="J3195" s="6" t="inlineStr">
        <is>
          <t>Informado</t>
        </is>
      </c>
      <c r="K3195" s="6" t="inlineStr">
        <is>
          <t>Demanda doméstica fixa informada pelo usuário.</t>
        </is>
      </c>
    </row>
    <row r="3196">
      <c r="A3196" s="6" t="inlineStr">
        <is>
          <t>Soja</t>
        </is>
      </c>
      <c r="B3196" s="6" t="inlineStr">
        <is>
          <t>São Paulo - SP</t>
        </is>
      </c>
      <c r="C3196" s="6" t="n">
        <v>-23.5329</v>
      </c>
      <c r="D3196" s="6" t="n">
        <v>-46.6395</v>
      </c>
      <c r="E3196" s="6" t="inlineStr">
        <is>
          <t>2025-03</t>
        </is>
      </c>
      <c r="F3196" s="6" t="n">
        <v>1348874.302154664</v>
      </c>
      <c r="G3196" s="6" t="inlineStr">
        <is>
          <t>DOMESTICA</t>
        </is>
      </c>
      <c r="H3196" s="6" t="inlineStr">
        <is>
          <t>FIXO</t>
        </is>
      </c>
      <c r="I3196" s="11">
        <f>IF($H3196="AUTO_OFERTA_TOTAL_PRODUTO_PERIODO",SUMIFS(Oferta!$F:$F,Oferta!$A:$A,$A3196,Oferta!$E:$E,$E3196),$F3196)</f>
        <v/>
      </c>
      <c r="J3196" s="6" t="inlineStr">
        <is>
          <t>Informado</t>
        </is>
      </c>
      <c r="K3196" s="6" t="inlineStr">
        <is>
          <t>Demanda doméstica fixa informada pelo usuário.</t>
        </is>
      </c>
    </row>
    <row r="3197">
      <c r="A3197" s="6" t="inlineStr">
        <is>
          <t>Soja</t>
        </is>
      </c>
      <c r="B3197" s="6" t="inlineStr">
        <is>
          <t>São Paulo - SP</t>
        </is>
      </c>
      <c r="C3197" s="6" t="n">
        <v>-23.5329</v>
      </c>
      <c r="D3197" s="6" t="n">
        <v>-46.6395</v>
      </c>
      <c r="E3197" s="6" t="inlineStr">
        <is>
          <t>2025-04</t>
        </is>
      </c>
      <c r="F3197" s="6" t="n">
        <v>2455642.96033285</v>
      </c>
      <c r="G3197" s="6" t="inlineStr">
        <is>
          <t>DOMESTICA</t>
        </is>
      </c>
      <c r="H3197" s="6" t="inlineStr">
        <is>
          <t>FIXO</t>
        </is>
      </c>
      <c r="I3197" s="11">
        <f>IF($H3197="AUTO_OFERTA_TOTAL_PRODUTO_PERIODO",SUMIFS(Oferta!$F:$F,Oferta!$A:$A,$A3197,Oferta!$E:$E,$E3197),$F3197)</f>
        <v/>
      </c>
      <c r="J3197" s="6" t="inlineStr">
        <is>
          <t>Informado</t>
        </is>
      </c>
      <c r="K3197" s="6" t="inlineStr">
        <is>
          <t>Demanda doméstica fixa informada pelo usuário.</t>
        </is>
      </c>
    </row>
    <row r="3198">
      <c r="A3198" s="6" t="inlineStr">
        <is>
          <t>Soja</t>
        </is>
      </c>
      <c r="B3198" s="6" t="inlineStr">
        <is>
          <t>São Paulo - SP</t>
        </is>
      </c>
      <c r="C3198" s="6" t="n">
        <v>-23.5329</v>
      </c>
      <c r="D3198" s="6" t="n">
        <v>-46.6395</v>
      </c>
      <c r="E3198" s="6" t="inlineStr">
        <is>
          <t>2025-05</t>
        </is>
      </c>
      <c r="F3198" s="6" t="n">
        <v>2455642.96033285</v>
      </c>
      <c r="G3198" s="6" t="inlineStr">
        <is>
          <t>DOMESTICA</t>
        </is>
      </c>
      <c r="H3198" s="6" t="inlineStr">
        <is>
          <t>FIXO</t>
        </is>
      </c>
      <c r="I3198" s="11">
        <f>IF($H3198="AUTO_OFERTA_TOTAL_PRODUTO_PERIODO",SUMIFS(Oferta!$F:$F,Oferta!$A:$A,$A3198,Oferta!$E:$E,$E3198),$F3198)</f>
        <v/>
      </c>
      <c r="J3198" s="6" t="inlineStr">
        <is>
          <t>Informado</t>
        </is>
      </c>
      <c r="K3198" s="6" t="inlineStr">
        <is>
          <t>Demanda doméstica fixa informada pelo usuário.</t>
        </is>
      </c>
    </row>
    <row r="3199">
      <c r="A3199" s="6" t="inlineStr">
        <is>
          <t>Soja</t>
        </is>
      </c>
      <c r="B3199" s="6" t="inlineStr">
        <is>
          <t>São Paulo - SP</t>
        </is>
      </c>
      <c r="C3199" s="6" t="n">
        <v>-23.5329</v>
      </c>
      <c r="D3199" s="6" t="n">
        <v>-46.6395</v>
      </c>
      <c r="E3199" s="6" t="inlineStr">
        <is>
          <t>2025-06</t>
        </is>
      </c>
      <c r="F3199" s="6" t="n">
        <v>2086720.074273456</v>
      </c>
      <c r="G3199" s="6" t="inlineStr">
        <is>
          <t>DOMESTICA</t>
        </is>
      </c>
      <c r="H3199" s="6" t="inlineStr">
        <is>
          <t>FIXO</t>
        </is>
      </c>
      <c r="I3199" s="11">
        <f>IF($H3199="AUTO_OFERTA_TOTAL_PRODUTO_PERIODO",SUMIFS(Oferta!$F:$F,Oferta!$A:$A,$A3199,Oferta!$E:$E,$E3199),$F3199)</f>
        <v/>
      </c>
      <c r="J3199" s="6" t="inlineStr">
        <is>
          <t>Informado</t>
        </is>
      </c>
      <c r="K3199" s="6" t="inlineStr">
        <is>
          <t>Demanda doméstica fixa informada pelo usuário.</t>
        </is>
      </c>
    </row>
    <row r="3200">
      <c r="A3200" s="6" t="inlineStr">
        <is>
          <t>Soja</t>
        </is>
      </c>
      <c r="B3200" s="6" t="inlineStr">
        <is>
          <t>São Paulo - SP</t>
        </is>
      </c>
      <c r="C3200" s="6" t="n">
        <v>-23.5329</v>
      </c>
      <c r="D3200" s="6" t="n">
        <v>-46.6395</v>
      </c>
      <c r="E3200" s="6" t="inlineStr">
        <is>
          <t>2025-07</t>
        </is>
      </c>
      <c r="F3200" s="6" t="n">
        <v>979951.416095269</v>
      </c>
      <c r="G3200" s="6" t="inlineStr">
        <is>
          <t>DOMESTICA</t>
        </is>
      </c>
      <c r="H3200" s="6" t="inlineStr">
        <is>
          <t>FIXO</t>
        </is>
      </c>
      <c r="I3200" s="11">
        <f>IF($H3200="AUTO_OFERTA_TOTAL_PRODUTO_PERIODO",SUMIFS(Oferta!$F:$F,Oferta!$A:$A,$A3200,Oferta!$E:$E,$E3200),$F3200)</f>
        <v/>
      </c>
      <c r="J3200" s="6" t="inlineStr">
        <is>
          <t>Informado</t>
        </is>
      </c>
      <c r="K3200" s="6" t="inlineStr">
        <is>
          <t>Demanda doméstica fixa informada pelo usuário.</t>
        </is>
      </c>
    </row>
    <row r="3201">
      <c r="A3201" s="6" t="inlineStr">
        <is>
          <t>Soja</t>
        </is>
      </c>
      <c r="B3201" s="6" t="inlineStr">
        <is>
          <t>São Paulo - SP</t>
        </is>
      </c>
      <c r="C3201" s="6" t="n">
        <v>-23.5329</v>
      </c>
      <c r="D3201" s="6" t="n">
        <v>-46.6395</v>
      </c>
      <c r="E3201" s="6" t="inlineStr">
        <is>
          <t>2025-08</t>
        </is>
      </c>
      <c r="F3201" s="6" t="n">
        <v>611028.5300358738</v>
      </c>
      <c r="G3201" s="6" t="inlineStr">
        <is>
          <t>DOMESTICA</t>
        </is>
      </c>
      <c r="H3201" s="6" t="inlineStr">
        <is>
          <t>FIXO</t>
        </is>
      </c>
      <c r="I3201" s="11">
        <f>IF($H3201="AUTO_OFERTA_TOTAL_PRODUTO_PERIODO",SUMIFS(Oferta!$F:$F,Oferta!$A:$A,$A3201,Oferta!$E:$E,$E3201),$F3201)</f>
        <v/>
      </c>
      <c r="J3201" s="6" t="inlineStr">
        <is>
          <t>Informado</t>
        </is>
      </c>
      <c r="K3201" s="6" t="inlineStr">
        <is>
          <t>Demanda doméstica fixa informada pelo usuário.</t>
        </is>
      </c>
    </row>
    <row r="3202">
      <c r="A3202" s="6" t="inlineStr">
        <is>
          <t>Soja</t>
        </is>
      </c>
      <c r="B3202" s="6" t="inlineStr">
        <is>
          <t>São Paulo - SP</t>
        </is>
      </c>
      <c r="C3202" s="6" t="n">
        <v>-23.5329</v>
      </c>
      <c r="D3202" s="6" t="n">
        <v>-46.6395</v>
      </c>
      <c r="E3202" s="6" t="inlineStr">
        <is>
          <t>2025-09</t>
        </is>
      </c>
      <c r="F3202" s="6" t="n">
        <v>611028.5300358738</v>
      </c>
      <c r="G3202" s="6" t="inlineStr">
        <is>
          <t>DOMESTICA</t>
        </is>
      </c>
      <c r="H3202" s="6" t="inlineStr">
        <is>
          <t>FIXO</t>
        </is>
      </c>
      <c r="I3202" s="11">
        <f>IF($H3202="AUTO_OFERTA_TOTAL_PRODUTO_PERIODO",SUMIFS(Oferta!$F:$F,Oferta!$A:$A,$A3202,Oferta!$E:$E,$E3202),$F3202)</f>
        <v/>
      </c>
      <c r="J3202" s="6" t="inlineStr">
        <is>
          <t>Informado</t>
        </is>
      </c>
      <c r="K3202" s="6" t="inlineStr">
        <is>
          <t>Demanda doméstica fixa informada pelo usuário.</t>
        </is>
      </c>
    </row>
    <row r="3203">
      <c r="A3203" s="6" t="inlineStr">
        <is>
          <t>Soja</t>
        </is>
      </c>
      <c r="B3203" s="6" t="inlineStr">
        <is>
          <t>São Paulo - SP</t>
        </is>
      </c>
      <c r="C3203" s="6" t="n">
        <v>-23.5329</v>
      </c>
      <c r="D3203" s="6" t="n">
        <v>-46.6395</v>
      </c>
      <c r="E3203" s="6" t="inlineStr">
        <is>
          <t>2025-10</t>
        </is>
      </c>
      <c r="F3203" s="6" t="n">
        <v>611028.5300358738</v>
      </c>
      <c r="G3203" s="6" t="inlineStr">
        <is>
          <t>DOMESTICA</t>
        </is>
      </c>
      <c r="H3203" s="6" t="inlineStr">
        <is>
          <t>FIXO</t>
        </is>
      </c>
      <c r="I3203" s="11">
        <f>IF($H3203="AUTO_OFERTA_TOTAL_PRODUTO_PERIODO",SUMIFS(Oferta!$F:$F,Oferta!$A:$A,$A3203,Oferta!$E:$E,$E3203),$F3203)</f>
        <v/>
      </c>
      <c r="J3203" s="6" t="inlineStr">
        <is>
          <t>Informado</t>
        </is>
      </c>
      <c r="K3203" s="6" t="inlineStr">
        <is>
          <t>Demanda doméstica fixa informada pelo usuário.</t>
        </is>
      </c>
    </row>
    <row r="3204">
      <c r="A3204" s="6" t="inlineStr">
        <is>
          <t>Soja</t>
        </is>
      </c>
      <c r="B3204" s="6" t="inlineStr">
        <is>
          <t>São Paulo - SP</t>
        </is>
      </c>
      <c r="C3204" s="6" t="n">
        <v>-23.5329</v>
      </c>
      <c r="D3204" s="6" t="n">
        <v>-46.6395</v>
      </c>
      <c r="E3204" s="6" t="inlineStr">
        <is>
          <t>2025-11</t>
        </is>
      </c>
      <c r="F3204" s="6" t="n">
        <v>611028.5300358738</v>
      </c>
      <c r="G3204" s="6" t="inlineStr">
        <is>
          <t>DOMESTICA</t>
        </is>
      </c>
      <c r="H3204" s="6" t="inlineStr">
        <is>
          <t>FIXO</t>
        </is>
      </c>
      <c r="I3204" s="11">
        <f>IF($H3204="AUTO_OFERTA_TOTAL_PRODUTO_PERIODO",SUMIFS(Oferta!$F:$F,Oferta!$A:$A,$A3204,Oferta!$E:$E,$E3204),$F3204)</f>
        <v/>
      </c>
      <c r="J3204" s="6" t="inlineStr">
        <is>
          <t>Informado</t>
        </is>
      </c>
      <c r="K3204" s="6" t="inlineStr">
        <is>
          <t>Demanda doméstica fixa informada pelo usuário.</t>
        </is>
      </c>
    </row>
    <row r="3205">
      <c r="A3205" s="6" t="inlineStr">
        <is>
          <t>Soja</t>
        </is>
      </c>
      <c r="B3205" s="6" t="inlineStr">
        <is>
          <t>São Paulo - SP</t>
        </is>
      </c>
      <c r="C3205" s="6" t="n">
        <v>-23.5329</v>
      </c>
      <c r="D3205" s="6" t="n">
        <v>-46.6395</v>
      </c>
      <c r="E3205" s="6" t="inlineStr">
        <is>
          <t>2025-12</t>
        </is>
      </c>
      <c r="F3205" s="6" t="n">
        <v>611028.5300358738</v>
      </c>
      <c r="G3205" s="6" t="inlineStr">
        <is>
          <t>DOMESTICA</t>
        </is>
      </c>
      <c r="H3205" s="6" t="inlineStr">
        <is>
          <t>FIXO</t>
        </is>
      </c>
      <c r="I3205" s="11">
        <f>IF($H3205="AUTO_OFERTA_TOTAL_PRODUTO_PERIODO",SUMIFS(Oferta!$F:$F,Oferta!$A:$A,$A3205,Oferta!$E:$E,$E3205),$F3205)</f>
        <v/>
      </c>
      <c r="J3205" s="6" t="inlineStr">
        <is>
          <t>Informado</t>
        </is>
      </c>
      <c r="K3205" s="6" t="inlineStr">
        <is>
          <t>Demanda doméstica fixa informada pelo usuário.</t>
        </is>
      </c>
    </row>
    <row r="3206">
      <c r="A3206" s="6" t="inlineStr">
        <is>
          <t>Soja</t>
        </is>
      </c>
      <c r="B3206" s="6" t="inlineStr">
        <is>
          <t>Curitiba - PR</t>
        </is>
      </c>
      <c r="C3206" s="6" t="n">
        <v>-25.4195</v>
      </c>
      <c r="D3206" s="6" t="n">
        <v>-49.2646</v>
      </c>
      <c r="E3206" s="6" t="inlineStr">
        <is>
          <t>2025-01</t>
        </is>
      </c>
      <c r="F3206" s="6" t="n">
        <v>318006.3382735991</v>
      </c>
      <c r="G3206" s="6" t="inlineStr">
        <is>
          <t>DOMESTICA</t>
        </is>
      </c>
      <c r="H3206" s="6" t="inlineStr">
        <is>
          <t>FIXO</t>
        </is>
      </c>
      <c r="I3206" s="11">
        <f>IF($H3206="AUTO_OFERTA_TOTAL_PRODUTO_PERIODO",SUMIFS(Oferta!$F:$F,Oferta!$A:$A,$A3206,Oferta!$E:$E,$E3206),$F3206)</f>
        <v/>
      </c>
      <c r="J3206" s="6" t="inlineStr">
        <is>
          <t>Informado</t>
        </is>
      </c>
      <c r="K3206" s="6" t="inlineStr">
        <is>
          <t>Demanda doméstica fixa informada pelo usuário.</t>
        </is>
      </c>
    </row>
    <row r="3207">
      <c r="A3207" s="6" t="inlineStr">
        <is>
          <t>Soja</t>
        </is>
      </c>
      <c r="B3207" s="6" t="inlineStr">
        <is>
          <t>Curitiba - PR</t>
        </is>
      </c>
      <c r="C3207" s="6" t="n">
        <v>-25.4195</v>
      </c>
      <c r="D3207" s="6" t="n">
        <v>-49.2646</v>
      </c>
      <c r="E3207" s="6" t="inlineStr">
        <is>
          <t>2025-02</t>
        </is>
      </c>
      <c r="F3207" s="6" t="n">
        <v>414008.2517146855</v>
      </c>
      <c r="G3207" s="6" t="inlineStr">
        <is>
          <t>DOMESTICA</t>
        </is>
      </c>
      <c r="H3207" s="6" t="inlineStr">
        <is>
          <t>FIXO</t>
        </is>
      </c>
      <c r="I3207" s="11">
        <f>IF($H3207="AUTO_OFERTA_TOTAL_PRODUTO_PERIODO",SUMIFS(Oferta!$F:$F,Oferta!$A:$A,$A3207,Oferta!$E:$E,$E3207),$F3207)</f>
        <v/>
      </c>
      <c r="J3207" s="6" t="inlineStr">
        <is>
          <t>Informado</t>
        </is>
      </c>
      <c r="K3207" s="6" t="inlineStr">
        <is>
          <t>Demanda doméstica fixa informada pelo usuário.</t>
        </is>
      </c>
    </row>
    <row r="3208">
      <c r="A3208" s="6" t="inlineStr">
        <is>
          <t>Soja</t>
        </is>
      </c>
      <c r="B3208" s="6" t="inlineStr">
        <is>
          <t>Curitiba - PR</t>
        </is>
      </c>
      <c r="C3208" s="6" t="n">
        <v>-25.4195</v>
      </c>
      <c r="D3208" s="6" t="n">
        <v>-49.2646</v>
      </c>
      <c r="E3208" s="6" t="inlineStr">
        <is>
          <t>2025-03</t>
        </is>
      </c>
      <c r="F3208" s="6" t="n">
        <v>606012.0785968585</v>
      </c>
      <c r="G3208" s="6" t="inlineStr">
        <is>
          <t>DOMESTICA</t>
        </is>
      </c>
      <c r="H3208" s="6" t="inlineStr">
        <is>
          <t>FIXO</t>
        </is>
      </c>
      <c r="I3208" s="11">
        <f>IF($H3208="AUTO_OFERTA_TOTAL_PRODUTO_PERIODO",SUMIFS(Oferta!$F:$F,Oferta!$A:$A,$A3208,Oferta!$E:$E,$E3208),$F3208)</f>
        <v/>
      </c>
      <c r="J3208" s="6" t="inlineStr">
        <is>
          <t>Informado</t>
        </is>
      </c>
      <c r="K3208" s="6" t="inlineStr">
        <is>
          <t>Demanda doméstica fixa informada pelo usuário.</t>
        </is>
      </c>
    </row>
    <row r="3209">
      <c r="A3209" s="6" t="inlineStr">
        <is>
          <t>Soja</t>
        </is>
      </c>
      <c r="B3209" s="6" t="inlineStr">
        <is>
          <t>Curitiba - PR</t>
        </is>
      </c>
      <c r="C3209" s="6" t="n">
        <v>-25.4195</v>
      </c>
      <c r="D3209" s="6" t="n">
        <v>-49.2646</v>
      </c>
      <c r="E3209" s="6" t="inlineStr">
        <is>
          <t>2025-04</t>
        </is>
      </c>
      <c r="F3209" s="6" t="n">
        <v>990019.7323612046</v>
      </c>
      <c r="G3209" s="6" t="inlineStr">
        <is>
          <t>DOMESTICA</t>
        </is>
      </c>
      <c r="H3209" s="6" t="inlineStr">
        <is>
          <t>FIXO</t>
        </is>
      </c>
      <c r="I3209" s="11">
        <f>IF($H3209="AUTO_OFERTA_TOTAL_PRODUTO_PERIODO",SUMIFS(Oferta!$F:$F,Oferta!$A:$A,$A3209,Oferta!$E:$E,$E3209),$F3209)</f>
        <v/>
      </c>
      <c r="J3209" s="6" t="inlineStr">
        <is>
          <t>Informado</t>
        </is>
      </c>
      <c r="K3209" s="6" t="inlineStr">
        <is>
          <t>Demanda doméstica fixa informada pelo usuário.</t>
        </is>
      </c>
    </row>
    <row r="3210">
      <c r="A3210" s="6" t="inlineStr">
        <is>
          <t>Soja</t>
        </is>
      </c>
      <c r="B3210" s="6" t="inlineStr">
        <is>
          <t>Curitiba - PR</t>
        </is>
      </c>
      <c r="C3210" s="6" t="n">
        <v>-25.4195</v>
      </c>
      <c r="D3210" s="6" t="n">
        <v>-49.2646</v>
      </c>
      <c r="E3210" s="6" t="inlineStr">
        <is>
          <t>2025-05</t>
        </is>
      </c>
      <c r="F3210" s="6" t="n">
        <v>1086021.645802291</v>
      </c>
      <c r="G3210" s="6" t="inlineStr">
        <is>
          <t>DOMESTICA</t>
        </is>
      </c>
      <c r="H3210" s="6" t="inlineStr">
        <is>
          <t>FIXO</t>
        </is>
      </c>
      <c r="I3210" s="11">
        <f>IF($H3210="AUTO_OFERTA_TOTAL_PRODUTO_PERIODO",SUMIFS(Oferta!$F:$F,Oferta!$A:$A,$A3210,Oferta!$E:$E,$E3210),$F3210)</f>
        <v/>
      </c>
      <c r="J3210" s="6" t="inlineStr">
        <is>
          <t>Informado</t>
        </is>
      </c>
      <c r="K3210" s="6" t="inlineStr">
        <is>
          <t>Demanda doméstica fixa informada pelo usuário.</t>
        </is>
      </c>
    </row>
    <row r="3211">
      <c r="A3211" s="6" t="inlineStr">
        <is>
          <t>Soja</t>
        </is>
      </c>
      <c r="B3211" s="6" t="inlineStr">
        <is>
          <t>Curitiba - PR</t>
        </is>
      </c>
      <c r="C3211" s="6" t="n">
        <v>-25.4195</v>
      </c>
      <c r="D3211" s="6" t="n">
        <v>-49.2646</v>
      </c>
      <c r="E3211" s="6" t="inlineStr">
        <is>
          <t>2025-06</t>
        </is>
      </c>
      <c r="F3211" s="6" t="n">
        <v>894017.818920118</v>
      </c>
      <c r="G3211" s="6" t="inlineStr">
        <is>
          <t>DOMESTICA</t>
        </is>
      </c>
      <c r="H3211" s="6" t="inlineStr">
        <is>
          <t>FIXO</t>
        </is>
      </c>
      <c r="I3211" s="11">
        <f>IF($H3211="AUTO_OFERTA_TOTAL_PRODUTO_PERIODO",SUMIFS(Oferta!$F:$F,Oferta!$A:$A,$A3211,Oferta!$E:$E,$E3211),$F3211)</f>
        <v/>
      </c>
      <c r="J3211" s="6" t="inlineStr">
        <is>
          <t>Informado</t>
        </is>
      </c>
      <c r="K3211" s="6" t="inlineStr">
        <is>
          <t>Demanda doméstica fixa informada pelo usuário.</t>
        </is>
      </c>
    </row>
    <row r="3212">
      <c r="A3212" s="6" t="inlineStr">
        <is>
          <t>Soja</t>
        </is>
      </c>
      <c r="B3212" s="6" t="inlineStr">
        <is>
          <t>Curitiba - PR</t>
        </is>
      </c>
      <c r="C3212" s="6" t="n">
        <v>-25.4195</v>
      </c>
      <c r="D3212" s="6" t="n">
        <v>-49.2646</v>
      </c>
      <c r="E3212" s="6" t="inlineStr">
        <is>
          <t>2025-07</t>
        </is>
      </c>
      <c r="F3212" s="6" t="n">
        <v>510010.165155772</v>
      </c>
      <c r="G3212" s="6" t="inlineStr">
        <is>
          <t>DOMESTICA</t>
        </is>
      </c>
      <c r="H3212" s="6" t="inlineStr">
        <is>
          <t>FIXO</t>
        </is>
      </c>
      <c r="I3212" s="11">
        <f>IF($H3212="AUTO_OFERTA_TOTAL_PRODUTO_PERIODO",SUMIFS(Oferta!$F:$F,Oferta!$A:$A,$A3212,Oferta!$E:$E,$E3212),$F3212)</f>
        <v/>
      </c>
      <c r="J3212" s="6" t="inlineStr">
        <is>
          <t>Informado</t>
        </is>
      </c>
      <c r="K3212" s="6" t="inlineStr">
        <is>
          <t>Demanda doméstica fixa informada pelo usuário.</t>
        </is>
      </c>
    </row>
    <row r="3213">
      <c r="A3213" s="6" t="inlineStr">
        <is>
          <t>Soja</t>
        </is>
      </c>
      <c r="B3213" s="6" t="inlineStr">
        <is>
          <t>Curitiba - PR</t>
        </is>
      </c>
      <c r="C3213" s="6" t="n">
        <v>-25.4195</v>
      </c>
      <c r="D3213" s="6" t="n">
        <v>-49.2646</v>
      </c>
      <c r="E3213" s="6" t="inlineStr">
        <is>
          <t>2025-08</t>
        </is>
      </c>
      <c r="F3213" s="6" t="n">
        <v>318006.3382735991</v>
      </c>
      <c r="G3213" s="6" t="inlineStr">
        <is>
          <t>DOMESTICA</t>
        </is>
      </c>
      <c r="H3213" s="6" t="inlineStr">
        <is>
          <t>FIXO</t>
        </is>
      </c>
      <c r="I3213" s="11">
        <f>IF($H3213="AUTO_OFERTA_TOTAL_PRODUTO_PERIODO",SUMIFS(Oferta!$F:$F,Oferta!$A:$A,$A3213,Oferta!$E:$E,$E3213),$F3213)</f>
        <v/>
      </c>
      <c r="J3213" s="6" t="inlineStr">
        <is>
          <t>Informado</t>
        </is>
      </c>
      <c r="K3213" s="6" t="inlineStr">
        <is>
          <t>Demanda doméstica fixa informada pelo usuário.</t>
        </is>
      </c>
    </row>
    <row r="3214">
      <c r="A3214" s="6" t="inlineStr">
        <is>
          <t>Soja</t>
        </is>
      </c>
      <c r="B3214" s="6" t="inlineStr">
        <is>
          <t>Curitiba - PR</t>
        </is>
      </c>
      <c r="C3214" s="6" t="n">
        <v>-25.4195</v>
      </c>
      <c r="D3214" s="6" t="n">
        <v>-49.2646</v>
      </c>
      <c r="E3214" s="6" t="inlineStr">
        <is>
          <t>2025-09</t>
        </is>
      </c>
      <c r="F3214" s="6" t="n">
        <v>318006.3382735991</v>
      </c>
      <c r="G3214" s="6" t="inlineStr">
        <is>
          <t>DOMESTICA</t>
        </is>
      </c>
      <c r="H3214" s="6" t="inlineStr">
        <is>
          <t>FIXO</t>
        </is>
      </c>
      <c r="I3214" s="11">
        <f>IF($H3214="AUTO_OFERTA_TOTAL_PRODUTO_PERIODO",SUMIFS(Oferta!$F:$F,Oferta!$A:$A,$A3214,Oferta!$E:$E,$E3214),$F3214)</f>
        <v/>
      </c>
      <c r="J3214" s="6" t="inlineStr">
        <is>
          <t>Informado</t>
        </is>
      </c>
      <c r="K3214" s="6" t="inlineStr">
        <is>
          <t>Demanda doméstica fixa informada pelo usuário.</t>
        </is>
      </c>
    </row>
    <row r="3215">
      <c r="A3215" s="6" t="inlineStr">
        <is>
          <t>Soja</t>
        </is>
      </c>
      <c r="B3215" s="6" t="inlineStr">
        <is>
          <t>Curitiba - PR</t>
        </is>
      </c>
      <c r="C3215" s="6" t="n">
        <v>-25.4195</v>
      </c>
      <c r="D3215" s="6" t="n">
        <v>-49.2646</v>
      </c>
      <c r="E3215" s="6" t="inlineStr">
        <is>
          <t>2025-10</t>
        </is>
      </c>
      <c r="F3215" s="6" t="n">
        <v>318006.3382735991</v>
      </c>
      <c r="G3215" s="6" t="inlineStr">
        <is>
          <t>DOMESTICA</t>
        </is>
      </c>
      <c r="H3215" s="6" t="inlineStr">
        <is>
          <t>FIXO</t>
        </is>
      </c>
      <c r="I3215" s="11">
        <f>IF($H3215="AUTO_OFERTA_TOTAL_PRODUTO_PERIODO",SUMIFS(Oferta!$F:$F,Oferta!$A:$A,$A3215,Oferta!$E:$E,$E3215),$F3215)</f>
        <v/>
      </c>
      <c r="J3215" s="6" t="inlineStr">
        <is>
          <t>Informado</t>
        </is>
      </c>
      <c r="K3215" s="6" t="inlineStr">
        <is>
          <t>Demanda doméstica fixa informada pelo usuário.</t>
        </is>
      </c>
    </row>
    <row r="3216">
      <c r="A3216" s="6" t="inlineStr">
        <is>
          <t>Soja</t>
        </is>
      </c>
      <c r="B3216" s="6" t="inlineStr">
        <is>
          <t>Curitiba - PR</t>
        </is>
      </c>
      <c r="C3216" s="6" t="n">
        <v>-25.4195</v>
      </c>
      <c r="D3216" s="6" t="n">
        <v>-49.2646</v>
      </c>
      <c r="E3216" s="6" t="inlineStr">
        <is>
          <t>2025-11</t>
        </is>
      </c>
      <c r="F3216" s="6" t="n">
        <v>318006.3382735991</v>
      </c>
      <c r="G3216" s="6" t="inlineStr">
        <is>
          <t>DOMESTICA</t>
        </is>
      </c>
      <c r="H3216" s="6" t="inlineStr">
        <is>
          <t>FIXO</t>
        </is>
      </c>
      <c r="I3216" s="11">
        <f>IF($H3216="AUTO_OFERTA_TOTAL_PRODUTO_PERIODO",SUMIFS(Oferta!$F:$F,Oferta!$A:$A,$A3216,Oferta!$E:$E,$E3216),$F3216)</f>
        <v/>
      </c>
      <c r="J3216" s="6" t="inlineStr">
        <is>
          <t>Informado</t>
        </is>
      </c>
      <c r="K3216" s="6" t="inlineStr">
        <is>
          <t>Demanda doméstica fixa informada pelo usuário.</t>
        </is>
      </c>
    </row>
    <row r="3217">
      <c r="A3217" s="6" t="inlineStr">
        <is>
          <t>Soja</t>
        </is>
      </c>
      <c r="B3217" s="6" t="inlineStr">
        <is>
          <t>Curitiba - PR</t>
        </is>
      </c>
      <c r="C3217" s="6" t="n">
        <v>-25.4195</v>
      </c>
      <c r="D3217" s="6" t="n">
        <v>-49.2646</v>
      </c>
      <c r="E3217" s="6" t="inlineStr">
        <is>
          <t>2025-12</t>
        </is>
      </c>
      <c r="F3217" s="6" t="n">
        <v>318006.3382735991</v>
      </c>
      <c r="G3217" s="6" t="inlineStr">
        <is>
          <t>DOMESTICA</t>
        </is>
      </c>
      <c r="H3217" s="6" t="inlineStr">
        <is>
          <t>FIXO</t>
        </is>
      </c>
      <c r="I3217" s="11">
        <f>IF($H3217="AUTO_OFERTA_TOTAL_PRODUTO_PERIODO",SUMIFS(Oferta!$F:$F,Oferta!$A:$A,$A3217,Oferta!$E:$E,$E3217),$F3217)</f>
        <v/>
      </c>
      <c r="J3217" s="6" t="inlineStr">
        <is>
          <t>Informado</t>
        </is>
      </c>
      <c r="K3217" s="6" t="inlineStr">
        <is>
          <t>Demanda doméstica fixa informada pelo usuário.</t>
        </is>
      </c>
    </row>
    <row r="3218">
      <c r="A3218" s="6" t="inlineStr">
        <is>
          <t>Soja</t>
        </is>
      </c>
      <c r="B3218" s="6" t="inlineStr">
        <is>
          <t>Florianópolis - SC</t>
        </is>
      </c>
      <c r="C3218" s="6" t="n">
        <v>-27.5945</v>
      </c>
      <c r="D3218" s="6" t="n">
        <v>-48.5477</v>
      </c>
      <c r="E3218" s="6" t="inlineStr">
        <is>
          <t>2025-01</t>
        </is>
      </c>
      <c r="F3218" s="6" t="n">
        <v>139947.7087137841</v>
      </c>
      <c r="G3218" s="6" t="inlineStr">
        <is>
          <t>DOMESTICA</t>
        </is>
      </c>
      <c r="H3218" s="6" t="inlineStr">
        <is>
          <t>FIXO</t>
        </is>
      </c>
      <c r="I3218" s="11">
        <f>IF($H3218="AUTO_OFERTA_TOTAL_PRODUTO_PERIODO",SUMIFS(Oferta!$F:$F,Oferta!$A:$A,$A3218,Oferta!$E:$E,$E3218),$F3218)</f>
        <v/>
      </c>
      <c r="J3218" s="6" t="inlineStr">
        <is>
          <t>Informado</t>
        </is>
      </c>
      <c r="K3218" s="6" t="inlineStr">
        <is>
          <t>Demanda doméstica fixa informada pelo usuário.</t>
        </is>
      </c>
    </row>
    <row r="3219">
      <c r="A3219" s="6" t="inlineStr">
        <is>
          <t>Soja</t>
        </is>
      </c>
      <c r="B3219" s="6" t="inlineStr">
        <is>
          <t>Florianópolis - SC</t>
        </is>
      </c>
      <c r="C3219" s="6" t="n">
        <v>-27.5945</v>
      </c>
      <c r="D3219" s="6" t="n">
        <v>-48.5477</v>
      </c>
      <c r="E3219" s="6" t="inlineStr">
        <is>
          <t>2025-02</t>
        </is>
      </c>
      <c r="F3219" s="6" t="n">
        <v>139947.7087137841</v>
      </c>
      <c r="G3219" s="6" t="inlineStr">
        <is>
          <t>DOMESTICA</t>
        </is>
      </c>
      <c r="H3219" s="6" t="inlineStr">
        <is>
          <t>FIXO</t>
        </is>
      </c>
      <c r="I3219" s="11">
        <f>IF($H3219="AUTO_OFERTA_TOTAL_PRODUTO_PERIODO",SUMIFS(Oferta!$F:$F,Oferta!$A:$A,$A3219,Oferta!$E:$E,$E3219),$F3219)</f>
        <v/>
      </c>
      <c r="J3219" s="6" t="inlineStr">
        <is>
          <t>Informado</t>
        </is>
      </c>
      <c r="K3219" s="6" t="inlineStr">
        <is>
          <t>Demanda doméstica fixa informada pelo usuário.</t>
        </is>
      </c>
    </row>
    <row r="3220">
      <c r="A3220" s="6" t="inlineStr">
        <is>
          <t>Soja</t>
        </is>
      </c>
      <c r="B3220" s="6" t="inlineStr">
        <is>
          <t>Florianópolis - SC</t>
        </is>
      </c>
      <c r="C3220" s="6" t="n">
        <v>-27.5945</v>
      </c>
      <c r="D3220" s="6" t="n">
        <v>-48.5477</v>
      </c>
      <c r="E3220" s="6" t="inlineStr">
        <is>
          <t>2025-03</t>
        </is>
      </c>
      <c r="F3220" s="6" t="n">
        <v>224444.4385032387</v>
      </c>
      <c r="G3220" s="6" t="inlineStr">
        <is>
          <t>DOMESTICA</t>
        </is>
      </c>
      <c r="H3220" s="6" t="inlineStr">
        <is>
          <t>FIXO</t>
        </is>
      </c>
      <c r="I3220" s="11">
        <f>IF($H3220="AUTO_OFERTA_TOTAL_PRODUTO_PERIODO",SUMIFS(Oferta!$F:$F,Oferta!$A:$A,$A3220,Oferta!$E:$E,$E3220),$F3220)</f>
        <v/>
      </c>
      <c r="J3220" s="6" t="inlineStr">
        <is>
          <t>Informado</t>
        </is>
      </c>
      <c r="K3220" s="6" t="inlineStr">
        <is>
          <t>Demanda doméstica fixa informada pelo usuário.</t>
        </is>
      </c>
    </row>
    <row r="3221">
      <c r="A3221" s="6" t="inlineStr">
        <is>
          <t>Soja</t>
        </is>
      </c>
      <c r="B3221" s="6" t="inlineStr">
        <is>
          <t>Florianópolis - SC</t>
        </is>
      </c>
      <c r="C3221" s="6" t="n">
        <v>-27.5945</v>
      </c>
      <c r="D3221" s="6" t="n">
        <v>-48.5477</v>
      </c>
      <c r="E3221" s="6" t="inlineStr">
        <is>
          <t>2025-04</t>
        </is>
      </c>
      <c r="F3221" s="6" t="n">
        <v>393437.8980821477</v>
      </c>
      <c r="G3221" s="6" t="inlineStr">
        <is>
          <t>DOMESTICA</t>
        </is>
      </c>
      <c r="H3221" s="6" t="inlineStr">
        <is>
          <t>FIXO</t>
        </is>
      </c>
      <c r="I3221" s="11">
        <f>IF($H3221="AUTO_OFERTA_TOTAL_PRODUTO_PERIODO",SUMIFS(Oferta!$F:$F,Oferta!$A:$A,$A3221,Oferta!$E:$E,$E3221),$F3221)</f>
        <v/>
      </c>
      <c r="J3221" s="6" t="inlineStr">
        <is>
          <t>Informado</t>
        </is>
      </c>
      <c r="K3221" s="6" t="inlineStr">
        <is>
          <t>Demanda doméstica fixa informada pelo usuário.</t>
        </is>
      </c>
    </row>
    <row r="3222">
      <c r="A3222" s="6" t="inlineStr">
        <is>
          <t>Soja</t>
        </is>
      </c>
      <c r="B3222" s="6" t="inlineStr">
        <is>
          <t>Florianópolis - SC</t>
        </is>
      </c>
      <c r="C3222" s="6" t="n">
        <v>-27.5945</v>
      </c>
      <c r="D3222" s="6" t="n">
        <v>-48.5477</v>
      </c>
      <c r="E3222" s="6" t="inlineStr">
        <is>
          <t>2025-05</t>
        </is>
      </c>
      <c r="F3222" s="6" t="n">
        <v>562431.3576610568</v>
      </c>
      <c r="G3222" s="6" t="inlineStr">
        <is>
          <t>DOMESTICA</t>
        </is>
      </c>
      <c r="H3222" s="6" t="inlineStr">
        <is>
          <t>FIXO</t>
        </is>
      </c>
      <c r="I3222" s="11">
        <f>IF($H3222="AUTO_OFERTA_TOTAL_PRODUTO_PERIODO",SUMIFS(Oferta!$F:$F,Oferta!$A:$A,$A3222,Oferta!$E:$E,$E3222),$F3222)</f>
        <v/>
      </c>
      <c r="J3222" s="6" t="inlineStr">
        <is>
          <t>Informado</t>
        </is>
      </c>
      <c r="K3222" s="6" t="inlineStr">
        <is>
          <t>Demanda doméstica fixa informada pelo usuário.</t>
        </is>
      </c>
    </row>
    <row r="3223">
      <c r="A3223" s="6" t="inlineStr">
        <is>
          <t>Soja</t>
        </is>
      </c>
      <c r="B3223" s="6" t="inlineStr">
        <is>
          <t>Florianópolis - SC</t>
        </is>
      </c>
      <c r="C3223" s="6" t="n">
        <v>-27.5945</v>
      </c>
      <c r="D3223" s="6" t="n">
        <v>-48.5477</v>
      </c>
      <c r="E3223" s="6" t="inlineStr">
        <is>
          <t>2025-06</t>
        </is>
      </c>
      <c r="F3223" s="6" t="n">
        <v>562431.3576610568</v>
      </c>
      <c r="G3223" s="6" t="inlineStr">
        <is>
          <t>DOMESTICA</t>
        </is>
      </c>
      <c r="H3223" s="6" t="inlineStr">
        <is>
          <t>FIXO</t>
        </is>
      </c>
      <c r="I3223" s="11">
        <f>IF($H3223="AUTO_OFERTA_TOTAL_PRODUTO_PERIODO",SUMIFS(Oferta!$F:$F,Oferta!$A:$A,$A3223,Oferta!$E:$E,$E3223),$F3223)</f>
        <v/>
      </c>
      <c r="J3223" s="6" t="inlineStr">
        <is>
          <t>Informado</t>
        </is>
      </c>
      <c r="K3223" s="6" t="inlineStr">
        <is>
          <t>Demanda doméstica fixa informada pelo usuário.</t>
        </is>
      </c>
    </row>
    <row r="3224">
      <c r="A3224" s="6" t="inlineStr">
        <is>
          <t>Soja</t>
        </is>
      </c>
      <c r="B3224" s="6" t="inlineStr">
        <is>
          <t>Florianópolis - SC</t>
        </is>
      </c>
      <c r="C3224" s="6" t="n">
        <v>-27.5945</v>
      </c>
      <c r="D3224" s="6" t="n">
        <v>-48.5477</v>
      </c>
      <c r="E3224" s="6" t="inlineStr">
        <is>
          <t>2025-07</t>
        </is>
      </c>
      <c r="F3224" s="6" t="n">
        <v>393437.8980821477</v>
      </c>
      <c r="G3224" s="6" t="inlineStr">
        <is>
          <t>DOMESTICA</t>
        </is>
      </c>
      <c r="H3224" s="6" t="inlineStr">
        <is>
          <t>FIXO</t>
        </is>
      </c>
      <c r="I3224" s="11">
        <f>IF($H3224="AUTO_OFERTA_TOTAL_PRODUTO_PERIODO",SUMIFS(Oferta!$F:$F,Oferta!$A:$A,$A3224,Oferta!$E:$E,$E3224),$F3224)</f>
        <v/>
      </c>
      <c r="J3224" s="6" t="inlineStr">
        <is>
          <t>Informado</t>
        </is>
      </c>
      <c r="K3224" s="6" t="inlineStr">
        <is>
          <t>Demanda doméstica fixa informada pelo usuário.</t>
        </is>
      </c>
    </row>
    <row r="3225">
      <c r="A3225" s="6" t="inlineStr">
        <is>
          <t>Soja</t>
        </is>
      </c>
      <c r="B3225" s="6" t="inlineStr">
        <is>
          <t>Florianópolis - SC</t>
        </is>
      </c>
      <c r="C3225" s="6" t="n">
        <v>-27.5945</v>
      </c>
      <c r="D3225" s="6" t="n">
        <v>-48.5477</v>
      </c>
      <c r="E3225" s="6" t="inlineStr">
        <is>
          <t>2025-08</t>
        </is>
      </c>
      <c r="F3225" s="6" t="n">
        <v>224444.4385032387</v>
      </c>
      <c r="G3225" s="6" t="inlineStr">
        <is>
          <t>DOMESTICA</t>
        </is>
      </c>
      <c r="H3225" s="6" t="inlineStr">
        <is>
          <t>FIXO</t>
        </is>
      </c>
      <c r="I3225" s="11">
        <f>IF($H3225="AUTO_OFERTA_TOTAL_PRODUTO_PERIODO",SUMIFS(Oferta!$F:$F,Oferta!$A:$A,$A3225,Oferta!$E:$E,$E3225),$F3225)</f>
        <v/>
      </c>
      <c r="J3225" s="6" t="inlineStr">
        <is>
          <t>Informado</t>
        </is>
      </c>
      <c r="K3225" s="6" t="inlineStr">
        <is>
          <t>Demanda doméstica fixa informada pelo usuário.</t>
        </is>
      </c>
    </row>
    <row r="3226">
      <c r="A3226" s="6" t="inlineStr">
        <is>
          <t>Soja</t>
        </is>
      </c>
      <c r="B3226" s="6" t="inlineStr">
        <is>
          <t>Florianópolis - SC</t>
        </is>
      </c>
      <c r="C3226" s="6" t="n">
        <v>-27.5945</v>
      </c>
      <c r="D3226" s="6" t="n">
        <v>-48.5477</v>
      </c>
      <c r="E3226" s="6" t="inlineStr">
        <is>
          <t>2025-09</t>
        </is>
      </c>
      <c r="F3226" s="6" t="n">
        <v>139947.7087137841</v>
      </c>
      <c r="G3226" s="6" t="inlineStr">
        <is>
          <t>DOMESTICA</t>
        </is>
      </c>
      <c r="H3226" s="6" t="inlineStr">
        <is>
          <t>FIXO</t>
        </is>
      </c>
      <c r="I3226" s="11">
        <f>IF($H3226="AUTO_OFERTA_TOTAL_PRODUTO_PERIODO",SUMIFS(Oferta!$F:$F,Oferta!$A:$A,$A3226,Oferta!$E:$E,$E3226),$F3226)</f>
        <v/>
      </c>
      <c r="J3226" s="6" t="inlineStr">
        <is>
          <t>Informado</t>
        </is>
      </c>
      <c r="K3226" s="6" t="inlineStr">
        <is>
          <t>Demanda doméstica fixa informada pelo usuário.</t>
        </is>
      </c>
    </row>
    <row r="3227">
      <c r="A3227" s="6" t="inlineStr">
        <is>
          <t>Soja</t>
        </is>
      </c>
      <c r="B3227" s="6" t="inlineStr">
        <is>
          <t>Florianópolis - SC</t>
        </is>
      </c>
      <c r="C3227" s="6" t="n">
        <v>-27.5945</v>
      </c>
      <c r="D3227" s="6" t="n">
        <v>-48.5477</v>
      </c>
      <c r="E3227" s="6" t="inlineStr">
        <is>
          <t>2025-10</t>
        </is>
      </c>
      <c r="F3227" s="6" t="n">
        <v>139947.7087137841</v>
      </c>
      <c r="G3227" s="6" t="inlineStr">
        <is>
          <t>DOMESTICA</t>
        </is>
      </c>
      <c r="H3227" s="6" t="inlineStr">
        <is>
          <t>FIXO</t>
        </is>
      </c>
      <c r="I3227" s="11">
        <f>IF($H3227="AUTO_OFERTA_TOTAL_PRODUTO_PERIODO",SUMIFS(Oferta!$F:$F,Oferta!$A:$A,$A3227,Oferta!$E:$E,$E3227),$F3227)</f>
        <v/>
      </c>
      <c r="J3227" s="6" t="inlineStr">
        <is>
          <t>Informado</t>
        </is>
      </c>
      <c r="K3227" s="6" t="inlineStr">
        <is>
          <t>Demanda doméstica fixa informada pelo usuário.</t>
        </is>
      </c>
    </row>
    <row r="3228">
      <c r="A3228" s="6" t="inlineStr">
        <is>
          <t>Soja</t>
        </is>
      </c>
      <c r="B3228" s="6" t="inlineStr">
        <is>
          <t>Florianópolis - SC</t>
        </is>
      </c>
      <c r="C3228" s="6" t="n">
        <v>-27.5945</v>
      </c>
      <c r="D3228" s="6" t="n">
        <v>-48.5477</v>
      </c>
      <c r="E3228" s="6" t="inlineStr">
        <is>
          <t>2025-11</t>
        </is>
      </c>
      <c r="F3228" s="6" t="n">
        <v>139947.7087137841</v>
      </c>
      <c r="G3228" s="6" t="inlineStr">
        <is>
          <t>DOMESTICA</t>
        </is>
      </c>
      <c r="H3228" s="6" t="inlineStr">
        <is>
          <t>FIXO</t>
        </is>
      </c>
      <c r="I3228" s="11">
        <f>IF($H3228="AUTO_OFERTA_TOTAL_PRODUTO_PERIODO",SUMIFS(Oferta!$F:$F,Oferta!$A:$A,$A3228,Oferta!$E:$E,$E3228),$F3228)</f>
        <v/>
      </c>
      <c r="J3228" s="6" t="inlineStr">
        <is>
          <t>Informado</t>
        </is>
      </c>
      <c r="K3228" s="6" t="inlineStr">
        <is>
          <t>Demanda doméstica fixa informada pelo usuário.</t>
        </is>
      </c>
    </row>
    <row r="3229">
      <c r="A3229" s="6" t="inlineStr">
        <is>
          <t>Soja</t>
        </is>
      </c>
      <c r="B3229" s="6" t="inlineStr">
        <is>
          <t>Florianópolis - SC</t>
        </is>
      </c>
      <c r="C3229" s="6" t="n">
        <v>-27.5945</v>
      </c>
      <c r="D3229" s="6" t="n">
        <v>-48.5477</v>
      </c>
      <c r="E3229" s="6" t="inlineStr">
        <is>
          <t>2025-12</t>
        </is>
      </c>
      <c r="F3229" s="6" t="n">
        <v>139947.7087137841</v>
      </c>
      <c r="G3229" s="6" t="inlineStr">
        <is>
          <t>DOMESTICA</t>
        </is>
      </c>
      <c r="H3229" s="6" t="inlineStr">
        <is>
          <t>FIXO</t>
        </is>
      </c>
      <c r="I3229" s="11">
        <f>IF($H3229="AUTO_OFERTA_TOTAL_PRODUTO_PERIODO",SUMIFS(Oferta!$F:$F,Oferta!$A:$A,$A3229,Oferta!$E:$E,$E3229),$F3229)</f>
        <v/>
      </c>
      <c r="J3229" s="6" t="inlineStr">
        <is>
          <t>Informado</t>
        </is>
      </c>
      <c r="K3229" s="6" t="inlineStr">
        <is>
          <t>Demanda doméstica fixa informada pelo usuário.</t>
        </is>
      </c>
    </row>
    <row r="3230">
      <c r="A3230" s="6" t="inlineStr">
        <is>
          <t>Soja</t>
        </is>
      </c>
      <c r="B3230" s="6" t="inlineStr">
        <is>
          <t>Porto Alegre - RS</t>
        </is>
      </c>
      <c r="C3230" s="6" t="n">
        <v>-30.0318</v>
      </c>
      <c r="D3230" s="6" t="n">
        <v>-51.2065</v>
      </c>
      <c r="E3230" s="6" t="inlineStr">
        <is>
          <t>2025-01</t>
        </is>
      </c>
      <c r="F3230" s="6" t="n">
        <v>286959.0159278505</v>
      </c>
      <c r="G3230" s="6" t="inlineStr">
        <is>
          <t>DOMESTICA</t>
        </is>
      </c>
      <c r="H3230" s="6" t="inlineStr">
        <is>
          <t>FIXO</t>
        </is>
      </c>
      <c r="I3230" s="11">
        <f>IF($H3230="AUTO_OFERTA_TOTAL_PRODUTO_PERIODO",SUMIFS(Oferta!$F:$F,Oferta!$A:$A,$A3230,Oferta!$E:$E,$E3230),$F3230)</f>
        <v/>
      </c>
      <c r="J3230" s="6" t="inlineStr">
        <is>
          <t>Informado</t>
        </is>
      </c>
      <c r="K3230" s="6" t="inlineStr">
        <is>
          <t>Demanda doméstica fixa informada pelo usuário.</t>
        </is>
      </c>
    </row>
    <row r="3231">
      <c r="A3231" s="6" t="inlineStr">
        <is>
          <t>Soja</t>
        </is>
      </c>
      <c r="B3231" s="6" t="inlineStr">
        <is>
          <t>Porto Alegre - RS</t>
        </is>
      </c>
      <c r="C3231" s="6" t="n">
        <v>-30.0318</v>
      </c>
      <c r="D3231" s="6" t="n">
        <v>-51.2065</v>
      </c>
      <c r="E3231" s="6" t="inlineStr">
        <is>
          <t>2025-02</t>
        </is>
      </c>
      <c r="F3231" s="6" t="n">
        <v>373588.1528117299</v>
      </c>
      <c r="G3231" s="6" t="inlineStr">
        <is>
          <t>DOMESTICA</t>
        </is>
      </c>
      <c r="H3231" s="6" t="inlineStr">
        <is>
          <t>FIXO</t>
        </is>
      </c>
      <c r="I3231" s="11">
        <f>IF($H3231="AUTO_OFERTA_TOTAL_PRODUTO_PERIODO",SUMIFS(Oferta!$F:$F,Oferta!$A:$A,$A3231,Oferta!$E:$E,$E3231),$F3231)</f>
        <v/>
      </c>
      <c r="J3231" s="6" t="inlineStr">
        <is>
          <t>Informado</t>
        </is>
      </c>
      <c r="K3231" s="6" t="inlineStr">
        <is>
          <t>Demanda doméstica fixa informada pelo usuário.</t>
        </is>
      </c>
    </row>
    <row r="3232">
      <c r="A3232" s="6" t="inlineStr">
        <is>
          <t>Soja</t>
        </is>
      </c>
      <c r="B3232" s="6" t="inlineStr">
        <is>
          <t>Porto Alegre - RS</t>
        </is>
      </c>
      <c r="C3232" s="6" t="n">
        <v>-30.0318</v>
      </c>
      <c r="D3232" s="6" t="n">
        <v>-51.2065</v>
      </c>
      <c r="E3232" s="6" t="inlineStr">
        <is>
          <t>2025-03</t>
        </is>
      </c>
      <c r="F3232" s="6" t="n">
        <v>546846.4265794886</v>
      </c>
      <c r="G3232" s="6" t="inlineStr">
        <is>
          <t>DOMESTICA</t>
        </is>
      </c>
      <c r="H3232" s="6" t="inlineStr">
        <is>
          <t>FIXO</t>
        </is>
      </c>
      <c r="I3232" s="11">
        <f>IF($H3232="AUTO_OFERTA_TOTAL_PRODUTO_PERIODO",SUMIFS(Oferta!$F:$F,Oferta!$A:$A,$A3232,Oferta!$E:$E,$E3232),$F3232)</f>
        <v/>
      </c>
      <c r="J3232" s="6" t="inlineStr">
        <is>
          <t>Informado</t>
        </is>
      </c>
      <c r="K3232" s="6" t="inlineStr">
        <is>
          <t>Demanda doméstica fixa informada pelo usuário.</t>
        </is>
      </c>
    </row>
    <row r="3233">
      <c r="A3233" s="6" t="inlineStr">
        <is>
          <t>Soja</t>
        </is>
      </c>
      <c r="B3233" s="6" t="inlineStr">
        <is>
          <t>Porto Alegre - RS</t>
        </is>
      </c>
      <c r="C3233" s="6" t="n">
        <v>-30.0318</v>
      </c>
      <c r="D3233" s="6" t="n">
        <v>-51.2065</v>
      </c>
      <c r="E3233" s="6" t="inlineStr">
        <is>
          <t>2025-04</t>
        </is>
      </c>
      <c r="F3233" s="6" t="n">
        <v>1066621.247882765</v>
      </c>
      <c r="G3233" s="6" t="inlineStr">
        <is>
          <t>DOMESTICA</t>
        </is>
      </c>
      <c r="H3233" s="6" t="inlineStr">
        <is>
          <t>FIXO</t>
        </is>
      </c>
      <c r="I3233" s="11">
        <f>IF($H3233="AUTO_OFERTA_TOTAL_PRODUTO_PERIODO",SUMIFS(Oferta!$F:$F,Oferta!$A:$A,$A3233,Oferta!$E:$E,$E3233),$F3233)</f>
        <v/>
      </c>
      <c r="J3233" s="6" t="inlineStr">
        <is>
          <t>Informado</t>
        </is>
      </c>
      <c r="K3233" s="6" t="inlineStr">
        <is>
          <t>Demanda doméstica fixa informada pelo usuário.</t>
        </is>
      </c>
    </row>
    <row r="3234">
      <c r="A3234" s="6" t="inlineStr">
        <is>
          <t>Soja</t>
        </is>
      </c>
      <c r="B3234" s="6" t="inlineStr">
        <is>
          <t>Porto Alegre - RS</t>
        </is>
      </c>
      <c r="C3234" s="6" t="n">
        <v>-30.0318</v>
      </c>
      <c r="D3234" s="6" t="n">
        <v>-51.2065</v>
      </c>
      <c r="E3234" s="6" t="inlineStr">
        <is>
          <t>2025-05</t>
        </is>
      </c>
      <c r="F3234" s="6" t="n">
        <v>1153250.384766644</v>
      </c>
      <c r="G3234" s="6" t="inlineStr">
        <is>
          <t>DOMESTICA</t>
        </is>
      </c>
      <c r="H3234" s="6" t="inlineStr">
        <is>
          <t>FIXO</t>
        </is>
      </c>
      <c r="I3234" s="11">
        <f>IF($H3234="AUTO_OFERTA_TOTAL_PRODUTO_PERIODO",SUMIFS(Oferta!$F:$F,Oferta!$A:$A,$A3234,Oferta!$E:$E,$E3234),$F3234)</f>
        <v/>
      </c>
      <c r="J3234" s="6" t="inlineStr">
        <is>
          <t>Informado</t>
        </is>
      </c>
      <c r="K3234" s="6" t="inlineStr">
        <is>
          <t>Demanda doméstica fixa informada pelo usuário.</t>
        </is>
      </c>
    </row>
    <row r="3235">
      <c r="A3235" s="6" t="inlineStr">
        <is>
          <t>Soja</t>
        </is>
      </c>
      <c r="B3235" s="6" t="inlineStr">
        <is>
          <t>Porto Alegre - RS</t>
        </is>
      </c>
      <c r="C3235" s="6" t="n">
        <v>-30.0318</v>
      </c>
      <c r="D3235" s="6" t="n">
        <v>-51.2065</v>
      </c>
      <c r="E3235" s="6" t="inlineStr">
        <is>
          <t>2025-06</t>
        </is>
      </c>
      <c r="F3235" s="6" t="n">
        <v>1066621.247882765</v>
      </c>
      <c r="G3235" s="6" t="inlineStr">
        <is>
          <t>DOMESTICA</t>
        </is>
      </c>
      <c r="H3235" s="6" t="inlineStr">
        <is>
          <t>FIXO</t>
        </is>
      </c>
      <c r="I3235" s="11">
        <f>IF($H3235="AUTO_OFERTA_TOTAL_PRODUTO_PERIODO",SUMIFS(Oferta!$F:$F,Oferta!$A:$A,$A3235,Oferta!$E:$E,$E3235),$F3235)</f>
        <v/>
      </c>
      <c r="J3235" s="6" t="inlineStr">
        <is>
          <t>Informado</t>
        </is>
      </c>
      <c r="K3235" s="6" t="inlineStr">
        <is>
          <t>Demanda doméstica fixa informada pelo usuário.</t>
        </is>
      </c>
    </row>
    <row r="3236">
      <c r="A3236" s="6" t="inlineStr">
        <is>
          <t>Soja</t>
        </is>
      </c>
      <c r="B3236" s="6" t="inlineStr">
        <is>
          <t>Porto Alegre - RS</t>
        </is>
      </c>
      <c r="C3236" s="6" t="n">
        <v>-30.0318</v>
      </c>
      <c r="D3236" s="6" t="n">
        <v>-51.2065</v>
      </c>
      <c r="E3236" s="6" t="inlineStr">
        <is>
          <t>2025-07</t>
        </is>
      </c>
      <c r="F3236" s="6" t="n">
        <v>546846.4265794887</v>
      </c>
      <c r="G3236" s="6" t="inlineStr">
        <is>
          <t>DOMESTICA</t>
        </is>
      </c>
      <c r="H3236" s="6" t="inlineStr">
        <is>
          <t>FIXO</t>
        </is>
      </c>
      <c r="I3236" s="11">
        <f>IF($H3236="AUTO_OFERTA_TOTAL_PRODUTO_PERIODO",SUMIFS(Oferta!$F:$F,Oferta!$A:$A,$A3236,Oferta!$E:$E,$E3236),$F3236)</f>
        <v/>
      </c>
      <c r="J3236" s="6" t="inlineStr">
        <is>
          <t>Informado</t>
        </is>
      </c>
      <c r="K3236" s="6" t="inlineStr">
        <is>
          <t>Demanda doméstica fixa informada pelo usuário.</t>
        </is>
      </c>
    </row>
    <row r="3237">
      <c r="A3237" s="6" t="inlineStr">
        <is>
          <t>Soja</t>
        </is>
      </c>
      <c r="B3237" s="6" t="inlineStr">
        <is>
          <t>Porto Alegre - RS</t>
        </is>
      </c>
      <c r="C3237" s="6" t="n">
        <v>-30.0318</v>
      </c>
      <c r="D3237" s="6" t="n">
        <v>-51.2065</v>
      </c>
      <c r="E3237" s="6" t="inlineStr">
        <is>
          <t>2025-08</t>
        </is>
      </c>
      <c r="F3237" s="6" t="n">
        <v>373588.1528117299</v>
      </c>
      <c r="G3237" s="6" t="inlineStr">
        <is>
          <t>DOMESTICA</t>
        </is>
      </c>
      <c r="H3237" s="6" t="inlineStr">
        <is>
          <t>FIXO</t>
        </is>
      </c>
      <c r="I3237" s="11">
        <f>IF($H3237="AUTO_OFERTA_TOTAL_PRODUTO_PERIODO",SUMIFS(Oferta!$F:$F,Oferta!$A:$A,$A3237,Oferta!$E:$E,$E3237),$F3237)</f>
        <v/>
      </c>
      <c r="J3237" s="6" t="inlineStr">
        <is>
          <t>Informado</t>
        </is>
      </c>
      <c r="K3237" s="6" t="inlineStr">
        <is>
          <t>Demanda doméstica fixa informada pelo usuário.</t>
        </is>
      </c>
    </row>
    <row r="3238">
      <c r="A3238" s="6" t="inlineStr">
        <is>
          <t>Soja</t>
        </is>
      </c>
      <c r="B3238" s="6" t="inlineStr">
        <is>
          <t>Porto Alegre - RS</t>
        </is>
      </c>
      <c r="C3238" s="6" t="n">
        <v>-30.0318</v>
      </c>
      <c r="D3238" s="6" t="n">
        <v>-51.2065</v>
      </c>
      <c r="E3238" s="6" t="inlineStr">
        <is>
          <t>2025-09</t>
        </is>
      </c>
      <c r="F3238" s="6" t="n">
        <v>286959.0159278505</v>
      </c>
      <c r="G3238" s="6" t="inlineStr">
        <is>
          <t>DOMESTICA</t>
        </is>
      </c>
      <c r="H3238" s="6" t="inlineStr">
        <is>
          <t>FIXO</t>
        </is>
      </c>
      <c r="I3238" s="11">
        <f>IF($H3238="AUTO_OFERTA_TOTAL_PRODUTO_PERIODO",SUMIFS(Oferta!$F:$F,Oferta!$A:$A,$A3238,Oferta!$E:$E,$E3238),$F3238)</f>
        <v/>
      </c>
      <c r="J3238" s="6" t="inlineStr">
        <is>
          <t>Informado</t>
        </is>
      </c>
      <c r="K3238" s="6" t="inlineStr">
        <is>
          <t>Demanda doméstica fixa informada pelo usuário.</t>
        </is>
      </c>
    </row>
    <row r="3239">
      <c r="A3239" s="6" t="inlineStr">
        <is>
          <t>Soja</t>
        </is>
      </c>
      <c r="B3239" s="6" t="inlineStr">
        <is>
          <t>Porto Alegre - RS</t>
        </is>
      </c>
      <c r="C3239" s="6" t="n">
        <v>-30.0318</v>
      </c>
      <c r="D3239" s="6" t="n">
        <v>-51.2065</v>
      </c>
      <c r="E3239" s="6" t="inlineStr">
        <is>
          <t>2025-10</t>
        </is>
      </c>
      <c r="F3239" s="6" t="n">
        <v>286959.0159278505</v>
      </c>
      <c r="G3239" s="6" t="inlineStr">
        <is>
          <t>DOMESTICA</t>
        </is>
      </c>
      <c r="H3239" s="6" t="inlineStr">
        <is>
          <t>FIXO</t>
        </is>
      </c>
      <c r="I3239" s="11">
        <f>IF($H3239="AUTO_OFERTA_TOTAL_PRODUTO_PERIODO",SUMIFS(Oferta!$F:$F,Oferta!$A:$A,$A3239,Oferta!$E:$E,$E3239),$F3239)</f>
        <v/>
      </c>
      <c r="J3239" s="6" t="inlineStr">
        <is>
          <t>Informado</t>
        </is>
      </c>
      <c r="K3239" s="6" t="inlineStr">
        <is>
          <t>Demanda doméstica fixa informada pelo usuário.</t>
        </is>
      </c>
    </row>
    <row r="3240">
      <c r="A3240" s="6" t="inlineStr">
        <is>
          <t>Soja</t>
        </is>
      </c>
      <c r="B3240" s="6" t="inlineStr">
        <is>
          <t>Porto Alegre - RS</t>
        </is>
      </c>
      <c r="C3240" s="6" t="n">
        <v>-30.0318</v>
      </c>
      <c r="D3240" s="6" t="n">
        <v>-51.2065</v>
      </c>
      <c r="E3240" s="6" t="inlineStr">
        <is>
          <t>2025-11</t>
        </is>
      </c>
      <c r="F3240" s="6" t="n">
        <v>286959.0159278505</v>
      </c>
      <c r="G3240" s="6" t="inlineStr">
        <is>
          <t>DOMESTICA</t>
        </is>
      </c>
      <c r="H3240" s="6" t="inlineStr">
        <is>
          <t>FIXO</t>
        </is>
      </c>
      <c r="I3240" s="11">
        <f>IF($H3240="AUTO_OFERTA_TOTAL_PRODUTO_PERIODO",SUMIFS(Oferta!$F:$F,Oferta!$A:$A,$A3240,Oferta!$E:$E,$E3240),$F3240)</f>
        <v/>
      </c>
      <c r="J3240" s="6" t="inlineStr">
        <is>
          <t>Informado</t>
        </is>
      </c>
      <c r="K3240" s="6" t="inlineStr">
        <is>
          <t>Demanda doméstica fixa informada pelo usuário.</t>
        </is>
      </c>
    </row>
    <row r="3241">
      <c r="A3241" s="6" t="inlineStr">
        <is>
          <t>Soja</t>
        </is>
      </c>
      <c r="B3241" s="6" t="inlineStr">
        <is>
          <t>Porto Alegre - RS</t>
        </is>
      </c>
      <c r="C3241" s="6" t="n">
        <v>-30.0318</v>
      </c>
      <c r="D3241" s="6" t="n">
        <v>-51.2065</v>
      </c>
      <c r="E3241" s="6" t="inlineStr">
        <is>
          <t>2025-12</t>
        </is>
      </c>
      <c r="F3241" s="6" t="n">
        <v>286959.0159278505</v>
      </c>
      <c r="G3241" s="6" t="inlineStr">
        <is>
          <t>DOMESTICA</t>
        </is>
      </c>
      <c r="H3241" s="6" t="inlineStr">
        <is>
          <t>FIXO</t>
        </is>
      </c>
      <c r="I3241" s="11">
        <f>IF($H3241="AUTO_OFERTA_TOTAL_PRODUTO_PERIODO",SUMIFS(Oferta!$F:$F,Oferta!$A:$A,$A3241,Oferta!$E:$E,$E3241),$F3241)</f>
        <v/>
      </c>
      <c r="J3241" s="6" t="inlineStr">
        <is>
          <t>Informado</t>
        </is>
      </c>
      <c r="K3241" s="6" t="inlineStr">
        <is>
          <t>Demanda doméstica fixa informada pelo usuário.</t>
        </is>
      </c>
    </row>
    <row r="3242">
      <c r="A3242" s="6" t="inlineStr">
        <is>
          <t>Milho</t>
        </is>
      </c>
      <c r="B3242" s="6" t="inlineStr">
        <is>
          <t>Santos - SP</t>
        </is>
      </c>
      <c r="C3242" s="6" t="n">
        <v>-23.9535</v>
      </c>
      <c r="D3242" s="6" t="n">
        <v>-46.335</v>
      </c>
      <c r="E3242" s="6" t="inlineStr">
        <is>
          <t>2021-01</t>
        </is>
      </c>
      <c r="F3242" s="6" t="n"/>
      <c r="G3242" s="6" t="inlineStr">
        <is>
          <t>EXPORTACAO</t>
        </is>
      </c>
      <c r="H3242" s="6" t="inlineStr">
        <is>
          <t>AUTO_OFERTA_TOTAL_PRODUTO_PERIODO</t>
        </is>
      </c>
      <c r="I3242" s="11">
        <f>IF($H3242="AUTO_OFERTA_TOTAL_PRODUTO_PERIODO",SUMIFS(Oferta!$F:$F,Oferta!$A:$A,$A3242,Oferta!$E:$E,$E3242),$F3242)</f>
        <v/>
      </c>
      <c r="J3242" s="6" t="inlineStr">
        <is>
          <t>Derivado_da_Oferta</t>
        </is>
      </c>
      <c r="K3242" s="6" t="inlineStr">
        <is>
          <t>Mercado externo: limite superior calculado automaticamente pela soma da oferta do produto no período.</t>
        </is>
      </c>
    </row>
    <row r="3243">
      <c r="A3243" s="6" t="inlineStr">
        <is>
          <t>Milho</t>
        </is>
      </c>
      <c r="B3243" s="6" t="inlineStr">
        <is>
          <t>Santos - SP</t>
        </is>
      </c>
      <c r="C3243" s="6" t="n">
        <v>-23.9535</v>
      </c>
      <c r="D3243" s="6" t="n">
        <v>-46.335</v>
      </c>
      <c r="E3243" s="6" t="inlineStr">
        <is>
          <t>2021-02</t>
        </is>
      </c>
      <c r="F3243" s="6" t="n"/>
      <c r="G3243" s="6" t="inlineStr">
        <is>
          <t>EXPORTACAO</t>
        </is>
      </c>
      <c r="H3243" s="6" t="inlineStr">
        <is>
          <t>AUTO_OFERTA_TOTAL_PRODUTO_PERIODO</t>
        </is>
      </c>
      <c r="I3243" s="11">
        <f>IF($H3243="AUTO_OFERTA_TOTAL_PRODUTO_PERIODO",SUMIFS(Oferta!$F:$F,Oferta!$A:$A,$A3243,Oferta!$E:$E,$E3243),$F3243)</f>
        <v/>
      </c>
      <c r="J3243" s="6" t="inlineStr">
        <is>
          <t>Derivado_da_Oferta</t>
        </is>
      </c>
      <c r="K3243" s="6" t="inlineStr">
        <is>
          <t>Mercado externo: limite superior calculado automaticamente pela soma da oferta do produto no período.</t>
        </is>
      </c>
    </row>
    <row r="3244">
      <c r="A3244" s="6" t="inlineStr">
        <is>
          <t>Milho</t>
        </is>
      </c>
      <c r="B3244" s="6" t="inlineStr">
        <is>
          <t>Santos - SP</t>
        </is>
      </c>
      <c r="C3244" s="6" t="n">
        <v>-23.9535</v>
      </c>
      <c r="D3244" s="6" t="n">
        <v>-46.335</v>
      </c>
      <c r="E3244" s="6" t="inlineStr">
        <is>
          <t>2021-03</t>
        </is>
      </c>
      <c r="F3244" s="6" t="n"/>
      <c r="G3244" s="6" t="inlineStr">
        <is>
          <t>EXPORTACAO</t>
        </is>
      </c>
      <c r="H3244" s="6" t="inlineStr">
        <is>
          <t>AUTO_OFERTA_TOTAL_PRODUTO_PERIODO</t>
        </is>
      </c>
      <c r="I3244" s="11">
        <f>IF($H3244="AUTO_OFERTA_TOTAL_PRODUTO_PERIODO",SUMIFS(Oferta!$F:$F,Oferta!$A:$A,$A3244,Oferta!$E:$E,$E3244),$F3244)</f>
        <v/>
      </c>
      <c r="J3244" s="6" t="inlineStr">
        <is>
          <t>Derivado_da_Oferta</t>
        </is>
      </c>
      <c r="K3244" s="6" t="inlineStr">
        <is>
          <t>Mercado externo: limite superior calculado automaticamente pela soma da oferta do produto no período.</t>
        </is>
      </c>
    </row>
    <row r="3245">
      <c r="A3245" s="6" t="inlineStr">
        <is>
          <t>Milho</t>
        </is>
      </c>
      <c r="B3245" s="6" t="inlineStr">
        <is>
          <t>Santos - SP</t>
        </is>
      </c>
      <c r="C3245" s="6" t="n">
        <v>-23.9535</v>
      </c>
      <c r="D3245" s="6" t="n">
        <v>-46.335</v>
      </c>
      <c r="E3245" s="6" t="inlineStr">
        <is>
          <t>2021-04</t>
        </is>
      </c>
      <c r="F3245" s="6" t="n"/>
      <c r="G3245" s="6" t="inlineStr">
        <is>
          <t>EXPORTACAO</t>
        </is>
      </c>
      <c r="H3245" s="6" t="inlineStr">
        <is>
          <t>AUTO_OFERTA_TOTAL_PRODUTO_PERIODO</t>
        </is>
      </c>
      <c r="I3245" s="11">
        <f>IF($H3245="AUTO_OFERTA_TOTAL_PRODUTO_PERIODO",SUMIFS(Oferta!$F:$F,Oferta!$A:$A,$A3245,Oferta!$E:$E,$E3245),$F3245)</f>
        <v/>
      </c>
      <c r="J3245" s="6" t="inlineStr">
        <is>
          <t>Derivado_da_Oferta</t>
        </is>
      </c>
      <c r="K3245" s="6" t="inlineStr">
        <is>
          <t>Mercado externo: limite superior calculado automaticamente pela soma da oferta do produto no período.</t>
        </is>
      </c>
    </row>
    <row r="3246">
      <c r="A3246" s="6" t="inlineStr">
        <is>
          <t>Milho</t>
        </is>
      </c>
      <c r="B3246" s="6" t="inlineStr">
        <is>
          <t>Santos - SP</t>
        </is>
      </c>
      <c r="C3246" s="6" t="n">
        <v>-23.9535</v>
      </c>
      <c r="D3246" s="6" t="n">
        <v>-46.335</v>
      </c>
      <c r="E3246" s="6" t="inlineStr">
        <is>
          <t>2021-05</t>
        </is>
      </c>
      <c r="F3246" s="6" t="n"/>
      <c r="G3246" s="6" t="inlineStr">
        <is>
          <t>EXPORTACAO</t>
        </is>
      </c>
      <c r="H3246" s="6" t="inlineStr">
        <is>
          <t>AUTO_OFERTA_TOTAL_PRODUTO_PERIODO</t>
        </is>
      </c>
      <c r="I3246" s="11">
        <f>IF($H3246="AUTO_OFERTA_TOTAL_PRODUTO_PERIODO",SUMIFS(Oferta!$F:$F,Oferta!$A:$A,$A3246,Oferta!$E:$E,$E3246),$F3246)</f>
        <v/>
      </c>
      <c r="J3246" s="6" t="inlineStr">
        <is>
          <t>Derivado_da_Oferta</t>
        </is>
      </c>
      <c r="K3246" s="6" t="inlineStr">
        <is>
          <t>Mercado externo: limite superior calculado automaticamente pela soma da oferta do produto no período.</t>
        </is>
      </c>
    </row>
    <row r="3247">
      <c r="A3247" s="6" t="inlineStr">
        <is>
          <t>Milho</t>
        </is>
      </c>
      <c r="B3247" s="6" t="inlineStr">
        <is>
          <t>Santos - SP</t>
        </is>
      </c>
      <c r="C3247" s="6" t="n">
        <v>-23.9535</v>
      </c>
      <c r="D3247" s="6" t="n">
        <v>-46.335</v>
      </c>
      <c r="E3247" s="6" t="inlineStr">
        <is>
          <t>2021-06</t>
        </is>
      </c>
      <c r="F3247" s="6" t="n"/>
      <c r="G3247" s="6" t="inlineStr">
        <is>
          <t>EXPORTACAO</t>
        </is>
      </c>
      <c r="H3247" s="6" t="inlineStr">
        <is>
          <t>AUTO_OFERTA_TOTAL_PRODUTO_PERIODO</t>
        </is>
      </c>
      <c r="I3247" s="11">
        <f>IF($H3247="AUTO_OFERTA_TOTAL_PRODUTO_PERIODO",SUMIFS(Oferta!$F:$F,Oferta!$A:$A,$A3247,Oferta!$E:$E,$E3247),$F3247)</f>
        <v/>
      </c>
      <c r="J3247" s="6" t="inlineStr">
        <is>
          <t>Derivado_da_Oferta</t>
        </is>
      </c>
      <c r="K3247" s="6" t="inlineStr">
        <is>
          <t>Mercado externo: limite superior calculado automaticamente pela soma da oferta do produto no período.</t>
        </is>
      </c>
    </row>
    <row r="3248">
      <c r="A3248" s="6" t="inlineStr">
        <is>
          <t>Milho</t>
        </is>
      </c>
      <c r="B3248" s="6" t="inlineStr">
        <is>
          <t>Santos - SP</t>
        </is>
      </c>
      <c r="C3248" s="6" t="n">
        <v>-23.9535</v>
      </c>
      <c r="D3248" s="6" t="n">
        <v>-46.335</v>
      </c>
      <c r="E3248" s="6" t="inlineStr">
        <is>
          <t>2021-07</t>
        </is>
      </c>
      <c r="F3248" s="6" t="n"/>
      <c r="G3248" s="6" t="inlineStr">
        <is>
          <t>EXPORTACAO</t>
        </is>
      </c>
      <c r="H3248" s="6" t="inlineStr">
        <is>
          <t>AUTO_OFERTA_TOTAL_PRODUTO_PERIODO</t>
        </is>
      </c>
      <c r="I3248" s="11">
        <f>IF($H3248="AUTO_OFERTA_TOTAL_PRODUTO_PERIODO",SUMIFS(Oferta!$F:$F,Oferta!$A:$A,$A3248,Oferta!$E:$E,$E3248),$F3248)</f>
        <v/>
      </c>
      <c r="J3248" s="6" t="inlineStr">
        <is>
          <t>Derivado_da_Oferta</t>
        </is>
      </c>
      <c r="K3248" s="6" t="inlineStr">
        <is>
          <t>Mercado externo: limite superior calculado automaticamente pela soma da oferta do produto no período.</t>
        </is>
      </c>
    </row>
    <row r="3249">
      <c r="A3249" s="6" t="inlineStr">
        <is>
          <t>Milho</t>
        </is>
      </c>
      <c r="B3249" s="6" t="inlineStr">
        <is>
          <t>Santos - SP</t>
        </is>
      </c>
      <c r="C3249" s="6" t="n">
        <v>-23.9535</v>
      </c>
      <c r="D3249" s="6" t="n">
        <v>-46.335</v>
      </c>
      <c r="E3249" s="6" t="inlineStr">
        <is>
          <t>2021-08</t>
        </is>
      </c>
      <c r="F3249" s="6" t="n"/>
      <c r="G3249" s="6" t="inlineStr">
        <is>
          <t>EXPORTACAO</t>
        </is>
      </c>
      <c r="H3249" s="6" t="inlineStr">
        <is>
          <t>AUTO_OFERTA_TOTAL_PRODUTO_PERIODO</t>
        </is>
      </c>
      <c r="I3249" s="11">
        <f>IF($H3249="AUTO_OFERTA_TOTAL_PRODUTO_PERIODO",SUMIFS(Oferta!$F:$F,Oferta!$A:$A,$A3249,Oferta!$E:$E,$E3249),$F3249)</f>
        <v/>
      </c>
      <c r="J3249" s="6" t="inlineStr">
        <is>
          <t>Derivado_da_Oferta</t>
        </is>
      </c>
      <c r="K3249" s="6" t="inlineStr">
        <is>
          <t>Mercado externo: limite superior calculado automaticamente pela soma da oferta do produto no período.</t>
        </is>
      </c>
    </row>
    <row r="3250">
      <c r="A3250" s="6" t="inlineStr">
        <is>
          <t>Milho</t>
        </is>
      </c>
      <c r="B3250" s="6" t="inlineStr">
        <is>
          <t>Santos - SP</t>
        </is>
      </c>
      <c r="C3250" s="6" t="n">
        <v>-23.9535</v>
      </c>
      <c r="D3250" s="6" t="n">
        <v>-46.335</v>
      </c>
      <c r="E3250" s="6" t="inlineStr">
        <is>
          <t>2021-09</t>
        </is>
      </c>
      <c r="F3250" s="6" t="n"/>
      <c r="G3250" s="6" t="inlineStr">
        <is>
          <t>EXPORTACAO</t>
        </is>
      </c>
      <c r="H3250" s="6" t="inlineStr">
        <is>
          <t>AUTO_OFERTA_TOTAL_PRODUTO_PERIODO</t>
        </is>
      </c>
      <c r="I3250" s="11">
        <f>IF($H3250="AUTO_OFERTA_TOTAL_PRODUTO_PERIODO",SUMIFS(Oferta!$F:$F,Oferta!$A:$A,$A3250,Oferta!$E:$E,$E3250),$F3250)</f>
        <v/>
      </c>
      <c r="J3250" s="6" t="inlineStr">
        <is>
          <t>Derivado_da_Oferta</t>
        </is>
      </c>
      <c r="K3250" s="6" t="inlineStr">
        <is>
          <t>Mercado externo: limite superior calculado automaticamente pela soma da oferta do produto no período.</t>
        </is>
      </c>
    </row>
    <row r="3251">
      <c r="A3251" s="6" t="inlineStr">
        <is>
          <t>Milho</t>
        </is>
      </c>
      <c r="B3251" s="6" t="inlineStr">
        <is>
          <t>Santos - SP</t>
        </is>
      </c>
      <c r="C3251" s="6" t="n">
        <v>-23.9535</v>
      </c>
      <c r="D3251" s="6" t="n">
        <v>-46.335</v>
      </c>
      <c r="E3251" s="6" t="inlineStr">
        <is>
          <t>2021-10</t>
        </is>
      </c>
      <c r="F3251" s="6" t="n"/>
      <c r="G3251" s="6" t="inlineStr">
        <is>
          <t>EXPORTACAO</t>
        </is>
      </c>
      <c r="H3251" s="6" t="inlineStr">
        <is>
          <t>AUTO_OFERTA_TOTAL_PRODUTO_PERIODO</t>
        </is>
      </c>
      <c r="I3251" s="11">
        <f>IF($H3251="AUTO_OFERTA_TOTAL_PRODUTO_PERIODO",SUMIFS(Oferta!$F:$F,Oferta!$A:$A,$A3251,Oferta!$E:$E,$E3251),$F3251)</f>
        <v/>
      </c>
      <c r="J3251" s="6" t="inlineStr">
        <is>
          <t>Derivado_da_Oferta</t>
        </is>
      </c>
      <c r="K3251" s="6" t="inlineStr">
        <is>
          <t>Mercado externo: limite superior calculado automaticamente pela soma da oferta do produto no período.</t>
        </is>
      </c>
    </row>
    <row r="3252">
      <c r="A3252" s="6" t="inlineStr">
        <is>
          <t>Milho</t>
        </is>
      </c>
      <c r="B3252" s="6" t="inlineStr">
        <is>
          <t>Santos - SP</t>
        </is>
      </c>
      <c r="C3252" s="6" t="n">
        <v>-23.9535</v>
      </c>
      <c r="D3252" s="6" t="n">
        <v>-46.335</v>
      </c>
      <c r="E3252" s="6" t="inlineStr">
        <is>
          <t>2021-11</t>
        </is>
      </c>
      <c r="F3252" s="6" t="n"/>
      <c r="G3252" s="6" t="inlineStr">
        <is>
          <t>EXPORTACAO</t>
        </is>
      </c>
      <c r="H3252" s="6" t="inlineStr">
        <is>
          <t>AUTO_OFERTA_TOTAL_PRODUTO_PERIODO</t>
        </is>
      </c>
      <c r="I3252" s="11">
        <f>IF($H3252="AUTO_OFERTA_TOTAL_PRODUTO_PERIODO",SUMIFS(Oferta!$F:$F,Oferta!$A:$A,$A3252,Oferta!$E:$E,$E3252),$F3252)</f>
        <v/>
      </c>
      <c r="J3252" s="6" t="inlineStr">
        <is>
          <t>Derivado_da_Oferta</t>
        </is>
      </c>
      <c r="K3252" s="6" t="inlineStr">
        <is>
          <t>Mercado externo: limite superior calculado automaticamente pela soma da oferta do produto no período.</t>
        </is>
      </c>
    </row>
    <row r="3253">
      <c r="A3253" s="6" t="inlineStr">
        <is>
          <t>Milho</t>
        </is>
      </c>
      <c r="B3253" s="6" t="inlineStr">
        <is>
          <t>Santos - SP</t>
        </is>
      </c>
      <c r="C3253" s="6" t="n">
        <v>-23.9535</v>
      </c>
      <c r="D3253" s="6" t="n">
        <v>-46.335</v>
      </c>
      <c r="E3253" s="6" t="inlineStr">
        <is>
          <t>2021-12</t>
        </is>
      </c>
      <c r="F3253" s="6" t="n"/>
      <c r="G3253" s="6" t="inlineStr">
        <is>
          <t>EXPORTACAO</t>
        </is>
      </c>
      <c r="H3253" s="6" t="inlineStr">
        <is>
          <t>AUTO_OFERTA_TOTAL_PRODUTO_PERIODO</t>
        </is>
      </c>
      <c r="I3253" s="11">
        <f>IF($H3253="AUTO_OFERTA_TOTAL_PRODUTO_PERIODO",SUMIFS(Oferta!$F:$F,Oferta!$A:$A,$A3253,Oferta!$E:$E,$E3253),$F3253)</f>
        <v/>
      </c>
      <c r="J3253" s="6" t="inlineStr">
        <is>
          <t>Derivado_da_Oferta</t>
        </is>
      </c>
      <c r="K3253" s="6" t="inlineStr">
        <is>
          <t>Mercado externo: limite superior calculado automaticamente pela soma da oferta do produto no período.</t>
        </is>
      </c>
    </row>
    <row r="3254">
      <c r="A3254" s="6" t="inlineStr">
        <is>
          <t>Milho</t>
        </is>
      </c>
      <c r="B3254" s="6" t="inlineStr">
        <is>
          <t>Santos - SP</t>
        </is>
      </c>
      <c r="C3254" s="6" t="n">
        <v>-23.9535</v>
      </c>
      <c r="D3254" s="6" t="n">
        <v>-46.335</v>
      </c>
      <c r="E3254" s="6" t="inlineStr">
        <is>
          <t>2022-01</t>
        </is>
      </c>
      <c r="F3254" s="6" t="n"/>
      <c r="G3254" s="6" t="inlineStr">
        <is>
          <t>EXPORTACAO</t>
        </is>
      </c>
      <c r="H3254" s="6" t="inlineStr">
        <is>
          <t>AUTO_OFERTA_TOTAL_PRODUTO_PERIODO</t>
        </is>
      </c>
      <c r="I3254" s="11">
        <f>IF($H3254="AUTO_OFERTA_TOTAL_PRODUTO_PERIODO",SUMIFS(Oferta!$F:$F,Oferta!$A:$A,$A3254,Oferta!$E:$E,$E3254),$F3254)</f>
        <v/>
      </c>
      <c r="J3254" s="6" t="inlineStr">
        <is>
          <t>Derivado_da_Oferta</t>
        </is>
      </c>
      <c r="K3254" s="6" t="inlineStr">
        <is>
          <t>Mercado externo: limite superior calculado automaticamente pela soma da oferta do produto no período.</t>
        </is>
      </c>
    </row>
    <row r="3255">
      <c r="A3255" s="6" t="inlineStr">
        <is>
          <t>Milho</t>
        </is>
      </c>
      <c r="B3255" s="6" t="inlineStr">
        <is>
          <t>Santos - SP</t>
        </is>
      </c>
      <c r="C3255" s="6" t="n">
        <v>-23.9535</v>
      </c>
      <c r="D3255" s="6" t="n">
        <v>-46.335</v>
      </c>
      <c r="E3255" s="6" t="inlineStr">
        <is>
          <t>2022-02</t>
        </is>
      </c>
      <c r="F3255" s="6" t="n"/>
      <c r="G3255" s="6" t="inlineStr">
        <is>
          <t>EXPORTACAO</t>
        </is>
      </c>
      <c r="H3255" s="6" t="inlineStr">
        <is>
          <t>AUTO_OFERTA_TOTAL_PRODUTO_PERIODO</t>
        </is>
      </c>
      <c r="I3255" s="11">
        <f>IF($H3255="AUTO_OFERTA_TOTAL_PRODUTO_PERIODO",SUMIFS(Oferta!$F:$F,Oferta!$A:$A,$A3255,Oferta!$E:$E,$E3255),$F3255)</f>
        <v/>
      </c>
      <c r="J3255" s="6" t="inlineStr">
        <is>
          <t>Derivado_da_Oferta</t>
        </is>
      </c>
      <c r="K3255" s="6" t="inlineStr">
        <is>
          <t>Mercado externo: limite superior calculado automaticamente pela soma da oferta do produto no período.</t>
        </is>
      </c>
    </row>
    <row r="3256">
      <c r="A3256" s="6" t="inlineStr">
        <is>
          <t>Milho</t>
        </is>
      </c>
      <c r="B3256" s="6" t="inlineStr">
        <is>
          <t>Santos - SP</t>
        </is>
      </c>
      <c r="C3256" s="6" t="n">
        <v>-23.9535</v>
      </c>
      <c r="D3256" s="6" t="n">
        <v>-46.335</v>
      </c>
      <c r="E3256" s="6" t="inlineStr">
        <is>
          <t>2022-03</t>
        </is>
      </c>
      <c r="F3256" s="6" t="n"/>
      <c r="G3256" s="6" t="inlineStr">
        <is>
          <t>EXPORTACAO</t>
        </is>
      </c>
      <c r="H3256" s="6" t="inlineStr">
        <is>
          <t>AUTO_OFERTA_TOTAL_PRODUTO_PERIODO</t>
        </is>
      </c>
      <c r="I3256" s="11">
        <f>IF($H3256="AUTO_OFERTA_TOTAL_PRODUTO_PERIODO",SUMIFS(Oferta!$F:$F,Oferta!$A:$A,$A3256,Oferta!$E:$E,$E3256),$F3256)</f>
        <v/>
      </c>
      <c r="J3256" s="6" t="inlineStr">
        <is>
          <t>Derivado_da_Oferta</t>
        </is>
      </c>
      <c r="K3256" s="6" t="inlineStr">
        <is>
          <t>Mercado externo: limite superior calculado automaticamente pela soma da oferta do produto no período.</t>
        </is>
      </c>
    </row>
    <row r="3257">
      <c r="A3257" s="6" t="inlineStr">
        <is>
          <t>Milho</t>
        </is>
      </c>
      <c r="B3257" s="6" t="inlineStr">
        <is>
          <t>Santos - SP</t>
        </is>
      </c>
      <c r="C3257" s="6" t="n">
        <v>-23.9535</v>
      </c>
      <c r="D3257" s="6" t="n">
        <v>-46.335</v>
      </c>
      <c r="E3257" s="6" t="inlineStr">
        <is>
          <t>2022-04</t>
        </is>
      </c>
      <c r="F3257" s="6" t="n"/>
      <c r="G3257" s="6" t="inlineStr">
        <is>
          <t>EXPORTACAO</t>
        </is>
      </c>
      <c r="H3257" s="6" t="inlineStr">
        <is>
          <t>AUTO_OFERTA_TOTAL_PRODUTO_PERIODO</t>
        </is>
      </c>
      <c r="I3257" s="11">
        <f>IF($H3257="AUTO_OFERTA_TOTAL_PRODUTO_PERIODO",SUMIFS(Oferta!$F:$F,Oferta!$A:$A,$A3257,Oferta!$E:$E,$E3257),$F3257)</f>
        <v/>
      </c>
      <c r="J3257" s="6" t="inlineStr">
        <is>
          <t>Derivado_da_Oferta</t>
        </is>
      </c>
      <c r="K3257" s="6" t="inlineStr">
        <is>
          <t>Mercado externo: limite superior calculado automaticamente pela soma da oferta do produto no período.</t>
        </is>
      </c>
    </row>
    <row r="3258">
      <c r="A3258" s="6" t="inlineStr">
        <is>
          <t>Milho</t>
        </is>
      </c>
      <c r="B3258" s="6" t="inlineStr">
        <is>
          <t>Santos - SP</t>
        </is>
      </c>
      <c r="C3258" s="6" t="n">
        <v>-23.9535</v>
      </c>
      <c r="D3258" s="6" t="n">
        <v>-46.335</v>
      </c>
      <c r="E3258" s="6" t="inlineStr">
        <is>
          <t>2022-05</t>
        </is>
      </c>
      <c r="F3258" s="6" t="n"/>
      <c r="G3258" s="6" t="inlineStr">
        <is>
          <t>EXPORTACAO</t>
        </is>
      </c>
      <c r="H3258" s="6" t="inlineStr">
        <is>
          <t>AUTO_OFERTA_TOTAL_PRODUTO_PERIODO</t>
        </is>
      </c>
      <c r="I3258" s="11">
        <f>IF($H3258="AUTO_OFERTA_TOTAL_PRODUTO_PERIODO",SUMIFS(Oferta!$F:$F,Oferta!$A:$A,$A3258,Oferta!$E:$E,$E3258),$F3258)</f>
        <v/>
      </c>
      <c r="J3258" s="6" t="inlineStr">
        <is>
          <t>Derivado_da_Oferta</t>
        </is>
      </c>
      <c r="K3258" s="6" t="inlineStr">
        <is>
          <t>Mercado externo: limite superior calculado automaticamente pela soma da oferta do produto no período.</t>
        </is>
      </c>
    </row>
    <row r="3259">
      <c r="A3259" s="6" t="inlineStr">
        <is>
          <t>Milho</t>
        </is>
      </c>
      <c r="B3259" s="6" t="inlineStr">
        <is>
          <t>Santos - SP</t>
        </is>
      </c>
      <c r="C3259" s="6" t="n">
        <v>-23.9535</v>
      </c>
      <c r="D3259" s="6" t="n">
        <v>-46.335</v>
      </c>
      <c r="E3259" s="6" t="inlineStr">
        <is>
          <t>2022-06</t>
        </is>
      </c>
      <c r="F3259" s="6" t="n"/>
      <c r="G3259" s="6" t="inlineStr">
        <is>
          <t>EXPORTACAO</t>
        </is>
      </c>
      <c r="H3259" s="6" t="inlineStr">
        <is>
          <t>AUTO_OFERTA_TOTAL_PRODUTO_PERIODO</t>
        </is>
      </c>
      <c r="I3259" s="11">
        <f>IF($H3259="AUTO_OFERTA_TOTAL_PRODUTO_PERIODO",SUMIFS(Oferta!$F:$F,Oferta!$A:$A,$A3259,Oferta!$E:$E,$E3259),$F3259)</f>
        <v/>
      </c>
      <c r="J3259" s="6" t="inlineStr">
        <is>
          <t>Derivado_da_Oferta</t>
        </is>
      </c>
      <c r="K3259" s="6" t="inlineStr">
        <is>
          <t>Mercado externo: limite superior calculado automaticamente pela soma da oferta do produto no período.</t>
        </is>
      </c>
    </row>
    <row r="3260">
      <c r="A3260" s="6" t="inlineStr">
        <is>
          <t>Milho</t>
        </is>
      </c>
      <c r="B3260" s="6" t="inlineStr">
        <is>
          <t>Santos - SP</t>
        </is>
      </c>
      <c r="C3260" s="6" t="n">
        <v>-23.9535</v>
      </c>
      <c r="D3260" s="6" t="n">
        <v>-46.335</v>
      </c>
      <c r="E3260" s="6" t="inlineStr">
        <is>
          <t>2022-07</t>
        </is>
      </c>
      <c r="F3260" s="6" t="n"/>
      <c r="G3260" s="6" t="inlineStr">
        <is>
          <t>EXPORTACAO</t>
        </is>
      </c>
      <c r="H3260" s="6" t="inlineStr">
        <is>
          <t>AUTO_OFERTA_TOTAL_PRODUTO_PERIODO</t>
        </is>
      </c>
      <c r="I3260" s="11">
        <f>IF($H3260="AUTO_OFERTA_TOTAL_PRODUTO_PERIODO",SUMIFS(Oferta!$F:$F,Oferta!$A:$A,$A3260,Oferta!$E:$E,$E3260),$F3260)</f>
        <v/>
      </c>
      <c r="J3260" s="6" t="inlineStr">
        <is>
          <t>Derivado_da_Oferta</t>
        </is>
      </c>
      <c r="K3260" s="6" t="inlineStr">
        <is>
          <t>Mercado externo: limite superior calculado automaticamente pela soma da oferta do produto no período.</t>
        </is>
      </c>
    </row>
    <row r="3261">
      <c r="A3261" s="6" t="inlineStr">
        <is>
          <t>Milho</t>
        </is>
      </c>
      <c r="B3261" s="6" t="inlineStr">
        <is>
          <t>Santos - SP</t>
        </is>
      </c>
      <c r="C3261" s="6" t="n">
        <v>-23.9535</v>
      </c>
      <c r="D3261" s="6" t="n">
        <v>-46.335</v>
      </c>
      <c r="E3261" s="6" t="inlineStr">
        <is>
          <t>2022-08</t>
        </is>
      </c>
      <c r="F3261" s="6" t="n"/>
      <c r="G3261" s="6" t="inlineStr">
        <is>
          <t>EXPORTACAO</t>
        </is>
      </c>
      <c r="H3261" s="6" t="inlineStr">
        <is>
          <t>AUTO_OFERTA_TOTAL_PRODUTO_PERIODO</t>
        </is>
      </c>
      <c r="I3261" s="11">
        <f>IF($H3261="AUTO_OFERTA_TOTAL_PRODUTO_PERIODO",SUMIFS(Oferta!$F:$F,Oferta!$A:$A,$A3261,Oferta!$E:$E,$E3261),$F3261)</f>
        <v/>
      </c>
      <c r="J3261" s="6" t="inlineStr">
        <is>
          <t>Derivado_da_Oferta</t>
        </is>
      </c>
      <c r="K3261" s="6" t="inlineStr">
        <is>
          <t>Mercado externo: limite superior calculado automaticamente pela soma da oferta do produto no período.</t>
        </is>
      </c>
    </row>
    <row r="3262">
      <c r="A3262" s="6" t="inlineStr">
        <is>
          <t>Milho</t>
        </is>
      </c>
      <c r="B3262" s="6" t="inlineStr">
        <is>
          <t>Santos - SP</t>
        </is>
      </c>
      <c r="C3262" s="6" t="n">
        <v>-23.9535</v>
      </c>
      <c r="D3262" s="6" t="n">
        <v>-46.335</v>
      </c>
      <c r="E3262" s="6" t="inlineStr">
        <is>
          <t>2022-09</t>
        </is>
      </c>
      <c r="F3262" s="6" t="n"/>
      <c r="G3262" s="6" t="inlineStr">
        <is>
          <t>EXPORTACAO</t>
        </is>
      </c>
      <c r="H3262" s="6" t="inlineStr">
        <is>
          <t>AUTO_OFERTA_TOTAL_PRODUTO_PERIODO</t>
        </is>
      </c>
      <c r="I3262" s="11">
        <f>IF($H3262="AUTO_OFERTA_TOTAL_PRODUTO_PERIODO",SUMIFS(Oferta!$F:$F,Oferta!$A:$A,$A3262,Oferta!$E:$E,$E3262),$F3262)</f>
        <v/>
      </c>
      <c r="J3262" s="6" t="inlineStr">
        <is>
          <t>Derivado_da_Oferta</t>
        </is>
      </c>
      <c r="K3262" s="6" t="inlineStr">
        <is>
          <t>Mercado externo: limite superior calculado automaticamente pela soma da oferta do produto no período.</t>
        </is>
      </c>
    </row>
    <row r="3263">
      <c r="A3263" s="6" t="inlineStr">
        <is>
          <t>Milho</t>
        </is>
      </c>
      <c r="B3263" s="6" t="inlineStr">
        <is>
          <t>Santos - SP</t>
        </is>
      </c>
      <c r="C3263" s="6" t="n">
        <v>-23.9535</v>
      </c>
      <c r="D3263" s="6" t="n">
        <v>-46.335</v>
      </c>
      <c r="E3263" s="6" t="inlineStr">
        <is>
          <t>2022-10</t>
        </is>
      </c>
      <c r="F3263" s="6" t="n"/>
      <c r="G3263" s="6" t="inlineStr">
        <is>
          <t>EXPORTACAO</t>
        </is>
      </c>
      <c r="H3263" s="6" t="inlineStr">
        <is>
          <t>AUTO_OFERTA_TOTAL_PRODUTO_PERIODO</t>
        </is>
      </c>
      <c r="I3263" s="11">
        <f>IF($H3263="AUTO_OFERTA_TOTAL_PRODUTO_PERIODO",SUMIFS(Oferta!$F:$F,Oferta!$A:$A,$A3263,Oferta!$E:$E,$E3263),$F3263)</f>
        <v/>
      </c>
      <c r="J3263" s="6" t="inlineStr">
        <is>
          <t>Derivado_da_Oferta</t>
        </is>
      </c>
      <c r="K3263" s="6" t="inlineStr">
        <is>
          <t>Mercado externo: limite superior calculado automaticamente pela soma da oferta do produto no período.</t>
        </is>
      </c>
    </row>
    <row r="3264">
      <c r="A3264" s="6" t="inlineStr">
        <is>
          <t>Milho</t>
        </is>
      </c>
      <c r="B3264" s="6" t="inlineStr">
        <is>
          <t>Santos - SP</t>
        </is>
      </c>
      <c r="C3264" s="6" t="n">
        <v>-23.9535</v>
      </c>
      <c r="D3264" s="6" t="n">
        <v>-46.335</v>
      </c>
      <c r="E3264" s="6" t="inlineStr">
        <is>
          <t>2022-11</t>
        </is>
      </c>
      <c r="F3264" s="6" t="n"/>
      <c r="G3264" s="6" t="inlineStr">
        <is>
          <t>EXPORTACAO</t>
        </is>
      </c>
      <c r="H3264" s="6" t="inlineStr">
        <is>
          <t>AUTO_OFERTA_TOTAL_PRODUTO_PERIODO</t>
        </is>
      </c>
      <c r="I3264" s="11">
        <f>IF($H3264="AUTO_OFERTA_TOTAL_PRODUTO_PERIODO",SUMIFS(Oferta!$F:$F,Oferta!$A:$A,$A3264,Oferta!$E:$E,$E3264),$F3264)</f>
        <v/>
      </c>
      <c r="J3264" s="6" t="inlineStr">
        <is>
          <t>Derivado_da_Oferta</t>
        </is>
      </c>
      <c r="K3264" s="6" t="inlineStr">
        <is>
          <t>Mercado externo: limite superior calculado automaticamente pela soma da oferta do produto no período.</t>
        </is>
      </c>
    </row>
    <row r="3265">
      <c r="A3265" s="6" t="inlineStr">
        <is>
          <t>Milho</t>
        </is>
      </c>
      <c r="B3265" s="6" t="inlineStr">
        <is>
          <t>Santos - SP</t>
        </is>
      </c>
      <c r="C3265" s="6" t="n">
        <v>-23.9535</v>
      </c>
      <c r="D3265" s="6" t="n">
        <v>-46.335</v>
      </c>
      <c r="E3265" s="6" t="inlineStr">
        <is>
          <t>2022-12</t>
        </is>
      </c>
      <c r="F3265" s="6" t="n"/>
      <c r="G3265" s="6" t="inlineStr">
        <is>
          <t>EXPORTACAO</t>
        </is>
      </c>
      <c r="H3265" s="6" t="inlineStr">
        <is>
          <t>AUTO_OFERTA_TOTAL_PRODUTO_PERIODO</t>
        </is>
      </c>
      <c r="I3265" s="11">
        <f>IF($H3265="AUTO_OFERTA_TOTAL_PRODUTO_PERIODO",SUMIFS(Oferta!$F:$F,Oferta!$A:$A,$A3265,Oferta!$E:$E,$E3265),$F3265)</f>
        <v/>
      </c>
      <c r="J3265" s="6" t="inlineStr">
        <is>
          <t>Derivado_da_Oferta</t>
        </is>
      </c>
      <c r="K3265" s="6" t="inlineStr">
        <is>
          <t>Mercado externo: limite superior calculado automaticamente pela soma da oferta do produto no período.</t>
        </is>
      </c>
    </row>
    <row r="3266">
      <c r="A3266" s="6" t="inlineStr">
        <is>
          <t>Milho</t>
        </is>
      </c>
      <c r="B3266" s="6" t="inlineStr">
        <is>
          <t>Santos - SP</t>
        </is>
      </c>
      <c r="C3266" s="6" t="n">
        <v>-23.9535</v>
      </c>
      <c r="D3266" s="6" t="n">
        <v>-46.335</v>
      </c>
      <c r="E3266" s="6" t="inlineStr">
        <is>
          <t>2023-01</t>
        </is>
      </c>
      <c r="F3266" s="6" t="n"/>
      <c r="G3266" s="6" t="inlineStr">
        <is>
          <t>EXPORTACAO</t>
        </is>
      </c>
      <c r="H3266" s="6" t="inlineStr">
        <is>
          <t>AUTO_OFERTA_TOTAL_PRODUTO_PERIODO</t>
        </is>
      </c>
      <c r="I3266" s="11">
        <f>IF($H3266="AUTO_OFERTA_TOTAL_PRODUTO_PERIODO",SUMIFS(Oferta!$F:$F,Oferta!$A:$A,$A3266,Oferta!$E:$E,$E3266),$F3266)</f>
        <v/>
      </c>
      <c r="J3266" s="6" t="inlineStr">
        <is>
          <t>Derivado_da_Oferta</t>
        </is>
      </c>
      <c r="K3266" s="6" t="inlineStr">
        <is>
          <t>Mercado externo: limite superior calculado automaticamente pela soma da oferta do produto no período.</t>
        </is>
      </c>
    </row>
    <row r="3267">
      <c r="A3267" s="6" t="inlineStr">
        <is>
          <t>Milho</t>
        </is>
      </c>
      <c r="B3267" s="6" t="inlineStr">
        <is>
          <t>Santos - SP</t>
        </is>
      </c>
      <c r="C3267" s="6" t="n">
        <v>-23.9535</v>
      </c>
      <c r="D3267" s="6" t="n">
        <v>-46.335</v>
      </c>
      <c r="E3267" s="6" t="inlineStr">
        <is>
          <t>2023-02</t>
        </is>
      </c>
      <c r="F3267" s="6" t="n"/>
      <c r="G3267" s="6" t="inlineStr">
        <is>
          <t>EXPORTACAO</t>
        </is>
      </c>
      <c r="H3267" s="6" t="inlineStr">
        <is>
          <t>AUTO_OFERTA_TOTAL_PRODUTO_PERIODO</t>
        </is>
      </c>
      <c r="I3267" s="11">
        <f>IF($H3267="AUTO_OFERTA_TOTAL_PRODUTO_PERIODO",SUMIFS(Oferta!$F:$F,Oferta!$A:$A,$A3267,Oferta!$E:$E,$E3267),$F3267)</f>
        <v/>
      </c>
      <c r="J3267" s="6" t="inlineStr">
        <is>
          <t>Derivado_da_Oferta</t>
        </is>
      </c>
      <c r="K3267" s="6" t="inlineStr">
        <is>
          <t>Mercado externo: limite superior calculado automaticamente pela soma da oferta do produto no período.</t>
        </is>
      </c>
    </row>
    <row r="3268">
      <c r="A3268" s="6" t="inlineStr">
        <is>
          <t>Milho</t>
        </is>
      </c>
      <c r="B3268" s="6" t="inlineStr">
        <is>
          <t>Santos - SP</t>
        </is>
      </c>
      <c r="C3268" s="6" t="n">
        <v>-23.9535</v>
      </c>
      <c r="D3268" s="6" t="n">
        <v>-46.335</v>
      </c>
      <c r="E3268" s="6" t="inlineStr">
        <is>
          <t>2023-03</t>
        </is>
      </c>
      <c r="F3268" s="6" t="n"/>
      <c r="G3268" s="6" t="inlineStr">
        <is>
          <t>EXPORTACAO</t>
        </is>
      </c>
      <c r="H3268" s="6" t="inlineStr">
        <is>
          <t>AUTO_OFERTA_TOTAL_PRODUTO_PERIODO</t>
        </is>
      </c>
      <c r="I3268" s="11">
        <f>IF($H3268="AUTO_OFERTA_TOTAL_PRODUTO_PERIODO",SUMIFS(Oferta!$F:$F,Oferta!$A:$A,$A3268,Oferta!$E:$E,$E3268),$F3268)</f>
        <v/>
      </c>
      <c r="J3268" s="6" t="inlineStr">
        <is>
          <t>Derivado_da_Oferta</t>
        </is>
      </c>
      <c r="K3268" s="6" t="inlineStr">
        <is>
          <t>Mercado externo: limite superior calculado automaticamente pela soma da oferta do produto no período.</t>
        </is>
      </c>
    </row>
    <row r="3269">
      <c r="A3269" s="6" t="inlineStr">
        <is>
          <t>Milho</t>
        </is>
      </c>
      <c r="B3269" s="6" t="inlineStr">
        <is>
          <t>Santos - SP</t>
        </is>
      </c>
      <c r="C3269" s="6" t="n">
        <v>-23.9535</v>
      </c>
      <c r="D3269" s="6" t="n">
        <v>-46.335</v>
      </c>
      <c r="E3269" s="6" t="inlineStr">
        <is>
          <t>2023-04</t>
        </is>
      </c>
      <c r="F3269" s="6" t="n"/>
      <c r="G3269" s="6" t="inlineStr">
        <is>
          <t>EXPORTACAO</t>
        </is>
      </c>
      <c r="H3269" s="6" t="inlineStr">
        <is>
          <t>AUTO_OFERTA_TOTAL_PRODUTO_PERIODO</t>
        </is>
      </c>
      <c r="I3269" s="11">
        <f>IF($H3269="AUTO_OFERTA_TOTAL_PRODUTO_PERIODO",SUMIFS(Oferta!$F:$F,Oferta!$A:$A,$A3269,Oferta!$E:$E,$E3269),$F3269)</f>
        <v/>
      </c>
      <c r="J3269" s="6" t="inlineStr">
        <is>
          <t>Derivado_da_Oferta</t>
        </is>
      </c>
      <c r="K3269" s="6" t="inlineStr">
        <is>
          <t>Mercado externo: limite superior calculado automaticamente pela soma da oferta do produto no período.</t>
        </is>
      </c>
    </row>
    <row r="3270">
      <c r="A3270" s="6" t="inlineStr">
        <is>
          <t>Milho</t>
        </is>
      </c>
      <c r="B3270" s="6" t="inlineStr">
        <is>
          <t>Santos - SP</t>
        </is>
      </c>
      <c r="C3270" s="6" t="n">
        <v>-23.9535</v>
      </c>
      <c r="D3270" s="6" t="n">
        <v>-46.335</v>
      </c>
      <c r="E3270" s="6" t="inlineStr">
        <is>
          <t>2023-05</t>
        </is>
      </c>
      <c r="F3270" s="6" t="n"/>
      <c r="G3270" s="6" t="inlineStr">
        <is>
          <t>EXPORTACAO</t>
        </is>
      </c>
      <c r="H3270" s="6" t="inlineStr">
        <is>
          <t>AUTO_OFERTA_TOTAL_PRODUTO_PERIODO</t>
        </is>
      </c>
      <c r="I3270" s="11">
        <f>IF($H3270="AUTO_OFERTA_TOTAL_PRODUTO_PERIODO",SUMIFS(Oferta!$F:$F,Oferta!$A:$A,$A3270,Oferta!$E:$E,$E3270),$F3270)</f>
        <v/>
      </c>
      <c r="J3270" s="6" t="inlineStr">
        <is>
          <t>Derivado_da_Oferta</t>
        </is>
      </c>
      <c r="K3270" s="6" t="inlineStr">
        <is>
          <t>Mercado externo: limite superior calculado automaticamente pela soma da oferta do produto no período.</t>
        </is>
      </c>
    </row>
    <row r="3271">
      <c r="A3271" s="6" t="inlineStr">
        <is>
          <t>Milho</t>
        </is>
      </c>
      <c r="B3271" s="6" t="inlineStr">
        <is>
          <t>Santos - SP</t>
        </is>
      </c>
      <c r="C3271" s="6" t="n">
        <v>-23.9535</v>
      </c>
      <c r="D3271" s="6" t="n">
        <v>-46.335</v>
      </c>
      <c r="E3271" s="6" t="inlineStr">
        <is>
          <t>2023-06</t>
        </is>
      </c>
      <c r="F3271" s="6" t="n"/>
      <c r="G3271" s="6" t="inlineStr">
        <is>
          <t>EXPORTACAO</t>
        </is>
      </c>
      <c r="H3271" s="6" t="inlineStr">
        <is>
          <t>AUTO_OFERTA_TOTAL_PRODUTO_PERIODO</t>
        </is>
      </c>
      <c r="I3271" s="11">
        <f>IF($H3271="AUTO_OFERTA_TOTAL_PRODUTO_PERIODO",SUMIFS(Oferta!$F:$F,Oferta!$A:$A,$A3271,Oferta!$E:$E,$E3271),$F3271)</f>
        <v/>
      </c>
      <c r="J3271" s="6" t="inlineStr">
        <is>
          <t>Derivado_da_Oferta</t>
        </is>
      </c>
      <c r="K3271" s="6" t="inlineStr">
        <is>
          <t>Mercado externo: limite superior calculado automaticamente pela soma da oferta do produto no período.</t>
        </is>
      </c>
    </row>
    <row r="3272">
      <c r="A3272" s="6" t="inlineStr">
        <is>
          <t>Milho</t>
        </is>
      </c>
      <c r="B3272" s="6" t="inlineStr">
        <is>
          <t>Santos - SP</t>
        </is>
      </c>
      <c r="C3272" s="6" t="n">
        <v>-23.9535</v>
      </c>
      <c r="D3272" s="6" t="n">
        <v>-46.335</v>
      </c>
      <c r="E3272" s="6" t="inlineStr">
        <is>
          <t>2023-07</t>
        </is>
      </c>
      <c r="F3272" s="6" t="n"/>
      <c r="G3272" s="6" t="inlineStr">
        <is>
          <t>EXPORTACAO</t>
        </is>
      </c>
      <c r="H3272" s="6" t="inlineStr">
        <is>
          <t>AUTO_OFERTA_TOTAL_PRODUTO_PERIODO</t>
        </is>
      </c>
      <c r="I3272" s="11">
        <f>IF($H3272="AUTO_OFERTA_TOTAL_PRODUTO_PERIODO",SUMIFS(Oferta!$F:$F,Oferta!$A:$A,$A3272,Oferta!$E:$E,$E3272),$F3272)</f>
        <v/>
      </c>
      <c r="J3272" s="6" t="inlineStr">
        <is>
          <t>Derivado_da_Oferta</t>
        </is>
      </c>
      <c r="K3272" s="6" t="inlineStr">
        <is>
          <t>Mercado externo: limite superior calculado automaticamente pela soma da oferta do produto no período.</t>
        </is>
      </c>
    </row>
    <row r="3273">
      <c r="A3273" s="6" t="inlineStr">
        <is>
          <t>Milho</t>
        </is>
      </c>
      <c r="B3273" s="6" t="inlineStr">
        <is>
          <t>Santos - SP</t>
        </is>
      </c>
      <c r="C3273" s="6" t="n">
        <v>-23.9535</v>
      </c>
      <c r="D3273" s="6" t="n">
        <v>-46.335</v>
      </c>
      <c r="E3273" s="6" t="inlineStr">
        <is>
          <t>2023-08</t>
        </is>
      </c>
      <c r="F3273" s="6" t="n"/>
      <c r="G3273" s="6" t="inlineStr">
        <is>
          <t>EXPORTACAO</t>
        </is>
      </c>
      <c r="H3273" s="6" t="inlineStr">
        <is>
          <t>AUTO_OFERTA_TOTAL_PRODUTO_PERIODO</t>
        </is>
      </c>
      <c r="I3273" s="11">
        <f>IF($H3273="AUTO_OFERTA_TOTAL_PRODUTO_PERIODO",SUMIFS(Oferta!$F:$F,Oferta!$A:$A,$A3273,Oferta!$E:$E,$E3273),$F3273)</f>
        <v/>
      </c>
      <c r="J3273" s="6" t="inlineStr">
        <is>
          <t>Derivado_da_Oferta</t>
        </is>
      </c>
      <c r="K3273" s="6" t="inlineStr">
        <is>
          <t>Mercado externo: limite superior calculado automaticamente pela soma da oferta do produto no período.</t>
        </is>
      </c>
    </row>
    <row r="3274">
      <c r="A3274" s="6" t="inlineStr">
        <is>
          <t>Milho</t>
        </is>
      </c>
      <c r="B3274" s="6" t="inlineStr">
        <is>
          <t>Santos - SP</t>
        </is>
      </c>
      <c r="C3274" s="6" t="n">
        <v>-23.9535</v>
      </c>
      <c r="D3274" s="6" t="n">
        <v>-46.335</v>
      </c>
      <c r="E3274" s="6" t="inlineStr">
        <is>
          <t>2023-09</t>
        </is>
      </c>
      <c r="F3274" s="6" t="n"/>
      <c r="G3274" s="6" t="inlineStr">
        <is>
          <t>EXPORTACAO</t>
        </is>
      </c>
      <c r="H3274" s="6" t="inlineStr">
        <is>
          <t>AUTO_OFERTA_TOTAL_PRODUTO_PERIODO</t>
        </is>
      </c>
      <c r="I3274" s="11">
        <f>IF($H3274="AUTO_OFERTA_TOTAL_PRODUTO_PERIODO",SUMIFS(Oferta!$F:$F,Oferta!$A:$A,$A3274,Oferta!$E:$E,$E3274),$F3274)</f>
        <v/>
      </c>
      <c r="J3274" s="6" t="inlineStr">
        <is>
          <t>Derivado_da_Oferta</t>
        </is>
      </c>
      <c r="K3274" s="6" t="inlineStr">
        <is>
          <t>Mercado externo: limite superior calculado automaticamente pela soma da oferta do produto no período.</t>
        </is>
      </c>
    </row>
    <row r="3275">
      <c r="A3275" s="6" t="inlineStr">
        <is>
          <t>Milho</t>
        </is>
      </c>
      <c r="B3275" s="6" t="inlineStr">
        <is>
          <t>Santos - SP</t>
        </is>
      </c>
      <c r="C3275" s="6" t="n">
        <v>-23.9535</v>
      </c>
      <c r="D3275" s="6" t="n">
        <v>-46.335</v>
      </c>
      <c r="E3275" s="6" t="inlineStr">
        <is>
          <t>2023-10</t>
        </is>
      </c>
      <c r="F3275" s="6" t="n"/>
      <c r="G3275" s="6" t="inlineStr">
        <is>
          <t>EXPORTACAO</t>
        </is>
      </c>
      <c r="H3275" s="6" t="inlineStr">
        <is>
          <t>AUTO_OFERTA_TOTAL_PRODUTO_PERIODO</t>
        </is>
      </c>
      <c r="I3275" s="11">
        <f>IF($H3275="AUTO_OFERTA_TOTAL_PRODUTO_PERIODO",SUMIFS(Oferta!$F:$F,Oferta!$A:$A,$A3275,Oferta!$E:$E,$E3275),$F3275)</f>
        <v/>
      </c>
      <c r="J3275" s="6" t="inlineStr">
        <is>
          <t>Derivado_da_Oferta</t>
        </is>
      </c>
      <c r="K3275" s="6" t="inlineStr">
        <is>
          <t>Mercado externo: limite superior calculado automaticamente pela soma da oferta do produto no período.</t>
        </is>
      </c>
    </row>
    <row r="3276">
      <c r="A3276" s="6" t="inlineStr">
        <is>
          <t>Milho</t>
        </is>
      </c>
      <c r="B3276" s="6" t="inlineStr">
        <is>
          <t>Santos - SP</t>
        </is>
      </c>
      <c r="C3276" s="6" t="n">
        <v>-23.9535</v>
      </c>
      <c r="D3276" s="6" t="n">
        <v>-46.335</v>
      </c>
      <c r="E3276" s="6" t="inlineStr">
        <is>
          <t>2023-11</t>
        </is>
      </c>
      <c r="F3276" s="6" t="n"/>
      <c r="G3276" s="6" t="inlineStr">
        <is>
          <t>EXPORTACAO</t>
        </is>
      </c>
      <c r="H3276" s="6" t="inlineStr">
        <is>
          <t>AUTO_OFERTA_TOTAL_PRODUTO_PERIODO</t>
        </is>
      </c>
      <c r="I3276" s="11">
        <f>IF($H3276="AUTO_OFERTA_TOTAL_PRODUTO_PERIODO",SUMIFS(Oferta!$F:$F,Oferta!$A:$A,$A3276,Oferta!$E:$E,$E3276),$F3276)</f>
        <v/>
      </c>
      <c r="J3276" s="6" t="inlineStr">
        <is>
          <t>Derivado_da_Oferta</t>
        </is>
      </c>
      <c r="K3276" s="6" t="inlineStr">
        <is>
          <t>Mercado externo: limite superior calculado automaticamente pela soma da oferta do produto no período.</t>
        </is>
      </c>
    </row>
    <row r="3277">
      <c r="A3277" s="6" t="inlineStr">
        <is>
          <t>Milho</t>
        </is>
      </c>
      <c r="B3277" s="6" t="inlineStr">
        <is>
          <t>Santos - SP</t>
        </is>
      </c>
      <c r="C3277" s="6" t="n">
        <v>-23.9535</v>
      </c>
      <c r="D3277" s="6" t="n">
        <v>-46.335</v>
      </c>
      <c r="E3277" s="6" t="inlineStr">
        <is>
          <t>2023-12</t>
        </is>
      </c>
      <c r="F3277" s="6" t="n"/>
      <c r="G3277" s="6" t="inlineStr">
        <is>
          <t>EXPORTACAO</t>
        </is>
      </c>
      <c r="H3277" s="6" t="inlineStr">
        <is>
          <t>AUTO_OFERTA_TOTAL_PRODUTO_PERIODO</t>
        </is>
      </c>
      <c r="I3277" s="11">
        <f>IF($H3277="AUTO_OFERTA_TOTAL_PRODUTO_PERIODO",SUMIFS(Oferta!$F:$F,Oferta!$A:$A,$A3277,Oferta!$E:$E,$E3277),$F3277)</f>
        <v/>
      </c>
      <c r="J3277" s="6" t="inlineStr">
        <is>
          <t>Derivado_da_Oferta</t>
        </is>
      </c>
      <c r="K3277" s="6" t="inlineStr">
        <is>
          <t>Mercado externo: limite superior calculado automaticamente pela soma da oferta do produto no período.</t>
        </is>
      </c>
    </row>
    <row r="3278">
      <c r="A3278" s="6" t="inlineStr">
        <is>
          <t>Milho</t>
        </is>
      </c>
      <c r="B3278" s="6" t="inlineStr">
        <is>
          <t>Santos - SP</t>
        </is>
      </c>
      <c r="C3278" s="6" t="n">
        <v>-23.9535</v>
      </c>
      <c r="D3278" s="6" t="n">
        <v>-46.335</v>
      </c>
      <c r="E3278" s="6" t="inlineStr">
        <is>
          <t>2024-01</t>
        </is>
      </c>
      <c r="F3278" s="6" t="n"/>
      <c r="G3278" s="6" t="inlineStr">
        <is>
          <t>EXPORTACAO</t>
        </is>
      </c>
      <c r="H3278" s="6" t="inlineStr">
        <is>
          <t>AUTO_OFERTA_TOTAL_PRODUTO_PERIODO</t>
        </is>
      </c>
      <c r="I3278" s="11">
        <f>IF($H3278="AUTO_OFERTA_TOTAL_PRODUTO_PERIODO",SUMIFS(Oferta!$F:$F,Oferta!$A:$A,$A3278,Oferta!$E:$E,$E3278),$F3278)</f>
        <v/>
      </c>
      <c r="J3278" s="6" t="inlineStr">
        <is>
          <t>Derivado_da_Oferta</t>
        </is>
      </c>
      <c r="K3278" s="6" t="inlineStr">
        <is>
          <t>Mercado externo: limite superior calculado automaticamente pela soma da oferta do produto no período.</t>
        </is>
      </c>
    </row>
    <row r="3279">
      <c r="A3279" s="6" t="inlineStr">
        <is>
          <t>Milho</t>
        </is>
      </c>
      <c r="B3279" s="6" t="inlineStr">
        <is>
          <t>Santos - SP</t>
        </is>
      </c>
      <c r="C3279" s="6" t="n">
        <v>-23.9535</v>
      </c>
      <c r="D3279" s="6" t="n">
        <v>-46.335</v>
      </c>
      <c r="E3279" s="6" t="inlineStr">
        <is>
          <t>2024-02</t>
        </is>
      </c>
      <c r="F3279" s="6" t="n"/>
      <c r="G3279" s="6" t="inlineStr">
        <is>
          <t>EXPORTACAO</t>
        </is>
      </c>
      <c r="H3279" s="6" t="inlineStr">
        <is>
          <t>AUTO_OFERTA_TOTAL_PRODUTO_PERIODO</t>
        </is>
      </c>
      <c r="I3279" s="11">
        <f>IF($H3279="AUTO_OFERTA_TOTAL_PRODUTO_PERIODO",SUMIFS(Oferta!$F:$F,Oferta!$A:$A,$A3279,Oferta!$E:$E,$E3279),$F3279)</f>
        <v/>
      </c>
      <c r="J3279" s="6" t="inlineStr">
        <is>
          <t>Derivado_da_Oferta</t>
        </is>
      </c>
      <c r="K3279" s="6" t="inlineStr">
        <is>
          <t>Mercado externo: limite superior calculado automaticamente pela soma da oferta do produto no período.</t>
        </is>
      </c>
    </row>
    <row r="3280">
      <c r="A3280" s="6" t="inlineStr">
        <is>
          <t>Milho</t>
        </is>
      </c>
      <c r="B3280" s="6" t="inlineStr">
        <is>
          <t>Santos - SP</t>
        </is>
      </c>
      <c r="C3280" s="6" t="n">
        <v>-23.9535</v>
      </c>
      <c r="D3280" s="6" t="n">
        <v>-46.335</v>
      </c>
      <c r="E3280" s="6" t="inlineStr">
        <is>
          <t>2024-03</t>
        </is>
      </c>
      <c r="F3280" s="6" t="n"/>
      <c r="G3280" s="6" t="inlineStr">
        <is>
          <t>EXPORTACAO</t>
        </is>
      </c>
      <c r="H3280" s="6" t="inlineStr">
        <is>
          <t>AUTO_OFERTA_TOTAL_PRODUTO_PERIODO</t>
        </is>
      </c>
      <c r="I3280" s="11">
        <f>IF($H3280="AUTO_OFERTA_TOTAL_PRODUTO_PERIODO",SUMIFS(Oferta!$F:$F,Oferta!$A:$A,$A3280,Oferta!$E:$E,$E3280),$F3280)</f>
        <v/>
      </c>
      <c r="J3280" s="6" t="inlineStr">
        <is>
          <t>Derivado_da_Oferta</t>
        </is>
      </c>
      <c r="K3280" s="6" t="inlineStr">
        <is>
          <t>Mercado externo: limite superior calculado automaticamente pela soma da oferta do produto no período.</t>
        </is>
      </c>
    </row>
    <row r="3281">
      <c r="A3281" s="6" t="inlineStr">
        <is>
          <t>Milho</t>
        </is>
      </c>
      <c r="B3281" s="6" t="inlineStr">
        <is>
          <t>Santos - SP</t>
        </is>
      </c>
      <c r="C3281" s="6" t="n">
        <v>-23.9535</v>
      </c>
      <c r="D3281" s="6" t="n">
        <v>-46.335</v>
      </c>
      <c r="E3281" s="6" t="inlineStr">
        <is>
          <t>2024-04</t>
        </is>
      </c>
      <c r="F3281" s="6" t="n"/>
      <c r="G3281" s="6" t="inlineStr">
        <is>
          <t>EXPORTACAO</t>
        </is>
      </c>
      <c r="H3281" s="6" t="inlineStr">
        <is>
          <t>AUTO_OFERTA_TOTAL_PRODUTO_PERIODO</t>
        </is>
      </c>
      <c r="I3281" s="11">
        <f>IF($H3281="AUTO_OFERTA_TOTAL_PRODUTO_PERIODO",SUMIFS(Oferta!$F:$F,Oferta!$A:$A,$A3281,Oferta!$E:$E,$E3281),$F3281)</f>
        <v/>
      </c>
      <c r="J3281" s="6" t="inlineStr">
        <is>
          <t>Derivado_da_Oferta</t>
        </is>
      </c>
      <c r="K3281" s="6" t="inlineStr">
        <is>
          <t>Mercado externo: limite superior calculado automaticamente pela soma da oferta do produto no período.</t>
        </is>
      </c>
    </row>
    <row r="3282">
      <c r="A3282" s="6" t="inlineStr">
        <is>
          <t>Milho</t>
        </is>
      </c>
      <c r="B3282" s="6" t="inlineStr">
        <is>
          <t>Santos - SP</t>
        </is>
      </c>
      <c r="C3282" s="6" t="n">
        <v>-23.9535</v>
      </c>
      <c r="D3282" s="6" t="n">
        <v>-46.335</v>
      </c>
      <c r="E3282" s="6" t="inlineStr">
        <is>
          <t>2024-05</t>
        </is>
      </c>
      <c r="F3282" s="6" t="n"/>
      <c r="G3282" s="6" t="inlineStr">
        <is>
          <t>EXPORTACAO</t>
        </is>
      </c>
      <c r="H3282" s="6" t="inlineStr">
        <is>
          <t>AUTO_OFERTA_TOTAL_PRODUTO_PERIODO</t>
        </is>
      </c>
      <c r="I3282" s="11">
        <f>IF($H3282="AUTO_OFERTA_TOTAL_PRODUTO_PERIODO",SUMIFS(Oferta!$F:$F,Oferta!$A:$A,$A3282,Oferta!$E:$E,$E3282),$F3282)</f>
        <v/>
      </c>
      <c r="J3282" s="6" t="inlineStr">
        <is>
          <t>Derivado_da_Oferta</t>
        </is>
      </c>
      <c r="K3282" s="6" t="inlineStr">
        <is>
          <t>Mercado externo: limite superior calculado automaticamente pela soma da oferta do produto no período.</t>
        </is>
      </c>
    </row>
    <row r="3283">
      <c r="A3283" s="6" t="inlineStr">
        <is>
          <t>Milho</t>
        </is>
      </c>
      <c r="B3283" s="6" t="inlineStr">
        <is>
          <t>Santos - SP</t>
        </is>
      </c>
      <c r="C3283" s="6" t="n">
        <v>-23.9535</v>
      </c>
      <c r="D3283" s="6" t="n">
        <v>-46.335</v>
      </c>
      <c r="E3283" s="6" t="inlineStr">
        <is>
          <t>2024-06</t>
        </is>
      </c>
      <c r="F3283" s="6" t="n"/>
      <c r="G3283" s="6" t="inlineStr">
        <is>
          <t>EXPORTACAO</t>
        </is>
      </c>
      <c r="H3283" s="6" t="inlineStr">
        <is>
          <t>AUTO_OFERTA_TOTAL_PRODUTO_PERIODO</t>
        </is>
      </c>
      <c r="I3283" s="11">
        <f>IF($H3283="AUTO_OFERTA_TOTAL_PRODUTO_PERIODO",SUMIFS(Oferta!$F:$F,Oferta!$A:$A,$A3283,Oferta!$E:$E,$E3283),$F3283)</f>
        <v/>
      </c>
      <c r="J3283" s="6" t="inlineStr">
        <is>
          <t>Derivado_da_Oferta</t>
        </is>
      </c>
      <c r="K3283" s="6" t="inlineStr">
        <is>
          <t>Mercado externo: limite superior calculado automaticamente pela soma da oferta do produto no período.</t>
        </is>
      </c>
    </row>
    <row r="3284">
      <c r="A3284" s="6" t="inlineStr">
        <is>
          <t>Milho</t>
        </is>
      </c>
      <c r="B3284" s="6" t="inlineStr">
        <is>
          <t>Santos - SP</t>
        </is>
      </c>
      <c r="C3284" s="6" t="n">
        <v>-23.9535</v>
      </c>
      <c r="D3284" s="6" t="n">
        <v>-46.335</v>
      </c>
      <c r="E3284" s="6" t="inlineStr">
        <is>
          <t>2024-07</t>
        </is>
      </c>
      <c r="F3284" s="6" t="n"/>
      <c r="G3284" s="6" t="inlineStr">
        <is>
          <t>EXPORTACAO</t>
        </is>
      </c>
      <c r="H3284" s="6" t="inlineStr">
        <is>
          <t>AUTO_OFERTA_TOTAL_PRODUTO_PERIODO</t>
        </is>
      </c>
      <c r="I3284" s="11">
        <f>IF($H3284="AUTO_OFERTA_TOTAL_PRODUTO_PERIODO",SUMIFS(Oferta!$F:$F,Oferta!$A:$A,$A3284,Oferta!$E:$E,$E3284),$F3284)</f>
        <v/>
      </c>
      <c r="J3284" s="6" t="inlineStr">
        <is>
          <t>Derivado_da_Oferta</t>
        </is>
      </c>
      <c r="K3284" s="6" t="inlineStr">
        <is>
          <t>Mercado externo: limite superior calculado automaticamente pela soma da oferta do produto no período.</t>
        </is>
      </c>
    </row>
    <row r="3285">
      <c r="A3285" s="6" t="inlineStr">
        <is>
          <t>Milho</t>
        </is>
      </c>
      <c r="B3285" s="6" t="inlineStr">
        <is>
          <t>Santos - SP</t>
        </is>
      </c>
      <c r="C3285" s="6" t="n">
        <v>-23.9535</v>
      </c>
      <c r="D3285" s="6" t="n">
        <v>-46.335</v>
      </c>
      <c r="E3285" s="6" t="inlineStr">
        <is>
          <t>2024-08</t>
        </is>
      </c>
      <c r="F3285" s="6" t="n"/>
      <c r="G3285" s="6" t="inlineStr">
        <is>
          <t>EXPORTACAO</t>
        </is>
      </c>
      <c r="H3285" s="6" t="inlineStr">
        <is>
          <t>AUTO_OFERTA_TOTAL_PRODUTO_PERIODO</t>
        </is>
      </c>
      <c r="I3285" s="11">
        <f>IF($H3285="AUTO_OFERTA_TOTAL_PRODUTO_PERIODO",SUMIFS(Oferta!$F:$F,Oferta!$A:$A,$A3285,Oferta!$E:$E,$E3285),$F3285)</f>
        <v/>
      </c>
      <c r="J3285" s="6" t="inlineStr">
        <is>
          <t>Derivado_da_Oferta</t>
        </is>
      </c>
      <c r="K3285" s="6" t="inlineStr">
        <is>
          <t>Mercado externo: limite superior calculado automaticamente pela soma da oferta do produto no período.</t>
        </is>
      </c>
    </row>
    <row r="3286">
      <c r="A3286" s="6" t="inlineStr">
        <is>
          <t>Milho</t>
        </is>
      </c>
      <c r="B3286" s="6" t="inlineStr">
        <is>
          <t>Santos - SP</t>
        </is>
      </c>
      <c r="C3286" s="6" t="n">
        <v>-23.9535</v>
      </c>
      <c r="D3286" s="6" t="n">
        <v>-46.335</v>
      </c>
      <c r="E3286" s="6" t="inlineStr">
        <is>
          <t>2024-09</t>
        </is>
      </c>
      <c r="F3286" s="6" t="n"/>
      <c r="G3286" s="6" t="inlineStr">
        <is>
          <t>EXPORTACAO</t>
        </is>
      </c>
      <c r="H3286" s="6" t="inlineStr">
        <is>
          <t>AUTO_OFERTA_TOTAL_PRODUTO_PERIODO</t>
        </is>
      </c>
      <c r="I3286" s="11">
        <f>IF($H3286="AUTO_OFERTA_TOTAL_PRODUTO_PERIODO",SUMIFS(Oferta!$F:$F,Oferta!$A:$A,$A3286,Oferta!$E:$E,$E3286),$F3286)</f>
        <v/>
      </c>
      <c r="J3286" s="6" t="inlineStr">
        <is>
          <t>Derivado_da_Oferta</t>
        </is>
      </c>
      <c r="K3286" s="6" t="inlineStr">
        <is>
          <t>Mercado externo: limite superior calculado automaticamente pela soma da oferta do produto no período.</t>
        </is>
      </c>
    </row>
    <row r="3287">
      <c r="A3287" s="6" t="inlineStr">
        <is>
          <t>Milho</t>
        </is>
      </c>
      <c r="B3287" s="6" t="inlineStr">
        <is>
          <t>Santos - SP</t>
        </is>
      </c>
      <c r="C3287" s="6" t="n">
        <v>-23.9535</v>
      </c>
      <c r="D3287" s="6" t="n">
        <v>-46.335</v>
      </c>
      <c r="E3287" s="6" t="inlineStr">
        <is>
          <t>2024-10</t>
        </is>
      </c>
      <c r="F3287" s="6" t="n"/>
      <c r="G3287" s="6" t="inlineStr">
        <is>
          <t>EXPORTACAO</t>
        </is>
      </c>
      <c r="H3287" s="6" t="inlineStr">
        <is>
          <t>AUTO_OFERTA_TOTAL_PRODUTO_PERIODO</t>
        </is>
      </c>
      <c r="I3287" s="11">
        <f>IF($H3287="AUTO_OFERTA_TOTAL_PRODUTO_PERIODO",SUMIFS(Oferta!$F:$F,Oferta!$A:$A,$A3287,Oferta!$E:$E,$E3287),$F3287)</f>
        <v/>
      </c>
      <c r="J3287" s="6" t="inlineStr">
        <is>
          <t>Derivado_da_Oferta</t>
        </is>
      </c>
      <c r="K3287" s="6" t="inlineStr">
        <is>
          <t>Mercado externo: limite superior calculado automaticamente pela soma da oferta do produto no período.</t>
        </is>
      </c>
    </row>
    <row r="3288">
      <c r="A3288" s="6" t="inlineStr">
        <is>
          <t>Milho</t>
        </is>
      </c>
      <c r="B3288" s="6" t="inlineStr">
        <is>
          <t>Santos - SP</t>
        </is>
      </c>
      <c r="C3288" s="6" t="n">
        <v>-23.9535</v>
      </c>
      <c r="D3288" s="6" t="n">
        <v>-46.335</v>
      </c>
      <c r="E3288" s="6" t="inlineStr">
        <is>
          <t>2024-11</t>
        </is>
      </c>
      <c r="F3288" s="6" t="n"/>
      <c r="G3288" s="6" t="inlineStr">
        <is>
          <t>EXPORTACAO</t>
        </is>
      </c>
      <c r="H3288" s="6" t="inlineStr">
        <is>
          <t>AUTO_OFERTA_TOTAL_PRODUTO_PERIODO</t>
        </is>
      </c>
      <c r="I3288" s="11">
        <f>IF($H3288="AUTO_OFERTA_TOTAL_PRODUTO_PERIODO",SUMIFS(Oferta!$F:$F,Oferta!$A:$A,$A3288,Oferta!$E:$E,$E3288),$F3288)</f>
        <v/>
      </c>
      <c r="J3288" s="6" t="inlineStr">
        <is>
          <t>Derivado_da_Oferta</t>
        </is>
      </c>
      <c r="K3288" s="6" t="inlineStr">
        <is>
          <t>Mercado externo: limite superior calculado automaticamente pela soma da oferta do produto no período.</t>
        </is>
      </c>
    </row>
    <row r="3289">
      <c r="A3289" s="6" t="inlineStr">
        <is>
          <t>Milho</t>
        </is>
      </c>
      <c r="B3289" s="6" t="inlineStr">
        <is>
          <t>Santos - SP</t>
        </is>
      </c>
      <c r="C3289" s="6" t="n">
        <v>-23.9535</v>
      </c>
      <c r="D3289" s="6" t="n">
        <v>-46.335</v>
      </c>
      <c r="E3289" s="6" t="inlineStr">
        <is>
          <t>2024-12</t>
        </is>
      </c>
      <c r="F3289" s="6" t="n"/>
      <c r="G3289" s="6" t="inlineStr">
        <is>
          <t>EXPORTACAO</t>
        </is>
      </c>
      <c r="H3289" s="6" t="inlineStr">
        <is>
          <t>AUTO_OFERTA_TOTAL_PRODUTO_PERIODO</t>
        </is>
      </c>
      <c r="I3289" s="11">
        <f>IF($H3289="AUTO_OFERTA_TOTAL_PRODUTO_PERIODO",SUMIFS(Oferta!$F:$F,Oferta!$A:$A,$A3289,Oferta!$E:$E,$E3289),$F3289)</f>
        <v/>
      </c>
      <c r="J3289" s="6" t="inlineStr">
        <is>
          <t>Derivado_da_Oferta</t>
        </is>
      </c>
      <c r="K3289" s="6" t="inlineStr">
        <is>
          <t>Mercado externo: limite superior calculado automaticamente pela soma da oferta do produto no período.</t>
        </is>
      </c>
    </row>
    <row r="3290">
      <c r="A3290" s="6" t="inlineStr">
        <is>
          <t>Milho</t>
        </is>
      </c>
      <c r="B3290" s="6" t="inlineStr">
        <is>
          <t>Santos - SP</t>
        </is>
      </c>
      <c r="C3290" s="6" t="n">
        <v>-23.9535</v>
      </c>
      <c r="D3290" s="6" t="n">
        <v>-46.335</v>
      </c>
      <c r="E3290" s="6" t="inlineStr">
        <is>
          <t>2025-01</t>
        </is>
      </c>
      <c r="F3290" s="6" t="n"/>
      <c r="G3290" s="6" t="inlineStr">
        <is>
          <t>EXPORTACAO</t>
        </is>
      </c>
      <c r="H3290" s="6" t="inlineStr">
        <is>
          <t>AUTO_OFERTA_TOTAL_PRODUTO_PERIODO</t>
        </is>
      </c>
      <c r="I3290" s="11">
        <f>IF($H3290="AUTO_OFERTA_TOTAL_PRODUTO_PERIODO",SUMIFS(Oferta!$F:$F,Oferta!$A:$A,$A3290,Oferta!$E:$E,$E3290),$F3290)</f>
        <v/>
      </c>
      <c r="J3290" s="6" t="inlineStr">
        <is>
          <t>Derivado_da_Oferta</t>
        </is>
      </c>
      <c r="K3290" s="6" t="inlineStr">
        <is>
          <t>Mercado externo: limite superior calculado automaticamente pela soma da oferta do produto no período.</t>
        </is>
      </c>
    </row>
    <row r="3291">
      <c r="A3291" s="6" t="inlineStr">
        <is>
          <t>Milho</t>
        </is>
      </c>
      <c r="B3291" s="6" t="inlineStr">
        <is>
          <t>Santos - SP</t>
        </is>
      </c>
      <c r="C3291" s="6" t="n">
        <v>-23.9535</v>
      </c>
      <c r="D3291" s="6" t="n">
        <v>-46.335</v>
      </c>
      <c r="E3291" s="6" t="inlineStr">
        <is>
          <t>2025-02</t>
        </is>
      </c>
      <c r="F3291" s="6" t="n"/>
      <c r="G3291" s="6" t="inlineStr">
        <is>
          <t>EXPORTACAO</t>
        </is>
      </c>
      <c r="H3291" s="6" t="inlineStr">
        <is>
          <t>AUTO_OFERTA_TOTAL_PRODUTO_PERIODO</t>
        </is>
      </c>
      <c r="I3291" s="11">
        <f>IF($H3291="AUTO_OFERTA_TOTAL_PRODUTO_PERIODO",SUMIFS(Oferta!$F:$F,Oferta!$A:$A,$A3291,Oferta!$E:$E,$E3291),$F3291)</f>
        <v/>
      </c>
      <c r="J3291" s="6" t="inlineStr">
        <is>
          <t>Derivado_da_Oferta</t>
        </is>
      </c>
      <c r="K3291" s="6" t="inlineStr">
        <is>
          <t>Mercado externo: limite superior calculado automaticamente pela soma da oferta do produto no período.</t>
        </is>
      </c>
    </row>
    <row r="3292">
      <c r="A3292" s="6" t="inlineStr">
        <is>
          <t>Milho</t>
        </is>
      </c>
      <c r="B3292" s="6" t="inlineStr">
        <is>
          <t>Santos - SP</t>
        </is>
      </c>
      <c r="C3292" s="6" t="n">
        <v>-23.9535</v>
      </c>
      <c r="D3292" s="6" t="n">
        <v>-46.335</v>
      </c>
      <c r="E3292" s="6" t="inlineStr">
        <is>
          <t>2025-03</t>
        </is>
      </c>
      <c r="F3292" s="6" t="n"/>
      <c r="G3292" s="6" t="inlineStr">
        <is>
          <t>EXPORTACAO</t>
        </is>
      </c>
      <c r="H3292" s="6" t="inlineStr">
        <is>
          <t>AUTO_OFERTA_TOTAL_PRODUTO_PERIODO</t>
        </is>
      </c>
      <c r="I3292" s="11">
        <f>IF($H3292="AUTO_OFERTA_TOTAL_PRODUTO_PERIODO",SUMIFS(Oferta!$F:$F,Oferta!$A:$A,$A3292,Oferta!$E:$E,$E3292),$F3292)</f>
        <v/>
      </c>
      <c r="J3292" s="6" t="inlineStr">
        <is>
          <t>Derivado_da_Oferta</t>
        </is>
      </c>
      <c r="K3292" s="6" t="inlineStr">
        <is>
          <t>Mercado externo: limite superior calculado automaticamente pela soma da oferta do produto no período.</t>
        </is>
      </c>
    </row>
    <row r="3293">
      <c r="A3293" s="6" t="inlineStr">
        <is>
          <t>Milho</t>
        </is>
      </c>
      <c r="B3293" s="6" t="inlineStr">
        <is>
          <t>Santos - SP</t>
        </is>
      </c>
      <c r="C3293" s="6" t="n">
        <v>-23.9535</v>
      </c>
      <c r="D3293" s="6" t="n">
        <v>-46.335</v>
      </c>
      <c r="E3293" s="6" t="inlineStr">
        <is>
          <t>2025-04</t>
        </is>
      </c>
      <c r="F3293" s="6" t="n"/>
      <c r="G3293" s="6" t="inlineStr">
        <is>
          <t>EXPORTACAO</t>
        </is>
      </c>
      <c r="H3293" s="6" t="inlineStr">
        <is>
          <t>AUTO_OFERTA_TOTAL_PRODUTO_PERIODO</t>
        </is>
      </c>
      <c r="I3293" s="11">
        <f>IF($H3293="AUTO_OFERTA_TOTAL_PRODUTO_PERIODO",SUMIFS(Oferta!$F:$F,Oferta!$A:$A,$A3293,Oferta!$E:$E,$E3293),$F3293)</f>
        <v/>
      </c>
      <c r="J3293" s="6" t="inlineStr">
        <is>
          <t>Derivado_da_Oferta</t>
        </is>
      </c>
      <c r="K3293" s="6" t="inlineStr">
        <is>
          <t>Mercado externo: limite superior calculado automaticamente pela soma da oferta do produto no período.</t>
        </is>
      </c>
    </row>
    <row r="3294">
      <c r="A3294" s="6" t="inlineStr">
        <is>
          <t>Milho</t>
        </is>
      </c>
      <c r="B3294" s="6" t="inlineStr">
        <is>
          <t>Santos - SP</t>
        </is>
      </c>
      <c r="C3294" s="6" t="n">
        <v>-23.9535</v>
      </c>
      <c r="D3294" s="6" t="n">
        <v>-46.335</v>
      </c>
      <c r="E3294" s="6" t="inlineStr">
        <is>
          <t>2025-05</t>
        </is>
      </c>
      <c r="F3294" s="6" t="n"/>
      <c r="G3294" s="6" t="inlineStr">
        <is>
          <t>EXPORTACAO</t>
        </is>
      </c>
      <c r="H3294" s="6" t="inlineStr">
        <is>
          <t>AUTO_OFERTA_TOTAL_PRODUTO_PERIODO</t>
        </is>
      </c>
      <c r="I3294" s="11">
        <f>IF($H3294="AUTO_OFERTA_TOTAL_PRODUTO_PERIODO",SUMIFS(Oferta!$F:$F,Oferta!$A:$A,$A3294,Oferta!$E:$E,$E3294),$F3294)</f>
        <v/>
      </c>
      <c r="J3294" s="6" t="inlineStr">
        <is>
          <t>Derivado_da_Oferta</t>
        </is>
      </c>
      <c r="K3294" s="6" t="inlineStr">
        <is>
          <t>Mercado externo: limite superior calculado automaticamente pela soma da oferta do produto no período.</t>
        </is>
      </c>
    </row>
    <row r="3295">
      <c r="A3295" s="6" t="inlineStr">
        <is>
          <t>Milho</t>
        </is>
      </c>
      <c r="B3295" s="6" t="inlineStr">
        <is>
          <t>Santos - SP</t>
        </is>
      </c>
      <c r="C3295" s="6" t="n">
        <v>-23.9535</v>
      </c>
      <c r="D3295" s="6" t="n">
        <v>-46.335</v>
      </c>
      <c r="E3295" s="6" t="inlineStr">
        <is>
          <t>2025-06</t>
        </is>
      </c>
      <c r="F3295" s="6" t="n"/>
      <c r="G3295" s="6" t="inlineStr">
        <is>
          <t>EXPORTACAO</t>
        </is>
      </c>
      <c r="H3295" s="6" t="inlineStr">
        <is>
          <t>AUTO_OFERTA_TOTAL_PRODUTO_PERIODO</t>
        </is>
      </c>
      <c r="I3295" s="11">
        <f>IF($H3295="AUTO_OFERTA_TOTAL_PRODUTO_PERIODO",SUMIFS(Oferta!$F:$F,Oferta!$A:$A,$A3295,Oferta!$E:$E,$E3295),$F3295)</f>
        <v/>
      </c>
      <c r="J3295" s="6" t="inlineStr">
        <is>
          <t>Derivado_da_Oferta</t>
        </is>
      </c>
      <c r="K3295" s="6" t="inlineStr">
        <is>
          <t>Mercado externo: limite superior calculado automaticamente pela soma da oferta do produto no período.</t>
        </is>
      </c>
    </row>
    <row r="3296">
      <c r="A3296" s="6" t="inlineStr">
        <is>
          <t>Milho</t>
        </is>
      </c>
      <c r="B3296" s="6" t="inlineStr">
        <is>
          <t>Santos - SP</t>
        </is>
      </c>
      <c r="C3296" s="6" t="n">
        <v>-23.9535</v>
      </c>
      <c r="D3296" s="6" t="n">
        <v>-46.335</v>
      </c>
      <c r="E3296" s="6" t="inlineStr">
        <is>
          <t>2025-07</t>
        </is>
      </c>
      <c r="F3296" s="6" t="n"/>
      <c r="G3296" s="6" t="inlineStr">
        <is>
          <t>EXPORTACAO</t>
        </is>
      </c>
      <c r="H3296" s="6" t="inlineStr">
        <is>
          <t>AUTO_OFERTA_TOTAL_PRODUTO_PERIODO</t>
        </is>
      </c>
      <c r="I3296" s="11">
        <f>IF($H3296="AUTO_OFERTA_TOTAL_PRODUTO_PERIODO",SUMIFS(Oferta!$F:$F,Oferta!$A:$A,$A3296,Oferta!$E:$E,$E3296),$F3296)</f>
        <v/>
      </c>
      <c r="J3296" s="6" t="inlineStr">
        <is>
          <t>Derivado_da_Oferta</t>
        </is>
      </c>
      <c r="K3296" s="6" t="inlineStr">
        <is>
          <t>Mercado externo: limite superior calculado automaticamente pela soma da oferta do produto no período.</t>
        </is>
      </c>
    </row>
    <row r="3297">
      <c r="A3297" s="6" t="inlineStr">
        <is>
          <t>Milho</t>
        </is>
      </c>
      <c r="B3297" s="6" t="inlineStr">
        <is>
          <t>Santos - SP</t>
        </is>
      </c>
      <c r="C3297" s="6" t="n">
        <v>-23.9535</v>
      </c>
      <c r="D3297" s="6" t="n">
        <v>-46.335</v>
      </c>
      <c r="E3297" s="6" t="inlineStr">
        <is>
          <t>2025-08</t>
        </is>
      </c>
      <c r="F3297" s="6" t="n"/>
      <c r="G3297" s="6" t="inlineStr">
        <is>
          <t>EXPORTACAO</t>
        </is>
      </c>
      <c r="H3297" s="6" t="inlineStr">
        <is>
          <t>AUTO_OFERTA_TOTAL_PRODUTO_PERIODO</t>
        </is>
      </c>
      <c r="I3297" s="11">
        <f>IF($H3297="AUTO_OFERTA_TOTAL_PRODUTO_PERIODO",SUMIFS(Oferta!$F:$F,Oferta!$A:$A,$A3297,Oferta!$E:$E,$E3297),$F3297)</f>
        <v/>
      </c>
      <c r="J3297" s="6" t="inlineStr">
        <is>
          <t>Derivado_da_Oferta</t>
        </is>
      </c>
      <c r="K3297" s="6" t="inlineStr">
        <is>
          <t>Mercado externo: limite superior calculado automaticamente pela soma da oferta do produto no período.</t>
        </is>
      </c>
    </row>
    <row r="3298">
      <c r="A3298" s="6" t="inlineStr">
        <is>
          <t>Milho</t>
        </is>
      </c>
      <c r="B3298" s="6" t="inlineStr">
        <is>
          <t>Santos - SP</t>
        </is>
      </c>
      <c r="C3298" s="6" t="n">
        <v>-23.9535</v>
      </c>
      <c r="D3298" s="6" t="n">
        <v>-46.335</v>
      </c>
      <c r="E3298" s="6" t="inlineStr">
        <is>
          <t>2025-09</t>
        </is>
      </c>
      <c r="F3298" s="6" t="n"/>
      <c r="G3298" s="6" t="inlineStr">
        <is>
          <t>EXPORTACAO</t>
        </is>
      </c>
      <c r="H3298" s="6" t="inlineStr">
        <is>
          <t>AUTO_OFERTA_TOTAL_PRODUTO_PERIODO</t>
        </is>
      </c>
      <c r="I3298" s="11">
        <f>IF($H3298="AUTO_OFERTA_TOTAL_PRODUTO_PERIODO",SUMIFS(Oferta!$F:$F,Oferta!$A:$A,$A3298,Oferta!$E:$E,$E3298),$F3298)</f>
        <v/>
      </c>
      <c r="J3298" s="6" t="inlineStr">
        <is>
          <t>Derivado_da_Oferta</t>
        </is>
      </c>
      <c r="K3298" s="6" t="inlineStr">
        <is>
          <t>Mercado externo: limite superior calculado automaticamente pela soma da oferta do produto no período.</t>
        </is>
      </c>
    </row>
    <row r="3299">
      <c r="A3299" s="6" t="inlineStr">
        <is>
          <t>Milho</t>
        </is>
      </c>
      <c r="B3299" s="6" t="inlineStr">
        <is>
          <t>Santos - SP</t>
        </is>
      </c>
      <c r="C3299" s="6" t="n">
        <v>-23.9535</v>
      </c>
      <c r="D3299" s="6" t="n">
        <v>-46.335</v>
      </c>
      <c r="E3299" s="6" t="inlineStr">
        <is>
          <t>2025-10</t>
        </is>
      </c>
      <c r="F3299" s="6" t="n"/>
      <c r="G3299" s="6" t="inlineStr">
        <is>
          <t>EXPORTACAO</t>
        </is>
      </c>
      <c r="H3299" s="6" t="inlineStr">
        <is>
          <t>AUTO_OFERTA_TOTAL_PRODUTO_PERIODO</t>
        </is>
      </c>
      <c r="I3299" s="11">
        <f>IF($H3299="AUTO_OFERTA_TOTAL_PRODUTO_PERIODO",SUMIFS(Oferta!$F:$F,Oferta!$A:$A,$A3299,Oferta!$E:$E,$E3299),$F3299)</f>
        <v/>
      </c>
      <c r="J3299" s="6" t="inlineStr">
        <is>
          <t>Derivado_da_Oferta</t>
        </is>
      </c>
      <c r="K3299" s="6" t="inlineStr">
        <is>
          <t>Mercado externo: limite superior calculado automaticamente pela soma da oferta do produto no período.</t>
        </is>
      </c>
    </row>
    <row r="3300">
      <c r="A3300" s="6" t="inlineStr">
        <is>
          <t>Milho</t>
        </is>
      </c>
      <c r="B3300" s="6" t="inlineStr">
        <is>
          <t>Santos - SP</t>
        </is>
      </c>
      <c r="C3300" s="6" t="n">
        <v>-23.9535</v>
      </c>
      <c r="D3300" s="6" t="n">
        <v>-46.335</v>
      </c>
      <c r="E3300" s="6" t="inlineStr">
        <is>
          <t>2025-11</t>
        </is>
      </c>
      <c r="F3300" s="6" t="n"/>
      <c r="G3300" s="6" t="inlineStr">
        <is>
          <t>EXPORTACAO</t>
        </is>
      </c>
      <c r="H3300" s="6" t="inlineStr">
        <is>
          <t>AUTO_OFERTA_TOTAL_PRODUTO_PERIODO</t>
        </is>
      </c>
      <c r="I3300" s="11">
        <f>IF($H3300="AUTO_OFERTA_TOTAL_PRODUTO_PERIODO",SUMIFS(Oferta!$F:$F,Oferta!$A:$A,$A3300,Oferta!$E:$E,$E3300),$F3300)</f>
        <v/>
      </c>
      <c r="J3300" s="6" t="inlineStr">
        <is>
          <t>Derivado_da_Oferta</t>
        </is>
      </c>
      <c r="K3300" s="6" t="inlineStr">
        <is>
          <t>Mercado externo: limite superior calculado automaticamente pela soma da oferta do produto no período.</t>
        </is>
      </c>
    </row>
    <row r="3301">
      <c r="A3301" s="6" t="inlineStr">
        <is>
          <t>Milho</t>
        </is>
      </c>
      <c r="B3301" s="6" t="inlineStr">
        <is>
          <t>Santos - SP</t>
        </is>
      </c>
      <c r="C3301" s="6" t="n">
        <v>-23.9535</v>
      </c>
      <c r="D3301" s="6" t="n">
        <v>-46.335</v>
      </c>
      <c r="E3301" s="6" t="inlineStr">
        <is>
          <t>2025-12</t>
        </is>
      </c>
      <c r="F3301" s="6" t="n"/>
      <c r="G3301" s="6" t="inlineStr">
        <is>
          <t>EXPORTACAO</t>
        </is>
      </c>
      <c r="H3301" s="6" t="inlineStr">
        <is>
          <t>AUTO_OFERTA_TOTAL_PRODUTO_PERIODO</t>
        </is>
      </c>
      <c r="I3301" s="11">
        <f>IF($H3301="AUTO_OFERTA_TOTAL_PRODUTO_PERIODO",SUMIFS(Oferta!$F:$F,Oferta!$A:$A,$A3301,Oferta!$E:$E,$E3301),$F3301)</f>
        <v/>
      </c>
      <c r="J3301" s="6" t="inlineStr">
        <is>
          <t>Derivado_da_Oferta</t>
        </is>
      </c>
      <c r="K3301" s="6" t="inlineStr">
        <is>
          <t>Mercado externo: limite superior calculado automaticamente pela soma da oferta do produto no período.</t>
        </is>
      </c>
    </row>
    <row r="3302">
      <c r="A3302" s="6" t="inlineStr">
        <is>
          <t>Soja</t>
        </is>
      </c>
      <c r="B3302" s="6" t="inlineStr">
        <is>
          <t>Santos - SP</t>
        </is>
      </c>
      <c r="C3302" s="6" t="n">
        <v>-23.9535</v>
      </c>
      <c r="D3302" s="6" t="n">
        <v>-46.335</v>
      </c>
      <c r="E3302" s="6" t="inlineStr">
        <is>
          <t>2021-01</t>
        </is>
      </c>
      <c r="F3302" s="6" t="n"/>
      <c r="G3302" s="6" t="inlineStr">
        <is>
          <t>EXPORTACAO</t>
        </is>
      </c>
      <c r="H3302" s="6" t="inlineStr">
        <is>
          <t>AUTO_OFERTA_TOTAL_PRODUTO_PERIODO</t>
        </is>
      </c>
      <c r="I3302" s="11">
        <f>IF($H3302="AUTO_OFERTA_TOTAL_PRODUTO_PERIODO",SUMIFS(Oferta!$F:$F,Oferta!$A:$A,$A3302,Oferta!$E:$E,$E3302),$F3302)</f>
        <v/>
      </c>
      <c r="J3302" s="6" t="inlineStr">
        <is>
          <t>Derivado_da_Oferta</t>
        </is>
      </c>
      <c r="K3302" s="6" t="inlineStr">
        <is>
          <t>Mercado externo: limite superior calculado automaticamente pela soma da oferta do produto no período.</t>
        </is>
      </c>
    </row>
    <row r="3303">
      <c r="A3303" s="6" t="inlineStr">
        <is>
          <t>Soja</t>
        </is>
      </c>
      <c r="B3303" s="6" t="inlineStr">
        <is>
          <t>Santos - SP</t>
        </is>
      </c>
      <c r="C3303" s="6" t="n">
        <v>-23.9535</v>
      </c>
      <c r="D3303" s="6" t="n">
        <v>-46.335</v>
      </c>
      <c r="E3303" s="6" t="inlineStr">
        <is>
          <t>2021-02</t>
        </is>
      </c>
      <c r="F3303" s="6" t="n"/>
      <c r="G3303" s="6" t="inlineStr">
        <is>
          <t>EXPORTACAO</t>
        </is>
      </c>
      <c r="H3303" s="6" t="inlineStr">
        <is>
          <t>AUTO_OFERTA_TOTAL_PRODUTO_PERIODO</t>
        </is>
      </c>
      <c r="I3303" s="11">
        <f>IF($H3303="AUTO_OFERTA_TOTAL_PRODUTO_PERIODO",SUMIFS(Oferta!$F:$F,Oferta!$A:$A,$A3303,Oferta!$E:$E,$E3303),$F3303)</f>
        <v/>
      </c>
      <c r="J3303" s="6" t="inlineStr">
        <is>
          <t>Derivado_da_Oferta</t>
        </is>
      </c>
      <c r="K3303" s="6" t="inlineStr">
        <is>
          <t>Mercado externo: limite superior calculado automaticamente pela soma da oferta do produto no período.</t>
        </is>
      </c>
    </row>
    <row r="3304">
      <c r="A3304" s="6" t="inlineStr">
        <is>
          <t>Soja</t>
        </is>
      </c>
      <c r="B3304" s="6" t="inlineStr">
        <is>
          <t>Santos - SP</t>
        </is>
      </c>
      <c r="C3304" s="6" t="n">
        <v>-23.9535</v>
      </c>
      <c r="D3304" s="6" t="n">
        <v>-46.335</v>
      </c>
      <c r="E3304" s="6" t="inlineStr">
        <is>
          <t>2021-03</t>
        </is>
      </c>
      <c r="F3304" s="6" t="n"/>
      <c r="G3304" s="6" t="inlineStr">
        <is>
          <t>EXPORTACAO</t>
        </is>
      </c>
      <c r="H3304" s="6" t="inlineStr">
        <is>
          <t>AUTO_OFERTA_TOTAL_PRODUTO_PERIODO</t>
        </is>
      </c>
      <c r="I3304" s="11">
        <f>IF($H3304="AUTO_OFERTA_TOTAL_PRODUTO_PERIODO",SUMIFS(Oferta!$F:$F,Oferta!$A:$A,$A3304,Oferta!$E:$E,$E3304),$F3304)</f>
        <v/>
      </c>
      <c r="J3304" s="6" t="inlineStr">
        <is>
          <t>Derivado_da_Oferta</t>
        </is>
      </c>
      <c r="K3304" s="6" t="inlineStr">
        <is>
          <t>Mercado externo: limite superior calculado automaticamente pela soma da oferta do produto no período.</t>
        </is>
      </c>
    </row>
    <row r="3305">
      <c r="A3305" s="6" t="inlineStr">
        <is>
          <t>Soja</t>
        </is>
      </c>
      <c r="B3305" s="6" t="inlineStr">
        <is>
          <t>Santos - SP</t>
        </is>
      </c>
      <c r="C3305" s="6" t="n">
        <v>-23.9535</v>
      </c>
      <c r="D3305" s="6" t="n">
        <v>-46.335</v>
      </c>
      <c r="E3305" s="6" t="inlineStr">
        <is>
          <t>2021-04</t>
        </is>
      </c>
      <c r="F3305" s="6" t="n"/>
      <c r="G3305" s="6" t="inlineStr">
        <is>
          <t>EXPORTACAO</t>
        </is>
      </c>
      <c r="H3305" s="6" t="inlineStr">
        <is>
          <t>AUTO_OFERTA_TOTAL_PRODUTO_PERIODO</t>
        </is>
      </c>
      <c r="I3305" s="11">
        <f>IF($H3305="AUTO_OFERTA_TOTAL_PRODUTO_PERIODO",SUMIFS(Oferta!$F:$F,Oferta!$A:$A,$A3305,Oferta!$E:$E,$E3305),$F3305)</f>
        <v/>
      </c>
      <c r="J3305" s="6" t="inlineStr">
        <is>
          <t>Derivado_da_Oferta</t>
        </is>
      </c>
      <c r="K3305" s="6" t="inlineStr">
        <is>
          <t>Mercado externo: limite superior calculado automaticamente pela soma da oferta do produto no período.</t>
        </is>
      </c>
    </row>
    <row r="3306">
      <c r="A3306" s="6" t="inlineStr">
        <is>
          <t>Soja</t>
        </is>
      </c>
      <c r="B3306" s="6" t="inlineStr">
        <is>
          <t>Santos - SP</t>
        </is>
      </c>
      <c r="C3306" s="6" t="n">
        <v>-23.9535</v>
      </c>
      <c r="D3306" s="6" t="n">
        <v>-46.335</v>
      </c>
      <c r="E3306" s="6" t="inlineStr">
        <is>
          <t>2021-05</t>
        </is>
      </c>
      <c r="F3306" s="6" t="n"/>
      <c r="G3306" s="6" t="inlineStr">
        <is>
          <t>EXPORTACAO</t>
        </is>
      </c>
      <c r="H3306" s="6" t="inlineStr">
        <is>
          <t>AUTO_OFERTA_TOTAL_PRODUTO_PERIODO</t>
        </is>
      </c>
      <c r="I3306" s="11">
        <f>IF($H3306="AUTO_OFERTA_TOTAL_PRODUTO_PERIODO",SUMIFS(Oferta!$F:$F,Oferta!$A:$A,$A3306,Oferta!$E:$E,$E3306),$F3306)</f>
        <v/>
      </c>
      <c r="J3306" s="6" t="inlineStr">
        <is>
          <t>Derivado_da_Oferta</t>
        </is>
      </c>
      <c r="K3306" s="6" t="inlineStr">
        <is>
          <t>Mercado externo: limite superior calculado automaticamente pela soma da oferta do produto no período.</t>
        </is>
      </c>
    </row>
    <row r="3307">
      <c r="A3307" s="6" t="inlineStr">
        <is>
          <t>Soja</t>
        </is>
      </c>
      <c r="B3307" s="6" t="inlineStr">
        <is>
          <t>Santos - SP</t>
        </is>
      </c>
      <c r="C3307" s="6" t="n">
        <v>-23.9535</v>
      </c>
      <c r="D3307" s="6" t="n">
        <v>-46.335</v>
      </c>
      <c r="E3307" s="6" t="inlineStr">
        <is>
          <t>2021-06</t>
        </is>
      </c>
      <c r="F3307" s="6" t="n"/>
      <c r="G3307" s="6" t="inlineStr">
        <is>
          <t>EXPORTACAO</t>
        </is>
      </c>
      <c r="H3307" s="6" t="inlineStr">
        <is>
          <t>AUTO_OFERTA_TOTAL_PRODUTO_PERIODO</t>
        </is>
      </c>
      <c r="I3307" s="11">
        <f>IF($H3307="AUTO_OFERTA_TOTAL_PRODUTO_PERIODO",SUMIFS(Oferta!$F:$F,Oferta!$A:$A,$A3307,Oferta!$E:$E,$E3307),$F3307)</f>
        <v/>
      </c>
      <c r="J3307" s="6" t="inlineStr">
        <is>
          <t>Derivado_da_Oferta</t>
        </is>
      </c>
      <c r="K3307" s="6" t="inlineStr">
        <is>
          <t>Mercado externo: limite superior calculado automaticamente pela soma da oferta do produto no período.</t>
        </is>
      </c>
    </row>
    <row r="3308">
      <c r="A3308" s="6" t="inlineStr">
        <is>
          <t>Soja</t>
        </is>
      </c>
      <c r="B3308" s="6" t="inlineStr">
        <is>
          <t>Santos - SP</t>
        </is>
      </c>
      <c r="C3308" s="6" t="n">
        <v>-23.9535</v>
      </c>
      <c r="D3308" s="6" t="n">
        <v>-46.335</v>
      </c>
      <c r="E3308" s="6" t="inlineStr">
        <is>
          <t>2021-07</t>
        </is>
      </c>
      <c r="F3308" s="6" t="n"/>
      <c r="G3308" s="6" t="inlineStr">
        <is>
          <t>EXPORTACAO</t>
        </is>
      </c>
      <c r="H3308" s="6" t="inlineStr">
        <is>
          <t>AUTO_OFERTA_TOTAL_PRODUTO_PERIODO</t>
        </is>
      </c>
      <c r="I3308" s="11">
        <f>IF($H3308="AUTO_OFERTA_TOTAL_PRODUTO_PERIODO",SUMIFS(Oferta!$F:$F,Oferta!$A:$A,$A3308,Oferta!$E:$E,$E3308),$F3308)</f>
        <v/>
      </c>
      <c r="J3308" s="6" t="inlineStr">
        <is>
          <t>Derivado_da_Oferta</t>
        </is>
      </c>
      <c r="K3308" s="6" t="inlineStr">
        <is>
          <t>Mercado externo: limite superior calculado automaticamente pela soma da oferta do produto no período.</t>
        </is>
      </c>
    </row>
    <row r="3309">
      <c r="A3309" s="6" t="inlineStr">
        <is>
          <t>Soja</t>
        </is>
      </c>
      <c r="B3309" s="6" t="inlineStr">
        <is>
          <t>Santos - SP</t>
        </is>
      </c>
      <c r="C3309" s="6" t="n">
        <v>-23.9535</v>
      </c>
      <c r="D3309" s="6" t="n">
        <v>-46.335</v>
      </c>
      <c r="E3309" s="6" t="inlineStr">
        <is>
          <t>2021-08</t>
        </is>
      </c>
      <c r="F3309" s="6" t="n"/>
      <c r="G3309" s="6" t="inlineStr">
        <is>
          <t>EXPORTACAO</t>
        </is>
      </c>
      <c r="H3309" s="6" t="inlineStr">
        <is>
          <t>AUTO_OFERTA_TOTAL_PRODUTO_PERIODO</t>
        </is>
      </c>
      <c r="I3309" s="11">
        <f>IF($H3309="AUTO_OFERTA_TOTAL_PRODUTO_PERIODO",SUMIFS(Oferta!$F:$F,Oferta!$A:$A,$A3309,Oferta!$E:$E,$E3309),$F3309)</f>
        <v/>
      </c>
      <c r="J3309" s="6" t="inlineStr">
        <is>
          <t>Derivado_da_Oferta</t>
        </is>
      </c>
      <c r="K3309" s="6" t="inlineStr">
        <is>
          <t>Mercado externo: limite superior calculado automaticamente pela soma da oferta do produto no período.</t>
        </is>
      </c>
    </row>
    <row r="3310">
      <c r="A3310" s="6" t="inlineStr">
        <is>
          <t>Soja</t>
        </is>
      </c>
      <c r="B3310" s="6" t="inlineStr">
        <is>
          <t>Santos - SP</t>
        </is>
      </c>
      <c r="C3310" s="6" t="n">
        <v>-23.9535</v>
      </c>
      <c r="D3310" s="6" t="n">
        <v>-46.335</v>
      </c>
      <c r="E3310" s="6" t="inlineStr">
        <is>
          <t>2021-09</t>
        </is>
      </c>
      <c r="F3310" s="6" t="n"/>
      <c r="G3310" s="6" t="inlineStr">
        <is>
          <t>EXPORTACAO</t>
        </is>
      </c>
      <c r="H3310" s="6" t="inlineStr">
        <is>
          <t>AUTO_OFERTA_TOTAL_PRODUTO_PERIODO</t>
        </is>
      </c>
      <c r="I3310" s="11">
        <f>IF($H3310="AUTO_OFERTA_TOTAL_PRODUTO_PERIODO",SUMIFS(Oferta!$F:$F,Oferta!$A:$A,$A3310,Oferta!$E:$E,$E3310),$F3310)</f>
        <v/>
      </c>
      <c r="J3310" s="6" t="inlineStr">
        <is>
          <t>Derivado_da_Oferta</t>
        </is>
      </c>
      <c r="K3310" s="6" t="inlineStr">
        <is>
          <t>Mercado externo: limite superior calculado automaticamente pela soma da oferta do produto no período.</t>
        </is>
      </c>
    </row>
    <row r="3311">
      <c r="A3311" s="6" t="inlineStr">
        <is>
          <t>Soja</t>
        </is>
      </c>
      <c r="B3311" s="6" t="inlineStr">
        <is>
          <t>Santos - SP</t>
        </is>
      </c>
      <c r="C3311" s="6" t="n">
        <v>-23.9535</v>
      </c>
      <c r="D3311" s="6" t="n">
        <v>-46.335</v>
      </c>
      <c r="E3311" s="6" t="inlineStr">
        <is>
          <t>2021-10</t>
        </is>
      </c>
      <c r="F3311" s="6" t="n"/>
      <c r="G3311" s="6" t="inlineStr">
        <is>
          <t>EXPORTACAO</t>
        </is>
      </c>
      <c r="H3311" s="6" t="inlineStr">
        <is>
          <t>AUTO_OFERTA_TOTAL_PRODUTO_PERIODO</t>
        </is>
      </c>
      <c r="I3311" s="11">
        <f>IF($H3311="AUTO_OFERTA_TOTAL_PRODUTO_PERIODO",SUMIFS(Oferta!$F:$F,Oferta!$A:$A,$A3311,Oferta!$E:$E,$E3311),$F3311)</f>
        <v/>
      </c>
      <c r="J3311" s="6" t="inlineStr">
        <is>
          <t>Derivado_da_Oferta</t>
        </is>
      </c>
      <c r="K3311" s="6" t="inlineStr">
        <is>
          <t>Mercado externo: limite superior calculado automaticamente pela soma da oferta do produto no período.</t>
        </is>
      </c>
    </row>
    <row r="3312">
      <c r="A3312" s="6" t="inlineStr">
        <is>
          <t>Soja</t>
        </is>
      </c>
      <c r="B3312" s="6" t="inlineStr">
        <is>
          <t>Santos - SP</t>
        </is>
      </c>
      <c r="C3312" s="6" t="n">
        <v>-23.9535</v>
      </c>
      <c r="D3312" s="6" t="n">
        <v>-46.335</v>
      </c>
      <c r="E3312" s="6" t="inlineStr">
        <is>
          <t>2021-11</t>
        </is>
      </c>
      <c r="F3312" s="6" t="n"/>
      <c r="G3312" s="6" t="inlineStr">
        <is>
          <t>EXPORTACAO</t>
        </is>
      </c>
      <c r="H3312" s="6" t="inlineStr">
        <is>
          <t>AUTO_OFERTA_TOTAL_PRODUTO_PERIODO</t>
        </is>
      </c>
      <c r="I3312" s="11">
        <f>IF($H3312="AUTO_OFERTA_TOTAL_PRODUTO_PERIODO",SUMIFS(Oferta!$F:$F,Oferta!$A:$A,$A3312,Oferta!$E:$E,$E3312),$F3312)</f>
        <v/>
      </c>
      <c r="J3312" s="6" t="inlineStr">
        <is>
          <t>Derivado_da_Oferta</t>
        </is>
      </c>
      <c r="K3312" s="6" t="inlineStr">
        <is>
          <t>Mercado externo: limite superior calculado automaticamente pela soma da oferta do produto no período.</t>
        </is>
      </c>
    </row>
    <row r="3313">
      <c r="A3313" s="6" t="inlineStr">
        <is>
          <t>Soja</t>
        </is>
      </c>
      <c r="B3313" s="6" t="inlineStr">
        <is>
          <t>Santos - SP</t>
        </is>
      </c>
      <c r="C3313" s="6" t="n">
        <v>-23.9535</v>
      </c>
      <c r="D3313" s="6" t="n">
        <v>-46.335</v>
      </c>
      <c r="E3313" s="6" t="inlineStr">
        <is>
          <t>2021-12</t>
        </is>
      </c>
      <c r="F3313" s="6" t="n"/>
      <c r="G3313" s="6" t="inlineStr">
        <is>
          <t>EXPORTACAO</t>
        </is>
      </c>
      <c r="H3313" s="6" t="inlineStr">
        <is>
          <t>AUTO_OFERTA_TOTAL_PRODUTO_PERIODO</t>
        </is>
      </c>
      <c r="I3313" s="11">
        <f>IF($H3313="AUTO_OFERTA_TOTAL_PRODUTO_PERIODO",SUMIFS(Oferta!$F:$F,Oferta!$A:$A,$A3313,Oferta!$E:$E,$E3313),$F3313)</f>
        <v/>
      </c>
      <c r="J3313" s="6" t="inlineStr">
        <is>
          <t>Derivado_da_Oferta</t>
        </is>
      </c>
      <c r="K3313" s="6" t="inlineStr">
        <is>
          <t>Mercado externo: limite superior calculado automaticamente pela soma da oferta do produto no período.</t>
        </is>
      </c>
    </row>
    <row r="3314">
      <c r="A3314" s="6" t="inlineStr">
        <is>
          <t>Soja</t>
        </is>
      </c>
      <c r="B3314" s="6" t="inlineStr">
        <is>
          <t>Santos - SP</t>
        </is>
      </c>
      <c r="C3314" s="6" t="n">
        <v>-23.9535</v>
      </c>
      <c r="D3314" s="6" t="n">
        <v>-46.335</v>
      </c>
      <c r="E3314" s="6" t="inlineStr">
        <is>
          <t>2022-01</t>
        </is>
      </c>
      <c r="F3314" s="6" t="n"/>
      <c r="G3314" s="6" t="inlineStr">
        <is>
          <t>EXPORTACAO</t>
        </is>
      </c>
      <c r="H3314" s="6" t="inlineStr">
        <is>
          <t>AUTO_OFERTA_TOTAL_PRODUTO_PERIODO</t>
        </is>
      </c>
      <c r="I3314" s="11">
        <f>IF($H3314="AUTO_OFERTA_TOTAL_PRODUTO_PERIODO",SUMIFS(Oferta!$F:$F,Oferta!$A:$A,$A3314,Oferta!$E:$E,$E3314),$F3314)</f>
        <v/>
      </c>
      <c r="J3314" s="6" t="inlineStr">
        <is>
          <t>Derivado_da_Oferta</t>
        </is>
      </c>
      <c r="K3314" s="6" t="inlineStr">
        <is>
          <t>Mercado externo: limite superior calculado automaticamente pela soma da oferta do produto no período.</t>
        </is>
      </c>
    </row>
    <row r="3315">
      <c r="A3315" s="6" t="inlineStr">
        <is>
          <t>Soja</t>
        </is>
      </c>
      <c r="B3315" s="6" t="inlineStr">
        <is>
          <t>Santos - SP</t>
        </is>
      </c>
      <c r="C3315" s="6" t="n">
        <v>-23.9535</v>
      </c>
      <c r="D3315" s="6" t="n">
        <v>-46.335</v>
      </c>
      <c r="E3315" s="6" t="inlineStr">
        <is>
          <t>2022-02</t>
        </is>
      </c>
      <c r="F3315" s="6" t="n"/>
      <c r="G3315" s="6" t="inlineStr">
        <is>
          <t>EXPORTACAO</t>
        </is>
      </c>
      <c r="H3315" s="6" t="inlineStr">
        <is>
          <t>AUTO_OFERTA_TOTAL_PRODUTO_PERIODO</t>
        </is>
      </c>
      <c r="I3315" s="11">
        <f>IF($H3315="AUTO_OFERTA_TOTAL_PRODUTO_PERIODO",SUMIFS(Oferta!$F:$F,Oferta!$A:$A,$A3315,Oferta!$E:$E,$E3315),$F3315)</f>
        <v/>
      </c>
      <c r="J3315" s="6" t="inlineStr">
        <is>
          <t>Derivado_da_Oferta</t>
        </is>
      </c>
      <c r="K3315" s="6" t="inlineStr">
        <is>
          <t>Mercado externo: limite superior calculado automaticamente pela soma da oferta do produto no período.</t>
        </is>
      </c>
    </row>
    <row r="3316">
      <c r="A3316" s="6" t="inlineStr">
        <is>
          <t>Soja</t>
        </is>
      </c>
      <c r="B3316" s="6" t="inlineStr">
        <is>
          <t>Santos - SP</t>
        </is>
      </c>
      <c r="C3316" s="6" t="n">
        <v>-23.9535</v>
      </c>
      <c r="D3316" s="6" t="n">
        <v>-46.335</v>
      </c>
      <c r="E3316" s="6" t="inlineStr">
        <is>
          <t>2022-03</t>
        </is>
      </c>
      <c r="F3316" s="6" t="n"/>
      <c r="G3316" s="6" t="inlineStr">
        <is>
          <t>EXPORTACAO</t>
        </is>
      </c>
      <c r="H3316" s="6" t="inlineStr">
        <is>
          <t>AUTO_OFERTA_TOTAL_PRODUTO_PERIODO</t>
        </is>
      </c>
      <c r="I3316" s="11">
        <f>IF($H3316="AUTO_OFERTA_TOTAL_PRODUTO_PERIODO",SUMIFS(Oferta!$F:$F,Oferta!$A:$A,$A3316,Oferta!$E:$E,$E3316),$F3316)</f>
        <v/>
      </c>
      <c r="J3316" s="6" t="inlineStr">
        <is>
          <t>Derivado_da_Oferta</t>
        </is>
      </c>
      <c r="K3316" s="6" t="inlineStr">
        <is>
          <t>Mercado externo: limite superior calculado automaticamente pela soma da oferta do produto no período.</t>
        </is>
      </c>
    </row>
    <row r="3317">
      <c r="A3317" s="6" t="inlineStr">
        <is>
          <t>Soja</t>
        </is>
      </c>
      <c r="B3317" s="6" t="inlineStr">
        <is>
          <t>Santos - SP</t>
        </is>
      </c>
      <c r="C3317" s="6" t="n">
        <v>-23.9535</v>
      </c>
      <c r="D3317" s="6" t="n">
        <v>-46.335</v>
      </c>
      <c r="E3317" s="6" t="inlineStr">
        <is>
          <t>2022-04</t>
        </is>
      </c>
      <c r="F3317" s="6" t="n"/>
      <c r="G3317" s="6" t="inlineStr">
        <is>
          <t>EXPORTACAO</t>
        </is>
      </c>
      <c r="H3317" s="6" t="inlineStr">
        <is>
          <t>AUTO_OFERTA_TOTAL_PRODUTO_PERIODO</t>
        </is>
      </c>
      <c r="I3317" s="11">
        <f>IF($H3317="AUTO_OFERTA_TOTAL_PRODUTO_PERIODO",SUMIFS(Oferta!$F:$F,Oferta!$A:$A,$A3317,Oferta!$E:$E,$E3317),$F3317)</f>
        <v/>
      </c>
      <c r="J3317" s="6" t="inlineStr">
        <is>
          <t>Derivado_da_Oferta</t>
        </is>
      </c>
      <c r="K3317" s="6" t="inlineStr">
        <is>
          <t>Mercado externo: limite superior calculado automaticamente pela soma da oferta do produto no período.</t>
        </is>
      </c>
    </row>
    <row r="3318">
      <c r="A3318" s="6" t="inlineStr">
        <is>
          <t>Soja</t>
        </is>
      </c>
      <c r="B3318" s="6" t="inlineStr">
        <is>
          <t>Santos - SP</t>
        </is>
      </c>
      <c r="C3318" s="6" t="n">
        <v>-23.9535</v>
      </c>
      <c r="D3318" s="6" t="n">
        <v>-46.335</v>
      </c>
      <c r="E3318" s="6" t="inlineStr">
        <is>
          <t>2022-05</t>
        </is>
      </c>
      <c r="F3318" s="6" t="n"/>
      <c r="G3318" s="6" t="inlineStr">
        <is>
          <t>EXPORTACAO</t>
        </is>
      </c>
      <c r="H3318" s="6" t="inlineStr">
        <is>
          <t>AUTO_OFERTA_TOTAL_PRODUTO_PERIODO</t>
        </is>
      </c>
      <c r="I3318" s="11">
        <f>IF($H3318="AUTO_OFERTA_TOTAL_PRODUTO_PERIODO",SUMIFS(Oferta!$F:$F,Oferta!$A:$A,$A3318,Oferta!$E:$E,$E3318),$F3318)</f>
        <v/>
      </c>
      <c r="J3318" s="6" t="inlineStr">
        <is>
          <t>Derivado_da_Oferta</t>
        </is>
      </c>
      <c r="K3318" s="6" t="inlineStr">
        <is>
          <t>Mercado externo: limite superior calculado automaticamente pela soma da oferta do produto no período.</t>
        </is>
      </c>
    </row>
    <row r="3319">
      <c r="A3319" s="6" t="inlineStr">
        <is>
          <t>Soja</t>
        </is>
      </c>
      <c r="B3319" s="6" t="inlineStr">
        <is>
          <t>Santos - SP</t>
        </is>
      </c>
      <c r="C3319" s="6" t="n">
        <v>-23.9535</v>
      </c>
      <c r="D3319" s="6" t="n">
        <v>-46.335</v>
      </c>
      <c r="E3319" s="6" t="inlineStr">
        <is>
          <t>2022-06</t>
        </is>
      </c>
      <c r="F3319" s="6" t="n"/>
      <c r="G3319" s="6" t="inlineStr">
        <is>
          <t>EXPORTACAO</t>
        </is>
      </c>
      <c r="H3319" s="6" t="inlineStr">
        <is>
          <t>AUTO_OFERTA_TOTAL_PRODUTO_PERIODO</t>
        </is>
      </c>
      <c r="I3319" s="11">
        <f>IF($H3319="AUTO_OFERTA_TOTAL_PRODUTO_PERIODO",SUMIFS(Oferta!$F:$F,Oferta!$A:$A,$A3319,Oferta!$E:$E,$E3319),$F3319)</f>
        <v/>
      </c>
      <c r="J3319" s="6" t="inlineStr">
        <is>
          <t>Derivado_da_Oferta</t>
        </is>
      </c>
      <c r="K3319" s="6" t="inlineStr">
        <is>
          <t>Mercado externo: limite superior calculado automaticamente pela soma da oferta do produto no período.</t>
        </is>
      </c>
    </row>
    <row r="3320">
      <c r="A3320" s="6" t="inlineStr">
        <is>
          <t>Soja</t>
        </is>
      </c>
      <c r="B3320" s="6" t="inlineStr">
        <is>
          <t>Santos - SP</t>
        </is>
      </c>
      <c r="C3320" s="6" t="n">
        <v>-23.9535</v>
      </c>
      <c r="D3320" s="6" t="n">
        <v>-46.335</v>
      </c>
      <c r="E3320" s="6" t="inlineStr">
        <is>
          <t>2022-07</t>
        </is>
      </c>
      <c r="F3320" s="6" t="n"/>
      <c r="G3320" s="6" t="inlineStr">
        <is>
          <t>EXPORTACAO</t>
        </is>
      </c>
      <c r="H3320" s="6" t="inlineStr">
        <is>
          <t>AUTO_OFERTA_TOTAL_PRODUTO_PERIODO</t>
        </is>
      </c>
      <c r="I3320" s="11">
        <f>IF($H3320="AUTO_OFERTA_TOTAL_PRODUTO_PERIODO",SUMIFS(Oferta!$F:$F,Oferta!$A:$A,$A3320,Oferta!$E:$E,$E3320),$F3320)</f>
        <v/>
      </c>
      <c r="J3320" s="6" t="inlineStr">
        <is>
          <t>Derivado_da_Oferta</t>
        </is>
      </c>
      <c r="K3320" s="6" t="inlineStr">
        <is>
          <t>Mercado externo: limite superior calculado automaticamente pela soma da oferta do produto no período.</t>
        </is>
      </c>
    </row>
    <row r="3321">
      <c r="A3321" s="6" t="inlineStr">
        <is>
          <t>Soja</t>
        </is>
      </c>
      <c r="B3321" s="6" t="inlineStr">
        <is>
          <t>Santos - SP</t>
        </is>
      </c>
      <c r="C3321" s="6" t="n">
        <v>-23.9535</v>
      </c>
      <c r="D3321" s="6" t="n">
        <v>-46.335</v>
      </c>
      <c r="E3321" s="6" t="inlineStr">
        <is>
          <t>2022-08</t>
        </is>
      </c>
      <c r="F3321" s="6" t="n"/>
      <c r="G3321" s="6" t="inlineStr">
        <is>
          <t>EXPORTACAO</t>
        </is>
      </c>
      <c r="H3321" s="6" t="inlineStr">
        <is>
          <t>AUTO_OFERTA_TOTAL_PRODUTO_PERIODO</t>
        </is>
      </c>
      <c r="I3321" s="11">
        <f>IF($H3321="AUTO_OFERTA_TOTAL_PRODUTO_PERIODO",SUMIFS(Oferta!$F:$F,Oferta!$A:$A,$A3321,Oferta!$E:$E,$E3321),$F3321)</f>
        <v/>
      </c>
      <c r="J3321" s="6" t="inlineStr">
        <is>
          <t>Derivado_da_Oferta</t>
        </is>
      </c>
      <c r="K3321" s="6" t="inlineStr">
        <is>
          <t>Mercado externo: limite superior calculado automaticamente pela soma da oferta do produto no período.</t>
        </is>
      </c>
    </row>
    <row r="3322">
      <c r="A3322" s="6" t="inlineStr">
        <is>
          <t>Soja</t>
        </is>
      </c>
      <c r="B3322" s="6" t="inlineStr">
        <is>
          <t>Santos - SP</t>
        </is>
      </c>
      <c r="C3322" s="6" t="n">
        <v>-23.9535</v>
      </c>
      <c r="D3322" s="6" t="n">
        <v>-46.335</v>
      </c>
      <c r="E3322" s="6" t="inlineStr">
        <is>
          <t>2022-09</t>
        </is>
      </c>
      <c r="F3322" s="6" t="n"/>
      <c r="G3322" s="6" t="inlineStr">
        <is>
          <t>EXPORTACAO</t>
        </is>
      </c>
      <c r="H3322" s="6" t="inlineStr">
        <is>
          <t>AUTO_OFERTA_TOTAL_PRODUTO_PERIODO</t>
        </is>
      </c>
      <c r="I3322" s="11">
        <f>IF($H3322="AUTO_OFERTA_TOTAL_PRODUTO_PERIODO",SUMIFS(Oferta!$F:$F,Oferta!$A:$A,$A3322,Oferta!$E:$E,$E3322),$F3322)</f>
        <v/>
      </c>
      <c r="J3322" s="6" t="inlineStr">
        <is>
          <t>Derivado_da_Oferta</t>
        </is>
      </c>
      <c r="K3322" s="6" t="inlineStr">
        <is>
          <t>Mercado externo: limite superior calculado automaticamente pela soma da oferta do produto no período.</t>
        </is>
      </c>
    </row>
    <row r="3323">
      <c r="A3323" s="6" t="inlineStr">
        <is>
          <t>Soja</t>
        </is>
      </c>
      <c r="B3323" s="6" t="inlineStr">
        <is>
          <t>Santos - SP</t>
        </is>
      </c>
      <c r="C3323" s="6" t="n">
        <v>-23.9535</v>
      </c>
      <c r="D3323" s="6" t="n">
        <v>-46.335</v>
      </c>
      <c r="E3323" s="6" t="inlineStr">
        <is>
          <t>2022-10</t>
        </is>
      </c>
      <c r="F3323" s="6" t="n"/>
      <c r="G3323" s="6" t="inlineStr">
        <is>
          <t>EXPORTACAO</t>
        </is>
      </c>
      <c r="H3323" s="6" t="inlineStr">
        <is>
          <t>AUTO_OFERTA_TOTAL_PRODUTO_PERIODO</t>
        </is>
      </c>
      <c r="I3323" s="11">
        <f>IF($H3323="AUTO_OFERTA_TOTAL_PRODUTO_PERIODO",SUMIFS(Oferta!$F:$F,Oferta!$A:$A,$A3323,Oferta!$E:$E,$E3323),$F3323)</f>
        <v/>
      </c>
      <c r="J3323" s="6" t="inlineStr">
        <is>
          <t>Derivado_da_Oferta</t>
        </is>
      </c>
      <c r="K3323" s="6" t="inlineStr">
        <is>
          <t>Mercado externo: limite superior calculado automaticamente pela soma da oferta do produto no período.</t>
        </is>
      </c>
    </row>
    <row r="3324">
      <c r="A3324" s="6" t="inlineStr">
        <is>
          <t>Soja</t>
        </is>
      </c>
      <c r="B3324" s="6" t="inlineStr">
        <is>
          <t>Santos - SP</t>
        </is>
      </c>
      <c r="C3324" s="6" t="n">
        <v>-23.9535</v>
      </c>
      <c r="D3324" s="6" t="n">
        <v>-46.335</v>
      </c>
      <c r="E3324" s="6" t="inlineStr">
        <is>
          <t>2022-11</t>
        </is>
      </c>
      <c r="F3324" s="6" t="n"/>
      <c r="G3324" s="6" t="inlineStr">
        <is>
          <t>EXPORTACAO</t>
        </is>
      </c>
      <c r="H3324" s="6" t="inlineStr">
        <is>
          <t>AUTO_OFERTA_TOTAL_PRODUTO_PERIODO</t>
        </is>
      </c>
      <c r="I3324" s="11">
        <f>IF($H3324="AUTO_OFERTA_TOTAL_PRODUTO_PERIODO",SUMIFS(Oferta!$F:$F,Oferta!$A:$A,$A3324,Oferta!$E:$E,$E3324),$F3324)</f>
        <v/>
      </c>
      <c r="J3324" s="6" t="inlineStr">
        <is>
          <t>Derivado_da_Oferta</t>
        </is>
      </c>
      <c r="K3324" s="6" t="inlineStr">
        <is>
          <t>Mercado externo: limite superior calculado automaticamente pela soma da oferta do produto no período.</t>
        </is>
      </c>
    </row>
    <row r="3325">
      <c r="A3325" s="6" t="inlineStr">
        <is>
          <t>Soja</t>
        </is>
      </c>
      <c r="B3325" s="6" t="inlineStr">
        <is>
          <t>Santos - SP</t>
        </is>
      </c>
      <c r="C3325" s="6" t="n">
        <v>-23.9535</v>
      </c>
      <c r="D3325" s="6" t="n">
        <v>-46.335</v>
      </c>
      <c r="E3325" s="6" t="inlineStr">
        <is>
          <t>2022-12</t>
        </is>
      </c>
      <c r="F3325" s="6" t="n"/>
      <c r="G3325" s="6" t="inlineStr">
        <is>
          <t>EXPORTACAO</t>
        </is>
      </c>
      <c r="H3325" s="6" t="inlineStr">
        <is>
          <t>AUTO_OFERTA_TOTAL_PRODUTO_PERIODO</t>
        </is>
      </c>
      <c r="I3325" s="11">
        <f>IF($H3325="AUTO_OFERTA_TOTAL_PRODUTO_PERIODO",SUMIFS(Oferta!$F:$F,Oferta!$A:$A,$A3325,Oferta!$E:$E,$E3325),$F3325)</f>
        <v/>
      </c>
      <c r="J3325" s="6" t="inlineStr">
        <is>
          <t>Derivado_da_Oferta</t>
        </is>
      </c>
      <c r="K3325" s="6" t="inlineStr">
        <is>
          <t>Mercado externo: limite superior calculado automaticamente pela soma da oferta do produto no período.</t>
        </is>
      </c>
    </row>
    <row r="3326">
      <c r="A3326" s="6" t="inlineStr">
        <is>
          <t>Soja</t>
        </is>
      </c>
      <c r="B3326" s="6" t="inlineStr">
        <is>
          <t>Santos - SP</t>
        </is>
      </c>
      <c r="C3326" s="6" t="n">
        <v>-23.9535</v>
      </c>
      <c r="D3326" s="6" t="n">
        <v>-46.335</v>
      </c>
      <c r="E3326" s="6" t="inlineStr">
        <is>
          <t>2023-01</t>
        </is>
      </c>
      <c r="F3326" s="6" t="n"/>
      <c r="G3326" s="6" t="inlineStr">
        <is>
          <t>EXPORTACAO</t>
        </is>
      </c>
      <c r="H3326" s="6" t="inlineStr">
        <is>
          <t>AUTO_OFERTA_TOTAL_PRODUTO_PERIODO</t>
        </is>
      </c>
      <c r="I3326" s="11">
        <f>IF($H3326="AUTO_OFERTA_TOTAL_PRODUTO_PERIODO",SUMIFS(Oferta!$F:$F,Oferta!$A:$A,$A3326,Oferta!$E:$E,$E3326),$F3326)</f>
        <v/>
      </c>
      <c r="J3326" s="6" t="inlineStr">
        <is>
          <t>Derivado_da_Oferta</t>
        </is>
      </c>
      <c r="K3326" s="6" t="inlineStr">
        <is>
          <t>Mercado externo: limite superior calculado automaticamente pela soma da oferta do produto no período.</t>
        </is>
      </c>
    </row>
    <row r="3327">
      <c r="A3327" s="6" t="inlineStr">
        <is>
          <t>Soja</t>
        </is>
      </c>
      <c r="B3327" s="6" t="inlineStr">
        <is>
          <t>Santos - SP</t>
        </is>
      </c>
      <c r="C3327" s="6" t="n">
        <v>-23.9535</v>
      </c>
      <c r="D3327" s="6" t="n">
        <v>-46.335</v>
      </c>
      <c r="E3327" s="6" t="inlineStr">
        <is>
          <t>2023-02</t>
        </is>
      </c>
      <c r="F3327" s="6" t="n"/>
      <c r="G3327" s="6" t="inlineStr">
        <is>
          <t>EXPORTACAO</t>
        </is>
      </c>
      <c r="H3327" s="6" t="inlineStr">
        <is>
          <t>AUTO_OFERTA_TOTAL_PRODUTO_PERIODO</t>
        </is>
      </c>
      <c r="I3327" s="11">
        <f>IF($H3327="AUTO_OFERTA_TOTAL_PRODUTO_PERIODO",SUMIFS(Oferta!$F:$F,Oferta!$A:$A,$A3327,Oferta!$E:$E,$E3327),$F3327)</f>
        <v/>
      </c>
      <c r="J3327" s="6" t="inlineStr">
        <is>
          <t>Derivado_da_Oferta</t>
        </is>
      </c>
      <c r="K3327" s="6" t="inlineStr">
        <is>
          <t>Mercado externo: limite superior calculado automaticamente pela soma da oferta do produto no período.</t>
        </is>
      </c>
    </row>
    <row r="3328">
      <c r="A3328" s="6" t="inlineStr">
        <is>
          <t>Soja</t>
        </is>
      </c>
      <c r="B3328" s="6" t="inlineStr">
        <is>
          <t>Santos - SP</t>
        </is>
      </c>
      <c r="C3328" s="6" t="n">
        <v>-23.9535</v>
      </c>
      <c r="D3328" s="6" t="n">
        <v>-46.335</v>
      </c>
      <c r="E3328" s="6" t="inlineStr">
        <is>
          <t>2023-03</t>
        </is>
      </c>
      <c r="F3328" s="6" t="n"/>
      <c r="G3328" s="6" t="inlineStr">
        <is>
          <t>EXPORTACAO</t>
        </is>
      </c>
      <c r="H3328" s="6" t="inlineStr">
        <is>
          <t>AUTO_OFERTA_TOTAL_PRODUTO_PERIODO</t>
        </is>
      </c>
      <c r="I3328" s="11">
        <f>IF($H3328="AUTO_OFERTA_TOTAL_PRODUTO_PERIODO",SUMIFS(Oferta!$F:$F,Oferta!$A:$A,$A3328,Oferta!$E:$E,$E3328),$F3328)</f>
        <v/>
      </c>
      <c r="J3328" s="6" t="inlineStr">
        <is>
          <t>Derivado_da_Oferta</t>
        </is>
      </c>
      <c r="K3328" s="6" t="inlineStr">
        <is>
          <t>Mercado externo: limite superior calculado automaticamente pela soma da oferta do produto no período.</t>
        </is>
      </c>
    </row>
    <row r="3329">
      <c r="A3329" s="6" t="inlineStr">
        <is>
          <t>Soja</t>
        </is>
      </c>
      <c r="B3329" s="6" t="inlineStr">
        <is>
          <t>Santos - SP</t>
        </is>
      </c>
      <c r="C3329" s="6" t="n">
        <v>-23.9535</v>
      </c>
      <c r="D3329" s="6" t="n">
        <v>-46.335</v>
      </c>
      <c r="E3329" s="6" t="inlineStr">
        <is>
          <t>2023-04</t>
        </is>
      </c>
      <c r="F3329" s="6" t="n"/>
      <c r="G3329" s="6" t="inlineStr">
        <is>
          <t>EXPORTACAO</t>
        </is>
      </c>
      <c r="H3329" s="6" t="inlineStr">
        <is>
          <t>AUTO_OFERTA_TOTAL_PRODUTO_PERIODO</t>
        </is>
      </c>
      <c r="I3329" s="11">
        <f>IF($H3329="AUTO_OFERTA_TOTAL_PRODUTO_PERIODO",SUMIFS(Oferta!$F:$F,Oferta!$A:$A,$A3329,Oferta!$E:$E,$E3329),$F3329)</f>
        <v/>
      </c>
      <c r="J3329" s="6" t="inlineStr">
        <is>
          <t>Derivado_da_Oferta</t>
        </is>
      </c>
      <c r="K3329" s="6" t="inlineStr">
        <is>
          <t>Mercado externo: limite superior calculado automaticamente pela soma da oferta do produto no período.</t>
        </is>
      </c>
    </row>
    <row r="3330">
      <c r="A3330" s="6" t="inlineStr">
        <is>
          <t>Soja</t>
        </is>
      </c>
      <c r="B3330" s="6" t="inlineStr">
        <is>
          <t>Santos - SP</t>
        </is>
      </c>
      <c r="C3330" s="6" t="n">
        <v>-23.9535</v>
      </c>
      <c r="D3330" s="6" t="n">
        <v>-46.335</v>
      </c>
      <c r="E3330" s="6" t="inlineStr">
        <is>
          <t>2023-05</t>
        </is>
      </c>
      <c r="F3330" s="6" t="n"/>
      <c r="G3330" s="6" t="inlineStr">
        <is>
          <t>EXPORTACAO</t>
        </is>
      </c>
      <c r="H3330" s="6" t="inlineStr">
        <is>
          <t>AUTO_OFERTA_TOTAL_PRODUTO_PERIODO</t>
        </is>
      </c>
      <c r="I3330" s="11">
        <f>IF($H3330="AUTO_OFERTA_TOTAL_PRODUTO_PERIODO",SUMIFS(Oferta!$F:$F,Oferta!$A:$A,$A3330,Oferta!$E:$E,$E3330),$F3330)</f>
        <v/>
      </c>
      <c r="J3330" s="6" t="inlineStr">
        <is>
          <t>Derivado_da_Oferta</t>
        </is>
      </c>
      <c r="K3330" s="6" t="inlineStr">
        <is>
          <t>Mercado externo: limite superior calculado automaticamente pela soma da oferta do produto no período.</t>
        </is>
      </c>
    </row>
    <row r="3331">
      <c r="A3331" s="6" t="inlineStr">
        <is>
          <t>Soja</t>
        </is>
      </c>
      <c r="B3331" s="6" t="inlineStr">
        <is>
          <t>Santos - SP</t>
        </is>
      </c>
      <c r="C3331" s="6" t="n">
        <v>-23.9535</v>
      </c>
      <c r="D3331" s="6" t="n">
        <v>-46.335</v>
      </c>
      <c r="E3331" s="6" t="inlineStr">
        <is>
          <t>2023-06</t>
        </is>
      </c>
      <c r="F3331" s="6" t="n"/>
      <c r="G3331" s="6" t="inlineStr">
        <is>
          <t>EXPORTACAO</t>
        </is>
      </c>
      <c r="H3331" s="6" t="inlineStr">
        <is>
          <t>AUTO_OFERTA_TOTAL_PRODUTO_PERIODO</t>
        </is>
      </c>
      <c r="I3331" s="11">
        <f>IF($H3331="AUTO_OFERTA_TOTAL_PRODUTO_PERIODO",SUMIFS(Oferta!$F:$F,Oferta!$A:$A,$A3331,Oferta!$E:$E,$E3331),$F3331)</f>
        <v/>
      </c>
      <c r="J3331" s="6" t="inlineStr">
        <is>
          <t>Derivado_da_Oferta</t>
        </is>
      </c>
      <c r="K3331" s="6" t="inlineStr">
        <is>
          <t>Mercado externo: limite superior calculado automaticamente pela soma da oferta do produto no período.</t>
        </is>
      </c>
    </row>
    <row r="3332">
      <c r="A3332" s="6" t="inlineStr">
        <is>
          <t>Soja</t>
        </is>
      </c>
      <c r="B3332" s="6" t="inlineStr">
        <is>
          <t>Santos - SP</t>
        </is>
      </c>
      <c r="C3332" s="6" t="n">
        <v>-23.9535</v>
      </c>
      <c r="D3332" s="6" t="n">
        <v>-46.335</v>
      </c>
      <c r="E3332" s="6" t="inlineStr">
        <is>
          <t>2023-07</t>
        </is>
      </c>
      <c r="F3332" s="6" t="n"/>
      <c r="G3332" s="6" t="inlineStr">
        <is>
          <t>EXPORTACAO</t>
        </is>
      </c>
      <c r="H3332" s="6" t="inlineStr">
        <is>
          <t>AUTO_OFERTA_TOTAL_PRODUTO_PERIODO</t>
        </is>
      </c>
      <c r="I3332" s="11">
        <f>IF($H3332="AUTO_OFERTA_TOTAL_PRODUTO_PERIODO",SUMIFS(Oferta!$F:$F,Oferta!$A:$A,$A3332,Oferta!$E:$E,$E3332),$F3332)</f>
        <v/>
      </c>
      <c r="J3332" s="6" t="inlineStr">
        <is>
          <t>Derivado_da_Oferta</t>
        </is>
      </c>
      <c r="K3332" s="6" t="inlineStr">
        <is>
          <t>Mercado externo: limite superior calculado automaticamente pela soma da oferta do produto no período.</t>
        </is>
      </c>
    </row>
    <row r="3333">
      <c r="A3333" s="6" t="inlineStr">
        <is>
          <t>Soja</t>
        </is>
      </c>
      <c r="B3333" s="6" t="inlineStr">
        <is>
          <t>Santos - SP</t>
        </is>
      </c>
      <c r="C3333" s="6" t="n">
        <v>-23.9535</v>
      </c>
      <c r="D3333" s="6" t="n">
        <v>-46.335</v>
      </c>
      <c r="E3333" s="6" t="inlineStr">
        <is>
          <t>2023-08</t>
        </is>
      </c>
      <c r="F3333" s="6" t="n"/>
      <c r="G3333" s="6" t="inlineStr">
        <is>
          <t>EXPORTACAO</t>
        </is>
      </c>
      <c r="H3333" s="6" t="inlineStr">
        <is>
          <t>AUTO_OFERTA_TOTAL_PRODUTO_PERIODO</t>
        </is>
      </c>
      <c r="I3333" s="11">
        <f>IF($H3333="AUTO_OFERTA_TOTAL_PRODUTO_PERIODO",SUMIFS(Oferta!$F:$F,Oferta!$A:$A,$A3333,Oferta!$E:$E,$E3333),$F3333)</f>
        <v/>
      </c>
      <c r="J3333" s="6" t="inlineStr">
        <is>
          <t>Derivado_da_Oferta</t>
        </is>
      </c>
      <c r="K3333" s="6" t="inlineStr">
        <is>
          <t>Mercado externo: limite superior calculado automaticamente pela soma da oferta do produto no período.</t>
        </is>
      </c>
    </row>
    <row r="3334">
      <c r="A3334" s="6" t="inlineStr">
        <is>
          <t>Soja</t>
        </is>
      </c>
      <c r="B3334" s="6" t="inlineStr">
        <is>
          <t>Santos - SP</t>
        </is>
      </c>
      <c r="C3334" s="6" t="n">
        <v>-23.9535</v>
      </c>
      <c r="D3334" s="6" t="n">
        <v>-46.335</v>
      </c>
      <c r="E3334" s="6" t="inlineStr">
        <is>
          <t>2023-09</t>
        </is>
      </c>
      <c r="F3334" s="6" t="n"/>
      <c r="G3334" s="6" t="inlineStr">
        <is>
          <t>EXPORTACAO</t>
        </is>
      </c>
      <c r="H3334" s="6" t="inlineStr">
        <is>
          <t>AUTO_OFERTA_TOTAL_PRODUTO_PERIODO</t>
        </is>
      </c>
      <c r="I3334" s="11">
        <f>IF($H3334="AUTO_OFERTA_TOTAL_PRODUTO_PERIODO",SUMIFS(Oferta!$F:$F,Oferta!$A:$A,$A3334,Oferta!$E:$E,$E3334),$F3334)</f>
        <v/>
      </c>
      <c r="J3334" s="6" t="inlineStr">
        <is>
          <t>Derivado_da_Oferta</t>
        </is>
      </c>
      <c r="K3334" s="6" t="inlineStr">
        <is>
          <t>Mercado externo: limite superior calculado automaticamente pela soma da oferta do produto no período.</t>
        </is>
      </c>
    </row>
    <row r="3335">
      <c r="A3335" s="6" t="inlineStr">
        <is>
          <t>Soja</t>
        </is>
      </c>
      <c r="B3335" s="6" t="inlineStr">
        <is>
          <t>Santos - SP</t>
        </is>
      </c>
      <c r="C3335" s="6" t="n">
        <v>-23.9535</v>
      </c>
      <c r="D3335" s="6" t="n">
        <v>-46.335</v>
      </c>
      <c r="E3335" s="6" t="inlineStr">
        <is>
          <t>2023-10</t>
        </is>
      </c>
      <c r="F3335" s="6" t="n"/>
      <c r="G3335" s="6" t="inlineStr">
        <is>
          <t>EXPORTACAO</t>
        </is>
      </c>
      <c r="H3335" s="6" t="inlineStr">
        <is>
          <t>AUTO_OFERTA_TOTAL_PRODUTO_PERIODO</t>
        </is>
      </c>
      <c r="I3335" s="11">
        <f>IF($H3335="AUTO_OFERTA_TOTAL_PRODUTO_PERIODO",SUMIFS(Oferta!$F:$F,Oferta!$A:$A,$A3335,Oferta!$E:$E,$E3335),$F3335)</f>
        <v/>
      </c>
      <c r="J3335" s="6" t="inlineStr">
        <is>
          <t>Derivado_da_Oferta</t>
        </is>
      </c>
      <c r="K3335" s="6" t="inlineStr">
        <is>
          <t>Mercado externo: limite superior calculado automaticamente pela soma da oferta do produto no período.</t>
        </is>
      </c>
    </row>
    <row r="3336">
      <c r="A3336" s="6" t="inlineStr">
        <is>
          <t>Soja</t>
        </is>
      </c>
      <c r="B3336" s="6" t="inlineStr">
        <is>
          <t>Santos - SP</t>
        </is>
      </c>
      <c r="C3336" s="6" t="n">
        <v>-23.9535</v>
      </c>
      <c r="D3336" s="6" t="n">
        <v>-46.335</v>
      </c>
      <c r="E3336" s="6" t="inlineStr">
        <is>
          <t>2023-11</t>
        </is>
      </c>
      <c r="F3336" s="6" t="n"/>
      <c r="G3336" s="6" t="inlineStr">
        <is>
          <t>EXPORTACAO</t>
        </is>
      </c>
      <c r="H3336" s="6" t="inlineStr">
        <is>
          <t>AUTO_OFERTA_TOTAL_PRODUTO_PERIODO</t>
        </is>
      </c>
      <c r="I3336" s="11">
        <f>IF($H3336="AUTO_OFERTA_TOTAL_PRODUTO_PERIODO",SUMIFS(Oferta!$F:$F,Oferta!$A:$A,$A3336,Oferta!$E:$E,$E3336),$F3336)</f>
        <v/>
      </c>
      <c r="J3336" s="6" t="inlineStr">
        <is>
          <t>Derivado_da_Oferta</t>
        </is>
      </c>
      <c r="K3336" s="6" t="inlineStr">
        <is>
          <t>Mercado externo: limite superior calculado automaticamente pela soma da oferta do produto no período.</t>
        </is>
      </c>
    </row>
    <row r="3337">
      <c r="A3337" s="6" t="inlineStr">
        <is>
          <t>Soja</t>
        </is>
      </c>
      <c r="B3337" s="6" t="inlineStr">
        <is>
          <t>Santos - SP</t>
        </is>
      </c>
      <c r="C3337" s="6" t="n">
        <v>-23.9535</v>
      </c>
      <c r="D3337" s="6" t="n">
        <v>-46.335</v>
      </c>
      <c r="E3337" s="6" t="inlineStr">
        <is>
          <t>2023-12</t>
        </is>
      </c>
      <c r="F3337" s="6" t="n"/>
      <c r="G3337" s="6" t="inlineStr">
        <is>
          <t>EXPORTACAO</t>
        </is>
      </c>
      <c r="H3337" s="6" t="inlineStr">
        <is>
          <t>AUTO_OFERTA_TOTAL_PRODUTO_PERIODO</t>
        </is>
      </c>
      <c r="I3337" s="11">
        <f>IF($H3337="AUTO_OFERTA_TOTAL_PRODUTO_PERIODO",SUMIFS(Oferta!$F:$F,Oferta!$A:$A,$A3337,Oferta!$E:$E,$E3337),$F3337)</f>
        <v/>
      </c>
      <c r="J3337" s="6" t="inlineStr">
        <is>
          <t>Derivado_da_Oferta</t>
        </is>
      </c>
      <c r="K3337" s="6" t="inlineStr">
        <is>
          <t>Mercado externo: limite superior calculado automaticamente pela soma da oferta do produto no período.</t>
        </is>
      </c>
    </row>
    <row r="3338">
      <c r="A3338" s="6" t="inlineStr">
        <is>
          <t>Soja</t>
        </is>
      </c>
      <c r="B3338" s="6" t="inlineStr">
        <is>
          <t>Santos - SP</t>
        </is>
      </c>
      <c r="C3338" s="6" t="n">
        <v>-23.9535</v>
      </c>
      <c r="D3338" s="6" t="n">
        <v>-46.335</v>
      </c>
      <c r="E3338" s="6" t="inlineStr">
        <is>
          <t>2024-01</t>
        </is>
      </c>
      <c r="F3338" s="6" t="n"/>
      <c r="G3338" s="6" t="inlineStr">
        <is>
          <t>EXPORTACAO</t>
        </is>
      </c>
      <c r="H3338" s="6" t="inlineStr">
        <is>
          <t>AUTO_OFERTA_TOTAL_PRODUTO_PERIODO</t>
        </is>
      </c>
      <c r="I3338" s="11">
        <f>IF($H3338="AUTO_OFERTA_TOTAL_PRODUTO_PERIODO",SUMIFS(Oferta!$F:$F,Oferta!$A:$A,$A3338,Oferta!$E:$E,$E3338),$F3338)</f>
        <v/>
      </c>
      <c r="J3338" s="6" t="inlineStr">
        <is>
          <t>Derivado_da_Oferta</t>
        </is>
      </c>
      <c r="K3338" s="6" t="inlineStr">
        <is>
          <t>Mercado externo: limite superior calculado automaticamente pela soma da oferta do produto no período.</t>
        </is>
      </c>
    </row>
    <row r="3339">
      <c r="A3339" s="6" t="inlineStr">
        <is>
          <t>Soja</t>
        </is>
      </c>
      <c r="B3339" s="6" t="inlineStr">
        <is>
          <t>Santos - SP</t>
        </is>
      </c>
      <c r="C3339" s="6" t="n">
        <v>-23.9535</v>
      </c>
      <c r="D3339" s="6" t="n">
        <v>-46.335</v>
      </c>
      <c r="E3339" s="6" t="inlineStr">
        <is>
          <t>2024-02</t>
        </is>
      </c>
      <c r="F3339" s="6" t="n"/>
      <c r="G3339" s="6" t="inlineStr">
        <is>
          <t>EXPORTACAO</t>
        </is>
      </c>
      <c r="H3339" s="6" t="inlineStr">
        <is>
          <t>AUTO_OFERTA_TOTAL_PRODUTO_PERIODO</t>
        </is>
      </c>
      <c r="I3339" s="11">
        <f>IF($H3339="AUTO_OFERTA_TOTAL_PRODUTO_PERIODO",SUMIFS(Oferta!$F:$F,Oferta!$A:$A,$A3339,Oferta!$E:$E,$E3339),$F3339)</f>
        <v/>
      </c>
      <c r="J3339" s="6" t="inlineStr">
        <is>
          <t>Derivado_da_Oferta</t>
        </is>
      </c>
      <c r="K3339" s="6" t="inlineStr">
        <is>
          <t>Mercado externo: limite superior calculado automaticamente pela soma da oferta do produto no período.</t>
        </is>
      </c>
    </row>
    <row r="3340">
      <c r="A3340" s="6" t="inlineStr">
        <is>
          <t>Soja</t>
        </is>
      </c>
      <c r="B3340" s="6" t="inlineStr">
        <is>
          <t>Santos - SP</t>
        </is>
      </c>
      <c r="C3340" s="6" t="n">
        <v>-23.9535</v>
      </c>
      <c r="D3340" s="6" t="n">
        <v>-46.335</v>
      </c>
      <c r="E3340" s="6" t="inlineStr">
        <is>
          <t>2024-03</t>
        </is>
      </c>
      <c r="F3340" s="6" t="n"/>
      <c r="G3340" s="6" t="inlineStr">
        <is>
          <t>EXPORTACAO</t>
        </is>
      </c>
      <c r="H3340" s="6" t="inlineStr">
        <is>
          <t>AUTO_OFERTA_TOTAL_PRODUTO_PERIODO</t>
        </is>
      </c>
      <c r="I3340" s="11">
        <f>IF($H3340="AUTO_OFERTA_TOTAL_PRODUTO_PERIODO",SUMIFS(Oferta!$F:$F,Oferta!$A:$A,$A3340,Oferta!$E:$E,$E3340),$F3340)</f>
        <v/>
      </c>
      <c r="J3340" s="6" t="inlineStr">
        <is>
          <t>Derivado_da_Oferta</t>
        </is>
      </c>
      <c r="K3340" s="6" t="inlineStr">
        <is>
          <t>Mercado externo: limite superior calculado automaticamente pela soma da oferta do produto no período.</t>
        </is>
      </c>
    </row>
    <row r="3341">
      <c r="A3341" s="6" t="inlineStr">
        <is>
          <t>Soja</t>
        </is>
      </c>
      <c r="B3341" s="6" t="inlineStr">
        <is>
          <t>Santos - SP</t>
        </is>
      </c>
      <c r="C3341" s="6" t="n">
        <v>-23.9535</v>
      </c>
      <c r="D3341" s="6" t="n">
        <v>-46.335</v>
      </c>
      <c r="E3341" s="6" t="inlineStr">
        <is>
          <t>2024-04</t>
        </is>
      </c>
      <c r="F3341" s="6" t="n"/>
      <c r="G3341" s="6" t="inlineStr">
        <is>
          <t>EXPORTACAO</t>
        </is>
      </c>
      <c r="H3341" s="6" t="inlineStr">
        <is>
          <t>AUTO_OFERTA_TOTAL_PRODUTO_PERIODO</t>
        </is>
      </c>
      <c r="I3341" s="11">
        <f>IF($H3341="AUTO_OFERTA_TOTAL_PRODUTO_PERIODO",SUMIFS(Oferta!$F:$F,Oferta!$A:$A,$A3341,Oferta!$E:$E,$E3341),$F3341)</f>
        <v/>
      </c>
      <c r="J3341" s="6" t="inlineStr">
        <is>
          <t>Derivado_da_Oferta</t>
        </is>
      </c>
      <c r="K3341" s="6" t="inlineStr">
        <is>
          <t>Mercado externo: limite superior calculado automaticamente pela soma da oferta do produto no período.</t>
        </is>
      </c>
    </row>
    <row r="3342">
      <c r="A3342" s="6" t="inlineStr">
        <is>
          <t>Soja</t>
        </is>
      </c>
      <c r="B3342" s="6" t="inlineStr">
        <is>
          <t>Santos - SP</t>
        </is>
      </c>
      <c r="C3342" s="6" t="n">
        <v>-23.9535</v>
      </c>
      <c r="D3342" s="6" t="n">
        <v>-46.335</v>
      </c>
      <c r="E3342" s="6" t="inlineStr">
        <is>
          <t>2024-05</t>
        </is>
      </c>
      <c r="F3342" s="6" t="n"/>
      <c r="G3342" s="6" t="inlineStr">
        <is>
          <t>EXPORTACAO</t>
        </is>
      </c>
      <c r="H3342" s="6" t="inlineStr">
        <is>
          <t>AUTO_OFERTA_TOTAL_PRODUTO_PERIODO</t>
        </is>
      </c>
      <c r="I3342" s="11">
        <f>IF($H3342="AUTO_OFERTA_TOTAL_PRODUTO_PERIODO",SUMIFS(Oferta!$F:$F,Oferta!$A:$A,$A3342,Oferta!$E:$E,$E3342),$F3342)</f>
        <v/>
      </c>
      <c r="J3342" s="6" t="inlineStr">
        <is>
          <t>Derivado_da_Oferta</t>
        </is>
      </c>
      <c r="K3342" s="6" t="inlineStr">
        <is>
          <t>Mercado externo: limite superior calculado automaticamente pela soma da oferta do produto no período.</t>
        </is>
      </c>
    </row>
    <row r="3343">
      <c r="A3343" s="6" t="inlineStr">
        <is>
          <t>Soja</t>
        </is>
      </c>
      <c r="B3343" s="6" t="inlineStr">
        <is>
          <t>Santos - SP</t>
        </is>
      </c>
      <c r="C3343" s="6" t="n">
        <v>-23.9535</v>
      </c>
      <c r="D3343" s="6" t="n">
        <v>-46.335</v>
      </c>
      <c r="E3343" s="6" t="inlineStr">
        <is>
          <t>2024-06</t>
        </is>
      </c>
      <c r="F3343" s="6" t="n"/>
      <c r="G3343" s="6" t="inlineStr">
        <is>
          <t>EXPORTACAO</t>
        </is>
      </c>
      <c r="H3343" s="6" t="inlineStr">
        <is>
          <t>AUTO_OFERTA_TOTAL_PRODUTO_PERIODO</t>
        </is>
      </c>
      <c r="I3343" s="11">
        <f>IF($H3343="AUTO_OFERTA_TOTAL_PRODUTO_PERIODO",SUMIFS(Oferta!$F:$F,Oferta!$A:$A,$A3343,Oferta!$E:$E,$E3343),$F3343)</f>
        <v/>
      </c>
      <c r="J3343" s="6" t="inlineStr">
        <is>
          <t>Derivado_da_Oferta</t>
        </is>
      </c>
      <c r="K3343" s="6" t="inlineStr">
        <is>
          <t>Mercado externo: limite superior calculado automaticamente pela soma da oferta do produto no período.</t>
        </is>
      </c>
    </row>
    <row r="3344">
      <c r="A3344" s="6" t="inlineStr">
        <is>
          <t>Soja</t>
        </is>
      </c>
      <c r="B3344" s="6" t="inlineStr">
        <is>
          <t>Santos - SP</t>
        </is>
      </c>
      <c r="C3344" s="6" t="n">
        <v>-23.9535</v>
      </c>
      <c r="D3344" s="6" t="n">
        <v>-46.335</v>
      </c>
      <c r="E3344" s="6" t="inlineStr">
        <is>
          <t>2024-07</t>
        </is>
      </c>
      <c r="F3344" s="6" t="n"/>
      <c r="G3344" s="6" t="inlineStr">
        <is>
          <t>EXPORTACAO</t>
        </is>
      </c>
      <c r="H3344" s="6" t="inlineStr">
        <is>
          <t>AUTO_OFERTA_TOTAL_PRODUTO_PERIODO</t>
        </is>
      </c>
      <c r="I3344" s="11">
        <f>IF($H3344="AUTO_OFERTA_TOTAL_PRODUTO_PERIODO",SUMIFS(Oferta!$F:$F,Oferta!$A:$A,$A3344,Oferta!$E:$E,$E3344),$F3344)</f>
        <v/>
      </c>
      <c r="J3344" s="6" t="inlineStr">
        <is>
          <t>Derivado_da_Oferta</t>
        </is>
      </c>
      <c r="K3344" s="6" t="inlineStr">
        <is>
          <t>Mercado externo: limite superior calculado automaticamente pela soma da oferta do produto no período.</t>
        </is>
      </c>
    </row>
    <row r="3345">
      <c r="A3345" s="6" t="inlineStr">
        <is>
          <t>Soja</t>
        </is>
      </c>
      <c r="B3345" s="6" t="inlineStr">
        <is>
          <t>Santos - SP</t>
        </is>
      </c>
      <c r="C3345" s="6" t="n">
        <v>-23.9535</v>
      </c>
      <c r="D3345" s="6" t="n">
        <v>-46.335</v>
      </c>
      <c r="E3345" s="6" t="inlineStr">
        <is>
          <t>2024-08</t>
        </is>
      </c>
      <c r="F3345" s="6" t="n"/>
      <c r="G3345" s="6" t="inlineStr">
        <is>
          <t>EXPORTACAO</t>
        </is>
      </c>
      <c r="H3345" s="6" t="inlineStr">
        <is>
          <t>AUTO_OFERTA_TOTAL_PRODUTO_PERIODO</t>
        </is>
      </c>
      <c r="I3345" s="11">
        <f>IF($H3345="AUTO_OFERTA_TOTAL_PRODUTO_PERIODO",SUMIFS(Oferta!$F:$F,Oferta!$A:$A,$A3345,Oferta!$E:$E,$E3345),$F3345)</f>
        <v/>
      </c>
      <c r="J3345" s="6" t="inlineStr">
        <is>
          <t>Derivado_da_Oferta</t>
        </is>
      </c>
      <c r="K3345" s="6" t="inlineStr">
        <is>
          <t>Mercado externo: limite superior calculado automaticamente pela soma da oferta do produto no período.</t>
        </is>
      </c>
    </row>
    <row r="3346">
      <c r="A3346" s="6" t="inlineStr">
        <is>
          <t>Soja</t>
        </is>
      </c>
      <c r="B3346" s="6" t="inlineStr">
        <is>
          <t>Santos - SP</t>
        </is>
      </c>
      <c r="C3346" s="6" t="n">
        <v>-23.9535</v>
      </c>
      <c r="D3346" s="6" t="n">
        <v>-46.335</v>
      </c>
      <c r="E3346" s="6" t="inlineStr">
        <is>
          <t>2024-09</t>
        </is>
      </c>
      <c r="F3346" s="6" t="n"/>
      <c r="G3346" s="6" t="inlineStr">
        <is>
          <t>EXPORTACAO</t>
        </is>
      </c>
      <c r="H3346" s="6" t="inlineStr">
        <is>
          <t>AUTO_OFERTA_TOTAL_PRODUTO_PERIODO</t>
        </is>
      </c>
      <c r="I3346" s="11">
        <f>IF($H3346="AUTO_OFERTA_TOTAL_PRODUTO_PERIODO",SUMIFS(Oferta!$F:$F,Oferta!$A:$A,$A3346,Oferta!$E:$E,$E3346),$F3346)</f>
        <v/>
      </c>
      <c r="J3346" s="6" t="inlineStr">
        <is>
          <t>Derivado_da_Oferta</t>
        </is>
      </c>
      <c r="K3346" s="6" t="inlineStr">
        <is>
          <t>Mercado externo: limite superior calculado automaticamente pela soma da oferta do produto no período.</t>
        </is>
      </c>
    </row>
    <row r="3347">
      <c r="A3347" s="6" t="inlineStr">
        <is>
          <t>Soja</t>
        </is>
      </c>
      <c r="B3347" s="6" t="inlineStr">
        <is>
          <t>Santos - SP</t>
        </is>
      </c>
      <c r="C3347" s="6" t="n">
        <v>-23.9535</v>
      </c>
      <c r="D3347" s="6" t="n">
        <v>-46.335</v>
      </c>
      <c r="E3347" s="6" t="inlineStr">
        <is>
          <t>2024-10</t>
        </is>
      </c>
      <c r="F3347" s="6" t="n"/>
      <c r="G3347" s="6" t="inlineStr">
        <is>
          <t>EXPORTACAO</t>
        </is>
      </c>
      <c r="H3347" s="6" t="inlineStr">
        <is>
          <t>AUTO_OFERTA_TOTAL_PRODUTO_PERIODO</t>
        </is>
      </c>
      <c r="I3347" s="11">
        <f>IF($H3347="AUTO_OFERTA_TOTAL_PRODUTO_PERIODO",SUMIFS(Oferta!$F:$F,Oferta!$A:$A,$A3347,Oferta!$E:$E,$E3347),$F3347)</f>
        <v/>
      </c>
      <c r="J3347" s="6" t="inlineStr">
        <is>
          <t>Derivado_da_Oferta</t>
        </is>
      </c>
      <c r="K3347" s="6" t="inlineStr">
        <is>
          <t>Mercado externo: limite superior calculado automaticamente pela soma da oferta do produto no período.</t>
        </is>
      </c>
    </row>
    <row r="3348">
      <c r="A3348" s="6" t="inlineStr">
        <is>
          <t>Soja</t>
        </is>
      </c>
      <c r="B3348" s="6" t="inlineStr">
        <is>
          <t>Santos - SP</t>
        </is>
      </c>
      <c r="C3348" s="6" t="n">
        <v>-23.9535</v>
      </c>
      <c r="D3348" s="6" t="n">
        <v>-46.335</v>
      </c>
      <c r="E3348" s="6" t="inlineStr">
        <is>
          <t>2024-11</t>
        </is>
      </c>
      <c r="F3348" s="6" t="n"/>
      <c r="G3348" s="6" t="inlineStr">
        <is>
          <t>EXPORTACAO</t>
        </is>
      </c>
      <c r="H3348" s="6" t="inlineStr">
        <is>
          <t>AUTO_OFERTA_TOTAL_PRODUTO_PERIODO</t>
        </is>
      </c>
      <c r="I3348" s="11">
        <f>IF($H3348="AUTO_OFERTA_TOTAL_PRODUTO_PERIODO",SUMIFS(Oferta!$F:$F,Oferta!$A:$A,$A3348,Oferta!$E:$E,$E3348),$F3348)</f>
        <v/>
      </c>
      <c r="J3348" s="6" t="inlineStr">
        <is>
          <t>Derivado_da_Oferta</t>
        </is>
      </c>
      <c r="K3348" s="6" t="inlineStr">
        <is>
          <t>Mercado externo: limite superior calculado automaticamente pela soma da oferta do produto no período.</t>
        </is>
      </c>
    </row>
    <row r="3349">
      <c r="A3349" s="6" t="inlineStr">
        <is>
          <t>Soja</t>
        </is>
      </c>
      <c r="B3349" s="6" t="inlineStr">
        <is>
          <t>Santos - SP</t>
        </is>
      </c>
      <c r="C3349" s="6" t="n">
        <v>-23.9535</v>
      </c>
      <c r="D3349" s="6" t="n">
        <v>-46.335</v>
      </c>
      <c r="E3349" s="6" t="inlineStr">
        <is>
          <t>2024-12</t>
        </is>
      </c>
      <c r="F3349" s="6" t="n"/>
      <c r="G3349" s="6" t="inlineStr">
        <is>
          <t>EXPORTACAO</t>
        </is>
      </c>
      <c r="H3349" s="6" t="inlineStr">
        <is>
          <t>AUTO_OFERTA_TOTAL_PRODUTO_PERIODO</t>
        </is>
      </c>
      <c r="I3349" s="11">
        <f>IF($H3349="AUTO_OFERTA_TOTAL_PRODUTO_PERIODO",SUMIFS(Oferta!$F:$F,Oferta!$A:$A,$A3349,Oferta!$E:$E,$E3349),$F3349)</f>
        <v/>
      </c>
      <c r="J3349" s="6" t="inlineStr">
        <is>
          <t>Derivado_da_Oferta</t>
        </is>
      </c>
      <c r="K3349" s="6" t="inlineStr">
        <is>
          <t>Mercado externo: limite superior calculado automaticamente pela soma da oferta do produto no período.</t>
        </is>
      </c>
    </row>
    <row r="3350">
      <c r="A3350" s="6" t="inlineStr">
        <is>
          <t>Soja</t>
        </is>
      </c>
      <c r="B3350" s="6" t="inlineStr">
        <is>
          <t>Santos - SP</t>
        </is>
      </c>
      <c r="C3350" s="6" t="n">
        <v>-23.9535</v>
      </c>
      <c r="D3350" s="6" t="n">
        <v>-46.335</v>
      </c>
      <c r="E3350" s="6" t="inlineStr">
        <is>
          <t>2025-01</t>
        </is>
      </c>
      <c r="F3350" s="6" t="n"/>
      <c r="G3350" s="6" t="inlineStr">
        <is>
          <t>EXPORTACAO</t>
        </is>
      </c>
      <c r="H3350" s="6" t="inlineStr">
        <is>
          <t>AUTO_OFERTA_TOTAL_PRODUTO_PERIODO</t>
        </is>
      </c>
      <c r="I3350" s="11">
        <f>IF($H3350="AUTO_OFERTA_TOTAL_PRODUTO_PERIODO",SUMIFS(Oferta!$F:$F,Oferta!$A:$A,$A3350,Oferta!$E:$E,$E3350),$F3350)</f>
        <v/>
      </c>
      <c r="J3350" s="6" t="inlineStr">
        <is>
          <t>Derivado_da_Oferta</t>
        </is>
      </c>
      <c r="K3350" s="6" t="inlineStr">
        <is>
          <t>Mercado externo: limite superior calculado automaticamente pela soma da oferta do produto no período.</t>
        </is>
      </c>
    </row>
    <row r="3351">
      <c r="A3351" s="6" t="inlineStr">
        <is>
          <t>Soja</t>
        </is>
      </c>
      <c r="B3351" s="6" t="inlineStr">
        <is>
          <t>Santos - SP</t>
        </is>
      </c>
      <c r="C3351" s="6" t="n">
        <v>-23.9535</v>
      </c>
      <c r="D3351" s="6" t="n">
        <v>-46.335</v>
      </c>
      <c r="E3351" s="6" t="inlineStr">
        <is>
          <t>2025-02</t>
        </is>
      </c>
      <c r="F3351" s="6" t="n"/>
      <c r="G3351" s="6" t="inlineStr">
        <is>
          <t>EXPORTACAO</t>
        </is>
      </c>
      <c r="H3351" s="6" t="inlineStr">
        <is>
          <t>AUTO_OFERTA_TOTAL_PRODUTO_PERIODO</t>
        </is>
      </c>
      <c r="I3351" s="11">
        <f>IF($H3351="AUTO_OFERTA_TOTAL_PRODUTO_PERIODO",SUMIFS(Oferta!$F:$F,Oferta!$A:$A,$A3351,Oferta!$E:$E,$E3351),$F3351)</f>
        <v/>
      </c>
      <c r="J3351" s="6" t="inlineStr">
        <is>
          <t>Derivado_da_Oferta</t>
        </is>
      </c>
      <c r="K3351" s="6" t="inlineStr">
        <is>
          <t>Mercado externo: limite superior calculado automaticamente pela soma da oferta do produto no período.</t>
        </is>
      </c>
    </row>
    <row r="3352">
      <c r="A3352" s="6" t="inlineStr">
        <is>
          <t>Soja</t>
        </is>
      </c>
      <c r="B3352" s="6" t="inlineStr">
        <is>
          <t>Santos - SP</t>
        </is>
      </c>
      <c r="C3352" s="6" t="n">
        <v>-23.9535</v>
      </c>
      <c r="D3352" s="6" t="n">
        <v>-46.335</v>
      </c>
      <c r="E3352" s="6" t="inlineStr">
        <is>
          <t>2025-03</t>
        </is>
      </c>
      <c r="F3352" s="6" t="n"/>
      <c r="G3352" s="6" t="inlineStr">
        <is>
          <t>EXPORTACAO</t>
        </is>
      </c>
      <c r="H3352" s="6" t="inlineStr">
        <is>
          <t>AUTO_OFERTA_TOTAL_PRODUTO_PERIODO</t>
        </is>
      </c>
      <c r="I3352" s="11">
        <f>IF($H3352="AUTO_OFERTA_TOTAL_PRODUTO_PERIODO",SUMIFS(Oferta!$F:$F,Oferta!$A:$A,$A3352,Oferta!$E:$E,$E3352),$F3352)</f>
        <v/>
      </c>
      <c r="J3352" s="6" t="inlineStr">
        <is>
          <t>Derivado_da_Oferta</t>
        </is>
      </c>
      <c r="K3352" s="6" t="inlineStr">
        <is>
          <t>Mercado externo: limite superior calculado automaticamente pela soma da oferta do produto no período.</t>
        </is>
      </c>
    </row>
    <row r="3353">
      <c r="A3353" s="6" t="inlineStr">
        <is>
          <t>Soja</t>
        </is>
      </c>
      <c r="B3353" s="6" t="inlineStr">
        <is>
          <t>Santos - SP</t>
        </is>
      </c>
      <c r="C3353" s="6" t="n">
        <v>-23.9535</v>
      </c>
      <c r="D3353" s="6" t="n">
        <v>-46.335</v>
      </c>
      <c r="E3353" s="6" t="inlineStr">
        <is>
          <t>2025-04</t>
        </is>
      </c>
      <c r="F3353" s="6" t="n"/>
      <c r="G3353" s="6" t="inlineStr">
        <is>
          <t>EXPORTACAO</t>
        </is>
      </c>
      <c r="H3353" s="6" t="inlineStr">
        <is>
          <t>AUTO_OFERTA_TOTAL_PRODUTO_PERIODO</t>
        </is>
      </c>
      <c r="I3353" s="11">
        <f>IF($H3353="AUTO_OFERTA_TOTAL_PRODUTO_PERIODO",SUMIFS(Oferta!$F:$F,Oferta!$A:$A,$A3353,Oferta!$E:$E,$E3353),$F3353)</f>
        <v/>
      </c>
      <c r="J3353" s="6" t="inlineStr">
        <is>
          <t>Derivado_da_Oferta</t>
        </is>
      </c>
      <c r="K3353" s="6" t="inlineStr">
        <is>
          <t>Mercado externo: limite superior calculado automaticamente pela soma da oferta do produto no período.</t>
        </is>
      </c>
    </row>
    <row r="3354">
      <c r="A3354" s="6" t="inlineStr">
        <is>
          <t>Soja</t>
        </is>
      </c>
      <c r="B3354" s="6" t="inlineStr">
        <is>
          <t>Santos - SP</t>
        </is>
      </c>
      <c r="C3354" s="6" t="n">
        <v>-23.9535</v>
      </c>
      <c r="D3354" s="6" t="n">
        <v>-46.335</v>
      </c>
      <c r="E3354" s="6" t="inlineStr">
        <is>
          <t>2025-05</t>
        </is>
      </c>
      <c r="F3354" s="6" t="n"/>
      <c r="G3354" s="6" t="inlineStr">
        <is>
          <t>EXPORTACAO</t>
        </is>
      </c>
      <c r="H3354" s="6" t="inlineStr">
        <is>
          <t>AUTO_OFERTA_TOTAL_PRODUTO_PERIODO</t>
        </is>
      </c>
      <c r="I3354" s="11">
        <f>IF($H3354="AUTO_OFERTA_TOTAL_PRODUTO_PERIODO",SUMIFS(Oferta!$F:$F,Oferta!$A:$A,$A3354,Oferta!$E:$E,$E3354),$F3354)</f>
        <v/>
      </c>
      <c r="J3354" s="6" t="inlineStr">
        <is>
          <t>Derivado_da_Oferta</t>
        </is>
      </c>
      <c r="K3354" s="6" t="inlineStr">
        <is>
          <t>Mercado externo: limite superior calculado automaticamente pela soma da oferta do produto no período.</t>
        </is>
      </c>
    </row>
    <row r="3355">
      <c r="A3355" s="6" t="inlineStr">
        <is>
          <t>Soja</t>
        </is>
      </c>
      <c r="B3355" s="6" t="inlineStr">
        <is>
          <t>Santos - SP</t>
        </is>
      </c>
      <c r="C3355" s="6" t="n">
        <v>-23.9535</v>
      </c>
      <c r="D3355" s="6" t="n">
        <v>-46.335</v>
      </c>
      <c r="E3355" s="6" t="inlineStr">
        <is>
          <t>2025-06</t>
        </is>
      </c>
      <c r="F3355" s="6" t="n"/>
      <c r="G3355" s="6" t="inlineStr">
        <is>
          <t>EXPORTACAO</t>
        </is>
      </c>
      <c r="H3355" s="6" t="inlineStr">
        <is>
          <t>AUTO_OFERTA_TOTAL_PRODUTO_PERIODO</t>
        </is>
      </c>
      <c r="I3355" s="11">
        <f>IF($H3355="AUTO_OFERTA_TOTAL_PRODUTO_PERIODO",SUMIFS(Oferta!$F:$F,Oferta!$A:$A,$A3355,Oferta!$E:$E,$E3355),$F3355)</f>
        <v/>
      </c>
      <c r="J3355" s="6" t="inlineStr">
        <is>
          <t>Derivado_da_Oferta</t>
        </is>
      </c>
      <c r="K3355" s="6" t="inlineStr">
        <is>
          <t>Mercado externo: limite superior calculado automaticamente pela soma da oferta do produto no período.</t>
        </is>
      </c>
    </row>
    <row r="3356">
      <c r="A3356" s="6" t="inlineStr">
        <is>
          <t>Soja</t>
        </is>
      </c>
      <c r="B3356" s="6" t="inlineStr">
        <is>
          <t>Santos - SP</t>
        </is>
      </c>
      <c r="C3356" s="6" t="n">
        <v>-23.9535</v>
      </c>
      <c r="D3356" s="6" t="n">
        <v>-46.335</v>
      </c>
      <c r="E3356" s="6" t="inlineStr">
        <is>
          <t>2025-07</t>
        </is>
      </c>
      <c r="F3356" s="6" t="n"/>
      <c r="G3356" s="6" t="inlineStr">
        <is>
          <t>EXPORTACAO</t>
        </is>
      </c>
      <c r="H3356" s="6" t="inlineStr">
        <is>
          <t>AUTO_OFERTA_TOTAL_PRODUTO_PERIODO</t>
        </is>
      </c>
      <c r="I3356" s="11">
        <f>IF($H3356="AUTO_OFERTA_TOTAL_PRODUTO_PERIODO",SUMIFS(Oferta!$F:$F,Oferta!$A:$A,$A3356,Oferta!$E:$E,$E3356),$F3356)</f>
        <v/>
      </c>
      <c r="J3356" s="6" t="inlineStr">
        <is>
          <t>Derivado_da_Oferta</t>
        </is>
      </c>
      <c r="K3356" s="6" t="inlineStr">
        <is>
          <t>Mercado externo: limite superior calculado automaticamente pela soma da oferta do produto no período.</t>
        </is>
      </c>
    </row>
    <row r="3357">
      <c r="A3357" s="6" t="inlineStr">
        <is>
          <t>Soja</t>
        </is>
      </c>
      <c r="B3357" s="6" t="inlineStr">
        <is>
          <t>Santos - SP</t>
        </is>
      </c>
      <c r="C3357" s="6" t="n">
        <v>-23.9535</v>
      </c>
      <c r="D3357" s="6" t="n">
        <v>-46.335</v>
      </c>
      <c r="E3357" s="6" t="inlineStr">
        <is>
          <t>2025-08</t>
        </is>
      </c>
      <c r="F3357" s="6" t="n"/>
      <c r="G3357" s="6" t="inlineStr">
        <is>
          <t>EXPORTACAO</t>
        </is>
      </c>
      <c r="H3357" s="6" t="inlineStr">
        <is>
          <t>AUTO_OFERTA_TOTAL_PRODUTO_PERIODO</t>
        </is>
      </c>
      <c r="I3357" s="11">
        <f>IF($H3357="AUTO_OFERTA_TOTAL_PRODUTO_PERIODO",SUMIFS(Oferta!$F:$F,Oferta!$A:$A,$A3357,Oferta!$E:$E,$E3357),$F3357)</f>
        <v/>
      </c>
      <c r="J3357" s="6" t="inlineStr">
        <is>
          <t>Derivado_da_Oferta</t>
        </is>
      </c>
      <c r="K3357" s="6" t="inlineStr">
        <is>
          <t>Mercado externo: limite superior calculado automaticamente pela soma da oferta do produto no período.</t>
        </is>
      </c>
    </row>
    <row r="3358">
      <c r="A3358" s="6" t="inlineStr">
        <is>
          <t>Soja</t>
        </is>
      </c>
      <c r="B3358" s="6" t="inlineStr">
        <is>
          <t>Santos - SP</t>
        </is>
      </c>
      <c r="C3358" s="6" t="n">
        <v>-23.9535</v>
      </c>
      <c r="D3358" s="6" t="n">
        <v>-46.335</v>
      </c>
      <c r="E3358" s="6" t="inlineStr">
        <is>
          <t>2025-09</t>
        </is>
      </c>
      <c r="F3358" s="6" t="n"/>
      <c r="G3358" s="6" t="inlineStr">
        <is>
          <t>EXPORTACAO</t>
        </is>
      </c>
      <c r="H3358" s="6" t="inlineStr">
        <is>
          <t>AUTO_OFERTA_TOTAL_PRODUTO_PERIODO</t>
        </is>
      </c>
      <c r="I3358" s="11">
        <f>IF($H3358="AUTO_OFERTA_TOTAL_PRODUTO_PERIODO",SUMIFS(Oferta!$F:$F,Oferta!$A:$A,$A3358,Oferta!$E:$E,$E3358),$F3358)</f>
        <v/>
      </c>
      <c r="J3358" s="6" t="inlineStr">
        <is>
          <t>Derivado_da_Oferta</t>
        </is>
      </c>
      <c r="K3358" s="6" t="inlineStr">
        <is>
          <t>Mercado externo: limite superior calculado automaticamente pela soma da oferta do produto no período.</t>
        </is>
      </c>
    </row>
    <row r="3359">
      <c r="A3359" s="6" t="inlineStr">
        <is>
          <t>Soja</t>
        </is>
      </c>
      <c r="B3359" s="6" t="inlineStr">
        <is>
          <t>Santos - SP</t>
        </is>
      </c>
      <c r="C3359" s="6" t="n">
        <v>-23.9535</v>
      </c>
      <c r="D3359" s="6" t="n">
        <v>-46.335</v>
      </c>
      <c r="E3359" s="6" t="inlineStr">
        <is>
          <t>2025-10</t>
        </is>
      </c>
      <c r="F3359" s="6" t="n"/>
      <c r="G3359" s="6" t="inlineStr">
        <is>
          <t>EXPORTACAO</t>
        </is>
      </c>
      <c r="H3359" s="6" t="inlineStr">
        <is>
          <t>AUTO_OFERTA_TOTAL_PRODUTO_PERIODO</t>
        </is>
      </c>
      <c r="I3359" s="11">
        <f>IF($H3359="AUTO_OFERTA_TOTAL_PRODUTO_PERIODO",SUMIFS(Oferta!$F:$F,Oferta!$A:$A,$A3359,Oferta!$E:$E,$E3359),$F3359)</f>
        <v/>
      </c>
      <c r="J3359" s="6" t="inlineStr">
        <is>
          <t>Derivado_da_Oferta</t>
        </is>
      </c>
      <c r="K3359" s="6" t="inlineStr">
        <is>
          <t>Mercado externo: limite superior calculado automaticamente pela soma da oferta do produto no período.</t>
        </is>
      </c>
    </row>
    <row r="3360">
      <c r="A3360" s="6" t="inlineStr">
        <is>
          <t>Soja</t>
        </is>
      </c>
      <c r="B3360" s="6" t="inlineStr">
        <is>
          <t>Santos - SP</t>
        </is>
      </c>
      <c r="C3360" s="6" t="n">
        <v>-23.9535</v>
      </c>
      <c r="D3360" s="6" t="n">
        <v>-46.335</v>
      </c>
      <c r="E3360" s="6" t="inlineStr">
        <is>
          <t>2025-11</t>
        </is>
      </c>
      <c r="F3360" s="6" t="n"/>
      <c r="G3360" s="6" t="inlineStr">
        <is>
          <t>EXPORTACAO</t>
        </is>
      </c>
      <c r="H3360" s="6" t="inlineStr">
        <is>
          <t>AUTO_OFERTA_TOTAL_PRODUTO_PERIODO</t>
        </is>
      </c>
      <c r="I3360" s="11">
        <f>IF($H3360="AUTO_OFERTA_TOTAL_PRODUTO_PERIODO",SUMIFS(Oferta!$F:$F,Oferta!$A:$A,$A3360,Oferta!$E:$E,$E3360),$F3360)</f>
        <v/>
      </c>
      <c r="J3360" s="6" t="inlineStr">
        <is>
          <t>Derivado_da_Oferta</t>
        </is>
      </c>
      <c r="K3360" s="6" t="inlineStr">
        <is>
          <t>Mercado externo: limite superior calculado automaticamente pela soma da oferta do produto no período.</t>
        </is>
      </c>
    </row>
    <row r="3361">
      <c r="A3361" s="6" t="inlineStr">
        <is>
          <t>Soja</t>
        </is>
      </c>
      <c r="B3361" s="6" t="inlineStr">
        <is>
          <t>Santos - SP</t>
        </is>
      </c>
      <c r="C3361" s="6" t="n">
        <v>-23.9535</v>
      </c>
      <c r="D3361" s="6" t="n">
        <v>-46.335</v>
      </c>
      <c r="E3361" s="6" t="inlineStr">
        <is>
          <t>2025-12</t>
        </is>
      </c>
      <c r="F3361" s="6" t="n"/>
      <c r="G3361" s="6" t="inlineStr">
        <is>
          <t>EXPORTACAO</t>
        </is>
      </c>
      <c r="H3361" s="6" t="inlineStr">
        <is>
          <t>AUTO_OFERTA_TOTAL_PRODUTO_PERIODO</t>
        </is>
      </c>
      <c r="I3361" s="11">
        <f>IF($H3361="AUTO_OFERTA_TOTAL_PRODUTO_PERIODO",SUMIFS(Oferta!$F:$F,Oferta!$A:$A,$A3361,Oferta!$E:$E,$E3361),$F3361)</f>
        <v/>
      </c>
      <c r="J3361" s="6" t="inlineStr">
        <is>
          <t>Derivado_da_Oferta</t>
        </is>
      </c>
      <c r="K3361" s="6" t="inlineStr">
        <is>
          <t>Mercado externo: limite superior calculado automaticamente pela soma da oferta do produto no período.</t>
        </is>
      </c>
    </row>
    <row r="3362">
      <c r="A3362" s="6" t="inlineStr">
        <is>
          <t>Milho</t>
        </is>
      </c>
      <c r="B3362" s="6" t="inlineStr">
        <is>
          <t>Paranaguá - PR</t>
        </is>
      </c>
      <c r="C3362" s="6" t="n">
        <v>-25.5161</v>
      </c>
      <c r="D3362" s="6" t="n">
        <v>-48.5225</v>
      </c>
      <c r="E3362" s="6" t="inlineStr">
        <is>
          <t>2021-01</t>
        </is>
      </c>
      <c r="F3362" s="6" t="n"/>
      <c r="G3362" s="6" t="inlineStr">
        <is>
          <t>EXPORTACAO</t>
        </is>
      </c>
      <c r="H3362" s="6" t="inlineStr">
        <is>
          <t>AUTO_OFERTA_TOTAL_PRODUTO_PERIODO</t>
        </is>
      </c>
      <c r="I3362" s="11">
        <f>IF($H3362="AUTO_OFERTA_TOTAL_PRODUTO_PERIODO",SUMIFS(Oferta!$F:$F,Oferta!$A:$A,$A3362,Oferta!$E:$E,$E3362),$F3362)</f>
        <v/>
      </c>
      <c r="J3362" s="6" t="inlineStr">
        <is>
          <t>Derivado_da_Oferta</t>
        </is>
      </c>
      <c r="K3362" s="6" t="inlineStr">
        <is>
          <t>Mercado externo: limite superior calculado automaticamente pela soma da oferta do produto no período.</t>
        </is>
      </c>
    </row>
    <row r="3363">
      <c r="A3363" s="6" t="inlineStr">
        <is>
          <t>Milho</t>
        </is>
      </c>
      <c r="B3363" s="6" t="inlineStr">
        <is>
          <t>Paranaguá - PR</t>
        </is>
      </c>
      <c r="C3363" s="6" t="n">
        <v>-25.5161</v>
      </c>
      <c r="D3363" s="6" t="n">
        <v>-48.5225</v>
      </c>
      <c r="E3363" s="6" t="inlineStr">
        <is>
          <t>2021-02</t>
        </is>
      </c>
      <c r="F3363" s="6" t="n"/>
      <c r="G3363" s="6" t="inlineStr">
        <is>
          <t>EXPORTACAO</t>
        </is>
      </c>
      <c r="H3363" s="6" t="inlineStr">
        <is>
          <t>AUTO_OFERTA_TOTAL_PRODUTO_PERIODO</t>
        </is>
      </c>
      <c r="I3363" s="11">
        <f>IF($H3363="AUTO_OFERTA_TOTAL_PRODUTO_PERIODO",SUMIFS(Oferta!$F:$F,Oferta!$A:$A,$A3363,Oferta!$E:$E,$E3363),$F3363)</f>
        <v/>
      </c>
      <c r="J3363" s="6" t="inlineStr">
        <is>
          <t>Derivado_da_Oferta</t>
        </is>
      </c>
      <c r="K3363" s="6" t="inlineStr">
        <is>
          <t>Mercado externo: limite superior calculado automaticamente pela soma da oferta do produto no período.</t>
        </is>
      </c>
    </row>
    <row r="3364">
      <c r="A3364" s="6" t="inlineStr">
        <is>
          <t>Milho</t>
        </is>
      </c>
      <c r="B3364" s="6" t="inlineStr">
        <is>
          <t>Paranaguá - PR</t>
        </is>
      </c>
      <c r="C3364" s="6" t="n">
        <v>-25.5161</v>
      </c>
      <c r="D3364" s="6" t="n">
        <v>-48.5225</v>
      </c>
      <c r="E3364" s="6" t="inlineStr">
        <is>
          <t>2021-03</t>
        </is>
      </c>
      <c r="F3364" s="6" t="n"/>
      <c r="G3364" s="6" t="inlineStr">
        <is>
          <t>EXPORTACAO</t>
        </is>
      </c>
      <c r="H3364" s="6" t="inlineStr">
        <is>
          <t>AUTO_OFERTA_TOTAL_PRODUTO_PERIODO</t>
        </is>
      </c>
      <c r="I3364" s="11">
        <f>IF($H3364="AUTO_OFERTA_TOTAL_PRODUTO_PERIODO",SUMIFS(Oferta!$F:$F,Oferta!$A:$A,$A3364,Oferta!$E:$E,$E3364),$F3364)</f>
        <v/>
      </c>
      <c r="J3364" s="6" t="inlineStr">
        <is>
          <t>Derivado_da_Oferta</t>
        </is>
      </c>
      <c r="K3364" s="6" t="inlineStr">
        <is>
          <t>Mercado externo: limite superior calculado automaticamente pela soma da oferta do produto no período.</t>
        </is>
      </c>
    </row>
    <row r="3365">
      <c r="A3365" s="6" t="inlineStr">
        <is>
          <t>Milho</t>
        </is>
      </c>
      <c r="B3365" s="6" t="inlineStr">
        <is>
          <t>Paranaguá - PR</t>
        </is>
      </c>
      <c r="C3365" s="6" t="n">
        <v>-25.5161</v>
      </c>
      <c r="D3365" s="6" t="n">
        <v>-48.5225</v>
      </c>
      <c r="E3365" s="6" t="inlineStr">
        <is>
          <t>2021-04</t>
        </is>
      </c>
      <c r="F3365" s="6" t="n"/>
      <c r="G3365" s="6" t="inlineStr">
        <is>
          <t>EXPORTACAO</t>
        </is>
      </c>
      <c r="H3365" s="6" t="inlineStr">
        <is>
          <t>AUTO_OFERTA_TOTAL_PRODUTO_PERIODO</t>
        </is>
      </c>
      <c r="I3365" s="11">
        <f>IF($H3365="AUTO_OFERTA_TOTAL_PRODUTO_PERIODO",SUMIFS(Oferta!$F:$F,Oferta!$A:$A,$A3365,Oferta!$E:$E,$E3365),$F3365)</f>
        <v/>
      </c>
      <c r="J3365" s="6" t="inlineStr">
        <is>
          <t>Derivado_da_Oferta</t>
        </is>
      </c>
      <c r="K3365" s="6" t="inlineStr">
        <is>
          <t>Mercado externo: limite superior calculado automaticamente pela soma da oferta do produto no período.</t>
        </is>
      </c>
    </row>
    <row r="3366">
      <c r="A3366" s="6" t="inlineStr">
        <is>
          <t>Milho</t>
        </is>
      </c>
      <c r="B3366" s="6" t="inlineStr">
        <is>
          <t>Paranaguá - PR</t>
        </is>
      </c>
      <c r="C3366" s="6" t="n">
        <v>-25.5161</v>
      </c>
      <c r="D3366" s="6" t="n">
        <v>-48.5225</v>
      </c>
      <c r="E3366" s="6" t="inlineStr">
        <is>
          <t>2021-05</t>
        </is>
      </c>
      <c r="F3366" s="6" t="n"/>
      <c r="G3366" s="6" t="inlineStr">
        <is>
          <t>EXPORTACAO</t>
        </is>
      </c>
      <c r="H3366" s="6" t="inlineStr">
        <is>
          <t>AUTO_OFERTA_TOTAL_PRODUTO_PERIODO</t>
        </is>
      </c>
      <c r="I3366" s="11">
        <f>IF($H3366="AUTO_OFERTA_TOTAL_PRODUTO_PERIODO",SUMIFS(Oferta!$F:$F,Oferta!$A:$A,$A3366,Oferta!$E:$E,$E3366),$F3366)</f>
        <v/>
      </c>
      <c r="J3366" s="6" t="inlineStr">
        <is>
          <t>Derivado_da_Oferta</t>
        </is>
      </c>
      <c r="K3366" s="6" t="inlineStr">
        <is>
          <t>Mercado externo: limite superior calculado automaticamente pela soma da oferta do produto no período.</t>
        </is>
      </c>
    </row>
    <row r="3367">
      <c r="A3367" s="6" t="inlineStr">
        <is>
          <t>Milho</t>
        </is>
      </c>
      <c r="B3367" s="6" t="inlineStr">
        <is>
          <t>Paranaguá - PR</t>
        </is>
      </c>
      <c r="C3367" s="6" t="n">
        <v>-25.5161</v>
      </c>
      <c r="D3367" s="6" t="n">
        <v>-48.5225</v>
      </c>
      <c r="E3367" s="6" t="inlineStr">
        <is>
          <t>2021-06</t>
        </is>
      </c>
      <c r="F3367" s="6" t="n"/>
      <c r="G3367" s="6" t="inlineStr">
        <is>
          <t>EXPORTACAO</t>
        </is>
      </c>
      <c r="H3367" s="6" t="inlineStr">
        <is>
          <t>AUTO_OFERTA_TOTAL_PRODUTO_PERIODO</t>
        </is>
      </c>
      <c r="I3367" s="11">
        <f>IF($H3367="AUTO_OFERTA_TOTAL_PRODUTO_PERIODO",SUMIFS(Oferta!$F:$F,Oferta!$A:$A,$A3367,Oferta!$E:$E,$E3367),$F3367)</f>
        <v/>
      </c>
      <c r="J3367" s="6" t="inlineStr">
        <is>
          <t>Derivado_da_Oferta</t>
        </is>
      </c>
      <c r="K3367" s="6" t="inlineStr">
        <is>
          <t>Mercado externo: limite superior calculado automaticamente pela soma da oferta do produto no período.</t>
        </is>
      </c>
    </row>
    <row r="3368">
      <c r="A3368" s="6" t="inlineStr">
        <is>
          <t>Milho</t>
        </is>
      </c>
      <c r="B3368" s="6" t="inlineStr">
        <is>
          <t>Paranaguá - PR</t>
        </is>
      </c>
      <c r="C3368" s="6" t="n">
        <v>-25.5161</v>
      </c>
      <c r="D3368" s="6" t="n">
        <v>-48.5225</v>
      </c>
      <c r="E3368" s="6" t="inlineStr">
        <is>
          <t>2021-07</t>
        </is>
      </c>
      <c r="F3368" s="6" t="n"/>
      <c r="G3368" s="6" t="inlineStr">
        <is>
          <t>EXPORTACAO</t>
        </is>
      </c>
      <c r="H3368" s="6" t="inlineStr">
        <is>
          <t>AUTO_OFERTA_TOTAL_PRODUTO_PERIODO</t>
        </is>
      </c>
      <c r="I3368" s="11">
        <f>IF($H3368="AUTO_OFERTA_TOTAL_PRODUTO_PERIODO",SUMIFS(Oferta!$F:$F,Oferta!$A:$A,$A3368,Oferta!$E:$E,$E3368),$F3368)</f>
        <v/>
      </c>
      <c r="J3368" s="6" t="inlineStr">
        <is>
          <t>Derivado_da_Oferta</t>
        </is>
      </c>
      <c r="K3368" s="6" t="inlineStr">
        <is>
          <t>Mercado externo: limite superior calculado automaticamente pela soma da oferta do produto no período.</t>
        </is>
      </c>
    </row>
    <row r="3369">
      <c r="A3369" s="6" t="inlineStr">
        <is>
          <t>Milho</t>
        </is>
      </c>
      <c r="B3369" s="6" t="inlineStr">
        <is>
          <t>Paranaguá - PR</t>
        </is>
      </c>
      <c r="C3369" s="6" t="n">
        <v>-25.5161</v>
      </c>
      <c r="D3369" s="6" t="n">
        <v>-48.5225</v>
      </c>
      <c r="E3369" s="6" t="inlineStr">
        <is>
          <t>2021-08</t>
        </is>
      </c>
      <c r="F3369" s="6" t="n"/>
      <c r="G3369" s="6" t="inlineStr">
        <is>
          <t>EXPORTACAO</t>
        </is>
      </c>
      <c r="H3369" s="6" t="inlineStr">
        <is>
          <t>AUTO_OFERTA_TOTAL_PRODUTO_PERIODO</t>
        </is>
      </c>
      <c r="I3369" s="11">
        <f>IF($H3369="AUTO_OFERTA_TOTAL_PRODUTO_PERIODO",SUMIFS(Oferta!$F:$F,Oferta!$A:$A,$A3369,Oferta!$E:$E,$E3369),$F3369)</f>
        <v/>
      </c>
      <c r="J3369" s="6" t="inlineStr">
        <is>
          <t>Derivado_da_Oferta</t>
        </is>
      </c>
      <c r="K3369" s="6" t="inlineStr">
        <is>
          <t>Mercado externo: limite superior calculado automaticamente pela soma da oferta do produto no período.</t>
        </is>
      </c>
    </row>
    <row r="3370">
      <c r="A3370" s="6" t="inlineStr">
        <is>
          <t>Milho</t>
        </is>
      </c>
      <c r="B3370" s="6" t="inlineStr">
        <is>
          <t>Paranaguá - PR</t>
        </is>
      </c>
      <c r="C3370" s="6" t="n">
        <v>-25.5161</v>
      </c>
      <c r="D3370" s="6" t="n">
        <v>-48.5225</v>
      </c>
      <c r="E3370" s="6" t="inlineStr">
        <is>
          <t>2021-09</t>
        </is>
      </c>
      <c r="F3370" s="6" t="n"/>
      <c r="G3370" s="6" t="inlineStr">
        <is>
          <t>EXPORTACAO</t>
        </is>
      </c>
      <c r="H3370" s="6" t="inlineStr">
        <is>
          <t>AUTO_OFERTA_TOTAL_PRODUTO_PERIODO</t>
        </is>
      </c>
      <c r="I3370" s="11">
        <f>IF($H3370="AUTO_OFERTA_TOTAL_PRODUTO_PERIODO",SUMIFS(Oferta!$F:$F,Oferta!$A:$A,$A3370,Oferta!$E:$E,$E3370),$F3370)</f>
        <v/>
      </c>
      <c r="J3370" s="6" t="inlineStr">
        <is>
          <t>Derivado_da_Oferta</t>
        </is>
      </c>
      <c r="K3370" s="6" t="inlineStr">
        <is>
          <t>Mercado externo: limite superior calculado automaticamente pela soma da oferta do produto no período.</t>
        </is>
      </c>
    </row>
    <row r="3371">
      <c r="A3371" s="6" t="inlineStr">
        <is>
          <t>Milho</t>
        </is>
      </c>
      <c r="B3371" s="6" t="inlineStr">
        <is>
          <t>Paranaguá - PR</t>
        </is>
      </c>
      <c r="C3371" s="6" t="n">
        <v>-25.5161</v>
      </c>
      <c r="D3371" s="6" t="n">
        <v>-48.5225</v>
      </c>
      <c r="E3371" s="6" t="inlineStr">
        <is>
          <t>2021-10</t>
        </is>
      </c>
      <c r="F3371" s="6" t="n"/>
      <c r="G3371" s="6" t="inlineStr">
        <is>
          <t>EXPORTACAO</t>
        </is>
      </c>
      <c r="H3371" s="6" t="inlineStr">
        <is>
          <t>AUTO_OFERTA_TOTAL_PRODUTO_PERIODO</t>
        </is>
      </c>
      <c r="I3371" s="11">
        <f>IF($H3371="AUTO_OFERTA_TOTAL_PRODUTO_PERIODO",SUMIFS(Oferta!$F:$F,Oferta!$A:$A,$A3371,Oferta!$E:$E,$E3371),$F3371)</f>
        <v/>
      </c>
      <c r="J3371" s="6" t="inlineStr">
        <is>
          <t>Derivado_da_Oferta</t>
        </is>
      </c>
      <c r="K3371" s="6" t="inlineStr">
        <is>
          <t>Mercado externo: limite superior calculado automaticamente pela soma da oferta do produto no período.</t>
        </is>
      </c>
    </row>
    <row r="3372">
      <c r="A3372" s="6" t="inlineStr">
        <is>
          <t>Milho</t>
        </is>
      </c>
      <c r="B3372" s="6" t="inlineStr">
        <is>
          <t>Paranaguá - PR</t>
        </is>
      </c>
      <c r="C3372" s="6" t="n">
        <v>-25.5161</v>
      </c>
      <c r="D3372" s="6" t="n">
        <v>-48.5225</v>
      </c>
      <c r="E3372" s="6" t="inlineStr">
        <is>
          <t>2021-11</t>
        </is>
      </c>
      <c r="F3372" s="6" t="n"/>
      <c r="G3372" s="6" t="inlineStr">
        <is>
          <t>EXPORTACAO</t>
        </is>
      </c>
      <c r="H3372" s="6" t="inlineStr">
        <is>
          <t>AUTO_OFERTA_TOTAL_PRODUTO_PERIODO</t>
        </is>
      </c>
      <c r="I3372" s="11">
        <f>IF($H3372="AUTO_OFERTA_TOTAL_PRODUTO_PERIODO",SUMIFS(Oferta!$F:$F,Oferta!$A:$A,$A3372,Oferta!$E:$E,$E3372),$F3372)</f>
        <v/>
      </c>
      <c r="J3372" s="6" t="inlineStr">
        <is>
          <t>Derivado_da_Oferta</t>
        </is>
      </c>
      <c r="K3372" s="6" t="inlineStr">
        <is>
          <t>Mercado externo: limite superior calculado automaticamente pela soma da oferta do produto no período.</t>
        </is>
      </c>
    </row>
    <row r="3373">
      <c r="A3373" s="6" t="inlineStr">
        <is>
          <t>Milho</t>
        </is>
      </c>
      <c r="B3373" s="6" t="inlineStr">
        <is>
          <t>Paranaguá - PR</t>
        </is>
      </c>
      <c r="C3373" s="6" t="n">
        <v>-25.5161</v>
      </c>
      <c r="D3373" s="6" t="n">
        <v>-48.5225</v>
      </c>
      <c r="E3373" s="6" t="inlineStr">
        <is>
          <t>2021-12</t>
        </is>
      </c>
      <c r="F3373" s="6" t="n"/>
      <c r="G3373" s="6" t="inlineStr">
        <is>
          <t>EXPORTACAO</t>
        </is>
      </c>
      <c r="H3373" s="6" t="inlineStr">
        <is>
          <t>AUTO_OFERTA_TOTAL_PRODUTO_PERIODO</t>
        </is>
      </c>
      <c r="I3373" s="11">
        <f>IF($H3373="AUTO_OFERTA_TOTAL_PRODUTO_PERIODO",SUMIFS(Oferta!$F:$F,Oferta!$A:$A,$A3373,Oferta!$E:$E,$E3373),$F3373)</f>
        <v/>
      </c>
      <c r="J3373" s="6" t="inlineStr">
        <is>
          <t>Derivado_da_Oferta</t>
        </is>
      </c>
      <c r="K3373" s="6" t="inlineStr">
        <is>
          <t>Mercado externo: limite superior calculado automaticamente pela soma da oferta do produto no período.</t>
        </is>
      </c>
    </row>
    <row r="3374">
      <c r="A3374" s="6" t="inlineStr">
        <is>
          <t>Milho</t>
        </is>
      </c>
      <c r="B3374" s="6" t="inlineStr">
        <is>
          <t>Paranaguá - PR</t>
        </is>
      </c>
      <c r="C3374" s="6" t="n">
        <v>-25.5161</v>
      </c>
      <c r="D3374" s="6" t="n">
        <v>-48.5225</v>
      </c>
      <c r="E3374" s="6" t="inlineStr">
        <is>
          <t>2022-01</t>
        </is>
      </c>
      <c r="F3374" s="6" t="n"/>
      <c r="G3374" s="6" t="inlineStr">
        <is>
          <t>EXPORTACAO</t>
        </is>
      </c>
      <c r="H3374" s="6" t="inlineStr">
        <is>
          <t>AUTO_OFERTA_TOTAL_PRODUTO_PERIODO</t>
        </is>
      </c>
      <c r="I3374" s="11">
        <f>IF($H3374="AUTO_OFERTA_TOTAL_PRODUTO_PERIODO",SUMIFS(Oferta!$F:$F,Oferta!$A:$A,$A3374,Oferta!$E:$E,$E3374),$F3374)</f>
        <v/>
      </c>
      <c r="J3374" s="6" t="inlineStr">
        <is>
          <t>Derivado_da_Oferta</t>
        </is>
      </c>
      <c r="K3374" s="6" t="inlineStr">
        <is>
          <t>Mercado externo: limite superior calculado automaticamente pela soma da oferta do produto no período.</t>
        </is>
      </c>
    </row>
    <row r="3375">
      <c r="A3375" s="6" t="inlineStr">
        <is>
          <t>Milho</t>
        </is>
      </c>
      <c r="B3375" s="6" t="inlineStr">
        <is>
          <t>Paranaguá - PR</t>
        </is>
      </c>
      <c r="C3375" s="6" t="n">
        <v>-25.5161</v>
      </c>
      <c r="D3375" s="6" t="n">
        <v>-48.5225</v>
      </c>
      <c r="E3375" s="6" t="inlineStr">
        <is>
          <t>2022-02</t>
        </is>
      </c>
      <c r="F3375" s="6" t="n"/>
      <c r="G3375" s="6" t="inlineStr">
        <is>
          <t>EXPORTACAO</t>
        </is>
      </c>
      <c r="H3375" s="6" t="inlineStr">
        <is>
          <t>AUTO_OFERTA_TOTAL_PRODUTO_PERIODO</t>
        </is>
      </c>
      <c r="I3375" s="11">
        <f>IF($H3375="AUTO_OFERTA_TOTAL_PRODUTO_PERIODO",SUMIFS(Oferta!$F:$F,Oferta!$A:$A,$A3375,Oferta!$E:$E,$E3375),$F3375)</f>
        <v/>
      </c>
      <c r="J3375" s="6" t="inlineStr">
        <is>
          <t>Derivado_da_Oferta</t>
        </is>
      </c>
      <c r="K3375" s="6" t="inlineStr">
        <is>
          <t>Mercado externo: limite superior calculado automaticamente pela soma da oferta do produto no período.</t>
        </is>
      </c>
    </row>
    <row r="3376">
      <c r="A3376" s="6" t="inlineStr">
        <is>
          <t>Milho</t>
        </is>
      </c>
      <c r="B3376" s="6" t="inlineStr">
        <is>
          <t>Paranaguá - PR</t>
        </is>
      </c>
      <c r="C3376" s="6" t="n">
        <v>-25.5161</v>
      </c>
      <c r="D3376" s="6" t="n">
        <v>-48.5225</v>
      </c>
      <c r="E3376" s="6" t="inlineStr">
        <is>
          <t>2022-03</t>
        </is>
      </c>
      <c r="F3376" s="6" t="n"/>
      <c r="G3376" s="6" t="inlineStr">
        <is>
          <t>EXPORTACAO</t>
        </is>
      </c>
      <c r="H3376" s="6" t="inlineStr">
        <is>
          <t>AUTO_OFERTA_TOTAL_PRODUTO_PERIODO</t>
        </is>
      </c>
      <c r="I3376" s="11">
        <f>IF($H3376="AUTO_OFERTA_TOTAL_PRODUTO_PERIODO",SUMIFS(Oferta!$F:$F,Oferta!$A:$A,$A3376,Oferta!$E:$E,$E3376),$F3376)</f>
        <v/>
      </c>
      <c r="J3376" s="6" t="inlineStr">
        <is>
          <t>Derivado_da_Oferta</t>
        </is>
      </c>
      <c r="K3376" s="6" t="inlineStr">
        <is>
          <t>Mercado externo: limite superior calculado automaticamente pela soma da oferta do produto no período.</t>
        </is>
      </c>
    </row>
    <row r="3377">
      <c r="A3377" s="6" t="inlineStr">
        <is>
          <t>Milho</t>
        </is>
      </c>
      <c r="B3377" s="6" t="inlineStr">
        <is>
          <t>Paranaguá - PR</t>
        </is>
      </c>
      <c r="C3377" s="6" t="n">
        <v>-25.5161</v>
      </c>
      <c r="D3377" s="6" t="n">
        <v>-48.5225</v>
      </c>
      <c r="E3377" s="6" t="inlineStr">
        <is>
          <t>2022-04</t>
        </is>
      </c>
      <c r="F3377" s="6" t="n"/>
      <c r="G3377" s="6" t="inlineStr">
        <is>
          <t>EXPORTACAO</t>
        </is>
      </c>
      <c r="H3377" s="6" t="inlineStr">
        <is>
          <t>AUTO_OFERTA_TOTAL_PRODUTO_PERIODO</t>
        </is>
      </c>
      <c r="I3377" s="11">
        <f>IF($H3377="AUTO_OFERTA_TOTAL_PRODUTO_PERIODO",SUMIFS(Oferta!$F:$F,Oferta!$A:$A,$A3377,Oferta!$E:$E,$E3377),$F3377)</f>
        <v/>
      </c>
      <c r="J3377" s="6" t="inlineStr">
        <is>
          <t>Derivado_da_Oferta</t>
        </is>
      </c>
      <c r="K3377" s="6" t="inlineStr">
        <is>
          <t>Mercado externo: limite superior calculado automaticamente pela soma da oferta do produto no período.</t>
        </is>
      </c>
    </row>
    <row r="3378">
      <c r="A3378" s="6" t="inlineStr">
        <is>
          <t>Milho</t>
        </is>
      </c>
      <c r="B3378" s="6" t="inlineStr">
        <is>
          <t>Paranaguá - PR</t>
        </is>
      </c>
      <c r="C3378" s="6" t="n">
        <v>-25.5161</v>
      </c>
      <c r="D3378" s="6" t="n">
        <v>-48.5225</v>
      </c>
      <c r="E3378" s="6" t="inlineStr">
        <is>
          <t>2022-05</t>
        </is>
      </c>
      <c r="F3378" s="6" t="n"/>
      <c r="G3378" s="6" t="inlineStr">
        <is>
          <t>EXPORTACAO</t>
        </is>
      </c>
      <c r="H3378" s="6" t="inlineStr">
        <is>
          <t>AUTO_OFERTA_TOTAL_PRODUTO_PERIODO</t>
        </is>
      </c>
      <c r="I3378" s="11">
        <f>IF($H3378="AUTO_OFERTA_TOTAL_PRODUTO_PERIODO",SUMIFS(Oferta!$F:$F,Oferta!$A:$A,$A3378,Oferta!$E:$E,$E3378),$F3378)</f>
        <v/>
      </c>
      <c r="J3378" s="6" t="inlineStr">
        <is>
          <t>Derivado_da_Oferta</t>
        </is>
      </c>
      <c r="K3378" s="6" t="inlineStr">
        <is>
          <t>Mercado externo: limite superior calculado automaticamente pela soma da oferta do produto no período.</t>
        </is>
      </c>
    </row>
    <row r="3379">
      <c r="A3379" s="6" t="inlineStr">
        <is>
          <t>Milho</t>
        </is>
      </c>
      <c r="B3379" s="6" t="inlineStr">
        <is>
          <t>Paranaguá - PR</t>
        </is>
      </c>
      <c r="C3379" s="6" t="n">
        <v>-25.5161</v>
      </c>
      <c r="D3379" s="6" t="n">
        <v>-48.5225</v>
      </c>
      <c r="E3379" s="6" t="inlineStr">
        <is>
          <t>2022-06</t>
        </is>
      </c>
      <c r="F3379" s="6" t="n"/>
      <c r="G3379" s="6" t="inlineStr">
        <is>
          <t>EXPORTACAO</t>
        </is>
      </c>
      <c r="H3379" s="6" t="inlineStr">
        <is>
          <t>AUTO_OFERTA_TOTAL_PRODUTO_PERIODO</t>
        </is>
      </c>
      <c r="I3379" s="11">
        <f>IF($H3379="AUTO_OFERTA_TOTAL_PRODUTO_PERIODO",SUMIFS(Oferta!$F:$F,Oferta!$A:$A,$A3379,Oferta!$E:$E,$E3379),$F3379)</f>
        <v/>
      </c>
      <c r="J3379" s="6" t="inlineStr">
        <is>
          <t>Derivado_da_Oferta</t>
        </is>
      </c>
      <c r="K3379" s="6" t="inlineStr">
        <is>
          <t>Mercado externo: limite superior calculado automaticamente pela soma da oferta do produto no período.</t>
        </is>
      </c>
    </row>
    <row r="3380">
      <c r="A3380" s="6" t="inlineStr">
        <is>
          <t>Milho</t>
        </is>
      </c>
      <c r="B3380" s="6" t="inlineStr">
        <is>
          <t>Paranaguá - PR</t>
        </is>
      </c>
      <c r="C3380" s="6" t="n">
        <v>-25.5161</v>
      </c>
      <c r="D3380" s="6" t="n">
        <v>-48.5225</v>
      </c>
      <c r="E3380" s="6" t="inlineStr">
        <is>
          <t>2022-07</t>
        </is>
      </c>
      <c r="F3380" s="6" t="n"/>
      <c r="G3380" s="6" t="inlineStr">
        <is>
          <t>EXPORTACAO</t>
        </is>
      </c>
      <c r="H3380" s="6" t="inlineStr">
        <is>
          <t>AUTO_OFERTA_TOTAL_PRODUTO_PERIODO</t>
        </is>
      </c>
      <c r="I3380" s="11">
        <f>IF($H3380="AUTO_OFERTA_TOTAL_PRODUTO_PERIODO",SUMIFS(Oferta!$F:$F,Oferta!$A:$A,$A3380,Oferta!$E:$E,$E3380),$F3380)</f>
        <v/>
      </c>
      <c r="J3380" s="6" t="inlineStr">
        <is>
          <t>Derivado_da_Oferta</t>
        </is>
      </c>
      <c r="K3380" s="6" t="inlineStr">
        <is>
          <t>Mercado externo: limite superior calculado automaticamente pela soma da oferta do produto no período.</t>
        </is>
      </c>
    </row>
    <row r="3381">
      <c r="A3381" s="6" t="inlineStr">
        <is>
          <t>Milho</t>
        </is>
      </c>
      <c r="B3381" s="6" t="inlineStr">
        <is>
          <t>Paranaguá - PR</t>
        </is>
      </c>
      <c r="C3381" s="6" t="n">
        <v>-25.5161</v>
      </c>
      <c r="D3381" s="6" t="n">
        <v>-48.5225</v>
      </c>
      <c r="E3381" s="6" t="inlineStr">
        <is>
          <t>2022-08</t>
        </is>
      </c>
      <c r="F3381" s="6" t="n"/>
      <c r="G3381" s="6" t="inlineStr">
        <is>
          <t>EXPORTACAO</t>
        </is>
      </c>
      <c r="H3381" s="6" t="inlineStr">
        <is>
          <t>AUTO_OFERTA_TOTAL_PRODUTO_PERIODO</t>
        </is>
      </c>
      <c r="I3381" s="11">
        <f>IF($H3381="AUTO_OFERTA_TOTAL_PRODUTO_PERIODO",SUMIFS(Oferta!$F:$F,Oferta!$A:$A,$A3381,Oferta!$E:$E,$E3381),$F3381)</f>
        <v/>
      </c>
      <c r="J3381" s="6" t="inlineStr">
        <is>
          <t>Derivado_da_Oferta</t>
        </is>
      </c>
      <c r="K3381" s="6" t="inlineStr">
        <is>
          <t>Mercado externo: limite superior calculado automaticamente pela soma da oferta do produto no período.</t>
        </is>
      </c>
    </row>
    <row r="3382">
      <c r="A3382" s="6" t="inlineStr">
        <is>
          <t>Milho</t>
        </is>
      </c>
      <c r="B3382" s="6" t="inlineStr">
        <is>
          <t>Paranaguá - PR</t>
        </is>
      </c>
      <c r="C3382" s="6" t="n">
        <v>-25.5161</v>
      </c>
      <c r="D3382" s="6" t="n">
        <v>-48.5225</v>
      </c>
      <c r="E3382" s="6" t="inlineStr">
        <is>
          <t>2022-09</t>
        </is>
      </c>
      <c r="F3382" s="6" t="n"/>
      <c r="G3382" s="6" t="inlineStr">
        <is>
          <t>EXPORTACAO</t>
        </is>
      </c>
      <c r="H3382" s="6" t="inlineStr">
        <is>
          <t>AUTO_OFERTA_TOTAL_PRODUTO_PERIODO</t>
        </is>
      </c>
      <c r="I3382" s="11">
        <f>IF($H3382="AUTO_OFERTA_TOTAL_PRODUTO_PERIODO",SUMIFS(Oferta!$F:$F,Oferta!$A:$A,$A3382,Oferta!$E:$E,$E3382),$F3382)</f>
        <v/>
      </c>
      <c r="J3382" s="6" t="inlineStr">
        <is>
          <t>Derivado_da_Oferta</t>
        </is>
      </c>
      <c r="K3382" s="6" t="inlineStr">
        <is>
          <t>Mercado externo: limite superior calculado automaticamente pela soma da oferta do produto no período.</t>
        </is>
      </c>
    </row>
    <row r="3383">
      <c r="A3383" s="6" t="inlineStr">
        <is>
          <t>Milho</t>
        </is>
      </c>
      <c r="B3383" s="6" t="inlineStr">
        <is>
          <t>Paranaguá - PR</t>
        </is>
      </c>
      <c r="C3383" s="6" t="n">
        <v>-25.5161</v>
      </c>
      <c r="D3383" s="6" t="n">
        <v>-48.5225</v>
      </c>
      <c r="E3383" s="6" t="inlineStr">
        <is>
          <t>2022-10</t>
        </is>
      </c>
      <c r="F3383" s="6" t="n"/>
      <c r="G3383" s="6" t="inlineStr">
        <is>
          <t>EXPORTACAO</t>
        </is>
      </c>
      <c r="H3383" s="6" t="inlineStr">
        <is>
          <t>AUTO_OFERTA_TOTAL_PRODUTO_PERIODO</t>
        </is>
      </c>
      <c r="I3383" s="11">
        <f>IF($H3383="AUTO_OFERTA_TOTAL_PRODUTO_PERIODO",SUMIFS(Oferta!$F:$F,Oferta!$A:$A,$A3383,Oferta!$E:$E,$E3383),$F3383)</f>
        <v/>
      </c>
      <c r="J3383" s="6" t="inlineStr">
        <is>
          <t>Derivado_da_Oferta</t>
        </is>
      </c>
      <c r="K3383" s="6" t="inlineStr">
        <is>
          <t>Mercado externo: limite superior calculado automaticamente pela soma da oferta do produto no período.</t>
        </is>
      </c>
    </row>
    <row r="3384">
      <c r="A3384" s="6" t="inlineStr">
        <is>
          <t>Milho</t>
        </is>
      </c>
      <c r="B3384" s="6" t="inlineStr">
        <is>
          <t>Paranaguá - PR</t>
        </is>
      </c>
      <c r="C3384" s="6" t="n">
        <v>-25.5161</v>
      </c>
      <c r="D3384" s="6" t="n">
        <v>-48.5225</v>
      </c>
      <c r="E3384" s="6" t="inlineStr">
        <is>
          <t>2022-11</t>
        </is>
      </c>
      <c r="F3384" s="6" t="n"/>
      <c r="G3384" s="6" t="inlineStr">
        <is>
          <t>EXPORTACAO</t>
        </is>
      </c>
      <c r="H3384" s="6" t="inlineStr">
        <is>
          <t>AUTO_OFERTA_TOTAL_PRODUTO_PERIODO</t>
        </is>
      </c>
      <c r="I3384" s="11">
        <f>IF($H3384="AUTO_OFERTA_TOTAL_PRODUTO_PERIODO",SUMIFS(Oferta!$F:$F,Oferta!$A:$A,$A3384,Oferta!$E:$E,$E3384),$F3384)</f>
        <v/>
      </c>
      <c r="J3384" s="6" t="inlineStr">
        <is>
          <t>Derivado_da_Oferta</t>
        </is>
      </c>
      <c r="K3384" s="6" t="inlineStr">
        <is>
          <t>Mercado externo: limite superior calculado automaticamente pela soma da oferta do produto no período.</t>
        </is>
      </c>
    </row>
    <row r="3385">
      <c r="A3385" s="6" t="inlineStr">
        <is>
          <t>Milho</t>
        </is>
      </c>
      <c r="B3385" s="6" t="inlineStr">
        <is>
          <t>Paranaguá - PR</t>
        </is>
      </c>
      <c r="C3385" s="6" t="n">
        <v>-25.5161</v>
      </c>
      <c r="D3385" s="6" t="n">
        <v>-48.5225</v>
      </c>
      <c r="E3385" s="6" t="inlineStr">
        <is>
          <t>2022-12</t>
        </is>
      </c>
      <c r="F3385" s="6" t="n"/>
      <c r="G3385" s="6" t="inlineStr">
        <is>
          <t>EXPORTACAO</t>
        </is>
      </c>
      <c r="H3385" s="6" t="inlineStr">
        <is>
          <t>AUTO_OFERTA_TOTAL_PRODUTO_PERIODO</t>
        </is>
      </c>
      <c r="I3385" s="11">
        <f>IF($H3385="AUTO_OFERTA_TOTAL_PRODUTO_PERIODO",SUMIFS(Oferta!$F:$F,Oferta!$A:$A,$A3385,Oferta!$E:$E,$E3385),$F3385)</f>
        <v/>
      </c>
      <c r="J3385" s="6" t="inlineStr">
        <is>
          <t>Derivado_da_Oferta</t>
        </is>
      </c>
      <c r="K3385" s="6" t="inlineStr">
        <is>
          <t>Mercado externo: limite superior calculado automaticamente pela soma da oferta do produto no período.</t>
        </is>
      </c>
    </row>
    <row r="3386">
      <c r="A3386" s="6" t="inlineStr">
        <is>
          <t>Milho</t>
        </is>
      </c>
      <c r="B3386" s="6" t="inlineStr">
        <is>
          <t>Paranaguá - PR</t>
        </is>
      </c>
      <c r="C3386" s="6" t="n">
        <v>-25.5161</v>
      </c>
      <c r="D3386" s="6" t="n">
        <v>-48.5225</v>
      </c>
      <c r="E3386" s="6" t="inlineStr">
        <is>
          <t>2023-01</t>
        </is>
      </c>
      <c r="F3386" s="6" t="n"/>
      <c r="G3386" s="6" t="inlineStr">
        <is>
          <t>EXPORTACAO</t>
        </is>
      </c>
      <c r="H3386" s="6" t="inlineStr">
        <is>
          <t>AUTO_OFERTA_TOTAL_PRODUTO_PERIODO</t>
        </is>
      </c>
      <c r="I3386" s="11">
        <f>IF($H3386="AUTO_OFERTA_TOTAL_PRODUTO_PERIODO",SUMIFS(Oferta!$F:$F,Oferta!$A:$A,$A3386,Oferta!$E:$E,$E3386),$F3386)</f>
        <v/>
      </c>
      <c r="J3386" s="6" t="inlineStr">
        <is>
          <t>Derivado_da_Oferta</t>
        </is>
      </c>
      <c r="K3386" s="6" t="inlineStr">
        <is>
          <t>Mercado externo: limite superior calculado automaticamente pela soma da oferta do produto no período.</t>
        </is>
      </c>
    </row>
    <row r="3387">
      <c r="A3387" s="6" t="inlineStr">
        <is>
          <t>Milho</t>
        </is>
      </c>
      <c r="B3387" s="6" t="inlineStr">
        <is>
          <t>Paranaguá - PR</t>
        </is>
      </c>
      <c r="C3387" s="6" t="n">
        <v>-25.5161</v>
      </c>
      <c r="D3387" s="6" t="n">
        <v>-48.5225</v>
      </c>
      <c r="E3387" s="6" t="inlineStr">
        <is>
          <t>2023-02</t>
        </is>
      </c>
      <c r="F3387" s="6" t="n"/>
      <c r="G3387" s="6" t="inlineStr">
        <is>
          <t>EXPORTACAO</t>
        </is>
      </c>
      <c r="H3387" s="6" t="inlineStr">
        <is>
          <t>AUTO_OFERTA_TOTAL_PRODUTO_PERIODO</t>
        </is>
      </c>
      <c r="I3387" s="11">
        <f>IF($H3387="AUTO_OFERTA_TOTAL_PRODUTO_PERIODO",SUMIFS(Oferta!$F:$F,Oferta!$A:$A,$A3387,Oferta!$E:$E,$E3387),$F3387)</f>
        <v/>
      </c>
      <c r="J3387" s="6" t="inlineStr">
        <is>
          <t>Derivado_da_Oferta</t>
        </is>
      </c>
      <c r="K3387" s="6" t="inlineStr">
        <is>
          <t>Mercado externo: limite superior calculado automaticamente pela soma da oferta do produto no período.</t>
        </is>
      </c>
    </row>
    <row r="3388">
      <c r="A3388" s="6" t="inlineStr">
        <is>
          <t>Milho</t>
        </is>
      </c>
      <c r="B3388" s="6" t="inlineStr">
        <is>
          <t>Paranaguá - PR</t>
        </is>
      </c>
      <c r="C3388" s="6" t="n">
        <v>-25.5161</v>
      </c>
      <c r="D3388" s="6" t="n">
        <v>-48.5225</v>
      </c>
      <c r="E3388" s="6" t="inlineStr">
        <is>
          <t>2023-03</t>
        </is>
      </c>
      <c r="F3388" s="6" t="n"/>
      <c r="G3388" s="6" t="inlineStr">
        <is>
          <t>EXPORTACAO</t>
        </is>
      </c>
      <c r="H3388" s="6" t="inlineStr">
        <is>
          <t>AUTO_OFERTA_TOTAL_PRODUTO_PERIODO</t>
        </is>
      </c>
      <c r="I3388" s="11">
        <f>IF($H3388="AUTO_OFERTA_TOTAL_PRODUTO_PERIODO",SUMIFS(Oferta!$F:$F,Oferta!$A:$A,$A3388,Oferta!$E:$E,$E3388),$F3388)</f>
        <v/>
      </c>
      <c r="J3388" s="6" t="inlineStr">
        <is>
          <t>Derivado_da_Oferta</t>
        </is>
      </c>
      <c r="K3388" s="6" t="inlineStr">
        <is>
          <t>Mercado externo: limite superior calculado automaticamente pela soma da oferta do produto no período.</t>
        </is>
      </c>
    </row>
    <row r="3389">
      <c r="A3389" s="6" t="inlineStr">
        <is>
          <t>Milho</t>
        </is>
      </c>
      <c r="B3389" s="6" t="inlineStr">
        <is>
          <t>Paranaguá - PR</t>
        </is>
      </c>
      <c r="C3389" s="6" t="n">
        <v>-25.5161</v>
      </c>
      <c r="D3389" s="6" t="n">
        <v>-48.5225</v>
      </c>
      <c r="E3389" s="6" t="inlineStr">
        <is>
          <t>2023-04</t>
        </is>
      </c>
      <c r="F3389" s="6" t="n"/>
      <c r="G3389" s="6" t="inlineStr">
        <is>
          <t>EXPORTACAO</t>
        </is>
      </c>
      <c r="H3389" s="6" t="inlineStr">
        <is>
          <t>AUTO_OFERTA_TOTAL_PRODUTO_PERIODO</t>
        </is>
      </c>
      <c r="I3389" s="11">
        <f>IF($H3389="AUTO_OFERTA_TOTAL_PRODUTO_PERIODO",SUMIFS(Oferta!$F:$F,Oferta!$A:$A,$A3389,Oferta!$E:$E,$E3389),$F3389)</f>
        <v/>
      </c>
      <c r="J3389" s="6" t="inlineStr">
        <is>
          <t>Derivado_da_Oferta</t>
        </is>
      </c>
      <c r="K3389" s="6" t="inlineStr">
        <is>
          <t>Mercado externo: limite superior calculado automaticamente pela soma da oferta do produto no período.</t>
        </is>
      </c>
    </row>
    <row r="3390">
      <c r="A3390" s="6" t="inlineStr">
        <is>
          <t>Milho</t>
        </is>
      </c>
      <c r="B3390" s="6" t="inlineStr">
        <is>
          <t>Paranaguá - PR</t>
        </is>
      </c>
      <c r="C3390" s="6" t="n">
        <v>-25.5161</v>
      </c>
      <c r="D3390" s="6" t="n">
        <v>-48.5225</v>
      </c>
      <c r="E3390" s="6" t="inlineStr">
        <is>
          <t>2023-05</t>
        </is>
      </c>
      <c r="F3390" s="6" t="n"/>
      <c r="G3390" s="6" t="inlineStr">
        <is>
          <t>EXPORTACAO</t>
        </is>
      </c>
      <c r="H3390" s="6" t="inlineStr">
        <is>
          <t>AUTO_OFERTA_TOTAL_PRODUTO_PERIODO</t>
        </is>
      </c>
      <c r="I3390" s="11">
        <f>IF($H3390="AUTO_OFERTA_TOTAL_PRODUTO_PERIODO",SUMIFS(Oferta!$F:$F,Oferta!$A:$A,$A3390,Oferta!$E:$E,$E3390),$F3390)</f>
        <v/>
      </c>
      <c r="J3390" s="6" t="inlineStr">
        <is>
          <t>Derivado_da_Oferta</t>
        </is>
      </c>
      <c r="K3390" s="6" t="inlineStr">
        <is>
          <t>Mercado externo: limite superior calculado automaticamente pela soma da oferta do produto no período.</t>
        </is>
      </c>
    </row>
    <row r="3391">
      <c r="A3391" s="6" t="inlineStr">
        <is>
          <t>Milho</t>
        </is>
      </c>
      <c r="B3391" s="6" t="inlineStr">
        <is>
          <t>Paranaguá - PR</t>
        </is>
      </c>
      <c r="C3391" s="6" t="n">
        <v>-25.5161</v>
      </c>
      <c r="D3391" s="6" t="n">
        <v>-48.5225</v>
      </c>
      <c r="E3391" s="6" t="inlineStr">
        <is>
          <t>2023-06</t>
        </is>
      </c>
      <c r="F3391" s="6" t="n"/>
      <c r="G3391" s="6" t="inlineStr">
        <is>
          <t>EXPORTACAO</t>
        </is>
      </c>
      <c r="H3391" s="6" t="inlineStr">
        <is>
          <t>AUTO_OFERTA_TOTAL_PRODUTO_PERIODO</t>
        </is>
      </c>
      <c r="I3391" s="11">
        <f>IF($H3391="AUTO_OFERTA_TOTAL_PRODUTO_PERIODO",SUMIFS(Oferta!$F:$F,Oferta!$A:$A,$A3391,Oferta!$E:$E,$E3391),$F3391)</f>
        <v/>
      </c>
      <c r="J3391" s="6" t="inlineStr">
        <is>
          <t>Derivado_da_Oferta</t>
        </is>
      </c>
      <c r="K3391" s="6" t="inlineStr">
        <is>
          <t>Mercado externo: limite superior calculado automaticamente pela soma da oferta do produto no período.</t>
        </is>
      </c>
    </row>
    <row r="3392">
      <c r="A3392" s="6" t="inlineStr">
        <is>
          <t>Milho</t>
        </is>
      </c>
      <c r="B3392" s="6" t="inlineStr">
        <is>
          <t>Paranaguá - PR</t>
        </is>
      </c>
      <c r="C3392" s="6" t="n">
        <v>-25.5161</v>
      </c>
      <c r="D3392" s="6" t="n">
        <v>-48.5225</v>
      </c>
      <c r="E3392" s="6" t="inlineStr">
        <is>
          <t>2023-07</t>
        </is>
      </c>
      <c r="F3392" s="6" t="n"/>
      <c r="G3392" s="6" t="inlineStr">
        <is>
          <t>EXPORTACAO</t>
        </is>
      </c>
      <c r="H3392" s="6" t="inlineStr">
        <is>
          <t>AUTO_OFERTA_TOTAL_PRODUTO_PERIODO</t>
        </is>
      </c>
      <c r="I3392" s="11">
        <f>IF($H3392="AUTO_OFERTA_TOTAL_PRODUTO_PERIODO",SUMIFS(Oferta!$F:$F,Oferta!$A:$A,$A3392,Oferta!$E:$E,$E3392),$F3392)</f>
        <v/>
      </c>
      <c r="J3392" s="6" t="inlineStr">
        <is>
          <t>Derivado_da_Oferta</t>
        </is>
      </c>
      <c r="K3392" s="6" t="inlineStr">
        <is>
          <t>Mercado externo: limite superior calculado automaticamente pela soma da oferta do produto no período.</t>
        </is>
      </c>
    </row>
    <row r="3393">
      <c r="A3393" s="6" t="inlineStr">
        <is>
          <t>Milho</t>
        </is>
      </c>
      <c r="B3393" s="6" t="inlineStr">
        <is>
          <t>Paranaguá - PR</t>
        </is>
      </c>
      <c r="C3393" s="6" t="n">
        <v>-25.5161</v>
      </c>
      <c r="D3393" s="6" t="n">
        <v>-48.5225</v>
      </c>
      <c r="E3393" s="6" t="inlineStr">
        <is>
          <t>2023-08</t>
        </is>
      </c>
      <c r="F3393" s="6" t="n"/>
      <c r="G3393" s="6" t="inlineStr">
        <is>
          <t>EXPORTACAO</t>
        </is>
      </c>
      <c r="H3393" s="6" t="inlineStr">
        <is>
          <t>AUTO_OFERTA_TOTAL_PRODUTO_PERIODO</t>
        </is>
      </c>
      <c r="I3393" s="11">
        <f>IF($H3393="AUTO_OFERTA_TOTAL_PRODUTO_PERIODO",SUMIFS(Oferta!$F:$F,Oferta!$A:$A,$A3393,Oferta!$E:$E,$E3393),$F3393)</f>
        <v/>
      </c>
      <c r="J3393" s="6" t="inlineStr">
        <is>
          <t>Derivado_da_Oferta</t>
        </is>
      </c>
      <c r="K3393" s="6" t="inlineStr">
        <is>
          <t>Mercado externo: limite superior calculado automaticamente pela soma da oferta do produto no período.</t>
        </is>
      </c>
    </row>
    <row r="3394">
      <c r="A3394" s="6" t="inlineStr">
        <is>
          <t>Milho</t>
        </is>
      </c>
      <c r="B3394" s="6" t="inlineStr">
        <is>
          <t>Paranaguá - PR</t>
        </is>
      </c>
      <c r="C3394" s="6" t="n">
        <v>-25.5161</v>
      </c>
      <c r="D3394" s="6" t="n">
        <v>-48.5225</v>
      </c>
      <c r="E3394" s="6" t="inlineStr">
        <is>
          <t>2023-09</t>
        </is>
      </c>
      <c r="F3394" s="6" t="n"/>
      <c r="G3394" s="6" t="inlineStr">
        <is>
          <t>EXPORTACAO</t>
        </is>
      </c>
      <c r="H3394" s="6" t="inlineStr">
        <is>
          <t>AUTO_OFERTA_TOTAL_PRODUTO_PERIODO</t>
        </is>
      </c>
      <c r="I3394" s="11">
        <f>IF($H3394="AUTO_OFERTA_TOTAL_PRODUTO_PERIODO",SUMIFS(Oferta!$F:$F,Oferta!$A:$A,$A3394,Oferta!$E:$E,$E3394),$F3394)</f>
        <v/>
      </c>
      <c r="J3394" s="6" t="inlineStr">
        <is>
          <t>Derivado_da_Oferta</t>
        </is>
      </c>
      <c r="K3394" s="6" t="inlineStr">
        <is>
          <t>Mercado externo: limite superior calculado automaticamente pela soma da oferta do produto no período.</t>
        </is>
      </c>
    </row>
    <row r="3395">
      <c r="A3395" s="6" t="inlineStr">
        <is>
          <t>Milho</t>
        </is>
      </c>
      <c r="B3395" s="6" t="inlineStr">
        <is>
          <t>Paranaguá - PR</t>
        </is>
      </c>
      <c r="C3395" s="6" t="n">
        <v>-25.5161</v>
      </c>
      <c r="D3395" s="6" t="n">
        <v>-48.5225</v>
      </c>
      <c r="E3395" s="6" t="inlineStr">
        <is>
          <t>2023-10</t>
        </is>
      </c>
      <c r="F3395" s="6" t="n"/>
      <c r="G3395" s="6" t="inlineStr">
        <is>
          <t>EXPORTACAO</t>
        </is>
      </c>
      <c r="H3395" s="6" t="inlineStr">
        <is>
          <t>AUTO_OFERTA_TOTAL_PRODUTO_PERIODO</t>
        </is>
      </c>
      <c r="I3395" s="11">
        <f>IF($H3395="AUTO_OFERTA_TOTAL_PRODUTO_PERIODO",SUMIFS(Oferta!$F:$F,Oferta!$A:$A,$A3395,Oferta!$E:$E,$E3395),$F3395)</f>
        <v/>
      </c>
      <c r="J3395" s="6" t="inlineStr">
        <is>
          <t>Derivado_da_Oferta</t>
        </is>
      </c>
      <c r="K3395" s="6" t="inlineStr">
        <is>
          <t>Mercado externo: limite superior calculado automaticamente pela soma da oferta do produto no período.</t>
        </is>
      </c>
    </row>
    <row r="3396">
      <c r="A3396" s="6" t="inlineStr">
        <is>
          <t>Milho</t>
        </is>
      </c>
      <c r="B3396" s="6" t="inlineStr">
        <is>
          <t>Paranaguá - PR</t>
        </is>
      </c>
      <c r="C3396" s="6" t="n">
        <v>-25.5161</v>
      </c>
      <c r="D3396" s="6" t="n">
        <v>-48.5225</v>
      </c>
      <c r="E3396" s="6" t="inlineStr">
        <is>
          <t>2023-11</t>
        </is>
      </c>
      <c r="F3396" s="6" t="n"/>
      <c r="G3396" s="6" t="inlineStr">
        <is>
          <t>EXPORTACAO</t>
        </is>
      </c>
      <c r="H3396" s="6" t="inlineStr">
        <is>
          <t>AUTO_OFERTA_TOTAL_PRODUTO_PERIODO</t>
        </is>
      </c>
      <c r="I3396" s="11">
        <f>IF($H3396="AUTO_OFERTA_TOTAL_PRODUTO_PERIODO",SUMIFS(Oferta!$F:$F,Oferta!$A:$A,$A3396,Oferta!$E:$E,$E3396),$F3396)</f>
        <v/>
      </c>
      <c r="J3396" s="6" t="inlineStr">
        <is>
          <t>Derivado_da_Oferta</t>
        </is>
      </c>
      <c r="K3396" s="6" t="inlineStr">
        <is>
          <t>Mercado externo: limite superior calculado automaticamente pela soma da oferta do produto no período.</t>
        </is>
      </c>
    </row>
    <row r="3397">
      <c r="A3397" s="6" t="inlineStr">
        <is>
          <t>Milho</t>
        </is>
      </c>
      <c r="B3397" s="6" t="inlineStr">
        <is>
          <t>Paranaguá - PR</t>
        </is>
      </c>
      <c r="C3397" s="6" t="n">
        <v>-25.5161</v>
      </c>
      <c r="D3397" s="6" t="n">
        <v>-48.5225</v>
      </c>
      <c r="E3397" s="6" t="inlineStr">
        <is>
          <t>2023-12</t>
        </is>
      </c>
      <c r="F3397" s="6" t="n"/>
      <c r="G3397" s="6" t="inlineStr">
        <is>
          <t>EXPORTACAO</t>
        </is>
      </c>
      <c r="H3397" s="6" t="inlineStr">
        <is>
          <t>AUTO_OFERTA_TOTAL_PRODUTO_PERIODO</t>
        </is>
      </c>
      <c r="I3397" s="11">
        <f>IF($H3397="AUTO_OFERTA_TOTAL_PRODUTO_PERIODO",SUMIFS(Oferta!$F:$F,Oferta!$A:$A,$A3397,Oferta!$E:$E,$E3397),$F3397)</f>
        <v/>
      </c>
      <c r="J3397" s="6" t="inlineStr">
        <is>
          <t>Derivado_da_Oferta</t>
        </is>
      </c>
      <c r="K3397" s="6" t="inlineStr">
        <is>
          <t>Mercado externo: limite superior calculado automaticamente pela soma da oferta do produto no período.</t>
        </is>
      </c>
    </row>
    <row r="3398">
      <c r="A3398" s="6" t="inlineStr">
        <is>
          <t>Milho</t>
        </is>
      </c>
      <c r="B3398" s="6" t="inlineStr">
        <is>
          <t>Paranaguá - PR</t>
        </is>
      </c>
      <c r="C3398" s="6" t="n">
        <v>-25.5161</v>
      </c>
      <c r="D3398" s="6" t="n">
        <v>-48.5225</v>
      </c>
      <c r="E3398" s="6" t="inlineStr">
        <is>
          <t>2024-01</t>
        </is>
      </c>
      <c r="F3398" s="6" t="n"/>
      <c r="G3398" s="6" t="inlineStr">
        <is>
          <t>EXPORTACAO</t>
        </is>
      </c>
      <c r="H3398" s="6" t="inlineStr">
        <is>
          <t>AUTO_OFERTA_TOTAL_PRODUTO_PERIODO</t>
        </is>
      </c>
      <c r="I3398" s="11">
        <f>IF($H3398="AUTO_OFERTA_TOTAL_PRODUTO_PERIODO",SUMIFS(Oferta!$F:$F,Oferta!$A:$A,$A3398,Oferta!$E:$E,$E3398),$F3398)</f>
        <v/>
      </c>
      <c r="J3398" s="6" t="inlineStr">
        <is>
          <t>Derivado_da_Oferta</t>
        </is>
      </c>
      <c r="K3398" s="6" t="inlineStr">
        <is>
          <t>Mercado externo: limite superior calculado automaticamente pela soma da oferta do produto no período.</t>
        </is>
      </c>
    </row>
    <row r="3399">
      <c r="A3399" s="6" t="inlineStr">
        <is>
          <t>Milho</t>
        </is>
      </c>
      <c r="B3399" s="6" t="inlineStr">
        <is>
          <t>Paranaguá - PR</t>
        </is>
      </c>
      <c r="C3399" s="6" t="n">
        <v>-25.5161</v>
      </c>
      <c r="D3399" s="6" t="n">
        <v>-48.5225</v>
      </c>
      <c r="E3399" s="6" t="inlineStr">
        <is>
          <t>2024-02</t>
        </is>
      </c>
      <c r="F3399" s="6" t="n"/>
      <c r="G3399" s="6" t="inlineStr">
        <is>
          <t>EXPORTACAO</t>
        </is>
      </c>
      <c r="H3399" s="6" t="inlineStr">
        <is>
          <t>AUTO_OFERTA_TOTAL_PRODUTO_PERIODO</t>
        </is>
      </c>
      <c r="I3399" s="11">
        <f>IF($H3399="AUTO_OFERTA_TOTAL_PRODUTO_PERIODO",SUMIFS(Oferta!$F:$F,Oferta!$A:$A,$A3399,Oferta!$E:$E,$E3399),$F3399)</f>
        <v/>
      </c>
      <c r="J3399" s="6" t="inlineStr">
        <is>
          <t>Derivado_da_Oferta</t>
        </is>
      </c>
      <c r="K3399" s="6" t="inlineStr">
        <is>
          <t>Mercado externo: limite superior calculado automaticamente pela soma da oferta do produto no período.</t>
        </is>
      </c>
    </row>
    <row r="3400">
      <c r="A3400" s="6" t="inlineStr">
        <is>
          <t>Milho</t>
        </is>
      </c>
      <c r="B3400" s="6" t="inlineStr">
        <is>
          <t>Paranaguá - PR</t>
        </is>
      </c>
      <c r="C3400" s="6" t="n">
        <v>-25.5161</v>
      </c>
      <c r="D3400" s="6" t="n">
        <v>-48.5225</v>
      </c>
      <c r="E3400" s="6" t="inlineStr">
        <is>
          <t>2024-03</t>
        </is>
      </c>
      <c r="F3400" s="6" t="n"/>
      <c r="G3400" s="6" t="inlineStr">
        <is>
          <t>EXPORTACAO</t>
        </is>
      </c>
      <c r="H3400" s="6" t="inlineStr">
        <is>
          <t>AUTO_OFERTA_TOTAL_PRODUTO_PERIODO</t>
        </is>
      </c>
      <c r="I3400" s="11">
        <f>IF($H3400="AUTO_OFERTA_TOTAL_PRODUTO_PERIODO",SUMIFS(Oferta!$F:$F,Oferta!$A:$A,$A3400,Oferta!$E:$E,$E3400),$F3400)</f>
        <v/>
      </c>
      <c r="J3400" s="6" t="inlineStr">
        <is>
          <t>Derivado_da_Oferta</t>
        </is>
      </c>
      <c r="K3400" s="6" t="inlineStr">
        <is>
          <t>Mercado externo: limite superior calculado automaticamente pela soma da oferta do produto no período.</t>
        </is>
      </c>
    </row>
    <row r="3401">
      <c r="A3401" s="6" t="inlineStr">
        <is>
          <t>Milho</t>
        </is>
      </c>
      <c r="B3401" s="6" t="inlineStr">
        <is>
          <t>Paranaguá - PR</t>
        </is>
      </c>
      <c r="C3401" s="6" t="n">
        <v>-25.5161</v>
      </c>
      <c r="D3401" s="6" t="n">
        <v>-48.5225</v>
      </c>
      <c r="E3401" s="6" t="inlineStr">
        <is>
          <t>2024-04</t>
        </is>
      </c>
      <c r="F3401" s="6" t="n"/>
      <c r="G3401" s="6" t="inlineStr">
        <is>
          <t>EXPORTACAO</t>
        </is>
      </c>
      <c r="H3401" s="6" t="inlineStr">
        <is>
          <t>AUTO_OFERTA_TOTAL_PRODUTO_PERIODO</t>
        </is>
      </c>
      <c r="I3401" s="11">
        <f>IF($H3401="AUTO_OFERTA_TOTAL_PRODUTO_PERIODO",SUMIFS(Oferta!$F:$F,Oferta!$A:$A,$A3401,Oferta!$E:$E,$E3401),$F3401)</f>
        <v/>
      </c>
      <c r="J3401" s="6" t="inlineStr">
        <is>
          <t>Derivado_da_Oferta</t>
        </is>
      </c>
      <c r="K3401" s="6" t="inlineStr">
        <is>
          <t>Mercado externo: limite superior calculado automaticamente pela soma da oferta do produto no período.</t>
        </is>
      </c>
    </row>
    <row r="3402">
      <c r="A3402" s="6" t="inlineStr">
        <is>
          <t>Milho</t>
        </is>
      </c>
      <c r="B3402" s="6" t="inlineStr">
        <is>
          <t>Paranaguá - PR</t>
        </is>
      </c>
      <c r="C3402" s="6" t="n">
        <v>-25.5161</v>
      </c>
      <c r="D3402" s="6" t="n">
        <v>-48.5225</v>
      </c>
      <c r="E3402" s="6" t="inlineStr">
        <is>
          <t>2024-05</t>
        </is>
      </c>
      <c r="F3402" s="6" t="n"/>
      <c r="G3402" s="6" t="inlineStr">
        <is>
          <t>EXPORTACAO</t>
        </is>
      </c>
      <c r="H3402" s="6" t="inlineStr">
        <is>
          <t>AUTO_OFERTA_TOTAL_PRODUTO_PERIODO</t>
        </is>
      </c>
      <c r="I3402" s="11">
        <f>IF($H3402="AUTO_OFERTA_TOTAL_PRODUTO_PERIODO",SUMIFS(Oferta!$F:$F,Oferta!$A:$A,$A3402,Oferta!$E:$E,$E3402),$F3402)</f>
        <v/>
      </c>
      <c r="J3402" s="6" t="inlineStr">
        <is>
          <t>Derivado_da_Oferta</t>
        </is>
      </c>
      <c r="K3402" s="6" t="inlineStr">
        <is>
          <t>Mercado externo: limite superior calculado automaticamente pela soma da oferta do produto no período.</t>
        </is>
      </c>
    </row>
    <row r="3403">
      <c r="A3403" s="6" t="inlineStr">
        <is>
          <t>Milho</t>
        </is>
      </c>
      <c r="B3403" s="6" t="inlineStr">
        <is>
          <t>Paranaguá - PR</t>
        </is>
      </c>
      <c r="C3403" s="6" t="n">
        <v>-25.5161</v>
      </c>
      <c r="D3403" s="6" t="n">
        <v>-48.5225</v>
      </c>
      <c r="E3403" s="6" t="inlineStr">
        <is>
          <t>2024-06</t>
        </is>
      </c>
      <c r="F3403" s="6" t="n"/>
      <c r="G3403" s="6" t="inlineStr">
        <is>
          <t>EXPORTACAO</t>
        </is>
      </c>
      <c r="H3403" s="6" t="inlineStr">
        <is>
          <t>AUTO_OFERTA_TOTAL_PRODUTO_PERIODO</t>
        </is>
      </c>
      <c r="I3403" s="11">
        <f>IF($H3403="AUTO_OFERTA_TOTAL_PRODUTO_PERIODO",SUMIFS(Oferta!$F:$F,Oferta!$A:$A,$A3403,Oferta!$E:$E,$E3403),$F3403)</f>
        <v/>
      </c>
      <c r="J3403" s="6" t="inlineStr">
        <is>
          <t>Derivado_da_Oferta</t>
        </is>
      </c>
      <c r="K3403" s="6" t="inlineStr">
        <is>
          <t>Mercado externo: limite superior calculado automaticamente pela soma da oferta do produto no período.</t>
        </is>
      </c>
    </row>
    <row r="3404">
      <c r="A3404" s="6" t="inlineStr">
        <is>
          <t>Milho</t>
        </is>
      </c>
      <c r="B3404" s="6" t="inlineStr">
        <is>
          <t>Paranaguá - PR</t>
        </is>
      </c>
      <c r="C3404" s="6" t="n">
        <v>-25.5161</v>
      </c>
      <c r="D3404" s="6" t="n">
        <v>-48.5225</v>
      </c>
      <c r="E3404" s="6" t="inlineStr">
        <is>
          <t>2024-07</t>
        </is>
      </c>
      <c r="F3404" s="6" t="n"/>
      <c r="G3404" s="6" t="inlineStr">
        <is>
          <t>EXPORTACAO</t>
        </is>
      </c>
      <c r="H3404" s="6" t="inlineStr">
        <is>
          <t>AUTO_OFERTA_TOTAL_PRODUTO_PERIODO</t>
        </is>
      </c>
      <c r="I3404" s="11">
        <f>IF($H3404="AUTO_OFERTA_TOTAL_PRODUTO_PERIODO",SUMIFS(Oferta!$F:$F,Oferta!$A:$A,$A3404,Oferta!$E:$E,$E3404),$F3404)</f>
        <v/>
      </c>
      <c r="J3404" s="6" t="inlineStr">
        <is>
          <t>Derivado_da_Oferta</t>
        </is>
      </c>
      <c r="K3404" s="6" t="inlineStr">
        <is>
          <t>Mercado externo: limite superior calculado automaticamente pela soma da oferta do produto no período.</t>
        </is>
      </c>
    </row>
    <row r="3405">
      <c r="A3405" s="6" t="inlineStr">
        <is>
          <t>Milho</t>
        </is>
      </c>
      <c r="B3405" s="6" t="inlineStr">
        <is>
          <t>Paranaguá - PR</t>
        </is>
      </c>
      <c r="C3405" s="6" t="n">
        <v>-25.5161</v>
      </c>
      <c r="D3405" s="6" t="n">
        <v>-48.5225</v>
      </c>
      <c r="E3405" s="6" t="inlineStr">
        <is>
          <t>2024-08</t>
        </is>
      </c>
      <c r="F3405" s="6" t="n"/>
      <c r="G3405" s="6" t="inlineStr">
        <is>
          <t>EXPORTACAO</t>
        </is>
      </c>
      <c r="H3405" s="6" t="inlineStr">
        <is>
          <t>AUTO_OFERTA_TOTAL_PRODUTO_PERIODO</t>
        </is>
      </c>
      <c r="I3405" s="11">
        <f>IF($H3405="AUTO_OFERTA_TOTAL_PRODUTO_PERIODO",SUMIFS(Oferta!$F:$F,Oferta!$A:$A,$A3405,Oferta!$E:$E,$E3405),$F3405)</f>
        <v/>
      </c>
      <c r="J3405" s="6" t="inlineStr">
        <is>
          <t>Derivado_da_Oferta</t>
        </is>
      </c>
      <c r="K3405" s="6" t="inlineStr">
        <is>
          <t>Mercado externo: limite superior calculado automaticamente pela soma da oferta do produto no período.</t>
        </is>
      </c>
    </row>
    <row r="3406">
      <c r="A3406" s="6" t="inlineStr">
        <is>
          <t>Milho</t>
        </is>
      </c>
      <c r="B3406" s="6" t="inlineStr">
        <is>
          <t>Paranaguá - PR</t>
        </is>
      </c>
      <c r="C3406" s="6" t="n">
        <v>-25.5161</v>
      </c>
      <c r="D3406" s="6" t="n">
        <v>-48.5225</v>
      </c>
      <c r="E3406" s="6" t="inlineStr">
        <is>
          <t>2024-09</t>
        </is>
      </c>
      <c r="F3406" s="6" t="n"/>
      <c r="G3406" s="6" t="inlineStr">
        <is>
          <t>EXPORTACAO</t>
        </is>
      </c>
      <c r="H3406" s="6" t="inlineStr">
        <is>
          <t>AUTO_OFERTA_TOTAL_PRODUTO_PERIODO</t>
        </is>
      </c>
      <c r="I3406" s="11">
        <f>IF($H3406="AUTO_OFERTA_TOTAL_PRODUTO_PERIODO",SUMIFS(Oferta!$F:$F,Oferta!$A:$A,$A3406,Oferta!$E:$E,$E3406),$F3406)</f>
        <v/>
      </c>
      <c r="J3406" s="6" t="inlineStr">
        <is>
          <t>Derivado_da_Oferta</t>
        </is>
      </c>
      <c r="K3406" s="6" t="inlineStr">
        <is>
          <t>Mercado externo: limite superior calculado automaticamente pela soma da oferta do produto no período.</t>
        </is>
      </c>
    </row>
    <row r="3407">
      <c r="A3407" s="6" t="inlineStr">
        <is>
          <t>Milho</t>
        </is>
      </c>
      <c r="B3407" s="6" t="inlineStr">
        <is>
          <t>Paranaguá - PR</t>
        </is>
      </c>
      <c r="C3407" s="6" t="n">
        <v>-25.5161</v>
      </c>
      <c r="D3407" s="6" t="n">
        <v>-48.5225</v>
      </c>
      <c r="E3407" s="6" t="inlineStr">
        <is>
          <t>2024-10</t>
        </is>
      </c>
      <c r="F3407" s="6" t="n"/>
      <c r="G3407" s="6" t="inlineStr">
        <is>
          <t>EXPORTACAO</t>
        </is>
      </c>
      <c r="H3407" s="6" t="inlineStr">
        <is>
          <t>AUTO_OFERTA_TOTAL_PRODUTO_PERIODO</t>
        </is>
      </c>
      <c r="I3407" s="11">
        <f>IF($H3407="AUTO_OFERTA_TOTAL_PRODUTO_PERIODO",SUMIFS(Oferta!$F:$F,Oferta!$A:$A,$A3407,Oferta!$E:$E,$E3407),$F3407)</f>
        <v/>
      </c>
      <c r="J3407" s="6" t="inlineStr">
        <is>
          <t>Derivado_da_Oferta</t>
        </is>
      </c>
      <c r="K3407" s="6" t="inlineStr">
        <is>
          <t>Mercado externo: limite superior calculado automaticamente pela soma da oferta do produto no período.</t>
        </is>
      </c>
    </row>
    <row r="3408">
      <c r="A3408" s="6" t="inlineStr">
        <is>
          <t>Milho</t>
        </is>
      </c>
      <c r="B3408" s="6" t="inlineStr">
        <is>
          <t>Paranaguá - PR</t>
        </is>
      </c>
      <c r="C3408" s="6" t="n">
        <v>-25.5161</v>
      </c>
      <c r="D3408" s="6" t="n">
        <v>-48.5225</v>
      </c>
      <c r="E3408" s="6" t="inlineStr">
        <is>
          <t>2024-11</t>
        </is>
      </c>
      <c r="F3408" s="6" t="n"/>
      <c r="G3408" s="6" t="inlineStr">
        <is>
          <t>EXPORTACAO</t>
        </is>
      </c>
      <c r="H3408" s="6" t="inlineStr">
        <is>
          <t>AUTO_OFERTA_TOTAL_PRODUTO_PERIODO</t>
        </is>
      </c>
      <c r="I3408" s="11">
        <f>IF($H3408="AUTO_OFERTA_TOTAL_PRODUTO_PERIODO",SUMIFS(Oferta!$F:$F,Oferta!$A:$A,$A3408,Oferta!$E:$E,$E3408),$F3408)</f>
        <v/>
      </c>
      <c r="J3408" s="6" t="inlineStr">
        <is>
          <t>Derivado_da_Oferta</t>
        </is>
      </c>
      <c r="K3408" s="6" t="inlineStr">
        <is>
          <t>Mercado externo: limite superior calculado automaticamente pela soma da oferta do produto no período.</t>
        </is>
      </c>
    </row>
    <row r="3409">
      <c r="A3409" s="6" t="inlineStr">
        <is>
          <t>Milho</t>
        </is>
      </c>
      <c r="B3409" s="6" t="inlineStr">
        <is>
          <t>Paranaguá - PR</t>
        </is>
      </c>
      <c r="C3409" s="6" t="n">
        <v>-25.5161</v>
      </c>
      <c r="D3409" s="6" t="n">
        <v>-48.5225</v>
      </c>
      <c r="E3409" s="6" t="inlineStr">
        <is>
          <t>2024-12</t>
        </is>
      </c>
      <c r="F3409" s="6" t="n"/>
      <c r="G3409" s="6" t="inlineStr">
        <is>
          <t>EXPORTACAO</t>
        </is>
      </c>
      <c r="H3409" s="6" t="inlineStr">
        <is>
          <t>AUTO_OFERTA_TOTAL_PRODUTO_PERIODO</t>
        </is>
      </c>
      <c r="I3409" s="11">
        <f>IF($H3409="AUTO_OFERTA_TOTAL_PRODUTO_PERIODO",SUMIFS(Oferta!$F:$F,Oferta!$A:$A,$A3409,Oferta!$E:$E,$E3409),$F3409)</f>
        <v/>
      </c>
      <c r="J3409" s="6" t="inlineStr">
        <is>
          <t>Derivado_da_Oferta</t>
        </is>
      </c>
      <c r="K3409" s="6" t="inlineStr">
        <is>
          <t>Mercado externo: limite superior calculado automaticamente pela soma da oferta do produto no período.</t>
        </is>
      </c>
    </row>
    <row r="3410">
      <c r="A3410" s="6" t="inlineStr">
        <is>
          <t>Milho</t>
        </is>
      </c>
      <c r="B3410" s="6" t="inlineStr">
        <is>
          <t>Paranaguá - PR</t>
        </is>
      </c>
      <c r="C3410" s="6" t="n">
        <v>-25.5161</v>
      </c>
      <c r="D3410" s="6" t="n">
        <v>-48.5225</v>
      </c>
      <c r="E3410" s="6" t="inlineStr">
        <is>
          <t>2025-01</t>
        </is>
      </c>
      <c r="F3410" s="6" t="n"/>
      <c r="G3410" s="6" t="inlineStr">
        <is>
          <t>EXPORTACAO</t>
        </is>
      </c>
      <c r="H3410" s="6" t="inlineStr">
        <is>
          <t>AUTO_OFERTA_TOTAL_PRODUTO_PERIODO</t>
        </is>
      </c>
      <c r="I3410" s="11">
        <f>IF($H3410="AUTO_OFERTA_TOTAL_PRODUTO_PERIODO",SUMIFS(Oferta!$F:$F,Oferta!$A:$A,$A3410,Oferta!$E:$E,$E3410),$F3410)</f>
        <v/>
      </c>
      <c r="J3410" s="6" t="inlineStr">
        <is>
          <t>Derivado_da_Oferta</t>
        </is>
      </c>
      <c r="K3410" s="6" t="inlineStr">
        <is>
          <t>Mercado externo: limite superior calculado automaticamente pela soma da oferta do produto no período.</t>
        </is>
      </c>
    </row>
    <row r="3411">
      <c r="A3411" s="6" t="inlineStr">
        <is>
          <t>Milho</t>
        </is>
      </c>
      <c r="B3411" s="6" t="inlineStr">
        <is>
          <t>Paranaguá - PR</t>
        </is>
      </c>
      <c r="C3411" s="6" t="n">
        <v>-25.5161</v>
      </c>
      <c r="D3411" s="6" t="n">
        <v>-48.5225</v>
      </c>
      <c r="E3411" s="6" t="inlineStr">
        <is>
          <t>2025-02</t>
        </is>
      </c>
      <c r="F3411" s="6" t="n"/>
      <c r="G3411" s="6" t="inlineStr">
        <is>
          <t>EXPORTACAO</t>
        </is>
      </c>
      <c r="H3411" s="6" t="inlineStr">
        <is>
          <t>AUTO_OFERTA_TOTAL_PRODUTO_PERIODO</t>
        </is>
      </c>
      <c r="I3411" s="11">
        <f>IF($H3411="AUTO_OFERTA_TOTAL_PRODUTO_PERIODO",SUMIFS(Oferta!$F:$F,Oferta!$A:$A,$A3411,Oferta!$E:$E,$E3411),$F3411)</f>
        <v/>
      </c>
      <c r="J3411" s="6" t="inlineStr">
        <is>
          <t>Derivado_da_Oferta</t>
        </is>
      </c>
      <c r="K3411" s="6" t="inlineStr">
        <is>
          <t>Mercado externo: limite superior calculado automaticamente pela soma da oferta do produto no período.</t>
        </is>
      </c>
    </row>
    <row r="3412">
      <c r="A3412" s="6" t="inlineStr">
        <is>
          <t>Milho</t>
        </is>
      </c>
      <c r="B3412" s="6" t="inlineStr">
        <is>
          <t>Paranaguá - PR</t>
        </is>
      </c>
      <c r="C3412" s="6" t="n">
        <v>-25.5161</v>
      </c>
      <c r="D3412" s="6" t="n">
        <v>-48.5225</v>
      </c>
      <c r="E3412" s="6" t="inlineStr">
        <is>
          <t>2025-03</t>
        </is>
      </c>
      <c r="F3412" s="6" t="n"/>
      <c r="G3412" s="6" t="inlineStr">
        <is>
          <t>EXPORTACAO</t>
        </is>
      </c>
      <c r="H3412" s="6" t="inlineStr">
        <is>
          <t>AUTO_OFERTA_TOTAL_PRODUTO_PERIODO</t>
        </is>
      </c>
      <c r="I3412" s="11">
        <f>IF($H3412="AUTO_OFERTA_TOTAL_PRODUTO_PERIODO",SUMIFS(Oferta!$F:$F,Oferta!$A:$A,$A3412,Oferta!$E:$E,$E3412),$F3412)</f>
        <v/>
      </c>
      <c r="J3412" s="6" t="inlineStr">
        <is>
          <t>Derivado_da_Oferta</t>
        </is>
      </c>
      <c r="K3412" s="6" t="inlineStr">
        <is>
          <t>Mercado externo: limite superior calculado automaticamente pela soma da oferta do produto no período.</t>
        </is>
      </c>
    </row>
    <row r="3413">
      <c r="A3413" s="6" t="inlineStr">
        <is>
          <t>Milho</t>
        </is>
      </c>
      <c r="B3413" s="6" t="inlineStr">
        <is>
          <t>Paranaguá - PR</t>
        </is>
      </c>
      <c r="C3413" s="6" t="n">
        <v>-25.5161</v>
      </c>
      <c r="D3413" s="6" t="n">
        <v>-48.5225</v>
      </c>
      <c r="E3413" s="6" t="inlineStr">
        <is>
          <t>2025-04</t>
        </is>
      </c>
      <c r="F3413" s="6" t="n"/>
      <c r="G3413" s="6" t="inlineStr">
        <is>
          <t>EXPORTACAO</t>
        </is>
      </c>
      <c r="H3413" s="6" t="inlineStr">
        <is>
          <t>AUTO_OFERTA_TOTAL_PRODUTO_PERIODO</t>
        </is>
      </c>
      <c r="I3413" s="11">
        <f>IF($H3413="AUTO_OFERTA_TOTAL_PRODUTO_PERIODO",SUMIFS(Oferta!$F:$F,Oferta!$A:$A,$A3413,Oferta!$E:$E,$E3413),$F3413)</f>
        <v/>
      </c>
      <c r="J3413" s="6" t="inlineStr">
        <is>
          <t>Derivado_da_Oferta</t>
        </is>
      </c>
      <c r="K3413" s="6" t="inlineStr">
        <is>
          <t>Mercado externo: limite superior calculado automaticamente pela soma da oferta do produto no período.</t>
        </is>
      </c>
    </row>
    <row r="3414">
      <c r="A3414" s="6" t="inlineStr">
        <is>
          <t>Milho</t>
        </is>
      </c>
      <c r="B3414" s="6" t="inlineStr">
        <is>
          <t>Paranaguá - PR</t>
        </is>
      </c>
      <c r="C3414" s="6" t="n">
        <v>-25.5161</v>
      </c>
      <c r="D3414" s="6" t="n">
        <v>-48.5225</v>
      </c>
      <c r="E3414" s="6" t="inlineStr">
        <is>
          <t>2025-05</t>
        </is>
      </c>
      <c r="F3414" s="6" t="n"/>
      <c r="G3414" s="6" t="inlineStr">
        <is>
          <t>EXPORTACAO</t>
        </is>
      </c>
      <c r="H3414" s="6" t="inlineStr">
        <is>
          <t>AUTO_OFERTA_TOTAL_PRODUTO_PERIODO</t>
        </is>
      </c>
      <c r="I3414" s="11">
        <f>IF($H3414="AUTO_OFERTA_TOTAL_PRODUTO_PERIODO",SUMIFS(Oferta!$F:$F,Oferta!$A:$A,$A3414,Oferta!$E:$E,$E3414),$F3414)</f>
        <v/>
      </c>
      <c r="J3414" s="6" t="inlineStr">
        <is>
          <t>Derivado_da_Oferta</t>
        </is>
      </c>
      <c r="K3414" s="6" t="inlineStr">
        <is>
          <t>Mercado externo: limite superior calculado automaticamente pela soma da oferta do produto no período.</t>
        </is>
      </c>
    </row>
    <row r="3415">
      <c r="A3415" s="6" t="inlineStr">
        <is>
          <t>Milho</t>
        </is>
      </c>
      <c r="B3415" s="6" t="inlineStr">
        <is>
          <t>Paranaguá - PR</t>
        </is>
      </c>
      <c r="C3415" s="6" t="n">
        <v>-25.5161</v>
      </c>
      <c r="D3415" s="6" t="n">
        <v>-48.5225</v>
      </c>
      <c r="E3415" s="6" t="inlineStr">
        <is>
          <t>2025-06</t>
        </is>
      </c>
      <c r="F3415" s="6" t="n"/>
      <c r="G3415" s="6" t="inlineStr">
        <is>
          <t>EXPORTACAO</t>
        </is>
      </c>
      <c r="H3415" s="6" t="inlineStr">
        <is>
          <t>AUTO_OFERTA_TOTAL_PRODUTO_PERIODO</t>
        </is>
      </c>
      <c r="I3415" s="11">
        <f>IF($H3415="AUTO_OFERTA_TOTAL_PRODUTO_PERIODO",SUMIFS(Oferta!$F:$F,Oferta!$A:$A,$A3415,Oferta!$E:$E,$E3415),$F3415)</f>
        <v/>
      </c>
      <c r="J3415" s="6" t="inlineStr">
        <is>
          <t>Derivado_da_Oferta</t>
        </is>
      </c>
      <c r="K3415" s="6" t="inlineStr">
        <is>
          <t>Mercado externo: limite superior calculado automaticamente pela soma da oferta do produto no período.</t>
        </is>
      </c>
    </row>
    <row r="3416">
      <c r="A3416" s="6" t="inlineStr">
        <is>
          <t>Milho</t>
        </is>
      </c>
      <c r="B3416" s="6" t="inlineStr">
        <is>
          <t>Paranaguá - PR</t>
        </is>
      </c>
      <c r="C3416" s="6" t="n">
        <v>-25.5161</v>
      </c>
      <c r="D3416" s="6" t="n">
        <v>-48.5225</v>
      </c>
      <c r="E3416" s="6" t="inlineStr">
        <is>
          <t>2025-07</t>
        </is>
      </c>
      <c r="F3416" s="6" t="n"/>
      <c r="G3416" s="6" t="inlineStr">
        <is>
          <t>EXPORTACAO</t>
        </is>
      </c>
      <c r="H3416" s="6" t="inlineStr">
        <is>
          <t>AUTO_OFERTA_TOTAL_PRODUTO_PERIODO</t>
        </is>
      </c>
      <c r="I3416" s="11">
        <f>IF($H3416="AUTO_OFERTA_TOTAL_PRODUTO_PERIODO",SUMIFS(Oferta!$F:$F,Oferta!$A:$A,$A3416,Oferta!$E:$E,$E3416),$F3416)</f>
        <v/>
      </c>
      <c r="J3416" s="6" t="inlineStr">
        <is>
          <t>Derivado_da_Oferta</t>
        </is>
      </c>
      <c r="K3416" s="6" t="inlineStr">
        <is>
          <t>Mercado externo: limite superior calculado automaticamente pela soma da oferta do produto no período.</t>
        </is>
      </c>
    </row>
    <row r="3417">
      <c r="A3417" s="6" t="inlineStr">
        <is>
          <t>Milho</t>
        </is>
      </c>
      <c r="B3417" s="6" t="inlineStr">
        <is>
          <t>Paranaguá - PR</t>
        </is>
      </c>
      <c r="C3417" s="6" t="n">
        <v>-25.5161</v>
      </c>
      <c r="D3417" s="6" t="n">
        <v>-48.5225</v>
      </c>
      <c r="E3417" s="6" t="inlineStr">
        <is>
          <t>2025-08</t>
        </is>
      </c>
      <c r="F3417" s="6" t="n"/>
      <c r="G3417" s="6" t="inlineStr">
        <is>
          <t>EXPORTACAO</t>
        </is>
      </c>
      <c r="H3417" s="6" t="inlineStr">
        <is>
          <t>AUTO_OFERTA_TOTAL_PRODUTO_PERIODO</t>
        </is>
      </c>
      <c r="I3417" s="11">
        <f>IF($H3417="AUTO_OFERTA_TOTAL_PRODUTO_PERIODO",SUMIFS(Oferta!$F:$F,Oferta!$A:$A,$A3417,Oferta!$E:$E,$E3417),$F3417)</f>
        <v/>
      </c>
      <c r="J3417" s="6" t="inlineStr">
        <is>
          <t>Derivado_da_Oferta</t>
        </is>
      </c>
      <c r="K3417" s="6" t="inlineStr">
        <is>
          <t>Mercado externo: limite superior calculado automaticamente pela soma da oferta do produto no período.</t>
        </is>
      </c>
    </row>
    <row r="3418">
      <c r="A3418" s="6" t="inlineStr">
        <is>
          <t>Milho</t>
        </is>
      </c>
      <c r="B3418" s="6" t="inlineStr">
        <is>
          <t>Paranaguá - PR</t>
        </is>
      </c>
      <c r="C3418" s="6" t="n">
        <v>-25.5161</v>
      </c>
      <c r="D3418" s="6" t="n">
        <v>-48.5225</v>
      </c>
      <c r="E3418" s="6" t="inlineStr">
        <is>
          <t>2025-09</t>
        </is>
      </c>
      <c r="F3418" s="6" t="n"/>
      <c r="G3418" s="6" t="inlineStr">
        <is>
          <t>EXPORTACAO</t>
        </is>
      </c>
      <c r="H3418" s="6" t="inlineStr">
        <is>
          <t>AUTO_OFERTA_TOTAL_PRODUTO_PERIODO</t>
        </is>
      </c>
      <c r="I3418" s="11">
        <f>IF($H3418="AUTO_OFERTA_TOTAL_PRODUTO_PERIODO",SUMIFS(Oferta!$F:$F,Oferta!$A:$A,$A3418,Oferta!$E:$E,$E3418),$F3418)</f>
        <v/>
      </c>
      <c r="J3418" s="6" t="inlineStr">
        <is>
          <t>Derivado_da_Oferta</t>
        </is>
      </c>
      <c r="K3418" s="6" t="inlineStr">
        <is>
          <t>Mercado externo: limite superior calculado automaticamente pela soma da oferta do produto no período.</t>
        </is>
      </c>
    </row>
    <row r="3419">
      <c r="A3419" s="6" t="inlineStr">
        <is>
          <t>Milho</t>
        </is>
      </c>
      <c r="B3419" s="6" t="inlineStr">
        <is>
          <t>Paranaguá - PR</t>
        </is>
      </c>
      <c r="C3419" s="6" t="n">
        <v>-25.5161</v>
      </c>
      <c r="D3419" s="6" t="n">
        <v>-48.5225</v>
      </c>
      <c r="E3419" s="6" t="inlineStr">
        <is>
          <t>2025-10</t>
        </is>
      </c>
      <c r="F3419" s="6" t="n"/>
      <c r="G3419" s="6" t="inlineStr">
        <is>
          <t>EXPORTACAO</t>
        </is>
      </c>
      <c r="H3419" s="6" t="inlineStr">
        <is>
          <t>AUTO_OFERTA_TOTAL_PRODUTO_PERIODO</t>
        </is>
      </c>
      <c r="I3419" s="11">
        <f>IF($H3419="AUTO_OFERTA_TOTAL_PRODUTO_PERIODO",SUMIFS(Oferta!$F:$F,Oferta!$A:$A,$A3419,Oferta!$E:$E,$E3419),$F3419)</f>
        <v/>
      </c>
      <c r="J3419" s="6" t="inlineStr">
        <is>
          <t>Derivado_da_Oferta</t>
        </is>
      </c>
      <c r="K3419" s="6" t="inlineStr">
        <is>
          <t>Mercado externo: limite superior calculado automaticamente pela soma da oferta do produto no período.</t>
        </is>
      </c>
    </row>
    <row r="3420">
      <c r="A3420" s="6" t="inlineStr">
        <is>
          <t>Milho</t>
        </is>
      </c>
      <c r="B3420" s="6" t="inlineStr">
        <is>
          <t>Paranaguá - PR</t>
        </is>
      </c>
      <c r="C3420" s="6" t="n">
        <v>-25.5161</v>
      </c>
      <c r="D3420" s="6" t="n">
        <v>-48.5225</v>
      </c>
      <c r="E3420" s="6" t="inlineStr">
        <is>
          <t>2025-11</t>
        </is>
      </c>
      <c r="F3420" s="6" t="n"/>
      <c r="G3420" s="6" t="inlineStr">
        <is>
          <t>EXPORTACAO</t>
        </is>
      </c>
      <c r="H3420" s="6" t="inlineStr">
        <is>
          <t>AUTO_OFERTA_TOTAL_PRODUTO_PERIODO</t>
        </is>
      </c>
      <c r="I3420" s="11">
        <f>IF($H3420="AUTO_OFERTA_TOTAL_PRODUTO_PERIODO",SUMIFS(Oferta!$F:$F,Oferta!$A:$A,$A3420,Oferta!$E:$E,$E3420),$F3420)</f>
        <v/>
      </c>
      <c r="J3420" s="6" t="inlineStr">
        <is>
          <t>Derivado_da_Oferta</t>
        </is>
      </c>
      <c r="K3420" s="6" t="inlineStr">
        <is>
          <t>Mercado externo: limite superior calculado automaticamente pela soma da oferta do produto no período.</t>
        </is>
      </c>
    </row>
    <row r="3421">
      <c r="A3421" s="6" t="inlineStr">
        <is>
          <t>Milho</t>
        </is>
      </c>
      <c r="B3421" s="6" t="inlineStr">
        <is>
          <t>Paranaguá - PR</t>
        </is>
      </c>
      <c r="C3421" s="6" t="n">
        <v>-25.5161</v>
      </c>
      <c r="D3421" s="6" t="n">
        <v>-48.5225</v>
      </c>
      <c r="E3421" s="6" t="inlineStr">
        <is>
          <t>2025-12</t>
        </is>
      </c>
      <c r="F3421" s="6" t="n"/>
      <c r="G3421" s="6" t="inlineStr">
        <is>
          <t>EXPORTACAO</t>
        </is>
      </c>
      <c r="H3421" s="6" t="inlineStr">
        <is>
          <t>AUTO_OFERTA_TOTAL_PRODUTO_PERIODO</t>
        </is>
      </c>
      <c r="I3421" s="11">
        <f>IF($H3421="AUTO_OFERTA_TOTAL_PRODUTO_PERIODO",SUMIFS(Oferta!$F:$F,Oferta!$A:$A,$A3421,Oferta!$E:$E,$E3421),$F3421)</f>
        <v/>
      </c>
      <c r="J3421" s="6" t="inlineStr">
        <is>
          <t>Derivado_da_Oferta</t>
        </is>
      </c>
      <c r="K3421" s="6" t="inlineStr">
        <is>
          <t>Mercado externo: limite superior calculado automaticamente pela soma da oferta do produto no período.</t>
        </is>
      </c>
    </row>
    <row r="3422">
      <c r="A3422" s="6" t="inlineStr">
        <is>
          <t>Soja</t>
        </is>
      </c>
      <c r="B3422" s="6" t="inlineStr">
        <is>
          <t>Paranaguá - PR</t>
        </is>
      </c>
      <c r="C3422" s="6" t="n">
        <v>-25.5161</v>
      </c>
      <c r="D3422" s="6" t="n">
        <v>-48.5225</v>
      </c>
      <c r="E3422" s="6" t="inlineStr">
        <is>
          <t>2021-01</t>
        </is>
      </c>
      <c r="F3422" s="6" t="n"/>
      <c r="G3422" s="6" t="inlineStr">
        <is>
          <t>EXPORTACAO</t>
        </is>
      </c>
      <c r="H3422" s="6" t="inlineStr">
        <is>
          <t>AUTO_OFERTA_TOTAL_PRODUTO_PERIODO</t>
        </is>
      </c>
      <c r="I3422" s="11">
        <f>IF($H3422="AUTO_OFERTA_TOTAL_PRODUTO_PERIODO",SUMIFS(Oferta!$F:$F,Oferta!$A:$A,$A3422,Oferta!$E:$E,$E3422),$F3422)</f>
        <v/>
      </c>
      <c r="J3422" s="6" t="inlineStr">
        <is>
          <t>Derivado_da_Oferta</t>
        </is>
      </c>
      <c r="K3422" s="6" t="inlineStr">
        <is>
          <t>Mercado externo: limite superior calculado automaticamente pela soma da oferta do produto no período.</t>
        </is>
      </c>
    </row>
    <row r="3423">
      <c r="A3423" s="6" t="inlineStr">
        <is>
          <t>Soja</t>
        </is>
      </c>
      <c r="B3423" s="6" t="inlineStr">
        <is>
          <t>Paranaguá - PR</t>
        </is>
      </c>
      <c r="C3423" s="6" t="n">
        <v>-25.5161</v>
      </c>
      <c r="D3423" s="6" t="n">
        <v>-48.5225</v>
      </c>
      <c r="E3423" s="6" t="inlineStr">
        <is>
          <t>2021-02</t>
        </is>
      </c>
      <c r="F3423" s="6" t="n"/>
      <c r="G3423" s="6" t="inlineStr">
        <is>
          <t>EXPORTACAO</t>
        </is>
      </c>
      <c r="H3423" s="6" t="inlineStr">
        <is>
          <t>AUTO_OFERTA_TOTAL_PRODUTO_PERIODO</t>
        </is>
      </c>
      <c r="I3423" s="11">
        <f>IF($H3423="AUTO_OFERTA_TOTAL_PRODUTO_PERIODO",SUMIFS(Oferta!$F:$F,Oferta!$A:$A,$A3423,Oferta!$E:$E,$E3423),$F3423)</f>
        <v/>
      </c>
      <c r="J3423" s="6" t="inlineStr">
        <is>
          <t>Derivado_da_Oferta</t>
        </is>
      </c>
      <c r="K3423" s="6" t="inlineStr">
        <is>
          <t>Mercado externo: limite superior calculado automaticamente pela soma da oferta do produto no período.</t>
        </is>
      </c>
    </row>
    <row r="3424">
      <c r="A3424" s="6" t="inlineStr">
        <is>
          <t>Soja</t>
        </is>
      </c>
      <c r="B3424" s="6" t="inlineStr">
        <is>
          <t>Paranaguá - PR</t>
        </is>
      </c>
      <c r="C3424" s="6" t="n">
        <v>-25.5161</v>
      </c>
      <c r="D3424" s="6" t="n">
        <v>-48.5225</v>
      </c>
      <c r="E3424" s="6" t="inlineStr">
        <is>
          <t>2021-03</t>
        </is>
      </c>
      <c r="F3424" s="6" t="n"/>
      <c r="G3424" s="6" t="inlineStr">
        <is>
          <t>EXPORTACAO</t>
        </is>
      </c>
      <c r="H3424" s="6" t="inlineStr">
        <is>
          <t>AUTO_OFERTA_TOTAL_PRODUTO_PERIODO</t>
        </is>
      </c>
      <c r="I3424" s="11">
        <f>IF($H3424="AUTO_OFERTA_TOTAL_PRODUTO_PERIODO",SUMIFS(Oferta!$F:$F,Oferta!$A:$A,$A3424,Oferta!$E:$E,$E3424),$F3424)</f>
        <v/>
      </c>
      <c r="J3424" s="6" t="inlineStr">
        <is>
          <t>Derivado_da_Oferta</t>
        </is>
      </c>
      <c r="K3424" s="6" t="inlineStr">
        <is>
          <t>Mercado externo: limite superior calculado automaticamente pela soma da oferta do produto no período.</t>
        </is>
      </c>
    </row>
    <row r="3425">
      <c r="A3425" s="6" t="inlineStr">
        <is>
          <t>Soja</t>
        </is>
      </c>
      <c r="B3425" s="6" t="inlineStr">
        <is>
          <t>Paranaguá - PR</t>
        </is>
      </c>
      <c r="C3425" s="6" t="n">
        <v>-25.5161</v>
      </c>
      <c r="D3425" s="6" t="n">
        <v>-48.5225</v>
      </c>
      <c r="E3425" s="6" t="inlineStr">
        <is>
          <t>2021-04</t>
        </is>
      </c>
      <c r="F3425" s="6" t="n"/>
      <c r="G3425" s="6" t="inlineStr">
        <is>
          <t>EXPORTACAO</t>
        </is>
      </c>
      <c r="H3425" s="6" t="inlineStr">
        <is>
          <t>AUTO_OFERTA_TOTAL_PRODUTO_PERIODO</t>
        </is>
      </c>
      <c r="I3425" s="11">
        <f>IF($H3425="AUTO_OFERTA_TOTAL_PRODUTO_PERIODO",SUMIFS(Oferta!$F:$F,Oferta!$A:$A,$A3425,Oferta!$E:$E,$E3425),$F3425)</f>
        <v/>
      </c>
      <c r="J3425" s="6" t="inlineStr">
        <is>
          <t>Derivado_da_Oferta</t>
        </is>
      </c>
      <c r="K3425" s="6" t="inlineStr">
        <is>
          <t>Mercado externo: limite superior calculado automaticamente pela soma da oferta do produto no período.</t>
        </is>
      </c>
    </row>
    <row r="3426">
      <c r="A3426" s="6" t="inlineStr">
        <is>
          <t>Soja</t>
        </is>
      </c>
      <c r="B3426" s="6" t="inlineStr">
        <is>
          <t>Paranaguá - PR</t>
        </is>
      </c>
      <c r="C3426" s="6" t="n">
        <v>-25.5161</v>
      </c>
      <c r="D3426" s="6" t="n">
        <v>-48.5225</v>
      </c>
      <c r="E3426" s="6" t="inlineStr">
        <is>
          <t>2021-05</t>
        </is>
      </c>
      <c r="F3426" s="6" t="n"/>
      <c r="G3426" s="6" t="inlineStr">
        <is>
          <t>EXPORTACAO</t>
        </is>
      </c>
      <c r="H3426" s="6" t="inlineStr">
        <is>
          <t>AUTO_OFERTA_TOTAL_PRODUTO_PERIODO</t>
        </is>
      </c>
      <c r="I3426" s="11">
        <f>IF($H3426="AUTO_OFERTA_TOTAL_PRODUTO_PERIODO",SUMIFS(Oferta!$F:$F,Oferta!$A:$A,$A3426,Oferta!$E:$E,$E3426),$F3426)</f>
        <v/>
      </c>
      <c r="J3426" s="6" t="inlineStr">
        <is>
          <t>Derivado_da_Oferta</t>
        </is>
      </c>
      <c r="K3426" s="6" t="inlineStr">
        <is>
          <t>Mercado externo: limite superior calculado automaticamente pela soma da oferta do produto no período.</t>
        </is>
      </c>
    </row>
    <row r="3427">
      <c r="A3427" s="6" t="inlineStr">
        <is>
          <t>Soja</t>
        </is>
      </c>
      <c r="B3427" s="6" t="inlineStr">
        <is>
          <t>Paranaguá - PR</t>
        </is>
      </c>
      <c r="C3427" s="6" t="n">
        <v>-25.5161</v>
      </c>
      <c r="D3427" s="6" t="n">
        <v>-48.5225</v>
      </c>
      <c r="E3427" s="6" t="inlineStr">
        <is>
          <t>2021-06</t>
        </is>
      </c>
      <c r="F3427" s="6" t="n"/>
      <c r="G3427" s="6" t="inlineStr">
        <is>
          <t>EXPORTACAO</t>
        </is>
      </c>
      <c r="H3427" s="6" t="inlineStr">
        <is>
          <t>AUTO_OFERTA_TOTAL_PRODUTO_PERIODO</t>
        </is>
      </c>
      <c r="I3427" s="11">
        <f>IF($H3427="AUTO_OFERTA_TOTAL_PRODUTO_PERIODO",SUMIFS(Oferta!$F:$F,Oferta!$A:$A,$A3427,Oferta!$E:$E,$E3427),$F3427)</f>
        <v/>
      </c>
      <c r="J3427" s="6" t="inlineStr">
        <is>
          <t>Derivado_da_Oferta</t>
        </is>
      </c>
      <c r="K3427" s="6" t="inlineStr">
        <is>
          <t>Mercado externo: limite superior calculado automaticamente pela soma da oferta do produto no período.</t>
        </is>
      </c>
    </row>
    <row r="3428">
      <c r="A3428" s="6" t="inlineStr">
        <is>
          <t>Soja</t>
        </is>
      </c>
      <c r="B3428" s="6" t="inlineStr">
        <is>
          <t>Paranaguá - PR</t>
        </is>
      </c>
      <c r="C3428" s="6" t="n">
        <v>-25.5161</v>
      </c>
      <c r="D3428" s="6" t="n">
        <v>-48.5225</v>
      </c>
      <c r="E3428" s="6" t="inlineStr">
        <is>
          <t>2021-07</t>
        </is>
      </c>
      <c r="F3428" s="6" t="n"/>
      <c r="G3428" s="6" t="inlineStr">
        <is>
          <t>EXPORTACAO</t>
        </is>
      </c>
      <c r="H3428" s="6" t="inlineStr">
        <is>
          <t>AUTO_OFERTA_TOTAL_PRODUTO_PERIODO</t>
        </is>
      </c>
      <c r="I3428" s="11">
        <f>IF($H3428="AUTO_OFERTA_TOTAL_PRODUTO_PERIODO",SUMIFS(Oferta!$F:$F,Oferta!$A:$A,$A3428,Oferta!$E:$E,$E3428),$F3428)</f>
        <v/>
      </c>
      <c r="J3428" s="6" t="inlineStr">
        <is>
          <t>Derivado_da_Oferta</t>
        </is>
      </c>
      <c r="K3428" s="6" t="inlineStr">
        <is>
          <t>Mercado externo: limite superior calculado automaticamente pela soma da oferta do produto no período.</t>
        </is>
      </c>
    </row>
    <row r="3429">
      <c r="A3429" s="6" t="inlineStr">
        <is>
          <t>Soja</t>
        </is>
      </c>
      <c r="B3429" s="6" t="inlineStr">
        <is>
          <t>Paranaguá - PR</t>
        </is>
      </c>
      <c r="C3429" s="6" t="n">
        <v>-25.5161</v>
      </c>
      <c r="D3429" s="6" t="n">
        <v>-48.5225</v>
      </c>
      <c r="E3429" s="6" t="inlineStr">
        <is>
          <t>2021-08</t>
        </is>
      </c>
      <c r="F3429" s="6" t="n"/>
      <c r="G3429" s="6" t="inlineStr">
        <is>
          <t>EXPORTACAO</t>
        </is>
      </c>
      <c r="H3429" s="6" t="inlineStr">
        <is>
          <t>AUTO_OFERTA_TOTAL_PRODUTO_PERIODO</t>
        </is>
      </c>
      <c r="I3429" s="11">
        <f>IF($H3429="AUTO_OFERTA_TOTAL_PRODUTO_PERIODO",SUMIFS(Oferta!$F:$F,Oferta!$A:$A,$A3429,Oferta!$E:$E,$E3429),$F3429)</f>
        <v/>
      </c>
      <c r="J3429" s="6" t="inlineStr">
        <is>
          <t>Derivado_da_Oferta</t>
        </is>
      </c>
      <c r="K3429" s="6" t="inlineStr">
        <is>
          <t>Mercado externo: limite superior calculado automaticamente pela soma da oferta do produto no período.</t>
        </is>
      </c>
    </row>
    <row r="3430">
      <c r="A3430" s="6" t="inlineStr">
        <is>
          <t>Soja</t>
        </is>
      </c>
      <c r="B3430" s="6" t="inlineStr">
        <is>
          <t>Paranaguá - PR</t>
        </is>
      </c>
      <c r="C3430" s="6" t="n">
        <v>-25.5161</v>
      </c>
      <c r="D3430" s="6" t="n">
        <v>-48.5225</v>
      </c>
      <c r="E3430" s="6" t="inlineStr">
        <is>
          <t>2021-09</t>
        </is>
      </c>
      <c r="F3430" s="6" t="n"/>
      <c r="G3430" s="6" t="inlineStr">
        <is>
          <t>EXPORTACAO</t>
        </is>
      </c>
      <c r="H3430" s="6" t="inlineStr">
        <is>
          <t>AUTO_OFERTA_TOTAL_PRODUTO_PERIODO</t>
        </is>
      </c>
      <c r="I3430" s="11">
        <f>IF($H3430="AUTO_OFERTA_TOTAL_PRODUTO_PERIODO",SUMIFS(Oferta!$F:$F,Oferta!$A:$A,$A3430,Oferta!$E:$E,$E3430),$F3430)</f>
        <v/>
      </c>
      <c r="J3430" s="6" t="inlineStr">
        <is>
          <t>Derivado_da_Oferta</t>
        </is>
      </c>
      <c r="K3430" s="6" t="inlineStr">
        <is>
          <t>Mercado externo: limite superior calculado automaticamente pela soma da oferta do produto no período.</t>
        </is>
      </c>
    </row>
    <row r="3431">
      <c r="A3431" s="6" t="inlineStr">
        <is>
          <t>Soja</t>
        </is>
      </c>
      <c r="B3431" s="6" t="inlineStr">
        <is>
          <t>Paranaguá - PR</t>
        </is>
      </c>
      <c r="C3431" s="6" t="n">
        <v>-25.5161</v>
      </c>
      <c r="D3431" s="6" t="n">
        <v>-48.5225</v>
      </c>
      <c r="E3431" s="6" t="inlineStr">
        <is>
          <t>2021-10</t>
        </is>
      </c>
      <c r="F3431" s="6" t="n"/>
      <c r="G3431" s="6" t="inlineStr">
        <is>
          <t>EXPORTACAO</t>
        </is>
      </c>
      <c r="H3431" s="6" t="inlineStr">
        <is>
          <t>AUTO_OFERTA_TOTAL_PRODUTO_PERIODO</t>
        </is>
      </c>
      <c r="I3431" s="11">
        <f>IF($H3431="AUTO_OFERTA_TOTAL_PRODUTO_PERIODO",SUMIFS(Oferta!$F:$F,Oferta!$A:$A,$A3431,Oferta!$E:$E,$E3431),$F3431)</f>
        <v/>
      </c>
      <c r="J3431" s="6" t="inlineStr">
        <is>
          <t>Derivado_da_Oferta</t>
        </is>
      </c>
      <c r="K3431" s="6" t="inlineStr">
        <is>
          <t>Mercado externo: limite superior calculado automaticamente pela soma da oferta do produto no período.</t>
        </is>
      </c>
    </row>
    <row r="3432">
      <c r="A3432" s="6" t="inlineStr">
        <is>
          <t>Soja</t>
        </is>
      </c>
      <c r="B3432" s="6" t="inlineStr">
        <is>
          <t>Paranaguá - PR</t>
        </is>
      </c>
      <c r="C3432" s="6" t="n">
        <v>-25.5161</v>
      </c>
      <c r="D3432" s="6" t="n">
        <v>-48.5225</v>
      </c>
      <c r="E3432" s="6" t="inlineStr">
        <is>
          <t>2021-11</t>
        </is>
      </c>
      <c r="F3432" s="6" t="n"/>
      <c r="G3432" s="6" t="inlineStr">
        <is>
          <t>EXPORTACAO</t>
        </is>
      </c>
      <c r="H3432" s="6" t="inlineStr">
        <is>
          <t>AUTO_OFERTA_TOTAL_PRODUTO_PERIODO</t>
        </is>
      </c>
      <c r="I3432" s="11">
        <f>IF($H3432="AUTO_OFERTA_TOTAL_PRODUTO_PERIODO",SUMIFS(Oferta!$F:$F,Oferta!$A:$A,$A3432,Oferta!$E:$E,$E3432),$F3432)</f>
        <v/>
      </c>
      <c r="J3432" s="6" t="inlineStr">
        <is>
          <t>Derivado_da_Oferta</t>
        </is>
      </c>
      <c r="K3432" s="6" t="inlineStr">
        <is>
          <t>Mercado externo: limite superior calculado automaticamente pela soma da oferta do produto no período.</t>
        </is>
      </c>
    </row>
    <row r="3433">
      <c r="A3433" s="6" t="inlineStr">
        <is>
          <t>Soja</t>
        </is>
      </c>
      <c r="B3433" s="6" t="inlineStr">
        <is>
          <t>Paranaguá - PR</t>
        </is>
      </c>
      <c r="C3433" s="6" t="n">
        <v>-25.5161</v>
      </c>
      <c r="D3433" s="6" t="n">
        <v>-48.5225</v>
      </c>
      <c r="E3433" s="6" t="inlineStr">
        <is>
          <t>2021-12</t>
        </is>
      </c>
      <c r="F3433" s="6" t="n"/>
      <c r="G3433" s="6" t="inlineStr">
        <is>
          <t>EXPORTACAO</t>
        </is>
      </c>
      <c r="H3433" s="6" t="inlineStr">
        <is>
          <t>AUTO_OFERTA_TOTAL_PRODUTO_PERIODO</t>
        </is>
      </c>
      <c r="I3433" s="11">
        <f>IF($H3433="AUTO_OFERTA_TOTAL_PRODUTO_PERIODO",SUMIFS(Oferta!$F:$F,Oferta!$A:$A,$A3433,Oferta!$E:$E,$E3433),$F3433)</f>
        <v/>
      </c>
      <c r="J3433" s="6" t="inlineStr">
        <is>
          <t>Derivado_da_Oferta</t>
        </is>
      </c>
      <c r="K3433" s="6" t="inlineStr">
        <is>
          <t>Mercado externo: limite superior calculado automaticamente pela soma da oferta do produto no período.</t>
        </is>
      </c>
    </row>
    <row r="3434">
      <c r="A3434" s="6" t="inlineStr">
        <is>
          <t>Soja</t>
        </is>
      </c>
      <c r="B3434" s="6" t="inlineStr">
        <is>
          <t>Paranaguá - PR</t>
        </is>
      </c>
      <c r="C3434" s="6" t="n">
        <v>-25.5161</v>
      </c>
      <c r="D3434" s="6" t="n">
        <v>-48.5225</v>
      </c>
      <c r="E3434" s="6" t="inlineStr">
        <is>
          <t>2022-01</t>
        </is>
      </c>
      <c r="F3434" s="6" t="n"/>
      <c r="G3434" s="6" t="inlineStr">
        <is>
          <t>EXPORTACAO</t>
        </is>
      </c>
      <c r="H3434" s="6" t="inlineStr">
        <is>
          <t>AUTO_OFERTA_TOTAL_PRODUTO_PERIODO</t>
        </is>
      </c>
      <c r="I3434" s="11">
        <f>IF($H3434="AUTO_OFERTA_TOTAL_PRODUTO_PERIODO",SUMIFS(Oferta!$F:$F,Oferta!$A:$A,$A3434,Oferta!$E:$E,$E3434),$F3434)</f>
        <v/>
      </c>
      <c r="J3434" s="6" t="inlineStr">
        <is>
          <t>Derivado_da_Oferta</t>
        </is>
      </c>
      <c r="K3434" s="6" t="inlineStr">
        <is>
          <t>Mercado externo: limite superior calculado automaticamente pela soma da oferta do produto no período.</t>
        </is>
      </c>
    </row>
    <row r="3435">
      <c r="A3435" s="6" t="inlineStr">
        <is>
          <t>Soja</t>
        </is>
      </c>
      <c r="B3435" s="6" t="inlineStr">
        <is>
          <t>Paranaguá - PR</t>
        </is>
      </c>
      <c r="C3435" s="6" t="n">
        <v>-25.5161</v>
      </c>
      <c r="D3435" s="6" t="n">
        <v>-48.5225</v>
      </c>
      <c r="E3435" s="6" t="inlineStr">
        <is>
          <t>2022-02</t>
        </is>
      </c>
      <c r="F3435" s="6" t="n"/>
      <c r="G3435" s="6" t="inlineStr">
        <is>
          <t>EXPORTACAO</t>
        </is>
      </c>
      <c r="H3435" s="6" t="inlineStr">
        <is>
          <t>AUTO_OFERTA_TOTAL_PRODUTO_PERIODO</t>
        </is>
      </c>
      <c r="I3435" s="11">
        <f>IF($H3435="AUTO_OFERTA_TOTAL_PRODUTO_PERIODO",SUMIFS(Oferta!$F:$F,Oferta!$A:$A,$A3435,Oferta!$E:$E,$E3435),$F3435)</f>
        <v/>
      </c>
      <c r="J3435" s="6" t="inlineStr">
        <is>
          <t>Derivado_da_Oferta</t>
        </is>
      </c>
      <c r="K3435" s="6" t="inlineStr">
        <is>
          <t>Mercado externo: limite superior calculado automaticamente pela soma da oferta do produto no período.</t>
        </is>
      </c>
    </row>
    <row r="3436">
      <c r="A3436" s="6" t="inlineStr">
        <is>
          <t>Soja</t>
        </is>
      </c>
      <c r="B3436" s="6" t="inlineStr">
        <is>
          <t>Paranaguá - PR</t>
        </is>
      </c>
      <c r="C3436" s="6" t="n">
        <v>-25.5161</v>
      </c>
      <c r="D3436" s="6" t="n">
        <v>-48.5225</v>
      </c>
      <c r="E3436" s="6" t="inlineStr">
        <is>
          <t>2022-03</t>
        </is>
      </c>
      <c r="F3436" s="6" t="n"/>
      <c r="G3436" s="6" t="inlineStr">
        <is>
          <t>EXPORTACAO</t>
        </is>
      </c>
      <c r="H3436" s="6" t="inlineStr">
        <is>
          <t>AUTO_OFERTA_TOTAL_PRODUTO_PERIODO</t>
        </is>
      </c>
      <c r="I3436" s="11">
        <f>IF($H3436="AUTO_OFERTA_TOTAL_PRODUTO_PERIODO",SUMIFS(Oferta!$F:$F,Oferta!$A:$A,$A3436,Oferta!$E:$E,$E3436),$F3436)</f>
        <v/>
      </c>
      <c r="J3436" s="6" t="inlineStr">
        <is>
          <t>Derivado_da_Oferta</t>
        </is>
      </c>
      <c r="K3436" s="6" t="inlineStr">
        <is>
          <t>Mercado externo: limite superior calculado automaticamente pela soma da oferta do produto no período.</t>
        </is>
      </c>
    </row>
    <row r="3437">
      <c r="A3437" s="6" t="inlineStr">
        <is>
          <t>Soja</t>
        </is>
      </c>
      <c r="B3437" s="6" t="inlineStr">
        <is>
          <t>Paranaguá - PR</t>
        </is>
      </c>
      <c r="C3437" s="6" t="n">
        <v>-25.5161</v>
      </c>
      <c r="D3437" s="6" t="n">
        <v>-48.5225</v>
      </c>
      <c r="E3437" s="6" t="inlineStr">
        <is>
          <t>2022-04</t>
        </is>
      </c>
      <c r="F3437" s="6" t="n"/>
      <c r="G3437" s="6" t="inlineStr">
        <is>
          <t>EXPORTACAO</t>
        </is>
      </c>
      <c r="H3437" s="6" t="inlineStr">
        <is>
          <t>AUTO_OFERTA_TOTAL_PRODUTO_PERIODO</t>
        </is>
      </c>
      <c r="I3437" s="11">
        <f>IF($H3437="AUTO_OFERTA_TOTAL_PRODUTO_PERIODO",SUMIFS(Oferta!$F:$F,Oferta!$A:$A,$A3437,Oferta!$E:$E,$E3437),$F3437)</f>
        <v/>
      </c>
      <c r="J3437" s="6" t="inlineStr">
        <is>
          <t>Derivado_da_Oferta</t>
        </is>
      </c>
      <c r="K3437" s="6" t="inlineStr">
        <is>
          <t>Mercado externo: limite superior calculado automaticamente pela soma da oferta do produto no período.</t>
        </is>
      </c>
    </row>
    <row r="3438">
      <c r="A3438" s="6" t="inlineStr">
        <is>
          <t>Soja</t>
        </is>
      </c>
      <c r="B3438" s="6" t="inlineStr">
        <is>
          <t>Paranaguá - PR</t>
        </is>
      </c>
      <c r="C3438" s="6" t="n">
        <v>-25.5161</v>
      </c>
      <c r="D3438" s="6" t="n">
        <v>-48.5225</v>
      </c>
      <c r="E3438" s="6" t="inlineStr">
        <is>
          <t>2022-05</t>
        </is>
      </c>
      <c r="F3438" s="6" t="n"/>
      <c r="G3438" s="6" t="inlineStr">
        <is>
          <t>EXPORTACAO</t>
        </is>
      </c>
      <c r="H3438" s="6" t="inlineStr">
        <is>
          <t>AUTO_OFERTA_TOTAL_PRODUTO_PERIODO</t>
        </is>
      </c>
      <c r="I3438" s="11">
        <f>IF($H3438="AUTO_OFERTA_TOTAL_PRODUTO_PERIODO",SUMIFS(Oferta!$F:$F,Oferta!$A:$A,$A3438,Oferta!$E:$E,$E3438),$F3438)</f>
        <v/>
      </c>
      <c r="J3438" s="6" t="inlineStr">
        <is>
          <t>Derivado_da_Oferta</t>
        </is>
      </c>
      <c r="K3438" s="6" t="inlineStr">
        <is>
          <t>Mercado externo: limite superior calculado automaticamente pela soma da oferta do produto no período.</t>
        </is>
      </c>
    </row>
    <row r="3439">
      <c r="A3439" s="6" t="inlineStr">
        <is>
          <t>Soja</t>
        </is>
      </c>
      <c r="B3439" s="6" t="inlineStr">
        <is>
          <t>Paranaguá - PR</t>
        </is>
      </c>
      <c r="C3439" s="6" t="n">
        <v>-25.5161</v>
      </c>
      <c r="D3439" s="6" t="n">
        <v>-48.5225</v>
      </c>
      <c r="E3439" s="6" t="inlineStr">
        <is>
          <t>2022-06</t>
        </is>
      </c>
      <c r="F3439" s="6" t="n"/>
      <c r="G3439" s="6" t="inlineStr">
        <is>
          <t>EXPORTACAO</t>
        </is>
      </c>
      <c r="H3439" s="6" t="inlineStr">
        <is>
          <t>AUTO_OFERTA_TOTAL_PRODUTO_PERIODO</t>
        </is>
      </c>
      <c r="I3439" s="11">
        <f>IF($H3439="AUTO_OFERTA_TOTAL_PRODUTO_PERIODO",SUMIFS(Oferta!$F:$F,Oferta!$A:$A,$A3439,Oferta!$E:$E,$E3439),$F3439)</f>
        <v/>
      </c>
      <c r="J3439" s="6" t="inlineStr">
        <is>
          <t>Derivado_da_Oferta</t>
        </is>
      </c>
      <c r="K3439" s="6" t="inlineStr">
        <is>
          <t>Mercado externo: limite superior calculado automaticamente pela soma da oferta do produto no período.</t>
        </is>
      </c>
    </row>
    <row r="3440">
      <c r="A3440" s="6" t="inlineStr">
        <is>
          <t>Soja</t>
        </is>
      </c>
      <c r="B3440" s="6" t="inlineStr">
        <is>
          <t>Paranaguá - PR</t>
        </is>
      </c>
      <c r="C3440" s="6" t="n">
        <v>-25.5161</v>
      </c>
      <c r="D3440" s="6" t="n">
        <v>-48.5225</v>
      </c>
      <c r="E3440" s="6" t="inlineStr">
        <is>
          <t>2022-07</t>
        </is>
      </c>
      <c r="F3440" s="6" t="n"/>
      <c r="G3440" s="6" t="inlineStr">
        <is>
          <t>EXPORTACAO</t>
        </is>
      </c>
      <c r="H3440" s="6" t="inlineStr">
        <is>
          <t>AUTO_OFERTA_TOTAL_PRODUTO_PERIODO</t>
        </is>
      </c>
      <c r="I3440" s="11">
        <f>IF($H3440="AUTO_OFERTA_TOTAL_PRODUTO_PERIODO",SUMIFS(Oferta!$F:$F,Oferta!$A:$A,$A3440,Oferta!$E:$E,$E3440),$F3440)</f>
        <v/>
      </c>
      <c r="J3440" s="6" t="inlineStr">
        <is>
          <t>Derivado_da_Oferta</t>
        </is>
      </c>
      <c r="K3440" s="6" t="inlineStr">
        <is>
          <t>Mercado externo: limite superior calculado automaticamente pela soma da oferta do produto no período.</t>
        </is>
      </c>
    </row>
    <row r="3441">
      <c r="A3441" s="6" t="inlineStr">
        <is>
          <t>Soja</t>
        </is>
      </c>
      <c r="B3441" s="6" t="inlineStr">
        <is>
          <t>Paranaguá - PR</t>
        </is>
      </c>
      <c r="C3441" s="6" t="n">
        <v>-25.5161</v>
      </c>
      <c r="D3441" s="6" t="n">
        <v>-48.5225</v>
      </c>
      <c r="E3441" s="6" t="inlineStr">
        <is>
          <t>2022-08</t>
        </is>
      </c>
      <c r="F3441" s="6" t="n"/>
      <c r="G3441" s="6" t="inlineStr">
        <is>
          <t>EXPORTACAO</t>
        </is>
      </c>
      <c r="H3441" s="6" t="inlineStr">
        <is>
          <t>AUTO_OFERTA_TOTAL_PRODUTO_PERIODO</t>
        </is>
      </c>
      <c r="I3441" s="11">
        <f>IF($H3441="AUTO_OFERTA_TOTAL_PRODUTO_PERIODO",SUMIFS(Oferta!$F:$F,Oferta!$A:$A,$A3441,Oferta!$E:$E,$E3441),$F3441)</f>
        <v/>
      </c>
      <c r="J3441" s="6" t="inlineStr">
        <is>
          <t>Derivado_da_Oferta</t>
        </is>
      </c>
      <c r="K3441" s="6" t="inlineStr">
        <is>
          <t>Mercado externo: limite superior calculado automaticamente pela soma da oferta do produto no período.</t>
        </is>
      </c>
    </row>
    <row r="3442">
      <c r="A3442" s="6" t="inlineStr">
        <is>
          <t>Soja</t>
        </is>
      </c>
      <c r="B3442" s="6" t="inlineStr">
        <is>
          <t>Paranaguá - PR</t>
        </is>
      </c>
      <c r="C3442" s="6" t="n">
        <v>-25.5161</v>
      </c>
      <c r="D3442" s="6" t="n">
        <v>-48.5225</v>
      </c>
      <c r="E3442" s="6" t="inlineStr">
        <is>
          <t>2022-09</t>
        </is>
      </c>
      <c r="F3442" s="6" t="n"/>
      <c r="G3442" s="6" t="inlineStr">
        <is>
          <t>EXPORTACAO</t>
        </is>
      </c>
      <c r="H3442" s="6" t="inlineStr">
        <is>
          <t>AUTO_OFERTA_TOTAL_PRODUTO_PERIODO</t>
        </is>
      </c>
      <c r="I3442" s="11">
        <f>IF($H3442="AUTO_OFERTA_TOTAL_PRODUTO_PERIODO",SUMIFS(Oferta!$F:$F,Oferta!$A:$A,$A3442,Oferta!$E:$E,$E3442),$F3442)</f>
        <v/>
      </c>
      <c r="J3442" s="6" t="inlineStr">
        <is>
          <t>Derivado_da_Oferta</t>
        </is>
      </c>
      <c r="K3442" s="6" t="inlineStr">
        <is>
          <t>Mercado externo: limite superior calculado automaticamente pela soma da oferta do produto no período.</t>
        </is>
      </c>
    </row>
    <row r="3443">
      <c r="A3443" s="6" t="inlineStr">
        <is>
          <t>Soja</t>
        </is>
      </c>
      <c r="B3443" s="6" t="inlineStr">
        <is>
          <t>Paranaguá - PR</t>
        </is>
      </c>
      <c r="C3443" s="6" t="n">
        <v>-25.5161</v>
      </c>
      <c r="D3443" s="6" t="n">
        <v>-48.5225</v>
      </c>
      <c r="E3443" s="6" t="inlineStr">
        <is>
          <t>2022-10</t>
        </is>
      </c>
      <c r="F3443" s="6" t="n"/>
      <c r="G3443" s="6" t="inlineStr">
        <is>
          <t>EXPORTACAO</t>
        </is>
      </c>
      <c r="H3443" s="6" t="inlineStr">
        <is>
          <t>AUTO_OFERTA_TOTAL_PRODUTO_PERIODO</t>
        </is>
      </c>
      <c r="I3443" s="11">
        <f>IF($H3443="AUTO_OFERTA_TOTAL_PRODUTO_PERIODO",SUMIFS(Oferta!$F:$F,Oferta!$A:$A,$A3443,Oferta!$E:$E,$E3443),$F3443)</f>
        <v/>
      </c>
      <c r="J3443" s="6" t="inlineStr">
        <is>
          <t>Derivado_da_Oferta</t>
        </is>
      </c>
      <c r="K3443" s="6" t="inlineStr">
        <is>
          <t>Mercado externo: limite superior calculado automaticamente pela soma da oferta do produto no período.</t>
        </is>
      </c>
    </row>
    <row r="3444">
      <c r="A3444" s="6" t="inlineStr">
        <is>
          <t>Soja</t>
        </is>
      </c>
      <c r="B3444" s="6" t="inlineStr">
        <is>
          <t>Paranaguá - PR</t>
        </is>
      </c>
      <c r="C3444" s="6" t="n">
        <v>-25.5161</v>
      </c>
      <c r="D3444" s="6" t="n">
        <v>-48.5225</v>
      </c>
      <c r="E3444" s="6" t="inlineStr">
        <is>
          <t>2022-11</t>
        </is>
      </c>
      <c r="F3444" s="6" t="n"/>
      <c r="G3444" s="6" t="inlineStr">
        <is>
          <t>EXPORTACAO</t>
        </is>
      </c>
      <c r="H3444" s="6" t="inlineStr">
        <is>
          <t>AUTO_OFERTA_TOTAL_PRODUTO_PERIODO</t>
        </is>
      </c>
      <c r="I3444" s="11">
        <f>IF($H3444="AUTO_OFERTA_TOTAL_PRODUTO_PERIODO",SUMIFS(Oferta!$F:$F,Oferta!$A:$A,$A3444,Oferta!$E:$E,$E3444),$F3444)</f>
        <v/>
      </c>
      <c r="J3444" s="6" t="inlineStr">
        <is>
          <t>Derivado_da_Oferta</t>
        </is>
      </c>
      <c r="K3444" s="6" t="inlineStr">
        <is>
          <t>Mercado externo: limite superior calculado automaticamente pela soma da oferta do produto no período.</t>
        </is>
      </c>
    </row>
    <row r="3445">
      <c r="A3445" s="6" t="inlineStr">
        <is>
          <t>Soja</t>
        </is>
      </c>
      <c r="B3445" s="6" t="inlineStr">
        <is>
          <t>Paranaguá - PR</t>
        </is>
      </c>
      <c r="C3445" s="6" t="n">
        <v>-25.5161</v>
      </c>
      <c r="D3445" s="6" t="n">
        <v>-48.5225</v>
      </c>
      <c r="E3445" s="6" t="inlineStr">
        <is>
          <t>2022-12</t>
        </is>
      </c>
      <c r="F3445" s="6" t="n"/>
      <c r="G3445" s="6" t="inlineStr">
        <is>
          <t>EXPORTACAO</t>
        </is>
      </c>
      <c r="H3445" s="6" t="inlineStr">
        <is>
          <t>AUTO_OFERTA_TOTAL_PRODUTO_PERIODO</t>
        </is>
      </c>
      <c r="I3445" s="11">
        <f>IF($H3445="AUTO_OFERTA_TOTAL_PRODUTO_PERIODO",SUMIFS(Oferta!$F:$F,Oferta!$A:$A,$A3445,Oferta!$E:$E,$E3445),$F3445)</f>
        <v/>
      </c>
      <c r="J3445" s="6" t="inlineStr">
        <is>
          <t>Derivado_da_Oferta</t>
        </is>
      </c>
      <c r="K3445" s="6" t="inlineStr">
        <is>
          <t>Mercado externo: limite superior calculado automaticamente pela soma da oferta do produto no período.</t>
        </is>
      </c>
    </row>
    <row r="3446">
      <c r="A3446" s="6" t="inlineStr">
        <is>
          <t>Soja</t>
        </is>
      </c>
      <c r="B3446" s="6" t="inlineStr">
        <is>
          <t>Paranaguá - PR</t>
        </is>
      </c>
      <c r="C3446" s="6" t="n">
        <v>-25.5161</v>
      </c>
      <c r="D3446" s="6" t="n">
        <v>-48.5225</v>
      </c>
      <c r="E3446" s="6" t="inlineStr">
        <is>
          <t>2023-01</t>
        </is>
      </c>
      <c r="F3446" s="6" t="n"/>
      <c r="G3446" s="6" t="inlineStr">
        <is>
          <t>EXPORTACAO</t>
        </is>
      </c>
      <c r="H3446" s="6" t="inlineStr">
        <is>
          <t>AUTO_OFERTA_TOTAL_PRODUTO_PERIODO</t>
        </is>
      </c>
      <c r="I3446" s="11">
        <f>IF($H3446="AUTO_OFERTA_TOTAL_PRODUTO_PERIODO",SUMIFS(Oferta!$F:$F,Oferta!$A:$A,$A3446,Oferta!$E:$E,$E3446),$F3446)</f>
        <v/>
      </c>
      <c r="J3446" s="6" t="inlineStr">
        <is>
          <t>Derivado_da_Oferta</t>
        </is>
      </c>
      <c r="K3446" s="6" t="inlineStr">
        <is>
          <t>Mercado externo: limite superior calculado automaticamente pela soma da oferta do produto no período.</t>
        </is>
      </c>
    </row>
    <row r="3447">
      <c r="A3447" s="6" t="inlineStr">
        <is>
          <t>Soja</t>
        </is>
      </c>
      <c r="B3447" s="6" t="inlineStr">
        <is>
          <t>Paranaguá - PR</t>
        </is>
      </c>
      <c r="C3447" s="6" t="n">
        <v>-25.5161</v>
      </c>
      <c r="D3447" s="6" t="n">
        <v>-48.5225</v>
      </c>
      <c r="E3447" s="6" t="inlineStr">
        <is>
          <t>2023-02</t>
        </is>
      </c>
      <c r="F3447" s="6" t="n"/>
      <c r="G3447" s="6" t="inlineStr">
        <is>
          <t>EXPORTACAO</t>
        </is>
      </c>
      <c r="H3447" s="6" t="inlineStr">
        <is>
          <t>AUTO_OFERTA_TOTAL_PRODUTO_PERIODO</t>
        </is>
      </c>
      <c r="I3447" s="11">
        <f>IF($H3447="AUTO_OFERTA_TOTAL_PRODUTO_PERIODO",SUMIFS(Oferta!$F:$F,Oferta!$A:$A,$A3447,Oferta!$E:$E,$E3447),$F3447)</f>
        <v/>
      </c>
      <c r="J3447" s="6" t="inlineStr">
        <is>
          <t>Derivado_da_Oferta</t>
        </is>
      </c>
      <c r="K3447" s="6" t="inlineStr">
        <is>
          <t>Mercado externo: limite superior calculado automaticamente pela soma da oferta do produto no período.</t>
        </is>
      </c>
    </row>
    <row r="3448">
      <c r="A3448" s="6" t="inlineStr">
        <is>
          <t>Soja</t>
        </is>
      </c>
      <c r="B3448" s="6" t="inlineStr">
        <is>
          <t>Paranaguá - PR</t>
        </is>
      </c>
      <c r="C3448" s="6" t="n">
        <v>-25.5161</v>
      </c>
      <c r="D3448" s="6" t="n">
        <v>-48.5225</v>
      </c>
      <c r="E3448" s="6" t="inlineStr">
        <is>
          <t>2023-03</t>
        </is>
      </c>
      <c r="F3448" s="6" t="n"/>
      <c r="G3448" s="6" t="inlineStr">
        <is>
          <t>EXPORTACAO</t>
        </is>
      </c>
      <c r="H3448" s="6" t="inlineStr">
        <is>
          <t>AUTO_OFERTA_TOTAL_PRODUTO_PERIODO</t>
        </is>
      </c>
      <c r="I3448" s="11">
        <f>IF($H3448="AUTO_OFERTA_TOTAL_PRODUTO_PERIODO",SUMIFS(Oferta!$F:$F,Oferta!$A:$A,$A3448,Oferta!$E:$E,$E3448),$F3448)</f>
        <v/>
      </c>
      <c r="J3448" s="6" t="inlineStr">
        <is>
          <t>Derivado_da_Oferta</t>
        </is>
      </c>
      <c r="K3448" s="6" t="inlineStr">
        <is>
          <t>Mercado externo: limite superior calculado automaticamente pela soma da oferta do produto no período.</t>
        </is>
      </c>
    </row>
    <row r="3449">
      <c r="A3449" s="6" t="inlineStr">
        <is>
          <t>Soja</t>
        </is>
      </c>
      <c r="B3449" s="6" t="inlineStr">
        <is>
          <t>Paranaguá - PR</t>
        </is>
      </c>
      <c r="C3449" s="6" t="n">
        <v>-25.5161</v>
      </c>
      <c r="D3449" s="6" t="n">
        <v>-48.5225</v>
      </c>
      <c r="E3449" s="6" t="inlineStr">
        <is>
          <t>2023-04</t>
        </is>
      </c>
      <c r="F3449" s="6" t="n"/>
      <c r="G3449" s="6" t="inlineStr">
        <is>
          <t>EXPORTACAO</t>
        </is>
      </c>
      <c r="H3449" s="6" t="inlineStr">
        <is>
          <t>AUTO_OFERTA_TOTAL_PRODUTO_PERIODO</t>
        </is>
      </c>
      <c r="I3449" s="11">
        <f>IF($H3449="AUTO_OFERTA_TOTAL_PRODUTO_PERIODO",SUMIFS(Oferta!$F:$F,Oferta!$A:$A,$A3449,Oferta!$E:$E,$E3449),$F3449)</f>
        <v/>
      </c>
      <c r="J3449" s="6" t="inlineStr">
        <is>
          <t>Derivado_da_Oferta</t>
        </is>
      </c>
      <c r="K3449" s="6" t="inlineStr">
        <is>
          <t>Mercado externo: limite superior calculado automaticamente pela soma da oferta do produto no período.</t>
        </is>
      </c>
    </row>
    <row r="3450">
      <c r="A3450" s="6" t="inlineStr">
        <is>
          <t>Soja</t>
        </is>
      </c>
      <c r="B3450" s="6" t="inlineStr">
        <is>
          <t>Paranaguá - PR</t>
        </is>
      </c>
      <c r="C3450" s="6" t="n">
        <v>-25.5161</v>
      </c>
      <c r="D3450" s="6" t="n">
        <v>-48.5225</v>
      </c>
      <c r="E3450" s="6" t="inlineStr">
        <is>
          <t>2023-05</t>
        </is>
      </c>
      <c r="F3450" s="6" t="n"/>
      <c r="G3450" s="6" t="inlineStr">
        <is>
          <t>EXPORTACAO</t>
        </is>
      </c>
      <c r="H3450" s="6" t="inlineStr">
        <is>
          <t>AUTO_OFERTA_TOTAL_PRODUTO_PERIODO</t>
        </is>
      </c>
      <c r="I3450" s="11">
        <f>IF($H3450="AUTO_OFERTA_TOTAL_PRODUTO_PERIODO",SUMIFS(Oferta!$F:$F,Oferta!$A:$A,$A3450,Oferta!$E:$E,$E3450),$F3450)</f>
        <v/>
      </c>
      <c r="J3450" s="6" t="inlineStr">
        <is>
          <t>Derivado_da_Oferta</t>
        </is>
      </c>
      <c r="K3450" s="6" t="inlineStr">
        <is>
          <t>Mercado externo: limite superior calculado automaticamente pela soma da oferta do produto no período.</t>
        </is>
      </c>
    </row>
    <row r="3451">
      <c r="A3451" s="6" t="inlineStr">
        <is>
          <t>Soja</t>
        </is>
      </c>
      <c r="B3451" s="6" t="inlineStr">
        <is>
          <t>Paranaguá - PR</t>
        </is>
      </c>
      <c r="C3451" s="6" t="n">
        <v>-25.5161</v>
      </c>
      <c r="D3451" s="6" t="n">
        <v>-48.5225</v>
      </c>
      <c r="E3451" s="6" t="inlineStr">
        <is>
          <t>2023-06</t>
        </is>
      </c>
      <c r="F3451" s="6" t="n"/>
      <c r="G3451" s="6" t="inlineStr">
        <is>
          <t>EXPORTACAO</t>
        </is>
      </c>
      <c r="H3451" s="6" t="inlineStr">
        <is>
          <t>AUTO_OFERTA_TOTAL_PRODUTO_PERIODO</t>
        </is>
      </c>
      <c r="I3451" s="11">
        <f>IF($H3451="AUTO_OFERTA_TOTAL_PRODUTO_PERIODO",SUMIFS(Oferta!$F:$F,Oferta!$A:$A,$A3451,Oferta!$E:$E,$E3451),$F3451)</f>
        <v/>
      </c>
      <c r="J3451" s="6" t="inlineStr">
        <is>
          <t>Derivado_da_Oferta</t>
        </is>
      </c>
      <c r="K3451" s="6" t="inlineStr">
        <is>
          <t>Mercado externo: limite superior calculado automaticamente pela soma da oferta do produto no período.</t>
        </is>
      </c>
    </row>
    <row r="3452">
      <c r="A3452" s="6" t="inlineStr">
        <is>
          <t>Soja</t>
        </is>
      </c>
      <c r="B3452" s="6" t="inlineStr">
        <is>
          <t>Paranaguá - PR</t>
        </is>
      </c>
      <c r="C3452" s="6" t="n">
        <v>-25.5161</v>
      </c>
      <c r="D3452" s="6" t="n">
        <v>-48.5225</v>
      </c>
      <c r="E3452" s="6" t="inlineStr">
        <is>
          <t>2023-07</t>
        </is>
      </c>
      <c r="F3452" s="6" t="n"/>
      <c r="G3452" s="6" t="inlineStr">
        <is>
          <t>EXPORTACAO</t>
        </is>
      </c>
      <c r="H3452" s="6" t="inlineStr">
        <is>
          <t>AUTO_OFERTA_TOTAL_PRODUTO_PERIODO</t>
        </is>
      </c>
      <c r="I3452" s="11">
        <f>IF($H3452="AUTO_OFERTA_TOTAL_PRODUTO_PERIODO",SUMIFS(Oferta!$F:$F,Oferta!$A:$A,$A3452,Oferta!$E:$E,$E3452),$F3452)</f>
        <v/>
      </c>
      <c r="J3452" s="6" t="inlineStr">
        <is>
          <t>Derivado_da_Oferta</t>
        </is>
      </c>
      <c r="K3452" s="6" t="inlineStr">
        <is>
          <t>Mercado externo: limite superior calculado automaticamente pela soma da oferta do produto no período.</t>
        </is>
      </c>
    </row>
    <row r="3453">
      <c r="A3453" s="6" t="inlineStr">
        <is>
          <t>Soja</t>
        </is>
      </c>
      <c r="B3453" s="6" t="inlineStr">
        <is>
          <t>Paranaguá - PR</t>
        </is>
      </c>
      <c r="C3453" s="6" t="n">
        <v>-25.5161</v>
      </c>
      <c r="D3453" s="6" t="n">
        <v>-48.5225</v>
      </c>
      <c r="E3453" s="6" t="inlineStr">
        <is>
          <t>2023-08</t>
        </is>
      </c>
      <c r="F3453" s="6" t="n"/>
      <c r="G3453" s="6" t="inlineStr">
        <is>
          <t>EXPORTACAO</t>
        </is>
      </c>
      <c r="H3453" s="6" t="inlineStr">
        <is>
          <t>AUTO_OFERTA_TOTAL_PRODUTO_PERIODO</t>
        </is>
      </c>
      <c r="I3453" s="11">
        <f>IF($H3453="AUTO_OFERTA_TOTAL_PRODUTO_PERIODO",SUMIFS(Oferta!$F:$F,Oferta!$A:$A,$A3453,Oferta!$E:$E,$E3453),$F3453)</f>
        <v/>
      </c>
      <c r="J3453" s="6" t="inlineStr">
        <is>
          <t>Derivado_da_Oferta</t>
        </is>
      </c>
      <c r="K3453" s="6" t="inlineStr">
        <is>
          <t>Mercado externo: limite superior calculado automaticamente pela soma da oferta do produto no período.</t>
        </is>
      </c>
    </row>
    <row r="3454">
      <c r="A3454" s="6" t="inlineStr">
        <is>
          <t>Soja</t>
        </is>
      </c>
      <c r="B3454" s="6" t="inlineStr">
        <is>
          <t>Paranaguá - PR</t>
        </is>
      </c>
      <c r="C3454" s="6" t="n">
        <v>-25.5161</v>
      </c>
      <c r="D3454" s="6" t="n">
        <v>-48.5225</v>
      </c>
      <c r="E3454" s="6" t="inlineStr">
        <is>
          <t>2023-09</t>
        </is>
      </c>
      <c r="F3454" s="6" t="n"/>
      <c r="G3454" s="6" t="inlineStr">
        <is>
          <t>EXPORTACAO</t>
        </is>
      </c>
      <c r="H3454" s="6" t="inlineStr">
        <is>
          <t>AUTO_OFERTA_TOTAL_PRODUTO_PERIODO</t>
        </is>
      </c>
      <c r="I3454" s="11">
        <f>IF($H3454="AUTO_OFERTA_TOTAL_PRODUTO_PERIODO",SUMIFS(Oferta!$F:$F,Oferta!$A:$A,$A3454,Oferta!$E:$E,$E3454),$F3454)</f>
        <v/>
      </c>
      <c r="J3454" s="6" t="inlineStr">
        <is>
          <t>Derivado_da_Oferta</t>
        </is>
      </c>
      <c r="K3454" s="6" t="inlineStr">
        <is>
          <t>Mercado externo: limite superior calculado automaticamente pela soma da oferta do produto no período.</t>
        </is>
      </c>
    </row>
    <row r="3455">
      <c r="A3455" s="6" t="inlineStr">
        <is>
          <t>Soja</t>
        </is>
      </c>
      <c r="B3455" s="6" t="inlineStr">
        <is>
          <t>Paranaguá - PR</t>
        </is>
      </c>
      <c r="C3455" s="6" t="n">
        <v>-25.5161</v>
      </c>
      <c r="D3455" s="6" t="n">
        <v>-48.5225</v>
      </c>
      <c r="E3455" s="6" t="inlineStr">
        <is>
          <t>2023-10</t>
        </is>
      </c>
      <c r="F3455" s="6" t="n"/>
      <c r="G3455" s="6" t="inlineStr">
        <is>
          <t>EXPORTACAO</t>
        </is>
      </c>
      <c r="H3455" s="6" t="inlineStr">
        <is>
          <t>AUTO_OFERTA_TOTAL_PRODUTO_PERIODO</t>
        </is>
      </c>
      <c r="I3455" s="11">
        <f>IF($H3455="AUTO_OFERTA_TOTAL_PRODUTO_PERIODO",SUMIFS(Oferta!$F:$F,Oferta!$A:$A,$A3455,Oferta!$E:$E,$E3455),$F3455)</f>
        <v/>
      </c>
      <c r="J3455" s="6" t="inlineStr">
        <is>
          <t>Derivado_da_Oferta</t>
        </is>
      </c>
      <c r="K3455" s="6" t="inlineStr">
        <is>
          <t>Mercado externo: limite superior calculado automaticamente pela soma da oferta do produto no período.</t>
        </is>
      </c>
    </row>
    <row r="3456">
      <c r="A3456" s="6" t="inlineStr">
        <is>
          <t>Soja</t>
        </is>
      </c>
      <c r="B3456" s="6" t="inlineStr">
        <is>
          <t>Paranaguá - PR</t>
        </is>
      </c>
      <c r="C3456" s="6" t="n">
        <v>-25.5161</v>
      </c>
      <c r="D3456" s="6" t="n">
        <v>-48.5225</v>
      </c>
      <c r="E3456" s="6" t="inlineStr">
        <is>
          <t>2023-11</t>
        </is>
      </c>
      <c r="F3456" s="6" t="n"/>
      <c r="G3456" s="6" t="inlineStr">
        <is>
          <t>EXPORTACAO</t>
        </is>
      </c>
      <c r="H3456" s="6" t="inlineStr">
        <is>
          <t>AUTO_OFERTA_TOTAL_PRODUTO_PERIODO</t>
        </is>
      </c>
      <c r="I3456" s="11">
        <f>IF($H3456="AUTO_OFERTA_TOTAL_PRODUTO_PERIODO",SUMIFS(Oferta!$F:$F,Oferta!$A:$A,$A3456,Oferta!$E:$E,$E3456),$F3456)</f>
        <v/>
      </c>
      <c r="J3456" s="6" t="inlineStr">
        <is>
          <t>Derivado_da_Oferta</t>
        </is>
      </c>
      <c r="K3456" s="6" t="inlineStr">
        <is>
          <t>Mercado externo: limite superior calculado automaticamente pela soma da oferta do produto no período.</t>
        </is>
      </c>
    </row>
    <row r="3457">
      <c r="A3457" s="6" t="inlineStr">
        <is>
          <t>Soja</t>
        </is>
      </c>
      <c r="B3457" s="6" t="inlineStr">
        <is>
          <t>Paranaguá - PR</t>
        </is>
      </c>
      <c r="C3457" s="6" t="n">
        <v>-25.5161</v>
      </c>
      <c r="D3457" s="6" t="n">
        <v>-48.5225</v>
      </c>
      <c r="E3457" s="6" t="inlineStr">
        <is>
          <t>2023-12</t>
        </is>
      </c>
      <c r="F3457" s="6" t="n"/>
      <c r="G3457" s="6" t="inlineStr">
        <is>
          <t>EXPORTACAO</t>
        </is>
      </c>
      <c r="H3457" s="6" t="inlineStr">
        <is>
          <t>AUTO_OFERTA_TOTAL_PRODUTO_PERIODO</t>
        </is>
      </c>
      <c r="I3457" s="11">
        <f>IF($H3457="AUTO_OFERTA_TOTAL_PRODUTO_PERIODO",SUMIFS(Oferta!$F:$F,Oferta!$A:$A,$A3457,Oferta!$E:$E,$E3457),$F3457)</f>
        <v/>
      </c>
      <c r="J3457" s="6" t="inlineStr">
        <is>
          <t>Derivado_da_Oferta</t>
        </is>
      </c>
      <c r="K3457" s="6" t="inlineStr">
        <is>
          <t>Mercado externo: limite superior calculado automaticamente pela soma da oferta do produto no período.</t>
        </is>
      </c>
    </row>
    <row r="3458">
      <c r="A3458" s="6" t="inlineStr">
        <is>
          <t>Soja</t>
        </is>
      </c>
      <c r="B3458" s="6" t="inlineStr">
        <is>
          <t>Paranaguá - PR</t>
        </is>
      </c>
      <c r="C3458" s="6" t="n">
        <v>-25.5161</v>
      </c>
      <c r="D3458" s="6" t="n">
        <v>-48.5225</v>
      </c>
      <c r="E3458" s="6" t="inlineStr">
        <is>
          <t>2024-01</t>
        </is>
      </c>
      <c r="F3458" s="6" t="n"/>
      <c r="G3458" s="6" t="inlineStr">
        <is>
          <t>EXPORTACAO</t>
        </is>
      </c>
      <c r="H3458" s="6" t="inlineStr">
        <is>
          <t>AUTO_OFERTA_TOTAL_PRODUTO_PERIODO</t>
        </is>
      </c>
      <c r="I3458" s="11">
        <f>IF($H3458="AUTO_OFERTA_TOTAL_PRODUTO_PERIODO",SUMIFS(Oferta!$F:$F,Oferta!$A:$A,$A3458,Oferta!$E:$E,$E3458),$F3458)</f>
        <v/>
      </c>
      <c r="J3458" s="6" t="inlineStr">
        <is>
          <t>Derivado_da_Oferta</t>
        </is>
      </c>
      <c r="K3458" s="6" t="inlineStr">
        <is>
          <t>Mercado externo: limite superior calculado automaticamente pela soma da oferta do produto no período.</t>
        </is>
      </c>
    </row>
    <row r="3459">
      <c r="A3459" s="6" t="inlineStr">
        <is>
          <t>Soja</t>
        </is>
      </c>
      <c r="B3459" s="6" t="inlineStr">
        <is>
          <t>Paranaguá - PR</t>
        </is>
      </c>
      <c r="C3459" s="6" t="n">
        <v>-25.5161</v>
      </c>
      <c r="D3459" s="6" t="n">
        <v>-48.5225</v>
      </c>
      <c r="E3459" s="6" t="inlineStr">
        <is>
          <t>2024-02</t>
        </is>
      </c>
      <c r="F3459" s="6" t="n"/>
      <c r="G3459" s="6" t="inlineStr">
        <is>
          <t>EXPORTACAO</t>
        </is>
      </c>
      <c r="H3459" s="6" t="inlineStr">
        <is>
          <t>AUTO_OFERTA_TOTAL_PRODUTO_PERIODO</t>
        </is>
      </c>
      <c r="I3459" s="11">
        <f>IF($H3459="AUTO_OFERTA_TOTAL_PRODUTO_PERIODO",SUMIFS(Oferta!$F:$F,Oferta!$A:$A,$A3459,Oferta!$E:$E,$E3459),$F3459)</f>
        <v/>
      </c>
      <c r="J3459" s="6" t="inlineStr">
        <is>
          <t>Derivado_da_Oferta</t>
        </is>
      </c>
      <c r="K3459" s="6" t="inlineStr">
        <is>
          <t>Mercado externo: limite superior calculado automaticamente pela soma da oferta do produto no período.</t>
        </is>
      </c>
    </row>
    <row r="3460">
      <c r="A3460" s="6" t="inlineStr">
        <is>
          <t>Soja</t>
        </is>
      </c>
      <c r="B3460" s="6" t="inlineStr">
        <is>
          <t>Paranaguá - PR</t>
        </is>
      </c>
      <c r="C3460" s="6" t="n">
        <v>-25.5161</v>
      </c>
      <c r="D3460" s="6" t="n">
        <v>-48.5225</v>
      </c>
      <c r="E3460" s="6" t="inlineStr">
        <is>
          <t>2024-03</t>
        </is>
      </c>
      <c r="F3460" s="6" t="n"/>
      <c r="G3460" s="6" t="inlineStr">
        <is>
          <t>EXPORTACAO</t>
        </is>
      </c>
      <c r="H3460" s="6" t="inlineStr">
        <is>
          <t>AUTO_OFERTA_TOTAL_PRODUTO_PERIODO</t>
        </is>
      </c>
      <c r="I3460" s="11">
        <f>IF($H3460="AUTO_OFERTA_TOTAL_PRODUTO_PERIODO",SUMIFS(Oferta!$F:$F,Oferta!$A:$A,$A3460,Oferta!$E:$E,$E3460),$F3460)</f>
        <v/>
      </c>
      <c r="J3460" s="6" t="inlineStr">
        <is>
          <t>Derivado_da_Oferta</t>
        </is>
      </c>
      <c r="K3460" s="6" t="inlineStr">
        <is>
          <t>Mercado externo: limite superior calculado automaticamente pela soma da oferta do produto no período.</t>
        </is>
      </c>
    </row>
    <row r="3461">
      <c r="A3461" s="6" t="inlineStr">
        <is>
          <t>Soja</t>
        </is>
      </c>
      <c r="B3461" s="6" t="inlineStr">
        <is>
          <t>Paranaguá - PR</t>
        </is>
      </c>
      <c r="C3461" s="6" t="n">
        <v>-25.5161</v>
      </c>
      <c r="D3461" s="6" t="n">
        <v>-48.5225</v>
      </c>
      <c r="E3461" s="6" t="inlineStr">
        <is>
          <t>2024-04</t>
        </is>
      </c>
      <c r="F3461" s="6" t="n"/>
      <c r="G3461" s="6" t="inlineStr">
        <is>
          <t>EXPORTACAO</t>
        </is>
      </c>
      <c r="H3461" s="6" t="inlineStr">
        <is>
          <t>AUTO_OFERTA_TOTAL_PRODUTO_PERIODO</t>
        </is>
      </c>
      <c r="I3461" s="11">
        <f>IF($H3461="AUTO_OFERTA_TOTAL_PRODUTO_PERIODO",SUMIFS(Oferta!$F:$F,Oferta!$A:$A,$A3461,Oferta!$E:$E,$E3461),$F3461)</f>
        <v/>
      </c>
      <c r="J3461" s="6" t="inlineStr">
        <is>
          <t>Derivado_da_Oferta</t>
        </is>
      </c>
      <c r="K3461" s="6" t="inlineStr">
        <is>
          <t>Mercado externo: limite superior calculado automaticamente pela soma da oferta do produto no período.</t>
        </is>
      </c>
    </row>
    <row r="3462">
      <c r="A3462" s="6" t="inlineStr">
        <is>
          <t>Soja</t>
        </is>
      </c>
      <c r="B3462" s="6" t="inlineStr">
        <is>
          <t>Paranaguá - PR</t>
        </is>
      </c>
      <c r="C3462" s="6" t="n">
        <v>-25.5161</v>
      </c>
      <c r="D3462" s="6" t="n">
        <v>-48.5225</v>
      </c>
      <c r="E3462" s="6" t="inlineStr">
        <is>
          <t>2024-05</t>
        </is>
      </c>
      <c r="F3462" s="6" t="n"/>
      <c r="G3462" s="6" t="inlineStr">
        <is>
          <t>EXPORTACAO</t>
        </is>
      </c>
      <c r="H3462" s="6" t="inlineStr">
        <is>
          <t>AUTO_OFERTA_TOTAL_PRODUTO_PERIODO</t>
        </is>
      </c>
      <c r="I3462" s="11">
        <f>IF($H3462="AUTO_OFERTA_TOTAL_PRODUTO_PERIODO",SUMIFS(Oferta!$F:$F,Oferta!$A:$A,$A3462,Oferta!$E:$E,$E3462),$F3462)</f>
        <v/>
      </c>
      <c r="J3462" s="6" t="inlineStr">
        <is>
          <t>Derivado_da_Oferta</t>
        </is>
      </c>
      <c r="K3462" s="6" t="inlineStr">
        <is>
          <t>Mercado externo: limite superior calculado automaticamente pela soma da oferta do produto no período.</t>
        </is>
      </c>
    </row>
    <row r="3463">
      <c r="A3463" s="6" t="inlineStr">
        <is>
          <t>Soja</t>
        </is>
      </c>
      <c r="B3463" s="6" t="inlineStr">
        <is>
          <t>Paranaguá - PR</t>
        </is>
      </c>
      <c r="C3463" s="6" t="n">
        <v>-25.5161</v>
      </c>
      <c r="D3463" s="6" t="n">
        <v>-48.5225</v>
      </c>
      <c r="E3463" s="6" t="inlineStr">
        <is>
          <t>2024-06</t>
        </is>
      </c>
      <c r="F3463" s="6" t="n"/>
      <c r="G3463" s="6" t="inlineStr">
        <is>
          <t>EXPORTACAO</t>
        </is>
      </c>
      <c r="H3463" s="6" t="inlineStr">
        <is>
          <t>AUTO_OFERTA_TOTAL_PRODUTO_PERIODO</t>
        </is>
      </c>
      <c r="I3463" s="11">
        <f>IF($H3463="AUTO_OFERTA_TOTAL_PRODUTO_PERIODO",SUMIFS(Oferta!$F:$F,Oferta!$A:$A,$A3463,Oferta!$E:$E,$E3463),$F3463)</f>
        <v/>
      </c>
      <c r="J3463" s="6" t="inlineStr">
        <is>
          <t>Derivado_da_Oferta</t>
        </is>
      </c>
      <c r="K3463" s="6" t="inlineStr">
        <is>
          <t>Mercado externo: limite superior calculado automaticamente pela soma da oferta do produto no período.</t>
        </is>
      </c>
    </row>
    <row r="3464">
      <c r="A3464" s="6" t="inlineStr">
        <is>
          <t>Soja</t>
        </is>
      </c>
      <c r="B3464" s="6" t="inlineStr">
        <is>
          <t>Paranaguá - PR</t>
        </is>
      </c>
      <c r="C3464" s="6" t="n">
        <v>-25.5161</v>
      </c>
      <c r="D3464" s="6" t="n">
        <v>-48.5225</v>
      </c>
      <c r="E3464" s="6" t="inlineStr">
        <is>
          <t>2024-07</t>
        </is>
      </c>
      <c r="F3464" s="6" t="n"/>
      <c r="G3464" s="6" t="inlineStr">
        <is>
          <t>EXPORTACAO</t>
        </is>
      </c>
      <c r="H3464" s="6" t="inlineStr">
        <is>
          <t>AUTO_OFERTA_TOTAL_PRODUTO_PERIODO</t>
        </is>
      </c>
      <c r="I3464" s="11">
        <f>IF($H3464="AUTO_OFERTA_TOTAL_PRODUTO_PERIODO",SUMIFS(Oferta!$F:$F,Oferta!$A:$A,$A3464,Oferta!$E:$E,$E3464),$F3464)</f>
        <v/>
      </c>
      <c r="J3464" s="6" t="inlineStr">
        <is>
          <t>Derivado_da_Oferta</t>
        </is>
      </c>
      <c r="K3464" s="6" t="inlineStr">
        <is>
          <t>Mercado externo: limite superior calculado automaticamente pela soma da oferta do produto no período.</t>
        </is>
      </c>
    </row>
    <row r="3465">
      <c r="A3465" s="6" t="inlineStr">
        <is>
          <t>Soja</t>
        </is>
      </c>
      <c r="B3465" s="6" t="inlineStr">
        <is>
          <t>Paranaguá - PR</t>
        </is>
      </c>
      <c r="C3465" s="6" t="n">
        <v>-25.5161</v>
      </c>
      <c r="D3465" s="6" t="n">
        <v>-48.5225</v>
      </c>
      <c r="E3465" s="6" t="inlineStr">
        <is>
          <t>2024-08</t>
        </is>
      </c>
      <c r="F3465" s="6" t="n"/>
      <c r="G3465" s="6" t="inlineStr">
        <is>
          <t>EXPORTACAO</t>
        </is>
      </c>
      <c r="H3465" s="6" t="inlineStr">
        <is>
          <t>AUTO_OFERTA_TOTAL_PRODUTO_PERIODO</t>
        </is>
      </c>
      <c r="I3465" s="11">
        <f>IF($H3465="AUTO_OFERTA_TOTAL_PRODUTO_PERIODO",SUMIFS(Oferta!$F:$F,Oferta!$A:$A,$A3465,Oferta!$E:$E,$E3465),$F3465)</f>
        <v/>
      </c>
      <c r="J3465" s="6" t="inlineStr">
        <is>
          <t>Derivado_da_Oferta</t>
        </is>
      </c>
      <c r="K3465" s="6" t="inlineStr">
        <is>
          <t>Mercado externo: limite superior calculado automaticamente pela soma da oferta do produto no período.</t>
        </is>
      </c>
    </row>
    <row r="3466">
      <c r="A3466" s="6" t="inlineStr">
        <is>
          <t>Soja</t>
        </is>
      </c>
      <c r="B3466" s="6" t="inlineStr">
        <is>
          <t>Paranaguá - PR</t>
        </is>
      </c>
      <c r="C3466" s="6" t="n">
        <v>-25.5161</v>
      </c>
      <c r="D3466" s="6" t="n">
        <v>-48.5225</v>
      </c>
      <c r="E3466" s="6" t="inlineStr">
        <is>
          <t>2024-09</t>
        </is>
      </c>
      <c r="F3466" s="6" t="n"/>
      <c r="G3466" s="6" t="inlineStr">
        <is>
          <t>EXPORTACAO</t>
        </is>
      </c>
      <c r="H3466" s="6" t="inlineStr">
        <is>
          <t>AUTO_OFERTA_TOTAL_PRODUTO_PERIODO</t>
        </is>
      </c>
      <c r="I3466" s="11">
        <f>IF($H3466="AUTO_OFERTA_TOTAL_PRODUTO_PERIODO",SUMIFS(Oferta!$F:$F,Oferta!$A:$A,$A3466,Oferta!$E:$E,$E3466),$F3466)</f>
        <v/>
      </c>
      <c r="J3466" s="6" t="inlineStr">
        <is>
          <t>Derivado_da_Oferta</t>
        </is>
      </c>
      <c r="K3466" s="6" t="inlineStr">
        <is>
          <t>Mercado externo: limite superior calculado automaticamente pela soma da oferta do produto no período.</t>
        </is>
      </c>
    </row>
    <row r="3467">
      <c r="A3467" s="6" t="inlineStr">
        <is>
          <t>Soja</t>
        </is>
      </c>
      <c r="B3467" s="6" t="inlineStr">
        <is>
          <t>Paranaguá - PR</t>
        </is>
      </c>
      <c r="C3467" s="6" t="n">
        <v>-25.5161</v>
      </c>
      <c r="D3467" s="6" t="n">
        <v>-48.5225</v>
      </c>
      <c r="E3467" s="6" t="inlineStr">
        <is>
          <t>2024-10</t>
        </is>
      </c>
      <c r="F3467" s="6" t="n"/>
      <c r="G3467" s="6" t="inlineStr">
        <is>
          <t>EXPORTACAO</t>
        </is>
      </c>
      <c r="H3467" s="6" t="inlineStr">
        <is>
          <t>AUTO_OFERTA_TOTAL_PRODUTO_PERIODO</t>
        </is>
      </c>
      <c r="I3467" s="11">
        <f>IF($H3467="AUTO_OFERTA_TOTAL_PRODUTO_PERIODO",SUMIFS(Oferta!$F:$F,Oferta!$A:$A,$A3467,Oferta!$E:$E,$E3467),$F3467)</f>
        <v/>
      </c>
      <c r="J3467" s="6" t="inlineStr">
        <is>
          <t>Derivado_da_Oferta</t>
        </is>
      </c>
      <c r="K3467" s="6" t="inlineStr">
        <is>
          <t>Mercado externo: limite superior calculado automaticamente pela soma da oferta do produto no período.</t>
        </is>
      </c>
    </row>
    <row r="3468">
      <c r="A3468" s="6" t="inlineStr">
        <is>
          <t>Soja</t>
        </is>
      </c>
      <c r="B3468" s="6" t="inlineStr">
        <is>
          <t>Paranaguá - PR</t>
        </is>
      </c>
      <c r="C3468" s="6" t="n">
        <v>-25.5161</v>
      </c>
      <c r="D3468" s="6" t="n">
        <v>-48.5225</v>
      </c>
      <c r="E3468" s="6" t="inlineStr">
        <is>
          <t>2024-11</t>
        </is>
      </c>
      <c r="F3468" s="6" t="n"/>
      <c r="G3468" s="6" t="inlineStr">
        <is>
          <t>EXPORTACAO</t>
        </is>
      </c>
      <c r="H3468" s="6" t="inlineStr">
        <is>
          <t>AUTO_OFERTA_TOTAL_PRODUTO_PERIODO</t>
        </is>
      </c>
      <c r="I3468" s="11">
        <f>IF($H3468="AUTO_OFERTA_TOTAL_PRODUTO_PERIODO",SUMIFS(Oferta!$F:$F,Oferta!$A:$A,$A3468,Oferta!$E:$E,$E3468),$F3468)</f>
        <v/>
      </c>
      <c r="J3468" s="6" t="inlineStr">
        <is>
          <t>Derivado_da_Oferta</t>
        </is>
      </c>
      <c r="K3468" s="6" t="inlineStr">
        <is>
          <t>Mercado externo: limite superior calculado automaticamente pela soma da oferta do produto no período.</t>
        </is>
      </c>
    </row>
    <row r="3469">
      <c r="A3469" s="6" t="inlineStr">
        <is>
          <t>Soja</t>
        </is>
      </c>
      <c r="B3469" s="6" t="inlineStr">
        <is>
          <t>Paranaguá - PR</t>
        </is>
      </c>
      <c r="C3469" s="6" t="n">
        <v>-25.5161</v>
      </c>
      <c r="D3469" s="6" t="n">
        <v>-48.5225</v>
      </c>
      <c r="E3469" s="6" t="inlineStr">
        <is>
          <t>2024-12</t>
        </is>
      </c>
      <c r="F3469" s="6" t="n"/>
      <c r="G3469" s="6" t="inlineStr">
        <is>
          <t>EXPORTACAO</t>
        </is>
      </c>
      <c r="H3469" s="6" t="inlineStr">
        <is>
          <t>AUTO_OFERTA_TOTAL_PRODUTO_PERIODO</t>
        </is>
      </c>
      <c r="I3469" s="11">
        <f>IF($H3469="AUTO_OFERTA_TOTAL_PRODUTO_PERIODO",SUMIFS(Oferta!$F:$F,Oferta!$A:$A,$A3469,Oferta!$E:$E,$E3469),$F3469)</f>
        <v/>
      </c>
      <c r="J3469" s="6" t="inlineStr">
        <is>
          <t>Derivado_da_Oferta</t>
        </is>
      </c>
      <c r="K3469" s="6" t="inlineStr">
        <is>
          <t>Mercado externo: limite superior calculado automaticamente pela soma da oferta do produto no período.</t>
        </is>
      </c>
    </row>
    <row r="3470">
      <c r="A3470" s="6" t="inlineStr">
        <is>
          <t>Soja</t>
        </is>
      </c>
      <c r="B3470" s="6" t="inlineStr">
        <is>
          <t>Paranaguá - PR</t>
        </is>
      </c>
      <c r="C3470" s="6" t="n">
        <v>-25.5161</v>
      </c>
      <c r="D3470" s="6" t="n">
        <v>-48.5225</v>
      </c>
      <c r="E3470" s="6" t="inlineStr">
        <is>
          <t>2025-01</t>
        </is>
      </c>
      <c r="F3470" s="6" t="n"/>
      <c r="G3470" s="6" t="inlineStr">
        <is>
          <t>EXPORTACAO</t>
        </is>
      </c>
      <c r="H3470" s="6" t="inlineStr">
        <is>
          <t>AUTO_OFERTA_TOTAL_PRODUTO_PERIODO</t>
        </is>
      </c>
      <c r="I3470" s="11">
        <f>IF($H3470="AUTO_OFERTA_TOTAL_PRODUTO_PERIODO",SUMIFS(Oferta!$F:$F,Oferta!$A:$A,$A3470,Oferta!$E:$E,$E3470),$F3470)</f>
        <v/>
      </c>
      <c r="J3470" s="6" t="inlineStr">
        <is>
          <t>Derivado_da_Oferta</t>
        </is>
      </c>
      <c r="K3470" s="6" t="inlineStr">
        <is>
          <t>Mercado externo: limite superior calculado automaticamente pela soma da oferta do produto no período.</t>
        </is>
      </c>
    </row>
    <row r="3471">
      <c r="A3471" s="6" t="inlineStr">
        <is>
          <t>Soja</t>
        </is>
      </c>
      <c r="B3471" s="6" t="inlineStr">
        <is>
          <t>Paranaguá - PR</t>
        </is>
      </c>
      <c r="C3471" s="6" t="n">
        <v>-25.5161</v>
      </c>
      <c r="D3471" s="6" t="n">
        <v>-48.5225</v>
      </c>
      <c r="E3471" s="6" t="inlineStr">
        <is>
          <t>2025-02</t>
        </is>
      </c>
      <c r="F3471" s="6" t="n"/>
      <c r="G3471" s="6" t="inlineStr">
        <is>
          <t>EXPORTACAO</t>
        </is>
      </c>
      <c r="H3471" s="6" t="inlineStr">
        <is>
          <t>AUTO_OFERTA_TOTAL_PRODUTO_PERIODO</t>
        </is>
      </c>
      <c r="I3471" s="11">
        <f>IF($H3471="AUTO_OFERTA_TOTAL_PRODUTO_PERIODO",SUMIFS(Oferta!$F:$F,Oferta!$A:$A,$A3471,Oferta!$E:$E,$E3471),$F3471)</f>
        <v/>
      </c>
      <c r="J3471" s="6" t="inlineStr">
        <is>
          <t>Derivado_da_Oferta</t>
        </is>
      </c>
      <c r="K3471" s="6" t="inlineStr">
        <is>
          <t>Mercado externo: limite superior calculado automaticamente pela soma da oferta do produto no período.</t>
        </is>
      </c>
    </row>
    <row r="3472">
      <c r="A3472" s="6" t="inlineStr">
        <is>
          <t>Soja</t>
        </is>
      </c>
      <c r="B3472" s="6" t="inlineStr">
        <is>
          <t>Paranaguá - PR</t>
        </is>
      </c>
      <c r="C3472" s="6" t="n">
        <v>-25.5161</v>
      </c>
      <c r="D3472" s="6" t="n">
        <v>-48.5225</v>
      </c>
      <c r="E3472" s="6" t="inlineStr">
        <is>
          <t>2025-03</t>
        </is>
      </c>
      <c r="F3472" s="6" t="n"/>
      <c r="G3472" s="6" t="inlineStr">
        <is>
          <t>EXPORTACAO</t>
        </is>
      </c>
      <c r="H3472" s="6" t="inlineStr">
        <is>
          <t>AUTO_OFERTA_TOTAL_PRODUTO_PERIODO</t>
        </is>
      </c>
      <c r="I3472" s="11">
        <f>IF($H3472="AUTO_OFERTA_TOTAL_PRODUTO_PERIODO",SUMIFS(Oferta!$F:$F,Oferta!$A:$A,$A3472,Oferta!$E:$E,$E3472),$F3472)</f>
        <v/>
      </c>
      <c r="J3472" s="6" t="inlineStr">
        <is>
          <t>Derivado_da_Oferta</t>
        </is>
      </c>
      <c r="K3472" s="6" t="inlineStr">
        <is>
          <t>Mercado externo: limite superior calculado automaticamente pela soma da oferta do produto no período.</t>
        </is>
      </c>
    </row>
    <row r="3473">
      <c r="A3473" s="6" t="inlineStr">
        <is>
          <t>Soja</t>
        </is>
      </c>
      <c r="B3473" s="6" t="inlineStr">
        <is>
          <t>Paranaguá - PR</t>
        </is>
      </c>
      <c r="C3473" s="6" t="n">
        <v>-25.5161</v>
      </c>
      <c r="D3473" s="6" t="n">
        <v>-48.5225</v>
      </c>
      <c r="E3473" s="6" t="inlineStr">
        <is>
          <t>2025-04</t>
        </is>
      </c>
      <c r="F3473" s="6" t="n"/>
      <c r="G3473" s="6" t="inlineStr">
        <is>
          <t>EXPORTACAO</t>
        </is>
      </c>
      <c r="H3473" s="6" t="inlineStr">
        <is>
          <t>AUTO_OFERTA_TOTAL_PRODUTO_PERIODO</t>
        </is>
      </c>
      <c r="I3473" s="11">
        <f>IF($H3473="AUTO_OFERTA_TOTAL_PRODUTO_PERIODO",SUMIFS(Oferta!$F:$F,Oferta!$A:$A,$A3473,Oferta!$E:$E,$E3473),$F3473)</f>
        <v/>
      </c>
      <c r="J3473" s="6" t="inlineStr">
        <is>
          <t>Derivado_da_Oferta</t>
        </is>
      </c>
      <c r="K3473" s="6" t="inlineStr">
        <is>
          <t>Mercado externo: limite superior calculado automaticamente pela soma da oferta do produto no período.</t>
        </is>
      </c>
    </row>
    <row r="3474">
      <c r="A3474" s="6" t="inlineStr">
        <is>
          <t>Soja</t>
        </is>
      </c>
      <c r="B3474" s="6" t="inlineStr">
        <is>
          <t>Paranaguá - PR</t>
        </is>
      </c>
      <c r="C3474" s="6" t="n">
        <v>-25.5161</v>
      </c>
      <c r="D3474" s="6" t="n">
        <v>-48.5225</v>
      </c>
      <c r="E3474" s="6" t="inlineStr">
        <is>
          <t>2025-05</t>
        </is>
      </c>
      <c r="F3474" s="6" t="n"/>
      <c r="G3474" s="6" t="inlineStr">
        <is>
          <t>EXPORTACAO</t>
        </is>
      </c>
      <c r="H3474" s="6" t="inlineStr">
        <is>
          <t>AUTO_OFERTA_TOTAL_PRODUTO_PERIODO</t>
        </is>
      </c>
      <c r="I3474" s="11">
        <f>IF($H3474="AUTO_OFERTA_TOTAL_PRODUTO_PERIODO",SUMIFS(Oferta!$F:$F,Oferta!$A:$A,$A3474,Oferta!$E:$E,$E3474),$F3474)</f>
        <v/>
      </c>
      <c r="J3474" s="6" t="inlineStr">
        <is>
          <t>Derivado_da_Oferta</t>
        </is>
      </c>
      <c r="K3474" s="6" t="inlineStr">
        <is>
          <t>Mercado externo: limite superior calculado automaticamente pela soma da oferta do produto no período.</t>
        </is>
      </c>
    </row>
    <row r="3475">
      <c r="A3475" s="6" t="inlineStr">
        <is>
          <t>Soja</t>
        </is>
      </c>
      <c r="B3475" s="6" t="inlineStr">
        <is>
          <t>Paranaguá - PR</t>
        </is>
      </c>
      <c r="C3475" s="6" t="n">
        <v>-25.5161</v>
      </c>
      <c r="D3475" s="6" t="n">
        <v>-48.5225</v>
      </c>
      <c r="E3475" s="6" t="inlineStr">
        <is>
          <t>2025-06</t>
        </is>
      </c>
      <c r="F3475" s="6" t="n"/>
      <c r="G3475" s="6" t="inlineStr">
        <is>
          <t>EXPORTACAO</t>
        </is>
      </c>
      <c r="H3475" s="6" t="inlineStr">
        <is>
          <t>AUTO_OFERTA_TOTAL_PRODUTO_PERIODO</t>
        </is>
      </c>
      <c r="I3475" s="11">
        <f>IF($H3475="AUTO_OFERTA_TOTAL_PRODUTO_PERIODO",SUMIFS(Oferta!$F:$F,Oferta!$A:$A,$A3475,Oferta!$E:$E,$E3475),$F3475)</f>
        <v/>
      </c>
      <c r="J3475" s="6" t="inlineStr">
        <is>
          <t>Derivado_da_Oferta</t>
        </is>
      </c>
      <c r="K3475" s="6" t="inlineStr">
        <is>
          <t>Mercado externo: limite superior calculado automaticamente pela soma da oferta do produto no período.</t>
        </is>
      </c>
    </row>
    <row r="3476">
      <c r="A3476" s="6" t="inlineStr">
        <is>
          <t>Soja</t>
        </is>
      </c>
      <c r="B3476" s="6" t="inlineStr">
        <is>
          <t>Paranaguá - PR</t>
        </is>
      </c>
      <c r="C3476" s="6" t="n">
        <v>-25.5161</v>
      </c>
      <c r="D3476" s="6" t="n">
        <v>-48.5225</v>
      </c>
      <c r="E3476" s="6" t="inlineStr">
        <is>
          <t>2025-07</t>
        </is>
      </c>
      <c r="F3476" s="6" t="n"/>
      <c r="G3476" s="6" t="inlineStr">
        <is>
          <t>EXPORTACAO</t>
        </is>
      </c>
      <c r="H3476" s="6" t="inlineStr">
        <is>
          <t>AUTO_OFERTA_TOTAL_PRODUTO_PERIODO</t>
        </is>
      </c>
      <c r="I3476" s="11">
        <f>IF($H3476="AUTO_OFERTA_TOTAL_PRODUTO_PERIODO",SUMIFS(Oferta!$F:$F,Oferta!$A:$A,$A3476,Oferta!$E:$E,$E3476),$F3476)</f>
        <v/>
      </c>
      <c r="J3476" s="6" t="inlineStr">
        <is>
          <t>Derivado_da_Oferta</t>
        </is>
      </c>
      <c r="K3476" s="6" t="inlineStr">
        <is>
          <t>Mercado externo: limite superior calculado automaticamente pela soma da oferta do produto no período.</t>
        </is>
      </c>
    </row>
    <row r="3477">
      <c r="A3477" s="6" t="inlineStr">
        <is>
          <t>Soja</t>
        </is>
      </c>
      <c r="B3477" s="6" t="inlineStr">
        <is>
          <t>Paranaguá - PR</t>
        </is>
      </c>
      <c r="C3477" s="6" t="n">
        <v>-25.5161</v>
      </c>
      <c r="D3477" s="6" t="n">
        <v>-48.5225</v>
      </c>
      <c r="E3477" s="6" t="inlineStr">
        <is>
          <t>2025-08</t>
        </is>
      </c>
      <c r="F3477" s="6" t="n"/>
      <c r="G3477" s="6" t="inlineStr">
        <is>
          <t>EXPORTACAO</t>
        </is>
      </c>
      <c r="H3477" s="6" t="inlineStr">
        <is>
          <t>AUTO_OFERTA_TOTAL_PRODUTO_PERIODO</t>
        </is>
      </c>
      <c r="I3477" s="11">
        <f>IF($H3477="AUTO_OFERTA_TOTAL_PRODUTO_PERIODO",SUMIFS(Oferta!$F:$F,Oferta!$A:$A,$A3477,Oferta!$E:$E,$E3477),$F3477)</f>
        <v/>
      </c>
      <c r="J3477" s="6" t="inlineStr">
        <is>
          <t>Derivado_da_Oferta</t>
        </is>
      </c>
      <c r="K3477" s="6" t="inlineStr">
        <is>
          <t>Mercado externo: limite superior calculado automaticamente pela soma da oferta do produto no período.</t>
        </is>
      </c>
    </row>
    <row r="3478">
      <c r="A3478" s="6" t="inlineStr">
        <is>
          <t>Soja</t>
        </is>
      </c>
      <c r="B3478" s="6" t="inlineStr">
        <is>
          <t>Paranaguá - PR</t>
        </is>
      </c>
      <c r="C3478" s="6" t="n">
        <v>-25.5161</v>
      </c>
      <c r="D3478" s="6" t="n">
        <v>-48.5225</v>
      </c>
      <c r="E3478" s="6" t="inlineStr">
        <is>
          <t>2025-09</t>
        </is>
      </c>
      <c r="F3478" s="6" t="n"/>
      <c r="G3478" s="6" t="inlineStr">
        <is>
          <t>EXPORTACAO</t>
        </is>
      </c>
      <c r="H3478" s="6" t="inlineStr">
        <is>
          <t>AUTO_OFERTA_TOTAL_PRODUTO_PERIODO</t>
        </is>
      </c>
      <c r="I3478" s="11">
        <f>IF($H3478="AUTO_OFERTA_TOTAL_PRODUTO_PERIODO",SUMIFS(Oferta!$F:$F,Oferta!$A:$A,$A3478,Oferta!$E:$E,$E3478),$F3478)</f>
        <v/>
      </c>
      <c r="J3478" s="6" t="inlineStr">
        <is>
          <t>Derivado_da_Oferta</t>
        </is>
      </c>
      <c r="K3478" s="6" t="inlineStr">
        <is>
          <t>Mercado externo: limite superior calculado automaticamente pela soma da oferta do produto no período.</t>
        </is>
      </c>
    </row>
    <row r="3479">
      <c r="A3479" s="6" t="inlineStr">
        <is>
          <t>Soja</t>
        </is>
      </c>
      <c r="B3479" s="6" t="inlineStr">
        <is>
          <t>Paranaguá - PR</t>
        </is>
      </c>
      <c r="C3479" s="6" t="n">
        <v>-25.5161</v>
      </c>
      <c r="D3479" s="6" t="n">
        <v>-48.5225</v>
      </c>
      <c r="E3479" s="6" t="inlineStr">
        <is>
          <t>2025-10</t>
        </is>
      </c>
      <c r="F3479" s="6" t="n"/>
      <c r="G3479" s="6" t="inlineStr">
        <is>
          <t>EXPORTACAO</t>
        </is>
      </c>
      <c r="H3479" s="6" t="inlineStr">
        <is>
          <t>AUTO_OFERTA_TOTAL_PRODUTO_PERIODO</t>
        </is>
      </c>
      <c r="I3479" s="11">
        <f>IF($H3479="AUTO_OFERTA_TOTAL_PRODUTO_PERIODO",SUMIFS(Oferta!$F:$F,Oferta!$A:$A,$A3479,Oferta!$E:$E,$E3479),$F3479)</f>
        <v/>
      </c>
      <c r="J3479" s="6" t="inlineStr">
        <is>
          <t>Derivado_da_Oferta</t>
        </is>
      </c>
      <c r="K3479" s="6" t="inlineStr">
        <is>
          <t>Mercado externo: limite superior calculado automaticamente pela soma da oferta do produto no período.</t>
        </is>
      </c>
    </row>
    <row r="3480">
      <c r="A3480" s="6" t="inlineStr">
        <is>
          <t>Soja</t>
        </is>
      </c>
      <c r="B3480" s="6" t="inlineStr">
        <is>
          <t>Paranaguá - PR</t>
        </is>
      </c>
      <c r="C3480" s="6" t="n">
        <v>-25.5161</v>
      </c>
      <c r="D3480" s="6" t="n">
        <v>-48.5225</v>
      </c>
      <c r="E3480" s="6" t="inlineStr">
        <is>
          <t>2025-11</t>
        </is>
      </c>
      <c r="F3480" s="6" t="n"/>
      <c r="G3480" s="6" t="inlineStr">
        <is>
          <t>EXPORTACAO</t>
        </is>
      </c>
      <c r="H3480" s="6" t="inlineStr">
        <is>
          <t>AUTO_OFERTA_TOTAL_PRODUTO_PERIODO</t>
        </is>
      </c>
      <c r="I3480" s="11">
        <f>IF($H3480="AUTO_OFERTA_TOTAL_PRODUTO_PERIODO",SUMIFS(Oferta!$F:$F,Oferta!$A:$A,$A3480,Oferta!$E:$E,$E3480),$F3480)</f>
        <v/>
      </c>
      <c r="J3480" s="6" t="inlineStr">
        <is>
          <t>Derivado_da_Oferta</t>
        </is>
      </c>
      <c r="K3480" s="6" t="inlineStr">
        <is>
          <t>Mercado externo: limite superior calculado automaticamente pela soma da oferta do produto no período.</t>
        </is>
      </c>
    </row>
    <row r="3481">
      <c r="A3481" s="6" t="inlineStr">
        <is>
          <t>Soja</t>
        </is>
      </c>
      <c r="B3481" s="6" t="inlineStr">
        <is>
          <t>Paranaguá - PR</t>
        </is>
      </c>
      <c r="C3481" s="6" t="n">
        <v>-25.5161</v>
      </c>
      <c r="D3481" s="6" t="n">
        <v>-48.5225</v>
      </c>
      <c r="E3481" s="6" t="inlineStr">
        <is>
          <t>2025-12</t>
        </is>
      </c>
      <c r="F3481" s="6" t="n"/>
      <c r="G3481" s="6" t="inlineStr">
        <is>
          <t>EXPORTACAO</t>
        </is>
      </c>
      <c r="H3481" s="6" t="inlineStr">
        <is>
          <t>AUTO_OFERTA_TOTAL_PRODUTO_PERIODO</t>
        </is>
      </c>
      <c r="I3481" s="11">
        <f>IF($H3481="AUTO_OFERTA_TOTAL_PRODUTO_PERIODO",SUMIFS(Oferta!$F:$F,Oferta!$A:$A,$A3481,Oferta!$E:$E,$E3481),$F3481)</f>
        <v/>
      </c>
      <c r="J3481" s="6" t="inlineStr">
        <is>
          <t>Derivado_da_Oferta</t>
        </is>
      </c>
      <c r="K3481" s="6" t="inlineStr">
        <is>
          <t>Mercado externo: limite superior calculado automaticamente pela soma da oferta do produto no período.</t>
        </is>
      </c>
    </row>
    <row r="3482">
      <c r="A3482" s="6" t="inlineStr">
        <is>
          <t>Milho</t>
        </is>
      </c>
      <c r="B3482" s="6" t="inlineStr">
        <is>
          <t>São Luís - MA</t>
        </is>
      </c>
      <c r="C3482" s="6" t="n">
        <v>-2.53874</v>
      </c>
      <c r="D3482" s="6" t="n">
        <v>-44.2825</v>
      </c>
      <c r="E3482" s="6" t="inlineStr">
        <is>
          <t>2021-01</t>
        </is>
      </c>
      <c r="F3482" s="6" t="n"/>
      <c r="G3482" s="6" t="inlineStr">
        <is>
          <t>EXPORTACAO</t>
        </is>
      </c>
      <c r="H3482" s="6" t="inlineStr">
        <is>
          <t>AUTO_OFERTA_TOTAL_PRODUTO_PERIODO</t>
        </is>
      </c>
      <c r="I3482" s="11">
        <f>IF($H3482="AUTO_OFERTA_TOTAL_PRODUTO_PERIODO",SUMIFS(Oferta!$F:$F,Oferta!$A:$A,$A3482,Oferta!$E:$E,$E3482),$F3482)</f>
        <v/>
      </c>
      <c r="J3482" s="6" t="inlineStr">
        <is>
          <t>Derivado_da_Oferta</t>
        </is>
      </c>
      <c r="K3482" s="6" t="inlineStr">
        <is>
          <t>Mercado externo: limite superior calculado automaticamente pela soma da oferta do produto no período.</t>
        </is>
      </c>
    </row>
    <row r="3483">
      <c r="A3483" s="6" t="inlineStr">
        <is>
          <t>Milho</t>
        </is>
      </c>
      <c r="B3483" s="6" t="inlineStr">
        <is>
          <t>São Luís - MA</t>
        </is>
      </c>
      <c r="C3483" s="6" t="n">
        <v>-2.53874</v>
      </c>
      <c r="D3483" s="6" t="n">
        <v>-44.2825</v>
      </c>
      <c r="E3483" s="6" t="inlineStr">
        <is>
          <t>2021-02</t>
        </is>
      </c>
      <c r="F3483" s="6" t="n"/>
      <c r="G3483" s="6" t="inlineStr">
        <is>
          <t>EXPORTACAO</t>
        </is>
      </c>
      <c r="H3483" s="6" t="inlineStr">
        <is>
          <t>AUTO_OFERTA_TOTAL_PRODUTO_PERIODO</t>
        </is>
      </c>
      <c r="I3483" s="11">
        <f>IF($H3483="AUTO_OFERTA_TOTAL_PRODUTO_PERIODO",SUMIFS(Oferta!$F:$F,Oferta!$A:$A,$A3483,Oferta!$E:$E,$E3483),$F3483)</f>
        <v/>
      </c>
      <c r="J3483" s="6" t="inlineStr">
        <is>
          <t>Derivado_da_Oferta</t>
        </is>
      </c>
      <c r="K3483" s="6" t="inlineStr">
        <is>
          <t>Mercado externo: limite superior calculado automaticamente pela soma da oferta do produto no período.</t>
        </is>
      </c>
    </row>
    <row r="3484">
      <c r="A3484" s="6" t="inlineStr">
        <is>
          <t>Milho</t>
        </is>
      </c>
      <c r="B3484" s="6" t="inlineStr">
        <is>
          <t>São Luís - MA</t>
        </is>
      </c>
      <c r="C3484" s="6" t="n">
        <v>-2.53874</v>
      </c>
      <c r="D3484" s="6" t="n">
        <v>-44.2825</v>
      </c>
      <c r="E3484" s="6" t="inlineStr">
        <is>
          <t>2021-03</t>
        </is>
      </c>
      <c r="F3484" s="6" t="n"/>
      <c r="G3484" s="6" t="inlineStr">
        <is>
          <t>EXPORTACAO</t>
        </is>
      </c>
      <c r="H3484" s="6" t="inlineStr">
        <is>
          <t>AUTO_OFERTA_TOTAL_PRODUTO_PERIODO</t>
        </is>
      </c>
      <c r="I3484" s="11">
        <f>IF($H3484="AUTO_OFERTA_TOTAL_PRODUTO_PERIODO",SUMIFS(Oferta!$F:$F,Oferta!$A:$A,$A3484,Oferta!$E:$E,$E3484),$F3484)</f>
        <v/>
      </c>
      <c r="J3484" s="6" t="inlineStr">
        <is>
          <t>Derivado_da_Oferta</t>
        </is>
      </c>
      <c r="K3484" s="6" t="inlineStr">
        <is>
          <t>Mercado externo: limite superior calculado automaticamente pela soma da oferta do produto no período.</t>
        </is>
      </c>
    </row>
    <row r="3485">
      <c r="A3485" s="6" t="inlineStr">
        <is>
          <t>Milho</t>
        </is>
      </c>
      <c r="B3485" s="6" t="inlineStr">
        <is>
          <t>São Luís - MA</t>
        </is>
      </c>
      <c r="C3485" s="6" t="n">
        <v>-2.53874</v>
      </c>
      <c r="D3485" s="6" t="n">
        <v>-44.2825</v>
      </c>
      <c r="E3485" s="6" t="inlineStr">
        <is>
          <t>2021-04</t>
        </is>
      </c>
      <c r="F3485" s="6" t="n"/>
      <c r="G3485" s="6" t="inlineStr">
        <is>
          <t>EXPORTACAO</t>
        </is>
      </c>
      <c r="H3485" s="6" t="inlineStr">
        <is>
          <t>AUTO_OFERTA_TOTAL_PRODUTO_PERIODO</t>
        </is>
      </c>
      <c r="I3485" s="11">
        <f>IF($H3485="AUTO_OFERTA_TOTAL_PRODUTO_PERIODO",SUMIFS(Oferta!$F:$F,Oferta!$A:$A,$A3485,Oferta!$E:$E,$E3485),$F3485)</f>
        <v/>
      </c>
      <c r="J3485" s="6" t="inlineStr">
        <is>
          <t>Derivado_da_Oferta</t>
        </is>
      </c>
      <c r="K3485" s="6" t="inlineStr">
        <is>
          <t>Mercado externo: limite superior calculado automaticamente pela soma da oferta do produto no período.</t>
        </is>
      </c>
    </row>
    <row r="3486">
      <c r="A3486" s="6" t="inlineStr">
        <is>
          <t>Milho</t>
        </is>
      </c>
      <c r="B3486" s="6" t="inlineStr">
        <is>
          <t>São Luís - MA</t>
        </is>
      </c>
      <c r="C3486" s="6" t="n">
        <v>-2.53874</v>
      </c>
      <c r="D3486" s="6" t="n">
        <v>-44.2825</v>
      </c>
      <c r="E3486" s="6" t="inlineStr">
        <is>
          <t>2021-05</t>
        </is>
      </c>
      <c r="F3486" s="6" t="n"/>
      <c r="G3486" s="6" t="inlineStr">
        <is>
          <t>EXPORTACAO</t>
        </is>
      </c>
      <c r="H3486" s="6" t="inlineStr">
        <is>
          <t>AUTO_OFERTA_TOTAL_PRODUTO_PERIODO</t>
        </is>
      </c>
      <c r="I3486" s="11">
        <f>IF($H3486="AUTO_OFERTA_TOTAL_PRODUTO_PERIODO",SUMIFS(Oferta!$F:$F,Oferta!$A:$A,$A3486,Oferta!$E:$E,$E3486),$F3486)</f>
        <v/>
      </c>
      <c r="J3486" s="6" t="inlineStr">
        <is>
          <t>Derivado_da_Oferta</t>
        </is>
      </c>
      <c r="K3486" s="6" t="inlineStr">
        <is>
          <t>Mercado externo: limite superior calculado automaticamente pela soma da oferta do produto no período.</t>
        </is>
      </c>
    </row>
    <row r="3487">
      <c r="A3487" s="6" t="inlineStr">
        <is>
          <t>Milho</t>
        </is>
      </c>
      <c r="B3487" s="6" t="inlineStr">
        <is>
          <t>São Luís - MA</t>
        </is>
      </c>
      <c r="C3487" s="6" t="n">
        <v>-2.53874</v>
      </c>
      <c r="D3487" s="6" t="n">
        <v>-44.2825</v>
      </c>
      <c r="E3487" s="6" t="inlineStr">
        <is>
          <t>2021-06</t>
        </is>
      </c>
      <c r="F3487" s="6" t="n"/>
      <c r="G3487" s="6" t="inlineStr">
        <is>
          <t>EXPORTACAO</t>
        </is>
      </c>
      <c r="H3487" s="6" t="inlineStr">
        <is>
          <t>AUTO_OFERTA_TOTAL_PRODUTO_PERIODO</t>
        </is>
      </c>
      <c r="I3487" s="11">
        <f>IF($H3487="AUTO_OFERTA_TOTAL_PRODUTO_PERIODO",SUMIFS(Oferta!$F:$F,Oferta!$A:$A,$A3487,Oferta!$E:$E,$E3487),$F3487)</f>
        <v/>
      </c>
      <c r="J3487" s="6" t="inlineStr">
        <is>
          <t>Derivado_da_Oferta</t>
        </is>
      </c>
      <c r="K3487" s="6" t="inlineStr">
        <is>
          <t>Mercado externo: limite superior calculado automaticamente pela soma da oferta do produto no período.</t>
        </is>
      </c>
    </row>
    <row r="3488">
      <c r="A3488" s="6" t="inlineStr">
        <is>
          <t>Milho</t>
        </is>
      </c>
      <c r="B3488" s="6" t="inlineStr">
        <is>
          <t>São Luís - MA</t>
        </is>
      </c>
      <c r="C3488" s="6" t="n">
        <v>-2.53874</v>
      </c>
      <c r="D3488" s="6" t="n">
        <v>-44.2825</v>
      </c>
      <c r="E3488" s="6" t="inlineStr">
        <is>
          <t>2021-07</t>
        </is>
      </c>
      <c r="F3488" s="6" t="n"/>
      <c r="G3488" s="6" t="inlineStr">
        <is>
          <t>EXPORTACAO</t>
        </is>
      </c>
      <c r="H3488" s="6" t="inlineStr">
        <is>
          <t>AUTO_OFERTA_TOTAL_PRODUTO_PERIODO</t>
        </is>
      </c>
      <c r="I3488" s="11">
        <f>IF($H3488="AUTO_OFERTA_TOTAL_PRODUTO_PERIODO",SUMIFS(Oferta!$F:$F,Oferta!$A:$A,$A3488,Oferta!$E:$E,$E3488),$F3488)</f>
        <v/>
      </c>
      <c r="J3488" s="6" t="inlineStr">
        <is>
          <t>Derivado_da_Oferta</t>
        </is>
      </c>
      <c r="K3488" s="6" t="inlineStr">
        <is>
          <t>Mercado externo: limite superior calculado automaticamente pela soma da oferta do produto no período.</t>
        </is>
      </c>
    </row>
    <row r="3489">
      <c r="A3489" s="6" t="inlineStr">
        <is>
          <t>Milho</t>
        </is>
      </c>
      <c r="B3489" s="6" t="inlineStr">
        <is>
          <t>São Luís - MA</t>
        </is>
      </c>
      <c r="C3489" s="6" t="n">
        <v>-2.53874</v>
      </c>
      <c r="D3489" s="6" t="n">
        <v>-44.2825</v>
      </c>
      <c r="E3489" s="6" t="inlineStr">
        <is>
          <t>2021-08</t>
        </is>
      </c>
      <c r="F3489" s="6" t="n"/>
      <c r="G3489" s="6" t="inlineStr">
        <is>
          <t>EXPORTACAO</t>
        </is>
      </c>
      <c r="H3489" s="6" t="inlineStr">
        <is>
          <t>AUTO_OFERTA_TOTAL_PRODUTO_PERIODO</t>
        </is>
      </c>
      <c r="I3489" s="11">
        <f>IF($H3489="AUTO_OFERTA_TOTAL_PRODUTO_PERIODO",SUMIFS(Oferta!$F:$F,Oferta!$A:$A,$A3489,Oferta!$E:$E,$E3489),$F3489)</f>
        <v/>
      </c>
      <c r="J3489" s="6" t="inlineStr">
        <is>
          <t>Derivado_da_Oferta</t>
        </is>
      </c>
      <c r="K3489" s="6" t="inlineStr">
        <is>
          <t>Mercado externo: limite superior calculado automaticamente pela soma da oferta do produto no período.</t>
        </is>
      </c>
    </row>
    <row r="3490">
      <c r="A3490" s="6" t="inlineStr">
        <is>
          <t>Milho</t>
        </is>
      </c>
      <c r="B3490" s="6" t="inlineStr">
        <is>
          <t>São Luís - MA</t>
        </is>
      </c>
      <c r="C3490" s="6" t="n">
        <v>-2.53874</v>
      </c>
      <c r="D3490" s="6" t="n">
        <v>-44.2825</v>
      </c>
      <c r="E3490" s="6" t="inlineStr">
        <is>
          <t>2021-09</t>
        </is>
      </c>
      <c r="F3490" s="6" t="n"/>
      <c r="G3490" s="6" t="inlineStr">
        <is>
          <t>EXPORTACAO</t>
        </is>
      </c>
      <c r="H3490" s="6" t="inlineStr">
        <is>
          <t>AUTO_OFERTA_TOTAL_PRODUTO_PERIODO</t>
        </is>
      </c>
      <c r="I3490" s="11">
        <f>IF($H3490="AUTO_OFERTA_TOTAL_PRODUTO_PERIODO",SUMIFS(Oferta!$F:$F,Oferta!$A:$A,$A3490,Oferta!$E:$E,$E3490),$F3490)</f>
        <v/>
      </c>
      <c r="J3490" s="6" t="inlineStr">
        <is>
          <t>Derivado_da_Oferta</t>
        </is>
      </c>
      <c r="K3490" s="6" t="inlineStr">
        <is>
          <t>Mercado externo: limite superior calculado automaticamente pela soma da oferta do produto no período.</t>
        </is>
      </c>
    </row>
    <row r="3491">
      <c r="A3491" s="6" t="inlineStr">
        <is>
          <t>Milho</t>
        </is>
      </c>
      <c r="B3491" s="6" t="inlineStr">
        <is>
          <t>São Luís - MA</t>
        </is>
      </c>
      <c r="C3491" s="6" t="n">
        <v>-2.53874</v>
      </c>
      <c r="D3491" s="6" t="n">
        <v>-44.2825</v>
      </c>
      <c r="E3491" s="6" t="inlineStr">
        <is>
          <t>2021-10</t>
        </is>
      </c>
      <c r="F3491" s="6" t="n"/>
      <c r="G3491" s="6" t="inlineStr">
        <is>
          <t>EXPORTACAO</t>
        </is>
      </c>
      <c r="H3491" s="6" t="inlineStr">
        <is>
          <t>AUTO_OFERTA_TOTAL_PRODUTO_PERIODO</t>
        </is>
      </c>
      <c r="I3491" s="11">
        <f>IF($H3491="AUTO_OFERTA_TOTAL_PRODUTO_PERIODO",SUMIFS(Oferta!$F:$F,Oferta!$A:$A,$A3491,Oferta!$E:$E,$E3491),$F3491)</f>
        <v/>
      </c>
      <c r="J3491" s="6" t="inlineStr">
        <is>
          <t>Derivado_da_Oferta</t>
        </is>
      </c>
      <c r="K3491" s="6" t="inlineStr">
        <is>
          <t>Mercado externo: limite superior calculado automaticamente pela soma da oferta do produto no período.</t>
        </is>
      </c>
    </row>
    <row r="3492">
      <c r="A3492" s="6" t="inlineStr">
        <is>
          <t>Milho</t>
        </is>
      </c>
      <c r="B3492" s="6" t="inlineStr">
        <is>
          <t>São Luís - MA</t>
        </is>
      </c>
      <c r="C3492" s="6" t="n">
        <v>-2.53874</v>
      </c>
      <c r="D3492" s="6" t="n">
        <v>-44.2825</v>
      </c>
      <c r="E3492" s="6" t="inlineStr">
        <is>
          <t>2021-11</t>
        </is>
      </c>
      <c r="F3492" s="6" t="n"/>
      <c r="G3492" s="6" t="inlineStr">
        <is>
          <t>EXPORTACAO</t>
        </is>
      </c>
      <c r="H3492" s="6" t="inlineStr">
        <is>
          <t>AUTO_OFERTA_TOTAL_PRODUTO_PERIODO</t>
        </is>
      </c>
      <c r="I3492" s="11">
        <f>IF($H3492="AUTO_OFERTA_TOTAL_PRODUTO_PERIODO",SUMIFS(Oferta!$F:$F,Oferta!$A:$A,$A3492,Oferta!$E:$E,$E3492),$F3492)</f>
        <v/>
      </c>
      <c r="J3492" s="6" t="inlineStr">
        <is>
          <t>Derivado_da_Oferta</t>
        </is>
      </c>
      <c r="K3492" s="6" t="inlineStr">
        <is>
          <t>Mercado externo: limite superior calculado automaticamente pela soma da oferta do produto no período.</t>
        </is>
      </c>
    </row>
    <row r="3493">
      <c r="A3493" s="6" t="inlineStr">
        <is>
          <t>Milho</t>
        </is>
      </c>
      <c r="B3493" s="6" t="inlineStr">
        <is>
          <t>São Luís - MA</t>
        </is>
      </c>
      <c r="C3493" s="6" t="n">
        <v>-2.53874</v>
      </c>
      <c r="D3493" s="6" t="n">
        <v>-44.2825</v>
      </c>
      <c r="E3493" s="6" t="inlineStr">
        <is>
          <t>2021-12</t>
        </is>
      </c>
      <c r="F3493" s="6" t="n"/>
      <c r="G3493" s="6" t="inlineStr">
        <is>
          <t>EXPORTACAO</t>
        </is>
      </c>
      <c r="H3493" s="6" t="inlineStr">
        <is>
          <t>AUTO_OFERTA_TOTAL_PRODUTO_PERIODO</t>
        </is>
      </c>
      <c r="I3493" s="11">
        <f>IF($H3493="AUTO_OFERTA_TOTAL_PRODUTO_PERIODO",SUMIFS(Oferta!$F:$F,Oferta!$A:$A,$A3493,Oferta!$E:$E,$E3493),$F3493)</f>
        <v/>
      </c>
      <c r="J3493" s="6" t="inlineStr">
        <is>
          <t>Derivado_da_Oferta</t>
        </is>
      </c>
      <c r="K3493" s="6" t="inlineStr">
        <is>
          <t>Mercado externo: limite superior calculado automaticamente pela soma da oferta do produto no período.</t>
        </is>
      </c>
    </row>
    <row r="3494">
      <c r="A3494" s="6" t="inlineStr">
        <is>
          <t>Milho</t>
        </is>
      </c>
      <c r="B3494" s="6" t="inlineStr">
        <is>
          <t>São Luís - MA</t>
        </is>
      </c>
      <c r="C3494" s="6" t="n">
        <v>-2.53874</v>
      </c>
      <c r="D3494" s="6" t="n">
        <v>-44.2825</v>
      </c>
      <c r="E3494" s="6" t="inlineStr">
        <is>
          <t>2022-01</t>
        </is>
      </c>
      <c r="F3494" s="6" t="n"/>
      <c r="G3494" s="6" t="inlineStr">
        <is>
          <t>EXPORTACAO</t>
        </is>
      </c>
      <c r="H3494" s="6" t="inlineStr">
        <is>
          <t>AUTO_OFERTA_TOTAL_PRODUTO_PERIODO</t>
        </is>
      </c>
      <c r="I3494" s="11">
        <f>IF($H3494="AUTO_OFERTA_TOTAL_PRODUTO_PERIODO",SUMIFS(Oferta!$F:$F,Oferta!$A:$A,$A3494,Oferta!$E:$E,$E3494),$F3494)</f>
        <v/>
      </c>
      <c r="J3494" s="6" t="inlineStr">
        <is>
          <t>Derivado_da_Oferta</t>
        </is>
      </c>
      <c r="K3494" s="6" t="inlineStr">
        <is>
          <t>Mercado externo: limite superior calculado automaticamente pela soma da oferta do produto no período.</t>
        </is>
      </c>
    </row>
    <row r="3495">
      <c r="A3495" s="6" t="inlineStr">
        <is>
          <t>Milho</t>
        </is>
      </c>
      <c r="B3495" s="6" t="inlineStr">
        <is>
          <t>São Luís - MA</t>
        </is>
      </c>
      <c r="C3495" s="6" t="n">
        <v>-2.53874</v>
      </c>
      <c r="D3495" s="6" t="n">
        <v>-44.2825</v>
      </c>
      <c r="E3495" s="6" t="inlineStr">
        <is>
          <t>2022-02</t>
        </is>
      </c>
      <c r="F3495" s="6" t="n"/>
      <c r="G3495" s="6" t="inlineStr">
        <is>
          <t>EXPORTACAO</t>
        </is>
      </c>
      <c r="H3495" s="6" t="inlineStr">
        <is>
          <t>AUTO_OFERTA_TOTAL_PRODUTO_PERIODO</t>
        </is>
      </c>
      <c r="I3495" s="11">
        <f>IF($H3495="AUTO_OFERTA_TOTAL_PRODUTO_PERIODO",SUMIFS(Oferta!$F:$F,Oferta!$A:$A,$A3495,Oferta!$E:$E,$E3495),$F3495)</f>
        <v/>
      </c>
      <c r="J3495" s="6" t="inlineStr">
        <is>
          <t>Derivado_da_Oferta</t>
        </is>
      </c>
      <c r="K3495" s="6" t="inlineStr">
        <is>
          <t>Mercado externo: limite superior calculado automaticamente pela soma da oferta do produto no período.</t>
        </is>
      </c>
    </row>
    <row r="3496">
      <c r="A3496" s="6" t="inlineStr">
        <is>
          <t>Milho</t>
        </is>
      </c>
      <c r="B3496" s="6" t="inlineStr">
        <is>
          <t>São Luís - MA</t>
        </is>
      </c>
      <c r="C3496" s="6" t="n">
        <v>-2.53874</v>
      </c>
      <c r="D3496" s="6" t="n">
        <v>-44.2825</v>
      </c>
      <c r="E3496" s="6" t="inlineStr">
        <is>
          <t>2022-03</t>
        </is>
      </c>
      <c r="F3496" s="6" t="n"/>
      <c r="G3496" s="6" t="inlineStr">
        <is>
          <t>EXPORTACAO</t>
        </is>
      </c>
      <c r="H3496" s="6" t="inlineStr">
        <is>
          <t>AUTO_OFERTA_TOTAL_PRODUTO_PERIODO</t>
        </is>
      </c>
      <c r="I3496" s="11">
        <f>IF($H3496="AUTO_OFERTA_TOTAL_PRODUTO_PERIODO",SUMIFS(Oferta!$F:$F,Oferta!$A:$A,$A3496,Oferta!$E:$E,$E3496),$F3496)</f>
        <v/>
      </c>
      <c r="J3496" s="6" t="inlineStr">
        <is>
          <t>Derivado_da_Oferta</t>
        </is>
      </c>
      <c r="K3496" s="6" t="inlineStr">
        <is>
          <t>Mercado externo: limite superior calculado automaticamente pela soma da oferta do produto no período.</t>
        </is>
      </c>
    </row>
    <row r="3497">
      <c r="A3497" s="6" t="inlineStr">
        <is>
          <t>Milho</t>
        </is>
      </c>
      <c r="B3497" s="6" t="inlineStr">
        <is>
          <t>São Luís - MA</t>
        </is>
      </c>
      <c r="C3497" s="6" t="n">
        <v>-2.53874</v>
      </c>
      <c r="D3497" s="6" t="n">
        <v>-44.2825</v>
      </c>
      <c r="E3497" s="6" t="inlineStr">
        <is>
          <t>2022-04</t>
        </is>
      </c>
      <c r="F3497" s="6" t="n"/>
      <c r="G3497" s="6" t="inlineStr">
        <is>
          <t>EXPORTACAO</t>
        </is>
      </c>
      <c r="H3497" s="6" t="inlineStr">
        <is>
          <t>AUTO_OFERTA_TOTAL_PRODUTO_PERIODO</t>
        </is>
      </c>
      <c r="I3497" s="11">
        <f>IF($H3497="AUTO_OFERTA_TOTAL_PRODUTO_PERIODO",SUMIFS(Oferta!$F:$F,Oferta!$A:$A,$A3497,Oferta!$E:$E,$E3497),$F3497)</f>
        <v/>
      </c>
      <c r="J3497" s="6" t="inlineStr">
        <is>
          <t>Derivado_da_Oferta</t>
        </is>
      </c>
      <c r="K3497" s="6" t="inlineStr">
        <is>
          <t>Mercado externo: limite superior calculado automaticamente pela soma da oferta do produto no período.</t>
        </is>
      </c>
    </row>
    <row r="3498">
      <c r="A3498" s="6" t="inlineStr">
        <is>
          <t>Milho</t>
        </is>
      </c>
      <c r="B3498" s="6" t="inlineStr">
        <is>
          <t>São Luís - MA</t>
        </is>
      </c>
      <c r="C3498" s="6" t="n">
        <v>-2.53874</v>
      </c>
      <c r="D3498" s="6" t="n">
        <v>-44.2825</v>
      </c>
      <c r="E3498" s="6" t="inlineStr">
        <is>
          <t>2022-05</t>
        </is>
      </c>
      <c r="F3498" s="6" t="n"/>
      <c r="G3498" s="6" t="inlineStr">
        <is>
          <t>EXPORTACAO</t>
        </is>
      </c>
      <c r="H3498" s="6" t="inlineStr">
        <is>
          <t>AUTO_OFERTA_TOTAL_PRODUTO_PERIODO</t>
        </is>
      </c>
      <c r="I3498" s="11">
        <f>IF($H3498="AUTO_OFERTA_TOTAL_PRODUTO_PERIODO",SUMIFS(Oferta!$F:$F,Oferta!$A:$A,$A3498,Oferta!$E:$E,$E3498),$F3498)</f>
        <v/>
      </c>
      <c r="J3498" s="6" t="inlineStr">
        <is>
          <t>Derivado_da_Oferta</t>
        </is>
      </c>
      <c r="K3498" s="6" t="inlineStr">
        <is>
          <t>Mercado externo: limite superior calculado automaticamente pela soma da oferta do produto no período.</t>
        </is>
      </c>
    </row>
    <row r="3499">
      <c r="A3499" s="6" t="inlineStr">
        <is>
          <t>Milho</t>
        </is>
      </c>
      <c r="B3499" s="6" t="inlineStr">
        <is>
          <t>São Luís - MA</t>
        </is>
      </c>
      <c r="C3499" s="6" t="n">
        <v>-2.53874</v>
      </c>
      <c r="D3499" s="6" t="n">
        <v>-44.2825</v>
      </c>
      <c r="E3499" s="6" t="inlineStr">
        <is>
          <t>2022-06</t>
        </is>
      </c>
      <c r="F3499" s="6" t="n"/>
      <c r="G3499" s="6" t="inlineStr">
        <is>
          <t>EXPORTACAO</t>
        </is>
      </c>
      <c r="H3499" s="6" t="inlineStr">
        <is>
          <t>AUTO_OFERTA_TOTAL_PRODUTO_PERIODO</t>
        </is>
      </c>
      <c r="I3499" s="11">
        <f>IF($H3499="AUTO_OFERTA_TOTAL_PRODUTO_PERIODO",SUMIFS(Oferta!$F:$F,Oferta!$A:$A,$A3499,Oferta!$E:$E,$E3499),$F3499)</f>
        <v/>
      </c>
      <c r="J3499" s="6" t="inlineStr">
        <is>
          <t>Derivado_da_Oferta</t>
        </is>
      </c>
      <c r="K3499" s="6" t="inlineStr">
        <is>
          <t>Mercado externo: limite superior calculado automaticamente pela soma da oferta do produto no período.</t>
        </is>
      </c>
    </row>
    <row r="3500">
      <c r="A3500" s="6" t="inlineStr">
        <is>
          <t>Milho</t>
        </is>
      </c>
      <c r="B3500" s="6" t="inlineStr">
        <is>
          <t>São Luís - MA</t>
        </is>
      </c>
      <c r="C3500" s="6" t="n">
        <v>-2.53874</v>
      </c>
      <c r="D3500" s="6" t="n">
        <v>-44.2825</v>
      </c>
      <c r="E3500" s="6" t="inlineStr">
        <is>
          <t>2022-07</t>
        </is>
      </c>
      <c r="F3500" s="6" t="n"/>
      <c r="G3500" s="6" t="inlineStr">
        <is>
          <t>EXPORTACAO</t>
        </is>
      </c>
      <c r="H3500" s="6" t="inlineStr">
        <is>
          <t>AUTO_OFERTA_TOTAL_PRODUTO_PERIODO</t>
        </is>
      </c>
      <c r="I3500" s="11">
        <f>IF($H3500="AUTO_OFERTA_TOTAL_PRODUTO_PERIODO",SUMIFS(Oferta!$F:$F,Oferta!$A:$A,$A3500,Oferta!$E:$E,$E3500),$F3500)</f>
        <v/>
      </c>
      <c r="J3500" s="6" t="inlineStr">
        <is>
          <t>Derivado_da_Oferta</t>
        </is>
      </c>
      <c r="K3500" s="6" t="inlineStr">
        <is>
          <t>Mercado externo: limite superior calculado automaticamente pela soma da oferta do produto no período.</t>
        </is>
      </c>
    </row>
    <row r="3501">
      <c r="A3501" s="6" t="inlineStr">
        <is>
          <t>Milho</t>
        </is>
      </c>
      <c r="B3501" s="6" t="inlineStr">
        <is>
          <t>São Luís - MA</t>
        </is>
      </c>
      <c r="C3501" s="6" t="n">
        <v>-2.53874</v>
      </c>
      <c r="D3501" s="6" t="n">
        <v>-44.2825</v>
      </c>
      <c r="E3501" s="6" t="inlineStr">
        <is>
          <t>2022-08</t>
        </is>
      </c>
      <c r="F3501" s="6" t="n"/>
      <c r="G3501" s="6" t="inlineStr">
        <is>
          <t>EXPORTACAO</t>
        </is>
      </c>
      <c r="H3501" s="6" t="inlineStr">
        <is>
          <t>AUTO_OFERTA_TOTAL_PRODUTO_PERIODO</t>
        </is>
      </c>
      <c r="I3501" s="11">
        <f>IF($H3501="AUTO_OFERTA_TOTAL_PRODUTO_PERIODO",SUMIFS(Oferta!$F:$F,Oferta!$A:$A,$A3501,Oferta!$E:$E,$E3501),$F3501)</f>
        <v/>
      </c>
      <c r="J3501" s="6" t="inlineStr">
        <is>
          <t>Derivado_da_Oferta</t>
        </is>
      </c>
      <c r="K3501" s="6" t="inlineStr">
        <is>
          <t>Mercado externo: limite superior calculado automaticamente pela soma da oferta do produto no período.</t>
        </is>
      </c>
    </row>
    <row r="3502">
      <c r="A3502" s="6" t="inlineStr">
        <is>
          <t>Milho</t>
        </is>
      </c>
      <c r="B3502" s="6" t="inlineStr">
        <is>
          <t>São Luís - MA</t>
        </is>
      </c>
      <c r="C3502" s="6" t="n">
        <v>-2.53874</v>
      </c>
      <c r="D3502" s="6" t="n">
        <v>-44.2825</v>
      </c>
      <c r="E3502" s="6" t="inlineStr">
        <is>
          <t>2022-09</t>
        </is>
      </c>
      <c r="F3502" s="6" t="n"/>
      <c r="G3502" s="6" t="inlineStr">
        <is>
          <t>EXPORTACAO</t>
        </is>
      </c>
      <c r="H3502" s="6" t="inlineStr">
        <is>
          <t>AUTO_OFERTA_TOTAL_PRODUTO_PERIODO</t>
        </is>
      </c>
      <c r="I3502" s="11">
        <f>IF($H3502="AUTO_OFERTA_TOTAL_PRODUTO_PERIODO",SUMIFS(Oferta!$F:$F,Oferta!$A:$A,$A3502,Oferta!$E:$E,$E3502),$F3502)</f>
        <v/>
      </c>
      <c r="J3502" s="6" t="inlineStr">
        <is>
          <t>Derivado_da_Oferta</t>
        </is>
      </c>
      <c r="K3502" s="6" t="inlineStr">
        <is>
          <t>Mercado externo: limite superior calculado automaticamente pela soma da oferta do produto no período.</t>
        </is>
      </c>
    </row>
    <row r="3503">
      <c r="A3503" s="6" t="inlineStr">
        <is>
          <t>Milho</t>
        </is>
      </c>
      <c r="B3503" s="6" t="inlineStr">
        <is>
          <t>São Luís - MA</t>
        </is>
      </c>
      <c r="C3503" s="6" t="n">
        <v>-2.53874</v>
      </c>
      <c r="D3503" s="6" t="n">
        <v>-44.2825</v>
      </c>
      <c r="E3503" s="6" t="inlineStr">
        <is>
          <t>2022-10</t>
        </is>
      </c>
      <c r="F3503" s="6" t="n"/>
      <c r="G3503" s="6" t="inlineStr">
        <is>
          <t>EXPORTACAO</t>
        </is>
      </c>
      <c r="H3503" s="6" t="inlineStr">
        <is>
          <t>AUTO_OFERTA_TOTAL_PRODUTO_PERIODO</t>
        </is>
      </c>
      <c r="I3503" s="11">
        <f>IF($H3503="AUTO_OFERTA_TOTAL_PRODUTO_PERIODO",SUMIFS(Oferta!$F:$F,Oferta!$A:$A,$A3503,Oferta!$E:$E,$E3503),$F3503)</f>
        <v/>
      </c>
      <c r="J3503" s="6" t="inlineStr">
        <is>
          <t>Derivado_da_Oferta</t>
        </is>
      </c>
      <c r="K3503" s="6" t="inlineStr">
        <is>
          <t>Mercado externo: limite superior calculado automaticamente pela soma da oferta do produto no período.</t>
        </is>
      </c>
    </row>
    <row r="3504">
      <c r="A3504" s="6" t="inlineStr">
        <is>
          <t>Milho</t>
        </is>
      </c>
      <c r="B3504" s="6" t="inlineStr">
        <is>
          <t>São Luís - MA</t>
        </is>
      </c>
      <c r="C3504" s="6" t="n">
        <v>-2.53874</v>
      </c>
      <c r="D3504" s="6" t="n">
        <v>-44.2825</v>
      </c>
      <c r="E3504" s="6" t="inlineStr">
        <is>
          <t>2022-11</t>
        </is>
      </c>
      <c r="F3504" s="6" t="n"/>
      <c r="G3504" s="6" t="inlineStr">
        <is>
          <t>EXPORTACAO</t>
        </is>
      </c>
      <c r="H3504" s="6" t="inlineStr">
        <is>
          <t>AUTO_OFERTA_TOTAL_PRODUTO_PERIODO</t>
        </is>
      </c>
      <c r="I3504" s="11">
        <f>IF($H3504="AUTO_OFERTA_TOTAL_PRODUTO_PERIODO",SUMIFS(Oferta!$F:$F,Oferta!$A:$A,$A3504,Oferta!$E:$E,$E3504),$F3504)</f>
        <v/>
      </c>
      <c r="J3504" s="6" t="inlineStr">
        <is>
          <t>Derivado_da_Oferta</t>
        </is>
      </c>
      <c r="K3504" s="6" t="inlineStr">
        <is>
          <t>Mercado externo: limite superior calculado automaticamente pela soma da oferta do produto no período.</t>
        </is>
      </c>
    </row>
    <row r="3505">
      <c r="A3505" s="6" t="inlineStr">
        <is>
          <t>Milho</t>
        </is>
      </c>
      <c r="B3505" s="6" t="inlineStr">
        <is>
          <t>São Luís - MA</t>
        </is>
      </c>
      <c r="C3505" s="6" t="n">
        <v>-2.53874</v>
      </c>
      <c r="D3505" s="6" t="n">
        <v>-44.2825</v>
      </c>
      <c r="E3505" s="6" t="inlineStr">
        <is>
          <t>2022-12</t>
        </is>
      </c>
      <c r="F3505" s="6" t="n"/>
      <c r="G3505" s="6" t="inlineStr">
        <is>
          <t>EXPORTACAO</t>
        </is>
      </c>
      <c r="H3505" s="6" t="inlineStr">
        <is>
          <t>AUTO_OFERTA_TOTAL_PRODUTO_PERIODO</t>
        </is>
      </c>
      <c r="I3505" s="11">
        <f>IF($H3505="AUTO_OFERTA_TOTAL_PRODUTO_PERIODO",SUMIFS(Oferta!$F:$F,Oferta!$A:$A,$A3505,Oferta!$E:$E,$E3505),$F3505)</f>
        <v/>
      </c>
      <c r="J3505" s="6" t="inlineStr">
        <is>
          <t>Derivado_da_Oferta</t>
        </is>
      </c>
      <c r="K3505" s="6" t="inlineStr">
        <is>
          <t>Mercado externo: limite superior calculado automaticamente pela soma da oferta do produto no período.</t>
        </is>
      </c>
    </row>
    <row r="3506">
      <c r="A3506" s="6" t="inlineStr">
        <is>
          <t>Milho</t>
        </is>
      </c>
      <c r="B3506" s="6" t="inlineStr">
        <is>
          <t>São Luís - MA</t>
        </is>
      </c>
      <c r="C3506" s="6" t="n">
        <v>-2.53874</v>
      </c>
      <c r="D3506" s="6" t="n">
        <v>-44.2825</v>
      </c>
      <c r="E3506" s="6" t="inlineStr">
        <is>
          <t>2023-01</t>
        </is>
      </c>
      <c r="F3506" s="6" t="n"/>
      <c r="G3506" s="6" t="inlineStr">
        <is>
          <t>EXPORTACAO</t>
        </is>
      </c>
      <c r="H3506" s="6" t="inlineStr">
        <is>
          <t>AUTO_OFERTA_TOTAL_PRODUTO_PERIODO</t>
        </is>
      </c>
      <c r="I3506" s="11">
        <f>IF($H3506="AUTO_OFERTA_TOTAL_PRODUTO_PERIODO",SUMIFS(Oferta!$F:$F,Oferta!$A:$A,$A3506,Oferta!$E:$E,$E3506),$F3506)</f>
        <v/>
      </c>
      <c r="J3506" s="6" t="inlineStr">
        <is>
          <t>Derivado_da_Oferta</t>
        </is>
      </c>
      <c r="K3506" s="6" t="inlineStr">
        <is>
          <t>Mercado externo: limite superior calculado automaticamente pela soma da oferta do produto no período.</t>
        </is>
      </c>
    </row>
    <row r="3507">
      <c r="A3507" s="6" t="inlineStr">
        <is>
          <t>Milho</t>
        </is>
      </c>
      <c r="B3507" s="6" t="inlineStr">
        <is>
          <t>São Luís - MA</t>
        </is>
      </c>
      <c r="C3507" s="6" t="n">
        <v>-2.53874</v>
      </c>
      <c r="D3507" s="6" t="n">
        <v>-44.2825</v>
      </c>
      <c r="E3507" s="6" t="inlineStr">
        <is>
          <t>2023-02</t>
        </is>
      </c>
      <c r="F3507" s="6" t="n"/>
      <c r="G3507" s="6" t="inlineStr">
        <is>
          <t>EXPORTACAO</t>
        </is>
      </c>
      <c r="H3507" s="6" t="inlineStr">
        <is>
          <t>AUTO_OFERTA_TOTAL_PRODUTO_PERIODO</t>
        </is>
      </c>
      <c r="I3507" s="11">
        <f>IF($H3507="AUTO_OFERTA_TOTAL_PRODUTO_PERIODO",SUMIFS(Oferta!$F:$F,Oferta!$A:$A,$A3507,Oferta!$E:$E,$E3507),$F3507)</f>
        <v/>
      </c>
      <c r="J3507" s="6" t="inlineStr">
        <is>
          <t>Derivado_da_Oferta</t>
        </is>
      </c>
      <c r="K3507" s="6" t="inlineStr">
        <is>
          <t>Mercado externo: limite superior calculado automaticamente pela soma da oferta do produto no período.</t>
        </is>
      </c>
    </row>
    <row r="3508">
      <c r="A3508" s="6" t="inlineStr">
        <is>
          <t>Milho</t>
        </is>
      </c>
      <c r="B3508" s="6" t="inlineStr">
        <is>
          <t>São Luís - MA</t>
        </is>
      </c>
      <c r="C3508" s="6" t="n">
        <v>-2.53874</v>
      </c>
      <c r="D3508" s="6" t="n">
        <v>-44.2825</v>
      </c>
      <c r="E3508" s="6" t="inlineStr">
        <is>
          <t>2023-03</t>
        </is>
      </c>
      <c r="F3508" s="6" t="n"/>
      <c r="G3508" s="6" t="inlineStr">
        <is>
          <t>EXPORTACAO</t>
        </is>
      </c>
      <c r="H3508" s="6" t="inlineStr">
        <is>
          <t>AUTO_OFERTA_TOTAL_PRODUTO_PERIODO</t>
        </is>
      </c>
      <c r="I3508" s="11">
        <f>IF($H3508="AUTO_OFERTA_TOTAL_PRODUTO_PERIODO",SUMIFS(Oferta!$F:$F,Oferta!$A:$A,$A3508,Oferta!$E:$E,$E3508),$F3508)</f>
        <v/>
      </c>
      <c r="J3508" s="6" t="inlineStr">
        <is>
          <t>Derivado_da_Oferta</t>
        </is>
      </c>
      <c r="K3508" s="6" t="inlineStr">
        <is>
          <t>Mercado externo: limite superior calculado automaticamente pela soma da oferta do produto no período.</t>
        </is>
      </c>
    </row>
    <row r="3509">
      <c r="A3509" s="6" t="inlineStr">
        <is>
          <t>Milho</t>
        </is>
      </c>
      <c r="B3509" s="6" t="inlineStr">
        <is>
          <t>São Luís - MA</t>
        </is>
      </c>
      <c r="C3509" s="6" t="n">
        <v>-2.53874</v>
      </c>
      <c r="D3509" s="6" t="n">
        <v>-44.2825</v>
      </c>
      <c r="E3509" s="6" t="inlineStr">
        <is>
          <t>2023-04</t>
        </is>
      </c>
      <c r="F3509" s="6" t="n"/>
      <c r="G3509" s="6" t="inlineStr">
        <is>
          <t>EXPORTACAO</t>
        </is>
      </c>
      <c r="H3509" s="6" t="inlineStr">
        <is>
          <t>AUTO_OFERTA_TOTAL_PRODUTO_PERIODO</t>
        </is>
      </c>
      <c r="I3509" s="11">
        <f>IF($H3509="AUTO_OFERTA_TOTAL_PRODUTO_PERIODO",SUMIFS(Oferta!$F:$F,Oferta!$A:$A,$A3509,Oferta!$E:$E,$E3509),$F3509)</f>
        <v/>
      </c>
      <c r="J3509" s="6" t="inlineStr">
        <is>
          <t>Derivado_da_Oferta</t>
        </is>
      </c>
      <c r="K3509" s="6" t="inlineStr">
        <is>
          <t>Mercado externo: limite superior calculado automaticamente pela soma da oferta do produto no período.</t>
        </is>
      </c>
    </row>
    <row r="3510">
      <c r="A3510" s="6" t="inlineStr">
        <is>
          <t>Milho</t>
        </is>
      </c>
      <c r="B3510" s="6" t="inlineStr">
        <is>
          <t>São Luís - MA</t>
        </is>
      </c>
      <c r="C3510" s="6" t="n">
        <v>-2.53874</v>
      </c>
      <c r="D3510" s="6" t="n">
        <v>-44.2825</v>
      </c>
      <c r="E3510" s="6" t="inlineStr">
        <is>
          <t>2023-05</t>
        </is>
      </c>
      <c r="F3510" s="6" t="n"/>
      <c r="G3510" s="6" t="inlineStr">
        <is>
          <t>EXPORTACAO</t>
        </is>
      </c>
      <c r="H3510" s="6" t="inlineStr">
        <is>
          <t>AUTO_OFERTA_TOTAL_PRODUTO_PERIODO</t>
        </is>
      </c>
      <c r="I3510" s="11">
        <f>IF($H3510="AUTO_OFERTA_TOTAL_PRODUTO_PERIODO",SUMIFS(Oferta!$F:$F,Oferta!$A:$A,$A3510,Oferta!$E:$E,$E3510),$F3510)</f>
        <v/>
      </c>
      <c r="J3510" s="6" t="inlineStr">
        <is>
          <t>Derivado_da_Oferta</t>
        </is>
      </c>
      <c r="K3510" s="6" t="inlineStr">
        <is>
          <t>Mercado externo: limite superior calculado automaticamente pela soma da oferta do produto no período.</t>
        </is>
      </c>
    </row>
    <row r="3511">
      <c r="A3511" s="6" t="inlineStr">
        <is>
          <t>Milho</t>
        </is>
      </c>
      <c r="B3511" s="6" t="inlineStr">
        <is>
          <t>São Luís - MA</t>
        </is>
      </c>
      <c r="C3511" s="6" t="n">
        <v>-2.53874</v>
      </c>
      <c r="D3511" s="6" t="n">
        <v>-44.2825</v>
      </c>
      <c r="E3511" s="6" t="inlineStr">
        <is>
          <t>2023-06</t>
        </is>
      </c>
      <c r="F3511" s="6" t="n"/>
      <c r="G3511" s="6" t="inlineStr">
        <is>
          <t>EXPORTACAO</t>
        </is>
      </c>
      <c r="H3511" s="6" t="inlineStr">
        <is>
          <t>AUTO_OFERTA_TOTAL_PRODUTO_PERIODO</t>
        </is>
      </c>
      <c r="I3511" s="11">
        <f>IF($H3511="AUTO_OFERTA_TOTAL_PRODUTO_PERIODO",SUMIFS(Oferta!$F:$F,Oferta!$A:$A,$A3511,Oferta!$E:$E,$E3511),$F3511)</f>
        <v/>
      </c>
      <c r="J3511" s="6" t="inlineStr">
        <is>
          <t>Derivado_da_Oferta</t>
        </is>
      </c>
      <c r="K3511" s="6" t="inlineStr">
        <is>
          <t>Mercado externo: limite superior calculado automaticamente pela soma da oferta do produto no período.</t>
        </is>
      </c>
    </row>
    <row r="3512">
      <c r="A3512" s="6" t="inlineStr">
        <is>
          <t>Milho</t>
        </is>
      </c>
      <c r="B3512" s="6" t="inlineStr">
        <is>
          <t>São Luís - MA</t>
        </is>
      </c>
      <c r="C3512" s="6" t="n">
        <v>-2.53874</v>
      </c>
      <c r="D3512" s="6" t="n">
        <v>-44.2825</v>
      </c>
      <c r="E3512" s="6" t="inlineStr">
        <is>
          <t>2023-07</t>
        </is>
      </c>
      <c r="F3512" s="6" t="n"/>
      <c r="G3512" s="6" t="inlineStr">
        <is>
          <t>EXPORTACAO</t>
        </is>
      </c>
      <c r="H3512" s="6" t="inlineStr">
        <is>
          <t>AUTO_OFERTA_TOTAL_PRODUTO_PERIODO</t>
        </is>
      </c>
      <c r="I3512" s="11">
        <f>IF($H3512="AUTO_OFERTA_TOTAL_PRODUTO_PERIODO",SUMIFS(Oferta!$F:$F,Oferta!$A:$A,$A3512,Oferta!$E:$E,$E3512),$F3512)</f>
        <v/>
      </c>
      <c r="J3512" s="6" t="inlineStr">
        <is>
          <t>Derivado_da_Oferta</t>
        </is>
      </c>
      <c r="K3512" s="6" t="inlineStr">
        <is>
          <t>Mercado externo: limite superior calculado automaticamente pela soma da oferta do produto no período.</t>
        </is>
      </c>
    </row>
    <row r="3513">
      <c r="A3513" s="6" t="inlineStr">
        <is>
          <t>Milho</t>
        </is>
      </c>
      <c r="B3513" s="6" t="inlineStr">
        <is>
          <t>São Luís - MA</t>
        </is>
      </c>
      <c r="C3513" s="6" t="n">
        <v>-2.53874</v>
      </c>
      <c r="D3513" s="6" t="n">
        <v>-44.2825</v>
      </c>
      <c r="E3513" s="6" t="inlineStr">
        <is>
          <t>2023-08</t>
        </is>
      </c>
      <c r="F3513" s="6" t="n"/>
      <c r="G3513" s="6" t="inlineStr">
        <is>
          <t>EXPORTACAO</t>
        </is>
      </c>
      <c r="H3513" s="6" t="inlineStr">
        <is>
          <t>AUTO_OFERTA_TOTAL_PRODUTO_PERIODO</t>
        </is>
      </c>
      <c r="I3513" s="11">
        <f>IF($H3513="AUTO_OFERTA_TOTAL_PRODUTO_PERIODO",SUMIFS(Oferta!$F:$F,Oferta!$A:$A,$A3513,Oferta!$E:$E,$E3513),$F3513)</f>
        <v/>
      </c>
      <c r="J3513" s="6" t="inlineStr">
        <is>
          <t>Derivado_da_Oferta</t>
        </is>
      </c>
      <c r="K3513" s="6" t="inlineStr">
        <is>
          <t>Mercado externo: limite superior calculado automaticamente pela soma da oferta do produto no período.</t>
        </is>
      </c>
    </row>
    <row r="3514">
      <c r="A3514" s="6" t="inlineStr">
        <is>
          <t>Milho</t>
        </is>
      </c>
      <c r="B3514" s="6" t="inlineStr">
        <is>
          <t>São Luís - MA</t>
        </is>
      </c>
      <c r="C3514" s="6" t="n">
        <v>-2.53874</v>
      </c>
      <c r="D3514" s="6" t="n">
        <v>-44.2825</v>
      </c>
      <c r="E3514" s="6" t="inlineStr">
        <is>
          <t>2023-09</t>
        </is>
      </c>
      <c r="F3514" s="6" t="n"/>
      <c r="G3514" s="6" t="inlineStr">
        <is>
          <t>EXPORTACAO</t>
        </is>
      </c>
      <c r="H3514" s="6" t="inlineStr">
        <is>
          <t>AUTO_OFERTA_TOTAL_PRODUTO_PERIODO</t>
        </is>
      </c>
      <c r="I3514" s="11">
        <f>IF($H3514="AUTO_OFERTA_TOTAL_PRODUTO_PERIODO",SUMIFS(Oferta!$F:$F,Oferta!$A:$A,$A3514,Oferta!$E:$E,$E3514),$F3514)</f>
        <v/>
      </c>
      <c r="J3514" s="6" t="inlineStr">
        <is>
          <t>Derivado_da_Oferta</t>
        </is>
      </c>
      <c r="K3514" s="6" t="inlineStr">
        <is>
          <t>Mercado externo: limite superior calculado automaticamente pela soma da oferta do produto no período.</t>
        </is>
      </c>
    </row>
    <row r="3515">
      <c r="A3515" s="6" t="inlineStr">
        <is>
          <t>Milho</t>
        </is>
      </c>
      <c r="B3515" s="6" t="inlineStr">
        <is>
          <t>São Luís - MA</t>
        </is>
      </c>
      <c r="C3515" s="6" t="n">
        <v>-2.53874</v>
      </c>
      <c r="D3515" s="6" t="n">
        <v>-44.2825</v>
      </c>
      <c r="E3515" s="6" t="inlineStr">
        <is>
          <t>2023-10</t>
        </is>
      </c>
      <c r="F3515" s="6" t="n"/>
      <c r="G3515" s="6" t="inlineStr">
        <is>
          <t>EXPORTACAO</t>
        </is>
      </c>
      <c r="H3515" s="6" t="inlineStr">
        <is>
          <t>AUTO_OFERTA_TOTAL_PRODUTO_PERIODO</t>
        </is>
      </c>
      <c r="I3515" s="11">
        <f>IF($H3515="AUTO_OFERTA_TOTAL_PRODUTO_PERIODO",SUMIFS(Oferta!$F:$F,Oferta!$A:$A,$A3515,Oferta!$E:$E,$E3515),$F3515)</f>
        <v/>
      </c>
      <c r="J3515" s="6" t="inlineStr">
        <is>
          <t>Derivado_da_Oferta</t>
        </is>
      </c>
      <c r="K3515" s="6" t="inlineStr">
        <is>
          <t>Mercado externo: limite superior calculado automaticamente pela soma da oferta do produto no período.</t>
        </is>
      </c>
    </row>
    <row r="3516">
      <c r="A3516" s="6" t="inlineStr">
        <is>
          <t>Milho</t>
        </is>
      </c>
      <c r="B3516" s="6" t="inlineStr">
        <is>
          <t>São Luís - MA</t>
        </is>
      </c>
      <c r="C3516" s="6" t="n">
        <v>-2.53874</v>
      </c>
      <c r="D3516" s="6" t="n">
        <v>-44.2825</v>
      </c>
      <c r="E3516" s="6" t="inlineStr">
        <is>
          <t>2023-11</t>
        </is>
      </c>
      <c r="F3516" s="6" t="n"/>
      <c r="G3516" s="6" t="inlineStr">
        <is>
          <t>EXPORTACAO</t>
        </is>
      </c>
      <c r="H3516" s="6" t="inlineStr">
        <is>
          <t>AUTO_OFERTA_TOTAL_PRODUTO_PERIODO</t>
        </is>
      </c>
      <c r="I3516" s="11">
        <f>IF($H3516="AUTO_OFERTA_TOTAL_PRODUTO_PERIODO",SUMIFS(Oferta!$F:$F,Oferta!$A:$A,$A3516,Oferta!$E:$E,$E3516),$F3516)</f>
        <v/>
      </c>
      <c r="J3516" s="6" t="inlineStr">
        <is>
          <t>Derivado_da_Oferta</t>
        </is>
      </c>
      <c r="K3516" s="6" t="inlineStr">
        <is>
          <t>Mercado externo: limite superior calculado automaticamente pela soma da oferta do produto no período.</t>
        </is>
      </c>
    </row>
    <row r="3517">
      <c r="A3517" s="6" t="inlineStr">
        <is>
          <t>Milho</t>
        </is>
      </c>
      <c r="B3517" s="6" t="inlineStr">
        <is>
          <t>São Luís - MA</t>
        </is>
      </c>
      <c r="C3517" s="6" t="n">
        <v>-2.53874</v>
      </c>
      <c r="D3517" s="6" t="n">
        <v>-44.2825</v>
      </c>
      <c r="E3517" s="6" t="inlineStr">
        <is>
          <t>2023-12</t>
        </is>
      </c>
      <c r="F3517" s="6" t="n"/>
      <c r="G3517" s="6" t="inlineStr">
        <is>
          <t>EXPORTACAO</t>
        </is>
      </c>
      <c r="H3517" s="6" t="inlineStr">
        <is>
          <t>AUTO_OFERTA_TOTAL_PRODUTO_PERIODO</t>
        </is>
      </c>
      <c r="I3517" s="11">
        <f>IF($H3517="AUTO_OFERTA_TOTAL_PRODUTO_PERIODO",SUMIFS(Oferta!$F:$F,Oferta!$A:$A,$A3517,Oferta!$E:$E,$E3517),$F3517)</f>
        <v/>
      </c>
      <c r="J3517" s="6" t="inlineStr">
        <is>
          <t>Derivado_da_Oferta</t>
        </is>
      </c>
      <c r="K3517" s="6" t="inlineStr">
        <is>
          <t>Mercado externo: limite superior calculado automaticamente pela soma da oferta do produto no período.</t>
        </is>
      </c>
    </row>
    <row r="3518">
      <c r="A3518" s="6" t="inlineStr">
        <is>
          <t>Milho</t>
        </is>
      </c>
      <c r="B3518" s="6" t="inlineStr">
        <is>
          <t>São Luís - MA</t>
        </is>
      </c>
      <c r="C3518" s="6" t="n">
        <v>-2.53874</v>
      </c>
      <c r="D3518" s="6" t="n">
        <v>-44.2825</v>
      </c>
      <c r="E3518" s="6" t="inlineStr">
        <is>
          <t>2024-01</t>
        </is>
      </c>
      <c r="F3518" s="6" t="n"/>
      <c r="G3518" s="6" t="inlineStr">
        <is>
          <t>EXPORTACAO</t>
        </is>
      </c>
      <c r="H3518" s="6" t="inlineStr">
        <is>
          <t>AUTO_OFERTA_TOTAL_PRODUTO_PERIODO</t>
        </is>
      </c>
      <c r="I3518" s="11">
        <f>IF($H3518="AUTO_OFERTA_TOTAL_PRODUTO_PERIODO",SUMIFS(Oferta!$F:$F,Oferta!$A:$A,$A3518,Oferta!$E:$E,$E3518),$F3518)</f>
        <v/>
      </c>
      <c r="J3518" s="6" t="inlineStr">
        <is>
          <t>Derivado_da_Oferta</t>
        </is>
      </c>
      <c r="K3518" s="6" t="inlineStr">
        <is>
          <t>Mercado externo: limite superior calculado automaticamente pela soma da oferta do produto no período.</t>
        </is>
      </c>
    </row>
    <row r="3519">
      <c r="A3519" s="6" t="inlineStr">
        <is>
          <t>Milho</t>
        </is>
      </c>
      <c r="B3519" s="6" t="inlineStr">
        <is>
          <t>São Luís - MA</t>
        </is>
      </c>
      <c r="C3519" s="6" t="n">
        <v>-2.53874</v>
      </c>
      <c r="D3519" s="6" t="n">
        <v>-44.2825</v>
      </c>
      <c r="E3519" s="6" t="inlineStr">
        <is>
          <t>2024-02</t>
        </is>
      </c>
      <c r="F3519" s="6" t="n"/>
      <c r="G3519" s="6" t="inlineStr">
        <is>
          <t>EXPORTACAO</t>
        </is>
      </c>
      <c r="H3519" s="6" t="inlineStr">
        <is>
          <t>AUTO_OFERTA_TOTAL_PRODUTO_PERIODO</t>
        </is>
      </c>
      <c r="I3519" s="11">
        <f>IF($H3519="AUTO_OFERTA_TOTAL_PRODUTO_PERIODO",SUMIFS(Oferta!$F:$F,Oferta!$A:$A,$A3519,Oferta!$E:$E,$E3519),$F3519)</f>
        <v/>
      </c>
      <c r="J3519" s="6" t="inlineStr">
        <is>
          <t>Derivado_da_Oferta</t>
        </is>
      </c>
      <c r="K3519" s="6" t="inlineStr">
        <is>
          <t>Mercado externo: limite superior calculado automaticamente pela soma da oferta do produto no período.</t>
        </is>
      </c>
    </row>
    <row r="3520">
      <c r="A3520" s="6" t="inlineStr">
        <is>
          <t>Milho</t>
        </is>
      </c>
      <c r="B3520" s="6" t="inlineStr">
        <is>
          <t>São Luís - MA</t>
        </is>
      </c>
      <c r="C3520" s="6" t="n">
        <v>-2.53874</v>
      </c>
      <c r="D3520" s="6" t="n">
        <v>-44.2825</v>
      </c>
      <c r="E3520" s="6" t="inlineStr">
        <is>
          <t>2024-03</t>
        </is>
      </c>
      <c r="F3520" s="6" t="n"/>
      <c r="G3520" s="6" t="inlineStr">
        <is>
          <t>EXPORTACAO</t>
        </is>
      </c>
      <c r="H3520" s="6" t="inlineStr">
        <is>
          <t>AUTO_OFERTA_TOTAL_PRODUTO_PERIODO</t>
        </is>
      </c>
      <c r="I3520" s="11">
        <f>IF($H3520="AUTO_OFERTA_TOTAL_PRODUTO_PERIODO",SUMIFS(Oferta!$F:$F,Oferta!$A:$A,$A3520,Oferta!$E:$E,$E3520),$F3520)</f>
        <v/>
      </c>
      <c r="J3520" s="6" t="inlineStr">
        <is>
          <t>Derivado_da_Oferta</t>
        </is>
      </c>
      <c r="K3520" s="6" t="inlineStr">
        <is>
          <t>Mercado externo: limite superior calculado automaticamente pela soma da oferta do produto no período.</t>
        </is>
      </c>
    </row>
    <row r="3521">
      <c r="A3521" s="6" t="inlineStr">
        <is>
          <t>Milho</t>
        </is>
      </c>
      <c r="B3521" s="6" t="inlineStr">
        <is>
          <t>São Luís - MA</t>
        </is>
      </c>
      <c r="C3521" s="6" t="n">
        <v>-2.53874</v>
      </c>
      <c r="D3521" s="6" t="n">
        <v>-44.2825</v>
      </c>
      <c r="E3521" s="6" t="inlineStr">
        <is>
          <t>2024-04</t>
        </is>
      </c>
      <c r="F3521" s="6" t="n"/>
      <c r="G3521" s="6" t="inlineStr">
        <is>
          <t>EXPORTACAO</t>
        </is>
      </c>
      <c r="H3521" s="6" t="inlineStr">
        <is>
          <t>AUTO_OFERTA_TOTAL_PRODUTO_PERIODO</t>
        </is>
      </c>
      <c r="I3521" s="11">
        <f>IF($H3521="AUTO_OFERTA_TOTAL_PRODUTO_PERIODO",SUMIFS(Oferta!$F:$F,Oferta!$A:$A,$A3521,Oferta!$E:$E,$E3521),$F3521)</f>
        <v/>
      </c>
      <c r="J3521" s="6" t="inlineStr">
        <is>
          <t>Derivado_da_Oferta</t>
        </is>
      </c>
      <c r="K3521" s="6" t="inlineStr">
        <is>
          <t>Mercado externo: limite superior calculado automaticamente pela soma da oferta do produto no período.</t>
        </is>
      </c>
    </row>
    <row r="3522">
      <c r="A3522" s="6" t="inlineStr">
        <is>
          <t>Milho</t>
        </is>
      </c>
      <c r="B3522" s="6" t="inlineStr">
        <is>
          <t>São Luís - MA</t>
        </is>
      </c>
      <c r="C3522" s="6" t="n">
        <v>-2.53874</v>
      </c>
      <c r="D3522" s="6" t="n">
        <v>-44.2825</v>
      </c>
      <c r="E3522" s="6" t="inlineStr">
        <is>
          <t>2024-05</t>
        </is>
      </c>
      <c r="F3522" s="6" t="n"/>
      <c r="G3522" s="6" t="inlineStr">
        <is>
          <t>EXPORTACAO</t>
        </is>
      </c>
      <c r="H3522" s="6" t="inlineStr">
        <is>
          <t>AUTO_OFERTA_TOTAL_PRODUTO_PERIODO</t>
        </is>
      </c>
      <c r="I3522" s="11">
        <f>IF($H3522="AUTO_OFERTA_TOTAL_PRODUTO_PERIODO",SUMIFS(Oferta!$F:$F,Oferta!$A:$A,$A3522,Oferta!$E:$E,$E3522),$F3522)</f>
        <v/>
      </c>
      <c r="J3522" s="6" t="inlineStr">
        <is>
          <t>Derivado_da_Oferta</t>
        </is>
      </c>
      <c r="K3522" s="6" t="inlineStr">
        <is>
          <t>Mercado externo: limite superior calculado automaticamente pela soma da oferta do produto no período.</t>
        </is>
      </c>
    </row>
    <row r="3523">
      <c r="A3523" s="6" t="inlineStr">
        <is>
          <t>Milho</t>
        </is>
      </c>
      <c r="B3523" s="6" t="inlineStr">
        <is>
          <t>São Luís - MA</t>
        </is>
      </c>
      <c r="C3523" s="6" t="n">
        <v>-2.53874</v>
      </c>
      <c r="D3523" s="6" t="n">
        <v>-44.2825</v>
      </c>
      <c r="E3523" s="6" t="inlineStr">
        <is>
          <t>2024-06</t>
        </is>
      </c>
      <c r="F3523" s="6" t="n"/>
      <c r="G3523" s="6" t="inlineStr">
        <is>
          <t>EXPORTACAO</t>
        </is>
      </c>
      <c r="H3523" s="6" t="inlineStr">
        <is>
          <t>AUTO_OFERTA_TOTAL_PRODUTO_PERIODO</t>
        </is>
      </c>
      <c r="I3523" s="11">
        <f>IF($H3523="AUTO_OFERTA_TOTAL_PRODUTO_PERIODO",SUMIFS(Oferta!$F:$F,Oferta!$A:$A,$A3523,Oferta!$E:$E,$E3523),$F3523)</f>
        <v/>
      </c>
      <c r="J3523" s="6" t="inlineStr">
        <is>
          <t>Derivado_da_Oferta</t>
        </is>
      </c>
      <c r="K3523" s="6" t="inlineStr">
        <is>
          <t>Mercado externo: limite superior calculado automaticamente pela soma da oferta do produto no período.</t>
        </is>
      </c>
    </row>
    <row r="3524">
      <c r="A3524" s="6" t="inlineStr">
        <is>
          <t>Milho</t>
        </is>
      </c>
      <c r="B3524" s="6" t="inlineStr">
        <is>
          <t>São Luís - MA</t>
        </is>
      </c>
      <c r="C3524" s="6" t="n">
        <v>-2.53874</v>
      </c>
      <c r="D3524" s="6" t="n">
        <v>-44.2825</v>
      </c>
      <c r="E3524" s="6" t="inlineStr">
        <is>
          <t>2024-07</t>
        </is>
      </c>
      <c r="F3524" s="6" t="n"/>
      <c r="G3524" s="6" t="inlineStr">
        <is>
          <t>EXPORTACAO</t>
        </is>
      </c>
      <c r="H3524" s="6" t="inlineStr">
        <is>
          <t>AUTO_OFERTA_TOTAL_PRODUTO_PERIODO</t>
        </is>
      </c>
      <c r="I3524" s="11">
        <f>IF($H3524="AUTO_OFERTA_TOTAL_PRODUTO_PERIODO",SUMIFS(Oferta!$F:$F,Oferta!$A:$A,$A3524,Oferta!$E:$E,$E3524),$F3524)</f>
        <v/>
      </c>
      <c r="J3524" s="6" t="inlineStr">
        <is>
          <t>Derivado_da_Oferta</t>
        </is>
      </c>
      <c r="K3524" s="6" t="inlineStr">
        <is>
          <t>Mercado externo: limite superior calculado automaticamente pela soma da oferta do produto no período.</t>
        </is>
      </c>
    </row>
    <row r="3525">
      <c r="A3525" s="6" t="inlineStr">
        <is>
          <t>Milho</t>
        </is>
      </c>
      <c r="B3525" s="6" t="inlineStr">
        <is>
          <t>São Luís - MA</t>
        </is>
      </c>
      <c r="C3525" s="6" t="n">
        <v>-2.53874</v>
      </c>
      <c r="D3525" s="6" t="n">
        <v>-44.2825</v>
      </c>
      <c r="E3525" s="6" t="inlineStr">
        <is>
          <t>2024-08</t>
        </is>
      </c>
      <c r="F3525" s="6" t="n"/>
      <c r="G3525" s="6" t="inlineStr">
        <is>
          <t>EXPORTACAO</t>
        </is>
      </c>
      <c r="H3525" s="6" t="inlineStr">
        <is>
          <t>AUTO_OFERTA_TOTAL_PRODUTO_PERIODO</t>
        </is>
      </c>
      <c r="I3525" s="11">
        <f>IF($H3525="AUTO_OFERTA_TOTAL_PRODUTO_PERIODO",SUMIFS(Oferta!$F:$F,Oferta!$A:$A,$A3525,Oferta!$E:$E,$E3525),$F3525)</f>
        <v/>
      </c>
      <c r="J3525" s="6" t="inlineStr">
        <is>
          <t>Derivado_da_Oferta</t>
        </is>
      </c>
      <c r="K3525" s="6" t="inlineStr">
        <is>
          <t>Mercado externo: limite superior calculado automaticamente pela soma da oferta do produto no período.</t>
        </is>
      </c>
    </row>
    <row r="3526">
      <c r="A3526" s="6" t="inlineStr">
        <is>
          <t>Milho</t>
        </is>
      </c>
      <c r="B3526" s="6" t="inlineStr">
        <is>
          <t>São Luís - MA</t>
        </is>
      </c>
      <c r="C3526" s="6" t="n">
        <v>-2.53874</v>
      </c>
      <c r="D3526" s="6" t="n">
        <v>-44.2825</v>
      </c>
      <c r="E3526" s="6" t="inlineStr">
        <is>
          <t>2024-09</t>
        </is>
      </c>
      <c r="F3526" s="6" t="n"/>
      <c r="G3526" s="6" t="inlineStr">
        <is>
          <t>EXPORTACAO</t>
        </is>
      </c>
      <c r="H3526" s="6" t="inlineStr">
        <is>
          <t>AUTO_OFERTA_TOTAL_PRODUTO_PERIODO</t>
        </is>
      </c>
      <c r="I3526" s="11">
        <f>IF($H3526="AUTO_OFERTA_TOTAL_PRODUTO_PERIODO",SUMIFS(Oferta!$F:$F,Oferta!$A:$A,$A3526,Oferta!$E:$E,$E3526),$F3526)</f>
        <v/>
      </c>
      <c r="J3526" s="6" t="inlineStr">
        <is>
          <t>Derivado_da_Oferta</t>
        </is>
      </c>
      <c r="K3526" s="6" t="inlineStr">
        <is>
          <t>Mercado externo: limite superior calculado automaticamente pela soma da oferta do produto no período.</t>
        </is>
      </c>
    </row>
    <row r="3527">
      <c r="A3527" s="6" t="inlineStr">
        <is>
          <t>Milho</t>
        </is>
      </c>
      <c r="B3527" s="6" t="inlineStr">
        <is>
          <t>São Luís - MA</t>
        </is>
      </c>
      <c r="C3527" s="6" t="n">
        <v>-2.53874</v>
      </c>
      <c r="D3527" s="6" t="n">
        <v>-44.2825</v>
      </c>
      <c r="E3527" s="6" t="inlineStr">
        <is>
          <t>2024-10</t>
        </is>
      </c>
      <c r="F3527" s="6" t="n"/>
      <c r="G3527" s="6" t="inlineStr">
        <is>
          <t>EXPORTACAO</t>
        </is>
      </c>
      <c r="H3527" s="6" t="inlineStr">
        <is>
          <t>AUTO_OFERTA_TOTAL_PRODUTO_PERIODO</t>
        </is>
      </c>
      <c r="I3527" s="11">
        <f>IF($H3527="AUTO_OFERTA_TOTAL_PRODUTO_PERIODO",SUMIFS(Oferta!$F:$F,Oferta!$A:$A,$A3527,Oferta!$E:$E,$E3527),$F3527)</f>
        <v/>
      </c>
      <c r="J3527" s="6" t="inlineStr">
        <is>
          <t>Derivado_da_Oferta</t>
        </is>
      </c>
      <c r="K3527" s="6" t="inlineStr">
        <is>
          <t>Mercado externo: limite superior calculado automaticamente pela soma da oferta do produto no período.</t>
        </is>
      </c>
    </row>
    <row r="3528">
      <c r="A3528" s="6" t="inlineStr">
        <is>
          <t>Milho</t>
        </is>
      </c>
      <c r="B3528" s="6" t="inlineStr">
        <is>
          <t>São Luís - MA</t>
        </is>
      </c>
      <c r="C3528" s="6" t="n">
        <v>-2.53874</v>
      </c>
      <c r="D3528" s="6" t="n">
        <v>-44.2825</v>
      </c>
      <c r="E3528" s="6" t="inlineStr">
        <is>
          <t>2024-11</t>
        </is>
      </c>
      <c r="F3528" s="6" t="n"/>
      <c r="G3528" s="6" t="inlineStr">
        <is>
          <t>EXPORTACAO</t>
        </is>
      </c>
      <c r="H3528" s="6" t="inlineStr">
        <is>
          <t>AUTO_OFERTA_TOTAL_PRODUTO_PERIODO</t>
        </is>
      </c>
      <c r="I3528" s="11">
        <f>IF($H3528="AUTO_OFERTA_TOTAL_PRODUTO_PERIODO",SUMIFS(Oferta!$F:$F,Oferta!$A:$A,$A3528,Oferta!$E:$E,$E3528),$F3528)</f>
        <v/>
      </c>
      <c r="J3528" s="6" t="inlineStr">
        <is>
          <t>Derivado_da_Oferta</t>
        </is>
      </c>
      <c r="K3528" s="6" t="inlineStr">
        <is>
          <t>Mercado externo: limite superior calculado automaticamente pela soma da oferta do produto no período.</t>
        </is>
      </c>
    </row>
    <row r="3529">
      <c r="A3529" s="6" t="inlineStr">
        <is>
          <t>Milho</t>
        </is>
      </c>
      <c r="B3529" s="6" t="inlineStr">
        <is>
          <t>São Luís - MA</t>
        </is>
      </c>
      <c r="C3529" s="6" t="n">
        <v>-2.53874</v>
      </c>
      <c r="D3529" s="6" t="n">
        <v>-44.2825</v>
      </c>
      <c r="E3529" s="6" t="inlineStr">
        <is>
          <t>2024-12</t>
        </is>
      </c>
      <c r="F3529" s="6" t="n"/>
      <c r="G3529" s="6" t="inlineStr">
        <is>
          <t>EXPORTACAO</t>
        </is>
      </c>
      <c r="H3529" s="6" t="inlineStr">
        <is>
          <t>AUTO_OFERTA_TOTAL_PRODUTO_PERIODO</t>
        </is>
      </c>
      <c r="I3529" s="11">
        <f>IF($H3529="AUTO_OFERTA_TOTAL_PRODUTO_PERIODO",SUMIFS(Oferta!$F:$F,Oferta!$A:$A,$A3529,Oferta!$E:$E,$E3529),$F3529)</f>
        <v/>
      </c>
      <c r="J3529" s="6" t="inlineStr">
        <is>
          <t>Derivado_da_Oferta</t>
        </is>
      </c>
      <c r="K3529" s="6" t="inlineStr">
        <is>
          <t>Mercado externo: limite superior calculado automaticamente pela soma da oferta do produto no período.</t>
        </is>
      </c>
    </row>
    <row r="3530">
      <c r="A3530" s="6" t="inlineStr">
        <is>
          <t>Milho</t>
        </is>
      </c>
      <c r="B3530" s="6" t="inlineStr">
        <is>
          <t>São Luís - MA</t>
        </is>
      </c>
      <c r="C3530" s="6" t="n">
        <v>-2.53874</v>
      </c>
      <c r="D3530" s="6" t="n">
        <v>-44.2825</v>
      </c>
      <c r="E3530" s="6" t="inlineStr">
        <is>
          <t>2025-01</t>
        </is>
      </c>
      <c r="F3530" s="6" t="n"/>
      <c r="G3530" s="6" t="inlineStr">
        <is>
          <t>EXPORTACAO</t>
        </is>
      </c>
      <c r="H3530" s="6" t="inlineStr">
        <is>
          <t>AUTO_OFERTA_TOTAL_PRODUTO_PERIODO</t>
        </is>
      </c>
      <c r="I3530" s="11">
        <f>IF($H3530="AUTO_OFERTA_TOTAL_PRODUTO_PERIODO",SUMIFS(Oferta!$F:$F,Oferta!$A:$A,$A3530,Oferta!$E:$E,$E3530),$F3530)</f>
        <v/>
      </c>
      <c r="J3530" s="6" t="inlineStr">
        <is>
          <t>Derivado_da_Oferta</t>
        </is>
      </c>
      <c r="K3530" s="6" t="inlineStr">
        <is>
          <t>Mercado externo: limite superior calculado automaticamente pela soma da oferta do produto no período.</t>
        </is>
      </c>
    </row>
    <row r="3531">
      <c r="A3531" s="6" t="inlineStr">
        <is>
          <t>Milho</t>
        </is>
      </c>
      <c r="B3531" s="6" t="inlineStr">
        <is>
          <t>São Luís - MA</t>
        </is>
      </c>
      <c r="C3531" s="6" t="n">
        <v>-2.53874</v>
      </c>
      <c r="D3531" s="6" t="n">
        <v>-44.2825</v>
      </c>
      <c r="E3531" s="6" t="inlineStr">
        <is>
          <t>2025-02</t>
        </is>
      </c>
      <c r="F3531" s="6" t="n"/>
      <c r="G3531" s="6" t="inlineStr">
        <is>
          <t>EXPORTACAO</t>
        </is>
      </c>
      <c r="H3531" s="6" t="inlineStr">
        <is>
          <t>AUTO_OFERTA_TOTAL_PRODUTO_PERIODO</t>
        </is>
      </c>
      <c r="I3531" s="11">
        <f>IF($H3531="AUTO_OFERTA_TOTAL_PRODUTO_PERIODO",SUMIFS(Oferta!$F:$F,Oferta!$A:$A,$A3531,Oferta!$E:$E,$E3531),$F3531)</f>
        <v/>
      </c>
      <c r="J3531" s="6" t="inlineStr">
        <is>
          <t>Derivado_da_Oferta</t>
        </is>
      </c>
      <c r="K3531" s="6" t="inlineStr">
        <is>
          <t>Mercado externo: limite superior calculado automaticamente pela soma da oferta do produto no período.</t>
        </is>
      </c>
    </row>
    <row r="3532">
      <c r="A3532" s="6" t="inlineStr">
        <is>
          <t>Milho</t>
        </is>
      </c>
      <c r="B3532" s="6" t="inlineStr">
        <is>
          <t>São Luís - MA</t>
        </is>
      </c>
      <c r="C3532" s="6" t="n">
        <v>-2.53874</v>
      </c>
      <c r="D3532" s="6" t="n">
        <v>-44.2825</v>
      </c>
      <c r="E3532" s="6" t="inlineStr">
        <is>
          <t>2025-03</t>
        </is>
      </c>
      <c r="F3532" s="6" t="n"/>
      <c r="G3532" s="6" t="inlineStr">
        <is>
          <t>EXPORTACAO</t>
        </is>
      </c>
      <c r="H3532" s="6" t="inlineStr">
        <is>
          <t>AUTO_OFERTA_TOTAL_PRODUTO_PERIODO</t>
        </is>
      </c>
      <c r="I3532" s="11">
        <f>IF($H3532="AUTO_OFERTA_TOTAL_PRODUTO_PERIODO",SUMIFS(Oferta!$F:$F,Oferta!$A:$A,$A3532,Oferta!$E:$E,$E3532),$F3532)</f>
        <v/>
      </c>
      <c r="J3532" s="6" t="inlineStr">
        <is>
          <t>Derivado_da_Oferta</t>
        </is>
      </c>
      <c r="K3532" s="6" t="inlineStr">
        <is>
          <t>Mercado externo: limite superior calculado automaticamente pela soma da oferta do produto no período.</t>
        </is>
      </c>
    </row>
    <row r="3533">
      <c r="A3533" s="6" t="inlineStr">
        <is>
          <t>Milho</t>
        </is>
      </c>
      <c r="B3533" s="6" t="inlineStr">
        <is>
          <t>São Luís - MA</t>
        </is>
      </c>
      <c r="C3533" s="6" t="n">
        <v>-2.53874</v>
      </c>
      <c r="D3533" s="6" t="n">
        <v>-44.2825</v>
      </c>
      <c r="E3533" s="6" t="inlineStr">
        <is>
          <t>2025-04</t>
        </is>
      </c>
      <c r="F3533" s="6" t="n"/>
      <c r="G3533" s="6" t="inlineStr">
        <is>
          <t>EXPORTACAO</t>
        </is>
      </c>
      <c r="H3533" s="6" t="inlineStr">
        <is>
          <t>AUTO_OFERTA_TOTAL_PRODUTO_PERIODO</t>
        </is>
      </c>
      <c r="I3533" s="11">
        <f>IF($H3533="AUTO_OFERTA_TOTAL_PRODUTO_PERIODO",SUMIFS(Oferta!$F:$F,Oferta!$A:$A,$A3533,Oferta!$E:$E,$E3533),$F3533)</f>
        <v/>
      </c>
      <c r="J3533" s="6" t="inlineStr">
        <is>
          <t>Derivado_da_Oferta</t>
        </is>
      </c>
      <c r="K3533" s="6" t="inlineStr">
        <is>
          <t>Mercado externo: limite superior calculado automaticamente pela soma da oferta do produto no período.</t>
        </is>
      </c>
    </row>
    <row r="3534">
      <c r="A3534" s="6" t="inlineStr">
        <is>
          <t>Milho</t>
        </is>
      </c>
      <c r="B3534" s="6" t="inlineStr">
        <is>
          <t>São Luís - MA</t>
        </is>
      </c>
      <c r="C3534" s="6" t="n">
        <v>-2.53874</v>
      </c>
      <c r="D3534" s="6" t="n">
        <v>-44.2825</v>
      </c>
      <c r="E3534" s="6" t="inlineStr">
        <is>
          <t>2025-05</t>
        </is>
      </c>
      <c r="F3534" s="6" t="n"/>
      <c r="G3534" s="6" t="inlineStr">
        <is>
          <t>EXPORTACAO</t>
        </is>
      </c>
      <c r="H3534" s="6" t="inlineStr">
        <is>
          <t>AUTO_OFERTA_TOTAL_PRODUTO_PERIODO</t>
        </is>
      </c>
      <c r="I3534" s="11">
        <f>IF($H3534="AUTO_OFERTA_TOTAL_PRODUTO_PERIODO",SUMIFS(Oferta!$F:$F,Oferta!$A:$A,$A3534,Oferta!$E:$E,$E3534),$F3534)</f>
        <v/>
      </c>
      <c r="J3534" s="6" t="inlineStr">
        <is>
          <t>Derivado_da_Oferta</t>
        </is>
      </c>
      <c r="K3534" s="6" t="inlineStr">
        <is>
          <t>Mercado externo: limite superior calculado automaticamente pela soma da oferta do produto no período.</t>
        </is>
      </c>
    </row>
    <row r="3535">
      <c r="A3535" s="6" t="inlineStr">
        <is>
          <t>Milho</t>
        </is>
      </c>
      <c r="B3535" s="6" t="inlineStr">
        <is>
          <t>São Luís - MA</t>
        </is>
      </c>
      <c r="C3535" s="6" t="n">
        <v>-2.53874</v>
      </c>
      <c r="D3535" s="6" t="n">
        <v>-44.2825</v>
      </c>
      <c r="E3535" s="6" t="inlineStr">
        <is>
          <t>2025-06</t>
        </is>
      </c>
      <c r="F3535" s="6" t="n"/>
      <c r="G3535" s="6" t="inlineStr">
        <is>
          <t>EXPORTACAO</t>
        </is>
      </c>
      <c r="H3535" s="6" t="inlineStr">
        <is>
          <t>AUTO_OFERTA_TOTAL_PRODUTO_PERIODO</t>
        </is>
      </c>
      <c r="I3535" s="11">
        <f>IF($H3535="AUTO_OFERTA_TOTAL_PRODUTO_PERIODO",SUMIFS(Oferta!$F:$F,Oferta!$A:$A,$A3535,Oferta!$E:$E,$E3535),$F3535)</f>
        <v/>
      </c>
      <c r="J3535" s="6" t="inlineStr">
        <is>
          <t>Derivado_da_Oferta</t>
        </is>
      </c>
      <c r="K3535" s="6" t="inlineStr">
        <is>
          <t>Mercado externo: limite superior calculado automaticamente pela soma da oferta do produto no período.</t>
        </is>
      </c>
    </row>
    <row r="3536">
      <c r="A3536" s="6" t="inlineStr">
        <is>
          <t>Milho</t>
        </is>
      </c>
      <c r="B3536" s="6" t="inlineStr">
        <is>
          <t>São Luís - MA</t>
        </is>
      </c>
      <c r="C3536" s="6" t="n">
        <v>-2.53874</v>
      </c>
      <c r="D3536" s="6" t="n">
        <v>-44.2825</v>
      </c>
      <c r="E3536" s="6" t="inlineStr">
        <is>
          <t>2025-07</t>
        </is>
      </c>
      <c r="F3536" s="6" t="n"/>
      <c r="G3536" s="6" t="inlineStr">
        <is>
          <t>EXPORTACAO</t>
        </is>
      </c>
      <c r="H3536" s="6" t="inlineStr">
        <is>
          <t>AUTO_OFERTA_TOTAL_PRODUTO_PERIODO</t>
        </is>
      </c>
      <c r="I3536" s="11">
        <f>IF($H3536="AUTO_OFERTA_TOTAL_PRODUTO_PERIODO",SUMIFS(Oferta!$F:$F,Oferta!$A:$A,$A3536,Oferta!$E:$E,$E3536),$F3536)</f>
        <v/>
      </c>
      <c r="J3536" s="6" t="inlineStr">
        <is>
          <t>Derivado_da_Oferta</t>
        </is>
      </c>
      <c r="K3536" s="6" t="inlineStr">
        <is>
          <t>Mercado externo: limite superior calculado automaticamente pela soma da oferta do produto no período.</t>
        </is>
      </c>
    </row>
    <row r="3537">
      <c r="A3537" s="6" t="inlineStr">
        <is>
          <t>Milho</t>
        </is>
      </c>
      <c r="B3537" s="6" t="inlineStr">
        <is>
          <t>São Luís - MA</t>
        </is>
      </c>
      <c r="C3537" s="6" t="n">
        <v>-2.53874</v>
      </c>
      <c r="D3537" s="6" t="n">
        <v>-44.2825</v>
      </c>
      <c r="E3537" s="6" t="inlineStr">
        <is>
          <t>2025-08</t>
        </is>
      </c>
      <c r="F3537" s="6" t="n"/>
      <c r="G3537" s="6" t="inlineStr">
        <is>
          <t>EXPORTACAO</t>
        </is>
      </c>
      <c r="H3537" s="6" t="inlineStr">
        <is>
          <t>AUTO_OFERTA_TOTAL_PRODUTO_PERIODO</t>
        </is>
      </c>
      <c r="I3537" s="11">
        <f>IF($H3537="AUTO_OFERTA_TOTAL_PRODUTO_PERIODO",SUMIFS(Oferta!$F:$F,Oferta!$A:$A,$A3537,Oferta!$E:$E,$E3537),$F3537)</f>
        <v/>
      </c>
      <c r="J3537" s="6" t="inlineStr">
        <is>
          <t>Derivado_da_Oferta</t>
        </is>
      </c>
      <c r="K3537" s="6" t="inlineStr">
        <is>
          <t>Mercado externo: limite superior calculado automaticamente pela soma da oferta do produto no período.</t>
        </is>
      </c>
    </row>
    <row r="3538">
      <c r="A3538" s="6" t="inlineStr">
        <is>
          <t>Milho</t>
        </is>
      </c>
      <c r="B3538" s="6" t="inlineStr">
        <is>
          <t>São Luís - MA</t>
        </is>
      </c>
      <c r="C3538" s="6" t="n">
        <v>-2.53874</v>
      </c>
      <c r="D3538" s="6" t="n">
        <v>-44.2825</v>
      </c>
      <c r="E3538" s="6" t="inlineStr">
        <is>
          <t>2025-09</t>
        </is>
      </c>
      <c r="F3538" s="6" t="n"/>
      <c r="G3538" s="6" t="inlineStr">
        <is>
          <t>EXPORTACAO</t>
        </is>
      </c>
      <c r="H3538" s="6" t="inlineStr">
        <is>
          <t>AUTO_OFERTA_TOTAL_PRODUTO_PERIODO</t>
        </is>
      </c>
      <c r="I3538" s="11">
        <f>IF($H3538="AUTO_OFERTA_TOTAL_PRODUTO_PERIODO",SUMIFS(Oferta!$F:$F,Oferta!$A:$A,$A3538,Oferta!$E:$E,$E3538),$F3538)</f>
        <v/>
      </c>
      <c r="J3538" s="6" t="inlineStr">
        <is>
          <t>Derivado_da_Oferta</t>
        </is>
      </c>
      <c r="K3538" s="6" t="inlineStr">
        <is>
          <t>Mercado externo: limite superior calculado automaticamente pela soma da oferta do produto no período.</t>
        </is>
      </c>
    </row>
    <row r="3539">
      <c r="A3539" s="6" t="inlineStr">
        <is>
          <t>Milho</t>
        </is>
      </c>
      <c r="B3539" s="6" t="inlineStr">
        <is>
          <t>São Luís - MA</t>
        </is>
      </c>
      <c r="C3539" s="6" t="n">
        <v>-2.53874</v>
      </c>
      <c r="D3539" s="6" t="n">
        <v>-44.2825</v>
      </c>
      <c r="E3539" s="6" t="inlineStr">
        <is>
          <t>2025-10</t>
        </is>
      </c>
      <c r="F3539" s="6" t="n"/>
      <c r="G3539" s="6" t="inlineStr">
        <is>
          <t>EXPORTACAO</t>
        </is>
      </c>
      <c r="H3539" s="6" t="inlineStr">
        <is>
          <t>AUTO_OFERTA_TOTAL_PRODUTO_PERIODO</t>
        </is>
      </c>
      <c r="I3539" s="11">
        <f>IF($H3539="AUTO_OFERTA_TOTAL_PRODUTO_PERIODO",SUMIFS(Oferta!$F:$F,Oferta!$A:$A,$A3539,Oferta!$E:$E,$E3539),$F3539)</f>
        <v/>
      </c>
      <c r="J3539" s="6" t="inlineStr">
        <is>
          <t>Derivado_da_Oferta</t>
        </is>
      </c>
      <c r="K3539" s="6" t="inlineStr">
        <is>
          <t>Mercado externo: limite superior calculado automaticamente pela soma da oferta do produto no período.</t>
        </is>
      </c>
    </row>
    <row r="3540">
      <c r="A3540" s="6" t="inlineStr">
        <is>
          <t>Milho</t>
        </is>
      </c>
      <c r="B3540" s="6" t="inlineStr">
        <is>
          <t>São Luís - MA</t>
        </is>
      </c>
      <c r="C3540" s="6" t="n">
        <v>-2.53874</v>
      </c>
      <c r="D3540" s="6" t="n">
        <v>-44.2825</v>
      </c>
      <c r="E3540" s="6" t="inlineStr">
        <is>
          <t>2025-11</t>
        </is>
      </c>
      <c r="F3540" s="6" t="n"/>
      <c r="G3540" s="6" t="inlineStr">
        <is>
          <t>EXPORTACAO</t>
        </is>
      </c>
      <c r="H3540" s="6" t="inlineStr">
        <is>
          <t>AUTO_OFERTA_TOTAL_PRODUTO_PERIODO</t>
        </is>
      </c>
      <c r="I3540" s="11">
        <f>IF($H3540="AUTO_OFERTA_TOTAL_PRODUTO_PERIODO",SUMIFS(Oferta!$F:$F,Oferta!$A:$A,$A3540,Oferta!$E:$E,$E3540),$F3540)</f>
        <v/>
      </c>
      <c r="J3540" s="6" t="inlineStr">
        <is>
          <t>Derivado_da_Oferta</t>
        </is>
      </c>
      <c r="K3540" s="6" t="inlineStr">
        <is>
          <t>Mercado externo: limite superior calculado automaticamente pela soma da oferta do produto no período.</t>
        </is>
      </c>
    </row>
    <row r="3541">
      <c r="A3541" s="6" t="inlineStr">
        <is>
          <t>Milho</t>
        </is>
      </c>
      <c r="B3541" s="6" t="inlineStr">
        <is>
          <t>São Luís - MA</t>
        </is>
      </c>
      <c r="C3541" s="6" t="n">
        <v>-2.53874</v>
      </c>
      <c r="D3541" s="6" t="n">
        <v>-44.2825</v>
      </c>
      <c r="E3541" s="6" t="inlineStr">
        <is>
          <t>2025-12</t>
        </is>
      </c>
      <c r="F3541" s="6" t="n"/>
      <c r="G3541" s="6" t="inlineStr">
        <is>
          <t>EXPORTACAO</t>
        </is>
      </c>
      <c r="H3541" s="6" t="inlineStr">
        <is>
          <t>AUTO_OFERTA_TOTAL_PRODUTO_PERIODO</t>
        </is>
      </c>
      <c r="I3541" s="11">
        <f>IF($H3541="AUTO_OFERTA_TOTAL_PRODUTO_PERIODO",SUMIFS(Oferta!$F:$F,Oferta!$A:$A,$A3541,Oferta!$E:$E,$E3541),$F3541)</f>
        <v/>
      </c>
      <c r="J3541" s="6" t="inlineStr">
        <is>
          <t>Derivado_da_Oferta</t>
        </is>
      </c>
      <c r="K3541" s="6" t="inlineStr">
        <is>
          <t>Mercado externo: limite superior calculado automaticamente pela soma da oferta do produto no período.</t>
        </is>
      </c>
    </row>
    <row r="3542">
      <c r="A3542" s="6" t="inlineStr">
        <is>
          <t>Soja</t>
        </is>
      </c>
      <c r="B3542" s="6" t="inlineStr">
        <is>
          <t>São Luís - MA</t>
        </is>
      </c>
      <c r="C3542" s="6" t="n">
        <v>-2.53874</v>
      </c>
      <c r="D3542" s="6" t="n">
        <v>-44.2825</v>
      </c>
      <c r="E3542" s="6" t="inlineStr">
        <is>
          <t>2021-01</t>
        </is>
      </c>
      <c r="F3542" s="6" t="n"/>
      <c r="G3542" s="6" t="inlineStr">
        <is>
          <t>EXPORTACAO</t>
        </is>
      </c>
      <c r="H3542" s="6" t="inlineStr">
        <is>
          <t>AUTO_OFERTA_TOTAL_PRODUTO_PERIODO</t>
        </is>
      </c>
      <c r="I3542" s="11">
        <f>IF($H3542="AUTO_OFERTA_TOTAL_PRODUTO_PERIODO",SUMIFS(Oferta!$F:$F,Oferta!$A:$A,$A3542,Oferta!$E:$E,$E3542),$F3542)</f>
        <v/>
      </c>
      <c r="J3542" s="6" t="inlineStr">
        <is>
          <t>Derivado_da_Oferta</t>
        </is>
      </c>
      <c r="K3542" s="6" t="inlineStr">
        <is>
          <t>Mercado externo: limite superior calculado automaticamente pela soma da oferta do produto no período.</t>
        </is>
      </c>
    </row>
    <row r="3543">
      <c r="A3543" s="6" t="inlineStr">
        <is>
          <t>Soja</t>
        </is>
      </c>
      <c r="B3543" s="6" t="inlineStr">
        <is>
          <t>São Luís - MA</t>
        </is>
      </c>
      <c r="C3543" s="6" t="n">
        <v>-2.53874</v>
      </c>
      <c r="D3543" s="6" t="n">
        <v>-44.2825</v>
      </c>
      <c r="E3543" s="6" t="inlineStr">
        <is>
          <t>2021-02</t>
        </is>
      </c>
      <c r="F3543" s="6" t="n"/>
      <c r="G3543" s="6" t="inlineStr">
        <is>
          <t>EXPORTACAO</t>
        </is>
      </c>
      <c r="H3543" s="6" t="inlineStr">
        <is>
          <t>AUTO_OFERTA_TOTAL_PRODUTO_PERIODO</t>
        </is>
      </c>
      <c r="I3543" s="11">
        <f>IF($H3543="AUTO_OFERTA_TOTAL_PRODUTO_PERIODO",SUMIFS(Oferta!$F:$F,Oferta!$A:$A,$A3543,Oferta!$E:$E,$E3543),$F3543)</f>
        <v/>
      </c>
      <c r="J3543" s="6" t="inlineStr">
        <is>
          <t>Derivado_da_Oferta</t>
        </is>
      </c>
      <c r="K3543" s="6" t="inlineStr">
        <is>
          <t>Mercado externo: limite superior calculado automaticamente pela soma da oferta do produto no período.</t>
        </is>
      </c>
    </row>
    <row r="3544">
      <c r="A3544" s="6" t="inlineStr">
        <is>
          <t>Soja</t>
        </is>
      </c>
      <c r="B3544" s="6" t="inlineStr">
        <is>
          <t>São Luís - MA</t>
        </is>
      </c>
      <c r="C3544" s="6" t="n">
        <v>-2.53874</v>
      </c>
      <c r="D3544" s="6" t="n">
        <v>-44.2825</v>
      </c>
      <c r="E3544" s="6" t="inlineStr">
        <is>
          <t>2021-03</t>
        </is>
      </c>
      <c r="F3544" s="6" t="n"/>
      <c r="G3544" s="6" t="inlineStr">
        <is>
          <t>EXPORTACAO</t>
        </is>
      </c>
      <c r="H3544" s="6" t="inlineStr">
        <is>
          <t>AUTO_OFERTA_TOTAL_PRODUTO_PERIODO</t>
        </is>
      </c>
      <c r="I3544" s="11">
        <f>IF($H3544="AUTO_OFERTA_TOTAL_PRODUTO_PERIODO",SUMIFS(Oferta!$F:$F,Oferta!$A:$A,$A3544,Oferta!$E:$E,$E3544),$F3544)</f>
        <v/>
      </c>
      <c r="J3544" s="6" t="inlineStr">
        <is>
          <t>Derivado_da_Oferta</t>
        </is>
      </c>
      <c r="K3544" s="6" t="inlineStr">
        <is>
          <t>Mercado externo: limite superior calculado automaticamente pela soma da oferta do produto no período.</t>
        </is>
      </c>
    </row>
    <row r="3545">
      <c r="A3545" s="6" t="inlineStr">
        <is>
          <t>Soja</t>
        </is>
      </c>
      <c r="B3545" s="6" t="inlineStr">
        <is>
          <t>São Luís - MA</t>
        </is>
      </c>
      <c r="C3545" s="6" t="n">
        <v>-2.53874</v>
      </c>
      <c r="D3545" s="6" t="n">
        <v>-44.2825</v>
      </c>
      <c r="E3545" s="6" t="inlineStr">
        <is>
          <t>2021-04</t>
        </is>
      </c>
      <c r="F3545" s="6" t="n"/>
      <c r="G3545" s="6" t="inlineStr">
        <is>
          <t>EXPORTACAO</t>
        </is>
      </c>
      <c r="H3545" s="6" t="inlineStr">
        <is>
          <t>AUTO_OFERTA_TOTAL_PRODUTO_PERIODO</t>
        </is>
      </c>
      <c r="I3545" s="11">
        <f>IF($H3545="AUTO_OFERTA_TOTAL_PRODUTO_PERIODO",SUMIFS(Oferta!$F:$F,Oferta!$A:$A,$A3545,Oferta!$E:$E,$E3545),$F3545)</f>
        <v/>
      </c>
      <c r="J3545" s="6" t="inlineStr">
        <is>
          <t>Derivado_da_Oferta</t>
        </is>
      </c>
      <c r="K3545" s="6" t="inlineStr">
        <is>
          <t>Mercado externo: limite superior calculado automaticamente pela soma da oferta do produto no período.</t>
        </is>
      </c>
    </row>
    <row r="3546">
      <c r="A3546" s="6" t="inlineStr">
        <is>
          <t>Soja</t>
        </is>
      </c>
      <c r="B3546" s="6" t="inlineStr">
        <is>
          <t>São Luís - MA</t>
        </is>
      </c>
      <c r="C3546" s="6" t="n">
        <v>-2.53874</v>
      </c>
      <c r="D3546" s="6" t="n">
        <v>-44.2825</v>
      </c>
      <c r="E3546" s="6" t="inlineStr">
        <is>
          <t>2021-05</t>
        </is>
      </c>
      <c r="F3546" s="6" t="n"/>
      <c r="G3546" s="6" t="inlineStr">
        <is>
          <t>EXPORTACAO</t>
        </is>
      </c>
      <c r="H3546" s="6" t="inlineStr">
        <is>
          <t>AUTO_OFERTA_TOTAL_PRODUTO_PERIODO</t>
        </is>
      </c>
      <c r="I3546" s="11">
        <f>IF($H3546="AUTO_OFERTA_TOTAL_PRODUTO_PERIODO",SUMIFS(Oferta!$F:$F,Oferta!$A:$A,$A3546,Oferta!$E:$E,$E3546),$F3546)</f>
        <v/>
      </c>
      <c r="J3546" s="6" t="inlineStr">
        <is>
          <t>Derivado_da_Oferta</t>
        </is>
      </c>
      <c r="K3546" s="6" t="inlineStr">
        <is>
          <t>Mercado externo: limite superior calculado automaticamente pela soma da oferta do produto no período.</t>
        </is>
      </c>
    </row>
    <row r="3547">
      <c r="A3547" s="6" t="inlineStr">
        <is>
          <t>Soja</t>
        </is>
      </c>
      <c r="B3547" s="6" t="inlineStr">
        <is>
          <t>São Luís - MA</t>
        </is>
      </c>
      <c r="C3547" s="6" t="n">
        <v>-2.53874</v>
      </c>
      <c r="D3547" s="6" t="n">
        <v>-44.2825</v>
      </c>
      <c r="E3547" s="6" t="inlineStr">
        <is>
          <t>2021-06</t>
        </is>
      </c>
      <c r="F3547" s="6" t="n"/>
      <c r="G3547" s="6" t="inlineStr">
        <is>
          <t>EXPORTACAO</t>
        </is>
      </c>
      <c r="H3547" s="6" t="inlineStr">
        <is>
          <t>AUTO_OFERTA_TOTAL_PRODUTO_PERIODO</t>
        </is>
      </c>
      <c r="I3547" s="11">
        <f>IF($H3547="AUTO_OFERTA_TOTAL_PRODUTO_PERIODO",SUMIFS(Oferta!$F:$F,Oferta!$A:$A,$A3547,Oferta!$E:$E,$E3547),$F3547)</f>
        <v/>
      </c>
      <c r="J3547" s="6" t="inlineStr">
        <is>
          <t>Derivado_da_Oferta</t>
        </is>
      </c>
      <c r="K3547" s="6" t="inlineStr">
        <is>
          <t>Mercado externo: limite superior calculado automaticamente pela soma da oferta do produto no período.</t>
        </is>
      </c>
    </row>
    <row r="3548">
      <c r="A3548" s="6" t="inlineStr">
        <is>
          <t>Soja</t>
        </is>
      </c>
      <c r="B3548" s="6" t="inlineStr">
        <is>
          <t>São Luís - MA</t>
        </is>
      </c>
      <c r="C3548" s="6" t="n">
        <v>-2.53874</v>
      </c>
      <c r="D3548" s="6" t="n">
        <v>-44.2825</v>
      </c>
      <c r="E3548" s="6" t="inlineStr">
        <is>
          <t>2021-07</t>
        </is>
      </c>
      <c r="F3548" s="6" t="n"/>
      <c r="G3548" s="6" t="inlineStr">
        <is>
          <t>EXPORTACAO</t>
        </is>
      </c>
      <c r="H3548" s="6" t="inlineStr">
        <is>
          <t>AUTO_OFERTA_TOTAL_PRODUTO_PERIODO</t>
        </is>
      </c>
      <c r="I3548" s="11">
        <f>IF($H3548="AUTO_OFERTA_TOTAL_PRODUTO_PERIODO",SUMIFS(Oferta!$F:$F,Oferta!$A:$A,$A3548,Oferta!$E:$E,$E3548),$F3548)</f>
        <v/>
      </c>
      <c r="J3548" s="6" t="inlineStr">
        <is>
          <t>Derivado_da_Oferta</t>
        </is>
      </c>
      <c r="K3548" s="6" t="inlineStr">
        <is>
          <t>Mercado externo: limite superior calculado automaticamente pela soma da oferta do produto no período.</t>
        </is>
      </c>
    </row>
    <row r="3549">
      <c r="A3549" s="6" t="inlineStr">
        <is>
          <t>Soja</t>
        </is>
      </c>
      <c r="B3549" s="6" t="inlineStr">
        <is>
          <t>São Luís - MA</t>
        </is>
      </c>
      <c r="C3549" s="6" t="n">
        <v>-2.53874</v>
      </c>
      <c r="D3549" s="6" t="n">
        <v>-44.2825</v>
      </c>
      <c r="E3549" s="6" t="inlineStr">
        <is>
          <t>2021-08</t>
        </is>
      </c>
      <c r="F3549" s="6" t="n"/>
      <c r="G3549" s="6" t="inlineStr">
        <is>
          <t>EXPORTACAO</t>
        </is>
      </c>
      <c r="H3549" s="6" t="inlineStr">
        <is>
          <t>AUTO_OFERTA_TOTAL_PRODUTO_PERIODO</t>
        </is>
      </c>
      <c r="I3549" s="11">
        <f>IF($H3549="AUTO_OFERTA_TOTAL_PRODUTO_PERIODO",SUMIFS(Oferta!$F:$F,Oferta!$A:$A,$A3549,Oferta!$E:$E,$E3549),$F3549)</f>
        <v/>
      </c>
      <c r="J3549" s="6" t="inlineStr">
        <is>
          <t>Derivado_da_Oferta</t>
        </is>
      </c>
      <c r="K3549" s="6" t="inlineStr">
        <is>
          <t>Mercado externo: limite superior calculado automaticamente pela soma da oferta do produto no período.</t>
        </is>
      </c>
    </row>
    <row r="3550">
      <c r="A3550" s="6" t="inlineStr">
        <is>
          <t>Soja</t>
        </is>
      </c>
      <c r="B3550" s="6" t="inlineStr">
        <is>
          <t>São Luís - MA</t>
        </is>
      </c>
      <c r="C3550" s="6" t="n">
        <v>-2.53874</v>
      </c>
      <c r="D3550" s="6" t="n">
        <v>-44.2825</v>
      </c>
      <c r="E3550" s="6" t="inlineStr">
        <is>
          <t>2021-09</t>
        </is>
      </c>
      <c r="F3550" s="6" t="n"/>
      <c r="G3550" s="6" t="inlineStr">
        <is>
          <t>EXPORTACAO</t>
        </is>
      </c>
      <c r="H3550" s="6" t="inlineStr">
        <is>
          <t>AUTO_OFERTA_TOTAL_PRODUTO_PERIODO</t>
        </is>
      </c>
      <c r="I3550" s="11">
        <f>IF($H3550="AUTO_OFERTA_TOTAL_PRODUTO_PERIODO",SUMIFS(Oferta!$F:$F,Oferta!$A:$A,$A3550,Oferta!$E:$E,$E3550),$F3550)</f>
        <v/>
      </c>
      <c r="J3550" s="6" t="inlineStr">
        <is>
          <t>Derivado_da_Oferta</t>
        </is>
      </c>
      <c r="K3550" s="6" t="inlineStr">
        <is>
          <t>Mercado externo: limite superior calculado automaticamente pela soma da oferta do produto no período.</t>
        </is>
      </c>
    </row>
    <row r="3551">
      <c r="A3551" s="6" t="inlineStr">
        <is>
          <t>Soja</t>
        </is>
      </c>
      <c r="B3551" s="6" t="inlineStr">
        <is>
          <t>São Luís - MA</t>
        </is>
      </c>
      <c r="C3551" s="6" t="n">
        <v>-2.53874</v>
      </c>
      <c r="D3551" s="6" t="n">
        <v>-44.2825</v>
      </c>
      <c r="E3551" s="6" t="inlineStr">
        <is>
          <t>2021-10</t>
        </is>
      </c>
      <c r="F3551" s="6" t="n"/>
      <c r="G3551" s="6" t="inlineStr">
        <is>
          <t>EXPORTACAO</t>
        </is>
      </c>
      <c r="H3551" s="6" t="inlineStr">
        <is>
          <t>AUTO_OFERTA_TOTAL_PRODUTO_PERIODO</t>
        </is>
      </c>
      <c r="I3551" s="11">
        <f>IF($H3551="AUTO_OFERTA_TOTAL_PRODUTO_PERIODO",SUMIFS(Oferta!$F:$F,Oferta!$A:$A,$A3551,Oferta!$E:$E,$E3551),$F3551)</f>
        <v/>
      </c>
      <c r="J3551" s="6" t="inlineStr">
        <is>
          <t>Derivado_da_Oferta</t>
        </is>
      </c>
      <c r="K3551" s="6" t="inlineStr">
        <is>
          <t>Mercado externo: limite superior calculado automaticamente pela soma da oferta do produto no período.</t>
        </is>
      </c>
    </row>
    <row r="3552">
      <c r="A3552" s="6" t="inlineStr">
        <is>
          <t>Soja</t>
        </is>
      </c>
      <c r="B3552" s="6" t="inlineStr">
        <is>
          <t>São Luís - MA</t>
        </is>
      </c>
      <c r="C3552" s="6" t="n">
        <v>-2.53874</v>
      </c>
      <c r="D3552" s="6" t="n">
        <v>-44.2825</v>
      </c>
      <c r="E3552" s="6" t="inlineStr">
        <is>
          <t>2021-11</t>
        </is>
      </c>
      <c r="F3552" s="6" t="n"/>
      <c r="G3552" s="6" t="inlineStr">
        <is>
          <t>EXPORTACAO</t>
        </is>
      </c>
      <c r="H3552" s="6" t="inlineStr">
        <is>
          <t>AUTO_OFERTA_TOTAL_PRODUTO_PERIODO</t>
        </is>
      </c>
      <c r="I3552" s="11">
        <f>IF($H3552="AUTO_OFERTA_TOTAL_PRODUTO_PERIODO",SUMIFS(Oferta!$F:$F,Oferta!$A:$A,$A3552,Oferta!$E:$E,$E3552),$F3552)</f>
        <v/>
      </c>
      <c r="J3552" s="6" t="inlineStr">
        <is>
          <t>Derivado_da_Oferta</t>
        </is>
      </c>
      <c r="K3552" s="6" t="inlineStr">
        <is>
          <t>Mercado externo: limite superior calculado automaticamente pela soma da oferta do produto no período.</t>
        </is>
      </c>
    </row>
    <row r="3553">
      <c r="A3553" s="6" t="inlineStr">
        <is>
          <t>Soja</t>
        </is>
      </c>
      <c r="B3553" s="6" t="inlineStr">
        <is>
          <t>São Luís - MA</t>
        </is>
      </c>
      <c r="C3553" s="6" t="n">
        <v>-2.53874</v>
      </c>
      <c r="D3553" s="6" t="n">
        <v>-44.2825</v>
      </c>
      <c r="E3553" s="6" t="inlineStr">
        <is>
          <t>2021-12</t>
        </is>
      </c>
      <c r="F3553" s="6" t="n"/>
      <c r="G3553" s="6" t="inlineStr">
        <is>
          <t>EXPORTACAO</t>
        </is>
      </c>
      <c r="H3553" s="6" t="inlineStr">
        <is>
          <t>AUTO_OFERTA_TOTAL_PRODUTO_PERIODO</t>
        </is>
      </c>
      <c r="I3553" s="11">
        <f>IF($H3553="AUTO_OFERTA_TOTAL_PRODUTO_PERIODO",SUMIFS(Oferta!$F:$F,Oferta!$A:$A,$A3553,Oferta!$E:$E,$E3553),$F3553)</f>
        <v/>
      </c>
      <c r="J3553" s="6" t="inlineStr">
        <is>
          <t>Derivado_da_Oferta</t>
        </is>
      </c>
      <c r="K3553" s="6" t="inlineStr">
        <is>
          <t>Mercado externo: limite superior calculado automaticamente pela soma da oferta do produto no período.</t>
        </is>
      </c>
    </row>
    <row r="3554">
      <c r="A3554" s="6" t="inlineStr">
        <is>
          <t>Soja</t>
        </is>
      </c>
      <c r="B3554" s="6" t="inlineStr">
        <is>
          <t>São Luís - MA</t>
        </is>
      </c>
      <c r="C3554" s="6" t="n">
        <v>-2.53874</v>
      </c>
      <c r="D3554" s="6" t="n">
        <v>-44.2825</v>
      </c>
      <c r="E3554" s="6" t="inlineStr">
        <is>
          <t>2022-01</t>
        </is>
      </c>
      <c r="F3554" s="6" t="n"/>
      <c r="G3554" s="6" t="inlineStr">
        <is>
          <t>EXPORTACAO</t>
        </is>
      </c>
      <c r="H3554" s="6" t="inlineStr">
        <is>
          <t>AUTO_OFERTA_TOTAL_PRODUTO_PERIODO</t>
        </is>
      </c>
      <c r="I3554" s="11">
        <f>IF($H3554="AUTO_OFERTA_TOTAL_PRODUTO_PERIODO",SUMIFS(Oferta!$F:$F,Oferta!$A:$A,$A3554,Oferta!$E:$E,$E3554),$F3554)</f>
        <v/>
      </c>
      <c r="J3554" s="6" t="inlineStr">
        <is>
          <t>Derivado_da_Oferta</t>
        </is>
      </c>
      <c r="K3554" s="6" t="inlineStr">
        <is>
          <t>Mercado externo: limite superior calculado automaticamente pela soma da oferta do produto no período.</t>
        </is>
      </c>
    </row>
    <row r="3555">
      <c r="A3555" s="6" t="inlineStr">
        <is>
          <t>Soja</t>
        </is>
      </c>
      <c r="B3555" s="6" t="inlineStr">
        <is>
          <t>São Luís - MA</t>
        </is>
      </c>
      <c r="C3555" s="6" t="n">
        <v>-2.53874</v>
      </c>
      <c r="D3555" s="6" t="n">
        <v>-44.2825</v>
      </c>
      <c r="E3555" s="6" t="inlineStr">
        <is>
          <t>2022-02</t>
        </is>
      </c>
      <c r="F3555" s="6" t="n"/>
      <c r="G3555" s="6" t="inlineStr">
        <is>
          <t>EXPORTACAO</t>
        </is>
      </c>
      <c r="H3555" s="6" t="inlineStr">
        <is>
          <t>AUTO_OFERTA_TOTAL_PRODUTO_PERIODO</t>
        </is>
      </c>
      <c r="I3555" s="11">
        <f>IF($H3555="AUTO_OFERTA_TOTAL_PRODUTO_PERIODO",SUMIFS(Oferta!$F:$F,Oferta!$A:$A,$A3555,Oferta!$E:$E,$E3555),$F3555)</f>
        <v/>
      </c>
      <c r="J3555" s="6" t="inlineStr">
        <is>
          <t>Derivado_da_Oferta</t>
        </is>
      </c>
      <c r="K3555" s="6" t="inlineStr">
        <is>
          <t>Mercado externo: limite superior calculado automaticamente pela soma da oferta do produto no período.</t>
        </is>
      </c>
    </row>
    <row r="3556">
      <c r="A3556" s="6" t="inlineStr">
        <is>
          <t>Soja</t>
        </is>
      </c>
      <c r="B3556" s="6" t="inlineStr">
        <is>
          <t>São Luís - MA</t>
        </is>
      </c>
      <c r="C3556" s="6" t="n">
        <v>-2.53874</v>
      </c>
      <c r="D3556" s="6" t="n">
        <v>-44.2825</v>
      </c>
      <c r="E3556" s="6" t="inlineStr">
        <is>
          <t>2022-03</t>
        </is>
      </c>
      <c r="F3556" s="6" t="n"/>
      <c r="G3556" s="6" t="inlineStr">
        <is>
          <t>EXPORTACAO</t>
        </is>
      </c>
      <c r="H3556" s="6" t="inlineStr">
        <is>
          <t>AUTO_OFERTA_TOTAL_PRODUTO_PERIODO</t>
        </is>
      </c>
      <c r="I3556" s="11">
        <f>IF($H3556="AUTO_OFERTA_TOTAL_PRODUTO_PERIODO",SUMIFS(Oferta!$F:$F,Oferta!$A:$A,$A3556,Oferta!$E:$E,$E3556),$F3556)</f>
        <v/>
      </c>
      <c r="J3556" s="6" t="inlineStr">
        <is>
          <t>Derivado_da_Oferta</t>
        </is>
      </c>
      <c r="K3556" s="6" t="inlineStr">
        <is>
          <t>Mercado externo: limite superior calculado automaticamente pela soma da oferta do produto no período.</t>
        </is>
      </c>
    </row>
    <row r="3557">
      <c r="A3557" s="6" t="inlineStr">
        <is>
          <t>Soja</t>
        </is>
      </c>
      <c r="B3557" s="6" t="inlineStr">
        <is>
          <t>São Luís - MA</t>
        </is>
      </c>
      <c r="C3557" s="6" t="n">
        <v>-2.53874</v>
      </c>
      <c r="D3557" s="6" t="n">
        <v>-44.2825</v>
      </c>
      <c r="E3557" s="6" t="inlineStr">
        <is>
          <t>2022-04</t>
        </is>
      </c>
      <c r="F3557" s="6" t="n"/>
      <c r="G3557" s="6" t="inlineStr">
        <is>
          <t>EXPORTACAO</t>
        </is>
      </c>
      <c r="H3557" s="6" t="inlineStr">
        <is>
          <t>AUTO_OFERTA_TOTAL_PRODUTO_PERIODO</t>
        </is>
      </c>
      <c r="I3557" s="11">
        <f>IF($H3557="AUTO_OFERTA_TOTAL_PRODUTO_PERIODO",SUMIFS(Oferta!$F:$F,Oferta!$A:$A,$A3557,Oferta!$E:$E,$E3557),$F3557)</f>
        <v/>
      </c>
      <c r="J3557" s="6" t="inlineStr">
        <is>
          <t>Derivado_da_Oferta</t>
        </is>
      </c>
      <c r="K3557" s="6" t="inlineStr">
        <is>
          <t>Mercado externo: limite superior calculado automaticamente pela soma da oferta do produto no período.</t>
        </is>
      </c>
    </row>
    <row r="3558">
      <c r="A3558" s="6" t="inlineStr">
        <is>
          <t>Soja</t>
        </is>
      </c>
      <c r="B3558" s="6" t="inlineStr">
        <is>
          <t>São Luís - MA</t>
        </is>
      </c>
      <c r="C3558" s="6" t="n">
        <v>-2.53874</v>
      </c>
      <c r="D3558" s="6" t="n">
        <v>-44.2825</v>
      </c>
      <c r="E3558" s="6" t="inlineStr">
        <is>
          <t>2022-05</t>
        </is>
      </c>
      <c r="F3558" s="6" t="n"/>
      <c r="G3558" s="6" t="inlineStr">
        <is>
          <t>EXPORTACAO</t>
        </is>
      </c>
      <c r="H3558" s="6" t="inlineStr">
        <is>
          <t>AUTO_OFERTA_TOTAL_PRODUTO_PERIODO</t>
        </is>
      </c>
      <c r="I3558" s="11">
        <f>IF($H3558="AUTO_OFERTA_TOTAL_PRODUTO_PERIODO",SUMIFS(Oferta!$F:$F,Oferta!$A:$A,$A3558,Oferta!$E:$E,$E3558),$F3558)</f>
        <v/>
      </c>
      <c r="J3558" s="6" t="inlineStr">
        <is>
          <t>Derivado_da_Oferta</t>
        </is>
      </c>
      <c r="K3558" s="6" t="inlineStr">
        <is>
          <t>Mercado externo: limite superior calculado automaticamente pela soma da oferta do produto no período.</t>
        </is>
      </c>
    </row>
    <row r="3559">
      <c r="A3559" s="6" t="inlineStr">
        <is>
          <t>Soja</t>
        </is>
      </c>
      <c r="B3559" s="6" t="inlineStr">
        <is>
          <t>São Luís - MA</t>
        </is>
      </c>
      <c r="C3559" s="6" t="n">
        <v>-2.53874</v>
      </c>
      <c r="D3559" s="6" t="n">
        <v>-44.2825</v>
      </c>
      <c r="E3559" s="6" t="inlineStr">
        <is>
          <t>2022-06</t>
        </is>
      </c>
      <c r="F3559" s="6" t="n"/>
      <c r="G3559" s="6" t="inlineStr">
        <is>
          <t>EXPORTACAO</t>
        </is>
      </c>
      <c r="H3559" s="6" t="inlineStr">
        <is>
          <t>AUTO_OFERTA_TOTAL_PRODUTO_PERIODO</t>
        </is>
      </c>
      <c r="I3559" s="11">
        <f>IF($H3559="AUTO_OFERTA_TOTAL_PRODUTO_PERIODO",SUMIFS(Oferta!$F:$F,Oferta!$A:$A,$A3559,Oferta!$E:$E,$E3559),$F3559)</f>
        <v/>
      </c>
      <c r="J3559" s="6" t="inlineStr">
        <is>
          <t>Derivado_da_Oferta</t>
        </is>
      </c>
      <c r="K3559" s="6" t="inlineStr">
        <is>
          <t>Mercado externo: limite superior calculado automaticamente pela soma da oferta do produto no período.</t>
        </is>
      </c>
    </row>
    <row r="3560">
      <c r="A3560" s="6" t="inlineStr">
        <is>
          <t>Soja</t>
        </is>
      </c>
      <c r="B3560" s="6" t="inlineStr">
        <is>
          <t>São Luís - MA</t>
        </is>
      </c>
      <c r="C3560" s="6" t="n">
        <v>-2.53874</v>
      </c>
      <c r="D3560" s="6" t="n">
        <v>-44.2825</v>
      </c>
      <c r="E3560" s="6" t="inlineStr">
        <is>
          <t>2022-07</t>
        </is>
      </c>
      <c r="F3560" s="6" t="n"/>
      <c r="G3560" s="6" t="inlineStr">
        <is>
          <t>EXPORTACAO</t>
        </is>
      </c>
      <c r="H3560" s="6" t="inlineStr">
        <is>
          <t>AUTO_OFERTA_TOTAL_PRODUTO_PERIODO</t>
        </is>
      </c>
      <c r="I3560" s="11">
        <f>IF($H3560="AUTO_OFERTA_TOTAL_PRODUTO_PERIODO",SUMIFS(Oferta!$F:$F,Oferta!$A:$A,$A3560,Oferta!$E:$E,$E3560),$F3560)</f>
        <v/>
      </c>
      <c r="J3560" s="6" t="inlineStr">
        <is>
          <t>Derivado_da_Oferta</t>
        </is>
      </c>
      <c r="K3560" s="6" t="inlineStr">
        <is>
          <t>Mercado externo: limite superior calculado automaticamente pela soma da oferta do produto no período.</t>
        </is>
      </c>
    </row>
    <row r="3561">
      <c r="A3561" s="6" t="inlineStr">
        <is>
          <t>Soja</t>
        </is>
      </c>
      <c r="B3561" s="6" t="inlineStr">
        <is>
          <t>São Luís - MA</t>
        </is>
      </c>
      <c r="C3561" s="6" t="n">
        <v>-2.53874</v>
      </c>
      <c r="D3561" s="6" t="n">
        <v>-44.2825</v>
      </c>
      <c r="E3561" s="6" t="inlineStr">
        <is>
          <t>2022-08</t>
        </is>
      </c>
      <c r="F3561" s="6" t="n"/>
      <c r="G3561" s="6" t="inlineStr">
        <is>
          <t>EXPORTACAO</t>
        </is>
      </c>
      <c r="H3561" s="6" t="inlineStr">
        <is>
          <t>AUTO_OFERTA_TOTAL_PRODUTO_PERIODO</t>
        </is>
      </c>
      <c r="I3561" s="11">
        <f>IF($H3561="AUTO_OFERTA_TOTAL_PRODUTO_PERIODO",SUMIFS(Oferta!$F:$F,Oferta!$A:$A,$A3561,Oferta!$E:$E,$E3561),$F3561)</f>
        <v/>
      </c>
      <c r="J3561" s="6" t="inlineStr">
        <is>
          <t>Derivado_da_Oferta</t>
        </is>
      </c>
      <c r="K3561" s="6" t="inlineStr">
        <is>
          <t>Mercado externo: limite superior calculado automaticamente pela soma da oferta do produto no período.</t>
        </is>
      </c>
    </row>
    <row r="3562">
      <c r="A3562" s="6" t="inlineStr">
        <is>
          <t>Soja</t>
        </is>
      </c>
      <c r="B3562" s="6" t="inlineStr">
        <is>
          <t>São Luís - MA</t>
        </is>
      </c>
      <c r="C3562" s="6" t="n">
        <v>-2.53874</v>
      </c>
      <c r="D3562" s="6" t="n">
        <v>-44.2825</v>
      </c>
      <c r="E3562" s="6" t="inlineStr">
        <is>
          <t>2022-09</t>
        </is>
      </c>
      <c r="F3562" s="6" t="n"/>
      <c r="G3562" s="6" t="inlineStr">
        <is>
          <t>EXPORTACAO</t>
        </is>
      </c>
      <c r="H3562" s="6" t="inlineStr">
        <is>
          <t>AUTO_OFERTA_TOTAL_PRODUTO_PERIODO</t>
        </is>
      </c>
      <c r="I3562" s="11">
        <f>IF($H3562="AUTO_OFERTA_TOTAL_PRODUTO_PERIODO",SUMIFS(Oferta!$F:$F,Oferta!$A:$A,$A3562,Oferta!$E:$E,$E3562),$F3562)</f>
        <v/>
      </c>
      <c r="J3562" s="6" t="inlineStr">
        <is>
          <t>Derivado_da_Oferta</t>
        </is>
      </c>
      <c r="K3562" s="6" t="inlineStr">
        <is>
          <t>Mercado externo: limite superior calculado automaticamente pela soma da oferta do produto no período.</t>
        </is>
      </c>
    </row>
    <row r="3563">
      <c r="A3563" s="6" t="inlineStr">
        <is>
          <t>Soja</t>
        </is>
      </c>
      <c r="B3563" s="6" t="inlineStr">
        <is>
          <t>São Luís - MA</t>
        </is>
      </c>
      <c r="C3563" s="6" t="n">
        <v>-2.53874</v>
      </c>
      <c r="D3563" s="6" t="n">
        <v>-44.2825</v>
      </c>
      <c r="E3563" s="6" t="inlineStr">
        <is>
          <t>2022-10</t>
        </is>
      </c>
      <c r="F3563" s="6" t="n"/>
      <c r="G3563" s="6" t="inlineStr">
        <is>
          <t>EXPORTACAO</t>
        </is>
      </c>
      <c r="H3563" s="6" t="inlineStr">
        <is>
          <t>AUTO_OFERTA_TOTAL_PRODUTO_PERIODO</t>
        </is>
      </c>
      <c r="I3563" s="11">
        <f>IF($H3563="AUTO_OFERTA_TOTAL_PRODUTO_PERIODO",SUMIFS(Oferta!$F:$F,Oferta!$A:$A,$A3563,Oferta!$E:$E,$E3563),$F3563)</f>
        <v/>
      </c>
      <c r="J3563" s="6" t="inlineStr">
        <is>
          <t>Derivado_da_Oferta</t>
        </is>
      </c>
      <c r="K3563" s="6" t="inlineStr">
        <is>
          <t>Mercado externo: limite superior calculado automaticamente pela soma da oferta do produto no período.</t>
        </is>
      </c>
    </row>
    <row r="3564">
      <c r="A3564" s="6" t="inlineStr">
        <is>
          <t>Soja</t>
        </is>
      </c>
      <c r="B3564" s="6" t="inlineStr">
        <is>
          <t>São Luís - MA</t>
        </is>
      </c>
      <c r="C3564" s="6" t="n">
        <v>-2.53874</v>
      </c>
      <c r="D3564" s="6" t="n">
        <v>-44.2825</v>
      </c>
      <c r="E3564" s="6" t="inlineStr">
        <is>
          <t>2022-11</t>
        </is>
      </c>
      <c r="F3564" s="6" t="n"/>
      <c r="G3564" s="6" t="inlineStr">
        <is>
          <t>EXPORTACAO</t>
        </is>
      </c>
      <c r="H3564" s="6" t="inlineStr">
        <is>
          <t>AUTO_OFERTA_TOTAL_PRODUTO_PERIODO</t>
        </is>
      </c>
      <c r="I3564" s="11">
        <f>IF($H3564="AUTO_OFERTA_TOTAL_PRODUTO_PERIODO",SUMIFS(Oferta!$F:$F,Oferta!$A:$A,$A3564,Oferta!$E:$E,$E3564),$F3564)</f>
        <v/>
      </c>
      <c r="J3564" s="6" t="inlineStr">
        <is>
          <t>Derivado_da_Oferta</t>
        </is>
      </c>
      <c r="K3564" s="6" t="inlineStr">
        <is>
          <t>Mercado externo: limite superior calculado automaticamente pela soma da oferta do produto no período.</t>
        </is>
      </c>
    </row>
    <row r="3565">
      <c r="A3565" s="6" t="inlineStr">
        <is>
          <t>Soja</t>
        </is>
      </c>
      <c r="B3565" s="6" t="inlineStr">
        <is>
          <t>São Luís - MA</t>
        </is>
      </c>
      <c r="C3565" s="6" t="n">
        <v>-2.53874</v>
      </c>
      <c r="D3565" s="6" t="n">
        <v>-44.2825</v>
      </c>
      <c r="E3565" s="6" t="inlineStr">
        <is>
          <t>2022-12</t>
        </is>
      </c>
      <c r="F3565" s="6" t="n"/>
      <c r="G3565" s="6" t="inlineStr">
        <is>
          <t>EXPORTACAO</t>
        </is>
      </c>
      <c r="H3565" s="6" t="inlineStr">
        <is>
          <t>AUTO_OFERTA_TOTAL_PRODUTO_PERIODO</t>
        </is>
      </c>
      <c r="I3565" s="11">
        <f>IF($H3565="AUTO_OFERTA_TOTAL_PRODUTO_PERIODO",SUMIFS(Oferta!$F:$F,Oferta!$A:$A,$A3565,Oferta!$E:$E,$E3565),$F3565)</f>
        <v/>
      </c>
      <c r="J3565" s="6" t="inlineStr">
        <is>
          <t>Derivado_da_Oferta</t>
        </is>
      </c>
      <c r="K3565" s="6" t="inlineStr">
        <is>
          <t>Mercado externo: limite superior calculado automaticamente pela soma da oferta do produto no período.</t>
        </is>
      </c>
    </row>
    <row r="3566">
      <c r="A3566" s="6" t="inlineStr">
        <is>
          <t>Soja</t>
        </is>
      </c>
      <c r="B3566" s="6" t="inlineStr">
        <is>
          <t>São Luís - MA</t>
        </is>
      </c>
      <c r="C3566" s="6" t="n">
        <v>-2.53874</v>
      </c>
      <c r="D3566" s="6" t="n">
        <v>-44.2825</v>
      </c>
      <c r="E3566" s="6" t="inlineStr">
        <is>
          <t>2023-01</t>
        </is>
      </c>
      <c r="F3566" s="6" t="n"/>
      <c r="G3566" s="6" t="inlineStr">
        <is>
          <t>EXPORTACAO</t>
        </is>
      </c>
      <c r="H3566" s="6" t="inlineStr">
        <is>
          <t>AUTO_OFERTA_TOTAL_PRODUTO_PERIODO</t>
        </is>
      </c>
      <c r="I3566" s="11">
        <f>IF($H3566="AUTO_OFERTA_TOTAL_PRODUTO_PERIODO",SUMIFS(Oferta!$F:$F,Oferta!$A:$A,$A3566,Oferta!$E:$E,$E3566),$F3566)</f>
        <v/>
      </c>
      <c r="J3566" s="6" t="inlineStr">
        <is>
          <t>Derivado_da_Oferta</t>
        </is>
      </c>
      <c r="K3566" s="6" t="inlineStr">
        <is>
          <t>Mercado externo: limite superior calculado automaticamente pela soma da oferta do produto no período.</t>
        </is>
      </c>
    </row>
    <row r="3567">
      <c r="A3567" s="6" t="inlineStr">
        <is>
          <t>Soja</t>
        </is>
      </c>
      <c r="B3567" s="6" t="inlineStr">
        <is>
          <t>São Luís - MA</t>
        </is>
      </c>
      <c r="C3567" s="6" t="n">
        <v>-2.53874</v>
      </c>
      <c r="D3567" s="6" t="n">
        <v>-44.2825</v>
      </c>
      <c r="E3567" s="6" t="inlineStr">
        <is>
          <t>2023-02</t>
        </is>
      </c>
      <c r="F3567" s="6" t="n"/>
      <c r="G3567" s="6" t="inlineStr">
        <is>
          <t>EXPORTACAO</t>
        </is>
      </c>
      <c r="H3567" s="6" t="inlineStr">
        <is>
          <t>AUTO_OFERTA_TOTAL_PRODUTO_PERIODO</t>
        </is>
      </c>
      <c r="I3567" s="11">
        <f>IF($H3567="AUTO_OFERTA_TOTAL_PRODUTO_PERIODO",SUMIFS(Oferta!$F:$F,Oferta!$A:$A,$A3567,Oferta!$E:$E,$E3567),$F3567)</f>
        <v/>
      </c>
      <c r="J3567" s="6" t="inlineStr">
        <is>
          <t>Derivado_da_Oferta</t>
        </is>
      </c>
      <c r="K3567" s="6" t="inlineStr">
        <is>
          <t>Mercado externo: limite superior calculado automaticamente pela soma da oferta do produto no período.</t>
        </is>
      </c>
    </row>
    <row r="3568">
      <c r="A3568" s="6" t="inlineStr">
        <is>
          <t>Soja</t>
        </is>
      </c>
      <c r="B3568" s="6" t="inlineStr">
        <is>
          <t>São Luís - MA</t>
        </is>
      </c>
      <c r="C3568" s="6" t="n">
        <v>-2.53874</v>
      </c>
      <c r="D3568" s="6" t="n">
        <v>-44.2825</v>
      </c>
      <c r="E3568" s="6" t="inlineStr">
        <is>
          <t>2023-03</t>
        </is>
      </c>
      <c r="F3568" s="6" t="n"/>
      <c r="G3568" s="6" t="inlineStr">
        <is>
          <t>EXPORTACAO</t>
        </is>
      </c>
      <c r="H3568" s="6" t="inlineStr">
        <is>
          <t>AUTO_OFERTA_TOTAL_PRODUTO_PERIODO</t>
        </is>
      </c>
      <c r="I3568" s="11">
        <f>IF($H3568="AUTO_OFERTA_TOTAL_PRODUTO_PERIODO",SUMIFS(Oferta!$F:$F,Oferta!$A:$A,$A3568,Oferta!$E:$E,$E3568),$F3568)</f>
        <v/>
      </c>
      <c r="J3568" s="6" t="inlineStr">
        <is>
          <t>Derivado_da_Oferta</t>
        </is>
      </c>
      <c r="K3568" s="6" t="inlineStr">
        <is>
          <t>Mercado externo: limite superior calculado automaticamente pela soma da oferta do produto no período.</t>
        </is>
      </c>
    </row>
    <row r="3569">
      <c r="A3569" s="6" t="inlineStr">
        <is>
          <t>Soja</t>
        </is>
      </c>
      <c r="B3569" s="6" t="inlineStr">
        <is>
          <t>São Luís - MA</t>
        </is>
      </c>
      <c r="C3569" s="6" t="n">
        <v>-2.53874</v>
      </c>
      <c r="D3569" s="6" t="n">
        <v>-44.2825</v>
      </c>
      <c r="E3569" s="6" t="inlineStr">
        <is>
          <t>2023-04</t>
        </is>
      </c>
      <c r="F3569" s="6" t="n"/>
      <c r="G3569" s="6" t="inlineStr">
        <is>
          <t>EXPORTACAO</t>
        </is>
      </c>
      <c r="H3569" s="6" t="inlineStr">
        <is>
          <t>AUTO_OFERTA_TOTAL_PRODUTO_PERIODO</t>
        </is>
      </c>
      <c r="I3569" s="11">
        <f>IF($H3569="AUTO_OFERTA_TOTAL_PRODUTO_PERIODO",SUMIFS(Oferta!$F:$F,Oferta!$A:$A,$A3569,Oferta!$E:$E,$E3569),$F3569)</f>
        <v/>
      </c>
      <c r="J3569" s="6" t="inlineStr">
        <is>
          <t>Derivado_da_Oferta</t>
        </is>
      </c>
      <c r="K3569" s="6" t="inlineStr">
        <is>
          <t>Mercado externo: limite superior calculado automaticamente pela soma da oferta do produto no período.</t>
        </is>
      </c>
    </row>
    <row r="3570">
      <c r="A3570" s="6" t="inlineStr">
        <is>
          <t>Soja</t>
        </is>
      </c>
      <c r="B3570" s="6" t="inlineStr">
        <is>
          <t>São Luís - MA</t>
        </is>
      </c>
      <c r="C3570" s="6" t="n">
        <v>-2.53874</v>
      </c>
      <c r="D3570" s="6" t="n">
        <v>-44.2825</v>
      </c>
      <c r="E3570" s="6" t="inlineStr">
        <is>
          <t>2023-05</t>
        </is>
      </c>
      <c r="F3570" s="6" t="n"/>
      <c r="G3570" s="6" t="inlineStr">
        <is>
          <t>EXPORTACAO</t>
        </is>
      </c>
      <c r="H3570" s="6" t="inlineStr">
        <is>
          <t>AUTO_OFERTA_TOTAL_PRODUTO_PERIODO</t>
        </is>
      </c>
      <c r="I3570" s="11">
        <f>IF($H3570="AUTO_OFERTA_TOTAL_PRODUTO_PERIODO",SUMIFS(Oferta!$F:$F,Oferta!$A:$A,$A3570,Oferta!$E:$E,$E3570),$F3570)</f>
        <v/>
      </c>
      <c r="J3570" s="6" t="inlineStr">
        <is>
          <t>Derivado_da_Oferta</t>
        </is>
      </c>
      <c r="K3570" s="6" t="inlineStr">
        <is>
          <t>Mercado externo: limite superior calculado automaticamente pela soma da oferta do produto no período.</t>
        </is>
      </c>
    </row>
    <row r="3571">
      <c r="A3571" s="6" t="inlineStr">
        <is>
          <t>Soja</t>
        </is>
      </c>
      <c r="B3571" s="6" t="inlineStr">
        <is>
          <t>São Luís - MA</t>
        </is>
      </c>
      <c r="C3571" s="6" t="n">
        <v>-2.53874</v>
      </c>
      <c r="D3571" s="6" t="n">
        <v>-44.2825</v>
      </c>
      <c r="E3571" s="6" t="inlineStr">
        <is>
          <t>2023-06</t>
        </is>
      </c>
      <c r="F3571" s="6" t="n"/>
      <c r="G3571" s="6" t="inlineStr">
        <is>
          <t>EXPORTACAO</t>
        </is>
      </c>
      <c r="H3571" s="6" t="inlineStr">
        <is>
          <t>AUTO_OFERTA_TOTAL_PRODUTO_PERIODO</t>
        </is>
      </c>
      <c r="I3571" s="11">
        <f>IF($H3571="AUTO_OFERTA_TOTAL_PRODUTO_PERIODO",SUMIFS(Oferta!$F:$F,Oferta!$A:$A,$A3571,Oferta!$E:$E,$E3571),$F3571)</f>
        <v/>
      </c>
      <c r="J3571" s="6" t="inlineStr">
        <is>
          <t>Derivado_da_Oferta</t>
        </is>
      </c>
      <c r="K3571" s="6" t="inlineStr">
        <is>
          <t>Mercado externo: limite superior calculado automaticamente pela soma da oferta do produto no período.</t>
        </is>
      </c>
    </row>
    <row r="3572">
      <c r="A3572" s="6" t="inlineStr">
        <is>
          <t>Soja</t>
        </is>
      </c>
      <c r="B3572" s="6" t="inlineStr">
        <is>
          <t>São Luís - MA</t>
        </is>
      </c>
      <c r="C3572" s="6" t="n">
        <v>-2.53874</v>
      </c>
      <c r="D3572" s="6" t="n">
        <v>-44.2825</v>
      </c>
      <c r="E3572" s="6" t="inlineStr">
        <is>
          <t>2023-07</t>
        </is>
      </c>
      <c r="F3572" s="6" t="n"/>
      <c r="G3572" s="6" t="inlineStr">
        <is>
          <t>EXPORTACAO</t>
        </is>
      </c>
      <c r="H3572" s="6" t="inlineStr">
        <is>
          <t>AUTO_OFERTA_TOTAL_PRODUTO_PERIODO</t>
        </is>
      </c>
      <c r="I3572" s="11">
        <f>IF($H3572="AUTO_OFERTA_TOTAL_PRODUTO_PERIODO",SUMIFS(Oferta!$F:$F,Oferta!$A:$A,$A3572,Oferta!$E:$E,$E3572),$F3572)</f>
        <v/>
      </c>
      <c r="J3572" s="6" t="inlineStr">
        <is>
          <t>Derivado_da_Oferta</t>
        </is>
      </c>
      <c r="K3572" s="6" t="inlineStr">
        <is>
          <t>Mercado externo: limite superior calculado automaticamente pela soma da oferta do produto no período.</t>
        </is>
      </c>
    </row>
    <row r="3573">
      <c r="A3573" s="6" t="inlineStr">
        <is>
          <t>Soja</t>
        </is>
      </c>
      <c r="B3573" s="6" t="inlineStr">
        <is>
          <t>São Luís - MA</t>
        </is>
      </c>
      <c r="C3573" s="6" t="n">
        <v>-2.53874</v>
      </c>
      <c r="D3573" s="6" t="n">
        <v>-44.2825</v>
      </c>
      <c r="E3573" s="6" t="inlineStr">
        <is>
          <t>2023-08</t>
        </is>
      </c>
      <c r="F3573" s="6" t="n"/>
      <c r="G3573" s="6" t="inlineStr">
        <is>
          <t>EXPORTACAO</t>
        </is>
      </c>
      <c r="H3573" s="6" t="inlineStr">
        <is>
          <t>AUTO_OFERTA_TOTAL_PRODUTO_PERIODO</t>
        </is>
      </c>
      <c r="I3573" s="11">
        <f>IF($H3573="AUTO_OFERTA_TOTAL_PRODUTO_PERIODO",SUMIFS(Oferta!$F:$F,Oferta!$A:$A,$A3573,Oferta!$E:$E,$E3573),$F3573)</f>
        <v/>
      </c>
      <c r="J3573" s="6" t="inlineStr">
        <is>
          <t>Derivado_da_Oferta</t>
        </is>
      </c>
      <c r="K3573" s="6" t="inlineStr">
        <is>
          <t>Mercado externo: limite superior calculado automaticamente pela soma da oferta do produto no período.</t>
        </is>
      </c>
    </row>
    <row r="3574">
      <c r="A3574" s="6" t="inlineStr">
        <is>
          <t>Soja</t>
        </is>
      </c>
      <c r="B3574" s="6" t="inlineStr">
        <is>
          <t>São Luís - MA</t>
        </is>
      </c>
      <c r="C3574" s="6" t="n">
        <v>-2.53874</v>
      </c>
      <c r="D3574" s="6" t="n">
        <v>-44.2825</v>
      </c>
      <c r="E3574" s="6" t="inlineStr">
        <is>
          <t>2023-09</t>
        </is>
      </c>
      <c r="F3574" s="6" t="n"/>
      <c r="G3574" s="6" t="inlineStr">
        <is>
          <t>EXPORTACAO</t>
        </is>
      </c>
      <c r="H3574" s="6" t="inlineStr">
        <is>
          <t>AUTO_OFERTA_TOTAL_PRODUTO_PERIODO</t>
        </is>
      </c>
      <c r="I3574" s="11">
        <f>IF($H3574="AUTO_OFERTA_TOTAL_PRODUTO_PERIODO",SUMIFS(Oferta!$F:$F,Oferta!$A:$A,$A3574,Oferta!$E:$E,$E3574),$F3574)</f>
        <v/>
      </c>
      <c r="J3574" s="6" t="inlineStr">
        <is>
          <t>Derivado_da_Oferta</t>
        </is>
      </c>
      <c r="K3574" s="6" t="inlineStr">
        <is>
          <t>Mercado externo: limite superior calculado automaticamente pela soma da oferta do produto no período.</t>
        </is>
      </c>
    </row>
    <row r="3575">
      <c r="A3575" s="6" t="inlineStr">
        <is>
          <t>Soja</t>
        </is>
      </c>
      <c r="B3575" s="6" t="inlineStr">
        <is>
          <t>São Luís - MA</t>
        </is>
      </c>
      <c r="C3575" s="6" t="n">
        <v>-2.53874</v>
      </c>
      <c r="D3575" s="6" t="n">
        <v>-44.2825</v>
      </c>
      <c r="E3575" s="6" t="inlineStr">
        <is>
          <t>2023-10</t>
        </is>
      </c>
      <c r="F3575" s="6" t="n"/>
      <c r="G3575" s="6" t="inlineStr">
        <is>
          <t>EXPORTACAO</t>
        </is>
      </c>
      <c r="H3575" s="6" t="inlineStr">
        <is>
          <t>AUTO_OFERTA_TOTAL_PRODUTO_PERIODO</t>
        </is>
      </c>
      <c r="I3575" s="11">
        <f>IF($H3575="AUTO_OFERTA_TOTAL_PRODUTO_PERIODO",SUMIFS(Oferta!$F:$F,Oferta!$A:$A,$A3575,Oferta!$E:$E,$E3575),$F3575)</f>
        <v/>
      </c>
      <c r="J3575" s="6" t="inlineStr">
        <is>
          <t>Derivado_da_Oferta</t>
        </is>
      </c>
      <c r="K3575" s="6" t="inlineStr">
        <is>
          <t>Mercado externo: limite superior calculado automaticamente pela soma da oferta do produto no período.</t>
        </is>
      </c>
    </row>
    <row r="3576">
      <c r="A3576" s="6" t="inlineStr">
        <is>
          <t>Soja</t>
        </is>
      </c>
      <c r="B3576" s="6" t="inlineStr">
        <is>
          <t>São Luís - MA</t>
        </is>
      </c>
      <c r="C3576" s="6" t="n">
        <v>-2.53874</v>
      </c>
      <c r="D3576" s="6" t="n">
        <v>-44.2825</v>
      </c>
      <c r="E3576" s="6" t="inlineStr">
        <is>
          <t>2023-11</t>
        </is>
      </c>
      <c r="F3576" s="6" t="n"/>
      <c r="G3576" s="6" t="inlineStr">
        <is>
          <t>EXPORTACAO</t>
        </is>
      </c>
      <c r="H3576" s="6" t="inlineStr">
        <is>
          <t>AUTO_OFERTA_TOTAL_PRODUTO_PERIODO</t>
        </is>
      </c>
      <c r="I3576" s="11">
        <f>IF($H3576="AUTO_OFERTA_TOTAL_PRODUTO_PERIODO",SUMIFS(Oferta!$F:$F,Oferta!$A:$A,$A3576,Oferta!$E:$E,$E3576),$F3576)</f>
        <v/>
      </c>
      <c r="J3576" s="6" t="inlineStr">
        <is>
          <t>Derivado_da_Oferta</t>
        </is>
      </c>
      <c r="K3576" s="6" t="inlineStr">
        <is>
          <t>Mercado externo: limite superior calculado automaticamente pela soma da oferta do produto no período.</t>
        </is>
      </c>
    </row>
    <row r="3577">
      <c r="A3577" s="6" t="inlineStr">
        <is>
          <t>Soja</t>
        </is>
      </c>
      <c r="B3577" s="6" t="inlineStr">
        <is>
          <t>São Luís - MA</t>
        </is>
      </c>
      <c r="C3577" s="6" t="n">
        <v>-2.53874</v>
      </c>
      <c r="D3577" s="6" t="n">
        <v>-44.2825</v>
      </c>
      <c r="E3577" s="6" t="inlineStr">
        <is>
          <t>2023-12</t>
        </is>
      </c>
      <c r="F3577" s="6" t="n"/>
      <c r="G3577" s="6" t="inlineStr">
        <is>
          <t>EXPORTACAO</t>
        </is>
      </c>
      <c r="H3577" s="6" t="inlineStr">
        <is>
          <t>AUTO_OFERTA_TOTAL_PRODUTO_PERIODO</t>
        </is>
      </c>
      <c r="I3577" s="11">
        <f>IF($H3577="AUTO_OFERTA_TOTAL_PRODUTO_PERIODO",SUMIFS(Oferta!$F:$F,Oferta!$A:$A,$A3577,Oferta!$E:$E,$E3577),$F3577)</f>
        <v/>
      </c>
      <c r="J3577" s="6" t="inlineStr">
        <is>
          <t>Derivado_da_Oferta</t>
        </is>
      </c>
      <c r="K3577" s="6" t="inlineStr">
        <is>
          <t>Mercado externo: limite superior calculado automaticamente pela soma da oferta do produto no período.</t>
        </is>
      </c>
    </row>
    <row r="3578">
      <c r="A3578" s="6" t="inlineStr">
        <is>
          <t>Soja</t>
        </is>
      </c>
      <c r="B3578" s="6" t="inlineStr">
        <is>
          <t>São Luís - MA</t>
        </is>
      </c>
      <c r="C3578" s="6" t="n">
        <v>-2.53874</v>
      </c>
      <c r="D3578" s="6" t="n">
        <v>-44.2825</v>
      </c>
      <c r="E3578" s="6" t="inlineStr">
        <is>
          <t>2024-01</t>
        </is>
      </c>
      <c r="F3578" s="6" t="n"/>
      <c r="G3578" s="6" t="inlineStr">
        <is>
          <t>EXPORTACAO</t>
        </is>
      </c>
      <c r="H3578" s="6" t="inlineStr">
        <is>
          <t>AUTO_OFERTA_TOTAL_PRODUTO_PERIODO</t>
        </is>
      </c>
      <c r="I3578" s="11">
        <f>IF($H3578="AUTO_OFERTA_TOTAL_PRODUTO_PERIODO",SUMIFS(Oferta!$F:$F,Oferta!$A:$A,$A3578,Oferta!$E:$E,$E3578),$F3578)</f>
        <v/>
      </c>
      <c r="J3578" s="6" t="inlineStr">
        <is>
          <t>Derivado_da_Oferta</t>
        </is>
      </c>
      <c r="K3578" s="6" t="inlineStr">
        <is>
          <t>Mercado externo: limite superior calculado automaticamente pela soma da oferta do produto no período.</t>
        </is>
      </c>
    </row>
    <row r="3579">
      <c r="A3579" s="6" t="inlineStr">
        <is>
          <t>Soja</t>
        </is>
      </c>
      <c r="B3579" s="6" t="inlineStr">
        <is>
          <t>São Luís - MA</t>
        </is>
      </c>
      <c r="C3579" s="6" t="n">
        <v>-2.53874</v>
      </c>
      <c r="D3579" s="6" t="n">
        <v>-44.2825</v>
      </c>
      <c r="E3579" s="6" t="inlineStr">
        <is>
          <t>2024-02</t>
        </is>
      </c>
      <c r="F3579" s="6" t="n"/>
      <c r="G3579" s="6" t="inlineStr">
        <is>
          <t>EXPORTACAO</t>
        </is>
      </c>
      <c r="H3579" s="6" t="inlineStr">
        <is>
          <t>AUTO_OFERTA_TOTAL_PRODUTO_PERIODO</t>
        </is>
      </c>
      <c r="I3579" s="11">
        <f>IF($H3579="AUTO_OFERTA_TOTAL_PRODUTO_PERIODO",SUMIFS(Oferta!$F:$F,Oferta!$A:$A,$A3579,Oferta!$E:$E,$E3579),$F3579)</f>
        <v/>
      </c>
      <c r="J3579" s="6" t="inlineStr">
        <is>
          <t>Derivado_da_Oferta</t>
        </is>
      </c>
      <c r="K3579" s="6" t="inlineStr">
        <is>
          <t>Mercado externo: limite superior calculado automaticamente pela soma da oferta do produto no período.</t>
        </is>
      </c>
    </row>
    <row r="3580">
      <c r="A3580" s="6" t="inlineStr">
        <is>
          <t>Soja</t>
        </is>
      </c>
      <c r="B3580" s="6" t="inlineStr">
        <is>
          <t>São Luís - MA</t>
        </is>
      </c>
      <c r="C3580" s="6" t="n">
        <v>-2.53874</v>
      </c>
      <c r="D3580" s="6" t="n">
        <v>-44.2825</v>
      </c>
      <c r="E3580" s="6" t="inlineStr">
        <is>
          <t>2024-03</t>
        </is>
      </c>
      <c r="F3580" s="6" t="n"/>
      <c r="G3580" s="6" t="inlineStr">
        <is>
          <t>EXPORTACAO</t>
        </is>
      </c>
      <c r="H3580" s="6" t="inlineStr">
        <is>
          <t>AUTO_OFERTA_TOTAL_PRODUTO_PERIODO</t>
        </is>
      </c>
      <c r="I3580" s="11">
        <f>IF($H3580="AUTO_OFERTA_TOTAL_PRODUTO_PERIODO",SUMIFS(Oferta!$F:$F,Oferta!$A:$A,$A3580,Oferta!$E:$E,$E3580),$F3580)</f>
        <v/>
      </c>
      <c r="J3580" s="6" t="inlineStr">
        <is>
          <t>Derivado_da_Oferta</t>
        </is>
      </c>
      <c r="K3580" s="6" t="inlineStr">
        <is>
          <t>Mercado externo: limite superior calculado automaticamente pela soma da oferta do produto no período.</t>
        </is>
      </c>
    </row>
    <row r="3581">
      <c r="A3581" s="6" t="inlineStr">
        <is>
          <t>Soja</t>
        </is>
      </c>
      <c r="B3581" s="6" t="inlineStr">
        <is>
          <t>São Luís - MA</t>
        </is>
      </c>
      <c r="C3581" s="6" t="n">
        <v>-2.53874</v>
      </c>
      <c r="D3581" s="6" t="n">
        <v>-44.2825</v>
      </c>
      <c r="E3581" s="6" t="inlineStr">
        <is>
          <t>2024-04</t>
        </is>
      </c>
      <c r="F3581" s="6" t="n"/>
      <c r="G3581" s="6" t="inlineStr">
        <is>
          <t>EXPORTACAO</t>
        </is>
      </c>
      <c r="H3581" s="6" t="inlineStr">
        <is>
          <t>AUTO_OFERTA_TOTAL_PRODUTO_PERIODO</t>
        </is>
      </c>
      <c r="I3581" s="11">
        <f>IF($H3581="AUTO_OFERTA_TOTAL_PRODUTO_PERIODO",SUMIFS(Oferta!$F:$F,Oferta!$A:$A,$A3581,Oferta!$E:$E,$E3581),$F3581)</f>
        <v/>
      </c>
      <c r="J3581" s="6" t="inlineStr">
        <is>
          <t>Derivado_da_Oferta</t>
        </is>
      </c>
      <c r="K3581" s="6" t="inlineStr">
        <is>
          <t>Mercado externo: limite superior calculado automaticamente pela soma da oferta do produto no período.</t>
        </is>
      </c>
    </row>
    <row r="3582">
      <c r="A3582" s="6" t="inlineStr">
        <is>
          <t>Soja</t>
        </is>
      </c>
      <c r="B3582" s="6" t="inlineStr">
        <is>
          <t>São Luís - MA</t>
        </is>
      </c>
      <c r="C3582" s="6" t="n">
        <v>-2.53874</v>
      </c>
      <c r="D3582" s="6" t="n">
        <v>-44.2825</v>
      </c>
      <c r="E3582" s="6" t="inlineStr">
        <is>
          <t>2024-05</t>
        </is>
      </c>
      <c r="F3582" s="6" t="n"/>
      <c r="G3582" s="6" t="inlineStr">
        <is>
          <t>EXPORTACAO</t>
        </is>
      </c>
      <c r="H3582" s="6" t="inlineStr">
        <is>
          <t>AUTO_OFERTA_TOTAL_PRODUTO_PERIODO</t>
        </is>
      </c>
      <c r="I3582" s="11">
        <f>IF($H3582="AUTO_OFERTA_TOTAL_PRODUTO_PERIODO",SUMIFS(Oferta!$F:$F,Oferta!$A:$A,$A3582,Oferta!$E:$E,$E3582),$F3582)</f>
        <v/>
      </c>
      <c r="J3582" s="6" t="inlineStr">
        <is>
          <t>Derivado_da_Oferta</t>
        </is>
      </c>
      <c r="K3582" s="6" t="inlineStr">
        <is>
          <t>Mercado externo: limite superior calculado automaticamente pela soma da oferta do produto no período.</t>
        </is>
      </c>
    </row>
    <row r="3583">
      <c r="A3583" s="6" t="inlineStr">
        <is>
          <t>Soja</t>
        </is>
      </c>
      <c r="B3583" s="6" t="inlineStr">
        <is>
          <t>São Luís - MA</t>
        </is>
      </c>
      <c r="C3583" s="6" t="n">
        <v>-2.53874</v>
      </c>
      <c r="D3583" s="6" t="n">
        <v>-44.2825</v>
      </c>
      <c r="E3583" s="6" t="inlineStr">
        <is>
          <t>2024-06</t>
        </is>
      </c>
      <c r="F3583" s="6" t="n"/>
      <c r="G3583" s="6" t="inlineStr">
        <is>
          <t>EXPORTACAO</t>
        </is>
      </c>
      <c r="H3583" s="6" t="inlineStr">
        <is>
          <t>AUTO_OFERTA_TOTAL_PRODUTO_PERIODO</t>
        </is>
      </c>
      <c r="I3583" s="11">
        <f>IF($H3583="AUTO_OFERTA_TOTAL_PRODUTO_PERIODO",SUMIFS(Oferta!$F:$F,Oferta!$A:$A,$A3583,Oferta!$E:$E,$E3583),$F3583)</f>
        <v/>
      </c>
      <c r="J3583" s="6" t="inlineStr">
        <is>
          <t>Derivado_da_Oferta</t>
        </is>
      </c>
      <c r="K3583" s="6" t="inlineStr">
        <is>
          <t>Mercado externo: limite superior calculado automaticamente pela soma da oferta do produto no período.</t>
        </is>
      </c>
    </row>
    <row r="3584">
      <c r="A3584" s="6" t="inlineStr">
        <is>
          <t>Soja</t>
        </is>
      </c>
      <c r="B3584" s="6" t="inlineStr">
        <is>
          <t>São Luís - MA</t>
        </is>
      </c>
      <c r="C3584" s="6" t="n">
        <v>-2.53874</v>
      </c>
      <c r="D3584" s="6" t="n">
        <v>-44.2825</v>
      </c>
      <c r="E3584" s="6" t="inlineStr">
        <is>
          <t>2024-07</t>
        </is>
      </c>
      <c r="F3584" s="6" t="n"/>
      <c r="G3584" s="6" t="inlineStr">
        <is>
          <t>EXPORTACAO</t>
        </is>
      </c>
      <c r="H3584" s="6" t="inlineStr">
        <is>
          <t>AUTO_OFERTA_TOTAL_PRODUTO_PERIODO</t>
        </is>
      </c>
      <c r="I3584" s="11">
        <f>IF($H3584="AUTO_OFERTA_TOTAL_PRODUTO_PERIODO",SUMIFS(Oferta!$F:$F,Oferta!$A:$A,$A3584,Oferta!$E:$E,$E3584),$F3584)</f>
        <v/>
      </c>
      <c r="J3584" s="6" t="inlineStr">
        <is>
          <t>Derivado_da_Oferta</t>
        </is>
      </c>
      <c r="K3584" s="6" t="inlineStr">
        <is>
          <t>Mercado externo: limite superior calculado automaticamente pela soma da oferta do produto no período.</t>
        </is>
      </c>
    </row>
    <row r="3585">
      <c r="A3585" s="6" t="inlineStr">
        <is>
          <t>Soja</t>
        </is>
      </c>
      <c r="B3585" s="6" t="inlineStr">
        <is>
          <t>São Luís - MA</t>
        </is>
      </c>
      <c r="C3585" s="6" t="n">
        <v>-2.53874</v>
      </c>
      <c r="D3585" s="6" t="n">
        <v>-44.2825</v>
      </c>
      <c r="E3585" s="6" t="inlineStr">
        <is>
          <t>2024-08</t>
        </is>
      </c>
      <c r="F3585" s="6" t="n"/>
      <c r="G3585" s="6" t="inlineStr">
        <is>
          <t>EXPORTACAO</t>
        </is>
      </c>
      <c r="H3585" s="6" t="inlineStr">
        <is>
          <t>AUTO_OFERTA_TOTAL_PRODUTO_PERIODO</t>
        </is>
      </c>
      <c r="I3585" s="11">
        <f>IF($H3585="AUTO_OFERTA_TOTAL_PRODUTO_PERIODO",SUMIFS(Oferta!$F:$F,Oferta!$A:$A,$A3585,Oferta!$E:$E,$E3585),$F3585)</f>
        <v/>
      </c>
      <c r="J3585" s="6" t="inlineStr">
        <is>
          <t>Derivado_da_Oferta</t>
        </is>
      </c>
      <c r="K3585" s="6" t="inlineStr">
        <is>
          <t>Mercado externo: limite superior calculado automaticamente pela soma da oferta do produto no período.</t>
        </is>
      </c>
    </row>
    <row r="3586">
      <c r="A3586" s="6" t="inlineStr">
        <is>
          <t>Soja</t>
        </is>
      </c>
      <c r="B3586" s="6" t="inlineStr">
        <is>
          <t>São Luís - MA</t>
        </is>
      </c>
      <c r="C3586" s="6" t="n">
        <v>-2.53874</v>
      </c>
      <c r="D3586" s="6" t="n">
        <v>-44.2825</v>
      </c>
      <c r="E3586" s="6" t="inlineStr">
        <is>
          <t>2024-09</t>
        </is>
      </c>
      <c r="F3586" s="6" t="n"/>
      <c r="G3586" s="6" t="inlineStr">
        <is>
          <t>EXPORTACAO</t>
        </is>
      </c>
      <c r="H3586" s="6" t="inlineStr">
        <is>
          <t>AUTO_OFERTA_TOTAL_PRODUTO_PERIODO</t>
        </is>
      </c>
      <c r="I3586" s="11">
        <f>IF($H3586="AUTO_OFERTA_TOTAL_PRODUTO_PERIODO",SUMIFS(Oferta!$F:$F,Oferta!$A:$A,$A3586,Oferta!$E:$E,$E3586),$F3586)</f>
        <v/>
      </c>
      <c r="J3586" s="6" t="inlineStr">
        <is>
          <t>Derivado_da_Oferta</t>
        </is>
      </c>
      <c r="K3586" s="6" t="inlineStr">
        <is>
          <t>Mercado externo: limite superior calculado automaticamente pela soma da oferta do produto no período.</t>
        </is>
      </c>
    </row>
    <row r="3587">
      <c r="A3587" s="6" t="inlineStr">
        <is>
          <t>Soja</t>
        </is>
      </c>
      <c r="B3587" s="6" t="inlineStr">
        <is>
          <t>São Luís - MA</t>
        </is>
      </c>
      <c r="C3587" s="6" t="n">
        <v>-2.53874</v>
      </c>
      <c r="D3587" s="6" t="n">
        <v>-44.2825</v>
      </c>
      <c r="E3587" s="6" t="inlineStr">
        <is>
          <t>2024-10</t>
        </is>
      </c>
      <c r="F3587" s="6" t="n"/>
      <c r="G3587" s="6" t="inlineStr">
        <is>
          <t>EXPORTACAO</t>
        </is>
      </c>
      <c r="H3587" s="6" t="inlineStr">
        <is>
          <t>AUTO_OFERTA_TOTAL_PRODUTO_PERIODO</t>
        </is>
      </c>
      <c r="I3587" s="11">
        <f>IF($H3587="AUTO_OFERTA_TOTAL_PRODUTO_PERIODO",SUMIFS(Oferta!$F:$F,Oferta!$A:$A,$A3587,Oferta!$E:$E,$E3587),$F3587)</f>
        <v/>
      </c>
      <c r="J3587" s="6" t="inlineStr">
        <is>
          <t>Derivado_da_Oferta</t>
        </is>
      </c>
      <c r="K3587" s="6" t="inlineStr">
        <is>
          <t>Mercado externo: limite superior calculado automaticamente pela soma da oferta do produto no período.</t>
        </is>
      </c>
    </row>
    <row r="3588">
      <c r="A3588" s="6" t="inlineStr">
        <is>
          <t>Soja</t>
        </is>
      </c>
      <c r="B3588" s="6" t="inlineStr">
        <is>
          <t>São Luís - MA</t>
        </is>
      </c>
      <c r="C3588" s="6" t="n">
        <v>-2.53874</v>
      </c>
      <c r="D3588" s="6" t="n">
        <v>-44.2825</v>
      </c>
      <c r="E3588" s="6" t="inlineStr">
        <is>
          <t>2024-11</t>
        </is>
      </c>
      <c r="F3588" s="6" t="n"/>
      <c r="G3588" s="6" t="inlineStr">
        <is>
          <t>EXPORTACAO</t>
        </is>
      </c>
      <c r="H3588" s="6" t="inlineStr">
        <is>
          <t>AUTO_OFERTA_TOTAL_PRODUTO_PERIODO</t>
        </is>
      </c>
      <c r="I3588" s="11">
        <f>IF($H3588="AUTO_OFERTA_TOTAL_PRODUTO_PERIODO",SUMIFS(Oferta!$F:$F,Oferta!$A:$A,$A3588,Oferta!$E:$E,$E3588),$F3588)</f>
        <v/>
      </c>
      <c r="J3588" s="6" t="inlineStr">
        <is>
          <t>Derivado_da_Oferta</t>
        </is>
      </c>
      <c r="K3588" s="6" t="inlineStr">
        <is>
          <t>Mercado externo: limite superior calculado automaticamente pela soma da oferta do produto no período.</t>
        </is>
      </c>
    </row>
    <row r="3589">
      <c r="A3589" s="6" t="inlineStr">
        <is>
          <t>Soja</t>
        </is>
      </c>
      <c r="B3589" s="6" t="inlineStr">
        <is>
          <t>São Luís - MA</t>
        </is>
      </c>
      <c r="C3589" s="6" t="n">
        <v>-2.53874</v>
      </c>
      <c r="D3589" s="6" t="n">
        <v>-44.2825</v>
      </c>
      <c r="E3589" s="6" t="inlineStr">
        <is>
          <t>2024-12</t>
        </is>
      </c>
      <c r="F3589" s="6" t="n"/>
      <c r="G3589" s="6" t="inlineStr">
        <is>
          <t>EXPORTACAO</t>
        </is>
      </c>
      <c r="H3589" s="6" t="inlineStr">
        <is>
          <t>AUTO_OFERTA_TOTAL_PRODUTO_PERIODO</t>
        </is>
      </c>
      <c r="I3589" s="11">
        <f>IF($H3589="AUTO_OFERTA_TOTAL_PRODUTO_PERIODO",SUMIFS(Oferta!$F:$F,Oferta!$A:$A,$A3589,Oferta!$E:$E,$E3589),$F3589)</f>
        <v/>
      </c>
      <c r="J3589" s="6" t="inlineStr">
        <is>
          <t>Derivado_da_Oferta</t>
        </is>
      </c>
      <c r="K3589" s="6" t="inlineStr">
        <is>
          <t>Mercado externo: limite superior calculado automaticamente pela soma da oferta do produto no período.</t>
        </is>
      </c>
    </row>
    <row r="3590">
      <c r="A3590" s="6" t="inlineStr">
        <is>
          <t>Soja</t>
        </is>
      </c>
      <c r="B3590" s="6" t="inlineStr">
        <is>
          <t>São Luís - MA</t>
        </is>
      </c>
      <c r="C3590" s="6" t="n">
        <v>-2.53874</v>
      </c>
      <c r="D3590" s="6" t="n">
        <v>-44.2825</v>
      </c>
      <c r="E3590" s="6" t="inlineStr">
        <is>
          <t>2025-01</t>
        </is>
      </c>
      <c r="F3590" s="6" t="n"/>
      <c r="G3590" s="6" t="inlineStr">
        <is>
          <t>EXPORTACAO</t>
        </is>
      </c>
      <c r="H3590" s="6" t="inlineStr">
        <is>
          <t>AUTO_OFERTA_TOTAL_PRODUTO_PERIODO</t>
        </is>
      </c>
      <c r="I3590" s="11">
        <f>IF($H3590="AUTO_OFERTA_TOTAL_PRODUTO_PERIODO",SUMIFS(Oferta!$F:$F,Oferta!$A:$A,$A3590,Oferta!$E:$E,$E3590),$F3590)</f>
        <v/>
      </c>
      <c r="J3590" s="6" t="inlineStr">
        <is>
          <t>Derivado_da_Oferta</t>
        </is>
      </c>
      <c r="K3590" s="6" t="inlineStr">
        <is>
          <t>Mercado externo: limite superior calculado automaticamente pela soma da oferta do produto no período.</t>
        </is>
      </c>
    </row>
    <row r="3591">
      <c r="A3591" s="6" t="inlineStr">
        <is>
          <t>Soja</t>
        </is>
      </c>
      <c r="B3591" s="6" t="inlineStr">
        <is>
          <t>São Luís - MA</t>
        </is>
      </c>
      <c r="C3591" s="6" t="n">
        <v>-2.53874</v>
      </c>
      <c r="D3591" s="6" t="n">
        <v>-44.2825</v>
      </c>
      <c r="E3591" s="6" t="inlineStr">
        <is>
          <t>2025-02</t>
        </is>
      </c>
      <c r="F3591" s="6" t="n"/>
      <c r="G3591" s="6" t="inlineStr">
        <is>
          <t>EXPORTACAO</t>
        </is>
      </c>
      <c r="H3591" s="6" t="inlineStr">
        <is>
          <t>AUTO_OFERTA_TOTAL_PRODUTO_PERIODO</t>
        </is>
      </c>
      <c r="I3591" s="11">
        <f>IF($H3591="AUTO_OFERTA_TOTAL_PRODUTO_PERIODO",SUMIFS(Oferta!$F:$F,Oferta!$A:$A,$A3591,Oferta!$E:$E,$E3591),$F3591)</f>
        <v/>
      </c>
      <c r="J3591" s="6" t="inlineStr">
        <is>
          <t>Derivado_da_Oferta</t>
        </is>
      </c>
      <c r="K3591" s="6" t="inlineStr">
        <is>
          <t>Mercado externo: limite superior calculado automaticamente pela soma da oferta do produto no período.</t>
        </is>
      </c>
    </row>
    <row r="3592">
      <c r="A3592" s="6" t="inlineStr">
        <is>
          <t>Soja</t>
        </is>
      </c>
      <c r="B3592" s="6" t="inlineStr">
        <is>
          <t>São Luís - MA</t>
        </is>
      </c>
      <c r="C3592" s="6" t="n">
        <v>-2.53874</v>
      </c>
      <c r="D3592" s="6" t="n">
        <v>-44.2825</v>
      </c>
      <c r="E3592" s="6" t="inlineStr">
        <is>
          <t>2025-03</t>
        </is>
      </c>
      <c r="F3592" s="6" t="n"/>
      <c r="G3592" s="6" t="inlineStr">
        <is>
          <t>EXPORTACAO</t>
        </is>
      </c>
      <c r="H3592" s="6" t="inlineStr">
        <is>
          <t>AUTO_OFERTA_TOTAL_PRODUTO_PERIODO</t>
        </is>
      </c>
      <c r="I3592" s="11">
        <f>IF($H3592="AUTO_OFERTA_TOTAL_PRODUTO_PERIODO",SUMIFS(Oferta!$F:$F,Oferta!$A:$A,$A3592,Oferta!$E:$E,$E3592),$F3592)</f>
        <v/>
      </c>
      <c r="J3592" s="6" t="inlineStr">
        <is>
          <t>Derivado_da_Oferta</t>
        </is>
      </c>
      <c r="K3592" s="6" t="inlineStr">
        <is>
          <t>Mercado externo: limite superior calculado automaticamente pela soma da oferta do produto no período.</t>
        </is>
      </c>
    </row>
    <row r="3593">
      <c r="A3593" s="6" t="inlineStr">
        <is>
          <t>Soja</t>
        </is>
      </c>
      <c r="B3593" s="6" t="inlineStr">
        <is>
          <t>São Luís - MA</t>
        </is>
      </c>
      <c r="C3593" s="6" t="n">
        <v>-2.53874</v>
      </c>
      <c r="D3593" s="6" t="n">
        <v>-44.2825</v>
      </c>
      <c r="E3593" s="6" t="inlineStr">
        <is>
          <t>2025-04</t>
        </is>
      </c>
      <c r="F3593" s="6" t="n"/>
      <c r="G3593" s="6" t="inlineStr">
        <is>
          <t>EXPORTACAO</t>
        </is>
      </c>
      <c r="H3593" s="6" t="inlineStr">
        <is>
          <t>AUTO_OFERTA_TOTAL_PRODUTO_PERIODO</t>
        </is>
      </c>
      <c r="I3593" s="11">
        <f>IF($H3593="AUTO_OFERTA_TOTAL_PRODUTO_PERIODO",SUMIFS(Oferta!$F:$F,Oferta!$A:$A,$A3593,Oferta!$E:$E,$E3593),$F3593)</f>
        <v/>
      </c>
      <c r="J3593" s="6" t="inlineStr">
        <is>
          <t>Derivado_da_Oferta</t>
        </is>
      </c>
      <c r="K3593" s="6" t="inlineStr">
        <is>
          <t>Mercado externo: limite superior calculado automaticamente pela soma da oferta do produto no período.</t>
        </is>
      </c>
    </row>
    <row r="3594">
      <c r="A3594" s="6" t="inlineStr">
        <is>
          <t>Soja</t>
        </is>
      </c>
      <c r="B3594" s="6" t="inlineStr">
        <is>
          <t>São Luís - MA</t>
        </is>
      </c>
      <c r="C3594" s="6" t="n">
        <v>-2.53874</v>
      </c>
      <c r="D3594" s="6" t="n">
        <v>-44.2825</v>
      </c>
      <c r="E3594" s="6" t="inlineStr">
        <is>
          <t>2025-05</t>
        </is>
      </c>
      <c r="F3594" s="6" t="n"/>
      <c r="G3594" s="6" t="inlineStr">
        <is>
          <t>EXPORTACAO</t>
        </is>
      </c>
      <c r="H3594" s="6" t="inlineStr">
        <is>
          <t>AUTO_OFERTA_TOTAL_PRODUTO_PERIODO</t>
        </is>
      </c>
      <c r="I3594" s="11">
        <f>IF($H3594="AUTO_OFERTA_TOTAL_PRODUTO_PERIODO",SUMIFS(Oferta!$F:$F,Oferta!$A:$A,$A3594,Oferta!$E:$E,$E3594),$F3594)</f>
        <v/>
      </c>
      <c r="J3594" s="6" t="inlineStr">
        <is>
          <t>Derivado_da_Oferta</t>
        </is>
      </c>
      <c r="K3594" s="6" t="inlineStr">
        <is>
          <t>Mercado externo: limite superior calculado automaticamente pela soma da oferta do produto no período.</t>
        </is>
      </c>
    </row>
    <row r="3595">
      <c r="A3595" s="6" t="inlineStr">
        <is>
          <t>Soja</t>
        </is>
      </c>
      <c r="B3595" s="6" t="inlineStr">
        <is>
          <t>São Luís - MA</t>
        </is>
      </c>
      <c r="C3595" s="6" t="n">
        <v>-2.53874</v>
      </c>
      <c r="D3595" s="6" t="n">
        <v>-44.2825</v>
      </c>
      <c r="E3595" s="6" t="inlineStr">
        <is>
          <t>2025-06</t>
        </is>
      </c>
      <c r="F3595" s="6" t="n"/>
      <c r="G3595" s="6" t="inlineStr">
        <is>
          <t>EXPORTACAO</t>
        </is>
      </c>
      <c r="H3595" s="6" t="inlineStr">
        <is>
          <t>AUTO_OFERTA_TOTAL_PRODUTO_PERIODO</t>
        </is>
      </c>
      <c r="I3595" s="11">
        <f>IF($H3595="AUTO_OFERTA_TOTAL_PRODUTO_PERIODO",SUMIFS(Oferta!$F:$F,Oferta!$A:$A,$A3595,Oferta!$E:$E,$E3595),$F3595)</f>
        <v/>
      </c>
      <c r="J3595" s="6" t="inlineStr">
        <is>
          <t>Derivado_da_Oferta</t>
        </is>
      </c>
      <c r="K3595" s="6" t="inlineStr">
        <is>
          <t>Mercado externo: limite superior calculado automaticamente pela soma da oferta do produto no período.</t>
        </is>
      </c>
    </row>
    <row r="3596">
      <c r="A3596" s="6" t="inlineStr">
        <is>
          <t>Soja</t>
        </is>
      </c>
      <c r="B3596" s="6" t="inlineStr">
        <is>
          <t>São Luís - MA</t>
        </is>
      </c>
      <c r="C3596" s="6" t="n">
        <v>-2.53874</v>
      </c>
      <c r="D3596" s="6" t="n">
        <v>-44.2825</v>
      </c>
      <c r="E3596" s="6" t="inlineStr">
        <is>
          <t>2025-07</t>
        </is>
      </c>
      <c r="F3596" s="6" t="n"/>
      <c r="G3596" s="6" t="inlineStr">
        <is>
          <t>EXPORTACAO</t>
        </is>
      </c>
      <c r="H3596" s="6" t="inlineStr">
        <is>
          <t>AUTO_OFERTA_TOTAL_PRODUTO_PERIODO</t>
        </is>
      </c>
      <c r="I3596" s="11">
        <f>IF($H3596="AUTO_OFERTA_TOTAL_PRODUTO_PERIODO",SUMIFS(Oferta!$F:$F,Oferta!$A:$A,$A3596,Oferta!$E:$E,$E3596),$F3596)</f>
        <v/>
      </c>
      <c r="J3596" s="6" t="inlineStr">
        <is>
          <t>Derivado_da_Oferta</t>
        </is>
      </c>
      <c r="K3596" s="6" t="inlineStr">
        <is>
          <t>Mercado externo: limite superior calculado automaticamente pela soma da oferta do produto no período.</t>
        </is>
      </c>
    </row>
    <row r="3597">
      <c r="A3597" s="6" t="inlineStr">
        <is>
          <t>Soja</t>
        </is>
      </c>
      <c r="B3597" s="6" t="inlineStr">
        <is>
          <t>São Luís - MA</t>
        </is>
      </c>
      <c r="C3597" s="6" t="n">
        <v>-2.53874</v>
      </c>
      <c r="D3597" s="6" t="n">
        <v>-44.2825</v>
      </c>
      <c r="E3597" s="6" t="inlineStr">
        <is>
          <t>2025-08</t>
        </is>
      </c>
      <c r="F3597" s="6" t="n"/>
      <c r="G3597" s="6" t="inlineStr">
        <is>
          <t>EXPORTACAO</t>
        </is>
      </c>
      <c r="H3597" s="6" t="inlineStr">
        <is>
          <t>AUTO_OFERTA_TOTAL_PRODUTO_PERIODO</t>
        </is>
      </c>
      <c r="I3597" s="11">
        <f>IF($H3597="AUTO_OFERTA_TOTAL_PRODUTO_PERIODO",SUMIFS(Oferta!$F:$F,Oferta!$A:$A,$A3597,Oferta!$E:$E,$E3597),$F3597)</f>
        <v/>
      </c>
      <c r="J3597" s="6" t="inlineStr">
        <is>
          <t>Derivado_da_Oferta</t>
        </is>
      </c>
      <c r="K3597" s="6" t="inlineStr">
        <is>
          <t>Mercado externo: limite superior calculado automaticamente pela soma da oferta do produto no período.</t>
        </is>
      </c>
    </row>
    <row r="3598">
      <c r="A3598" s="6" t="inlineStr">
        <is>
          <t>Soja</t>
        </is>
      </c>
      <c r="B3598" s="6" t="inlineStr">
        <is>
          <t>São Luís - MA</t>
        </is>
      </c>
      <c r="C3598" s="6" t="n">
        <v>-2.53874</v>
      </c>
      <c r="D3598" s="6" t="n">
        <v>-44.2825</v>
      </c>
      <c r="E3598" s="6" t="inlineStr">
        <is>
          <t>2025-09</t>
        </is>
      </c>
      <c r="F3598" s="6" t="n"/>
      <c r="G3598" s="6" t="inlineStr">
        <is>
          <t>EXPORTACAO</t>
        </is>
      </c>
      <c r="H3598" s="6" t="inlineStr">
        <is>
          <t>AUTO_OFERTA_TOTAL_PRODUTO_PERIODO</t>
        </is>
      </c>
      <c r="I3598" s="11">
        <f>IF($H3598="AUTO_OFERTA_TOTAL_PRODUTO_PERIODO",SUMIFS(Oferta!$F:$F,Oferta!$A:$A,$A3598,Oferta!$E:$E,$E3598),$F3598)</f>
        <v/>
      </c>
      <c r="J3598" s="6" t="inlineStr">
        <is>
          <t>Derivado_da_Oferta</t>
        </is>
      </c>
      <c r="K3598" s="6" t="inlineStr">
        <is>
          <t>Mercado externo: limite superior calculado automaticamente pela soma da oferta do produto no período.</t>
        </is>
      </c>
    </row>
    <row r="3599">
      <c r="A3599" s="6" t="inlineStr">
        <is>
          <t>Soja</t>
        </is>
      </c>
      <c r="B3599" s="6" t="inlineStr">
        <is>
          <t>São Luís - MA</t>
        </is>
      </c>
      <c r="C3599" s="6" t="n">
        <v>-2.53874</v>
      </c>
      <c r="D3599" s="6" t="n">
        <v>-44.2825</v>
      </c>
      <c r="E3599" s="6" t="inlineStr">
        <is>
          <t>2025-10</t>
        </is>
      </c>
      <c r="F3599" s="6" t="n"/>
      <c r="G3599" s="6" t="inlineStr">
        <is>
          <t>EXPORTACAO</t>
        </is>
      </c>
      <c r="H3599" s="6" t="inlineStr">
        <is>
          <t>AUTO_OFERTA_TOTAL_PRODUTO_PERIODO</t>
        </is>
      </c>
      <c r="I3599" s="11">
        <f>IF($H3599="AUTO_OFERTA_TOTAL_PRODUTO_PERIODO",SUMIFS(Oferta!$F:$F,Oferta!$A:$A,$A3599,Oferta!$E:$E,$E3599),$F3599)</f>
        <v/>
      </c>
      <c r="J3599" s="6" t="inlineStr">
        <is>
          <t>Derivado_da_Oferta</t>
        </is>
      </c>
      <c r="K3599" s="6" t="inlineStr">
        <is>
          <t>Mercado externo: limite superior calculado automaticamente pela soma da oferta do produto no período.</t>
        </is>
      </c>
    </row>
    <row r="3600">
      <c r="A3600" s="6" t="inlineStr">
        <is>
          <t>Soja</t>
        </is>
      </c>
      <c r="B3600" s="6" t="inlineStr">
        <is>
          <t>São Luís - MA</t>
        </is>
      </c>
      <c r="C3600" s="6" t="n">
        <v>-2.53874</v>
      </c>
      <c r="D3600" s="6" t="n">
        <v>-44.2825</v>
      </c>
      <c r="E3600" s="6" t="inlineStr">
        <is>
          <t>2025-11</t>
        </is>
      </c>
      <c r="F3600" s="6" t="n"/>
      <c r="G3600" s="6" t="inlineStr">
        <is>
          <t>EXPORTACAO</t>
        </is>
      </c>
      <c r="H3600" s="6" t="inlineStr">
        <is>
          <t>AUTO_OFERTA_TOTAL_PRODUTO_PERIODO</t>
        </is>
      </c>
      <c r="I3600" s="11">
        <f>IF($H3600="AUTO_OFERTA_TOTAL_PRODUTO_PERIODO",SUMIFS(Oferta!$F:$F,Oferta!$A:$A,$A3600,Oferta!$E:$E,$E3600),$F3600)</f>
        <v/>
      </c>
      <c r="J3600" s="6" t="inlineStr">
        <is>
          <t>Derivado_da_Oferta</t>
        </is>
      </c>
      <c r="K3600" s="6" t="inlineStr">
        <is>
          <t>Mercado externo: limite superior calculado automaticamente pela soma da oferta do produto no período.</t>
        </is>
      </c>
    </row>
    <row r="3601">
      <c r="A3601" s="6" t="inlineStr">
        <is>
          <t>Soja</t>
        </is>
      </c>
      <c r="B3601" s="6" t="inlineStr">
        <is>
          <t>São Luís - MA</t>
        </is>
      </c>
      <c r="C3601" s="6" t="n">
        <v>-2.53874</v>
      </c>
      <c r="D3601" s="6" t="n">
        <v>-44.2825</v>
      </c>
      <c r="E3601" s="6" t="inlineStr">
        <is>
          <t>2025-12</t>
        </is>
      </c>
      <c r="F3601" s="6" t="n"/>
      <c r="G3601" s="6" t="inlineStr">
        <is>
          <t>EXPORTACAO</t>
        </is>
      </c>
      <c r="H3601" s="6" t="inlineStr">
        <is>
          <t>AUTO_OFERTA_TOTAL_PRODUTO_PERIODO</t>
        </is>
      </c>
      <c r="I3601" s="11">
        <f>IF($H3601="AUTO_OFERTA_TOTAL_PRODUTO_PERIODO",SUMIFS(Oferta!$F:$F,Oferta!$A:$A,$A3601,Oferta!$E:$E,$E3601),$F3601)</f>
        <v/>
      </c>
      <c r="J3601" s="6" t="inlineStr">
        <is>
          <t>Derivado_da_Oferta</t>
        </is>
      </c>
      <c r="K3601" s="6" t="inlineStr">
        <is>
          <t>Mercado externo: limite superior calculado automaticamente pela soma da oferta do produto no período.</t>
        </is>
      </c>
    </row>
    <row r="3602">
      <c r="A3602" s="6" t="inlineStr">
        <is>
          <t>Soja</t>
        </is>
      </c>
      <c r="B3602" s="6" t="inlineStr">
        <is>
          <t>Barcarena - PA</t>
        </is>
      </c>
      <c r="C3602" s="6" t="n">
        <v>-1.51187</v>
      </c>
      <c r="D3602" s="6" t="n">
        <v>-48.6195</v>
      </c>
      <c r="E3602" s="6" t="inlineStr">
        <is>
          <t>2021-01</t>
        </is>
      </c>
      <c r="F3602" s="6" t="n"/>
      <c r="G3602" s="6" t="inlineStr">
        <is>
          <t>EXPORTACAO</t>
        </is>
      </c>
      <c r="H3602" s="6" t="inlineStr">
        <is>
          <t>AUTO_OFERTA_TOTAL_PRODUTO_PERIODO</t>
        </is>
      </c>
      <c r="I3602" s="11">
        <f>IF($H3602="AUTO_OFERTA_TOTAL_PRODUTO_PERIODO",SUMIFS(Oferta!$F:$F,Oferta!$A:$A,$A3602,Oferta!$E:$E,$E3602),$F3602)</f>
        <v/>
      </c>
      <c r="J3602" s="6" t="inlineStr">
        <is>
          <t>Derivado_da_Oferta</t>
        </is>
      </c>
      <c r="K3602" s="6" t="inlineStr">
        <is>
          <t>Mercado externo: limite superior calculado automaticamente pela soma da oferta do produto no período.</t>
        </is>
      </c>
    </row>
    <row r="3603">
      <c r="A3603" s="6" t="inlineStr">
        <is>
          <t>Soja</t>
        </is>
      </c>
      <c r="B3603" s="6" t="inlineStr">
        <is>
          <t>Barcarena - PA</t>
        </is>
      </c>
      <c r="C3603" s="6" t="n">
        <v>-1.51187</v>
      </c>
      <c r="D3603" s="6" t="n">
        <v>-48.6195</v>
      </c>
      <c r="E3603" s="6" t="inlineStr">
        <is>
          <t>2021-02</t>
        </is>
      </c>
      <c r="F3603" s="6" t="n"/>
      <c r="G3603" s="6" t="inlineStr">
        <is>
          <t>EXPORTACAO</t>
        </is>
      </c>
      <c r="H3603" s="6" t="inlineStr">
        <is>
          <t>AUTO_OFERTA_TOTAL_PRODUTO_PERIODO</t>
        </is>
      </c>
      <c r="I3603" s="11">
        <f>IF($H3603="AUTO_OFERTA_TOTAL_PRODUTO_PERIODO",SUMIFS(Oferta!$F:$F,Oferta!$A:$A,$A3603,Oferta!$E:$E,$E3603),$F3603)</f>
        <v/>
      </c>
      <c r="J3603" s="6" t="inlineStr">
        <is>
          <t>Derivado_da_Oferta</t>
        </is>
      </c>
      <c r="K3603" s="6" t="inlineStr">
        <is>
          <t>Mercado externo: limite superior calculado automaticamente pela soma da oferta do produto no período.</t>
        </is>
      </c>
    </row>
    <row r="3604">
      <c r="A3604" s="6" t="inlineStr">
        <is>
          <t>Soja</t>
        </is>
      </c>
      <c r="B3604" s="6" t="inlineStr">
        <is>
          <t>Barcarena - PA</t>
        </is>
      </c>
      <c r="C3604" s="6" t="n">
        <v>-1.51187</v>
      </c>
      <c r="D3604" s="6" t="n">
        <v>-48.6195</v>
      </c>
      <c r="E3604" s="6" t="inlineStr">
        <is>
          <t>2021-03</t>
        </is>
      </c>
      <c r="F3604" s="6" t="n"/>
      <c r="G3604" s="6" t="inlineStr">
        <is>
          <t>EXPORTACAO</t>
        </is>
      </c>
      <c r="H3604" s="6" t="inlineStr">
        <is>
          <t>AUTO_OFERTA_TOTAL_PRODUTO_PERIODO</t>
        </is>
      </c>
      <c r="I3604" s="11">
        <f>IF($H3604="AUTO_OFERTA_TOTAL_PRODUTO_PERIODO",SUMIFS(Oferta!$F:$F,Oferta!$A:$A,$A3604,Oferta!$E:$E,$E3604),$F3604)</f>
        <v/>
      </c>
      <c r="J3604" s="6" t="inlineStr">
        <is>
          <t>Derivado_da_Oferta</t>
        </is>
      </c>
      <c r="K3604" s="6" t="inlineStr">
        <is>
          <t>Mercado externo: limite superior calculado automaticamente pela soma da oferta do produto no período.</t>
        </is>
      </c>
    </row>
    <row r="3605">
      <c r="A3605" s="6" t="inlineStr">
        <is>
          <t>Soja</t>
        </is>
      </c>
      <c r="B3605" s="6" t="inlineStr">
        <is>
          <t>Barcarena - PA</t>
        </is>
      </c>
      <c r="C3605" s="6" t="n">
        <v>-1.51187</v>
      </c>
      <c r="D3605" s="6" t="n">
        <v>-48.6195</v>
      </c>
      <c r="E3605" s="6" t="inlineStr">
        <is>
          <t>2021-04</t>
        </is>
      </c>
      <c r="F3605" s="6" t="n"/>
      <c r="G3605" s="6" t="inlineStr">
        <is>
          <t>EXPORTACAO</t>
        </is>
      </c>
      <c r="H3605" s="6" t="inlineStr">
        <is>
          <t>AUTO_OFERTA_TOTAL_PRODUTO_PERIODO</t>
        </is>
      </c>
      <c r="I3605" s="11">
        <f>IF($H3605="AUTO_OFERTA_TOTAL_PRODUTO_PERIODO",SUMIFS(Oferta!$F:$F,Oferta!$A:$A,$A3605,Oferta!$E:$E,$E3605),$F3605)</f>
        <v/>
      </c>
      <c r="J3605" s="6" t="inlineStr">
        <is>
          <t>Derivado_da_Oferta</t>
        </is>
      </c>
      <c r="K3605" s="6" t="inlineStr">
        <is>
          <t>Mercado externo: limite superior calculado automaticamente pela soma da oferta do produto no período.</t>
        </is>
      </c>
    </row>
    <row r="3606">
      <c r="A3606" s="6" t="inlineStr">
        <is>
          <t>Soja</t>
        </is>
      </c>
      <c r="B3606" s="6" t="inlineStr">
        <is>
          <t>Barcarena - PA</t>
        </is>
      </c>
      <c r="C3606" s="6" t="n">
        <v>-1.51187</v>
      </c>
      <c r="D3606" s="6" t="n">
        <v>-48.6195</v>
      </c>
      <c r="E3606" s="6" t="inlineStr">
        <is>
          <t>2021-05</t>
        </is>
      </c>
      <c r="F3606" s="6" t="n"/>
      <c r="G3606" s="6" t="inlineStr">
        <is>
          <t>EXPORTACAO</t>
        </is>
      </c>
      <c r="H3606" s="6" t="inlineStr">
        <is>
          <t>AUTO_OFERTA_TOTAL_PRODUTO_PERIODO</t>
        </is>
      </c>
      <c r="I3606" s="11">
        <f>IF($H3606="AUTO_OFERTA_TOTAL_PRODUTO_PERIODO",SUMIFS(Oferta!$F:$F,Oferta!$A:$A,$A3606,Oferta!$E:$E,$E3606),$F3606)</f>
        <v/>
      </c>
      <c r="J3606" s="6" t="inlineStr">
        <is>
          <t>Derivado_da_Oferta</t>
        </is>
      </c>
      <c r="K3606" s="6" t="inlineStr">
        <is>
          <t>Mercado externo: limite superior calculado automaticamente pela soma da oferta do produto no período.</t>
        </is>
      </c>
    </row>
    <row r="3607">
      <c r="A3607" s="6" t="inlineStr">
        <is>
          <t>Soja</t>
        </is>
      </c>
      <c r="B3607" s="6" t="inlineStr">
        <is>
          <t>Barcarena - PA</t>
        </is>
      </c>
      <c r="C3607" s="6" t="n">
        <v>-1.51187</v>
      </c>
      <c r="D3607" s="6" t="n">
        <v>-48.6195</v>
      </c>
      <c r="E3607" s="6" t="inlineStr">
        <is>
          <t>2021-06</t>
        </is>
      </c>
      <c r="F3607" s="6" t="n"/>
      <c r="G3607" s="6" t="inlineStr">
        <is>
          <t>EXPORTACAO</t>
        </is>
      </c>
      <c r="H3607" s="6" t="inlineStr">
        <is>
          <t>AUTO_OFERTA_TOTAL_PRODUTO_PERIODO</t>
        </is>
      </c>
      <c r="I3607" s="11">
        <f>IF($H3607="AUTO_OFERTA_TOTAL_PRODUTO_PERIODO",SUMIFS(Oferta!$F:$F,Oferta!$A:$A,$A3607,Oferta!$E:$E,$E3607),$F3607)</f>
        <v/>
      </c>
      <c r="J3607" s="6" t="inlineStr">
        <is>
          <t>Derivado_da_Oferta</t>
        </is>
      </c>
      <c r="K3607" s="6" t="inlineStr">
        <is>
          <t>Mercado externo: limite superior calculado automaticamente pela soma da oferta do produto no período.</t>
        </is>
      </c>
    </row>
    <row r="3608">
      <c r="A3608" s="6" t="inlineStr">
        <is>
          <t>Soja</t>
        </is>
      </c>
      <c r="B3608" s="6" t="inlineStr">
        <is>
          <t>Barcarena - PA</t>
        </is>
      </c>
      <c r="C3608" s="6" t="n">
        <v>-1.51187</v>
      </c>
      <c r="D3608" s="6" t="n">
        <v>-48.6195</v>
      </c>
      <c r="E3608" s="6" t="inlineStr">
        <is>
          <t>2021-07</t>
        </is>
      </c>
      <c r="F3608" s="6" t="n"/>
      <c r="G3608" s="6" t="inlineStr">
        <is>
          <t>EXPORTACAO</t>
        </is>
      </c>
      <c r="H3608" s="6" t="inlineStr">
        <is>
          <t>AUTO_OFERTA_TOTAL_PRODUTO_PERIODO</t>
        </is>
      </c>
      <c r="I3608" s="11">
        <f>IF($H3608="AUTO_OFERTA_TOTAL_PRODUTO_PERIODO",SUMIFS(Oferta!$F:$F,Oferta!$A:$A,$A3608,Oferta!$E:$E,$E3608),$F3608)</f>
        <v/>
      </c>
      <c r="J3608" s="6" t="inlineStr">
        <is>
          <t>Derivado_da_Oferta</t>
        </is>
      </c>
      <c r="K3608" s="6" t="inlineStr">
        <is>
          <t>Mercado externo: limite superior calculado automaticamente pela soma da oferta do produto no período.</t>
        </is>
      </c>
    </row>
    <row r="3609">
      <c r="A3609" s="6" t="inlineStr">
        <is>
          <t>Soja</t>
        </is>
      </c>
      <c r="B3609" s="6" t="inlineStr">
        <is>
          <t>Barcarena - PA</t>
        </is>
      </c>
      <c r="C3609" s="6" t="n">
        <v>-1.51187</v>
      </c>
      <c r="D3609" s="6" t="n">
        <v>-48.6195</v>
      </c>
      <c r="E3609" s="6" t="inlineStr">
        <is>
          <t>2021-08</t>
        </is>
      </c>
      <c r="F3609" s="6" t="n"/>
      <c r="G3609" s="6" t="inlineStr">
        <is>
          <t>EXPORTACAO</t>
        </is>
      </c>
      <c r="H3609" s="6" t="inlineStr">
        <is>
          <t>AUTO_OFERTA_TOTAL_PRODUTO_PERIODO</t>
        </is>
      </c>
      <c r="I3609" s="11">
        <f>IF($H3609="AUTO_OFERTA_TOTAL_PRODUTO_PERIODO",SUMIFS(Oferta!$F:$F,Oferta!$A:$A,$A3609,Oferta!$E:$E,$E3609),$F3609)</f>
        <v/>
      </c>
      <c r="J3609" s="6" t="inlineStr">
        <is>
          <t>Derivado_da_Oferta</t>
        </is>
      </c>
      <c r="K3609" s="6" t="inlineStr">
        <is>
          <t>Mercado externo: limite superior calculado automaticamente pela soma da oferta do produto no período.</t>
        </is>
      </c>
    </row>
    <row r="3610">
      <c r="A3610" s="6" t="inlineStr">
        <is>
          <t>Soja</t>
        </is>
      </c>
      <c r="B3610" s="6" t="inlineStr">
        <is>
          <t>Barcarena - PA</t>
        </is>
      </c>
      <c r="C3610" s="6" t="n">
        <v>-1.51187</v>
      </c>
      <c r="D3610" s="6" t="n">
        <v>-48.6195</v>
      </c>
      <c r="E3610" s="6" t="inlineStr">
        <is>
          <t>2021-09</t>
        </is>
      </c>
      <c r="F3610" s="6" t="n"/>
      <c r="G3610" s="6" t="inlineStr">
        <is>
          <t>EXPORTACAO</t>
        </is>
      </c>
      <c r="H3610" s="6" t="inlineStr">
        <is>
          <t>AUTO_OFERTA_TOTAL_PRODUTO_PERIODO</t>
        </is>
      </c>
      <c r="I3610" s="11">
        <f>IF($H3610="AUTO_OFERTA_TOTAL_PRODUTO_PERIODO",SUMIFS(Oferta!$F:$F,Oferta!$A:$A,$A3610,Oferta!$E:$E,$E3610),$F3610)</f>
        <v/>
      </c>
      <c r="J3610" s="6" t="inlineStr">
        <is>
          <t>Derivado_da_Oferta</t>
        </is>
      </c>
      <c r="K3610" s="6" t="inlineStr">
        <is>
          <t>Mercado externo: limite superior calculado automaticamente pela soma da oferta do produto no período.</t>
        </is>
      </c>
    </row>
    <row r="3611">
      <c r="A3611" s="6" t="inlineStr">
        <is>
          <t>Soja</t>
        </is>
      </c>
      <c r="B3611" s="6" t="inlineStr">
        <is>
          <t>Barcarena - PA</t>
        </is>
      </c>
      <c r="C3611" s="6" t="n">
        <v>-1.51187</v>
      </c>
      <c r="D3611" s="6" t="n">
        <v>-48.6195</v>
      </c>
      <c r="E3611" s="6" t="inlineStr">
        <is>
          <t>2021-10</t>
        </is>
      </c>
      <c r="F3611" s="6" t="n"/>
      <c r="G3611" s="6" t="inlineStr">
        <is>
          <t>EXPORTACAO</t>
        </is>
      </c>
      <c r="H3611" s="6" t="inlineStr">
        <is>
          <t>AUTO_OFERTA_TOTAL_PRODUTO_PERIODO</t>
        </is>
      </c>
      <c r="I3611" s="11">
        <f>IF($H3611="AUTO_OFERTA_TOTAL_PRODUTO_PERIODO",SUMIFS(Oferta!$F:$F,Oferta!$A:$A,$A3611,Oferta!$E:$E,$E3611),$F3611)</f>
        <v/>
      </c>
      <c r="J3611" s="6" t="inlineStr">
        <is>
          <t>Derivado_da_Oferta</t>
        </is>
      </c>
      <c r="K3611" s="6" t="inlineStr">
        <is>
          <t>Mercado externo: limite superior calculado automaticamente pela soma da oferta do produto no período.</t>
        </is>
      </c>
    </row>
    <row r="3612">
      <c r="A3612" s="6" t="inlineStr">
        <is>
          <t>Soja</t>
        </is>
      </c>
      <c r="B3612" s="6" t="inlineStr">
        <is>
          <t>Barcarena - PA</t>
        </is>
      </c>
      <c r="C3612" s="6" t="n">
        <v>-1.51187</v>
      </c>
      <c r="D3612" s="6" t="n">
        <v>-48.6195</v>
      </c>
      <c r="E3612" s="6" t="inlineStr">
        <is>
          <t>2021-11</t>
        </is>
      </c>
      <c r="F3612" s="6" t="n"/>
      <c r="G3612" s="6" t="inlineStr">
        <is>
          <t>EXPORTACAO</t>
        </is>
      </c>
      <c r="H3612" s="6" t="inlineStr">
        <is>
          <t>AUTO_OFERTA_TOTAL_PRODUTO_PERIODO</t>
        </is>
      </c>
      <c r="I3612" s="11">
        <f>IF($H3612="AUTO_OFERTA_TOTAL_PRODUTO_PERIODO",SUMIFS(Oferta!$F:$F,Oferta!$A:$A,$A3612,Oferta!$E:$E,$E3612),$F3612)</f>
        <v/>
      </c>
      <c r="J3612" s="6" t="inlineStr">
        <is>
          <t>Derivado_da_Oferta</t>
        </is>
      </c>
      <c r="K3612" s="6" t="inlineStr">
        <is>
          <t>Mercado externo: limite superior calculado automaticamente pela soma da oferta do produto no período.</t>
        </is>
      </c>
    </row>
    <row r="3613">
      <c r="A3613" s="6" t="inlineStr">
        <is>
          <t>Soja</t>
        </is>
      </c>
      <c r="B3613" s="6" t="inlineStr">
        <is>
          <t>Barcarena - PA</t>
        </is>
      </c>
      <c r="C3613" s="6" t="n">
        <v>-1.51187</v>
      </c>
      <c r="D3613" s="6" t="n">
        <v>-48.6195</v>
      </c>
      <c r="E3613" s="6" t="inlineStr">
        <is>
          <t>2021-12</t>
        </is>
      </c>
      <c r="F3613" s="6" t="n"/>
      <c r="G3613" s="6" t="inlineStr">
        <is>
          <t>EXPORTACAO</t>
        </is>
      </c>
      <c r="H3613" s="6" t="inlineStr">
        <is>
          <t>AUTO_OFERTA_TOTAL_PRODUTO_PERIODO</t>
        </is>
      </c>
      <c r="I3613" s="11">
        <f>IF($H3613="AUTO_OFERTA_TOTAL_PRODUTO_PERIODO",SUMIFS(Oferta!$F:$F,Oferta!$A:$A,$A3613,Oferta!$E:$E,$E3613),$F3613)</f>
        <v/>
      </c>
      <c r="J3613" s="6" t="inlineStr">
        <is>
          <t>Derivado_da_Oferta</t>
        </is>
      </c>
      <c r="K3613" s="6" t="inlineStr">
        <is>
          <t>Mercado externo: limite superior calculado automaticamente pela soma da oferta do produto no período.</t>
        </is>
      </c>
    </row>
    <row r="3614">
      <c r="A3614" s="6" t="inlineStr">
        <is>
          <t>Soja</t>
        </is>
      </c>
      <c r="B3614" s="6" t="inlineStr">
        <is>
          <t>Barcarena - PA</t>
        </is>
      </c>
      <c r="C3614" s="6" t="n">
        <v>-1.51187</v>
      </c>
      <c r="D3614" s="6" t="n">
        <v>-48.6195</v>
      </c>
      <c r="E3614" s="6" t="inlineStr">
        <is>
          <t>2022-01</t>
        </is>
      </c>
      <c r="F3614" s="6" t="n"/>
      <c r="G3614" s="6" t="inlineStr">
        <is>
          <t>EXPORTACAO</t>
        </is>
      </c>
      <c r="H3614" s="6" t="inlineStr">
        <is>
          <t>AUTO_OFERTA_TOTAL_PRODUTO_PERIODO</t>
        </is>
      </c>
      <c r="I3614" s="11">
        <f>IF($H3614="AUTO_OFERTA_TOTAL_PRODUTO_PERIODO",SUMIFS(Oferta!$F:$F,Oferta!$A:$A,$A3614,Oferta!$E:$E,$E3614),$F3614)</f>
        <v/>
      </c>
      <c r="J3614" s="6" t="inlineStr">
        <is>
          <t>Derivado_da_Oferta</t>
        </is>
      </c>
      <c r="K3614" s="6" t="inlineStr">
        <is>
          <t>Mercado externo: limite superior calculado automaticamente pela soma da oferta do produto no período.</t>
        </is>
      </c>
    </row>
    <row r="3615">
      <c r="A3615" s="6" t="inlineStr">
        <is>
          <t>Soja</t>
        </is>
      </c>
      <c r="B3615" s="6" t="inlineStr">
        <is>
          <t>Barcarena - PA</t>
        </is>
      </c>
      <c r="C3615" s="6" t="n">
        <v>-1.51187</v>
      </c>
      <c r="D3615" s="6" t="n">
        <v>-48.6195</v>
      </c>
      <c r="E3615" s="6" t="inlineStr">
        <is>
          <t>2022-02</t>
        </is>
      </c>
      <c r="F3615" s="6" t="n"/>
      <c r="G3615" s="6" t="inlineStr">
        <is>
          <t>EXPORTACAO</t>
        </is>
      </c>
      <c r="H3615" s="6" t="inlineStr">
        <is>
          <t>AUTO_OFERTA_TOTAL_PRODUTO_PERIODO</t>
        </is>
      </c>
      <c r="I3615" s="11">
        <f>IF($H3615="AUTO_OFERTA_TOTAL_PRODUTO_PERIODO",SUMIFS(Oferta!$F:$F,Oferta!$A:$A,$A3615,Oferta!$E:$E,$E3615),$F3615)</f>
        <v/>
      </c>
      <c r="J3615" s="6" t="inlineStr">
        <is>
          <t>Derivado_da_Oferta</t>
        </is>
      </c>
      <c r="K3615" s="6" t="inlineStr">
        <is>
          <t>Mercado externo: limite superior calculado automaticamente pela soma da oferta do produto no período.</t>
        </is>
      </c>
    </row>
    <row r="3616">
      <c r="A3616" s="6" t="inlineStr">
        <is>
          <t>Soja</t>
        </is>
      </c>
      <c r="B3616" s="6" t="inlineStr">
        <is>
          <t>Barcarena - PA</t>
        </is>
      </c>
      <c r="C3616" s="6" t="n">
        <v>-1.51187</v>
      </c>
      <c r="D3616" s="6" t="n">
        <v>-48.6195</v>
      </c>
      <c r="E3616" s="6" t="inlineStr">
        <is>
          <t>2022-03</t>
        </is>
      </c>
      <c r="F3616" s="6" t="n"/>
      <c r="G3616" s="6" t="inlineStr">
        <is>
          <t>EXPORTACAO</t>
        </is>
      </c>
      <c r="H3616" s="6" t="inlineStr">
        <is>
          <t>AUTO_OFERTA_TOTAL_PRODUTO_PERIODO</t>
        </is>
      </c>
      <c r="I3616" s="11">
        <f>IF($H3616="AUTO_OFERTA_TOTAL_PRODUTO_PERIODO",SUMIFS(Oferta!$F:$F,Oferta!$A:$A,$A3616,Oferta!$E:$E,$E3616),$F3616)</f>
        <v/>
      </c>
      <c r="J3616" s="6" t="inlineStr">
        <is>
          <t>Derivado_da_Oferta</t>
        </is>
      </c>
      <c r="K3616" s="6" t="inlineStr">
        <is>
          <t>Mercado externo: limite superior calculado automaticamente pela soma da oferta do produto no período.</t>
        </is>
      </c>
    </row>
    <row r="3617">
      <c r="A3617" s="6" t="inlineStr">
        <is>
          <t>Soja</t>
        </is>
      </c>
      <c r="B3617" s="6" t="inlineStr">
        <is>
          <t>Barcarena - PA</t>
        </is>
      </c>
      <c r="C3617" s="6" t="n">
        <v>-1.51187</v>
      </c>
      <c r="D3617" s="6" t="n">
        <v>-48.6195</v>
      </c>
      <c r="E3617" s="6" t="inlineStr">
        <is>
          <t>2022-04</t>
        </is>
      </c>
      <c r="F3617" s="6" t="n"/>
      <c r="G3617" s="6" t="inlineStr">
        <is>
          <t>EXPORTACAO</t>
        </is>
      </c>
      <c r="H3617" s="6" t="inlineStr">
        <is>
          <t>AUTO_OFERTA_TOTAL_PRODUTO_PERIODO</t>
        </is>
      </c>
      <c r="I3617" s="11">
        <f>IF($H3617="AUTO_OFERTA_TOTAL_PRODUTO_PERIODO",SUMIFS(Oferta!$F:$F,Oferta!$A:$A,$A3617,Oferta!$E:$E,$E3617),$F3617)</f>
        <v/>
      </c>
      <c r="J3617" s="6" t="inlineStr">
        <is>
          <t>Derivado_da_Oferta</t>
        </is>
      </c>
      <c r="K3617" s="6" t="inlineStr">
        <is>
          <t>Mercado externo: limite superior calculado automaticamente pela soma da oferta do produto no período.</t>
        </is>
      </c>
    </row>
    <row r="3618">
      <c r="A3618" s="6" t="inlineStr">
        <is>
          <t>Soja</t>
        </is>
      </c>
      <c r="B3618" s="6" t="inlineStr">
        <is>
          <t>Barcarena - PA</t>
        </is>
      </c>
      <c r="C3618" s="6" t="n">
        <v>-1.51187</v>
      </c>
      <c r="D3618" s="6" t="n">
        <v>-48.6195</v>
      </c>
      <c r="E3618" s="6" t="inlineStr">
        <is>
          <t>2022-05</t>
        </is>
      </c>
      <c r="F3618" s="6" t="n"/>
      <c r="G3618" s="6" t="inlineStr">
        <is>
          <t>EXPORTACAO</t>
        </is>
      </c>
      <c r="H3618" s="6" t="inlineStr">
        <is>
          <t>AUTO_OFERTA_TOTAL_PRODUTO_PERIODO</t>
        </is>
      </c>
      <c r="I3618" s="11">
        <f>IF($H3618="AUTO_OFERTA_TOTAL_PRODUTO_PERIODO",SUMIFS(Oferta!$F:$F,Oferta!$A:$A,$A3618,Oferta!$E:$E,$E3618),$F3618)</f>
        <v/>
      </c>
      <c r="J3618" s="6" t="inlineStr">
        <is>
          <t>Derivado_da_Oferta</t>
        </is>
      </c>
      <c r="K3618" s="6" t="inlineStr">
        <is>
          <t>Mercado externo: limite superior calculado automaticamente pela soma da oferta do produto no período.</t>
        </is>
      </c>
    </row>
    <row r="3619">
      <c r="A3619" s="6" t="inlineStr">
        <is>
          <t>Soja</t>
        </is>
      </c>
      <c r="B3619" s="6" t="inlineStr">
        <is>
          <t>Barcarena - PA</t>
        </is>
      </c>
      <c r="C3619" s="6" t="n">
        <v>-1.51187</v>
      </c>
      <c r="D3619" s="6" t="n">
        <v>-48.6195</v>
      </c>
      <c r="E3619" s="6" t="inlineStr">
        <is>
          <t>2022-06</t>
        </is>
      </c>
      <c r="F3619" s="6" t="n"/>
      <c r="G3619" s="6" t="inlineStr">
        <is>
          <t>EXPORTACAO</t>
        </is>
      </c>
      <c r="H3619" s="6" t="inlineStr">
        <is>
          <t>AUTO_OFERTA_TOTAL_PRODUTO_PERIODO</t>
        </is>
      </c>
      <c r="I3619" s="11">
        <f>IF($H3619="AUTO_OFERTA_TOTAL_PRODUTO_PERIODO",SUMIFS(Oferta!$F:$F,Oferta!$A:$A,$A3619,Oferta!$E:$E,$E3619),$F3619)</f>
        <v/>
      </c>
      <c r="J3619" s="6" t="inlineStr">
        <is>
          <t>Derivado_da_Oferta</t>
        </is>
      </c>
      <c r="K3619" s="6" t="inlineStr">
        <is>
          <t>Mercado externo: limite superior calculado automaticamente pela soma da oferta do produto no período.</t>
        </is>
      </c>
    </row>
    <row r="3620">
      <c r="A3620" s="6" t="inlineStr">
        <is>
          <t>Soja</t>
        </is>
      </c>
      <c r="B3620" s="6" t="inlineStr">
        <is>
          <t>Barcarena - PA</t>
        </is>
      </c>
      <c r="C3620" s="6" t="n">
        <v>-1.51187</v>
      </c>
      <c r="D3620" s="6" t="n">
        <v>-48.6195</v>
      </c>
      <c r="E3620" s="6" t="inlineStr">
        <is>
          <t>2022-07</t>
        </is>
      </c>
      <c r="F3620" s="6" t="n"/>
      <c r="G3620" s="6" t="inlineStr">
        <is>
          <t>EXPORTACAO</t>
        </is>
      </c>
      <c r="H3620" s="6" t="inlineStr">
        <is>
          <t>AUTO_OFERTA_TOTAL_PRODUTO_PERIODO</t>
        </is>
      </c>
      <c r="I3620" s="11">
        <f>IF($H3620="AUTO_OFERTA_TOTAL_PRODUTO_PERIODO",SUMIFS(Oferta!$F:$F,Oferta!$A:$A,$A3620,Oferta!$E:$E,$E3620),$F3620)</f>
        <v/>
      </c>
      <c r="J3620" s="6" t="inlineStr">
        <is>
          <t>Derivado_da_Oferta</t>
        </is>
      </c>
      <c r="K3620" s="6" t="inlineStr">
        <is>
          <t>Mercado externo: limite superior calculado automaticamente pela soma da oferta do produto no período.</t>
        </is>
      </c>
    </row>
    <row r="3621">
      <c r="A3621" s="6" t="inlineStr">
        <is>
          <t>Soja</t>
        </is>
      </c>
      <c r="B3621" s="6" t="inlineStr">
        <is>
          <t>Barcarena - PA</t>
        </is>
      </c>
      <c r="C3621" s="6" t="n">
        <v>-1.51187</v>
      </c>
      <c r="D3621" s="6" t="n">
        <v>-48.6195</v>
      </c>
      <c r="E3621" s="6" t="inlineStr">
        <is>
          <t>2022-08</t>
        </is>
      </c>
      <c r="F3621" s="6" t="n"/>
      <c r="G3621" s="6" t="inlineStr">
        <is>
          <t>EXPORTACAO</t>
        </is>
      </c>
      <c r="H3621" s="6" t="inlineStr">
        <is>
          <t>AUTO_OFERTA_TOTAL_PRODUTO_PERIODO</t>
        </is>
      </c>
      <c r="I3621" s="11">
        <f>IF($H3621="AUTO_OFERTA_TOTAL_PRODUTO_PERIODO",SUMIFS(Oferta!$F:$F,Oferta!$A:$A,$A3621,Oferta!$E:$E,$E3621),$F3621)</f>
        <v/>
      </c>
      <c r="J3621" s="6" t="inlineStr">
        <is>
          <t>Derivado_da_Oferta</t>
        </is>
      </c>
      <c r="K3621" s="6" t="inlineStr">
        <is>
          <t>Mercado externo: limite superior calculado automaticamente pela soma da oferta do produto no período.</t>
        </is>
      </c>
    </row>
    <row r="3622">
      <c r="A3622" s="6" t="inlineStr">
        <is>
          <t>Soja</t>
        </is>
      </c>
      <c r="B3622" s="6" t="inlineStr">
        <is>
          <t>Barcarena - PA</t>
        </is>
      </c>
      <c r="C3622" s="6" t="n">
        <v>-1.51187</v>
      </c>
      <c r="D3622" s="6" t="n">
        <v>-48.6195</v>
      </c>
      <c r="E3622" s="6" t="inlineStr">
        <is>
          <t>2022-09</t>
        </is>
      </c>
      <c r="F3622" s="6" t="n"/>
      <c r="G3622" s="6" t="inlineStr">
        <is>
          <t>EXPORTACAO</t>
        </is>
      </c>
      <c r="H3622" s="6" t="inlineStr">
        <is>
          <t>AUTO_OFERTA_TOTAL_PRODUTO_PERIODO</t>
        </is>
      </c>
      <c r="I3622" s="11">
        <f>IF($H3622="AUTO_OFERTA_TOTAL_PRODUTO_PERIODO",SUMIFS(Oferta!$F:$F,Oferta!$A:$A,$A3622,Oferta!$E:$E,$E3622),$F3622)</f>
        <v/>
      </c>
      <c r="J3622" s="6" t="inlineStr">
        <is>
          <t>Derivado_da_Oferta</t>
        </is>
      </c>
      <c r="K3622" s="6" t="inlineStr">
        <is>
          <t>Mercado externo: limite superior calculado automaticamente pela soma da oferta do produto no período.</t>
        </is>
      </c>
    </row>
    <row r="3623">
      <c r="A3623" s="6" t="inlineStr">
        <is>
          <t>Soja</t>
        </is>
      </c>
      <c r="B3623" s="6" t="inlineStr">
        <is>
          <t>Barcarena - PA</t>
        </is>
      </c>
      <c r="C3623" s="6" t="n">
        <v>-1.51187</v>
      </c>
      <c r="D3623" s="6" t="n">
        <v>-48.6195</v>
      </c>
      <c r="E3623" s="6" t="inlineStr">
        <is>
          <t>2022-10</t>
        </is>
      </c>
      <c r="F3623" s="6" t="n"/>
      <c r="G3623" s="6" t="inlineStr">
        <is>
          <t>EXPORTACAO</t>
        </is>
      </c>
      <c r="H3623" s="6" t="inlineStr">
        <is>
          <t>AUTO_OFERTA_TOTAL_PRODUTO_PERIODO</t>
        </is>
      </c>
      <c r="I3623" s="11">
        <f>IF($H3623="AUTO_OFERTA_TOTAL_PRODUTO_PERIODO",SUMIFS(Oferta!$F:$F,Oferta!$A:$A,$A3623,Oferta!$E:$E,$E3623),$F3623)</f>
        <v/>
      </c>
      <c r="J3623" s="6" t="inlineStr">
        <is>
          <t>Derivado_da_Oferta</t>
        </is>
      </c>
      <c r="K3623" s="6" t="inlineStr">
        <is>
          <t>Mercado externo: limite superior calculado automaticamente pela soma da oferta do produto no período.</t>
        </is>
      </c>
    </row>
    <row r="3624">
      <c r="A3624" s="6" t="inlineStr">
        <is>
          <t>Soja</t>
        </is>
      </c>
      <c r="B3624" s="6" t="inlineStr">
        <is>
          <t>Barcarena - PA</t>
        </is>
      </c>
      <c r="C3624" s="6" t="n">
        <v>-1.51187</v>
      </c>
      <c r="D3624" s="6" t="n">
        <v>-48.6195</v>
      </c>
      <c r="E3624" s="6" t="inlineStr">
        <is>
          <t>2022-11</t>
        </is>
      </c>
      <c r="F3624" s="6" t="n"/>
      <c r="G3624" s="6" t="inlineStr">
        <is>
          <t>EXPORTACAO</t>
        </is>
      </c>
      <c r="H3624" s="6" t="inlineStr">
        <is>
          <t>AUTO_OFERTA_TOTAL_PRODUTO_PERIODO</t>
        </is>
      </c>
      <c r="I3624" s="11">
        <f>IF($H3624="AUTO_OFERTA_TOTAL_PRODUTO_PERIODO",SUMIFS(Oferta!$F:$F,Oferta!$A:$A,$A3624,Oferta!$E:$E,$E3624),$F3624)</f>
        <v/>
      </c>
      <c r="J3624" s="6" t="inlineStr">
        <is>
          <t>Derivado_da_Oferta</t>
        </is>
      </c>
      <c r="K3624" s="6" t="inlineStr">
        <is>
          <t>Mercado externo: limite superior calculado automaticamente pela soma da oferta do produto no período.</t>
        </is>
      </c>
    </row>
    <row r="3625">
      <c r="A3625" s="6" t="inlineStr">
        <is>
          <t>Soja</t>
        </is>
      </c>
      <c r="B3625" s="6" t="inlineStr">
        <is>
          <t>Barcarena - PA</t>
        </is>
      </c>
      <c r="C3625" s="6" t="n">
        <v>-1.51187</v>
      </c>
      <c r="D3625" s="6" t="n">
        <v>-48.6195</v>
      </c>
      <c r="E3625" s="6" t="inlineStr">
        <is>
          <t>2022-12</t>
        </is>
      </c>
      <c r="F3625" s="6" t="n"/>
      <c r="G3625" s="6" t="inlineStr">
        <is>
          <t>EXPORTACAO</t>
        </is>
      </c>
      <c r="H3625" s="6" t="inlineStr">
        <is>
          <t>AUTO_OFERTA_TOTAL_PRODUTO_PERIODO</t>
        </is>
      </c>
      <c r="I3625" s="11">
        <f>IF($H3625="AUTO_OFERTA_TOTAL_PRODUTO_PERIODO",SUMIFS(Oferta!$F:$F,Oferta!$A:$A,$A3625,Oferta!$E:$E,$E3625),$F3625)</f>
        <v/>
      </c>
      <c r="J3625" s="6" t="inlineStr">
        <is>
          <t>Derivado_da_Oferta</t>
        </is>
      </c>
      <c r="K3625" s="6" t="inlineStr">
        <is>
          <t>Mercado externo: limite superior calculado automaticamente pela soma da oferta do produto no período.</t>
        </is>
      </c>
    </row>
    <row r="3626">
      <c r="A3626" s="6" t="inlineStr">
        <is>
          <t>Soja</t>
        </is>
      </c>
      <c r="B3626" s="6" t="inlineStr">
        <is>
          <t>Barcarena - PA</t>
        </is>
      </c>
      <c r="C3626" s="6" t="n">
        <v>-1.51187</v>
      </c>
      <c r="D3626" s="6" t="n">
        <v>-48.6195</v>
      </c>
      <c r="E3626" s="6" t="inlineStr">
        <is>
          <t>2023-01</t>
        </is>
      </c>
      <c r="F3626" s="6" t="n"/>
      <c r="G3626" s="6" t="inlineStr">
        <is>
          <t>EXPORTACAO</t>
        </is>
      </c>
      <c r="H3626" s="6" t="inlineStr">
        <is>
          <t>AUTO_OFERTA_TOTAL_PRODUTO_PERIODO</t>
        </is>
      </c>
      <c r="I3626" s="11">
        <f>IF($H3626="AUTO_OFERTA_TOTAL_PRODUTO_PERIODO",SUMIFS(Oferta!$F:$F,Oferta!$A:$A,$A3626,Oferta!$E:$E,$E3626),$F3626)</f>
        <v/>
      </c>
      <c r="J3626" s="6" t="inlineStr">
        <is>
          <t>Derivado_da_Oferta</t>
        </is>
      </c>
      <c r="K3626" s="6" t="inlineStr">
        <is>
          <t>Mercado externo: limite superior calculado automaticamente pela soma da oferta do produto no período.</t>
        </is>
      </c>
    </row>
    <row r="3627">
      <c r="A3627" s="6" t="inlineStr">
        <is>
          <t>Soja</t>
        </is>
      </c>
      <c r="B3627" s="6" t="inlineStr">
        <is>
          <t>Barcarena - PA</t>
        </is>
      </c>
      <c r="C3627" s="6" t="n">
        <v>-1.51187</v>
      </c>
      <c r="D3627" s="6" t="n">
        <v>-48.6195</v>
      </c>
      <c r="E3627" s="6" t="inlineStr">
        <is>
          <t>2023-02</t>
        </is>
      </c>
      <c r="F3627" s="6" t="n"/>
      <c r="G3627" s="6" t="inlineStr">
        <is>
          <t>EXPORTACAO</t>
        </is>
      </c>
      <c r="H3627" s="6" t="inlineStr">
        <is>
          <t>AUTO_OFERTA_TOTAL_PRODUTO_PERIODO</t>
        </is>
      </c>
      <c r="I3627" s="11">
        <f>IF($H3627="AUTO_OFERTA_TOTAL_PRODUTO_PERIODO",SUMIFS(Oferta!$F:$F,Oferta!$A:$A,$A3627,Oferta!$E:$E,$E3627),$F3627)</f>
        <v/>
      </c>
      <c r="J3627" s="6" t="inlineStr">
        <is>
          <t>Derivado_da_Oferta</t>
        </is>
      </c>
      <c r="K3627" s="6" t="inlineStr">
        <is>
          <t>Mercado externo: limite superior calculado automaticamente pela soma da oferta do produto no período.</t>
        </is>
      </c>
    </row>
    <row r="3628">
      <c r="A3628" s="6" t="inlineStr">
        <is>
          <t>Soja</t>
        </is>
      </c>
      <c r="B3628" s="6" t="inlineStr">
        <is>
          <t>Barcarena - PA</t>
        </is>
      </c>
      <c r="C3628" s="6" t="n">
        <v>-1.51187</v>
      </c>
      <c r="D3628" s="6" t="n">
        <v>-48.6195</v>
      </c>
      <c r="E3628" s="6" t="inlineStr">
        <is>
          <t>2023-03</t>
        </is>
      </c>
      <c r="F3628" s="6" t="n"/>
      <c r="G3628" s="6" t="inlineStr">
        <is>
          <t>EXPORTACAO</t>
        </is>
      </c>
      <c r="H3628" s="6" t="inlineStr">
        <is>
          <t>AUTO_OFERTA_TOTAL_PRODUTO_PERIODO</t>
        </is>
      </c>
      <c r="I3628" s="11">
        <f>IF($H3628="AUTO_OFERTA_TOTAL_PRODUTO_PERIODO",SUMIFS(Oferta!$F:$F,Oferta!$A:$A,$A3628,Oferta!$E:$E,$E3628),$F3628)</f>
        <v/>
      </c>
      <c r="J3628" s="6" t="inlineStr">
        <is>
          <t>Derivado_da_Oferta</t>
        </is>
      </c>
      <c r="K3628" s="6" t="inlineStr">
        <is>
          <t>Mercado externo: limite superior calculado automaticamente pela soma da oferta do produto no período.</t>
        </is>
      </c>
    </row>
    <row r="3629">
      <c r="A3629" s="6" t="inlineStr">
        <is>
          <t>Soja</t>
        </is>
      </c>
      <c r="B3629" s="6" t="inlineStr">
        <is>
          <t>Barcarena - PA</t>
        </is>
      </c>
      <c r="C3629" s="6" t="n">
        <v>-1.51187</v>
      </c>
      <c r="D3629" s="6" t="n">
        <v>-48.6195</v>
      </c>
      <c r="E3629" s="6" t="inlineStr">
        <is>
          <t>2023-04</t>
        </is>
      </c>
      <c r="F3629" s="6" t="n"/>
      <c r="G3629" s="6" t="inlineStr">
        <is>
          <t>EXPORTACAO</t>
        </is>
      </c>
      <c r="H3629" s="6" t="inlineStr">
        <is>
          <t>AUTO_OFERTA_TOTAL_PRODUTO_PERIODO</t>
        </is>
      </c>
      <c r="I3629" s="11">
        <f>IF($H3629="AUTO_OFERTA_TOTAL_PRODUTO_PERIODO",SUMIFS(Oferta!$F:$F,Oferta!$A:$A,$A3629,Oferta!$E:$E,$E3629),$F3629)</f>
        <v/>
      </c>
      <c r="J3629" s="6" t="inlineStr">
        <is>
          <t>Derivado_da_Oferta</t>
        </is>
      </c>
      <c r="K3629" s="6" t="inlineStr">
        <is>
          <t>Mercado externo: limite superior calculado automaticamente pela soma da oferta do produto no período.</t>
        </is>
      </c>
    </row>
    <row r="3630">
      <c r="A3630" s="6" t="inlineStr">
        <is>
          <t>Soja</t>
        </is>
      </c>
      <c r="B3630" s="6" t="inlineStr">
        <is>
          <t>Barcarena - PA</t>
        </is>
      </c>
      <c r="C3630" s="6" t="n">
        <v>-1.51187</v>
      </c>
      <c r="D3630" s="6" t="n">
        <v>-48.6195</v>
      </c>
      <c r="E3630" s="6" t="inlineStr">
        <is>
          <t>2023-05</t>
        </is>
      </c>
      <c r="F3630" s="6" t="n"/>
      <c r="G3630" s="6" t="inlineStr">
        <is>
          <t>EXPORTACAO</t>
        </is>
      </c>
      <c r="H3630" s="6" t="inlineStr">
        <is>
          <t>AUTO_OFERTA_TOTAL_PRODUTO_PERIODO</t>
        </is>
      </c>
      <c r="I3630" s="11">
        <f>IF($H3630="AUTO_OFERTA_TOTAL_PRODUTO_PERIODO",SUMIFS(Oferta!$F:$F,Oferta!$A:$A,$A3630,Oferta!$E:$E,$E3630),$F3630)</f>
        <v/>
      </c>
      <c r="J3630" s="6" t="inlineStr">
        <is>
          <t>Derivado_da_Oferta</t>
        </is>
      </c>
      <c r="K3630" s="6" t="inlineStr">
        <is>
          <t>Mercado externo: limite superior calculado automaticamente pela soma da oferta do produto no período.</t>
        </is>
      </c>
    </row>
    <row r="3631">
      <c r="A3631" s="6" t="inlineStr">
        <is>
          <t>Soja</t>
        </is>
      </c>
      <c r="B3631" s="6" t="inlineStr">
        <is>
          <t>Barcarena - PA</t>
        </is>
      </c>
      <c r="C3631" s="6" t="n">
        <v>-1.51187</v>
      </c>
      <c r="D3631" s="6" t="n">
        <v>-48.6195</v>
      </c>
      <c r="E3631" s="6" t="inlineStr">
        <is>
          <t>2023-06</t>
        </is>
      </c>
      <c r="F3631" s="6" t="n"/>
      <c r="G3631" s="6" t="inlineStr">
        <is>
          <t>EXPORTACAO</t>
        </is>
      </c>
      <c r="H3631" s="6" t="inlineStr">
        <is>
          <t>AUTO_OFERTA_TOTAL_PRODUTO_PERIODO</t>
        </is>
      </c>
      <c r="I3631" s="11">
        <f>IF($H3631="AUTO_OFERTA_TOTAL_PRODUTO_PERIODO",SUMIFS(Oferta!$F:$F,Oferta!$A:$A,$A3631,Oferta!$E:$E,$E3631),$F3631)</f>
        <v/>
      </c>
      <c r="J3631" s="6" t="inlineStr">
        <is>
          <t>Derivado_da_Oferta</t>
        </is>
      </c>
      <c r="K3631" s="6" t="inlineStr">
        <is>
          <t>Mercado externo: limite superior calculado automaticamente pela soma da oferta do produto no período.</t>
        </is>
      </c>
    </row>
    <row r="3632">
      <c r="A3632" s="6" t="inlineStr">
        <is>
          <t>Soja</t>
        </is>
      </c>
      <c r="B3632" s="6" t="inlineStr">
        <is>
          <t>Barcarena - PA</t>
        </is>
      </c>
      <c r="C3632" s="6" t="n">
        <v>-1.51187</v>
      </c>
      <c r="D3632" s="6" t="n">
        <v>-48.6195</v>
      </c>
      <c r="E3632" s="6" t="inlineStr">
        <is>
          <t>2023-07</t>
        </is>
      </c>
      <c r="F3632" s="6" t="n"/>
      <c r="G3632" s="6" t="inlineStr">
        <is>
          <t>EXPORTACAO</t>
        </is>
      </c>
      <c r="H3632" s="6" t="inlineStr">
        <is>
          <t>AUTO_OFERTA_TOTAL_PRODUTO_PERIODO</t>
        </is>
      </c>
      <c r="I3632" s="11">
        <f>IF($H3632="AUTO_OFERTA_TOTAL_PRODUTO_PERIODO",SUMIFS(Oferta!$F:$F,Oferta!$A:$A,$A3632,Oferta!$E:$E,$E3632),$F3632)</f>
        <v/>
      </c>
      <c r="J3632" s="6" t="inlineStr">
        <is>
          <t>Derivado_da_Oferta</t>
        </is>
      </c>
      <c r="K3632" s="6" t="inlineStr">
        <is>
          <t>Mercado externo: limite superior calculado automaticamente pela soma da oferta do produto no período.</t>
        </is>
      </c>
    </row>
    <row r="3633">
      <c r="A3633" s="6" t="inlineStr">
        <is>
          <t>Soja</t>
        </is>
      </c>
      <c r="B3633" s="6" t="inlineStr">
        <is>
          <t>Barcarena - PA</t>
        </is>
      </c>
      <c r="C3633" s="6" t="n">
        <v>-1.51187</v>
      </c>
      <c r="D3633" s="6" t="n">
        <v>-48.6195</v>
      </c>
      <c r="E3633" s="6" t="inlineStr">
        <is>
          <t>2023-08</t>
        </is>
      </c>
      <c r="F3633" s="6" t="n"/>
      <c r="G3633" s="6" t="inlineStr">
        <is>
          <t>EXPORTACAO</t>
        </is>
      </c>
      <c r="H3633" s="6" t="inlineStr">
        <is>
          <t>AUTO_OFERTA_TOTAL_PRODUTO_PERIODO</t>
        </is>
      </c>
      <c r="I3633" s="11">
        <f>IF($H3633="AUTO_OFERTA_TOTAL_PRODUTO_PERIODO",SUMIFS(Oferta!$F:$F,Oferta!$A:$A,$A3633,Oferta!$E:$E,$E3633),$F3633)</f>
        <v/>
      </c>
      <c r="J3633" s="6" t="inlineStr">
        <is>
          <t>Derivado_da_Oferta</t>
        </is>
      </c>
      <c r="K3633" s="6" t="inlineStr">
        <is>
          <t>Mercado externo: limite superior calculado automaticamente pela soma da oferta do produto no período.</t>
        </is>
      </c>
    </row>
    <row r="3634">
      <c r="A3634" s="6" t="inlineStr">
        <is>
          <t>Soja</t>
        </is>
      </c>
      <c r="B3634" s="6" t="inlineStr">
        <is>
          <t>Barcarena - PA</t>
        </is>
      </c>
      <c r="C3634" s="6" t="n">
        <v>-1.51187</v>
      </c>
      <c r="D3634" s="6" t="n">
        <v>-48.6195</v>
      </c>
      <c r="E3634" s="6" t="inlineStr">
        <is>
          <t>2023-09</t>
        </is>
      </c>
      <c r="F3634" s="6" t="n"/>
      <c r="G3634" s="6" t="inlineStr">
        <is>
          <t>EXPORTACAO</t>
        </is>
      </c>
      <c r="H3634" s="6" t="inlineStr">
        <is>
          <t>AUTO_OFERTA_TOTAL_PRODUTO_PERIODO</t>
        </is>
      </c>
      <c r="I3634" s="11">
        <f>IF($H3634="AUTO_OFERTA_TOTAL_PRODUTO_PERIODO",SUMIFS(Oferta!$F:$F,Oferta!$A:$A,$A3634,Oferta!$E:$E,$E3634),$F3634)</f>
        <v/>
      </c>
      <c r="J3634" s="6" t="inlineStr">
        <is>
          <t>Derivado_da_Oferta</t>
        </is>
      </c>
      <c r="K3634" s="6" t="inlineStr">
        <is>
          <t>Mercado externo: limite superior calculado automaticamente pela soma da oferta do produto no período.</t>
        </is>
      </c>
    </row>
    <row r="3635">
      <c r="A3635" s="6" t="inlineStr">
        <is>
          <t>Soja</t>
        </is>
      </c>
      <c r="B3635" s="6" t="inlineStr">
        <is>
          <t>Barcarena - PA</t>
        </is>
      </c>
      <c r="C3635" s="6" t="n">
        <v>-1.51187</v>
      </c>
      <c r="D3635" s="6" t="n">
        <v>-48.6195</v>
      </c>
      <c r="E3635" s="6" t="inlineStr">
        <is>
          <t>2023-10</t>
        </is>
      </c>
      <c r="F3635" s="6" t="n"/>
      <c r="G3635" s="6" t="inlineStr">
        <is>
          <t>EXPORTACAO</t>
        </is>
      </c>
      <c r="H3635" s="6" t="inlineStr">
        <is>
          <t>AUTO_OFERTA_TOTAL_PRODUTO_PERIODO</t>
        </is>
      </c>
      <c r="I3635" s="11">
        <f>IF($H3635="AUTO_OFERTA_TOTAL_PRODUTO_PERIODO",SUMIFS(Oferta!$F:$F,Oferta!$A:$A,$A3635,Oferta!$E:$E,$E3635),$F3635)</f>
        <v/>
      </c>
      <c r="J3635" s="6" t="inlineStr">
        <is>
          <t>Derivado_da_Oferta</t>
        </is>
      </c>
      <c r="K3635" s="6" t="inlineStr">
        <is>
          <t>Mercado externo: limite superior calculado automaticamente pela soma da oferta do produto no período.</t>
        </is>
      </c>
    </row>
    <row r="3636">
      <c r="A3636" s="6" t="inlineStr">
        <is>
          <t>Soja</t>
        </is>
      </c>
      <c r="B3636" s="6" t="inlineStr">
        <is>
          <t>Barcarena - PA</t>
        </is>
      </c>
      <c r="C3636" s="6" t="n">
        <v>-1.51187</v>
      </c>
      <c r="D3636" s="6" t="n">
        <v>-48.6195</v>
      </c>
      <c r="E3636" s="6" t="inlineStr">
        <is>
          <t>2023-11</t>
        </is>
      </c>
      <c r="F3636" s="6" t="n"/>
      <c r="G3636" s="6" t="inlineStr">
        <is>
          <t>EXPORTACAO</t>
        </is>
      </c>
      <c r="H3636" s="6" t="inlineStr">
        <is>
          <t>AUTO_OFERTA_TOTAL_PRODUTO_PERIODO</t>
        </is>
      </c>
      <c r="I3636" s="11">
        <f>IF($H3636="AUTO_OFERTA_TOTAL_PRODUTO_PERIODO",SUMIFS(Oferta!$F:$F,Oferta!$A:$A,$A3636,Oferta!$E:$E,$E3636),$F3636)</f>
        <v/>
      </c>
      <c r="J3636" s="6" t="inlineStr">
        <is>
          <t>Derivado_da_Oferta</t>
        </is>
      </c>
      <c r="K3636" s="6" t="inlineStr">
        <is>
          <t>Mercado externo: limite superior calculado automaticamente pela soma da oferta do produto no período.</t>
        </is>
      </c>
    </row>
    <row r="3637">
      <c r="A3637" s="6" t="inlineStr">
        <is>
          <t>Soja</t>
        </is>
      </c>
      <c r="B3637" s="6" t="inlineStr">
        <is>
          <t>Barcarena - PA</t>
        </is>
      </c>
      <c r="C3637" s="6" t="n">
        <v>-1.51187</v>
      </c>
      <c r="D3637" s="6" t="n">
        <v>-48.6195</v>
      </c>
      <c r="E3637" s="6" t="inlineStr">
        <is>
          <t>2023-12</t>
        </is>
      </c>
      <c r="F3637" s="6" t="n"/>
      <c r="G3637" s="6" t="inlineStr">
        <is>
          <t>EXPORTACAO</t>
        </is>
      </c>
      <c r="H3637" s="6" t="inlineStr">
        <is>
          <t>AUTO_OFERTA_TOTAL_PRODUTO_PERIODO</t>
        </is>
      </c>
      <c r="I3637" s="11">
        <f>IF($H3637="AUTO_OFERTA_TOTAL_PRODUTO_PERIODO",SUMIFS(Oferta!$F:$F,Oferta!$A:$A,$A3637,Oferta!$E:$E,$E3637),$F3637)</f>
        <v/>
      </c>
      <c r="J3637" s="6" t="inlineStr">
        <is>
          <t>Derivado_da_Oferta</t>
        </is>
      </c>
      <c r="K3637" s="6" t="inlineStr">
        <is>
          <t>Mercado externo: limite superior calculado automaticamente pela soma da oferta do produto no período.</t>
        </is>
      </c>
    </row>
    <row r="3638">
      <c r="A3638" s="6" t="inlineStr">
        <is>
          <t>Soja</t>
        </is>
      </c>
      <c r="B3638" s="6" t="inlineStr">
        <is>
          <t>Barcarena - PA</t>
        </is>
      </c>
      <c r="C3638" s="6" t="n">
        <v>-1.51187</v>
      </c>
      <c r="D3638" s="6" t="n">
        <v>-48.6195</v>
      </c>
      <c r="E3638" s="6" t="inlineStr">
        <is>
          <t>2024-01</t>
        </is>
      </c>
      <c r="F3638" s="6" t="n"/>
      <c r="G3638" s="6" t="inlineStr">
        <is>
          <t>EXPORTACAO</t>
        </is>
      </c>
      <c r="H3638" s="6" t="inlineStr">
        <is>
          <t>AUTO_OFERTA_TOTAL_PRODUTO_PERIODO</t>
        </is>
      </c>
      <c r="I3638" s="11">
        <f>IF($H3638="AUTO_OFERTA_TOTAL_PRODUTO_PERIODO",SUMIFS(Oferta!$F:$F,Oferta!$A:$A,$A3638,Oferta!$E:$E,$E3638),$F3638)</f>
        <v/>
      </c>
      <c r="J3638" s="6" t="inlineStr">
        <is>
          <t>Derivado_da_Oferta</t>
        </is>
      </c>
      <c r="K3638" s="6" t="inlineStr">
        <is>
          <t>Mercado externo: limite superior calculado automaticamente pela soma da oferta do produto no período.</t>
        </is>
      </c>
    </row>
    <row r="3639">
      <c r="A3639" s="6" t="inlineStr">
        <is>
          <t>Soja</t>
        </is>
      </c>
      <c r="B3639" s="6" t="inlineStr">
        <is>
          <t>Barcarena - PA</t>
        </is>
      </c>
      <c r="C3639" s="6" t="n">
        <v>-1.51187</v>
      </c>
      <c r="D3639" s="6" t="n">
        <v>-48.6195</v>
      </c>
      <c r="E3639" s="6" t="inlineStr">
        <is>
          <t>2024-02</t>
        </is>
      </c>
      <c r="F3639" s="6" t="n"/>
      <c r="G3639" s="6" t="inlineStr">
        <is>
          <t>EXPORTACAO</t>
        </is>
      </c>
      <c r="H3639" s="6" t="inlineStr">
        <is>
          <t>AUTO_OFERTA_TOTAL_PRODUTO_PERIODO</t>
        </is>
      </c>
      <c r="I3639" s="11">
        <f>IF($H3639="AUTO_OFERTA_TOTAL_PRODUTO_PERIODO",SUMIFS(Oferta!$F:$F,Oferta!$A:$A,$A3639,Oferta!$E:$E,$E3639),$F3639)</f>
        <v/>
      </c>
      <c r="J3639" s="6" t="inlineStr">
        <is>
          <t>Derivado_da_Oferta</t>
        </is>
      </c>
      <c r="K3639" s="6" t="inlineStr">
        <is>
          <t>Mercado externo: limite superior calculado automaticamente pela soma da oferta do produto no período.</t>
        </is>
      </c>
    </row>
    <row r="3640">
      <c r="A3640" s="6" t="inlineStr">
        <is>
          <t>Soja</t>
        </is>
      </c>
      <c r="B3640" s="6" t="inlineStr">
        <is>
          <t>Barcarena - PA</t>
        </is>
      </c>
      <c r="C3640" s="6" t="n">
        <v>-1.51187</v>
      </c>
      <c r="D3640" s="6" t="n">
        <v>-48.6195</v>
      </c>
      <c r="E3640" s="6" t="inlineStr">
        <is>
          <t>2024-03</t>
        </is>
      </c>
      <c r="F3640" s="6" t="n"/>
      <c r="G3640" s="6" t="inlineStr">
        <is>
          <t>EXPORTACAO</t>
        </is>
      </c>
      <c r="H3640" s="6" t="inlineStr">
        <is>
          <t>AUTO_OFERTA_TOTAL_PRODUTO_PERIODO</t>
        </is>
      </c>
      <c r="I3640" s="11">
        <f>IF($H3640="AUTO_OFERTA_TOTAL_PRODUTO_PERIODO",SUMIFS(Oferta!$F:$F,Oferta!$A:$A,$A3640,Oferta!$E:$E,$E3640),$F3640)</f>
        <v/>
      </c>
      <c r="J3640" s="6" t="inlineStr">
        <is>
          <t>Derivado_da_Oferta</t>
        </is>
      </c>
      <c r="K3640" s="6" t="inlineStr">
        <is>
          <t>Mercado externo: limite superior calculado automaticamente pela soma da oferta do produto no período.</t>
        </is>
      </c>
    </row>
    <row r="3641">
      <c r="A3641" s="6" t="inlineStr">
        <is>
          <t>Soja</t>
        </is>
      </c>
      <c r="B3641" s="6" t="inlineStr">
        <is>
          <t>Barcarena - PA</t>
        </is>
      </c>
      <c r="C3641" s="6" t="n">
        <v>-1.51187</v>
      </c>
      <c r="D3641" s="6" t="n">
        <v>-48.6195</v>
      </c>
      <c r="E3641" s="6" t="inlineStr">
        <is>
          <t>2024-04</t>
        </is>
      </c>
      <c r="F3641" s="6" t="n"/>
      <c r="G3641" s="6" t="inlineStr">
        <is>
          <t>EXPORTACAO</t>
        </is>
      </c>
      <c r="H3641" s="6" t="inlineStr">
        <is>
          <t>AUTO_OFERTA_TOTAL_PRODUTO_PERIODO</t>
        </is>
      </c>
      <c r="I3641" s="11">
        <f>IF($H3641="AUTO_OFERTA_TOTAL_PRODUTO_PERIODO",SUMIFS(Oferta!$F:$F,Oferta!$A:$A,$A3641,Oferta!$E:$E,$E3641),$F3641)</f>
        <v/>
      </c>
      <c r="J3641" s="6" t="inlineStr">
        <is>
          <t>Derivado_da_Oferta</t>
        </is>
      </c>
      <c r="K3641" s="6" t="inlineStr">
        <is>
          <t>Mercado externo: limite superior calculado automaticamente pela soma da oferta do produto no período.</t>
        </is>
      </c>
    </row>
    <row r="3642">
      <c r="A3642" s="6" t="inlineStr">
        <is>
          <t>Soja</t>
        </is>
      </c>
      <c r="B3642" s="6" t="inlineStr">
        <is>
          <t>Barcarena - PA</t>
        </is>
      </c>
      <c r="C3642" s="6" t="n">
        <v>-1.51187</v>
      </c>
      <c r="D3642" s="6" t="n">
        <v>-48.6195</v>
      </c>
      <c r="E3642" s="6" t="inlineStr">
        <is>
          <t>2024-05</t>
        </is>
      </c>
      <c r="F3642" s="6" t="n"/>
      <c r="G3642" s="6" t="inlineStr">
        <is>
          <t>EXPORTACAO</t>
        </is>
      </c>
      <c r="H3642" s="6" t="inlineStr">
        <is>
          <t>AUTO_OFERTA_TOTAL_PRODUTO_PERIODO</t>
        </is>
      </c>
      <c r="I3642" s="11">
        <f>IF($H3642="AUTO_OFERTA_TOTAL_PRODUTO_PERIODO",SUMIFS(Oferta!$F:$F,Oferta!$A:$A,$A3642,Oferta!$E:$E,$E3642),$F3642)</f>
        <v/>
      </c>
      <c r="J3642" s="6" t="inlineStr">
        <is>
          <t>Derivado_da_Oferta</t>
        </is>
      </c>
      <c r="K3642" s="6" t="inlineStr">
        <is>
          <t>Mercado externo: limite superior calculado automaticamente pela soma da oferta do produto no período.</t>
        </is>
      </c>
    </row>
    <row r="3643">
      <c r="A3643" s="6" t="inlineStr">
        <is>
          <t>Soja</t>
        </is>
      </c>
      <c r="B3643" s="6" t="inlineStr">
        <is>
          <t>Barcarena - PA</t>
        </is>
      </c>
      <c r="C3643" s="6" t="n">
        <v>-1.51187</v>
      </c>
      <c r="D3643" s="6" t="n">
        <v>-48.6195</v>
      </c>
      <c r="E3643" s="6" t="inlineStr">
        <is>
          <t>2024-06</t>
        </is>
      </c>
      <c r="F3643" s="6" t="n"/>
      <c r="G3643" s="6" t="inlineStr">
        <is>
          <t>EXPORTACAO</t>
        </is>
      </c>
      <c r="H3643" s="6" t="inlineStr">
        <is>
          <t>AUTO_OFERTA_TOTAL_PRODUTO_PERIODO</t>
        </is>
      </c>
      <c r="I3643" s="11">
        <f>IF($H3643="AUTO_OFERTA_TOTAL_PRODUTO_PERIODO",SUMIFS(Oferta!$F:$F,Oferta!$A:$A,$A3643,Oferta!$E:$E,$E3643),$F3643)</f>
        <v/>
      </c>
      <c r="J3643" s="6" t="inlineStr">
        <is>
          <t>Derivado_da_Oferta</t>
        </is>
      </c>
      <c r="K3643" s="6" t="inlineStr">
        <is>
          <t>Mercado externo: limite superior calculado automaticamente pela soma da oferta do produto no período.</t>
        </is>
      </c>
    </row>
    <row r="3644">
      <c r="A3644" s="6" t="inlineStr">
        <is>
          <t>Soja</t>
        </is>
      </c>
      <c r="B3644" s="6" t="inlineStr">
        <is>
          <t>Barcarena - PA</t>
        </is>
      </c>
      <c r="C3644" s="6" t="n">
        <v>-1.51187</v>
      </c>
      <c r="D3644" s="6" t="n">
        <v>-48.6195</v>
      </c>
      <c r="E3644" s="6" t="inlineStr">
        <is>
          <t>2024-07</t>
        </is>
      </c>
      <c r="F3644" s="6" t="n"/>
      <c r="G3644" s="6" t="inlineStr">
        <is>
          <t>EXPORTACAO</t>
        </is>
      </c>
      <c r="H3644" s="6" t="inlineStr">
        <is>
          <t>AUTO_OFERTA_TOTAL_PRODUTO_PERIODO</t>
        </is>
      </c>
      <c r="I3644" s="11">
        <f>IF($H3644="AUTO_OFERTA_TOTAL_PRODUTO_PERIODO",SUMIFS(Oferta!$F:$F,Oferta!$A:$A,$A3644,Oferta!$E:$E,$E3644),$F3644)</f>
        <v/>
      </c>
      <c r="J3644" s="6" t="inlineStr">
        <is>
          <t>Derivado_da_Oferta</t>
        </is>
      </c>
      <c r="K3644" s="6" t="inlineStr">
        <is>
          <t>Mercado externo: limite superior calculado automaticamente pela soma da oferta do produto no período.</t>
        </is>
      </c>
    </row>
    <row r="3645">
      <c r="A3645" s="6" t="inlineStr">
        <is>
          <t>Soja</t>
        </is>
      </c>
      <c r="B3645" s="6" t="inlineStr">
        <is>
          <t>Barcarena - PA</t>
        </is>
      </c>
      <c r="C3645" s="6" t="n">
        <v>-1.51187</v>
      </c>
      <c r="D3645" s="6" t="n">
        <v>-48.6195</v>
      </c>
      <c r="E3645" s="6" t="inlineStr">
        <is>
          <t>2024-08</t>
        </is>
      </c>
      <c r="F3645" s="6" t="n"/>
      <c r="G3645" s="6" t="inlineStr">
        <is>
          <t>EXPORTACAO</t>
        </is>
      </c>
      <c r="H3645" s="6" t="inlineStr">
        <is>
          <t>AUTO_OFERTA_TOTAL_PRODUTO_PERIODO</t>
        </is>
      </c>
      <c r="I3645" s="11">
        <f>IF($H3645="AUTO_OFERTA_TOTAL_PRODUTO_PERIODO",SUMIFS(Oferta!$F:$F,Oferta!$A:$A,$A3645,Oferta!$E:$E,$E3645),$F3645)</f>
        <v/>
      </c>
      <c r="J3645" s="6" t="inlineStr">
        <is>
          <t>Derivado_da_Oferta</t>
        </is>
      </c>
      <c r="K3645" s="6" t="inlineStr">
        <is>
          <t>Mercado externo: limite superior calculado automaticamente pela soma da oferta do produto no período.</t>
        </is>
      </c>
    </row>
    <row r="3646">
      <c r="A3646" s="6" t="inlineStr">
        <is>
          <t>Soja</t>
        </is>
      </c>
      <c r="B3646" s="6" t="inlineStr">
        <is>
          <t>Barcarena - PA</t>
        </is>
      </c>
      <c r="C3646" s="6" t="n">
        <v>-1.51187</v>
      </c>
      <c r="D3646" s="6" t="n">
        <v>-48.6195</v>
      </c>
      <c r="E3646" s="6" t="inlineStr">
        <is>
          <t>2024-09</t>
        </is>
      </c>
      <c r="F3646" s="6" t="n"/>
      <c r="G3646" s="6" t="inlineStr">
        <is>
          <t>EXPORTACAO</t>
        </is>
      </c>
      <c r="H3646" s="6" t="inlineStr">
        <is>
          <t>AUTO_OFERTA_TOTAL_PRODUTO_PERIODO</t>
        </is>
      </c>
      <c r="I3646" s="11">
        <f>IF($H3646="AUTO_OFERTA_TOTAL_PRODUTO_PERIODO",SUMIFS(Oferta!$F:$F,Oferta!$A:$A,$A3646,Oferta!$E:$E,$E3646),$F3646)</f>
        <v/>
      </c>
      <c r="J3646" s="6" t="inlineStr">
        <is>
          <t>Derivado_da_Oferta</t>
        </is>
      </c>
      <c r="K3646" s="6" t="inlineStr">
        <is>
          <t>Mercado externo: limite superior calculado automaticamente pela soma da oferta do produto no período.</t>
        </is>
      </c>
    </row>
    <row r="3647">
      <c r="A3647" s="6" t="inlineStr">
        <is>
          <t>Soja</t>
        </is>
      </c>
      <c r="B3647" s="6" t="inlineStr">
        <is>
          <t>Barcarena - PA</t>
        </is>
      </c>
      <c r="C3647" s="6" t="n">
        <v>-1.51187</v>
      </c>
      <c r="D3647" s="6" t="n">
        <v>-48.6195</v>
      </c>
      <c r="E3647" s="6" t="inlineStr">
        <is>
          <t>2024-10</t>
        </is>
      </c>
      <c r="F3647" s="6" t="n"/>
      <c r="G3647" s="6" t="inlineStr">
        <is>
          <t>EXPORTACAO</t>
        </is>
      </c>
      <c r="H3647" s="6" t="inlineStr">
        <is>
          <t>AUTO_OFERTA_TOTAL_PRODUTO_PERIODO</t>
        </is>
      </c>
      <c r="I3647" s="11">
        <f>IF($H3647="AUTO_OFERTA_TOTAL_PRODUTO_PERIODO",SUMIFS(Oferta!$F:$F,Oferta!$A:$A,$A3647,Oferta!$E:$E,$E3647),$F3647)</f>
        <v/>
      </c>
      <c r="J3647" s="6" t="inlineStr">
        <is>
          <t>Derivado_da_Oferta</t>
        </is>
      </c>
      <c r="K3647" s="6" t="inlineStr">
        <is>
          <t>Mercado externo: limite superior calculado automaticamente pela soma da oferta do produto no período.</t>
        </is>
      </c>
    </row>
    <row r="3648">
      <c r="A3648" s="6" t="inlineStr">
        <is>
          <t>Soja</t>
        </is>
      </c>
      <c r="B3648" s="6" t="inlineStr">
        <is>
          <t>Barcarena - PA</t>
        </is>
      </c>
      <c r="C3648" s="6" t="n">
        <v>-1.51187</v>
      </c>
      <c r="D3648" s="6" t="n">
        <v>-48.6195</v>
      </c>
      <c r="E3648" s="6" t="inlineStr">
        <is>
          <t>2024-11</t>
        </is>
      </c>
      <c r="F3648" s="6" t="n"/>
      <c r="G3648" s="6" t="inlineStr">
        <is>
          <t>EXPORTACAO</t>
        </is>
      </c>
      <c r="H3648" s="6" t="inlineStr">
        <is>
          <t>AUTO_OFERTA_TOTAL_PRODUTO_PERIODO</t>
        </is>
      </c>
      <c r="I3648" s="11">
        <f>IF($H3648="AUTO_OFERTA_TOTAL_PRODUTO_PERIODO",SUMIFS(Oferta!$F:$F,Oferta!$A:$A,$A3648,Oferta!$E:$E,$E3648),$F3648)</f>
        <v/>
      </c>
      <c r="J3648" s="6" t="inlineStr">
        <is>
          <t>Derivado_da_Oferta</t>
        </is>
      </c>
      <c r="K3648" s="6" t="inlineStr">
        <is>
          <t>Mercado externo: limite superior calculado automaticamente pela soma da oferta do produto no período.</t>
        </is>
      </c>
    </row>
    <row r="3649">
      <c r="A3649" s="6" t="inlineStr">
        <is>
          <t>Soja</t>
        </is>
      </c>
      <c r="B3649" s="6" t="inlineStr">
        <is>
          <t>Barcarena - PA</t>
        </is>
      </c>
      <c r="C3649" s="6" t="n">
        <v>-1.51187</v>
      </c>
      <c r="D3649" s="6" t="n">
        <v>-48.6195</v>
      </c>
      <c r="E3649" s="6" t="inlineStr">
        <is>
          <t>2024-12</t>
        </is>
      </c>
      <c r="F3649" s="6" t="n"/>
      <c r="G3649" s="6" t="inlineStr">
        <is>
          <t>EXPORTACAO</t>
        </is>
      </c>
      <c r="H3649" s="6" t="inlineStr">
        <is>
          <t>AUTO_OFERTA_TOTAL_PRODUTO_PERIODO</t>
        </is>
      </c>
      <c r="I3649" s="11">
        <f>IF($H3649="AUTO_OFERTA_TOTAL_PRODUTO_PERIODO",SUMIFS(Oferta!$F:$F,Oferta!$A:$A,$A3649,Oferta!$E:$E,$E3649),$F3649)</f>
        <v/>
      </c>
      <c r="J3649" s="6" t="inlineStr">
        <is>
          <t>Derivado_da_Oferta</t>
        </is>
      </c>
      <c r="K3649" s="6" t="inlineStr">
        <is>
          <t>Mercado externo: limite superior calculado automaticamente pela soma da oferta do produto no período.</t>
        </is>
      </c>
    </row>
    <row r="3650">
      <c r="A3650" s="6" t="inlineStr">
        <is>
          <t>Soja</t>
        </is>
      </c>
      <c r="B3650" s="6" t="inlineStr">
        <is>
          <t>Barcarena - PA</t>
        </is>
      </c>
      <c r="C3650" s="6" t="n">
        <v>-1.51187</v>
      </c>
      <c r="D3650" s="6" t="n">
        <v>-48.6195</v>
      </c>
      <c r="E3650" s="6" t="inlineStr">
        <is>
          <t>2025-01</t>
        </is>
      </c>
      <c r="F3650" s="6" t="n"/>
      <c r="G3650" s="6" t="inlineStr">
        <is>
          <t>EXPORTACAO</t>
        </is>
      </c>
      <c r="H3650" s="6" t="inlineStr">
        <is>
          <t>AUTO_OFERTA_TOTAL_PRODUTO_PERIODO</t>
        </is>
      </c>
      <c r="I3650" s="11">
        <f>IF($H3650="AUTO_OFERTA_TOTAL_PRODUTO_PERIODO",SUMIFS(Oferta!$F:$F,Oferta!$A:$A,$A3650,Oferta!$E:$E,$E3650),$F3650)</f>
        <v/>
      </c>
      <c r="J3650" s="6" t="inlineStr">
        <is>
          <t>Derivado_da_Oferta</t>
        </is>
      </c>
      <c r="K3650" s="6" t="inlineStr">
        <is>
          <t>Mercado externo: limite superior calculado automaticamente pela soma da oferta do produto no período.</t>
        </is>
      </c>
    </row>
    <row r="3651">
      <c r="A3651" s="6" t="inlineStr">
        <is>
          <t>Soja</t>
        </is>
      </c>
      <c r="B3651" s="6" t="inlineStr">
        <is>
          <t>Barcarena - PA</t>
        </is>
      </c>
      <c r="C3651" s="6" t="n">
        <v>-1.51187</v>
      </c>
      <c r="D3651" s="6" t="n">
        <v>-48.6195</v>
      </c>
      <c r="E3651" s="6" t="inlineStr">
        <is>
          <t>2025-02</t>
        </is>
      </c>
      <c r="F3651" s="6" t="n"/>
      <c r="G3651" s="6" t="inlineStr">
        <is>
          <t>EXPORTACAO</t>
        </is>
      </c>
      <c r="H3651" s="6" t="inlineStr">
        <is>
          <t>AUTO_OFERTA_TOTAL_PRODUTO_PERIODO</t>
        </is>
      </c>
      <c r="I3651" s="11">
        <f>IF($H3651="AUTO_OFERTA_TOTAL_PRODUTO_PERIODO",SUMIFS(Oferta!$F:$F,Oferta!$A:$A,$A3651,Oferta!$E:$E,$E3651),$F3651)</f>
        <v/>
      </c>
      <c r="J3651" s="6" t="inlineStr">
        <is>
          <t>Derivado_da_Oferta</t>
        </is>
      </c>
      <c r="K3651" s="6" t="inlineStr">
        <is>
          <t>Mercado externo: limite superior calculado automaticamente pela soma da oferta do produto no período.</t>
        </is>
      </c>
    </row>
    <row r="3652">
      <c r="A3652" s="6" t="inlineStr">
        <is>
          <t>Soja</t>
        </is>
      </c>
      <c r="B3652" s="6" t="inlineStr">
        <is>
          <t>Barcarena - PA</t>
        </is>
      </c>
      <c r="C3652" s="6" t="n">
        <v>-1.51187</v>
      </c>
      <c r="D3652" s="6" t="n">
        <v>-48.6195</v>
      </c>
      <c r="E3652" s="6" t="inlineStr">
        <is>
          <t>2025-03</t>
        </is>
      </c>
      <c r="F3652" s="6" t="n"/>
      <c r="G3652" s="6" t="inlineStr">
        <is>
          <t>EXPORTACAO</t>
        </is>
      </c>
      <c r="H3652" s="6" t="inlineStr">
        <is>
          <t>AUTO_OFERTA_TOTAL_PRODUTO_PERIODO</t>
        </is>
      </c>
      <c r="I3652" s="11">
        <f>IF($H3652="AUTO_OFERTA_TOTAL_PRODUTO_PERIODO",SUMIFS(Oferta!$F:$F,Oferta!$A:$A,$A3652,Oferta!$E:$E,$E3652),$F3652)</f>
        <v/>
      </c>
      <c r="J3652" s="6" t="inlineStr">
        <is>
          <t>Derivado_da_Oferta</t>
        </is>
      </c>
      <c r="K3652" s="6" t="inlineStr">
        <is>
          <t>Mercado externo: limite superior calculado automaticamente pela soma da oferta do produto no período.</t>
        </is>
      </c>
    </row>
    <row r="3653">
      <c r="A3653" s="6" t="inlineStr">
        <is>
          <t>Soja</t>
        </is>
      </c>
      <c r="B3653" s="6" t="inlineStr">
        <is>
          <t>Barcarena - PA</t>
        </is>
      </c>
      <c r="C3653" s="6" t="n">
        <v>-1.51187</v>
      </c>
      <c r="D3653" s="6" t="n">
        <v>-48.6195</v>
      </c>
      <c r="E3653" s="6" t="inlineStr">
        <is>
          <t>2025-04</t>
        </is>
      </c>
      <c r="F3653" s="6" t="n"/>
      <c r="G3653" s="6" t="inlineStr">
        <is>
          <t>EXPORTACAO</t>
        </is>
      </c>
      <c r="H3653" s="6" t="inlineStr">
        <is>
          <t>AUTO_OFERTA_TOTAL_PRODUTO_PERIODO</t>
        </is>
      </c>
      <c r="I3653" s="11">
        <f>IF($H3653="AUTO_OFERTA_TOTAL_PRODUTO_PERIODO",SUMIFS(Oferta!$F:$F,Oferta!$A:$A,$A3653,Oferta!$E:$E,$E3653),$F3653)</f>
        <v/>
      </c>
      <c r="J3653" s="6" t="inlineStr">
        <is>
          <t>Derivado_da_Oferta</t>
        </is>
      </c>
      <c r="K3653" s="6" t="inlineStr">
        <is>
          <t>Mercado externo: limite superior calculado automaticamente pela soma da oferta do produto no período.</t>
        </is>
      </c>
    </row>
    <row r="3654">
      <c r="A3654" s="6" t="inlineStr">
        <is>
          <t>Soja</t>
        </is>
      </c>
      <c r="B3654" s="6" t="inlineStr">
        <is>
          <t>Barcarena - PA</t>
        </is>
      </c>
      <c r="C3654" s="6" t="n">
        <v>-1.51187</v>
      </c>
      <c r="D3654" s="6" t="n">
        <v>-48.6195</v>
      </c>
      <c r="E3654" s="6" t="inlineStr">
        <is>
          <t>2025-05</t>
        </is>
      </c>
      <c r="F3654" s="6" t="n"/>
      <c r="G3654" s="6" t="inlineStr">
        <is>
          <t>EXPORTACAO</t>
        </is>
      </c>
      <c r="H3654" s="6" t="inlineStr">
        <is>
          <t>AUTO_OFERTA_TOTAL_PRODUTO_PERIODO</t>
        </is>
      </c>
      <c r="I3654" s="11">
        <f>IF($H3654="AUTO_OFERTA_TOTAL_PRODUTO_PERIODO",SUMIFS(Oferta!$F:$F,Oferta!$A:$A,$A3654,Oferta!$E:$E,$E3654),$F3654)</f>
        <v/>
      </c>
      <c r="J3654" s="6" t="inlineStr">
        <is>
          <t>Derivado_da_Oferta</t>
        </is>
      </c>
      <c r="K3654" s="6" t="inlineStr">
        <is>
          <t>Mercado externo: limite superior calculado automaticamente pela soma da oferta do produto no período.</t>
        </is>
      </c>
    </row>
    <row r="3655">
      <c r="A3655" s="6" t="inlineStr">
        <is>
          <t>Soja</t>
        </is>
      </c>
      <c r="B3655" s="6" t="inlineStr">
        <is>
          <t>Barcarena - PA</t>
        </is>
      </c>
      <c r="C3655" s="6" t="n">
        <v>-1.51187</v>
      </c>
      <c r="D3655" s="6" t="n">
        <v>-48.6195</v>
      </c>
      <c r="E3655" s="6" t="inlineStr">
        <is>
          <t>2025-06</t>
        </is>
      </c>
      <c r="F3655" s="6" t="n"/>
      <c r="G3655" s="6" t="inlineStr">
        <is>
          <t>EXPORTACAO</t>
        </is>
      </c>
      <c r="H3655" s="6" t="inlineStr">
        <is>
          <t>AUTO_OFERTA_TOTAL_PRODUTO_PERIODO</t>
        </is>
      </c>
      <c r="I3655" s="11">
        <f>IF($H3655="AUTO_OFERTA_TOTAL_PRODUTO_PERIODO",SUMIFS(Oferta!$F:$F,Oferta!$A:$A,$A3655,Oferta!$E:$E,$E3655),$F3655)</f>
        <v/>
      </c>
      <c r="J3655" s="6" t="inlineStr">
        <is>
          <t>Derivado_da_Oferta</t>
        </is>
      </c>
      <c r="K3655" s="6" t="inlineStr">
        <is>
          <t>Mercado externo: limite superior calculado automaticamente pela soma da oferta do produto no período.</t>
        </is>
      </c>
    </row>
    <row r="3656">
      <c r="A3656" s="6" t="inlineStr">
        <is>
          <t>Soja</t>
        </is>
      </c>
      <c r="B3656" s="6" t="inlineStr">
        <is>
          <t>Barcarena - PA</t>
        </is>
      </c>
      <c r="C3656" s="6" t="n">
        <v>-1.51187</v>
      </c>
      <c r="D3656" s="6" t="n">
        <v>-48.6195</v>
      </c>
      <c r="E3656" s="6" t="inlineStr">
        <is>
          <t>2025-07</t>
        </is>
      </c>
      <c r="F3656" s="6" t="n"/>
      <c r="G3656" s="6" t="inlineStr">
        <is>
          <t>EXPORTACAO</t>
        </is>
      </c>
      <c r="H3656" s="6" t="inlineStr">
        <is>
          <t>AUTO_OFERTA_TOTAL_PRODUTO_PERIODO</t>
        </is>
      </c>
      <c r="I3656" s="11">
        <f>IF($H3656="AUTO_OFERTA_TOTAL_PRODUTO_PERIODO",SUMIFS(Oferta!$F:$F,Oferta!$A:$A,$A3656,Oferta!$E:$E,$E3656),$F3656)</f>
        <v/>
      </c>
      <c r="J3656" s="6" t="inlineStr">
        <is>
          <t>Derivado_da_Oferta</t>
        </is>
      </c>
      <c r="K3656" s="6" t="inlineStr">
        <is>
          <t>Mercado externo: limite superior calculado automaticamente pela soma da oferta do produto no período.</t>
        </is>
      </c>
    </row>
    <row r="3657">
      <c r="A3657" s="6" t="inlineStr">
        <is>
          <t>Soja</t>
        </is>
      </c>
      <c r="B3657" s="6" t="inlineStr">
        <is>
          <t>Barcarena - PA</t>
        </is>
      </c>
      <c r="C3657" s="6" t="n">
        <v>-1.51187</v>
      </c>
      <c r="D3657" s="6" t="n">
        <v>-48.6195</v>
      </c>
      <c r="E3657" s="6" t="inlineStr">
        <is>
          <t>2025-08</t>
        </is>
      </c>
      <c r="F3657" s="6" t="n"/>
      <c r="G3657" s="6" t="inlineStr">
        <is>
          <t>EXPORTACAO</t>
        </is>
      </c>
      <c r="H3657" s="6" t="inlineStr">
        <is>
          <t>AUTO_OFERTA_TOTAL_PRODUTO_PERIODO</t>
        </is>
      </c>
      <c r="I3657" s="11">
        <f>IF($H3657="AUTO_OFERTA_TOTAL_PRODUTO_PERIODO",SUMIFS(Oferta!$F:$F,Oferta!$A:$A,$A3657,Oferta!$E:$E,$E3657),$F3657)</f>
        <v/>
      </c>
      <c r="J3657" s="6" t="inlineStr">
        <is>
          <t>Derivado_da_Oferta</t>
        </is>
      </c>
      <c r="K3657" s="6" t="inlineStr">
        <is>
          <t>Mercado externo: limite superior calculado automaticamente pela soma da oferta do produto no período.</t>
        </is>
      </c>
    </row>
    <row r="3658">
      <c r="A3658" s="6" t="inlineStr">
        <is>
          <t>Soja</t>
        </is>
      </c>
      <c r="B3658" s="6" t="inlineStr">
        <is>
          <t>Barcarena - PA</t>
        </is>
      </c>
      <c r="C3658" s="6" t="n">
        <v>-1.51187</v>
      </c>
      <c r="D3658" s="6" t="n">
        <v>-48.6195</v>
      </c>
      <c r="E3658" s="6" t="inlineStr">
        <is>
          <t>2025-09</t>
        </is>
      </c>
      <c r="F3658" s="6" t="n"/>
      <c r="G3658" s="6" t="inlineStr">
        <is>
          <t>EXPORTACAO</t>
        </is>
      </c>
      <c r="H3658" s="6" t="inlineStr">
        <is>
          <t>AUTO_OFERTA_TOTAL_PRODUTO_PERIODO</t>
        </is>
      </c>
      <c r="I3658" s="11">
        <f>IF($H3658="AUTO_OFERTA_TOTAL_PRODUTO_PERIODO",SUMIFS(Oferta!$F:$F,Oferta!$A:$A,$A3658,Oferta!$E:$E,$E3658),$F3658)</f>
        <v/>
      </c>
      <c r="J3658" s="6" t="inlineStr">
        <is>
          <t>Derivado_da_Oferta</t>
        </is>
      </c>
      <c r="K3658" s="6" t="inlineStr">
        <is>
          <t>Mercado externo: limite superior calculado automaticamente pela soma da oferta do produto no período.</t>
        </is>
      </c>
    </row>
    <row r="3659">
      <c r="A3659" s="6" t="inlineStr">
        <is>
          <t>Soja</t>
        </is>
      </c>
      <c r="B3659" s="6" t="inlineStr">
        <is>
          <t>Barcarena - PA</t>
        </is>
      </c>
      <c r="C3659" s="6" t="n">
        <v>-1.51187</v>
      </c>
      <c r="D3659" s="6" t="n">
        <v>-48.6195</v>
      </c>
      <c r="E3659" s="6" t="inlineStr">
        <is>
          <t>2025-10</t>
        </is>
      </c>
      <c r="F3659" s="6" t="n"/>
      <c r="G3659" s="6" t="inlineStr">
        <is>
          <t>EXPORTACAO</t>
        </is>
      </c>
      <c r="H3659" s="6" t="inlineStr">
        <is>
          <t>AUTO_OFERTA_TOTAL_PRODUTO_PERIODO</t>
        </is>
      </c>
      <c r="I3659" s="11">
        <f>IF($H3659="AUTO_OFERTA_TOTAL_PRODUTO_PERIODO",SUMIFS(Oferta!$F:$F,Oferta!$A:$A,$A3659,Oferta!$E:$E,$E3659),$F3659)</f>
        <v/>
      </c>
      <c r="J3659" s="6" t="inlineStr">
        <is>
          <t>Derivado_da_Oferta</t>
        </is>
      </c>
      <c r="K3659" s="6" t="inlineStr">
        <is>
          <t>Mercado externo: limite superior calculado automaticamente pela soma da oferta do produto no período.</t>
        </is>
      </c>
    </row>
    <row r="3660">
      <c r="A3660" s="6" t="inlineStr">
        <is>
          <t>Soja</t>
        </is>
      </c>
      <c r="B3660" s="6" t="inlineStr">
        <is>
          <t>Barcarena - PA</t>
        </is>
      </c>
      <c r="C3660" s="6" t="n">
        <v>-1.51187</v>
      </c>
      <c r="D3660" s="6" t="n">
        <v>-48.6195</v>
      </c>
      <c r="E3660" s="6" t="inlineStr">
        <is>
          <t>2025-11</t>
        </is>
      </c>
      <c r="F3660" s="6" t="n"/>
      <c r="G3660" s="6" t="inlineStr">
        <is>
          <t>EXPORTACAO</t>
        </is>
      </c>
      <c r="H3660" s="6" t="inlineStr">
        <is>
          <t>AUTO_OFERTA_TOTAL_PRODUTO_PERIODO</t>
        </is>
      </c>
      <c r="I3660" s="11">
        <f>IF($H3660="AUTO_OFERTA_TOTAL_PRODUTO_PERIODO",SUMIFS(Oferta!$F:$F,Oferta!$A:$A,$A3660,Oferta!$E:$E,$E3660),$F3660)</f>
        <v/>
      </c>
      <c r="J3660" s="6" t="inlineStr">
        <is>
          <t>Derivado_da_Oferta</t>
        </is>
      </c>
      <c r="K3660" s="6" t="inlineStr">
        <is>
          <t>Mercado externo: limite superior calculado automaticamente pela soma da oferta do produto no período.</t>
        </is>
      </c>
    </row>
    <row r="3661">
      <c r="A3661" s="6" t="inlineStr">
        <is>
          <t>Soja</t>
        </is>
      </c>
      <c r="B3661" s="6" t="inlineStr">
        <is>
          <t>Barcarena - PA</t>
        </is>
      </c>
      <c r="C3661" s="6" t="n">
        <v>-1.51187</v>
      </c>
      <c r="D3661" s="6" t="n">
        <v>-48.6195</v>
      </c>
      <c r="E3661" s="6" t="inlineStr">
        <is>
          <t>2025-12</t>
        </is>
      </c>
      <c r="F3661" s="6" t="n"/>
      <c r="G3661" s="6" t="inlineStr">
        <is>
          <t>EXPORTACAO</t>
        </is>
      </c>
      <c r="H3661" s="6" t="inlineStr">
        <is>
          <t>AUTO_OFERTA_TOTAL_PRODUTO_PERIODO</t>
        </is>
      </c>
      <c r="I3661" s="11">
        <f>IF($H3661="AUTO_OFERTA_TOTAL_PRODUTO_PERIODO",SUMIFS(Oferta!$F:$F,Oferta!$A:$A,$A3661,Oferta!$E:$E,$E3661),$F3661)</f>
        <v/>
      </c>
      <c r="J3661" s="6" t="inlineStr">
        <is>
          <t>Derivado_da_Oferta</t>
        </is>
      </c>
      <c r="K3661" s="6" t="inlineStr">
        <is>
          <t>Mercado externo: limite superior calculado automaticamente pela soma da oferta do produto no período.</t>
        </is>
      </c>
    </row>
    <row r="3662">
      <c r="A3662" s="6" t="inlineStr">
        <is>
          <t>Milho</t>
        </is>
      </c>
      <c r="B3662" s="6" t="inlineStr">
        <is>
          <t>Barcarena - PA</t>
        </is>
      </c>
      <c r="C3662" s="6" t="n">
        <v>-1.51187</v>
      </c>
      <c r="D3662" s="6" t="n">
        <v>-48.6195</v>
      </c>
      <c r="E3662" s="6" t="inlineStr">
        <is>
          <t>2021-01</t>
        </is>
      </c>
      <c r="F3662" s="6" t="n"/>
      <c r="G3662" s="6" t="inlineStr">
        <is>
          <t>EXPORTACAO</t>
        </is>
      </c>
      <c r="H3662" s="6" t="inlineStr">
        <is>
          <t>AUTO_OFERTA_TOTAL_PRODUTO_PERIODO</t>
        </is>
      </c>
      <c r="I3662" s="11">
        <f>IF($H3662="AUTO_OFERTA_TOTAL_PRODUTO_PERIODO",SUMIFS(Oferta!$F:$F,Oferta!$A:$A,$A3662,Oferta!$E:$E,$E3662),$F3662)</f>
        <v/>
      </c>
      <c r="J3662" s="6" t="inlineStr">
        <is>
          <t>Derivado_da_Oferta</t>
        </is>
      </c>
      <c r="K3662" s="6" t="inlineStr">
        <is>
          <t>Mercado externo: limite superior calculado automaticamente pela soma da oferta do produto no período.</t>
        </is>
      </c>
    </row>
    <row r="3663">
      <c r="A3663" s="6" t="inlineStr">
        <is>
          <t>Milho</t>
        </is>
      </c>
      <c r="B3663" s="6" t="inlineStr">
        <is>
          <t>Barcarena - PA</t>
        </is>
      </c>
      <c r="C3663" s="6" t="n">
        <v>-1.51187</v>
      </c>
      <c r="D3663" s="6" t="n">
        <v>-48.6195</v>
      </c>
      <c r="E3663" s="6" t="inlineStr">
        <is>
          <t>2021-02</t>
        </is>
      </c>
      <c r="F3663" s="6" t="n"/>
      <c r="G3663" s="6" t="inlineStr">
        <is>
          <t>EXPORTACAO</t>
        </is>
      </c>
      <c r="H3663" s="6" t="inlineStr">
        <is>
          <t>AUTO_OFERTA_TOTAL_PRODUTO_PERIODO</t>
        </is>
      </c>
      <c r="I3663" s="11">
        <f>IF($H3663="AUTO_OFERTA_TOTAL_PRODUTO_PERIODO",SUMIFS(Oferta!$F:$F,Oferta!$A:$A,$A3663,Oferta!$E:$E,$E3663),$F3663)</f>
        <v/>
      </c>
      <c r="J3663" s="6" t="inlineStr">
        <is>
          <t>Derivado_da_Oferta</t>
        </is>
      </c>
      <c r="K3663" s="6" t="inlineStr">
        <is>
          <t>Mercado externo: limite superior calculado automaticamente pela soma da oferta do produto no período.</t>
        </is>
      </c>
    </row>
    <row r="3664">
      <c r="A3664" s="6" t="inlineStr">
        <is>
          <t>Milho</t>
        </is>
      </c>
      <c r="B3664" s="6" t="inlineStr">
        <is>
          <t>Barcarena - PA</t>
        </is>
      </c>
      <c r="C3664" s="6" t="n">
        <v>-1.51187</v>
      </c>
      <c r="D3664" s="6" t="n">
        <v>-48.6195</v>
      </c>
      <c r="E3664" s="6" t="inlineStr">
        <is>
          <t>2021-03</t>
        </is>
      </c>
      <c r="F3664" s="6" t="n"/>
      <c r="G3664" s="6" t="inlineStr">
        <is>
          <t>EXPORTACAO</t>
        </is>
      </c>
      <c r="H3664" s="6" t="inlineStr">
        <is>
          <t>AUTO_OFERTA_TOTAL_PRODUTO_PERIODO</t>
        </is>
      </c>
      <c r="I3664" s="11">
        <f>IF($H3664="AUTO_OFERTA_TOTAL_PRODUTO_PERIODO",SUMIFS(Oferta!$F:$F,Oferta!$A:$A,$A3664,Oferta!$E:$E,$E3664),$F3664)</f>
        <v/>
      </c>
      <c r="J3664" s="6" t="inlineStr">
        <is>
          <t>Derivado_da_Oferta</t>
        </is>
      </c>
      <c r="K3664" s="6" t="inlineStr">
        <is>
          <t>Mercado externo: limite superior calculado automaticamente pela soma da oferta do produto no período.</t>
        </is>
      </c>
    </row>
    <row r="3665">
      <c r="A3665" s="6" t="inlineStr">
        <is>
          <t>Milho</t>
        </is>
      </c>
      <c r="B3665" s="6" t="inlineStr">
        <is>
          <t>Barcarena - PA</t>
        </is>
      </c>
      <c r="C3665" s="6" t="n">
        <v>-1.51187</v>
      </c>
      <c r="D3665" s="6" t="n">
        <v>-48.6195</v>
      </c>
      <c r="E3665" s="6" t="inlineStr">
        <is>
          <t>2021-04</t>
        </is>
      </c>
      <c r="F3665" s="6" t="n"/>
      <c r="G3665" s="6" t="inlineStr">
        <is>
          <t>EXPORTACAO</t>
        </is>
      </c>
      <c r="H3665" s="6" t="inlineStr">
        <is>
          <t>AUTO_OFERTA_TOTAL_PRODUTO_PERIODO</t>
        </is>
      </c>
      <c r="I3665" s="11">
        <f>IF($H3665="AUTO_OFERTA_TOTAL_PRODUTO_PERIODO",SUMIFS(Oferta!$F:$F,Oferta!$A:$A,$A3665,Oferta!$E:$E,$E3665),$F3665)</f>
        <v/>
      </c>
      <c r="J3665" s="6" t="inlineStr">
        <is>
          <t>Derivado_da_Oferta</t>
        </is>
      </c>
      <c r="K3665" s="6" t="inlineStr">
        <is>
          <t>Mercado externo: limite superior calculado automaticamente pela soma da oferta do produto no período.</t>
        </is>
      </c>
    </row>
    <row r="3666">
      <c r="A3666" s="6" t="inlineStr">
        <is>
          <t>Milho</t>
        </is>
      </c>
      <c r="B3666" s="6" t="inlineStr">
        <is>
          <t>Barcarena - PA</t>
        </is>
      </c>
      <c r="C3666" s="6" t="n">
        <v>-1.51187</v>
      </c>
      <c r="D3666" s="6" t="n">
        <v>-48.6195</v>
      </c>
      <c r="E3666" s="6" t="inlineStr">
        <is>
          <t>2021-05</t>
        </is>
      </c>
      <c r="F3666" s="6" t="n"/>
      <c r="G3666" s="6" t="inlineStr">
        <is>
          <t>EXPORTACAO</t>
        </is>
      </c>
      <c r="H3666" s="6" t="inlineStr">
        <is>
          <t>AUTO_OFERTA_TOTAL_PRODUTO_PERIODO</t>
        </is>
      </c>
      <c r="I3666" s="11">
        <f>IF($H3666="AUTO_OFERTA_TOTAL_PRODUTO_PERIODO",SUMIFS(Oferta!$F:$F,Oferta!$A:$A,$A3666,Oferta!$E:$E,$E3666),$F3666)</f>
        <v/>
      </c>
      <c r="J3666" s="6" t="inlineStr">
        <is>
          <t>Derivado_da_Oferta</t>
        </is>
      </c>
      <c r="K3666" s="6" t="inlineStr">
        <is>
          <t>Mercado externo: limite superior calculado automaticamente pela soma da oferta do produto no período.</t>
        </is>
      </c>
    </row>
    <row r="3667">
      <c r="A3667" s="6" t="inlineStr">
        <is>
          <t>Milho</t>
        </is>
      </c>
      <c r="B3667" s="6" t="inlineStr">
        <is>
          <t>Barcarena - PA</t>
        </is>
      </c>
      <c r="C3667" s="6" t="n">
        <v>-1.51187</v>
      </c>
      <c r="D3667" s="6" t="n">
        <v>-48.6195</v>
      </c>
      <c r="E3667" s="6" t="inlineStr">
        <is>
          <t>2021-06</t>
        </is>
      </c>
      <c r="F3667" s="6" t="n"/>
      <c r="G3667" s="6" t="inlineStr">
        <is>
          <t>EXPORTACAO</t>
        </is>
      </c>
      <c r="H3667" s="6" t="inlineStr">
        <is>
          <t>AUTO_OFERTA_TOTAL_PRODUTO_PERIODO</t>
        </is>
      </c>
      <c r="I3667" s="11">
        <f>IF($H3667="AUTO_OFERTA_TOTAL_PRODUTO_PERIODO",SUMIFS(Oferta!$F:$F,Oferta!$A:$A,$A3667,Oferta!$E:$E,$E3667),$F3667)</f>
        <v/>
      </c>
      <c r="J3667" s="6" t="inlineStr">
        <is>
          <t>Derivado_da_Oferta</t>
        </is>
      </c>
      <c r="K3667" s="6" t="inlineStr">
        <is>
          <t>Mercado externo: limite superior calculado automaticamente pela soma da oferta do produto no período.</t>
        </is>
      </c>
    </row>
    <row r="3668">
      <c r="A3668" s="6" t="inlineStr">
        <is>
          <t>Milho</t>
        </is>
      </c>
      <c r="B3668" s="6" t="inlineStr">
        <is>
          <t>Barcarena - PA</t>
        </is>
      </c>
      <c r="C3668" s="6" t="n">
        <v>-1.51187</v>
      </c>
      <c r="D3668" s="6" t="n">
        <v>-48.6195</v>
      </c>
      <c r="E3668" s="6" t="inlineStr">
        <is>
          <t>2021-07</t>
        </is>
      </c>
      <c r="F3668" s="6" t="n"/>
      <c r="G3668" s="6" t="inlineStr">
        <is>
          <t>EXPORTACAO</t>
        </is>
      </c>
      <c r="H3668" s="6" t="inlineStr">
        <is>
          <t>AUTO_OFERTA_TOTAL_PRODUTO_PERIODO</t>
        </is>
      </c>
      <c r="I3668" s="11">
        <f>IF($H3668="AUTO_OFERTA_TOTAL_PRODUTO_PERIODO",SUMIFS(Oferta!$F:$F,Oferta!$A:$A,$A3668,Oferta!$E:$E,$E3668),$F3668)</f>
        <v/>
      </c>
      <c r="J3668" s="6" t="inlineStr">
        <is>
          <t>Derivado_da_Oferta</t>
        </is>
      </c>
      <c r="K3668" s="6" t="inlineStr">
        <is>
          <t>Mercado externo: limite superior calculado automaticamente pela soma da oferta do produto no período.</t>
        </is>
      </c>
    </row>
    <row r="3669">
      <c r="A3669" s="6" t="inlineStr">
        <is>
          <t>Milho</t>
        </is>
      </c>
      <c r="B3669" s="6" t="inlineStr">
        <is>
          <t>Barcarena - PA</t>
        </is>
      </c>
      <c r="C3669" s="6" t="n">
        <v>-1.51187</v>
      </c>
      <c r="D3669" s="6" t="n">
        <v>-48.6195</v>
      </c>
      <c r="E3669" s="6" t="inlineStr">
        <is>
          <t>2021-08</t>
        </is>
      </c>
      <c r="F3669" s="6" t="n"/>
      <c r="G3669" s="6" t="inlineStr">
        <is>
          <t>EXPORTACAO</t>
        </is>
      </c>
      <c r="H3669" s="6" t="inlineStr">
        <is>
          <t>AUTO_OFERTA_TOTAL_PRODUTO_PERIODO</t>
        </is>
      </c>
      <c r="I3669" s="11">
        <f>IF($H3669="AUTO_OFERTA_TOTAL_PRODUTO_PERIODO",SUMIFS(Oferta!$F:$F,Oferta!$A:$A,$A3669,Oferta!$E:$E,$E3669),$F3669)</f>
        <v/>
      </c>
      <c r="J3669" s="6" t="inlineStr">
        <is>
          <t>Derivado_da_Oferta</t>
        </is>
      </c>
      <c r="K3669" s="6" t="inlineStr">
        <is>
          <t>Mercado externo: limite superior calculado automaticamente pela soma da oferta do produto no período.</t>
        </is>
      </c>
    </row>
    <row r="3670">
      <c r="A3670" s="6" t="inlineStr">
        <is>
          <t>Milho</t>
        </is>
      </c>
      <c r="B3670" s="6" t="inlineStr">
        <is>
          <t>Barcarena - PA</t>
        </is>
      </c>
      <c r="C3670" s="6" t="n">
        <v>-1.51187</v>
      </c>
      <c r="D3670" s="6" t="n">
        <v>-48.6195</v>
      </c>
      <c r="E3670" s="6" t="inlineStr">
        <is>
          <t>2021-09</t>
        </is>
      </c>
      <c r="F3670" s="6" t="n"/>
      <c r="G3670" s="6" t="inlineStr">
        <is>
          <t>EXPORTACAO</t>
        </is>
      </c>
      <c r="H3670" s="6" t="inlineStr">
        <is>
          <t>AUTO_OFERTA_TOTAL_PRODUTO_PERIODO</t>
        </is>
      </c>
      <c r="I3670" s="11">
        <f>IF($H3670="AUTO_OFERTA_TOTAL_PRODUTO_PERIODO",SUMIFS(Oferta!$F:$F,Oferta!$A:$A,$A3670,Oferta!$E:$E,$E3670),$F3670)</f>
        <v/>
      </c>
      <c r="J3670" s="6" t="inlineStr">
        <is>
          <t>Derivado_da_Oferta</t>
        </is>
      </c>
      <c r="K3670" s="6" t="inlineStr">
        <is>
          <t>Mercado externo: limite superior calculado automaticamente pela soma da oferta do produto no período.</t>
        </is>
      </c>
    </row>
    <row r="3671">
      <c r="A3671" s="6" t="inlineStr">
        <is>
          <t>Milho</t>
        </is>
      </c>
      <c r="B3671" s="6" t="inlineStr">
        <is>
          <t>Barcarena - PA</t>
        </is>
      </c>
      <c r="C3671" s="6" t="n">
        <v>-1.51187</v>
      </c>
      <c r="D3671" s="6" t="n">
        <v>-48.6195</v>
      </c>
      <c r="E3671" s="6" t="inlineStr">
        <is>
          <t>2021-10</t>
        </is>
      </c>
      <c r="F3671" s="6" t="n"/>
      <c r="G3671" s="6" t="inlineStr">
        <is>
          <t>EXPORTACAO</t>
        </is>
      </c>
      <c r="H3671" s="6" t="inlineStr">
        <is>
          <t>AUTO_OFERTA_TOTAL_PRODUTO_PERIODO</t>
        </is>
      </c>
      <c r="I3671" s="11">
        <f>IF($H3671="AUTO_OFERTA_TOTAL_PRODUTO_PERIODO",SUMIFS(Oferta!$F:$F,Oferta!$A:$A,$A3671,Oferta!$E:$E,$E3671),$F3671)</f>
        <v/>
      </c>
      <c r="J3671" s="6" t="inlineStr">
        <is>
          <t>Derivado_da_Oferta</t>
        </is>
      </c>
      <c r="K3671" s="6" t="inlineStr">
        <is>
          <t>Mercado externo: limite superior calculado automaticamente pela soma da oferta do produto no período.</t>
        </is>
      </c>
    </row>
    <row r="3672">
      <c r="A3672" s="6" t="inlineStr">
        <is>
          <t>Milho</t>
        </is>
      </c>
      <c r="B3672" s="6" t="inlineStr">
        <is>
          <t>Barcarena - PA</t>
        </is>
      </c>
      <c r="C3672" s="6" t="n">
        <v>-1.51187</v>
      </c>
      <c r="D3672" s="6" t="n">
        <v>-48.6195</v>
      </c>
      <c r="E3672" s="6" t="inlineStr">
        <is>
          <t>2021-11</t>
        </is>
      </c>
      <c r="F3672" s="6" t="n"/>
      <c r="G3672" s="6" t="inlineStr">
        <is>
          <t>EXPORTACAO</t>
        </is>
      </c>
      <c r="H3672" s="6" t="inlineStr">
        <is>
          <t>AUTO_OFERTA_TOTAL_PRODUTO_PERIODO</t>
        </is>
      </c>
      <c r="I3672" s="11">
        <f>IF($H3672="AUTO_OFERTA_TOTAL_PRODUTO_PERIODO",SUMIFS(Oferta!$F:$F,Oferta!$A:$A,$A3672,Oferta!$E:$E,$E3672),$F3672)</f>
        <v/>
      </c>
      <c r="J3672" s="6" t="inlineStr">
        <is>
          <t>Derivado_da_Oferta</t>
        </is>
      </c>
      <c r="K3672" s="6" t="inlineStr">
        <is>
          <t>Mercado externo: limite superior calculado automaticamente pela soma da oferta do produto no período.</t>
        </is>
      </c>
    </row>
    <row r="3673">
      <c r="A3673" s="6" t="inlineStr">
        <is>
          <t>Milho</t>
        </is>
      </c>
      <c r="B3673" s="6" t="inlineStr">
        <is>
          <t>Barcarena - PA</t>
        </is>
      </c>
      <c r="C3673" s="6" t="n">
        <v>-1.51187</v>
      </c>
      <c r="D3673" s="6" t="n">
        <v>-48.6195</v>
      </c>
      <c r="E3673" s="6" t="inlineStr">
        <is>
          <t>2021-12</t>
        </is>
      </c>
      <c r="F3673" s="6" t="n"/>
      <c r="G3673" s="6" t="inlineStr">
        <is>
          <t>EXPORTACAO</t>
        </is>
      </c>
      <c r="H3673" s="6" t="inlineStr">
        <is>
          <t>AUTO_OFERTA_TOTAL_PRODUTO_PERIODO</t>
        </is>
      </c>
      <c r="I3673" s="11">
        <f>IF($H3673="AUTO_OFERTA_TOTAL_PRODUTO_PERIODO",SUMIFS(Oferta!$F:$F,Oferta!$A:$A,$A3673,Oferta!$E:$E,$E3673),$F3673)</f>
        <v/>
      </c>
      <c r="J3673" s="6" t="inlineStr">
        <is>
          <t>Derivado_da_Oferta</t>
        </is>
      </c>
      <c r="K3673" s="6" t="inlineStr">
        <is>
          <t>Mercado externo: limite superior calculado automaticamente pela soma da oferta do produto no período.</t>
        </is>
      </c>
    </row>
    <row r="3674">
      <c r="A3674" s="6" t="inlineStr">
        <is>
          <t>Milho</t>
        </is>
      </c>
      <c r="B3674" s="6" t="inlineStr">
        <is>
          <t>Barcarena - PA</t>
        </is>
      </c>
      <c r="C3674" s="6" t="n">
        <v>-1.51187</v>
      </c>
      <c r="D3674" s="6" t="n">
        <v>-48.6195</v>
      </c>
      <c r="E3674" s="6" t="inlineStr">
        <is>
          <t>2022-01</t>
        </is>
      </c>
      <c r="F3674" s="6" t="n"/>
      <c r="G3674" s="6" t="inlineStr">
        <is>
          <t>EXPORTACAO</t>
        </is>
      </c>
      <c r="H3674" s="6" t="inlineStr">
        <is>
          <t>AUTO_OFERTA_TOTAL_PRODUTO_PERIODO</t>
        </is>
      </c>
      <c r="I3674" s="11">
        <f>IF($H3674="AUTO_OFERTA_TOTAL_PRODUTO_PERIODO",SUMIFS(Oferta!$F:$F,Oferta!$A:$A,$A3674,Oferta!$E:$E,$E3674),$F3674)</f>
        <v/>
      </c>
      <c r="J3674" s="6" t="inlineStr">
        <is>
          <t>Derivado_da_Oferta</t>
        </is>
      </c>
      <c r="K3674" s="6" t="inlineStr">
        <is>
          <t>Mercado externo: limite superior calculado automaticamente pela soma da oferta do produto no período.</t>
        </is>
      </c>
    </row>
    <row r="3675">
      <c r="A3675" s="6" t="inlineStr">
        <is>
          <t>Milho</t>
        </is>
      </c>
      <c r="B3675" s="6" t="inlineStr">
        <is>
          <t>Barcarena - PA</t>
        </is>
      </c>
      <c r="C3675" s="6" t="n">
        <v>-1.51187</v>
      </c>
      <c r="D3675" s="6" t="n">
        <v>-48.6195</v>
      </c>
      <c r="E3675" s="6" t="inlineStr">
        <is>
          <t>2022-02</t>
        </is>
      </c>
      <c r="F3675" s="6" t="n"/>
      <c r="G3675" s="6" t="inlineStr">
        <is>
          <t>EXPORTACAO</t>
        </is>
      </c>
      <c r="H3675" s="6" t="inlineStr">
        <is>
          <t>AUTO_OFERTA_TOTAL_PRODUTO_PERIODO</t>
        </is>
      </c>
      <c r="I3675" s="11">
        <f>IF($H3675="AUTO_OFERTA_TOTAL_PRODUTO_PERIODO",SUMIFS(Oferta!$F:$F,Oferta!$A:$A,$A3675,Oferta!$E:$E,$E3675),$F3675)</f>
        <v/>
      </c>
      <c r="J3675" s="6" t="inlineStr">
        <is>
          <t>Derivado_da_Oferta</t>
        </is>
      </c>
      <c r="K3675" s="6" t="inlineStr">
        <is>
          <t>Mercado externo: limite superior calculado automaticamente pela soma da oferta do produto no período.</t>
        </is>
      </c>
    </row>
    <row r="3676">
      <c r="A3676" s="6" t="inlineStr">
        <is>
          <t>Milho</t>
        </is>
      </c>
      <c r="B3676" s="6" t="inlineStr">
        <is>
          <t>Barcarena - PA</t>
        </is>
      </c>
      <c r="C3676" s="6" t="n">
        <v>-1.51187</v>
      </c>
      <c r="D3676" s="6" t="n">
        <v>-48.6195</v>
      </c>
      <c r="E3676" s="6" t="inlineStr">
        <is>
          <t>2022-03</t>
        </is>
      </c>
      <c r="F3676" s="6" t="n"/>
      <c r="G3676" s="6" t="inlineStr">
        <is>
          <t>EXPORTACAO</t>
        </is>
      </c>
      <c r="H3676" s="6" t="inlineStr">
        <is>
          <t>AUTO_OFERTA_TOTAL_PRODUTO_PERIODO</t>
        </is>
      </c>
      <c r="I3676" s="11">
        <f>IF($H3676="AUTO_OFERTA_TOTAL_PRODUTO_PERIODO",SUMIFS(Oferta!$F:$F,Oferta!$A:$A,$A3676,Oferta!$E:$E,$E3676),$F3676)</f>
        <v/>
      </c>
      <c r="J3676" s="6" t="inlineStr">
        <is>
          <t>Derivado_da_Oferta</t>
        </is>
      </c>
      <c r="K3676" s="6" t="inlineStr">
        <is>
          <t>Mercado externo: limite superior calculado automaticamente pela soma da oferta do produto no período.</t>
        </is>
      </c>
    </row>
    <row r="3677">
      <c r="A3677" s="6" t="inlineStr">
        <is>
          <t>Milho</t>
        </is>
      </c>
      <c r="B3677" s="6" t="inlineStr">
        <is>
          <t>Barcarena - PA</t>
        </is>
      </c>
      <c r="C3677" s="6" t="n">
        <v>-1.51187</v>
      </c>
      <c r="D3677" s="6" t="n">
        <v>-48.6195</v>
      </c>
      <c r="E3677" s="6" t="inlineStr">
        <is>
          <t>2022-04</t>
        </is>
      </c>
      <c r="F3677" s="6" t="n"/>
      <c r="G3677" s="6" t="inlineStr">
        <is>
          <t>EXPORTACAO</t>
        </is>
      </c>
      <c r="H3677" s="6" t="inlineStr">
        <is>
          <t>AUTO_OFERTA_TOTAL_PRODUTO_PERIODO</t>
        </is>
      </c>
      <c r="I3677" s="11">
        <f>IF($H3677="AUTO_OFERTA_TOTAL_PRODUTO_PERIODO",SUMIFS(Oferta!$F:$F,Oferta!$A:$A,$A3677,Oferta!$E:$E,$E3677),$F3677)</f>
        <v/>
      </c>
      <c r="J3677" s="6" t="inlineStr">
        <is>
          <t>Derivado_da_Oferta</t>
        </is>
      </c>
      <c r="K3677" s="6" t="inlineStr">
        <is>
          <t>Mercado externo: limite superior calculado automaticamente pela soma da oferta do produto no período.</t>
        </is>
      </c>
    </row>
    <row r="3678">
      <c r="A3678" s="6" t="inlineStr">
        <is>
          <t>Milho</t>
        </is>
      </c>
      <c r="B3678" s="6" t="inlineStr">
        <is>
          <t>Barcarena - PA</t>
        </is>
      </c>
      <c r="C3678" s="6" t="n">
        <v>-1.51187</v>
      </c>
      <c r="D3678" s="6" t="n">
        <v>-48.6195</v>
      </c>
      <c r="E3678" s="6" t="inlineStr">
        <is>
          <t>2022-05</t>
        </is>
      </c>
      <c r="F3678" s="6" t="n"/>
      <c r="G3678" s="6" t="inlineStr">
        <is>
          <t>EXPORTACAO</t>
        </is>
      </c>
      <c r="H3678" s="6" t="inlineStr">
        <is>
          <t>AUTO_OFERTA_TOTAL_PRODUTO_PERIODO</t>
        </is>
      </c>
      <c r="I3678" s="11">
        <f>IF($H3678="AUTO_OFERTA_TOTAL_PRODUTO_PERIODO",SUMIFS(Oferta!$F:$F,Oferta!$A:$A,$A3678,Oferta!$E:$E,$E3678),$F3678)</f>
        <v/>
      </c>
      <c r="J3678" s="6" t="inlineStr">
        <is>
          <t>Derivado_da_Oferta</t>
        </is>
      </c>
      <c r="K3678" s="6" t="inlineStr">
        <is>
          <t>Mercado externo: limite superior calculado automaticamente pela soma da oferta do produto no período.</t>
        </is>
      </c>
    </row>
    <row r="3679">
      <c r="A3679" s="6" t="inlineStr">
        <is>
          <t>Milho</t>
        </is>
      </c>
      <c r="B3679" s="6" t="inlineStr">
        <is>
          <t>Barcarena - PA</t>
        </is>
      </c>
      <c r="C3679" s="6" t="n">
        <v>-1.51187</v>
      </c>
      <c r="D3679" s="6" t="n">
        <v>-48.6195</v>
      </c>
      <c r="E3679" s="6" t="inlineStr">
        <is>
          <t>2022-06</t>
        </is>
      </c>
      <c r="F3679" s="6" t="n"/>
      <c r="G3679" s="6" t="inlineStr">
        <is>
          <t>EXPORTACAO</t>
        </is>
      </c>
      <c r="H3679" s="6" t="inlineStr">
        <is>
          <t>AUTO_OFERTA_TOTAL_PRODUTO_PERIODO</t>
        </is>
      </c>
      <c r="I3679" s="11">
        <f>IF($H3679="AUTO_OFERTA_TOTAL_PRODUTO_PERIODO",SUMIFS(Oferta!$F:$F,Oferta!$A:$A,$A3679,Oferta!$E:$E,$E3679),$F3679)</f>
        <v/>
      </c>
      <c r="J3679" s="6" t="inlineStr">
        <is>
          <t>Derivado_da_Oferta</t>
        </is>
      </c>
      <c r="K3679" s="6" t="inlineStr">
        <is>
          <t>Mercado externo: limite superior calculado automaticamente pela soma da oferta do produto no período.</t>
        </is>
      </c>
    </row>
    <row r="3680">
      <c r="A3680" s="6" t="inlineStr">
        <is>
          <t>Milho</t>
        </is>
      </c>
      <c r="B3680" s="6" t="inlineStr">
        <is>
          <t>Barcarena - PA</t>
        </is>
      </c>
      <c r="C3680" s="6" t="n">
        <v>-1.51187</v>
      </c>
      <c r="D3680" s="6" t="n">
        <v>-48.6195</v>
      </c>
      <c r="E3680" s="6" t="inlineStr">
        <is>
          <t>2022-07</t>
        </is>
      </c>
      <c r="F3680" s="6" t="n"/>
      <c r="G3680" s="6" t="inlineStr">
        <is>
          <t>EXPORTACAO</t>
        </is>
      </c>
      <c r="H3680" s="6" t="inlineStr">
        <is>
          <t>AUTO_OFERTA_TOTAL_PRODUTO_PERIODO</t>
        </is>
      </c>
      <c r="I3680" s="11">
        <f>IF($H3680="AUTO_OFERTA_TOTAL_PRODUTO_PERIODO",SUMIFS(Oferta!$F:$F,Oferta!$A:$A,$A3680,Oferta!$E:$E,$E3680),$F3680)</f>
        <v/>
      </c>
      <c r="J3680" s="6" t="inlineStr">
        <is>
          <t>Derivado_da_Oferta</t>
        </is>
      </c>
      <c r="K3680" s="6" t="inlineStr">
        <is>
          <t>Mercado externo: limite superior calculado automaticamente pela soma da oferta do produto no período.</t>
        </is>
      </c>
    </row>
    <row r="3681">
      <c r="A3681" s="6" t="inlineStr">
        <is>
          <t>Milho</t>
        </is>
      </c>
      <c r="B3681" s="6" t="inlineStr">
        <is>
          <t>Barcarena - PA</t>
        </is>
      </c>
      <c r="C3681" s="6" t="n">
        <v>-1.51187</v>
      </c>
      <c r="D3681" s="6" t="n">
        <v>-48.6195</v>
      </c>
      <c r="E3681" s="6" t="inlineStr">
        <is>
          <t>2022-08</t>
        </is>
      </c>
      <c r="F3681" s="6" t="n"/>
      <c r="G3681" s="6" t="inlineStr">
        <is>
          <t>EXPORTACAO</t>
        </is>
      </c>
      <c r="H3681" s="6" t="inlineStr">
        <is>
          <t>AUTO_OFERTA_TOTAL_PRODUTO_PERIODO</t>
        </is>
      </c>
      <c r="I3681" s="11">
        <f>IF($H3681="AUTO_OFERTA_TOTAL_PRODUTO_PERIODO",SUMIFS(Oferta!$F:$F,Oferta!$A:$A,$A3681,Oferta!$E:$E,$E3681),$F3681)</f>
        <v/>
      </c>
      <c r="J3681" s="6" t="inlineStr">
        <is>
          <t>Derivado_da_Oferta</t>
        </is>
      </c>
      <c r="K3681" s="6" t="inlineStr">
        <is>
          <t>Mercado externo: limite superior calculado automaticamente pela soma da oferta do produto no período.</t>
        </is>
      </c>
    </row>
    <row r="3682">
      <c r="A3682" s="6" t="inlineStr">
        <is>
          <t>Milho</t>
        </is>
      </c>
      <c r="B3682" s="6" t="inlineStr">
        <is>
          <t>Barcarena - PA</t>
        </is>
      </c>
      <c r="C3682" s="6" t="n">
        <v>-1.51187</v>
      </c>
      <c r="D3682" s="6" t="n">
        <v>-48.6195</v>
      </c>
      <c r="E3682" s="6" t="inlineStr">
        <is>
          <t>2022-09</t>
        </is>
      </c>
      <c r="F3682" s="6" t="n"/>
      <c r="G3682" s="6" t="inlineStr">
        <is>
          <t>EXPORTACAO</t>
        </is>
      </c>
      <c r="H3682" s="6" t="inlineStr">
        <is>
          <t>AUTO_OFERTA_TOTAL_PRODUTO_PERIODO</t>
        </is>
      </c>
      <c r="I3682" s="11">
        <f>IF($H3682="AUTO_OFERTA_TOTAL_PRODUTO_PERIODO",SUMIFS(Oferta!$F:$F,Oferta!$A:$A,$A3682,Oferta!$E:$E,$E3682),$F3682)</f>
        <v/>
      </c>
      <c r="J3682" s="6" t="inlineStr">
        <is>
          <t>Derivado_da_Oferta</t>
        </is>
      </c>
      <c r="K3682" s="6" t="inlineStr">
        <is>
          <t>Mercado externo: limite superior calculado automaticamente pela soma da oferta do produto no período.</t>
        </is>
      </c>
    </row>
    <row r="3683">
      <c r="A3683" s="6" t="inlineStr">
        <is>
          <t>Milho</t>
        </is>
      </c>
      <c r="B3683" s="6" t="inlineStr">
        <is>
          <t>Barcarena - PA</t>
        </is>
      </c>
      <c r="C3683" s="6" t="n">
        <v>-1.51187</v>
      </c>
      <c r="D3683" s="6" t="n">
        <v>-48.6195</v>
      </c>
      <c r="E3683" s="6" t="inlineStr">
        <is>
          <t>2022-10</t>
        </is>
      </c>
      <c r="F3683" s="6" t="n"/>
      <c r="G3683" s="6" t="inlineStr">
        <is>
          <t>EXPORTACAO</t>
        </is>
      </c>
      <c r="H3683" s="6" t="inlineStr">
        <is>
          <t>AUTO_OFERTA_TOTAL_PRODUTO_PERIODO</t>
        </is>
      </c>
      <c r="I3683" s="11">
        <f>IF($H3683="AUTO_OFERTA_TOTAL_PRODUTO_PERIODO",SUMIFS(Oferta!$F:$F,Oferta!$A:$A,$A3683,Oferta!$E:$E,$E3683),$F3683)</f>
        <v/>
      </c>
      <c r="J3683" s="6" t="inlineStr">
        <is>
          <t>Derivado_da_Oferta</t>
        </is>
      </c>
      <c r="K3683" s="6" t="inlineStr">
        <is>
          <t>Mercado externo: limite superior calculado automaticamente pela soma da oferta do produto no período.</t>
        </is>
      </c>
    </row>
    <row r="3684">
      <c r="A3684" s="6" t="inlineStr">
        <is>
          <t>Milho</t>
        </is>
      </c>
      <c r="B3684" s="6" t="inlineStr">
        <is>
          <t>Barcarena - PA</t>
        </is>
      </c>
      <c r="C3684" s="6" t="n">
        <v>-1.51187</v>
      </c>
      <c r="D3684" s="6" t="n">
        <v>-48.6195</v>
      </c>
      <c r="E3684" s="6" t="inlineStr">
        <is>
          <t>2022-11</t>
        </is>
      </c>
      <c r="F3684" s="6" t="n"/>
      <c r="G3684" s="6" t="inlineStr">
        <is>
          <t>EXPORTACAO</t>
        </is>
      </c>
      <c r="H3684" s="6" t="inlineStr">
        <is>
          <t>AUTO_OFERTA_TOTAL_PRODUTO_PERIODO</t>
        </is>
      </c>
      <c r="I3684" s="11">
        <f>IF($H3684="AUTO_OFERTA_TOTAL_PRODUTO_PERIODO",SUMIFS(Oferta!$F:$F,Oferta!$A:$A,$A3684,Oferta!$E:$E,$E3684),$F3684)</f>
        <v/>
      </c>
      <c r="J3684" s="6" t="inlineStr">
        <is>
          <t>Derivado_da_Oferta</t>
        </is>
      </c>
      <c r="K3684" s="6" t="inlineStr">
        <is>
          <t>Mercado externo: limite superior calculado automaticamente pela soma da oferta do produto no período.</t>
        </is>
      </c>
    </row>
    <row r="3685">
      <c r="A3685" s="6" t="inlineStr">
        <is>
          <t>Milho</t>
        </is>
      </c>
      <c r="B3685" s="6" t="inlineStr">
        <is>
          <t>Barcarena - PA</t>
        </is>
      </c>
      <c r="C3685" s="6" t="n">
        <v>-1.51187</v>
      </c>
      <c r="D3685" s="6" t="n">
        <v>-48.6195</v>
      </c>
      <c r="E3685" s="6" t="inlineStr">
        <is>
          <t>2022-12</t>
        </is>
      </c>
      <c r="F3685" s="6" t="n"/>
      <c r="G3685" s="6" t="inlineStr">
        <is>
          <t>EXPORTACAO</t>
        </is>
      </c>
      <c r="H3685" s="6" t="inlineStr">
        <is>
          <t>AUTO_OFERTA_TOTAL_PRODUTO_PERIODO</t>
        </is>
      </c>
      <c r="I3685" s="11">
        <f>IF($H3685="AUTO_OFERTA_TOTAL_PRODUTO_PERIODO",SUMIFS(Oferta!$F:$F,Oferta!$A:$A,$A3685,Oferta!$E:$E,$E3685),$F3685)</f>
        <v/>
      </c>
      <c r="J3685" s="6" t="inlineStr">
        <is>
          <t>Derivado_da_Oferta</t>
        </is>
      </c>
      <c r="K3685" s="6" t="inlineStr">
        <is>
          <t>Mercado externo: limite superior calculado automaticamente pela soma da oferta do produto no período.</t>
        </is>
      </c>
    </row>
    <row r="3686">
      <c r="A3686" s="6" t="inlineStr">
        <is>
          <t>Milho</t>
        </is>
      </c>
      <c r="B3686" s="6" t="inlineStr">
        <is>
          <t>Barcarena - PA</t>
        </is>
      </c>
      <c r="C3686" s="6" t="n">
        <v>-1.51187</v>
      </c>
      <c r="D3686" s="6" t="n">
        <v>-48.6195</v>
      </c>
      <c r="E3686" s="6" t="inlineStr">
        <is>
          <t>2023-01</t>
        </is>
      </c>
      <c r="F3686" s="6" t="n"/>
      <c r="G3686" s="6" t="inlineStr">
        <is>
          <t>EXPORTACAO</t>
        </is>
      </c>
      <c r="H3686" s="6" t="inlineStr">
        <is>
          <t>AUTO_OFERTA_TOTAL_PRODUTO_PERIODO</t>
        </is>
      </c>
      <c r="I3686" s="11">
        <f>IF($H3686="AUTO_OFERTA_TOTAL_PRODUTO_PERIODO",SUMIFS(Oferta!$F:$F,Oferta!$A:$A,$A3686,Oferta!$E:$E,$E3686),$F3686)</f>
        <v/>
      </c>
      <c r="J3686" s="6" t="inlineStr">
        <is>
          <t>Derivado_da_Oferta</t>
        </is>
      </c>
      <c r="K3686" s="6" t="inlineStr">
        <is>
          <t>Mercado externo: limite superior calculado automaticamente pela soma da oferta do produto no período.</t>
        </is>
      </c>
    </row>
    <row r="3687">
      <c r="A3687" s="6" t="inlineStr">
        <is>
          <t>Milho</t>
        </is>
      </c>
      <c r="B3687" s="6" t="inlineStr">
        <is>
          <t>Barcarena - PA</t>
        </is>
      </c>
      <c r="C3687" s="6" t="n">
        <v>-1.51187</v>
      </c>
      <c r="D3687" s="6" t="n">
        <v>-48.6195</v>
      </c>
      <c r="E3687" s="6" t="inlineStr">
        <is>
          <t>2023-02</t>
        </is>
      </c>
      <c r="F3687" s="6" t="n"/>
      <c r="G3687" s="6" t="inlineStr">
        <is>
          <t>EXPORTACAO</t>
        </is>
      </c>
      <c r="H3687" s="6" t="inlineStr">
        <is>
          <t>AUTO_OFERTA_TOTAL_PRODUTO_PERIODO</t>
        </is>
      </c>
      <c r="I3687" s="11">
        <f>IF($H3687="AUTO_OFERTA_TOTAL_PRODUTO_PERIODO",SUMIFS(Oferta!$F:$F,Oferta!$A:$A,$A3687,Oferta!$E:$E,$E3687),$F3687)</f>
        <v/>
      </c>
      <c r="J3687" s="6" t="inlineStr">
        <is>
          <t>Derivado_da_Oferta</t>
        </is>
      </c>
      <c r="K3687" s="6" t="inlineStr">
        <is>
          <t>Mercado externo: limite superior calculado automaticamente pela soma da oferta do produto no período.</t>
        </is>
      </c>
    </row>
    <row r="3688">
      <c r="A3688" s="6" t="inlineStr">
        <is>
          <t>Milho</t>
        </is>
      </c>
      <c r="B3688" s="6" t="inlineStr">
        <is>
          <t>Barcarena - PA</t>
        </is>
      </c>
      <c r="C3688" s="6" t="n">
        <v>-1.51187</v>
      </c>
      <c r="D3688" s="6" t="n">
        <v>-48.6195</v>
      </c>
      <c r="E3688" s="6" t="inlineStr">
        <is>
          <t>2023-03</t>
        </is>
      </c>
      <c r="F3688" s="6" t="n"/>
      <c r="G3688" s="6" t="inlineStr">
        <is>
          <t>EXPORTACAO</t>
        </is>
      </c>
      <c r="H3688" s="6" t="inlineStr">
        <is>
          <t>AUTO_OFERTA_TOTAL_PRODUTO_PERIODO</t>
        </is>
      </c>
      <c r="I3688" s="11">
        <f>IF($H3688="AUTO_OFERTA_TOTAL_PRODUTO_PERIODO",SUMIFS(Oferta!$F:$F,Oferta!$A:$A,$A3688,Oferta!$E:$E,$E3688),$F3688)</f>
        <v/>
      </c>
      <c r="J3688" s="6" t="inlineStr">
        <is>
          <t>Derivado_da_Oferta</t>
        </is>
      </c>
      <c r="K3688" s="6" t="inlineStr">
        <is>
          <t>Mercado externo: limite superior calculado automaticamente pela soma da oferta do produto no período.</t>
        </is>
      </c>
    </row>
    <row r="3689">
      <c r="A3689" s="6" t="inlineStr">
        <is>
          <t>Milho</t>
        </is>
      </c>
      <c r="B3689" s="6" t="inlineStr">
        <is>
          <t>Barcarena - PA</t>
        </is>
      </c>
      <c r="C3689" s="6" t="n">
        <v>-1.51187</v>
      </c>
      <c r="D3689" s="6" t="n">
        <v>-48.6195</v>
      </c>
      <c r="E3689" s="6" t="inlineStr">
        <is>
          <t>2023-04</t>
        </is>
      </c>
      <c r="F3689" s="6" t="n"/>
      <c r="G3689" s="6" t="inlineStr">
        <is>
          <t>EXPORTACAO</t>
        </is>
      </c>
      <c r="H3689" s="6" t="inlineStr">
        <is>
          <t>AUTO_OFERTA_TOTAL_PRODUTO_PERIODO</t>
        </is>
      </c>
      <c r="I3689" s="11">
        <f>IF($H3689="AUTO_OFERTA_TOTAL_PRODUTO_PERIODO",SUMIFS(Oferta!$F:$F,Oferta!$A:$A,$A3689,Oferta!$E:$E,$E3689),$F3689)</f>
        <v/>
      </c>
      <c r="J3689" s="6" t="inlineStr">
        <is>
          <t>Derivado_da_Oferta</t>
        </is>
      </c>
      <c r="K3689" s="6" t="inlineStr">
        <is>
          <t>Mercado externo: limite superior calculado automaticamente pela soma da oferta do produto no período.</t>
        </is>
      </c>
    </row>
    <row r="3690">
      <c r="A3690" s="6" t="inlineStr">
        <is>
          <t>Milho</t>
        </is>
      </c>
      <c r="B3690" s="6" t="inlineStr">
        <is>
          <t>Barcarena - PA</t>
        </is>
      </c>
      <c r="C3690" s="6" t="n">
        <v>-1.51187</v>
      </c>
      <c r="D3690" s="6" t="n">
        <v>-48.6195</v>
      </c>
      <c r="E3690" s="6" t="inlineStr">
        <is>
          <t>2023-05</t>
        </is>
      </c>
      <c r="F3690" s="6" t="n"/>
      <c r="G3690" s="6" t="inlineStr">
        <is>
          <t>EXPORTACAO</t>
        </is>
      </c>
      <c r="H3690" s="6" t="inlineStr">
        <is>
          <t>AUTO_OFERTA_TOTAL_PRODUTO_PERIODO</t>
        </is>
      </c>
      <c r="I3690" s="11">
        <f>IF($H3690="AUTO_OFERTA_TOTAL_PRODUTO_PERIODO",SUMIFS(Oferta!$F:$F,Oferta!$A:$A,$A3690,Oferta!$E:$E,$E3690),$F3690)</f>
        <v/>
      </c>
      <c r="J3690" s="6" t="inlineStr">
        <is>
          <t>Derivado_da_Oferta</t>
        </is>
      </c>
      <c r="K3690" s="6" t="inlineStr">
        <is>
          <t>Mercado externo: limite superior calculado automaticamente pela soma da oferta do produto no período.</t>
        </is>
      </c>
    </row>
    <row r="3691">
      <c r="A3691" s="6" t="inlineStr">
        <is>
          <t>Milho</t>
        </is>
      </c>
      <c r="B3691" s="6" t="inlineStr">
        <is>
          <t>Barcarena - PA</t>
        </is>
      </c>
      <c r="C3691" s="6" t="n">
        <v>-1.51187</v>
      </c>
      <c r="D3691" s="6" t="n">
        <v>-48.6195</v>
      </c>
      <c r="E3691" s="6" t="inlineStr">
        <is>
          <t>2023-06</t>
        </is>
      </c>
      <c r="F3691" s="6" t="n"/>
      <c r="G3691" s="6" t="inlineStr">
        <is>
          <t>EXPORTACAO</t>
        </is>
      </c>
      <c r="H3691" s="6" t="inlineStr">
        <is>
          <t>AUTO_OFERTA_TOTAL_PRODUTO_PERIODO</t>
        </is>
      </c>
      <c r="I3691" s="11">
        <f>IF($H3691="AUTO_OFERTA_TOTAL_PRODUTO_PERIODO",SUMIFS(Oferta!$F:$F,Oferta!$A:$A,$A3691,Oferta!$E:$E,$E3691),$F3691)</f>
        <v/>
      </c>
      <c r="J3691" s="6" t="inlineStr">
        <is>
          <t>Derivado_da_Oferta</t>
        </is>
      </c>
      <c r="K3691" s="6" t="inlineStr">
        <is>
          <t>Mercado externo: limite superior calculado automaticamente pela soma da oferta do produto no período.</t>
        </is>
      </c>
    </row>
    <row r="3692">
      <c r="A3692" s="6" t="inlineStr">
        <is>
          <t>Milho</t>
        </is>
      </c>
      <c r="B3692" s="6" t="inlineStr">
        <is>
          <t>Barcarena - PA</t>
        </is>
      </c>
      <c r="C3692" s="6" t="n">
        <v>-1.51187</v>
      </c>
      <c r="D3692" s="6" t="n">
        <v>-48.6195</v>
      </c>
      <c r="E3692" s="6" t="inlineStr">
        <is>
          <t>2023-07</t>
        </is>
      </c>
      <c r="F3692" s="6" t="n"/>
      <c r="G3692" s="6" t="inlineStr">
        <is>
          <t>EXPORTACAO</t>
        </is>
      </c>
      <c r="H3692" s="6" t="inlineStr">
        <is>
          <t>AUTO_OFERTA_TOTAL_PRODUTO_PERIODO</t>
        </is>
      </c>
      <c r="I3692" s="11">
        <f>IF($H3692="AUTO_OFERTA_TOTAL_PRODUTO_PERIODO",SUMIFS(Oferta!$F:$F,Oferta!$A:$A,$A3692,Oferta!$E:$E,$E3692),$F3692)</f>
        <v/>
      </c>
      <c r="J3692" s="6" t="inlineStr">
        <is>
          <t>Derivado_da_Oferta</t>
        </is>
      </c>
      <c r="K3692" s="6" t="inlineStr">
        <is>
          <t>Mercado externo: limite superior calculado automaticamente pela soma da oferta do produto no período.</t>
        </is>
      </c>
    </row>
    <row r="3693">
      <c r="A3693" s="6" t="inlineStr">
        <is>
          <t>Milho</t>
        </is>
      </c>
      <c r="B3693" s="6" t="inlineStr">
        <is>
          <t>Barcarena - PA</t>
        </is>
      </c>
      <c r="C3693" s="6" t="n">
        <v>-1.51187</v>
      </c>
      <c r="D3693" s="6" t="n">
        <v>-48.6195</v>
      </c>
      <c r="E3693" s="6" t="inlineStr">
        <is>
          <t>2023-08</t>
        </is>
      </c>
      <c r="F3693" s="6" t="n"/>
      <c r="G3693" s="6" t="inlineStr">
        <is>
          <t>EXPORTACAO</t>
        </is>
      </c>
      <c r="H3693" s="6" t="inlineStr">
        <is>
          <t>AUTO_OFERTA_TOTAL_PRODUTO_PERIODO</t>
        </is>
      </c>
      <c r="I3693" s="11">
        <f>IF($H3693="AUTO_OFERTA_TOTAL_PRODUTO_PERIODO",SUMIFS(Oferta!$F:$F,Oferta!$A:$A,$A3693,Oferta!$E:$E,$E3693),$F3693)</f>
        <v/>
      </c>
      <c r="J3693" s="6" t="inlineStr">
        <is>
          <t>Derivado_da_Oferta</t>
        </is>
      </c>
      <c r="K3693" s="6" t="inlineStr">
        <is>
          <t>Mercado externo: limite superior calculado automaticamente pela soma da oferta do produto no período.</t>
        </is>
      </c>
    </row>
    <row r="3694">
      <c r="A3694" s="6" t="inlineStr">
        <is>
          <t>Milho</t>
        </is>
      </c>
      <c r="B3694" s="6" t="inlineStr">
        <is>
          <t>Barcarena - PA</t>
        </is>
      </c>
      <c r="C3694" s="6" t="n">
        <v>-1.51187</v>
      </c>
      <c r="D3694" s="6" t="n">
        <v>-48.6195</v>
      </c>
      <c r="E3694" s="6" t="inlineStr">
        <is>
          <t>2023-09</t>
        </is>
      </c>
      <c r="F3694" s="6" t="n"/>
      <c r="G3694" s="6" t="inlineStr">
        <is>
          <t>EXPORTACAO</t>
        </is>
      </c>
      <c r="H3694" s="6" t="inlineStr">
        <is>
          <t>AUTO_OFERTA_TOTAL_PRODUTO_PERIODO</t>
        </is>
      </c>
      <c r="I3694" s="11">
        <f>IF($H3694="AUTO_OFERTA_TOTAL_PRODUTO_PERIODO",SUMIFS(Oferta!$F:$F,Oferta!$A:$A,$A3694,Oferta!$E:$E,$E3694),$F3694)</f>
        <v/>
      </c>
      <c r="J3694" s="6" t="inlineStr">
        <is>
          <t>Derivado_da_Oferta</t>
        </is>
      </c>
      <c r="K3694" s="6" t="inlineStr">
        <is>
          <t>Mercado externo: limite superior calculado automaticamente pela soma da oferta do produto no período.</t>
        </is>
      </c>
    </row>
    <row r="3695">
      <c r="A3695" s="6" t="inlineStr">
        <is>
          <t>Milho</t>
        </is>
      </c>
      <c r="B3695" s="6" t="inlineStr">
        <is>
          <t>Barcarena - PA</t>
        </is>
      </c>
      <c r="C3695" s="6" t="n">
        <v>-1.51187</v>
      </c>
      <c r="D3695" s="6" t="n">
        <v>-48.6195</v>
      </c>
      <c r="E3695" s="6" t="inlineStr">
        <is>
          <t>2023-10</t>
        </is>
      </c>
      <c r="F3695" s="6" t="n"/>
      <c r="G3695" s="6" t="inlineStr">
        <is>
          <t>EXPORTACAO</t>
        </is>
      </c>
      <c r="H3695" s="6" t="inlineStr">
        <is>
          <t>AUTO_OFERTA_TOTAL_PRODUTO_PERIODO</t>
        </is>
      </c>
      <c r="I3695" s="11">
        <f>IF($H3695="AUTO_OFERTA_TOTAL_PRODUTO_PERIODO",SUMIFS(Oferta!$F:$F,Oferta!$A:$A,$A3695,Oferta!$E:$E,$E3695),$F3695)</f>
        <v/>
      </c>
      <c r="J3695" s="6" t="inlineStr">
        <is>
          <t>Derivado_da_Oferta</t>
        </is>
      </c>
      <c r="K3695" s="6" t="inlineStr">
        <is>
          <t>Mercado externo: limite superior calculado automaticamente pela soma da oferta do produto no período.</t>
        </is>
      </c>
    </row>
    <row r="3696">
      <c r="A3696" s="6" t="inlineStr">
        <is>
          <t>Milho</t>
        </is>
      </c>
      <c r="B3696" s="6" t="inlineStr">
        <is>
          <t>Barcarena - PA</t>
        </is>
      </c>
      <c r="C3696" s="6" t="n">
        <v>-1.51187</v>
      </c>
      <c r="D3696" s="6" t="n">
        <v>-48.6195</v>
      </c>
      <c r="E3696" s="6" t="inlineStr">
        <is>
          <t>2023-11</t>
        </is>
      </c>
      <c r="F3696" s="6" t="n"/>
      <c r="G3696" s="6" t="inlineStr">
        <is>
          <t>EXPORTACAO</t>
        </is>
      </c>
      <c r="H3696" s="6" t="inlineStr">
        <is>
          <t>AUTO_OFERTA_TOTAL_PRODUTO_PERIODO</t>
        </is>
      </c>
      <c r="I3696" s="11">
        <f>IF($H3696="AUTO_OFERTA_TOTAL_PRODUTO_PERIODO",SUMIFS(Oferta!$F:$F,Oferta!$A:$A,$A3696,Oferta!$E:$E,$E3696),$F3696)</f>
        <v/>
      </c>
      <c r="J3696" s="6" t="inlineStr">
        <is>
          <t>Derivado_da_Oferta</t>
        </is>
      </c>
      <c r="K3696" s="6" t="inlineStr">
        <is>
          <t>Mercado externo: limite superior calculado automaticamente pela soma da oferta do produto no período.</t>
        </is>
      </c>
    </row>
    <row r="3697">
      <c r="A3697" s="6" t="inlineStr">
        <is>
          <t>Milho</t>
        </is>
      </c>
      <c r="B3697" s="6" t="inlineStr">
        <is>
          <t>Barcarena - PA</t>
        </is>
      </c>
      <c r="C3697" s="6" t="n">
        <v>-1.51187</v>
      </c>
      <c r="D3697" s="6" t="n">
        <v>-48.6195</v>
      </c>
      <c r="E3697" s="6" t="inlineStr">
        <is>
          <t>2023-12</t>
        </is>
      </c>
      <c r="F3697" s="6" t="n"/>
      <c r="G3697" s="6" t="inlineStr">
        <is>
          <t>EXPORTACAO</t>
        </is>
      </c>
      <c r="H3697" s="6" t="inlineStr">
        <is>
          <t>AUTO_OFERTA_TOTAL_PRODUTO_PERIODO</t>
        </is>
      </c>
      <c r="I3697" s="11">
        <f>IF($H3697="AUTO_OFERTA_TOTAL_PRODUTO_PERIODO",SUMIFS(Oferta!$F:$F,Oferta!$A:$A,$A3697,Oferta!$E:$E,$E3697),$F3697)</f>
        <v/>
      </c>
      <c r="J3697" s="6" t="inlineStr">
        <is>
          <t>Derivado_da_Oferta</t>
        </is>
      </c>
      <c r="K3697" s="6" t="inlineStr">
        <is>
          <t>Mercado externo: limite superior calculado automaticamente pela soma da oferta do produto no período.</t>
        </is>
      </c>
    </row>
    <row r="3698">
      <c r="A3698" s="6" t="inlineStr">
        <is>
          <t>Milho</t>
        </is>
      </c>
      <c r="B3698" s="6" t="inlineStr">
        <is>
          <t>Barcarena - PA</t>
        </is>
      </c>
      <c r="C3698" s="6" t="n">
        <v>-1.51187</v>
      </c>
      <c r="D3698" s="6" t="n">
        <v>-48.6195</v>
      </c>
      <c r="E3698" s="6" t="inlineStr">
        <is>
          <t>2024-01</t>
        </is>
      </c>
      <c r="F3698" s="6" t="n"/>
      <c r="G3698" s="6" t="inlineStr">
        <is>
          <t>EXPORTACAO</t>
        </is>
      </c>
      <c r="H3698" s="6" t="inlineStr">
        <is>
          <t>AUTO_OFERTA_TOTAL_PRODUTO_PERIODO</t>
        </is>
      </c>
      <c r="I3698" s="11">
        <f>IF($H3698="AUTO_OFERTA_TOTAL_PRODUTO_PERIODO",SUMIFS(Oferta!$F:$F,Oferta!$A:$A,$A3698,Oferta!$E:$E,$E3698),$F3698)</f>
        <v/>
      </c>
      <c r="J3698" s="6" t="inlineStr">
        <is>
          <t>Derivado_da_Oferta</t>
        </is>
      </c>
      <c r="K3698" s="6" t="inlineStr">
        <is>
          <t>Mercado externo: limite superior calculado automaticamente pela soma da oferta do produto no período.</t>
        </is>
      </c>
    </row>
    <row r="3699">
      <c r="A3699" s="6" t="inlineStr">
        <is>
          <t>Milho</t>
        </is>
      </c>
      <c r="B3699" s="6" t="inlineStr">
        <is>
          <t>Barcarena - PA</t>
        </is>
      </c>
      <c r="C3699" s="6" t="n">
        <v>-1.51187</v>
      </c>
      <c r="D3699" s="6" t="n">
        <v>-48.6195</v>
      </c>
      <c r="E3699" s="6" t="inlineStr">
        <is>
          <t>2024-02</t>
        </is>
      </c>
      <c r="F3699" s="6" t="n"/>
      <c r="G3699" s="6" t="inlineStr">
        <is>
          <t>EXPORTACAO</t>
        </is>
      </c>
      <c r="H3699" s="6" t="inlineStr">
        <is>
          <t>AUTO_OFERTA_TOTAL_PRODUTO_PERIODO</t>
        </is>
      </c>
      <c r="I3699" s="11">
        <f>IF($H3699="AUTO_OFERTA_TOTAL_PRODUTO_PERIODO",SUMIFS(Oferta!$F:$F,Oferta!$A:$A,$A3699,Oferta!$E:$E,$E3699),$F3699)</f>
        <v/>
      </c>
      <c r="J3699" s="6" t="inlineStr">
        <is>
          <t>Derivado_da_Oferta</t>
        </is>
      </c>
      <c r="K3699" s="6" t="inlineStr">
        <is>
          <t>Mercado externo: limite superior calculado automaticamente pela soma da oferta do produto no período.</t>
        </is>
      </c>
    </row>
    <row r="3700">
      <c r="A3700" s="6" t="inlineStr">
        <is>
          <t>Milho</t>
        </is>
      </c>
      <c r="B3700" s="6" t="inlineStr">
        <is>
          <t>Barcarena - PA</t>
        </is>
      </c>
      <c r="C3700" s="6" t="n">
        <v>-1.51187</v>
      </c>
      <c r="D3700" s="6" t="n">
        <v>-48.6195</v>
      </c>
      <c r="E3700" s="6" t="inlineStr">
        <is>
          <t>2024-03</t>
        </is>
      </c>
      <c r="F3700" s="6" t="n"/>
      <c r="G3700" s="6" t="inlineStr">
        <is>
          <t>EXPORTACAO</t>
        </is>
      </c>
      <c r="H3700" s="6" t="inlineStr">
        <is>
          <t>AUTO_OFERTA_TOTAL_PRODUTO_PERIODO</t>
        </is>
      </c>
      <c r="I3700" s="11">
        <f>IF($H3700="AUTO_OFERTA_TOTAL_PRODUTO_PERIODO",SUMIFS(Oferta!$F:$F,Oferta!$A:$A,$A3700,Oferta!$E:$E,$E3700),$F3700)</f>
        <v/>
      </c>
      <c r="J3700" s="6" t="inlineStr">
        <is>
          <t>Derivado_da_Oferta</t>
        </is>
      </c>
      <c r="K3700" s="6" t="inlineStr">
        <is>
          <t>Mercado externo: limite superior calculado automaticamente pela soma da oferta do produto no período.</t>
        </is>
      </c>
    </row>
    <row r="3701">
      <c r="A3701" s="6" t="inlineStr">
        <is>
          <t>Milho</t>
        </is>
      </c>
      <c r="B3701" s="6" t="inlineStr">
        <is>
          <t>Barcarena - PA</t>
        </is>
      </c>
      <c r="C3701" s="6" t="n">
        <v>-1.51187</v>
      </c>
      <c r="D3701" s="6" t="n">
        <v>-48.6195</v>
      </c>
      <c r="E3701" s="6" t="inlineStr">
        <is>
          <t>2024-04</t>
        </is>
      </c>
      <c r="F3701" s="6" t="n"/>
      <c r="G3701" s="6" t="inlineStr">
        <is>
          <t>EXPORTACAO</t>
        </is>
      </c>
      <c r="H3701" s="6" t="inlineStr">
        <is>
          <t>AUTO_OFERTA_TOTAL_PRODUTO_PERIODO</t>
        </is>
      </c>
      <c r="I3701" s="11">
        <f>IF($H3701="AUTO_OFERTA_TOTAL_PRODUTO_PERIODO",SUMIFS(Oferta!$F:$F,Oferta!$A:$A,$A3701,Oferta!$E:$E,$E3701),$F3701)</f>
        <v/>
      </c>
      <c r="J3701" s="6" t="inlineStr">
        <is>
          <t>Derivado_da_Oferta</t>
        </is>
      </c>
      <c r="K3701" s="6" t="inlineStr">
        <is>
          <t>Mercado externo: limite superior calculado automaticamente pela soma da oferta do produto no período.</t>
        </is>
      </c>
    </row>
    <row r="3702">
      <c r="A3702" s="6" t="inlineStr">
        <is>
          <t>Milho</t>
        </is>
      </c>
      <c r="B3702" s="6" t="inlineStr">
        <is>
          <t>Barcarena - PA</t>
        </is>
      </c>
      <c r="C3702" s="6" t="n">
        <v>-1.51187</v>
      </c>
      <c r="D3702" s="6" t="n">
        <v>-48.6195</v>
      </c>
      <c r="E3702" s="6" t="inlineStr">
        <is>
          <t>2024-05</t>
        </is>
      </c>
      <c r="F3702" s="6" t="n"/>
      <c r="G3702" s="6" t="inlineStr">
        <is>
          <t>EXPORTACAO</t>
        </is>
      </c>
      <c r="H3702" s="6" t="inlineStr">
        <is>
          <t>AUTO_OFERTA_TOTAL_PRODUTO_PERIODO</t>
        </is>
      </c>
      <c r="I3702" s="11">
        <f>IF($H3702="AUTO_OFERTA_TOTAL_PRODUTO_PERIODO",SUMIFS(Oferta!$F:$F,Oferta!$A:$A,$A3702,Oferta!$E:$E,$E3702),$F3702)</f>
        <v/>
      </c>
      <c r="J3702" s="6" t="inlineStr">
        <is>
          <t>Derivado_da_Oferta</t>
        </is>
      </c>
      <c r="K3702" s="6" t="inlineStr">
        <is>
          <t>Mercado externo: limite superior calculado automaticamente pela soma da oferta do produto no período.</t>
        </is>
      </c>
    </row>
    <row r="3703">
      <c r="A3703" s="6" t="inlineStr">
        <is>
          <t>Milho</t>
        </is>
      </c>
      <c r="B3703" s="6" t="inlineStr">
        <is>
          <t>Barcarena - PA</t>
        </is>
      </c>
      <c r="C3703" s="6" t="n">
        <v>-1.51187</v>
      </c>
      <c r="D3703" s="6" t="n">
        <v>-48.6195</v>
      </c>
      <c r="E3703" s="6" t="inlineStr">
        <is>
          <t>2024-06</t>
        </is>
      </c>
      <c r="F3703" s="6" t="n"/>
      <c r="G3703" s="6" t="inlineStr">
        <is>
          <t>EXPORTACAO</t>
        </is>
      </c>
      <c r="H3703" s="6" t="inlineStr">
        <is>
          <t>AUTO_OFERTA_TOTAL_PRODUTO_PERIODO</t>
        </is>
      </c>
      <c r="I3703" s="11">
        <f>IF($H3703="AUTO_OFERTA_TOTAL_PRODUTO_PERIODO",SUMIFS(Oferta!$F:$F,Oferta!$A:$A,$A3703,Oferta!$E:$E,$E3703),$F3703)</f>
        <v/>
      </c>
      <c r="J3703" s="6" t="inlineStr">
        <is>
          <t>Derivado_da_Oferta</t>
        </is>
      </c>
      <c r="K3703" s="6" t="inlineStr">
        <is>
          <t>Mercado externo: limite superior calculado automaticamente pela soma da oferta do produto no período.</t>
        </is>
      </c>
    </row>
    <row r="3704">
      <c r="A3704" s="6" t="inlineStr">
        <is>
          <t>Milho</t>
        </is>
      </c>
      <c r="B3704" s="6" t="inlineStr">
        <is>
          <t>Barcarena - PA</t>
        </is>
      </c>
      <c r="C3704" s="6" t="n">
        <v>-1.51187</v>
      </c>
      <c r="D3704" s="6" t="n">
        <v>-48.6195</v>
      </c>
      <c r="E3704" s="6" t="inlineStr">
        <is>
          <t>2024-07</t>
        </is>
      </c>
      <c r="F3704" s="6" t="n"/>
      <c r="G3704" s="6" t="inlineStr">
        <is>
          <t>EXPORTACAO</t>
        </is>
      </c>
      <c r="H3704" s="6" t="inlineStr">
        <is>
          <t>AUTO_OFERTA_TOTAL_PRODUTO_PERIODO</t>
        </is>
      </c>
      <c r="I3704" s="11">
        <f>IF($H3704="AUTO_OFERTA_TOTAL_PRODUTO_PERIODO",SUMIFS(Oferta!$F:$F,Oferta!$A:$A,$A3704,Oferta!$E:$E,$E3704),$F3704)</f>
        <v/>
      </c>
      <c r="J3704" s="6" t="inlineStr">
        <is>
          <t>Derivado_da_Oferta</t>
        </is>
      </c>
      <c r="K3704" s="6" t="inlineStr">
        <is>
          <t>Mercado externo: limite superior calculado automaticamente pela soma da oferta do produto no período.</t>
        </is>
      </c>
    </row>
    <row r="3705">
      <c r="A3705" s="6" t="inlineStr">
        <is>
          <t>Milho</t>
        </is>
      </c>
      <c r="B3705" s="6" t="inlineStr">
        <is>
          <t>Barcarena - PA</t>
        </is>
      </c>
      <c r="C3705" s="6" t="n">
        <v>-1.51187</v>
      </c>
      <c r="D3705" s="6" t="n">
        <v>-48.6195</v>
      </c>
      <c r="E3705" s="6" t="inlineStr">
        <is>
          <t>2024-08</t>
        </is>
      </c>
      <c r="F3705" s="6" t="n"/>
      <c r="G3705" s="6" t="inlineStr">
        <is>
          <t>EXPORTACAO</t>
        </is>
      </c>
      <c r="H3705" s="6" t="inlineStr">
        <is>
          <t>AUTO_OFERTA_TOTAL_PRODUTO_PERIODO</t>
        </is>
      </c>
      <c r="I3705" s="11">
        <f>IF($H3705="AUTO_OFERTA_TOTAL_PRODUTO_PERIODO",SUMIFS(Oferta!$F:$F,Oferta!$A:$A,$A3705,Oferta!$E:$E,$E3705),$F3705)</f>
        <v/>
      </c>
      <c r="J3705" s="6" t="inlineStr">
        <is>
          <t>Derivado_da_Oferta</t>
        </is>
      </c>
      <c r="K3705" s="6" t="inlineStr">
        <is>
          <t>Mercado externo: limite superior calculado automaticamente pela soma da oferta do produto no período.</t>
        </is>
      </c>
    </row>
    <row r="3706">
      <c r="A3706" s="6" t="inlineStr">
        <is>
          <t>Milho</t>
        </is>
      </c>
      <c r="B3706" s="6" t="inlineStr">
        <is>
          <t>Barcarena - PA</t>
        </is>
      </c>
      <c r="C3706" s="6" t="n">
        <v>-1.51187</v>
      </c>
      <c r="D3706" s="6" t="n">
        <v>-48.6195</v>
      </c>
      <c r="E3706" s="6" t="inlineStr">
        <is>
          <t>2024-09</t>
        </is>
      </c>
      <c r="F3706" s="6" t="n"/>
      <c r="G3706" s="6" t="inlineStr">
        <is>
          <t>EXPORTACAO</t>
        </is>
      </c>
      <c r="H3706" s="6" t="inlineStr">
        <is>
          <t>AUTO_OFERTA_TOTAL_PRODUTO_PERIODO</t>
        </is>
      </c>
      <c r="I3706" s="11">
        <f>IF($H3706="AUTO_OFERTA_TOTAL_PRODUTO_PERIODO",SUMIFS(Oferta!$F:$F,Oferta!$A:$A,$A3706,Oferta!$E:$E,$E3706),$F3706)</f>
        <v/>
      </c>
      <c r="J3706" s="6" t="inlineStr">
        <is>
          <t>Derivado_da_Oferta</t>
        </is>
      </c>
      <c r="K3706" s="6" t="inlineStr">
        <is>
          <t>Mercado externo: limite superior calculado automaticamente pela soma da oferta do produto no período.</t>
        </is>
      </c>
    </row>
    <row r="3707">
      <c r="A3707" s="6" t="inlineStr">
        <is>
          <t>Milho</t>
        </is>
      </c>
      <c r="B3707" s="6" t="inlineStr">
        <is>
          <t>Barcarena - PA</t>
        </is>
      </c>
      <c r="C3707" s="6" t="n">
        <v>-1.51187</v>
      </c>
      <c r="D3707" s="6" t="n">
        <v>-48.6195</v>
      </c>
      <c r="E3707" s="6" t="inlineStr">
        <is>
          <t>2024-10</t>
        </is>
      </c>
      <c r="F3707" s="6" t="n"/>
      <c r="G3707" s="6" t="inlineStr">
        <is>
          <t>EXPORTACAO</t>
        </is>
      </c>
      <c r="H3707" s="6" t="inlineStr">
        <is>
          <t>AUTO_OFERTA_TOTAL_PRODUTO_PERIODO</t>
        </is>
      </c>
      <c r="I3707" s="11">
        <f>IF($H3707="AUTO_OFERTA_TOTAL_PRODUTO_PERIODO",SUMIFS(Oferta!$F:$F,Oferta!$A:$A,$A3707,Oferta!$E:$E,$E3707),$F3707)</f>
        <v/>
      </c>
      <c r="J3707" s="6" t="inlineStr">
        <is>
          <t>Derivado_da_Oferta</t>
        </is>
      </c>
      <c r="K3707" s="6" t="inlineStr">
        <is>
          <t>Mercado externo: limite superior calculado automaticamente pela soma da oferta do produto no período.</t>
        </is>
      </c>
    </row>
    <row r="3708">
      <c r="A3708" s="6" t="inlineStr">
        <is>
          <t>Milho</t>
        </is>
      </c>
      <c r="B3708" s="6" t="inlineStr">
        <is>
          <t>Barcarena - PA</t>
        </is>
      </c>
      <c r="C3708" s="6" t="n">
        <v>-1.51187</v>
      </c>
      <c r="D3708" s="6" t="n">
        <v>-48.6195</v>
      </c>
      <c r="E3708" s="6" t="inlineStr">
        <is>
          <t>2024-11</t>
        </is>
      </c>
      <c r="F3708" s="6" t="n"/>
      <c r="G3708" s="6" t="inlineStr">
        <is>
          <t>EXPORTACAO</t>
        </is>
      </c>
      <c r="H3708" s="6" t="inlineStr">
        <is>
          <t>AUTO_OFERTA_TOTAL_PRODUTO_PERIODO</t>
        </is>
      </c>
      <c r="I3708" s="11">
        <f>IF($H3708="AUTO_OFERTA_TOTAL_PRODUTO_PERIODO",SUMIFS(Oferta!$F:$F,Oferta!$A:$A,$A3708,Oferta!$E:$E,$E3708),$F3708)</f>
        <v/>
      </c>
      <c r="J3708" s="6" t="inlineStr">
        <is>
          <t>Derivado_da_Oferta</t>
        </is>
      </c>
      <c r="K3708" s="6" t="inlineStr">
        <is>
          <t>Mercado externo: limite superior calculado automaticamente pela soma da oferta do produto no período.</t>
        </is>
      </c>
    </row>
    <row r="3709">
      <c r="A3709" s="6" t="inlineStr">
        <is>
          <t>Milho</t>
        </is>
      </c>
      <c r="B3709" s="6" t="inlineStr">
        <is>
          <t>Barcarena - PA</t>
        </is>
      </c>
      <c r="C3709" s="6" t="n">
        <v>-1.51187</v>
      </c>
      <c r="D3709" s="6" t="n">
        <v>-48.6195</v>
      </c>
      <c r="E3709" s="6" t="inlineStr">
        <is>
          <t>2024-12</t>
        </is>
      </c>
      <c r="F3709" s="6" t="n"/>
      <c r="G3709" s="6" t="inlineStr">
        <is>
          <t>EXPORTACAO</t>
        </is>
      </c>
      <c r="H3709" s="6" t="inlineStr">
        <is>
          <t>AUTO_OFERTA_TOTAL_PRODUTO_PERIODO</t>
        </is>
      </c>
      <c r="I3709" s="11">
        <f>IF($H3709="AUTO_OFERTA_TOTAL_PRODUTO_PERIODO",SUMIFS(Oferta!$F:$F,Oferta!$A:$A,$A3709,Oferta!$E:$E,$E3709),$F3709)</f>
        <v/>
      </c>
      <c r="J3709" s="6" t="inlineStr">
        <is>
          <t>Derivado_da_Oferta</t>
        </is>
      </c>
      <c r="K3709" s="6" t="inlineStr">
        <is>
          <t>Mercado externo: limite superior calculado automaticamente pela soma da oferta do produto no período.</t>
        </is>
      </c>
    </row>
    <row r="3710">
      <c r="A3710" s="6" t="inlineStr">
        <is>
          <t>Milho</t>
        </is>
      </c>
      <c r="B3710" s="6" t="inlineStr">
        <is>
          <t>Barcarena - PA</t>
        </is>
      </c>
      <c r="C3710" s="6" t="n">
        <v>-1.51187</v>
      </c>
      <c r="D3710" s="6" t="n">
        <v>-48.6195</v>
      </c>
      <c r="E3710" s="6" t="inlineStr">
        <is>
          <t>2025-01</t>
        </is>
      </c>
      <c r="F3710" s="6" t="n"/>
      <c r="G3710" s="6" t="inlineStr">
        <is>
          <t>EXPORTACAO</t>
        </is>
      </c>
      <c r="H3710" s="6" t="inlineStr">
        <is>
          <t>AUTO_OFERTA_TOTAL_PRODUTO_PERIODO</t>
        </is>
      </c>
      <c r="I3710" s="11">
        <f>IF($H3710="AUTO_OFERTA_TOTAL_PRODUTO_PERIODO",SUMIFS(Oferta!$F:$F,Oferta!$A:$A,$A3710,Oferta!$E:$E,$E3710),$F3710)</f>
        <v/>
      </c>
      <c r="J3710" s="6" t="inlineStr">
        <is>
          <t>Derivado_da_Oferta</t>
        </is>
      </c>
      <c r="K3710" s="6" t="inlineStr">
        <is>
          <t>Mercado externo: limite superior calculado automaticamente pela soma da oferta do produto no período.</t>
        </is>
      </c>
    </row>
    <row r="3711">
      <c r="A3711" s="6" t="inlineStr">
        <is>
          <t>Milho</t>
        </is>
      </c>
      <c r="B3711" s="6" t="inlineStr">
        <is>
          <t>Barcarena - PA</t>
        </is>
      </c>
      <c r="C3711" s="6" t="n">
        <v>-1.51187</v>
      </c>
      <c r="D3711" s="6" t="n">
        <v>-48.6195</v>
      </c>
      <c r="E3711" s="6" t="inlineStr">
        <is>
          <t>2025-02</t>
        </is>
      </c>
      <c r="F3711" s="6" t="n"/>
      <c r="G3711" s="6" t="inlineStr">
        <is>
          <t>EXPORTACAO</t>
        </is>
      </c>
      <c r="H3711" s="6" t="inlineStr">
        <is>
          <t>AUTO_OFERTA_TOTAL_PRODUTO_PERIODO</t>
        </is>
      </c>
      <c r="I3711" s="11">
        <f>IF($H3711="AUTO_OFERTA_TOTAL_PRODUTO_PERIODO",SUMIFS(Oferta!$F:$F,Oferta!$A:$A,$A3711,Oferta!$E:$E,$E3711),$F3711)</f>
        <v/>
      </c>
      <c r="J3711" s="6" t="inlineStr">
        <is>
          <t>Derivado_da_Oferta</t>
        </is>
      </c>
      <c r="K3711" s="6" t="inlineStr">
        <is>
          <t>Mercado externo: limite superior calculado automaticamente pela soma da oferta do produto no período.</t>
        </is>
      </c>
    </row>
    <row r="3712">
      <c r="A3712" s="6" t="inlineStr">
        <is>
          <t>Milho</t>
        </is>
      </c>
      <c r="B3712" s="6" t="inlineStr">
        <is>
          <t>Barcarena - PA</t>
        </is>
      </c>
      <c r="C3712" s="6" t="n">
        <v>-1.51187</v>
      </c>
      <c r="D3712" s="6" t="n">
        <v>-48.6195</v>
      </c>
      <c r="E3712" s="6" t="inlineStr">
        <is>
          <t>2025-03</t>
        </is>
      </c>
      <c r="F3712" s="6" t="n"/>
      <c r="G3712" s="6" t="inlineStr">
        <is>
          <t>EXPORTACAO</t>
        </is>
      </c>
      <c r="H3712" s="6" t="inlineStr">
        <is>
          <t>AUTO_OFERTA_TOTAL_PRODUTO_PERIODO</t>
        </is>
      </c>
      <c r="I3712" s="11">
        <f>IF($H3712="AUTO_OFERTA_TOTAL_PRODUTO_PERIODO",SUMIFS(Oferta!$F:$F,Oferta!$A:$A,$A3712,Oferta!$E:$E,$E3712),$F3712)</f>
        <v/>
      </c>
      <c r="J3712" s="6" t="inlineStr">
        <is>
          <t>Derivado_da_Oferta</t>
        </is>
      </c>
      <c r="K3712" s="6" t="inlineStr">
        <is>
          <t>Mercado externo: limite superior calculado automaticamente pela soma da oferta do produto no período.</t>
        </is>
      </c>
    </row>
    <row r="3713">
      <c r="A3713" s="6" t="inlineStr">
        <is>
          <t>Milho</t>
        </is>
      </c>
      <c r="B3713" s="6" t="inlineStr">
        <is>
          <t>Barcarena - PA</t>
        </is>
      </c>
      <c r="C3713" s="6" t="n">
        <v>-1.51187</v>
      </c>
      <c r="D3713" s="6" t="n">
        <v>-48.6195</v>
      </c>
      <c r="E3713" s="6" t="inlineStr">
        <is>
          <t>2025-04</t>
        </is>
      </c>
      <c r="F3713" s="6" t="n"/>
      <c r="G3713" s="6" t="inlineStr">
        <is>
          <t>EXPORTACAO</t>
        </is>
      </c>
      <c r="H3713" s="6" t="inlineStr">
        <is>
          <t>AUTO_OFERTA_TOTAL_PRODUTO_PERIODO</t>
        </is>
      </c>
      <c r="I3713" s="11">
        <f>IF($H3713="AUTO_OFERTA_TOTAL_PRODUTO_PERIODO",SUMIFS(Oferta!$F:$F,Oferta!$A:$A,$A3713,Oferta!$E:$E,$E3713),$F3713)</f>
        <v/>
      </c>
      <c r="J3713" s="6" t="inlineStr">
        <is>
          <t>Derivado_da_Oferta</t>
        </is>
      </c>
      <c r="K3713" s="6" t="inlineStr">
        <is>
          <t>Mercado externo: limite superior calculado automaticamente pela soma da oferta do produto no período.</t>
        </is>
      </c>
    </row>
    <row r="3714">
      <c r="A3714" s="6" t="inlineStr">
        <is>
          <t>Milho</t>
        </is>
      </c>
      <c r="B3714" s="6" t="inlineStr">
        <is>
          <t>Barcarena - PA</t>
        </is>
      </c>
      <c r="C3714" s="6" t="n">
        <v>-1.51187</v>
      </c>
      <c r="D3714" s="6" t="n">
        <v>-48.6195</v>
      </c>
      <c r="E3714" s="6" t="inlineStr">
        <is>
          <t>2025-05</t>
        </is>
      </c>
      <c r="F3714" s="6" t="n"/>
      <c r="G3714" s="6" t="inlineStr">
        <is>
          <t>EXPORTACAO</t>
        </is>
      </c>
      <c r="H3714" s="6" t="inlineStr">
        <is>
          <t>AUTO_OFERTA_TOTAL_PRODUTO_PERIODO</t>
        </is>
      </c>
      <c r="I3714" s="11">
        <f>IF($H3714="AUTO_OFERTA_TOTAL_PRODUTO_PERIODO",SUMIFS(Oferta!$F:$F,Oferta!$A:$A,$A3714,Oferta!$E:$E,$E3714),$F3714)</f>
        <v/>
      </c>
      <c r="J3714" s="6" t="inlineStr">
        <is>
          <t>Derivado_da_Oferta</t>
        </is>
      </c>
      <c r="K3714" s="6" t="inlineStr">
        <is>
          <t>Mercado externo: limite superior calculado automaticamente pela soma da oferta do produto no período.</t>
        </is>
      </c>
    </row>
    <row r="3715">
      <c r="A3715" s="6" t="inlineStr">
        <is>
          <t>Milho</t>
        </is>
      </c>
      <c r="B3715" s="6" t="inlineStr">
        <is>
          <t>Barcarena - PA</t>
        </is>
      </c>
      <c r="C3715" s="6" t="n">
        <v>-1.51187</v>
      </c>
      <c r="D3715" s="6" t="n">
        <v>-48.6195</v>
      </c>
      <c r="E3715" s="6" t="inlineStr">
        <is>
          <t>2025-06</t>
        </is>
      </c>
      <c r="F3715" s="6" t="n"/>
      <c r="G3715" s="6" t="inlineStr">
        <is>
          <t>EXPORTACAO</t>
        </is>
      </c>
      <c r="H3715" s="6" t="inlineStr">
        <is>
          <t>AUTO_OFERTA_TOTAL_PRODUTO_PERIODO</t>
        </is>
      </c>
      <c r="I3715" s="11">
        <f>IF($H3715="AUTO_OFERTA_TOTAL_PRODUTO_PERIODO",SUMIFS(Oferta!$F:$F,Oferta!$A:$A,$A3715,Oferta!$E:$E,$E3715),$F3715)</f>
        <v/>
      </c>
      <c r="J3715" s="6" t="inlineStr">
        <is>
          <t>Derivado_da_Oferta</t>
        </is>
      </c>
      <c r="K3715" s="6" t="inlineStr">
        <is>
          <t>Mercado externo: limite superior calculado automaticamente pela soma da oferta do produto no período.</t>
        </is>
      </c>
    </row>
    <row r="3716">
      <c r="A3716" s="6" t="inlineStr">
        <is>
          <t>Milho</t>
        </is>
      </c>
      <c r="B3716" s="6" t="inlineStr">
        <is>
          <t>Barcarena - PA</t>
        </is>
      </c>
      <c r="C3716" s="6" t="n">
        <v>-1.51187</v>
      </c>
      <c r="D3716" s="6" t="n">
        <v>-48.6195</v>
      </c>
      <c r="E3716" s="6" t="inlineStr">
        <is>
          <t>2025-07</t>
        </is>
      </c>
      <c r="F3716" s="6" t="n"/>
      <c r="G3716" s="6" t="inlineStr">
        <is>
          <t>EXPORTACAO</t>
        </is>
      </c>
      <c r="H3716" s="6" t="inlineStr">
        <is>
          <t>AUTO_OFERTA_TOTAL_PRODUTO_PERIODO</t>
        </is>
      </c>
      <c r="I3716" s="11">
        <f>IF($H3716="AUTO_OFERTA_TOTAL_PRODUTO_PERIODO",SUMIFS(Oferta!$F:$F,Oferta!$A:$A,$A3716,Oferta!$E:$E,$E3716),$F3716)</f>
        <v/>
      </c>
      <c r="J3716" s="6" t="inlineStr">
        <is>
          <t>Derivado_da_Oferta</t>
        </is>
      </c>
      <c r="K3716" s="6" t="inlineStr">
        <is>
          <t>Mercado externo: limite superior calculado automaticamente pela soma da oferta do produto no período.</t>
        </is>
      </c>
    </row>
    <row r="3717">
      <c r="A3717" s="6" t="inlineStr">
        <is>
          <t>Milho</t>
        </is>
      </c>
      <c r="B3717" s="6" t="inlineStr">
        <is>
          <t>Barcarena - PA</t>
        </is>
      </c>
      <c r="C3717" s="6" t="n">
        <v>-1.51187</v>
      </c>
      <c r="D3717" s="6" t="n">
        <v>-48.6195</v>
      </c>
      <c r="E3717" s="6" t="inlineStr">
        <is>
          <t>2025-08</t>
        </is>
      </c>
      <c r="F3717" s="6" t="n"/>
      <c r="G3717" s="6" t="inlineStr">
        <is>
          <t>EXPORTACAO</t>
        </is>
      </c>
      <c r="H3717" s="6" t="inlineStr">
        <is>
          <t>AUTO_OFERTA_TOTAL_PRODUTO_PERIODO</t>
        </is>
      </c>
      <c r="I3717" s="11">
        <f>IF($H3717="AUTO_OFERTA_TOTAL_PRODUTO_PERIODO",SUMIFS(Oferta!$F:$F,Oferta!$A:$A,$A3717,Oferta!$E:$E,$E3717),$F3717)</f>
        <v/>
      </c>
      <c r="J3717" s="6" t="inlineStr">
        <is>
          <t>Derivado_da_Oferta</t>
        </is>
      </c>
      <c r="K3717" s="6" t="inlineStr">
        <is>
          <t>Mercado externo: limite superior calculado automaticamente pela soma da oferta do produto no período.</t>
        </is>
      </c>
    </row>
    <row r="3718">
      <c r="A3718" s="6" t="inlineStr">
        <is>
          <t>Milho</t>
        </is>
      </c>
      <c r="B3718" s="6" t="inlineStr">
        <is>
          <t>Barcarena - PA</t>
        </is>
      </c>
      <c r="C3718" s="6" t="n">
        <v>-1.51187</v>
      </c>
      <c r="D3718" s="6" t="n">
        <v>-48.6195</v>
      </c>
      <c r="E3718" s="6" t="inlineStr">
        <is>
          <t>2025-09</t>
        </is>
      </c>
      <c r="F3718" s="6" t="n"/>
      <c r="G3718" s="6" t="inlineStr">
        <is>
          <t>EXPORTACAO</t>
        </is>
      </c>
      <c r="H3718" s="6" t="inlineStr">
        <is>
          <t>AUTO_OFERTA_TOTAL_PRODUTO_PERIODO</t>
        </is>
      </c>
      <c r="I3718" s="11">
        <f>IF($H3718="AUTO_OFERTA_TOTAL_PRODUTO_PERIODO",SUMIFS(Oferta!$F:$F,Oferta!$A:$A,$A3718,Oferta!$E:$E,$E3718),$F3718)</f>
        <v/>
      </c>
      <c r="J3718" s="6" t="inlineStr">
        <is>
          <t>Derivado_da_Oferta</t>
        </is>
      </c>
      <c r="K3718" s="6" t="inlineStr">
        <is>
          <t>Mercado externo: limite superior calculado automaticamente pela soma da oferta do produto no período.</t>
        </is>
      </c>
    </row>
    <row r="3719">
      <c r="A3719" s="6" t="inlineStr">
        <is>
          <t>Milho</t>
        </is>
      </c>
      <c r="B3719" s="6" t="inlineStr">
        <is>
          <t>Barcarena - PA</t>
        </is>
      </c>
      <c r="C3719" s="6" t="n">
        <v>-1.51187</v>
      </c>
      <c r="D3719" s="6" t="n">
        <v>-48.6195</v>
      </c>
      <c r="E3719" s="6" t="inlineStr">
        <is>
          <t>2025-10</t>
        </is>
      </c>
      <c r="F3719" s="6" t="n"/>
      <c r="G3719" s="6" t="inlineStr">
        <is>
          <t>EXPORTACAO</t>
        </is>
      </c>
      <c r="H3719" s="6" t="inlineStr">
        <is>
          <t>AUTO_OFERTA_TOTAL_PRODUTO_PERIODO</t>
        </is>
      </c>
      <c r="I3719" s="11">
        <f>IF($H3719="AUTO_OFERTA_TOTAL_PRODUTO_PERIODO",SUMIFS(Oferta!$F:$F,Oferta!$A:$A,$A3719,Oferta!$E:$E,$E3719),$F3719)</f>
        <v/>
      </c>
      <c r="J3719" s="6" t="inlineStr">
        <is>
          <t>Derivado_da_Oferta</t>
        </is>
      </c>
      <c r="K3719" s="6" t="inlineStr">
        <is>
          <t>Mercado externo: limite superior calculado automaticamente pela soma da oferta do produto no período.</t>
        </is>
      </c>
    </row>
    <row r="3720">
      <c r="A3720" s="6" t="inlineStr">
        <is>
          <t>Milho</t>
        </is>
      </c>
      <c r="B3720" s="6" t="inlineStr">
        <is>
          <t>Barcarena - PA</t>
        </is>
      </c>
      <c r="C3720" s="6" t="n">
        <v>-1.51187</v>
      </c>
      <c r="D3720" s="6" t="n">
        <v>-48.6195</v>
      </c>
      <c r="E3720" s="6" t="inlineStr">
        <is>
          <t>2025-11</t>
        </is>
      </c>
      <c r="F3720" s="6" t="n"/>
      <c r="G3720" s="6" t="inlineStr">
        <is>
          <t>EXPORTACAO</t>
        </is>
      </c>
      <c r="H3720" s="6" t="inlineStr">
        <is>
          <t>AUTO_OFERTA_TOTAL_PRODUTO_PERIODO</t>
        </is>
      </c>
      <c r="I3720" s="11">
        <f>IF($H3720="AUTO_OFERTA_TOTAL_PRODUTO_PERIODO",SUMIFS(Oferta!$F:$F,Oferta!$A:$A,$A3720,Oferta!$E:$E,$E3720),$F3720)</f>
        <v/>
      </c>
      <c r="J3720" s="6" t="inlineStr">
        <is>
          <t>Derivado_da_Oferta</t>
        </is>
      </c>
      <c r="K3720" s="6" t="inlineStr">
        <is>
          <t>Mercado externo: limite superior calculado automaticamente pela soma da oferta do produto no período.</t>
        </is>
      </c>
    </row>
    <row r="3721">
      <c r="A3721" s="6" t="inlineStr">
        <is>
          <t>Milho</t>
        </is>
      </c>
      <c r="B3721" s="6" t="inlineStr">
        <is>
          <t>Barcarena - PA</t>
        </is>
      </c>
      <c r="C3721" s="6" t="n">
        <v>-1.51187</v>
      </c>
      <c r="D3721" s="6" t="n">
        <v>-48.6195</v>
      </c>
      <c r="E3721" s="6" t="inlineStr">
        <is>
          <t>2025-12</t>
        </is>
      </c>
      <c r="F3721" s="6" t="n"/>
      <c r="G3721" s="6" t="inlineStr">
        <is>
          <t>EXPORTACAO</t>
        </is>
      </c>
      <c r="H3721" s="6" t="inlineStr">
        <is>
          <t>AUTO_OFERTA_TOTAL_PRODUTO_PERIODO</t>
        </is>
      </c>
      <c r="I3721" s="11">
        <f>IF($H3721="AUTO_OFERTA_TOTAL_PRODUTO_PERIODO",SUMIFS(Oferta!$F:$F,Oferta!$A:$A,$A3721,Oferta!$E:$E,$E3721),$F3721)</f>
        <v/>
      </c>
      <c r="J3721" s="6" t="inlineStr">
        <is>
          <t>Derivado_da_Oferta</t>
        </is>
      </c>
      <c r="K3721" s="6" t="inlineStr">
        <is>
          <t>Mercado externo: limite superior calculado automaticamente pela soma da oferta do produto no período.</t>
        </is>
      </c>
    </row>
    <row r="3722">
      <c r="A3722" s="6" t="inlineStr">
        <is>
          <t>Milho</t>
        </is>
      </c>
      <c r="B3722" s="6" t="inlineStr">
        <is>
          <t>Santarém - PA</t>
        </is>
      </c>
      <c r="C3722" s="6" t="n">
        <v>-2.43849</v>
      </c>
      <c r="D3722" s="6" t="n">
        <v>-54.6996</v>
      </c>
      <c r="E3722" s="6" t="inlineStr">
        <is>
          <t>2021-01</t>
        </is>
      </c>
      <c r="F3722" s="6" t="n"/>
      <c r="G3722" s="6" t="inlineStr">
        <is>
          <t>EXPORTACAO</t>
        </is>
      </c>
      <c r="H3722" s="6" t="inlineStr">
        <is>
          <t>AUTO_OFERTA_TOTAL_PRODUTO_PERIODO</t>
        </is>
      </c>
      <c r="I3722" s="11">
        <f>IF($H3722="AUTO_OFERTA_TOTAL_PRODUTO_PERIODO",SUMIFS(Oferta!$F:$F,Oferta!$A:$A,$A3722,Oferta!$E:$E,$E3722),$F3722)</f>
        <v/>
      </c>
      <c r="J3722" s="6" t="inlineStr">
        <is>
          <t>Derivado_da_Oferta</t>
        </is>
      </c>
      <c r="K3722" s="6" t="inlineStr">
        <is>
          <t>Mercado externo: limite superior calculado automaticamente pela soma da oferta do produto no período.</t>
        </is>
      </c>
    </row>
    <row r="3723">
      <c r="A3723" s="6" t="inlineStr">
        <is>
          <t>Milho</t>
        </is>
      </c>
      <c r="B3723" s="6" t="inlineStr">
        <is>
          <t>Santarém - PA</t>
        </is>
      </c>
      <c r="C3723" s="6" t="n">
        <v>-2.43849</v>
      </c>
      <c r="D3723" s="6" t="n">
        <v>-54.6996</v>
      </c>
      <c r="E3723" s="6" t="inlineStr">
        <is>
          <t>2021-02</t>
        </is>
      </c>
      <c r="F3723" s="6" t="n"/>
      <c r="G3723" s="6" t="inlineStr">
        <is>
          <t>EXPORTACAO</t>
        </is>
      </c>
      <c r="H3723" s="6" t="inlineStr">
        <is>
          <t>AUTO_OFERTA_TOTAL_PRODUTO_PERIODO</t>
        </is>
      </c>
      <c r="I3723" s="11">
        <f>IF($H3723="AUTO_OFERTA_TOTAL_PRODUTO_PERIODO",SUMIFS(Oferta!$F:$F,Oferta!$A:$A,$A3723,Oferta!$E:$E,$E3723),$F3723)</f>
        <v/>
      </c>
      <c r="J3723" s="6" t="inlineStr">
        <is>
          <t>Derivado_da_Oferta</t>
        </is>
      </c>
      <c r="K3723" s="6" t="inlineStr">
        <is>
          <t>Mercado externo: limite superior calculado automaticamente pela soma da oferta do produto no período.</t>
        </is>
      </c>
    </row>
    <row r="3724">
      <c r="A3724" s="6" t="inlineStr">
        <is>
          <t>Milho</t>
        </is>
      </c>
      <c r="B3724" s="6" t="inlineStr">
        <is>
          <t>Santarém - PA</t>
        </is>
      </c>
      <c r="C3724" s="6" t="n">
        <v>-2.43849</v>
      </c>
      <c r="D3724" s="6" t="n">
        <v>-54.6996</v>
      </c>
      <c r="E3724" s="6" t="inlineStr">
        <is>
          <t>2021-03</t>
        </is>
      </c>
      <c r="F3724" s="6" t="n"/>
      <c r="G3724" s="6" t="inlineStr">
        <is>
          <t>EXPORTACAO</t>
        </is>
      </c>
      <c r="H3724" s="6" t="inlineStr">
        <is>
          <t>AUTO_OFERTA_TOTAL_PRODUTO_PERIODO</t>
        </is>
      </c>
      <c r="I3724" s="11">
        <f>IF($H3724="AUTO_OFERTA_TOTAL_PRODUTO_PERIODO",SUMIFS(Oferta!$F:$F,Oferta!$A:$A,$A3724,Oferta!$E:$E,$E3724),$F3724)</f>
        <v/>
      </c>
      <c r="J3724" s="6" t="inlineStr">
        <is>
          <t>Derivado_da_Oferta</t>
        </is>
      </c>
      <c r="K3724" s="6" t="inlineStr">
        <is>
          <t>Mercado externo: limite superior calculado automaticamente pela soma da oferta do produto no período.</t>
        </is>
      </c>
    </row>
    <row r="3725">
      <c r="A3725" s="6" t="inlineStr">
        <is>
          <t>Milho</t>
        </is>
      </c>
      <c r="B3725" s="6" t="inlineStr">
        <is>
          <t>Santarém - PA</t>
        </is>
      </c>
      <c r="C3725" s="6" t="n">
        <v>-2.43849</v>
      </c>
      <c r="D3725" s="6" t="n">
        <v>-54.6996</v>
      </c>
      <c r="E3725" s="6" t="inlineStr">
        <is>
          <t>2021-04</t>
        </is>
      </c>
      <c r="F3725" s="6" t="n"/>
      <c r="G3725" s="6" t="inlineStr">
        <is>
          <t>EXPORTACAO</t>
        </is>
      </c>
      <c r="H3725" s="6" t="inlineStr">
        <is>
          <t>AUTO_OFERTA_TOTAL_PRODUTO_PERIODO</t>
        </is>
      </c>
      <c r="I3725" s="11">
        <f>IF($H3725="AUTO_OFERTA_TOTAL_PRODUTO_PERIODO",SUMIFS(Oferta!$F:$F,Oferta!$A:$A,$A3725,Oferta!$E:$E,$E3725),$F3725)</f>
        <v/>
      </c>
      <c r="J3725" s="6" t="inlineStr">
        <is>
          <t>Derivado_da_Oferta</t>
        </is>
      </c>
      <c r="K3725" s="6" t="inlineStr">
        <is>
          <t>Mercado externo: limite superior calculado automaticamente pela soma da oferta do produto no período.</t>
        </is>
      </c>
    </row>
    <row r="3726">
      <c r="A3726" s="6" t="inlineStr">
        <is>
          <t>Milho</t>
        </is>
      </c>
      <c r="B3726" s="6" t="inlineStr">
        <is>
          <t>Santarém - PA</t>
        </is>
      </c>
      <c r="C3726" s="6" t="n">
        <v>-2.43849</v>
      </c>
      <c r="D3726" s="6" t="n">
        <v>-54.6996</v>
      </c>
      <c r="E3726" s="6" t="inlineStr">
        <is>
          <t>2021-05</t>
        </is>
      </c>
      <c r="F3726" s="6" t="n"/>
      <c r="G3726" s="6" t="inlineStr">
        <is>
          <t>EXPORTACAO</t>
        </is>
      </c>
      <c r="H3726" s="6" t="inlineStr">
        <is>
          <t>AUTO_OFERTA_TOTAL_PRODUTO_PERIODO</t>
        </is>
      </c>
      <c r="I3726" s="11">
        <f>IF($H3726="AUTO_OFERTA_TOTAL_PRODUTO_PERIODO",SUMIFS(Oferta!$F:$F,Oferta!$A:$A,$A3726,Oferta!$E:$E,$E3726),$F3726)</f>
        <v/>
      </c>
      <c r="J3726" s="6" t="inlineStr">
        <is>
          <t>Derivado_da_Oferta</t>
        </is>
      </c>
      <c r="K3726" s="6" t="inlineStr">
        <is>
          <t>Mercado externo: limite superior calculado automaticamente pela soma da oferta do produto no período.</t>
        </is>
      </c>
    </row>
    <row r="3727">
      <c r="A3727" s="6" t="inlineStr">
        <is>
          <t>Milho</t>
        </is>
      </c>
      <c r="B3727" s="6" t="inlineStr">
        <is>
          <t>Santarém - PA</t>
        </is>
      </c>
      <c r="C3727" s="6" t="n">
        <v>-2.43849</v>
      </c>
      <c r="D3727" s="6" t="n">
        <v>-54.6996</v>
      </c>
      <c r="E3727" s="6" t="inlineStr">
        <is>
          <t>2021-06</t>
        </is>
      </c>
      <c r="F3727" s="6" t="n"/>
      <c r="G3727" s="6" t="inlineStr">
        <is>
          <t>EXPORTACAO</t>
        </is>
      </c>
      <c r="H3727" s="6" t="inlineStr">
        <is>
          <t>AUTO_OFERTA_TOTAL_PRODUTO_PERIODO</t>
        </is>
      </c>
      <c r="I3727" s="11">
        <f>IF($H3727="AUTO_OFERTA_TOTAL_PRODUTO_PERIODO",SUMIFS(Oferta!$F:$F,Oferta!$A:$A,$A3727,Oferta!$E:$E,$E3727),$F3727)</f>
        <v/>
      </c>
      <c r="J3727" s="6" t="inlineStr">
        <is>
          <t>Derivado_da_Oferta</t>
        </is>
      </c>
      <c r="K3727" s="6" t="inlineStr">
        <is>
          <t>Mercado externo: limite superior calculado automaticamente pela soma da oferta do produto no período.</t>
        </is>
      </c>
    </row>
    <row r="3728">
      <c r="A3728" s="6" t="inlineStr">
        <is>
          <t>Milho</t>
        </is>
      </c>
      <c r="B3728" s="6" t="inlineStr">
        <is>
          <t>Santarém - PA</t>
        </is>
      </c>
      <c r="C3728" s="6" t="n">
        <v>-2.43849</v>
      </c>
      <c r="D3728" s="6" t="n">
        <v>-54.6996</v>
      </c>
      <c r="E3728" s="6" t="inlineStr">
        <is>
          <t>2021-07</t>
        </is>
      </c>
      <c r="F3728" s="6" t="n"/>
      <c r="G3728" s="6" t="inlineStr">
        <is>
          <t>EXPORTACAO</t>
        </is>
      </c>
      <c r="H3728" s="6" t="inlineStr">
        <is>
          <t>AUTO_OFERTA_TOTAL_PRODUTO_PERIODO</t>
        </is>
      </c>
      <c r="I3728" s="11">
        <f>IF($H3728="AUTO_OFERTA_TOTAL_PRODUTO_PERIODO",SUMIFS(Oferta!$F:$F,Oferta!$A:$A,$A3728,Oferta!$E:$E,$E3728),$F3728)</f>
        <v/>
      </c>
      <c r="J3728" s="6" t="inlineStr">
        <is>
          <t>Derivado_da_Oferta</t>
        </is>
      </c>
      <c r="K3728" s="6" t="inlineStr">
        <is>
          <t>Mercado externo: limite superior calculado automaticamente pela soma da oferta do produto no período.</t>
        </is>
      </c>
    </row>
    <row r="3729">
      <c r="A3729" s="6" t="inlineStr">
        <is>
          <t>Milho</t>
        </is>
      </c>
      <c r="B3729" s="6" t="inlineStr">
        <is>
          <t>Santarém - PA</t>
        </is>
      </c>
      <c r="C3729" s="6" t="n">
        <v>-2.43849</v>
      </c>
      <c r="D3729" s="6" t="n">
        <v>-54.6996</v>
      </c>
      <c r="E3729" s="6" t="inlineStr">
        <is>
          <t>2021-08</t>
        </is>
      </c>
      <c r="F3729" s="6" t="n"/>
      <c r="G3729" s="6" t="inlineStr">
        <is>
          <t>EXPORTACAO</t>
        </is>
      </c>
      <c r="H3729" s="6" t="inlineStr">
        <is>
          <t>AUTO_OFERTA_TOTAL_PRODUTO_PERIODO</t>
        </is>
      </c>
      <c r="I3729" s="11">
        <f>IF($H3729="AUTO_OFERTA_TOTAL_PRODUTO_PERIODO",SUMIFS(Oferta!$F:$F,Oferta!$A:$A,$A3729,Oferta!$E:$E,$E3729),$F3729)</f>
        <v/>
      </c>
      <c r="J3729" s="6" t="inlineStr">
        <is>
          <t>Derivado_da_Oferta</t>
        </is>
      </c>
      <c r="K3729" s="6" t="inlineStr">
        <is>
          <t>Mercado externo: limite superior calculado automaticamente pela soma da oferta do produto no período.</t>
        </is>
      </c>
    </row>
    <row r="3730">
      <c r="A3730" s="6" t="inlineStr">
        <is>
          <t>Milho</t>
        </is>
      </c>
      <c r="B3730" s="6" t="inlineStr">
        <is>
          <t>Santarém - PA</t>
        </is>
      </c>
      <c r="C3730" s="6" t="n">
        <v>-2.43849</v>
      </c>
      <c r="D3730" s="6" t="n">
        <v>-54.6996</v>
      </c>
      <c r="E3730" s="6" t="inlineStr">
        <is>
          <t>2021-09</t>
        </is>
      </c>
      <c r="F3730" s="6" t="n"/>
      <c r="G3730" s="6" t="inlineStr">
        <is>
          <t>EXPORTACAO</t>
        </is>
      </c>
      <c r="H3730" s="6" t="inlineStr">
        <is>
          <t>AUTO_OFERTA_TOTAL_PRODUTO_PERIODO</t>
        </is>
      </c>
      <c r="I3730" s="11">
        <f>IF($H3730="AUTO_OFERTA_TOTAL_PRODUTO_PERIODO",SUMIFS(Oferta!$F:$F,Oferta!$A:$A,$A3730,Oferta!$E:$E,$E3730),$F3730)</f>
        <v/>
      </c>
      <c r="J3730" s="6" t="inlineStr">
        <is>
          <t>Derivado_da_Oferta</t>
        </is>
      </c>
      <c r="K3730" s="6" t="inlineStr">
        <is>
          <t>Mercado externo: limite superior calculado automaticamente pela soma da oferta do produto no período.</t>
        </is>
      </c>
    </row>
    <row r="3731">
      <c r="A3731" s="6" t="inlineStr">
        <is>
          <t>Milho</t>
        </is>
      </c>
      <c r="B3731" s="6" t="inlineStr">
        <is>
          <t>Santarém - PA</t>
        </is>
      </c>
      <c r="C3731" s="6" t="n">
        <v>-2.43849</v>
      </c>
      <c r="D3731" s="6" t="n">
        <v>-54.6996</v>
      </c>
      <c r="E3731" s="6" t="inlineStr">
        <is>
          <t>2021-10</t>
        </is>
      </c>
      <c r="F3731" s="6" t="n"/>
      <c r="G3731" s="6" t="inlineStr">
        <is>
          <t>EXPORTACAO</t>
        </is>
      </c>
      <c r="H3731" s="6" t="inlineStr">
        <is>
          <t>AUTO_OFERTA_TOTAL_PRODUTO_PERIODO</t>
        </is>
      </c>
      <c r="I3731" s="11">
        <f>IF($H3731="AUTO_OFERTA_TOTAL_PRODUTO_PERIODO",SUMIFS(Oferta!$F:$F,Oferta!$A:$A,$A3731,Oferta!$E:$E,$E3731),$F3731)</f>
        <v/>
      </c>
      <c r="J3731" s="6" t="inlineStr">
        <is>
          <t>Derivado_da_Oferta</t>
        </is>
      </c>
      <c r="K3731" s="6" t="inlineStr">
        <is>
          <t>Mercado externo: limite superior calculado automaticamente pela soma da oferta do produto no período.</t>
        </is>
      </c>
    </row>
    <row r="3732">
      <c r="A3732" s="6" t="inlineStr">
        <is>
          <t>Milho</t>
        </is>
      </c>
      <c r="B3732" s="6" t="inlineStr">
        <is>
          <t>Santarém - PA</t>
        </is>
      </c>
      <c r="C3732" s="6" t="n">
        <v>-2.43849</v>
      </c>
      <c r="D3732" s="6" t="n">
        <v>-54.6996</v>
      </c>
      <c r="E3732" s="6" t="inlineStr">
        <is>
          <t>2021-11</t>
        </is>
      </c>
      <c r="F3732" s="6" t="n"/>
      <c r="G3732" s="6" t="inlineStr">
        <is>
          <t>EXPORTACAO</t>
        </is>
      </c>
      <c r="H3732" s="6" t="inlineStr">
        <is>
          <t>AUTO_OFERTA_TOTAL_PRODUTO_PERIODO</t>
        </is>
      </c>
      <c r="I3732" s="11">
        <f>IF($H3732="AUTO_OFERTA_TOTAL_PRODUTO_PERIODO",SUMIFS(Oferta!$F:$F,Oferta!$A:$A,$A3732,Oferta!$E:$E,$E3732),$F3732)</f>
        <v/>
      </c>
      <c r="J3732" s="6" t="inlineStr">
        <is>
          <t>Derivado_da_Oferta</t>
        </is>
      </c>
      <c r="K3732" s="6" t="inlineStr">
        <is>
          <t>Mercado externo: limite superior calculado automaticamente pela soma da oferta do produto no período.</t>
        </is>
      </c>
    </row>
    <row r="3733">
      <c r="A3733" s="6" t="inlineStr">
        <is>
          <t>Milho</t>
        </is>
      </c>
      <c r="B3733" s="6" t="inlineStr">
        <is>
          <t>Santarém - PA</t>
        </is>
      </c>
      <c r="C3733" s="6" t="n">
        <v>-2.43849</v>
      </c>
      <c r="D3733" s="6" t="n">
        <v>-54.6996</v>
      </c>
      <c r="E3733" s="6" t="inlineStr">
        <is>
          <t>2021-12</t>
        </is>
      </c>
      <c r="F3733" s="6" t="n"/>
      <c r="G3733" s="6" t="inlineStr">
        <is>
          <t>EXPORTACAO</t>
        </is>
      </c>
      <c r="H3733" s="6" t="inlineStr">
        <is>
          <t>AUTO_OFERTA_TOTAL_PRODUTO_PERIODO</t>
        </is>
      </c>
      <c r="I3733" s="11">
        <f>IF($H3733="AUTO_OFERTA_TOTAL_PRODUTO_PERIODO",SUMIFS(Oferta!$F:$F,Oferta!$A:$A,$A3733,Oferta!$E:$E,$E3733),$F3733)</f>
        <v/>
      </c>
      <c r="J3733" s="6" t="inlineStr">
        <is>
          <t>Derivado_da_Oferta</t>
        </is>
      </c>
      <c r="K3733" s="6" t="inlineStr">
        <is>
          <t>Mercado externo: limite superior calculado automaticamente pela soma da oferta do produto no período.</t>
        </is>
      </c>
    </row>
    <row r="3734">
      <c r="A3734" s="6" t="inlineStr">
        <is>
          <t>Milho</t>
        </is>
      </c>
      <c r="B3734" s="6" t="inlineStr">
        <is>
          <t>Santarém - PA</t>
        </is>
      </c>
      <c r="C3734" s="6" t="n">
        <v>-2.43849</v>
      </c>
      <c r="D3734" s="6" t="n">
        <v>-54.6996</v>
      </c>
      <c r="E3734" s="6" t="inlineStr">
        <is>
          <t>2022-01</t>
        </is>
      </c>
      <c r="F3734" s="6" t="n"/>
      <c r="G3734" s="6" t="inlineStr">
        <is>
          <t>EXPORTACAO</t>
        </is>
      </c>
      <c r="H3734" s="6" t="inlineStr">
        <is>
          <t>AUTO_OFERTA_TOTAL_PRODUTO_PERIODO</t>
        </is>
      </c>
      <c r="I3734" s="11">
        <f>IF($H3734="AUTO_OFERTA_TOTAL_PRODUTO_PERIODO",SUMIFS(Oferta!$F:$F,Oferta!$A:$A,$A3734,Oferta!$E:$E,$E3734),$F3734)</f>
        <v/>
      </c>
      <c r="J3734" s="6" t="inlineStr">
        <is>
          <t>Derivado_da_Oferta</t>
        </is>
      </c>
      <c r="K3734" s="6" t="inlineStr">
        <is>
          <t>Mercado externo: limite superior calculado automaticamente pela soma da oferta do produto no período.</t>
        </is>
      </c>
    </row>
    <row r="3735">
      <c r="A3735" s="6" t="inlineStr">
        <is>
          <t>Milho</t>
        </is>
      </c>
      <c r="B3735" s="6" t="inlineStr">
        <is>
          <t>Santarém - PA</t>
        </is>
      </c>
      <c r="C3735" s="6" t="n">
        <v>-2.43849</v>
      </c>
      <c r="D3735" s="6" t="n">
        <v>-54.6996</v>
      </c>
      <c r="E3735" s="6" t="inlineStr">
        <is>
          <t>2022-02</t>
        </is>
      </c>
      <c r="F3735" s="6" t="n"/>
      <c r="G3735" s="6" t="inlineStr">
        <is>
          <t>EXPORTACAO</t>
        </is>
      </c>
      <c r="H3735" s="6" t="inlineStr">
        <is>
          <t>AUTO_OFERTA_TOTAL_PRODUTO_PERIODO</t>
        </is>
      </c>
      <c r="I3735" s="11">
        <f>IF($H3735="AUTO_OFERTA_TOTAL_PRODUTO_PERIODO",SUMIFS(Oferta!$F:$F,Oferta!$A:$A,$A3735,Oferta!$E:$E,$E3735),$F3735)</f>
        <v/>
      </c>
      <c r="J3735" s="6" t="inlineStr">
        <is>
          <t>Derivado_da_Oferta</t>
        </is>
      </c>
      <c r="K3735" s="6" t="inlineStr">
        <is>
          <t>Mercado externo: limite superior calculado automaticamente pela soma da oferta do produto no período.</t>
        </is>
      </c>
    </row>
    <row r="3736">
      <c r="A3736" s="6" t="inlineStr">
        <is>
          <t>Milho</t>
        </is>
      </c>
      <c r="B3736" s="6" t="inlineStr">
        <is>
          <t>Santarém - PA</t>
        </is>
      </c>
      <c r="C3736" s="6" t="n">
        <v>-2.43849</v>
      </c>
      <c r="D3736" s="6" t="n">
        <v>-54.6996</v>
      </c>
      <c r="E3736" s="6" t="inlineStr">
        <is>
          <t>2022-03</t>
        </is>
      </c>
      <c r="F3736" s="6" t="n"/>
      <c r="G3736" s="6" t="inlineStr">
        <is>
          <t>EXPORTACAO</t>
        </is>
      </c>
      <c r="H3736" s="6" t="inlineStr">
        <is>
          <t>AUTO_OFERTA_TOTAL_PRODUTO_PERIODO</t>
        </is>
      </c>
      <c r="I3736" s="11">
        <f>IF($H3736="AUTO_OFERTA_TOTAL_PRODUTO_PERIODO",SUMIFS(Oferta!$F:$F,Oferta!$A:$A,$A3736,Oferta!$E:$E,$E3736),$F3736)</f>
        <v/>
      </c>
      <c r="J3736" s="6" t="inlineStr">
        <is>
          <t>Derivado_da_Oferta</t>
        </is>
      </c>
      <c r="K3736" s="6" t="inlineStr">
        <is>
          <t>Mercado externo: limite superior calculado automaticamente pela soma da oferta do produto no período.</t>
        </is>
      </c>
    </row>
    <row r="3737">
      <c r="A3737" s="6" t="inlineStr">
        <is>
          <t>Milho</t>
        </is>
      </c>
      <c r="B3737" s="6" t="inlineStr">
        <is>
          <t>Santarém - PA</t>
        </is>
      </c>
      <c r="C3737" s="6" t="n">
        <v>-2.43849</v>
      </c>
      <c r="D3737" s="6" t="n">
        <v>-54.6996</v>
      </c>
      <c r="E3737" s="6" t="inlineStr">
        <is>
          <t>2022-04</t>
        </is>
      </c>
      <c r="F3737" s="6" t="n"/>
      <c r="G3737" s="6" t="inlineStr">
        <is>
          <t>EXPORTACAO</t>
        </is>
      </c>
      <c r="H3737" s="6" t="inlineStr">
        <is>
          <t>AUTO_OFERTA_TOTAL_PRODUTO_PERIODO</t>
        </is>
      </c>
      <c r="I3737" s="11">
        <f>IF($H3737="AUTO_OFERTA_TOTAL_PRODUTO_PERIODO",SUMIFS(Oferta!$F:$F,Oferta!$A:$A,$A3737,Oferta!$E:$E,$E3737),$F3737)</f>
        <v/>
      </c>
      <c r="J3737" s="6" t="inlineStr">
        <is>
          <t>Derivado_da_Oferta</t>
        </is>
      </c>
      <c r="K3737" s="6" t="inlineStr">
        <is>
          <t>Mercado externo: limite superior calculado automaticamente pela soma da oferta do produto no período.</t>
        </is>
      </c>
    </row>
    <row r="3738">
      <c r="A3738" s="6" t="inlineStr">
        <is>
          <t>Milho</t>
        </is>
      </c>
      <c r="B3738" s="6" t="inlineStr">
        <is>
          <t>Santarém - PA</t>
        </is>
      </c>
      <c r="C3738" s="6" t="n">
        <v>-2.43849</v>
      </c>
      <c r="D3738" s="6" t="n">
        <v>-54.6996</v>
      </c>
      <c r="E3738" s="6" t="inlineStr">
        <is>
          <t>2022-05</t>
        </is>
      </c>
      <c r="F3738" s="6" t="n"/>
      <c r="G3738" s="6" t="inlineStr">
        <is>
          <t>EXPORTACAO</t>
        </is>
      </c>
      <c r="H3738" s="6" t="inlineStr">
        <is>
          <t>AUTO_OFERTA_TOTAL_PRODUTO_PERIODO</t>
        </is>
      </c>
      <c r="I3738" s="11">
        <f>IF($H3738="AUTO_OFERTA_TOTAL_PRODUTO_PERIODO",SUMIFS(Oferta!$F:$F,Oferta!$A:$A,$A3738,Oferta!$E:$E,$E3738),$F3738)</f>
        <v/>
      </c>
      <c r="J3738" s="6" t="inlineStr">
        <is>
          <t>Derivado_da_Oferta</t>
        </is>
      </c>
      <c r="K3738" s="6" t="inlineStr">
        <is>
          <t>Mercado externo: limite superior calculado automaticamente pela soma da oferta do produto no período.</t>
        </is>
      </c>
    </row>
    <row r="3739">
      <c r="A3739" s="6" t="inlineStr">
        <is>
          <t>Milho</t>
        </is>
      </c>
      <c r="B3739" s="6" t="inlineStr">
        <is>
          <t>Santarém - PA</t>
        </is>
      </c>
      <c r="C3739" s="6" t="n">
        <v>-2.43849</v>
      </c>
      <c r="D3739" s="6" t="n">
        <v>-54.6996</v>
      </c>
      <c r="E3739" s="6" t="inlineStr">
        <is>
          <t>2022-06</t>
        </is>
      </c>
      <c r="F3739" s="6" t="n"/>
      <c r="G3739" s="6" t="inlineStr">
        <is>
          <t>EXPORTACAO</t>
        </is>
      </c>
      <c r="H3739" s="6" t="inlineStr">
        <is>
          <t>AUTO_OFERTA_TOTAL_PRODUTO_PERIODO</t>
        </is>
      </c>
      <c r="I3739" s="11">
        <f>IF($H3739="AUTO_OFERTA_TOTAL_PRODUTO_PERIODO",SUMIFS(Oferta!$F:$F,Oferta!$A:$A,$A3739,Oferta!$E:$E,$E3739),$F3739)</f>
        <v/>
      </c>
      <c r="J3739" s="6" t="inlineStr">
        <is>
          <t>Derivado_da_Oferta</t>
        </is>
      </c>
      <c r="K3739" s="6" t="inlineStr">
        <is>
          <t>Mercado externo: limite superior calculado automaticamente pela soma da oferta do produto no período.</t>
        </is>
      </c>
    </row>
    <row r="3740">
      <c r="A3740" s="6" t="inlineStr">
        <is>
          <t>Milho</t>
        </is>
      </c>
      <c r="B3740" s="6" t="inlineStr">
        <is>
          <t>Santarém - PA</t>
        </is>
      </c>
      <c r="C3740" s="6" t="n">
        <v>-2.43849</v>
      </c>
      <c r="D3740" s="6" t="n">
        <v>-54.6996</v>
      </c>
      <c r="E3740" s="6" t="inlineStr">
        <is>
          <t>2022-07</t>
        </is>
      </c>
      <c r="F3740" s="6" t="n"/>
      <c r="G3740" s="6" t="inlineStr">
        <is>
          <t>EXPORTACAO</t>
        </is>
      </c>
      <c r="H3740" s="6" t="inlineStr">
        <is>
          <t>AUTO_OFERTA_TOTAL_PRODUTO_PERIODO</t>
        </is>
      </c>
      <c r="I3740" s="11">
        <f>IF($H3740="AUTO_OFERTA_TOTAL_PRODUTO_PERIODO",SUMIFS(Oferta!$F:$F,Oferta!$A:$A,$A3740,Oferta!$E:$E,$E3740),$F3740)</f>
        <v/>
      </c>
      <c r="J3740" s="6" t="inlineStr">
        <is>
          <t>Derivado_da_Oferta</t>
        </is>
      </c>
      <c r="K3740" s="6" t="inlineStr">
        <is>
          <t>Mercado externo: limite superior calculado automaticamente pela soma da oferta do produto no período.</t>
        </is>
      </c>
    </row>
    <row r="3741">
      <c r="A3741" s="6" t="inlineStr">
        <is>
          <t>Milho</t>
        </is>
      </c>
      <c r="B3741" s="6" t="inlineStr">
        <is>
          <t>Santarém - PA</t>
        </is>
      </c>
      <c r="C3741" s="6" t="n">
        <v>-2.43849</v>
      </c>
      <c r="D3741" s="6" t="n">
        <v>-54.6996</v>
      </c>
      <c r="E3741" s="6" t="inlineStr">
        <is>
          <t>2022-08</t>
        </is>
      </c>
      <c r="F3741" s="6" t="n"/>
      <c r="G3741" s="6" t="inlineStr">
        <is>
          <t>EXPORTACAO</t>
        </is>
      </c>
      <c r="H3741" s="6" t="inlineStr">
        <is>
          <t>AUTO_OFERTA_TOTAL_PRODUTO_PERIODO</t>
        </is>
      </c>
      <c r="I3741" s="11">
        <f>IF($H3741="AUTO_OFERTA_TOTAL_PRODUTO_PERIODO",SUMIFS(Oferta!$F:$F,Oferta!$A:$A,$A3741,Oferta!$E:$E,$E3741),$F3741)</f>
        <v/>
      </c>
      <c r="J3741" s="6" t="inlineStr">
        <is>
          <t>Derivado_da_Oferta</t>
        </is>
      </c>
      <c r="K3741" s="6" t="inlineStr">
        <is>
          <t>Mercado externo: limite superior calculado automaticamente pela soma da oferta do produto no período.</t>
        </is>
      </c>
    </row>
    <row r="3742">
      <c r="A3742" s="6" t="inlineStr">
        <is>
          <t>Milho</t>
        </is>
      </c>
      <c r="B3742" s="6" t="inlineStr">
        <is>
          <t>Santarém - PA</t>
        </is>
      </c>
      <c r="C3742" s="6" t="n">
        <v>-2.43849</v>
      </c>
      <c r="D3742" s="6" t="n">
        <v>-54.6996</v>
      </c>
      <c r="E3742" s="6" t="inlineStr">
        <is>
          <t>2022-09</t>
        </is>
      </c>
      <c r="F3742" s="6" t="n"/>
      <c r="G3742" s="6" t="inlineStr">
        <is>
          <t>EXPORTACAO</t>
        </is>
      </c>
      <c r="H3742" s="6" t="inlineStr">
        <is>
          <t>AUTO_OFERTA_TOTAL_PRODUTO_PERIODO</t>
        </is>
      </c>
      <c r="I3742" s="11">
        <f>IF($H3742="AUTO_OFERTA_TOTAL_PRODUTO_PERIODO",SUMIFS(Oferta!$F:$F,Oferta!$A:$A,$A3742,Oferta!$E:$E,$E3742),$F3742)</f>
        <v/>
      </c>
      <c r="J3742" s="6" t="inlineStr">
        <is>
          <t>Derivado_da_Oferta</t>
        </is>
      </c>
      <c r="K3742" s="6" t="inlineStr">
        <is>
          <t>Mercado externo: limite superior calculado automaticamente pela soma da oferta do produto no período.</t>
        </is>
      </c>
    </row>
    <row r="3743">
      <c r="A3743" s="6" t="inlineStr">
        <is>
          <t>Milho</t>
        </is>
      </c>
      <c r="B3743" s="6" t="inlineStr">
        <is>
          <t>Santarém - PA</t>
        </is>
      </c>
      <c r="C3743" s="6" t="n">
        <v>-2.43849</v>
      </c>
      <c r="D3743" s="6" t="n">
        <v>-54.6996</v>
      </c>
      <c r="E3743" s="6" t="inlineStr">
        <is>
          <t>2022-10</t>
        </is>
      </c>
      <c r="F3743" s="6" t="n"/>
      <c r="G3743" s="6" t="inlineStr">
        <is>
          <t>EXPORTACAO</t>
        </is>
      </c>
      <c r="H3743" s="6" t="inlineStr">
        <is>
          <t>AUTO_OFERTA_TOTAL_PRODUTO_PERIODO</t>
        </is>
      </c>
      <c r="I3743" s="11">
        <f>IF($H3743="AUTO_OFERTA_TOTAL_PRODUTO_PERIODO",SUMIFS(Oferta!$F:$F,Oferta!$A:$A,$A3743,Oferta!$E:$E,$E3743),$F3743)</f>
        <v/>
      </c>
      <c r="J3743" s="6" t="inlineStr">
        <is>
          <t>Derivado_da_Oferta</t>
        </is>
      </c>
      <c r="K3743" s="6" t="inlineStr">
        <is>
          <t>Mercado externo: limite superior calculado automaticamente pela soma da oferta do produto no período.</t>
        </is>
      </c>
    </row>
    <row r="3744">
      <c r="A3744" s="6" t="inlineStr">
        <is>
          <t>Milho</t>
        </is>
      </c>
      <c r="B3744" s="6" t="inlineStr">
        <is>
          <t>Santarém - PA</t>
        </is>
      </c>
      <c r="C3744" s="6" t="n">
        <v>-2.43849</v>
      </c>
      <c r="D3744" s="6" t="n">
        <v>-54.6996</v>
      </c>
      <c r="E3744" s="6" t="inlineStr">
        <is>
          <t>2022-11</t>
        </is>
      </c>
      <c r="F3744" s="6" t="n"/>
      <c r="G3744" s="6" t="inlineStr">
        <is>
          <t>EXPORTACAO</t>
        </is>
      </c>
      <c r="H3744" s="6" t="inlineStr">
        <is>
          <t>AUTO_OFERTA_TOTAL_PRODUTO_PERIODO</t>
        </is>
      </c>
      <c r="I3744" s="11">
        <f>IF($H3744="AUTO_OFERTA_TOTAL_PRODUTO_PERIODO",SUMIFS(Oferta!$F:$F,Oferta!$A:$A,$A3744,Oferta!$E:$E,$E3744),$F3744)</f>
        <v/>
      </c>
      <c r="J3744" s="6" t="inlineStr">
        <is>
          <t>Derivado_da_Oferta</t>
        </is>
      </c>
      <c r="K3744" s="6" t="inlineStr">
        <is>
          <t>Mercado externo: limite superior calculado automaticamente pela soma da oferta do produto no período.</t>
        </is>
      </c>
    </row>
    <row r="3745">
      <c r="A3745" s="6" t="inlineStr">
        <is>
          <t>Milho</t>
        </is>
      </c>
      <c r="B3745" s="6" t="inlineStr">
        <is>
          <t>Santarém - PA</t>
        </is>
      </c>
      <c r="C3745" s="6" t="n">
        <v>-2.43849</v>
      </c>
      <c r="D3745" s="6" t="n">
        <v>-54.6996</v>
      </c>
      <c r="E3745" s="6" t="inlineStr">
        <is>
          <t>2022-12</t>
        </is>
      </c>
      <c r="F3745" s="6" t="n"/>
      <c r="G3745" s="6" t="inlineStr">
        <is>
          <t>EXPORTACAO</t>
        </is>
      </c>
      <c r="H3745" s="6" t="inlineStr">
        <is>
          <t>AUTO_OFERTA_TOTAL_PRODUTO_PERIODO</t>
        </is>
      </c>
      <c r="I3745" s="11">
        <f>IF($H3745="AUTO_OFERTA_TOTAL_PRODUTO_PERIODO",SUMIFS(Oferta!$F:$F,Oferta!$A:$A,$A3745,Oferta!$E:$E,$E3745),$F3745)</f>
        <v/>
      </c>
      <c r="J3745" s="6" t="inlineStr">
        <is>
          <t>Derivado_da_Oferta</t>
        </is>
      </c>
      <c r="K3745" s="6" t="inlineStr">
        <is>
          <t>Mercado externo: limite superior calculado automaticamente pela soma da oferta do produto no período.</t>
        </is>
      </c>
    </row>
    <row r="3746">
      <c r="A3746" s="6" t="inlineStr">
        <is>
          <t>Milho</t>
        </is>
      </c>
      <c r="B3746" s="6" t="inlineStr">
        <is>
          <t>Santarém - PA</t>
        </is>
      </c>
      <c r="C3746" s="6" t="n">
        <v>-2.43849</v>
      </c>
      <c r="D3746" s="6" t="n">
        <v>-54.6996</v>
      </c>
      <c r="E3746" s="6" t="inlineStr">
        <is>
          <t>2023-01</t>
        </is>
      </c>
      <c r="F3746" s="6" t="n"/>
      <c r="G3746" s="6" t="inlineStr">
        <is>
          <t>EXPORTACAO</t>
        </is>
      </c>
      <c r="H3746" s="6" t="inlineStr">
        <is>
          <t>AUTO_OFERTA_TOTAL_PRODUTO_PERIODO</t>
        </is>
      </c>
      <c r="I3746" s="11">
        <f>IF($H3746="AUTO_OFERTA_TOTAL_PRODUTO_PERIODO",SUMIFS(Oferta!$F:$F,Oferta!$A:$A,$A3746,Oferta!$E:$E,$E3746),$F3746)</f>
        <v/>
      </c>
      <c r="J3746" s="6" t="inlineStr">
        <is>
          <t>Derivado_da_Oferta</t>
        </is>
      </c>
      <c r="K3746" s="6" t="inlineStr">
        <is>
          <t>Mercado externo: limite superior calculado automaticamente pela soma da oferta do produto no período.</t>
        </is>
      </c>
    </row>
    <row r="3747">
      <c r="A3747" s="6" t="inlineStr">
        <is>
          <t>Milho</t>
        </is>
      </c>
      <c r="B3747" s="6" t="inlineStr">
        <is>
          <t>Santarém - PA</t>
        </is>
      </c>
      <c r="C3747" s="6" t="n">
        <v>-2.43849</v>
      </c>
      <c r="D3747" s="6" t="n">
        <v>-54.6996</v>
      </c>
      <c r="E3747" s="6" t="inlineStr">
        <is>
          <t>2023-02</t>
        </is>
      </c>
      <c r="F3747" s="6" t="n"/>
      <c r="G3747" s="6" t="inlineStr">
        <is>
          <t>EXPORTACAO</t>
        </is>
      </c>
      <c r="H3747" s="6" t="inlineStr">
        <is>
          <t>AUTO_OFERTA_TOTAL_PRODUTO_PERIODO</t>
        </is>
      </c>
      <c r="I3747" s="11">
        <f>IF($H3747="AUTO_OFERTA_TOTAL_PRODUTO_PERIODO",SUMIFS(Oferta!$F:$F,Oferta!$A:$A,$A3747,Oferta!$E:$E,$E3747),$F3747)</f>
        <v/>
      </c>
      <c r="J3747" s="6" t="inlineStr">
        <is>
          <t>Derivado_da_Oferta</t>
        </is>
      </c>
      <c r="K3747" s="6" t="inlineStr">
        <is>
          <t>Mercado externo: limite superior calculado automaticamente pela soma da oferta do produto no período.</t>
        </is>
      </c>
    </row>
    <row r="3748">
      <c r="A3748" s="6" t="inlineStr">
        <is>
          <t>Milho</t>
        </is>
      </c>
      <c r="B3748" s="6" t="inlineStr">
        <is>
          <t>Santarém - PA</t>
        </is>
      </c>
      <c r="C3748" s="6" t="n">
        <v>-2.43849</v>
      </c>
      <c r="D3748" s="6" t="n">
        <v>-54.6996</v>
      </c>
      <c r="E3748" s="6" t="inlineStr">
        <is>
          <t>2023-03</t>
        </is>
      </c>
      <c r="F3748" s="6" t="n"/>
      <c r="G3748" s="6" t="inlineStr">
        <is>
          <t>EXPORTACAO</t>
        </is>
      </c>
      <c r="H3748" s="6" t="inlineStr">
        <is>
          <t>AUTO_OFERTA_TOTAL_PRODUTO_PERIODO</t>
        </is>
      </c>
      <c r="I3748" s="11">
        <f>IF($H3748="AUTO_OFERTA_TOTAL_PRODUTO_PERIODO",SUMIFS(Oferta!$F:$F,Oferta!$A:$A,$A3748,Oferta!$E:$E,$E3748),$F3748)</f>
        <v/>
      </c>
      <c r="J3748" s="6" t="inlineStr">
        <is>
          <t>Derivado_da_Oferta</t>
        </is>
      </c>
      <c r="K3748" s="6" t="inlineStr">
        <is>
          <t>Mercado externo: limite superior calculado automaticamente pela soma da oferta do produto no período.</t>
        </is>
      </c>
    </row>
    <row r="3749">
      <c r="A3749" s="6" t="inlineStr">
        <is>
          <t>Milho</t>
        </is>
      </c>
      <c r="B3749" s="6" t="inlineStr">
        <is>
          <t>Santarém - PA</t>
        </is>
      </c>
      <c r="C3749" s="6" t="n">
        <v>-2.43849</v>
      </c>
      <c r="D3749" s="6" t="n">
        <v>-54.6996</v>
      </c>
      <c r="E3749" s="6" t="inlineStr">
        <is>
          <t>2023-04</t>
        </is>
      </c>
      <c r="F3749" s="6" t="n"/>
      <c r="G3749" s="6" t="inlineStr">
        <is>
          <t>EXPORTACAO</t>
        </is>
      </c>
      <c r="H3749" s="6" t="inlineStr">
        <is>
          <t>AUTO_OFERTA_TOTAL_PRODUTO_PERIODO</t>
        </is>
      </c>
      <c r="I3749" s="11">
        <f>IF($H3749="AUTO_OFERTA_TOTAL_PRODUTO_PERIODO",SUMIFS(Oferta!$F:$F,Oferta!$A:$A,$A3749,Oferta!$E:$E,$E3749),$F3749)</f>
        <v/>
      </c>
      <c r="J3749" s="6" t="inlineStr">
        <is>
          <t>Derivado_da_Oferta</t>
        </is>
      </c>
      <c r="K3749" s="6" t="inlineStr">
        <is>
          <t>Mercado externo: limite superior calculado automaticamente pela soma da oferta do produto no período.</t>
        </is>
      </c>
    </row>
    <row r="3750">
      <c r="A3750" s="6" t="inlineStr">
        <is>
          <t>Milho</t>
        </is>
      </c>
      <c r="B3750" s="6" t="inlineStr">
        <is>
          <t>Santarém - PA</t>
        </is>
      </c>
      <c r="C3750" s="6" t="n">
        <v>-2.43849</v>
      </c>
      <c r="D3750" s="6" t="n">
        <v>-54.6996</v>
      </c>
      <c r="E3750" s="6" t="inlineStr">
        <is>
          <t>2023-05</t>
        </is>
      </c>
      <c r="F3750" s="6" t="n"/>
      <c r="G3750" s="6" t="inlineStr">
        <is>
          <t>EXPORTACAO</t>
        </is>
      </c>
      <c r="H3750" s="6" t="inlineStr">
        <is>
          <t>AUTO_OFERTA_TOTAL_PRODUTO_PERIODO</t>
        </is>
      </c>
      <c r="I3750" s="11">
        <f>IF($H3750="AUTO_OFERTA_TOTAL_PRODUTO_PERIODO",SUMIFS(Oferta!$F:$F,Oferta!$A:$A,$A3750,Oferta!$E:$E,$E3750),$F3750)</f>
        <v/>
      </c>
      <c r="J3750" s="6" t="inlineStr">
        <is>
          <t>Derivado_da_Oferta</t>
        </is>
      </c>
      <c r="K3750" s="6" t="inlineStr">
        <is>
          <t>Mercado externo: limite superior calculado automaticamente pela soma da oferta do produto no período.</t>
        </is>
      </c>
    </row>
    <row r="3751">
      <c r="A3751" s="6" t="inlineStr">
        <is>
          <t>Milho</t>
        </is>
      </c>
      <c r="B3751" s="6" t="inlineStr">
        <is>
          <t>Santarém - PA</t>
        </is>
      </c>
      <c r="C3751" s="6" t="n">
        <v>-2.43849</v>
      </c>
      <c r="D3751" s="6" t="n">
        <v>-54.6996</v>
      </c>
      <c r="E3751" s="6" t="inlineStr">
        <is>
          <t>2023-06</t>
        </is>
      </c>
      <c r="F3751" s="6" t="n"/>
      <c r="G3751" s="6" t="inlineStr">
        <is>
          <t>EXPORTACAO</t>
        </is>
      </c>
      <c r="H3751" s="6" t="inlineStr">
        <is>
          <t>AUTO_OFERTA_TOTAL_PRODUTO_PERIODO</t>
        </is>
      </c>
      <c r="I3751" s="11">
        <f>IF($H3751="AUTO_OFERTA_TOTAL_PRODUTO_PERIODO",SUMIFS(Oferta!$F:$F,Oferta!$A:$A,$A3751,Oferta!$E:$E,$E3751),$F3751)</f>
        <v/>
      </c>
      <c r="J3751" s="6" t="inlineStr">
        <is>
          <t>Derivado_da_Oferta</t>
        </is>
      </c>
      <c r="K3751" s="6" t="inlineStr">
        <is>
          <t>Mercado externo: limite superior calculado automaticamente pela soma da oferta do produto no período.</t>
        </is>
      </c>
    </row>
    <row r="3752">
      <c r="A3752" s="6" t="inlineStr">
        <is>
          <t>Milho</t>
        </is>
      </c>
      <c r="B3752" s="6" t="inlineStr">
        <is>
          <t>Santarém - PA</t>
        </is>
      </c>
      <c r="C3752" s="6" t="n">
        <v>-2.43849</v>
      </c>
      <c r="D3752" s="6" t="n">
        <v>-54.6996</v>
      </c>
      <c r="E3752" s="6" t="inlineStr">
        <is>
          <t>2023-07</t>
        </is>
      </c>
      <c r="F3752" s="6" t="n"/>
      <c r="G3752" s="6" t="inlineStr">
        <is>
          <t>EXPORTACAO</t>
        </is>
      </c>
      <c r="H3752" s="6" t="inlineStr">
        <is>
          <t>AUTO_OFERTA_TOTAL_PRODUTO_PERIODO</t>
        </is>
      </c>
      <c r="I3752" s="11">
        <f>IF($H3752="AUTO_OFERTA_TOTAL_PRODUTO_PERIODO",SUMIFS(Oferta!$F:$F,Oferta!$A:$A,$A3752,Oferta!$E:$E,$E3752),$F3752)</f>
        <v/>
      </c>
      <c r="J3752" s="6" t="inlineStr">
        <is>
          <t>Derivado_da_Oferta</t>
        </is>
      </c>
      <c r="K3752" s="6" t="inlineStr">
        <is>
          <t>Mercado externo: limite superior calculado automaticamente pela soma da oferta do produto no período.</t>
        </is>
      </c>
    </row>
    <row r="3753">
      <c r="A3753" s="6" t="inlineStr">
        <is>
          <t>Milho</t>
        </is>
      </c>
      <c r="B3753" s="6" t="inlineStr">
        <is>
          <t>Santarém - PA</t>
        </is>
      </c>
      <c r="C3753" s="6" t="n">
        <v>-2.43849</v>
      </c>
      <c r="D3753" s="6" t="n">
        <v>-54.6996</v>
      </c>
      <c r="E3753" s="6" t="inlineStr">
        <is>
          <t>2023-08</t>
        </is>
      </c>
      <c r="F3753" s="6" t="n"/>
      <c r="G3753" s="6" t="inlineStr">
        <is>
          <t>EXPORTACAO</t>
        </is>
      </c>
      <c r="H3753" s="6" t="inlineStr">
        <is>
          <t>AUTO_OFERTA_TOTAL_PRODUTO_PERIODO</t>
        </is>
      </c>
      <c r="I3753" s="11">
        <f>IF($H3753="AUTO_OFERTA_TOTAL_PRODUTO_PERIODO",SUMIFS(Oferta!$F:$F,Oferta!$A:$A,$A3753,Oferta!$E:$E,$E3753),$F3753)</f>
        <v/>
      </c>
      <c r="J3753" s="6" t="inlineStr">
        <is>
          <t>Derivado_da_Oferta</t>
        </is>
      </c>
      <c r="K3753" s="6" t="inlineStr">
        <is>
          <t>Mercado externo: limite superior calculado automaticamente pela soma da oferta do produto no período.</t>
        </is>
      </c>
    </row>
    <row r="3754">
      <c r="A3754" s="6" t="inlineStr">
        <is>
          <t>Milho</t>
        </is>
      </c>
      <c r="B3754" s="6" t="inlineStr">
        <is>
          <t>Santarém - PA</t>
        </is>
      </c>
      <c r="C3754" s="6" t="n">
        <v>-2.43849</v>
      </c>
      <c r="D3754" s="6" t="n">
        <v>-54.6996</v>
      </c>
      <c r="E3754" s="6" t="inlineStr">
        <is>
          <t>2023-09</t>
        </is>
      </c>
      <c r="F3754" s="6" t="n"/>
      <c r="G3754" s="6" t="inlineStr">
        <is>
          <t>EXPORTACAO</t>
        </is>
      </c>
      <c r="H3754" s="6" t="inlineStr">
        <is>
          <t>AUTO_OFERTA_TOTAL_PRODUTO_PERIODO</t>
        </is>
      </c>
      <c r="I3754" s="11">
        <f>IF($H3754="AUTO_OFERTA_TOTAL_PRODUTO_PERIODO",SUMIFS(Oferta!$F:$F,Oferta!$A:$A,$A3754,Oferta!$E:$E,$E3754),$F3754)</f>
        <v/>
      </c>
      <c r="J3754" s="6" t="inlineStr">
        <is>
          <t>Derivado_da_Oferta</t>
        </is>
      </c>
      <c r="K3754" s="6" t="inlineStr">
        <is>
          <t>Mercado externo: limite superior calculado automaticamente pela soma da oferta do produto no período.</t>
        </is>
      </c>
    </row>
    <row r="3755">
      <c r="A3755" s="6" t="inlineStr">
        <is>
          <t>Milho</t>
        </is>
      </c>
      <c r="B3755" s="6" t="inlineStr">
        <is>
          <t>Santarém - PA</t>
        </is>
      </c>
      <c r="C3755" s="6" t="n">
        <v>-2.43849</v>
      </c>
      <c r="D3755" s="6" t="n">
        <v>-54.6996</v>
      </c>
      <c r="E3755" s="6" t="inlineStr">
        <is>
          <t>2023-10</t>
        </is>
      </c>
      <c r="F3755" s="6" t="n"/>
      <c r="G3755" s="6" t="inlineStr">
        <is>
          <t>EXPORTACAO</t>
        </is>
      </c>
      <c r="H3755" s="6" t="inlineStr">
        <is>
          <t>AUTO_OFERTA_TOTAL_PRODUTO_PERIODO</t>
        </is>
      </c>
      <c r="I3755" s="11">
        <f>IF($H3755="AUTO_OFERTA_TOTAL_PRODUTO_PERIODO",SUMIFS(Oferta!$F:$F,Oferta!$A:$A,$A3755,Oferta!$E:$E,$E3755),$F3755)</f>
        <v/>
      </c>
      <c r="J3755" s="6" t="inlineStr">
        <is>
          <t>Derivado_da_Oferta</t>
        </is>
      </c>
      <c r="K3755" s="6" t="inlineStr">
        <is>
          <t>Mercado externo: limite superior calculado automaticamente pela soma da oferta do produto no período.</t>
        </is>
      </c>
    </row>
    <row r="3756">
      <c r="A3756" s="6" t="inlineStr">
        <is>
          <t>Milho</t>
        </is>
      </c>
      <c r="B3756" s="6" t="inlineStr">
        <is>
          <t>Santarém - PA</t>
        </is>
      </c>
      <c r="C3756" s="6" t="n">
        <v>-2.43849</v>
      </c>
      <c r="D3756" s="6" t="n">
        <v>-54.6996</v>
      </c>
      <c r="E3756" s="6" t="inlineStr">
        <is>
          <t>2023-11</t>
        </is>
      </c>
      <c r="F3756" s="6" t="n"/>
      <c r="G3756" s="6" t="inlineStr">
        <is>
          <t>EXPORTACAO</t>
        </is>
      </c>
      <c r="H3756" s="6" t="inlineStr">
        <is>
          <t>AUTO_OFERTA_TOTAL_PRODUTO_PERIODO</t>
        </is>
      </c>
      <c r="I3756" s="11">
        <f>IF($H3756="AUTO_OFERTA_TOTAL_PRODUTO_PERIODO",SUMIFS(Oferta!$F:$F,Oferta!$A:$A,$A3756,Oferta!$E:$E,$E3756),$F3756)</f>
        <v/>
      </c>
      <c r="J3756" s="6" t="inlineStr">
        <is>
          <t>Derivado_da_Oferta</t>
        </is>
      </c>
      <c r="K3756" s="6" t="inlineStr">
        <is>
          <t>Mercado externo: limite superior calculado automaticamente pela soma da oferta do produto no período.</t>
        </is>
      </c>
    </row>
    <row r="3757">
      <c r="A3757" s="6" t="inlineStr">
        <is>
          <t>Milho</t>
        </is>
      </c>
      <c r="B3757" s="6" t="inlineStr">
        <is>
          <t>Santarém - PA</t>
        </is>
      </c>
      <c r="C3757" s="6" t="n">
        <v>-2.43849</v>
      </c>
      <c r="D3757" s="6" t="n">
        <v>-54.6996</v>
      </c>
      <c r="E3757" s="6" t="inlineStr">
        <is>
          <t>2023-12</t>
        </is>
      </c>
      <c r="F3757" s="6" t="n"/>
      <c r="G3757" s="6" t="inlineStr">
        <is>
          <t>EXPORTACAO</t>
        </is>
      </c>
      <c r="H3757" s="6" t="inlineStr">
        <is>
          <t>AUTO_OFERTA_TOTAL_PRODUTO_PERIODO</t>
        </is>
      </c>
      <c r="I3757" s="11">
        <f>IF($H3757="AUTO_OFERTA_TOTAL_PRODUTO_PERIODO",SUMIFS(Oferta!$F:$F,Oferta!$A:$A,$A3757,Oferta!$E:$E,$E3757),$F3757)</f>
        <v/>
      </c>
      <c r="J3757" s="6" t="inlineStr">
        <is>
          <t>Derivado_da_Oferta</t>
        </is>
      </c>
      <c r="K3757" s="6" t="inlineStr">
        <is>
          <t>Mercado externo: limite superior calculado automaticamente pela soma da oferta do produto no período.</t>
        </is>
      </c>
    </row>
    <row r="3758">
      <c r="A3758" s="6" t="inlineStr">
        <is>
          <t>Milho</t>
        </is>
      </c>
      <c r="B3758" s="6" t="inlineStr">
        <is>
          <t>Santarém - PA</t>
        </is>
      </c>
      <c r="C3758" s="6" t="n">
        <v>-2.43849</v>
      </c>
      <c r="D3758" s="6" t="n">
        <v>-54.6996</v>
      </c>
      <c r="E3758" s="6" t="inlineStr">
        <is>
          <t>2024-01</t>
        </is>
      </c>
      <c r="F3758" s="6" t="n"/>
      <c r="G3758" s="6" t="inlineStr">
        <is>
          <t>EXPORTACAO</t>
        </is>
      </c>
      <c r="H3758" s="6" t="inlineStr">
        <is>
          <t>AUTO_OFERTA_TOTAL_PRODUTO_PERIODO</t>
        </is>
      </c>
      <c r="I3758" s="11">
        <f>IF($H3758="AUTO_OFERTA_TOTAL_PRODUTO_PERIODO",SUMIFS(Oferta!$F:$F,Oferta!$A:$A,$A3758,Oferta!$E:$E,$E3758),$F3758)</f>
        <v/>
      </c>
      <c r="J3758" s="6" t="inlineStr">
        <is>
          <t>Derivado_da_Oferta</t>
        </is>
      </c>
      <c r="K3758" s="6" t="inlineStr">
        <is>
          <t>Mercado externo: limite superior calculado automaticamente pela soma da oferta do produto no período.</t>
        </is>
      </c>
    </row>
    <row r="3759">
      <c r="A3759" s="6" t="inlineStr">
        <is>
          <t>Milho</t>
        </is>
      </c>
      <c r="B3759" s="6" t="inlineStr">
        <is>
          <t>Santarém - PA</t>
        </is>
      </c>
      <c r="C3759" s="6" t="n">
        <v>-2.43849</v>
      </c>
      <c r="D3759" s="6" t="n">
        <v>-54.6996</v>
      </c>
      <c r="E3759" s="6" t="inlineStr">
        <is>
          <t>2024-02</t>
        </is>
      </c>
      <c r="F3759" s="6" t="n"/>
      <c r="G3759" s="6" t="inlineStr">
        <is>
          <t>EXPORTACAO</t>
        </is>
      </c>
      <c r="H3759" s="6" t="inlineStr">
        <is>
          <t>AUTO_OFERTA_TOTAL_PRODUTO_PERIODO</t>
        </is>
      </c>
      <c r="I3759" s="11">
        <f>IF($H3759="AUTO_OFERTA_TOTAL_PRODUTO_PERIODO",SUMIFS(Oferta!$F:$F,Oferta!$A:$A,$A3759,Oferta!$E:$E,$E3759),$F3759)</f>
        <v/>
      </c>
      <c r="J3759" s="6" t="inlineStr">
        <is>
          <t>Derivado_da_Oferta</t>
        </is>
      </c>
      <c r="K3759" s="6" t="inlineStr">
        <is>
          <t>Mercado externo: limite superior calculado automaticamente pela soma da oferta do produto no período.</t>
        </is>
      </c>
    </row>
    <row r="3760">
      <c r="A3760" s="6" t="inlineStr">
        <is>
          <t>Milho</t>
        </is>
      </c>
      <c r="B3760" s="6" t="inlineStr">
        <is>
          <t>Santarém - PA</t>
        </is>
      </c>
      <c r="C3760" s="6" t="n">
        <v>-2.43849</v>
      </c>
      <c r="D3760" s="6" t="n">
        <v>-54.6996</v>
      </c>
      <c r="E3760" s="6" t="inlineStr">
        <is>
          <t>2024-03</t>
        </is>
      </c>
      <c r="F3760" s="6" t="n"/>
      <c r="G3760" s="6" t="inlineStr">
        <is>
          <t>EXPORTACAO</t>
        </is>
      </c>
      <c r="H3760" s="6" t="inlineStr">
        <is>
          <t>AUTO_OFERTA_TOTAL_PRODUTO_PERIODO</t>
        </is>
      </c>
      <c r="I3760" s="11">
        <f>IF($H3760="AUTO_OFERTA_TOTAL_PRODUTO_PERIODO",SUMIFS(Oferta!$F:$F,Oferta!$A:$A,$A3760,Oferta!$E:$E,$E3760),$F3760)</f>
        <v/>
      </c>
      <c r="J3760" s="6" t="inlineStr">
        <is>
          <t>Derivado_da_Oferta</t>
        </is>
      </c>
      <c r="K3760" s="6" t="inlineStr">
        <is>
          <t>Mercado externo: limite superior calculado automaticamente pela soma da oferta do produto no período.</t>
        </is>
      </c>
    </row>
    <row r="3761">
      <c r="A3761" s="6" t="inlineStr">
        <is>
          <t>Milho</t>
        </is>
      </c>
      <c r="B3761" s="6" t="inlineStr">
        <is>
          <t>Santarém - PA</t>
        </is>
      </c>
      <c r="C3761" s="6" t="n">
        <v>-2.43849</v>
      </c>
      <c r="D3761" s="6" t="n">
        <v>-54.6996</v>
      </c>
      <c r="E3761" s="6" t="inlineStr">
        <is>
          <t>2024-04</t>
        </is>
      </c>
      <c r="F3761" s="6" t="n"/>
      <c r="G3761" s="6" t="inlineStr">
        <is>
          <t>EXPORTACAO</t>
        </is>
      </c>
      <c r="H3761" s="6" t="inlineStr">
        <is>
          <t>AUTO_OFERTA_TOTAL_PRODUTO_PERIODO</t>
        </is>
      </c>
      <c r="I3761" s="11">
        <f>IF($H3761="AUTO_OFERTA_TOTAL_PRODUTO_PERIODO",SUMIFS(Oferta!$F:$F,Oferta!$A:$A,$A3761,Oferta!$E:$E,$E3761),$F3761)</f>
        <v/>
      </c>
      <c r="J3761" s="6" t="inlineStr">
        <is>
          <t>Derivado_da_Oferta</t>
        </is>
      </c>
      <c r="K3761" s="6" t="inlineStr">
        <is>
          <t>Mercado externo: limite superior calculado automaticamente pela soma da oferta do produto no período.</t>
        </is>
      </c>
    </row>
    <row r="3762">
      <c r="A3762" s="6" t="inlineStr">
        <is>
          <t>Milho</t>
        </is>
      </c>
      <c r="B3762" s="6" t="inlineStr">
        <is>
          <t>Santarém - PA</t>
        </is>
      </c>
      <c r="C3762" s="6" t="n">
        <v>-2.43849</v>
      </c>
      <c r="D3762" s="6" t="n">
        <v>-54.6996</v>
      </c>
      <c r="E3762" s="6" t="inlineStr">
        <is>
          <t>2024-05</t>
        </is>
      </c>
      <c r="F3762" s="6" t="n"/>
      <c r="G3762" s="6" t="inlineStr">
        <is>
          <t>EXPORTACAO</t>
        </is>
      </c>
      <c r="H3762" s="6" t="inlineStr">
        <is>
          <t>AUTO_OFERTA_TOTAL_PRODUTO_PERIODO</t>
        </is>
      </c>
      <c r="I3762" s="11">
        <f>IF($H3762="AUTO_OFERTA_TOTAL_PRODUTO_PERIODO",SUMIFS(Oferta!$F:$F,Oferta!$A:$A,$A3762,Oferta!$E:$E,$E3762),$F3762)</f>
        <v/>
      </c>
      <c r="J3762" s="6" t="inlineStr">
        <is>
          <t>Derivado_da_Oferta</t>
        </is>
      </c>
      <c r="K3762" s="6" t="inlineStr">
        <is>
          <t>Mercado externo: limite superior calculado automaticamente pela soma da oferta do produto no período.</t>
        </is>
      </c>
    </row>
    <row r="3763">
      <c r="A3763" s="6" t="inlineStr">
        <is>
          <t>Milho</t>
        </is>
      </c>
      <c r="B3763" s="6" t="inlineStr">
        <is>
          <t>Santarém - PA</t>
        </is>
      </c>
      <c r="C3763" s="6" t="n">
        <v>-2.43849</v>
      </c>
      <c r="D3763" s="6" t="n">
        <v>-54.6996</v>
      </c>
      <c r="E3763" s="6" t="inlineStr">
        <is>
          <t>2024-06</t>
        </is>
      </c>
      <c r="F3763" s="6" t="n"/>
      <c r="G3763" s="6" t="inlineStr">
        <is>
          <t>EXPORTACAO</t>
        </is>
      </c>
      <c r="H3763" s="6" t="inlineStr">
        <is>
          <t>AUTO_OFERTA_TOTAL_PRODUTO_PERIODO</t>
        </is>
      </c>
      <c r="I3763" s="11">
        <f>IF($H3763="AUTO_OFERTA_TOTAL_PRODUTO_PERIODO",SUMIFS(Oferta!$F:$F,Oferta!$A:$A,$A3763,Oferta!$E:$E,$E3763),$F3763)</f>
        <v/>
      </c>
      <c r="J3763" s="6" t="inlineStr">
        <is>
          <t>Derivado_da_Oferta</t>
        </is>
      </c>
      <c r="K3763" s="6" t="inlineStr">
        <is>
          <t>Mercado externo: limite superior calculado automaticamente pela soma da oferta do produto no período.</t>
        </is>
      </c>
    </row>
    <row r="3764">
      <c r="A3764" s="6" t="inlineStr">
        <is>
          <t>Milho</t>
        </is>
      </c>
      <c r="B3764" s="6" t="inlineStr">
        <is>
          <t>Santarém - PA</t>
        </is>
      </c>
      <c r="C3764" s="6" t="n">
        <v>-2.43849</v>
      </c>
      <c r="D3764" s="6" t="n">
        <v>-54.6996</v>
      </c>
      <c r="E3764" s="6" t="inlineStr">
        <is>
          <t>2024-07</t>
        </is>
      </c>
      <c r="F3764" s="6" t="n"/>
      <c r="G3764" s="6" t="inlineStr">
        <is>
          <t>EXPORTACAO</t>
        </is>
      </c>
      <c r="H3764" s="6" t="inlineStr">
        <is>
          <t>AUTO_OFERTA_TOTAL_PRODUTO_PERIODO</t>
        </is>
      </c>
      <c r="I3764" s="11">
        <f>IF($H3764="AUTO_OFERTA_TOTAL_PRODUTO_PERIODO",SUMIFS(Oferta!$F:$F,Oferta!$A:$A,$A3764,Oferta!$E:$E,$E3764),$F3764)</f>
        <v/>
      </c>
      <c r="J3764" s="6" t="inlineStr">
        <is>
          <t>Derivado_da_Oferta</t>
        </is>
      </c>
      <c r="K3764" s="6" t="inlineStr">
        <is>
          <t>Mercado externo: limite superior calculado automaticamente pela soma da oferta do produto no período.</t>
        </is>
      </c>
    </row>
    <row r="3765">
      <c r="A3765" s="6" t="inlineStr">
        <is>
          <t>Milho</t>
        </is>
      </c>
      <c r="B3765" s="6" t="inlineStr">
        <is>
          <t>Santarém - PA</t>
        </is>
      </c>
      <c r="C3765" s="6" t="n">
        <v>-2.43849</v>
      </c>
      <c r="D3765" s="6" t="n">
        <v>-54.6996</v>
      </c>
      <c r="E3765" s="6" t="inlineStr">
        <is>
          <t>2024-08</t>
        </is>
      </c>
      <c r="F3765" s="6" t="n"/>
      <c r="G3765" s="6" t="inlineStr">
        <is>
          <t>EXPORTACAO</t>
        </is>
      </c>
      <c r="H3765" s="6" t="inlineStr">
        <is>
          <t>AUTO_OFERTA_TOTAL_PRODUTO_PERIODO</t>
        </is>
      </c>
      <c r="I3765" s="11">
        <f>IF($H3765="AUTO_OFERTA_TOTAL_PRODUTO_PERIODO",SUMIFS(Oferta!$F:$F,Oferta!$A:$A,$A3765,Oferta!$E:$E,$E3765),$F3765)</f>
        <v/>
      </c>
      <c r="J3765" s="6" t="inlineStr">
        <is>
          <t>Derivado_da_Oferta</t>
        </is>
      </c>
      <c r="K3765" s="6" t="inlineStr">
        <is>
          <t>Mercado externo: limite superior calculado automaticamente pela soma da oferta do produto no período.</t>
        </is>
      </c>
    </row>
    <row r="3766">
      <c r="A3766" s="6" t="inlineStr">
        <is>
          <t>Milho</t>
        </is>
      </c>
      <c r="B3766" s="6" t="inlineStr">
        <is>
          <t>Santarém - PA</t>
        </is>
      </c>
      <c r="C3766" s="6" t="n">
        <v>-2.43849</v>
      </c>
      <c r="D3766" s="6" t="n">
        <v>-54.6996</v>
      </c>
      <c r="E3766" s="6" t="inlineStr">
        <is>
          <t>2024-09</t>
        </is>
      </c>
      <c r="F3766" s="6" t="n"/>
      <c r="G3766" s="6" t="inlineStr">
        <is>
          <t>EXPORTACAO</t>
        </is>
      </c>
      <c r="H3766" s="6" t="inlineStr">
        <is>
          <t>AUTO_OFERTA_TOTAL_PRODUTO_PERIODO</t>
        </is>
      </c>
      <c r="I3766" s="11">
        <f>IF($H3766="AUTO_OFERTA_TOTAL_PRODUTO_PERIODO",SUMIFS(Oferta!$F:$F,Oferta!$A:$A,$A3766,Oferta!$E:$E,$E3766),$F3766)</f>
        <v/>
      </c>
      <c r="J3766" s="6" t="inlineStr">
        <is>
          <t>Derivado_da_Oferta</t>
        </is>
      </c>
      <c r="K3766" s="6" t="inlineStr">
        <is>
          <t>Mercado externo: limite superior calculado automaticamente pela soma da oferta do produto no período.</t>
        </is>
      </c>
    </row>
    <row r="3767">
      <c r="A3767" s="6" t="inlineStr">
        <is>
          <t>Milho</t>
        </is>
      </c>
      <c r="B3767" s="6" t="inlineStr">
        <is>
          <t>Santarém - PA</t>
        </is>
      </c>
      <c r="C3767" s="6" t="n">
        <v>-2.43849</v>
      </c>
      <c r="D3767" s="6" t="n">
        <v>-54.6996</v>
      </c>
      <c r="E3767" s="6" t="inlineStr">
        <is>
          <t>2024-10</t>
        </is>
      </c>
      <c r="F3767" s="6" t="n"/>
      <c r="G3767" s="6" t="inlineStr">
        <is>
          <t>EXPORTACAO</t>
        </is>
      </c>
      <c r="H3767" s="6" t="inlineStr">
        <is>
          <t>AUTO_OFERTA_TOTAL_PRODUTO_PERIODO</t>
        </is>
      </c>
      <c r="I3767" s="11">
        <f>IF($H3767="AUTO_OFERTA_TOTAL_PRODUTO_PERIODO",SUMIFS(Oferta!$F:$F,Oferta!$A:$A,$A3767,Oferta!$E:$E,$E3767),$F3767)</f>
        <v/>
      </c>
      <c r="J3767" s="6" t="inlineStr">
        <is>
          <t>Derivado_da_Oferta</t>
        </is>
      </c>
      <c r="K3767" s="6" t="inlineStr">
        <is>
          <t>Mercado externo: limite superior calculado automaticamente pela soma da oferta do produto no período.</t>
        </is>
      </c>
    </row>
    <row r="3768">
      <c r="A3768" s="6" t="inlineStr">
        <is>
          <t>Milho</t>
        </is>
      </c>
      <c r="B3768" s="6" t="inlineStr">
        <is>
          <t>Santarém - PA</t>
        </is>
      </c>
      <c r="C3768" s="6" t="n">
        <v>-2.43849</v>
      </c>
      <c r="D3768" s="6" t="n">
        <v>-54.6996</v>
      </c>
      <c r="E3768" s="6" t="inlineStr">
        <is>
          <t>2024-11</t>
        </is>
      </c>
      <c r="F3768" s="6" t="n"/>
      <c r="G3768" s="6" t="inlineStr">
        <is>
          <t>EXPORTACAO</t>
        </is>
      </c>
      <c r="H3768" s="6" t="inlineStr">
        <is>
          <t>AUTO_OFERTA_TOTAL_PRODUTO_PERIODO</t>
        </is>
      </c>
      <c r="I3768" s="11">
        <f>IF($H3768="AUTO_OFERTA_TOTAL_PRODUTO_PERIODO",SUMIFS(Oferta!$F:$F,Oferta!$A:$A,$A3768,Oferta!$E:$E,$E3768),$F3768)</f>
        <v/>
      </c>
      <c r="J3768" s="6" t="inlineStr">
        <is>
          <t>Derivado_da_Oferta</t>
        </is>
      </c>
      <c r="K3768" s="6" t="inlineStr">
        <is>
          <t>Mercado externo: limite superior calculado automaticamente pela soma da oferta do produto no período.</t>
        </is>
      </c>
    </row>
    <row r="3769">
      <c r="A3769" s="6" t="inlineStr">
        <is>
          <t>Milho</t>
        </is>
      </c>
      <c r="B3769" s="6" t="inlineStr">
        <is>
          <t>Santarém - PA</t>
        </is>
      </c>
      <c r="C3769" s="6" t="n">
        <v>-2.43849</v>
      </c>
      <c r="D3769" s="6" t="n">
        <v>-54.6996</v>
      </c>
      <c r="E3769" s="6" t="inlineStr">
        <is>
          <t>2024-12</t>
        </is>
      </c>
      <c r="F3769" s="6" t="n"/>
      <c r="G3769" s="6" t="inlineStr">
        <is>
          <t>EXPORTACAO</t>
        </is>
      </c>
      <c r="H3769" s="6" t="inlineStr">
        <is>
          <t>AUTO_OFERTA_TOTAL_PRODUTO_PERIODO</t>
        </is>
      </c>
      <c r="I3769" s="11">
        <f>IF($H3769="AUTO_OFERTA_TOTAL_PRODUTO_PERIODO",SUMIFS(Oferta!$F:$F,Oferta!$A:$A,$A3769,Oferta!$E:$E,$E3769),$F3769)</f>
        <v/>
      </c>
      <c r="J3769" s="6" t="inlineStr">
        <is>
          <t>Derivado_da_Oferta</t>
        </is>
      </c>
      <c r="K3769" s="6" t="inlineStr">
        <is>
          <t>Mercado externo: limite superior calculado automaticamente pela soma da oferta do produto no período.</t>
        </is>
      </c>
    </row>
    <row r="3770">
      <c r="A3770" s="6" t="inlineStr">
        <is>
          <t>Milho</t>
        </is>
      </c>
      <c r="B3770" s="6" t="inlineStr">
        <is>
          <t>Santarém - PA</t>
        </is>
      </c>
      <c r="C3770" s="6" t="n">
        <v>-2.43849</v>
      </c>
      <c r="D3770" s="6" t="n">
        <v>-54.6996</v>
      </c>
      <c r="E3770" s="6" t="inlineStr">
        <is>
          <t>2025-01</t>
        </is>
      </c>
      <c r="F3770" s="6" t="n"/>
      <c r="G3770" s="6" t="inlineStr">
        <is>
          <t>EXPORTACAO</t>
        </is>
      </c>
      <c r="H3770" s="6" t="inlineStr">
        <is>
          <t>AUTO_OFERTA_TOTAL_PRODUTO_PERIODO</t>
        </is>
      </c>
      <c r="I3770" s="11">
        <f>IF($H3770="AUTO_OFERTA_TOTAL_PRODUTO_PERIODO",SUMIFS(Oferta!$F:$F,Oferta!$A:$A,$A3770,Oferta!$E:$E,$E3770),$F3770)</f>
        <v/>
      </c>
      <c r="J3770" s="6" t="inlineStr">
        <is>
          <t>Derivado_da_Oferta</t>
        </is>
      </c>
      <c r="K3770" s="6" t="inlineStr">
        <is>
          <t>Mercado externo: limite superior calculado automaticamente pela soma da oferta do produto no período.</t>
        </is>
      </c>
    </row>
    <row r="3771">
      <c r="A3771" s="6" t="inlineStr">
        <is>
          <t>Milho</t>
        </is>
      </c>
      <c r="B3771" s="6" t="inlineStr">
        <is>
          <t>Santarém - PA</t>
        </is>
      </c>
      <c r="C3771" s="6" t="n">
        <v>-2.43849</v>
      </c>
      <c r="D3771" s="6" t="n">
        <v>-54.6996</v>
      </c>
      <c r="E3771" s="6" t="inlineStr">
        <is>
          <t>2025-02</t>
        </is>
      </c>
      <c r="F3771" s="6" t="n"/>
      <c r="G3771" s="6" t="inlineStr">
        <is>
          <t>EXPORTACAO</t>
        </is>
      </c>
      <c r="H3771" s="6" t="inlineStr">
        <is>
          <t>AUTO_OFERTA_TOTAL_PRODUTO_PERIODO</t>
        </is>
      </c>
      <c r="I3771" s="11">
        <f>IF($H3771="AUTO_OFERTA_TOTAL_PRODUTO_PERIODO",SUMIFS(Oferta!$F:$F,Oferta!$A:$A,$A3771,Oferta!$E:$E,$E3771),$F3771)</f>
        <v/>
      </c>
      <c r="J3771" s="6" t="inlineStr">
        <is>
          <t>Derivado_da_Oferta</t>
        </is>
      </c>
      <c r="K3771" s="6" t="inlineStr">
        <is>
          <t>Mercado externo: limite superior calculado automaticamente pela soma da oferta do produto no período.</t>
        </is>
      </c>
    </row>
    <row r="3772">
      <c r="A3772" s="6" t="inlineStr">
        <is>
          <t>Milho</t>
        </is>
      </c>
      <c r="B3772" s="6" t="inlineStr">
        <is>
          <t>Santarém - PA</t>
        </is>
      </c>
      <c r="C3772" s="6" t="n">
        <v>-2.43849</v>
      </c>
      <c r="D3772" s="6" t="n">
        <v>-54.6996</v>
      </c>
      <c r="E3772" s="6" t="inlineStr">
        <is>
          <t>2025-03</t>
        </is>
      </c>
      <c r="F3772" s="6" t="n"/>
      <c r="G3772" s="6" t="inlineStr">
        <is>
          <t>EXPORTACAO</t>
        </is>
      </c>
      <c r="H3772" s="6" t="inlineStr">
        <is>
          <t>AUTO_OFERTA_TOTAL_PRODUTO_PERIODO</t>
        </is>
      </c>
      <c r="I3772" s="11">
        <f>IF($H3772="AUTO_OFERTA_TOTAL_PRODUTO_PERIODO",SUMIFS(Oferta!$F:$F,Oferta!$A:$A,$A3772,Oferta!$E:$E,$E3772),$F3772)</f>
        <v/>
      </c>
      <c r="J3772" s="6" t="inlineStr">
        <is>
          <t>Derivado_da_Oferta</t>
        </is>
      </c>
      <c r="K3772" s="6" t="inlineStr">
        <is>
          <t>Mercado externo: limite superior calculado automaticamente pela soma da oferta do produto no período.</t>
        </is>
      </c>
    </row>
    <row r="3773">
      <c r="A3773" s="6" t="inlineStr">
        <is>
          <t>Milho</t>
        </is>
      </c>
      <c r="B3773" s="6" t="inlineStr">
        <is>
          <t>Santarém - PA</t>
        </is>
      </c>
      <c r="C3773" s="6" t="n">
        <v>-2.43849</v>
      </c>
      <c r="D3773" s="6" t="n">
        <v>-54.6996</v>
      </c>
      <c r="E3773" s="6" t="inlineStr">
        <is>
          <t>2025-04</t>
        </is>
      </c>
      <c r="F3773" s="6" t="n"/>
      <c r="G3773" s="6" t="inlineStr">
        <is>
          <t>EXPORTACAO</t>
        </is>
      </c>
      <c r="H3773" s="6" t="inlineStr">
        <is>
          <t>AUTO_OFERTA_TOTAL_PRODUTO_PERIODO</t>
        </is>
      </c>
      <c r="I3773" s="11">
        <f>IF($H3773="AUTO_OFERTA_TOTAL_PRODUTO_PERIODO",SUMIFS(Oferta!$F:$F,Oferta!$A:$A,$A3773,Oferta!$E:$E,$E3773),$F3773)</f>
        <v/>
      </c>
      <c r="J3773" s="6" t="inlineStr">
        <is>
          <t>Derivado_da_Oferta</t>
        </is>
      </c>
      <c r="K3773" s="6" t="inlineStr">
        <is>
          <t>Mercado externo: limite superior calculado automaticamente pela soma da oferta do produto no período.</t>
        </is>
      </c>
    </row>
    <row r="3774">
      <c r="A3774" s="6" t="inlineStr">
        <is>
          <t>Milho</t>
        </is>
      </c>
      <c r="B3774" s="6" t="inlineStr">
        <is>
          <t>Santarém - PA</t>
        </is>
      </c>
      <c r="C3774" s="6" t="n">
        <v>-2.43849</v>
      </c>
      <c r="D3774" s="6" t="n">
        <v>-54.6996</v>
      </c>
      <c r="E3774" s="6" t="inlineStr">
        <is>
          <t>2025-05</t>
        </is>
      </c>
      <c r="F3774" s="6" t="n"/>
      <c r="G3774" s="6" t="inlineStr">
        <is>
          <t>EXPORTACAO</t>
        </is>
      </c>
      <c r="H3774" s="6" t="inlineStr">
        <is>
          <t>AUTO_OFERTA_TOTAL_PRODUTO_PERIODO</t>
        </is>
      </c>
      <c r="I3774" s="11">
        <f>IF($H3774="AUTO_OFERTA_TOTAL_PRODUTO_PERIODO",SUMIFS(Oferta!$F:$F,Oferta!$A:$A,$A3774,Oferta!$E:$E,$E3774),$F3774)</f>
        <v/>
      </c>
      <c r="J3774" s="6" t="inlineStr">
        <is>
          <t>Derivado_da_Oferta</t>
        </is>
      </c>
      <c r="K3774" s="6" t="inlineStr">
        <is>
          <t>Mercado externo: limite superior calculado automaticamente pela soma da oferta do produto no período.</t>
        </is>
      </c>
    </row>
    <row r="3775">
      <c r="A3775" s="6" t="inlineStr">
        <is>
          <t>Milho</t>
        </is>
      </c>
      <c r="B3775" s="6" t="inlineStr">
        <is>
          <t>Santarém - PA</t>
        </is>
      </c>
      <c r="C3775" s="6" t="n">
        <v>-2.43849</v>
      </c>
      <c r="D3775" s="6" t="n">
        <v>-54.6996</v>
      </c>
      <c r="E3775" s="6" t="inlineStr">
        <is>
          <t>2025-06</t>
        </is>
      </c>
      <c r="F3775" s="6" t="n"/>
      <c r="G3775" s="6" t="inlineStr">
        <is>
          <t>EXPORTACAO</t>
        </is>
      </c>
      <c r="H3775" s="6" t="inlineStr">
        <is>
          <t>AUTO_OFERTA_TOTAL_PRODUTO_PERIODO</t>
        </is>
      </c>
      <c r="I3775" s="11">
        <f>IF($H3775="AUTO_OFERTA_TOTAL_PRODUTO_PERIODO",SUMIFS(Oferta!$F:$F,Oferta!$A:$A,$A3775,Oferta!$E:$E,$E3775),$F3775)</f>
        <v/>
      </c>
      <c r="J3775" s="6" t="inlineStr">
        <is>
          <t>Derivado_da_Oferta</t>
        </is>
      </c>
      <c r="K3775" s="6" t="inlineStr">
        <is>
          <t>Mercado externo: limite superior calculado automaticamente pela soma da oferta do produto no período.</t>
        </is>
      </c>
    </row>
    <row r="3776">
      <c r="A3776" s="6" t="inlineStr">
        <is>
          <t>Milho</t>
        </is>
      </c>
      <c r="B3776" s="6" t="inlineStr">
        <is>
          <t>Santarém - PA</t>
        </is>
      </c>
      <c r="C3776" s="6" t="n">
        <v>-2.43849</v>
      </c>
      <c r="D3776" s="6" t="n">
        <v>-54.6996</v>
      </c>
      <c r="E3776" s="6" t="inlineStr">
        <is>
          <t>2025-07</t>
        </is>
      </c>
      <c r="F3776" s="6" t="n"/>
      <c r="G3776" s="6" t="inlineStr">
        <is>
          <t>EXPORTACAO</t>
        </is>
      </c>
      <c r="H3776" s="6" t="inlineStr">
        <is>
          <t>AUTO_OFERTA_TOTAL_PRODUTO_PERIODO</t>
        </is>
      </c>
      <c r="I3776" s="11">
        <f>IF($H3776="AUTO_OFERTA_TOTAL_PRODUTO_PERIODO",SUMIFS(Oferta!$F:$F,Oferta!$A:$A,$A3776,Oferta!$E:$E,$E3776),$F3776)</f>
        <v/>
      </c>
      <c r="J3776" s="6" t="inlineStr">
        <is>
          <t>Derivado_da_Oferta</t>
        </is>
      </c>
      <c r="K3776" s="6" t="inlineStr">
        <is>
          <t>Mercado externo: limite superior calculado automaticamente pela soma da oferta do produto no período.</t>
        </is>
      </c>
    </row>
    <row r="3777">
      <c r="A3777" s="6" t="inlineStr">
        <is>
          <t>Milho</t>
        </is>
      </c>
      <c r="B3777" s="6" t="inlineStr">
        <is>
          <t>Santarém - PA</t>
        </is>
      </c>
      <c r="C3777" s="6" t="n">
        <v>-2.43849</v>
      </c>
      <c r="D3777" s="6" t="n">
        <v>-54.6996</v>
      </c>
      <c r="E3777" s="6" t="inlineStr">
        <is>
          <t>2025-08</t>
        </is>
      </c>
      <c r="F3777" s="6" t="n"/>
      <c r="G3777" s="6" t="inlineStr">
        <is>
          <t>EXPORTACAO</t>
        </is>
      </c>
      <c r="H3777" s="6" t="inlineStr">
        <is>
          <t>AUTO_OFERTA_TOTAL_PRODUTO_PERIODO</t>
        </is>
      </c>
      <c r="I3777" s="11">
        <f>IF($H3777="AUTO_OFERTA_TOTAL_PRODUTO_PERIODO",SUMIFS(Oferta!$F:$F,Oferta!$A:$A,$A3777,Oferta!$E:$E,$E3777),$F3777)</f>
        <v/>
      </c>
      <c r="J3777" s="6" t="inlineStr">
        <is>
          <t>Derivado_da_Oferta</t>
        </is>
      </c>
      <c r="K3777" s="6" t="inlineStr">
        <is>
          <t>Mercado externo: limite superior calculado automaticamente pela soma da oferta do produto no período.</t>
        </is>
      </c>
    </row>
    <row r="3778">
      <c r="A3778" s="6" t="inlineStr">
        <is>
          <t>Milho</t>
        </is>
      </c>
      <c r="B3778" s="6" t="inlineStr">
        <is>
          <t>Santarém - PA</t>
        </is>
      </c>
      <c r="C3778" s="6" t="n">
        <v>-2.43849</v>
      </c>
      <c r="D3778" s="6" t="n">
        <v>-54.6996</v>
      </c>
      <c r="E3778" s="6" t="inlineStr">
        <is>
          <t>2025-09</t>
        </is>
      </c>
      <c r="F3778" s="6" t="n"/>
      <c r="G3778" s="6" t="inlineStr">
        <is>
          <t>EXPORTACAO</t>
        </is>
      </c>
      <c r="H3778" s="6" t="inlineStr">
        <is>
          <t>AUTO_OFERTA_TOTAL_PRODUTO_PERIODO</t>
        </is>
      </c>
      <c r="I3778" s="11">
        <f>IF($H3778="AUTO_OFERTA_TOTAL_PRODUTO_PERIODO",SUMIFS(Oferta!$F:$F,Oferta!$A:$A,$A3778,Oferta!$E:$E,$E3778),$F3778)</f>
        <v/>
      </c>
      <c r="J3778" s="6" t="inlineStr">
        <is>
          <t>Derivado_da_Oferta</t>
        </is>
      </c>
      <c r="K3778" s="6" t="inlineStr">
        <is>
          <t>Mercado externo: limite superior calculado automaticamente pela soma da oferta do produto no período.</t>
        </is>
      </c>
    </row>
    <row r="3779">
      <c r="A3779" s="6" t="inlineStr">
        <is>
          <t>Milho</t>
        </is>
      </c>
      <c r="B3779" s="6" t="inlineStr">
        <is>
          <t>Santarém - PA</t>
        </is>
      </c>
      <c r="C3779" s="6" t="n">
        <v>-2.43849</v>
      </c>
      <c r="D3779" s="6" t="n">
        <v>-54.6996</v>
      </c>
      <c r="E3779" s="6" t="inlineStr">
        <is>
          <t>2025-10</t>
        </is>
      </c>
      <c r="F3779" s="6" t="n"/>
      <c r="G3779" s="6" t="inlineStr">
        <is>
          <t>EXPORTACAO</t>
        </is>
      </c>
      <c r="H3779" s="6" t="inlineStr">
        <is>
          <t>AUTO_OFERTA_TOTAL_PRODUTO_PERIODO</t>
        </is>
      </c>
      <c r="I3779" s="11">
        <f>IF($H3779="AUTO_OFERTA_TOTAL_PRODUTO_PERIODO",SUMIFS(Oferta!$F:$F,Oferta!$A:$A,$A3779,Oferta!$E:$E,$E3779),$F3779)</f>
        <v/>
      </c>
      <c r="J3779" s="6" t="inlineStr">
        <is>
          <t>Derivado_da_Oferta</t>
        </is>
      </c>
      <c r="K3779" s="6" t="inlineStr">
        <is>
          <t>Mercado externo: limite superior calculado automaticamente pela soma da oferta do produto no período.</t>
        </is>
      </c>
    </row>
    <row r="3780">
      <c r="A3780" s="6" t="inlineStr">
        <is>
          <t>Milho</t>
        </is>
      </c>
      <c r="B3780" s="6" t="inlineStr">
        <is>
          <t>Santarém - PA</t>
        </is>
      </c>
      <c r="C3780" s="6" t="n">
        <v>-2.43849</v>
      </c>
      <c r="D3780" s="6" t="n">
        <v>-54.6996</v>
      </c>
      <c r="E3780" s="6" t="inlineStr">
        <is>
          <t>2025-11</t>
        </is>
      </c>
      <c r="F3780" s="6" t="n"/>
      <c r="G3780" s="6" t="inlineStr">
        <is>
          <t>EXPORTACAO</t>
        </is>
      </c>
      <c r="H3780" s="6" t="inlineStr">
        <is>
          <t>AUTO_OFERTA_TOTAL_PRODUTO_PERIODO</t>
        </is>
      </c>
      <c r="I3780" s="11">
        <f>IF($H3780="AUTO_OFERTA_TOTAL_PRODUTO_PERIODO",SUMIFS(Oferta!$F:$F,Oferta!$A:$A,$A3780,Oferta!$E:$E,$E3780),$F3780)</f>
        <v/>
      </c>
      <c r="J3780" s="6" t="inlineStr">
        <is>
          <t>Derivado_da_Oferta</t>
        </is>
      </c>
      <c r="K3780" s="6" t="inlineStr">
        <is>
          <t>Mercado externo: limite superior calculado automaticamente pela soma da oferta do produto no período.</t>
        </is>
      </c>
    </row>
    <row r="3781">
      <c r="A3781" s="6" t="inlineStr">
        <is>
          <t>Milho</t>
        </is>
      </c>
      <c r="B3781" s="6" t="inlineStr">
        <is>
          <t>Santarém - PA</t>
        </is>
      </c>
      <c r="C3781" s="6" t="n">
        <v>-2.43849</v>
      </c>
      <c r="D3781" s="6" t="n">
        <v>-54.6996</v>
      </c>
      <c r="E3781" s="6" t="inlineStr">
        <is>
          <t>2025-12</t>
        </is>
      </c>
      <c r="F3781" s="6" t="n"/>
      <c r="G3781" s="6" t="inlineStr">
        <is>
          <t>EXPORTACAO</t>
        </is>
      </c>
      <c r="H3781" s="6" t="inlineStr">
        <is>
          <t>AUTO_OFERTA_TOTAL_PRODUTO_PERIODO</t>
        </is>
      </c>
      <c r="I3781" s="11">
        <f>IF($H3781="AUTO_OFERTA_TOTAL_PRODUTO_PERIODO",SUMIFS(Oferta!$F:$F,Oferta!$A:$A,$A3781,Oferta!$E:$E,$E3781),$F3781)</f>
        <v/>
      </c>
      <c r="J3781" s="6" t="inlineStr">
        <is>
          <t>Derivado_da_Oferta</t>
        </is>
      </c>
      <c r="K3781" s="6" t="inlineStr">
        <is>
          <t>Mercado externo: limite superior calculado automaticamente pela soma da oferta do produto no período.</t>
        </is>
      </c>
    </row>
    <row r="3782">
      <c r="A3782" s="6" t="inlineStr">
        <is>
          <t>Soja</t>
        </is>
      </c>
      <c r="B3782" s="6" t="inlineStr">
        <is>
          <t>Santarém - PA</t>
        </is>
      </c>
      <c r="C3782" s="6" t="n">
        <v>-2.43849</v>
      </c>
      <c r="D3782" s="6" t="n">
        <v>-54.6996</v>
      </c>
      <c r="E3782" s="6" t="inlineStr">
        <is>
          <t>2021-01</t>
        </is>
      </c>
      <c r="F3782" s="6" t="n"/>
      <c r="G3782" s="6" t="inlineStr">
        <is>
          <t>EXPORTACAO</t>
        </is>
      </c>
      <c r="H3782" s="6" t="inlineStr">
        <is>
          <t>AUTO_OFERTA_TOTAL_PRODUTO_PERIODO</t>
        </is>
      </c>
      <c r="I3782" s="11">
        <f>IF($H3782="AUTO_OFERTA_TOTAL_PRODUTO_PERIODO",SUMIFS(Oferta!$F:$F,Oferta!$A:$A,$A3782,Oferta!$E:$E,$E3782),$F3782)</f>
        <v/>
      </c>
      <c r="J3782" s="6" t="inlineStr">
        <is>
          <t>Derivado_da_Oferta</t>
        </is>
      </c>
      <c r="K3782" s="6" t="inlineStr">
        <is>
          <t>Mercado externo: limite superior calculado automaticamente pela soma da oferta do produto no período.</t>
        </is>
      </c>
    </row>
    <row r="3783">
      <c r="A3783" s="6" t="inlineStr">
        <is>
          <t>Soja</t>
        </is>
      </c>
      <c r="B3783" s="6" t="inlineStr">
        <is>
          <t>Santarém - PA</t>
        </is>
      </c>
      <c r="C3783" s="6" t="n">
        <v>-2.43849</v>
      </c>
      <c r="D3783" s="6" t="n">
        <v>-54.6996</v>
      </c>
      <c r="E3783" s="6" t="inlineStr">
        <is>
          <t>2021-02</t>
        </is>
      </c>
      <c r="F3783" s="6" t="n"/>
      <c r="G3783" s="6" t="inlineStr">
        <is>
          <t>EXPORTACAO</t>
        </is>
      </c>
      <c r="H3783" s="6" t="inlineStr">
        <is>
          <t>AUTO_OFERTA_TOTAL_PRODUTO_PERIODO</t>
        </is>
      </c>
      <c r="I3783" s="11">
        <f>IF($H3783="AUTO_OFERTA_TOTAL_PRODUTO_PERIODO",SUMIFS(Oferta!$F:$F,Oferta!$A:$A,$A3783,Oferta!$E:$E,$E3783),$F3783)</f>
        <v/>
      </c>
      <c r="J3783" s="6" t="inlineStr">
        <is>
          <t>Derivado_da_Oferta</t>
        </is>
      </c>
      <c r="K3783" s="6" t="inlineStr">
        <is>
          <t>Mercado externo: limite superior calculado automaticamente pela soma da oferta do produto no período.</t>
        </is>
      </c>
    </row>
    <row r="3784">
      <c r="A3784" s="6" t="inlineStr">
        <is>
          <t>Soja</t>
        </is>
      </c>
      <c r="B3784" s="6" t="inlineStr">
        <is>
          <t>Santarém - PA</t>
        </is>
      </c>
      <c r="C3784" s="6" t="n">
        <v>-2.43849</v>
      </c>
      <c r="D3784" s="6" t="n">
        <v>-54.6996</v>
      </c>
      <c r="E3784" s="6" t="inlineStr">
        <is>
          <t>2021-03</t>
        </is>
      </c>
      <c r="F3784" s="6" t="n"/>
      <c r="G3784" s="6" t="inlineStr">
        <is>
          <t>EXPORTACAO</t>
        </is>
      </c>
      <c r="H3784" s="6" t="inlineStr">
        <is>
          <t>AUTO_OFERTA_TOTAL_PRODUTO_PERIODO</t>
        </is>
      </c>
      <c r="I3784" s="11">
        <f>IF($H3784="AUTO_OFERTA_TOTAL_PRODUTO_PERIODO",SUMIFS(Oferta!$F:$F,Oferta!$A:$A,$A3784,Oferta!$E:$E,$E3784),$F3784)</f>
        <v/>
      </c>
      <c r="J3784" s="6" t="inlineStr">
        <is>
          <t>Derivado_da_Oferta</t>
        </is>
      </c>
      <c r="K3784" s="6" t="inlineStr">
        <is>
          <t>Mercado externo: limite superior calculado automaticamente pela soma da oferta do produto no período.</t>
        </is>
      </c>
    </row>
    <row r="3785">
      <c r="A3785" s="6" t="inlineStr">
        <is>
          <t>Soja</t>
        </is>
      </c>
      <c r="B3785" s="6" t="inlineStr">
        <is>
          <t>Santarém - PA</t>
        </is>
      </c>
      <c r="C3785" s="6" t="n">
        <v>-2.43849</v>
      </c>
      <c r="D3785" s="6" t="n">
        <v>-54.6996</v>
      </c>
      <c r="E3785" s="6" t="inlineStr">
        <is>
          <t>2021-04</t>
        </is>
      </c>
      <c r="F3785" s="6" t="n"/>
      <c r="G3785" s="6" t="inlineStr">
        <is>
          <t>EXPORTACAO</t>
        </is>
      </c>
      <c r="H3785" s="6" t="inlineStr">
        <is>
          <t>AUTO_OFERTA_TOTAL_PRODUTO_PERIODO</t>
        </is>
      </c>
      <c r="I3785" s="11">
        <f>IF($H3785="AUTO_OFERTA_TOTAL_PRODUTO_PERIODO",SUMIFS(Oferta!$F:$F,Oferta!$A:$A,$A3785,Oferta!$E:$E,$E3785),$F3785)</f>
        <v/>
      </c>
      <c r="J3785" s="6" t="inlineStr">
        <is>
          <t>Derivado_da_Oferta</t>
        </is>
      </c>
      <c r="K3785" s="6" t="inlineStr">
        <is>
          <t>Mercado externo: limite superior calculado automaticamente pela soma da oferta do produto no período.</t>
        </is>
      </c>
    </row>
    <row r="3786">
      <c r="A3786" s="6" t="inlineStr">
        <is>
          <t>Soja</t>
        </is>
      </c>
      <c r="B3786" s="6" t="inlineStr">
        <is>
          <t>Santarém - PA</t>
        </is>
      </c>
      <c r="C3786" s="6" t="n">
        <v>-2.43849</v>
      </c>
      <c r="D3786" s="6" t="n">
        <v>-54.6996</v>
      </c>
      <c r="E3786" s="6" t="inlineStr">
        <is>
          <t>2021-05</t>
        </is>
      </c>
      <c r="F3786" s="6" t="n"/>
      <c r="G3786" s="6" t="inlineStr">
        <is>
          <t>EXPORTACAO</t>
        </is>
      </c>
      <c r="H3786" s="6" t="inlineStr">
        <is>
          <t>AUTO_OFERTA_TOTAL_PRODUTO_PERIODO</t>
        </is>
      </c>
      <c r="I3786" s="11">
        <f>IF($H3786="AUTO_OFERTA_TOTAL_PRODUTO_PERIODO",SUMIFS(Oferta!$F:$F,Oferta!$A:$A,$A3786,Oferta!$E:$E,$E3786),$F3786)</f>
        <v/>
      </c>
      <c r="J3786" s="6" t="inlineStr">
        <is>
          <t>Derivado_da_Oferta</t>
        </is>
      </c>
      <c r="K3786" s="6" t="inlineStr">
        <is>
          <t>Mercado externo: limite superior calculado automaticamente pela soma da oferta do produto no período.</t>
        </is>
      </c>
    </row>
    <row r="3787">
      <c r="A3787" s="6" t="inlineStr">
        <is>
          <t>Soja</t>
        </is>
      </c>
      <c r="B3787" s="6" t="inlineStr">
        <is>
          <t>Santarém - PA</t>
        </is>
      </c>
      <c r="C3787" s="6" t="n">
        <v>-2.43849</v>
      </c>
      <c r="D3787" s="6" t="n">
        <v>-54.6996</v>
      </c>
      <c r="E3787" s="6" t="inlineStr">
        <is>
          <t>2021-06</t>
        </is>
      </c>
      <c r="F3787" s="6" t="n"/>
      <c r="G3787" s="6" t="inlineStr">
        <is>
          <t>EXPORTACAO</t>
        </is>
      </c>
      <c r="H3787" s="6" t="inlineStr">
        <is>
          <t>AUTO_OFERTA_TOTAL_PRODUTO_PERIODO</t>
        </is>
      </c>
      <c r="I3787" s="11">
        <f>IF($H3787="AUTO_OFERTA_TOTAL_PRODUTO_PERIODO",SUMIFS(Oferta!$F:$F,Oferta!$A:$A,$A3787,Oferta!$E:$E,$E3787),$F3787)</f>
        <v/>
      </c>
      <c r="J3787" s="6" t="inlineStr">
        <is>
          <t>Derivado_da_Oferta</t>
        </is>
      </c>
      <c r="K3787" s="6" t="inlineStr">
        <is>
          <t>Mercado externo: limite superior calculado automaticamente pela soma da oferta do produto no período.</t>
        </is>
      </c>
    </row>
    <row r="3788">
      <c r="A3788" s="6" t="inlineStr">
        <is>
          <t>Soja</t>
        </is>
      </c>
      <c r="B3788" s="6" t="inlineStr">
        <is>
          <t>Santarém - PA</t>
        </is>
      </c>
      <c r="C3788" s="6" t="n">
        <v>-2.43849</v>
      </c>
      <c r="D3788" s="6" t="n">
        <v>-54.6996</v>
      </c>
      <c r="E3788" s="6" t="inlineStr">
        <is>
          <t>2021-07</t>
        </is>
      </c>
      <c r="F3788" s="6" t="n"/>
      <c r="G3788" s="6" t="inlineStr">
        <is>
          <t>EXPORTACAO</t>
        </is>
      </c>
      <c r="H3788" s="6" t="inlineStr">
        <is>
          <t>AUTO_OFERTA_TOTAL_PRODUTO_PERIODO</t>
        </is>
      </c>
      <c r="I3788" s="11">
        <f>IF($H3788="AUTO_OFERTA_TOTAL_PRODUTO_PERIODO",SUMIFS(Oferta!$F:$F,Oferta!$A:$A,$A3788,Oferta!$E:$E,$E3788),$F3788)</f>
        <v/>
      </c>
      <c r="J3788" s="6" t="inlineStr">
        <is>
          <t>Derivado_da_Oferta</t>
        </is>
      </c>
      <c r="K3788" s="6" t="inlineStr">
        <is>
          <t>Mercado externo: limite superior calculado automaticamente pela soma da oferta do produto no período.</t>
        </is>
      </c>
    </row>
    <row r="3789">
      <c r="A3789" s="6" t="inlineStr">
        <is>
          <t>Soja</t>
        </is>
      </c>
      <c r="B3789" s="6" t="inlineStr">
        <is>
          <t>Santarém - PA</t>
        </is>
      </c>
      <c r="C3789" s="6" t="n">
        <v>-2.43849</v>
      </c>
      <c r="D3789" s="6" t="n">
        <v>-54.6996</v>
      </c>
      <c r="E3789" s="6" t="inlineStr">
        <is>
          <t>2021-08</t>
        </is>
      </c>
      <c r="F3789" s="6" t="n"/>
      <c r="G3789" s="6" t="inlineStr">
        <is>
          <t>EXPORTACAO</t>
        </is>
      </c>
      <c r="H3789" s="6" t="inlineStr">
        <is>
          <t>AUTO_OFERTA_TOTAL_PRODUTO_PERIODO</t>
        </is>
      </c>
      <c r="I3789" s="11">
        <f>IF($H3789="AUTO_OFERTA_TOTAL_PRODUTO_PERIODO",SUMIFS(Oferta!$F:$F,Oferta!$A:$A,$A3789,Oferta!$E:$E,$E3789),$F3789)</f>
        <v/>
      </c>
      <c r="J3789" s="6" t="inlineStr">
        <is>
          <t>Derivado_da_Oferta</t>
        </is>
      </c>
      <c r="K3789" s="6" t="inlineStr">
        <is>
          <t>Mercado externo: limite superior calculado automaticamente pela soma da oferta do produto no período.</t>
        </is>
      </c>
    </row>
    <row r="3790">
      <c r="A3790" s="6" t="inlineStr">
        <is>
          <t>Soja</t>
        </is>
      </c>
      <c r="B3790" s="6" t="inlineStr">
        <is>
          <t>Santarém - PA</t>
        </is>
      </c>
      <c r="C3790" s="6" t="n">
        <v>-2.43849</v>
      </c>
      <c r="D3790" s="6" t="n">
        <v>-54.6996</v>
      </c>
      <c r="E3790" s="6" t="inlineStr">
        <is>
          <t>2021-09</t>
        </is>
      </c>
      <c r="F3790" s="6" t="n"/>
      <c r="G3790" s="6" t="inlineStr">
        <is>
          <t>EXPORTACAO</t>
        </is>
      </c>
      <c r="H3790" s="6" t="inlineStr">
        <is>
          <t>AUTO_OFERTA_TOTAL_PRODUTO_PERIODO</t>
        </is>
      </c>
      <c r="I3790" s="11">
        <f>IF($H3790="AUTO_OFERTA_TOTAL_PRODUTO_PERIODO",SUMIFS(Oferta!$F:$F,Oferta!$A:$A,$A3790,Oferta!$E:$E,$E3790),$F3790)</f>
        <v/>
      </c>
      <c r="J3790" s="6" t="inlineStr">
        <is>
          <t>Derivado_da_Oferta</t>
        </is>
      </c>
      <c r="K3790" s="6" t="inlineStr">
        <is>
          <t>Mercado externo: limite superior calculado automaticamente pela soma da oferta do produto no período.</t>
        </is>
      </c>
    </row>
    <row r="3791">
      <c r="A3791" s="6" t="inlineStr">
        <is>
          <t>Soja</t>
        </is>
      </c>
      <c r="B3791" s="6" t="inlineStr">
        <is>
          <t>Santarém - PA</t>
        </is>
      </c>
      <c r="C3791" s="6" t="n">
        <v>-2.43849</v>
      </c>
      <c r="D3791" s="6" t="n">
        <v>-54.6996</v>
      </c>
      <c r="E3791" s="6" t="inlineStr">
        <is>
          <t>2021-10</t>
        </is>
      </c>
      <c r="F3791" s="6" t="n"/>
      <c r="G3791" s="6" t="inlineStr">
        <is>
          <t>EXPORTACAO</t>
        </is>
      </c>
      <c r="H3791" s="6" t="inlineStr">
        <is>
          <t>AUTO_OFERTA_TOTAL_PRODUTO_PERIODO</t>
        </is>
      </c>
      <c r="I3791" s="11">
        <f>IF($H3791="AUTO_OFERTA_TOTAL_PRODUTO_PERIODO",SUMIFS(Oferta!$F:$F,Oferta!$A:$A,$A3791,Oferta!$E:$E,$E3791),$F3791)</f>
        <v/>
      </c>
      <c r="J3791" s="6" t="inlineStr">
        <is>
          <t>Derivado_da_Oferta</t>
        </is>
      </c>
      <c r="K3791" s="6" t="inlineStr">
        <is>
          <t>Mercado externo: limite superior calculado automaticamente pela soma da oferta do produto no período.</t>
        </is>
      </c>
    </row>
    <row r="3792">
      <c r="A3792" s="6" t="inlineStr">
        <is>
          <t>Soja</t>
        </is>
      </c>
      <c r="B3792" s="6" t="inlineStr">
        <is>
          <t>Santarém - PA</t>
        </is>
      </c>
      <c r="C3792" s="6" t="n">
        <v>-2.43849</v>
      </c>
      <c r="D3792" s="6" t="n">
        <v>-54.6996</v>
      </c>
      <c r="E3792" s="6" t="inlineStr">
        <is>
          <t>2021-11</t>
        </is>
      </c>
      <c r="F3792" s="6" t="n"/>
      <c r="G3792" s="6" t="inlineStr">
        <is>
          <t>EXPORTACAO</t>
        </is>
      </c>
      <c r="H3792" s="6" t="inlineStr">
        <is>
          <t>AUTO_OFERTA_TOTAL_PRODUTO_PERIODO</t>
        </is>
      </c>
      <c r="I3792" s="11">
        <f>IF($H3792="AUTO_OFERTA_TOTAL_PRODUTO_PERIODO",SUMIFS(Oferta!$F:$F,Oferta!$A:$A,$A3792,Oferta!$E:$E,$E3792),$F3792)</f>
        <v/>
      </c>
      <c r="J3792" s="6" t="inlineStr">
        <is>
          <t>Derivado_da_Oferta</t>
        </is>
      </c>
      <c r="K3792" s="6" t="inlineStr">
        <is>
          <t>Mercado externo: limite superior calculado automaticamente pela soma da oferta do produto no período.</t>
        </is>
      </c>
    </row>
    <row r="3793">
      <c r="A3793" s="6" t="inlineStr">
        <is>
          <t>Soja</t>
        </is>
      </c>
      <c r="B3793" s="6" t="inlineStr">
        <is>
          <t>Santarém - PA</t>
        </is>
      </c>
      <c r="C3793" s="6" t="n">
        <v>-2.43849</v>
      </c>
      <c r="D3793" s="6" t="n">
        <v>-54.6996</v>
      </c>
      <c r="E3793" s="6" t="inlineStr">
        <is>
          <t>2021-12</t>
        </is>
      </c>
      <c r="F3793" s="6" t="n"/>
      <c r="G3793" s="6" t="inlineStr">
        <is>
          <t>EXPORTACAO</t>
        </is>
      </c>
      <c r="H3793" s="6" t="inlineStr">
        <is>
          <t>AUTO_OFERTA_TOTAL_PRODUTO_PERIODO</t>
        </is>
      </c>
      <c r="I3793" s="11">
        <f>IF($H3793="AUTO_OFERTA_TOTAL_PRODUTO_PERIODO",SUMIFS(Oferta!$F:$F,Oferta!$A:$A,$A3793,Oferta!$E:$E,$E3793),$F3793)</f>
        <v/>
      </c>
      <c r="J3793" s="6" t="inlineStr">
        <is>
          <t>Derivado_da_Oferta</t>
        </is>
      </c>
      <c r="K3793" s="6" t="inlineStr">
        <is>
          <t>Mercado externo: limite superior calculado automaticamente pela soma da oferta do produto no período.</t>
        </is>
      </c>
    </row>
    <row r="3794">
      <c r="A3794" s="6" t="inlineStr">
        <is>
          <t>Soja</t>
        </is>
      </c>
      <c r="B3794" s="6" t="inlineStr">
        <is>
          <t>Santarém - PA</t>
        </is>
      </c>
      <c r="C3794" s="6" t="n">
        <v>-2.43849</v>
      </c>
      <c r="D3794" s="6" t="n">
        <v>-54.6996</v>
      </c>
      <c r="E3794" s="6" t="inlineStr">
        <is>
          <t>2022-01</t>
        </is>
      </c>
      <c r="F3794" s="6" t="n"/>
      <c r="G3794" s="6" t="inlineStr">
        <is>
          <t>EXPORTACAO</t>
        </is>
      </c>
      <c r="H3794" s="6" t="inlineStr">
        <is>
          <t>AUTO_OFERTA_TOTAL_PRODUTO_PERIODO</t>
        </is>
      </c>
      <c r="I3794" s="11">
        <f>IF($H3794="AUTO_OFERTA_TOTAL_PRODUTO_PERIODO",SUMIFS(Oferta!$F:$F,Oferta!$A:$A,$A3794,Oferta!$E:$E,$E3794),$F3794)</f>
        <v/>
      </c>
      <c r="J3794" s="6" t="inlineStr">
        <is>
          <t>Derivado_da_Oferta</t>
        </is>
      </c>
      <c r="K3794" s="6" t="inlineStr">
        <is>
          <t>Mercado externo: limite superior calculado automaticamente pela soma da oferta do produto no período.</t>
        </is>
      </c>
    </row>
    <row r="3795">
      <c r="A3795" s="6" t="inlineStr">
        <is>
          <t>Soja</t>
        </is>
      </c>
      <c r="B3795" s="6" t="inlineStr">
        <is>
          <t>Santarém - PA</t>
        </is>
      </c>
      <c r="C3795" s="6" t="n">
        <v>-2.43849</v>
      </c>
      <c r="D3795" s="6" t="n">
        <v>-54.6996</v>
      </c>
      <c r="E3795" s="6" t="inlineStr">
        <is>
          <t>2022-02</t>
        </is>
      </c>
      <c r="F3795" s="6" t="n"/>
      <c r="G3795" s="6" t="inlineStr">
        <is>
          <t>EXPORTACAO</t>
        </is>
      </c>
      <c r="H3795" s="6" t="inlineStr">
        <is>
          <t>AUTO_OFERTA_TOTAL_PRODUTO_PERIODO</t>
        </is>
      </c>
      <c r="I3795" s="11">
        <f>IF($H3795="AUTO_OFERTA_TOTAL_PRODUTO_PERIODO",SUMIFS(Oferta!$F:$F,Oferta!$A:$A,$A3795,Oferta!$E:$E,$E3795),$F3795)</f>
        <v/>
      </c>
      <c r="J3795" s="6" t="inlineStr">
        <is>
          <t>Derivado_da_Oferta</t>
        </is>
      </c>
      <c r="K3795" s="6" t="inlineStr">
        <is>
          <t>Mercado externo: limite superior calculado automaticamente pela soma da oferta do produto no período.</t>
        </is>
      </c>
    </row>
    <row r="3796">
      <c r="A3796" s="6" t="inlineStr">
        <is>
          <t>Soja</t>
        </is>
      </c>
      <c r="B3796" s="6" t="inlineStr">
        <is>
          <t>Santarém - PA</t>
        </is>
      </c>
      <c r="C3796" s="6" t="n">
        <v>-2.43849</v>
      </c>
      <c r="D3796" s="6" t="n">
        <v>-54.6996</v>
      </c>
      <c r="E3796" s="6" t="inlineStr">
        <is>
          <t>2022-03</t>
        </is>
      </c>
      <c r="F3796" s="6" t="n"/>
      <c r="G3796" s="6" t="inlineStr">
        <is>
          <t>EXPORTACAO</t>
        </is>
      </c>
      <c r="H3796" s="6" t="inlineStr">
        <is>
          <t>AUTO_OFERTA_TOTAL_PRODUTO_PERIODO</t>
        </is>
      </c>
      <c r="I3796" s="11">
        <f>IF($H3796="AUTO_OFERTA_TOTAL_PRODUTO_PERIODO",SUMIFS(Oferta!$F:$F,Oferta!$A:$A,$A3796,Oferta!$E:$E,$E3796),$F3796)</f>
        <v/>
      </c>
      <c r="J3796" s="6" t="inlineStr">
        <is>
          <t>Derivado_da_Oferta</t>
        </is>
      </c>
      <c r="K3796" s="6" t="inlineStr">
        <is>
          <t>Mercado externo: limite superior calculado automaticamente pela soma da oferta do produto no período.</t>
        </is>
      </c>
    </row>
    <row r="3797">
      <c r="A3797" s="6" t="inlineStr">
        <is>
          <t>Soja</t>
        </is>
      </c>
      <c r="B3797" s="6" t="inlineStr">
        <is>
          <t>Santarém - PA</t>
        </is>
      </c>
      <c r="C3797" s="6" t="n">
        <v>-2.43849</v>
      </c>
      <c r="D3797" s="6" t="n">
        <v>-54.6996</v>
      </c>
      <c r="E3797" s="6" t="inlineStr">
        <is>
          <t>2022-04</t>
        </is>
      </c>
      <c r="F3797" s="6" t="n"/>
      <c r="G3797" s="6" t="inlineStr">
        <is>
          <t>EXPORTACAO</t>
        </is>
      </c>
      <c r="H3797" s="6" t="inlineStr">
        <is>
          <t>AUTO_OFERTA_TOTAL_PRODUTO_PERIODO</t>
        </is>
      </c>
      <c r="I3797" s="11">
        <f>IF($H3797="AUTO_OFERTA_TOTAL_PRODUTO_PERIODO",SUMIFS(Oferta!$F:$F,Oferta!$A:$A,$A3797,Oferta!$E:$E,$E3797),$F3797)</f>
        <v/>
      </c>
      <c r="J3797" s="6" t="inlineStr">
        <is>
          <t>Derivado_da_Oferta</t>
        </is>
      </c>
      <c r="K3797" s="6" t="inlineStr">
        <is>
          <t>Mercado externo: limite superior calculado automaticamente pela soma da oferta do produto no período.</t>
        </is>
      </c>
    </row>
    <row r="3798">
      <c r="A3798" s="6" t="inlineStr">
        <is>
          <t>Soja</t>
        </is>
      </c>
      <c r="B3798" s="6" t="inlineStr">
        <is>
          <t>Santarém - PA</t>
        </is>
      </c>
      <c r="C3798" s="6" t="n">
        <v>-2.43849</v>
      </c>
      <c r="D3798" s="6" t="n">
        <v>-54.6996</v>
      </c>
      <c r="E3798" s="6" t="inlineStr">
        <is>
          <t>2022-05</t>
        </is>
      </c>
      <c r="F3798" s="6" t="n"/>
      <c r="G3798" s="6" t="inlineStr">
        <is>
          <t>EXPORTACAO</t>
        </is>
      </c>
      <c r="H3798" s="6" t="inlineStr">
        <is>
          <t>AUTO_OFERTA_TOTAL_PRODUTO_PERIODO</t>
        </is>
      </c>
      <c r="I3798" s="11">
        <f>IF($H3798="AUTO_OFERTA_TOTAL_PRODUTO_PERIODO",SUMIFS(Oferta!$F:$F,Oferta!$A:$A,$A3798,Oferta!$E:$E,$E3798),$F3798)</f>
        <v/>
      </c>
      <c r="J3798" s="6" t="inlineStr">
        <is>
          <t>Derivado_da_Oferta</t>
        </is>
      </c>
      <c r="K3798" s="6" t="inlineStr">
        <is>
          <t>Mercado externo: limite superior calculado automaticamente pela soma da oferta do produto no período.</t>
        </is>
      </c>
    </row>
    <row r="3799">
      <c r="A3799" s="6" t="inlineStr">
        <is>
          <t>Soja</t>
        </is>
      </c>
      <c r="B3799" s="6" t="inlineStr">
        <is>
          <t>Santarém - PA</t>
        </is>
      </c>
      <c r="C3799" s="6" t="n">
        <v>-2.43849</v>
      </c>
      <c r="D3799" s="6" t="n">
        <v>-54.6996</v>
      </c>
      <c r="E3799" s="6" t="inlineStr">
        <is>
          <t>2022-06</t>
        </is>
      </c>
      <c r="F3799" s="6" t="n"/>
      <c r="G3799" s="6" t="inlineStr">
        <is>
          <t>EXPORTACAO</t>
        </is>
      </c>
      <c r="H3799" s="6" t="inlineStr">
        <is>
          <t>AUTO_OFERTA_TOTAL_PRODUTO_PERIODO</t>
        </is>
      </c>
      <c r="I3799" s="11">
        <f>IF($H3799="AUTO_OFERTA_TOTAL_PRODUTO_PERIODO",SUMIFS(Oferta!$F:$F,Oferta!$A:$A,$A3799,Oferta!$E:$E,$E3799),$F3799)</f>
        <v/>
      </c>
      <c r="J3799" s="6" t="inlineStr">
        <is>
          <t>Derivado_da_Oferta</t>
        </is>
      </c>
      <c r="K3799" s="6" t="inlineStr">
        <is>
          <t>Mercado externo: limite superior calculado automaticamente pela soma da oferta do produto no período.</t>
        </is>
      </c>
    </row>
    <row r="3800">
      <c r="A3800" s="6" t="inlineStr">
        <is>
          <t>Soja</t>
        </is>
      </c>
      <c r="B3800" s="6" t="inlineStr">
        <is>
          <t>Santarém - PA</t>
        </is>
      </c>
      <c r="C3800" s="6" t="n">
        <v>-2.43849</v>
      </c>
      <c r="D3800" s="6" t="n">
        <v>-54.6996</v>
      </c>
      <c r="E3800" s="6" t="inlineStr">
        <is>
          <t>2022-07</t>
        </is>
      </c>
      <c r="F3800" s="6" t="n"/>
      <c r="G3800" s="6" t="inlineStr">
        <is>
          <t>EXPORTACAO</t>
        </is>
      </c>
      <c r="H3800" s="6" t="inlineStr">
        <is>
          <t>AUTO_OFERTA_TOTAL_PRODUTO_PERIODO</t>
        </is>
      </c>
      <c r="I3800" s="11">
        <f>IF($H3800="AUTO_OFERTA_TOTAL_PRODUTO_PERIODO",SUMIFS(Oferta!$F:$F,Oferta!$A:$A,$A3800,Oferta!$E:$E,$E3800),$F3800)</f>
        <v/>
      </c>
      <c r="J3800" s="6" t="inlineStr">
        <is>
          <t>Derivado_da_Oferta</t>
        </is>
      </c>
      <c r="K3800" s="6" t="inlineStr">
        <is>
          <t>Mercado externo: limite superior calculado automaticamente pela soma da oferta do produto no período.</t>
        </is>
      </c>
    </row>
    <row r="3801">
      <c r="A3801" s="6" t="inlineStr">
        <is>
          <t>Soja</t>
        </is>
      </c>
      <c r="B3801" s="6" t="inlineStr">
        <is>
          <t>Santarém - PA</t>
        </is>
      </c>
      <c r="C3801" s="6" t="n">
        <v>-2.43849</v>
      </c>
      <c r="D3801" s="6" t="n">
        <v>-54.6996</v>
      </c>
      <c r="E3801" s="6" t="inlineStr">
        <is>
          <t>2022-08</t>
        </is>
      </c>
      <c r="F3801" s="6" t="n"/>
      <c r="G3801" s="6" t="inlineStr">
        <is>
          <t>EXPORTACAO</t>
        </is>
      </c>
      <c r="H3801" s="6" t="inlineStr">
        <is>
          <t>AUTO_OFERTA_TOTAL_PRODUTO_PERIODO</t>
        </is>
      </c>
      <c r="I3801" s="11">
        <f>IF($H3801="AUTO_OFERTA_TOTAL_PRODUTO_PERIODO",SUMIFS(Oferta!$F:$F,Oferta!$A:$A,$A3801,Oferta!$E:$E,$E3801),$F3801)</f>
        <v/>
      </c>
      <c r="J3801" s="6" t="inlineStr">
        <is>
          <t>Derivado_da_Oferta</t>
        </is>
      </c>
      <c r="K3801" s="6" t="inlineStr">
        <is>
          <t>Mercado externo: limite superior calculado automaticamente pela soma da oferta do produto no período.</t>
        </is>
      </c>
    </row>
    <row r="3802">
      <c r="A3802" s="6" t="inlineStr">
        <is>
          <t>Soja</t>
        </is>
      </c>
      <c r="B3802" s="6" t="inlineStr">
        <is>
          <t>Santarém - PA</t>
        </is>
      </c>
      <c r="C3802" s="6" t="n">
        <v>-2.43849</v>
      </c>
      <c r="D3802" s="6" t="n">
        <v>-54.6996</v>
      </c>
      <c r="E3802" s="6" t="inlineStr">
        <is>
          <t>2022-09</t>
        </is>
      </c>
      <c r="F3802" s="6" t="n"/>
      <c r="G3802" s="6" t="inlineStr">
        <is>
          <t>EXPORTACAO</t>
        </is>
      </c>
      <c r="H3802" s="6" t="inlineStr">
        <is>
          <t>AUTO_OFERTA_TOTAL_PRODUTO_PERIODO</t>
        </is>
      </c>
      <c r="I3802" s="11">
        <f>IF($H3802="AUTO_OFERTA_TOTAL_PRODUTO_PERIODO",SUMIFS(Oferta!$F:$F,Oferta!$A:$A,$A3802,Oferta!$E:$E,$E3802),$F3802)</f>
        <v/>
      </c>
      <c r="J3802" s="6" t="inlineStr">
        <is>
          <t>Derivado_da_Oferta</t>
        </is>
      </c>
      <c r="K3802" s="6" t="inlineStr">
        <is>
          <t>Mercado externo: limite superior calculado automaticamente pela soma da oferta do produto no período.</t>
        </is>
      </c>
    </row>
    <row r="3803">
      <c r="A3803" s="6" t="inlineStr">
        <is>
          <t>Soja</t>
        </is>
      </c>
      <c r="B3803" s="6" t="inlineStr">
        <is>
          <t>Santarém - PA</t>
        </is>
      </c>
      <c r="C3803" s="6" t="n">
        <v>-2.43849</v>
      </c>
      <c r="D3803" s="6" t="n">
        <v>-54.6996</v>
      </c>
      <c r="E3803" s="6" t="inlineStr">
        <is>
          <t>2022-10</t>
        </is>
      </c>
      <c r="F3803" s="6" t="n"/>
      <c r="G3803" s="6" t="inlineStr">
        <is>
          <t>EXPORTACAO</t>
        </is>
      </c>
      <c r="H3803" s="6" t="inlineStr">
        <is>
          <t>AUTO_OFERTA_TOTAL_PRODUTO_PERIODO</t>
        </is>
      </c>
      <c r="I3803" s="11">
        <f>IF($H3803="AUTO_OFERTA_TOTAL_PRODUTO_PERIODO",SUMIFS(Oferta!$F:$F,Oferta!$A:$A,$A3803,Oferta!$E:$E,$E3803),$F3803)</f>
        <v/>
      </c>
      <c r="J3803" s="6" t="inlineStr">
        <is>
          <t>Derivado_da_Oferta</t>
        </is>
      </c>
      <c r="K3803" s="6" t="inlineStr">
        <is>
          <t>Mercado externo: limite superior calculado automaticamente pela soma da oferta do produto no período.</t>
        </is>
      </c>
    </row>
    <row r="3804">
      <c r="A3804" s="6" t="inlineStr">
        <is>
          <t>Soja</t>
        </is>
      </c>
      <c r="B3804" s="6" t="inlineStr">
        <is>
          <t>Santarém - PA</t>
        </is>
      </c>
      <c r="C3804" s="6" t="n">
        <v>-2.43849</v>
      </c>
      <c r="D3804" s="6" t="n">
        <v>-54.6996</v>
      </c>
      <c r="E3804" s="6" t="inlineStr">
        <is>
          <t>2022-11</t>
        </is>
      </c>
      <c r="F3804" s="6" t="n"/>
      <c r="G3804" s="6" t="inlineStr">
        <is>
          <t>EXPORTACAO</t>
        </is>
      </c>
      <c r="H3804" s="6" t="inlineStr">
        <is>
          <t>AUTO_OFERTA_TOTAL_PRODUTO_PERIODO</t>
        </is>
      </c>
      <c r="I3804" s="11">
        <f>IF($H3804="AUTO_OFERTA_TOTAL_PRODUTO_PERIODO",SUMIFS(Oferta!$F:$F,Oferta!$A:$A,$A3804,Oferta!$E:$E,$E3804),$F3804)</f>
        <v/>
      </c>
      <c r="J3804" s="6" t="inlineStr">
        <is>
          <t>Derivado_da_Oferta</t>
        </is>
      </c>
      <c r="K3804" s="6" t="inlineStr">
        <is>
          <t>Mercado externo: limite superior calculado automaticamente pela soma da oferta do produto no período.</t>
        </is>
      </c>
    </row>
    <row r="3805">
      <c r="A3805" s="6" t="inlineStr">
        <is>
          <t>Soja</t>
        </is>
      </c>
      <c r="B3805" s="6" t="inlineStr">
        <is>
          <t>Santarém - PA</t>
        </is>
      </c>
      <c r="C3805" s="6" t="n">
        <v>-2.43849</v>
      </c>
      <c r="D3805" s="6" t="n">
        <v>-54.6996</v>
      </c>
      <c r="E3805" s="6" t="inlineStr">
        <is>
          <t>2022-12</t>
        </is>
      </c>
      <c r="F3805" s="6" t="n"/>
      <c r="G3805" s="6" t="inlineStr">
        <is>
          <t>EXPORTACAO</t>
        </is>
      </c>
      <c r="H3805" s="6" t="inlineStr">
        <is>
          <t>AUTO_OFERTA_TOTAL_PRODUTO_PERIODO</t>
        </is>
      </c>
      <c r="I3805" s="11">
        <f>IF($H3805="AUTO_OFERTA_TOTAL_PRODUTO_PERIODO",SUMIFS(Oferta!$F:$F,Oferta!$A:$A,$A3805,Oferta!$E:$E,$E3805),$F3805)</f>
        <v/>
      </c>
      <c r="J3805" s="6" t="inlineStr">
        <is>
          <t>Derivado_da_Oferta</t>
        </is>
      </c>
      <c r="K3805" s="6" t="inlineStr">
        <is>
          <t>Mercado externo: limite superior calculado automaticamente pela soma da oferta do produto no período.</t>
        </is>
      </c>
    </row>
    <row r="3806">
      <c r="A3806" s="6" t="inlineStr">
        <is>
          <t>Soja</t>
        </is>
      </c>
      <c r="B3806" s="6" t="inlineStr">
        <is>
          <t>Santarém - PA</t>
        </is>
      </c>
      <c r="C3806" s="6" t="n">
        <v>-2.43849</v>
      </c>
      <c r="D3806" s="6" t="n">
        <v>-54.6996</v>
      </c>
      <c r="E3806" s="6" t="inlineStr">
        <is>
          <t>2023-01</t>
        </is>
      </c>
      <c r="F3806" s="6" t="n"/>
      <c r="G3806" s="6" t="inlineStr">
        <is>
          <t>EXPORTACAO</t>
        </is>
      </c>
      <c r="H3806" s="6" t="inlineStr">
        <is>
          <t>AUTO_OFERTA_TOTAL_PRODUTO_PERIODO</t>
        </is>
      </c>
      <c r="I3806" s="11">
        <f>IF($H3806="AUTO_OFERTA_TOTAL_PRODUTO_PERIODO",SUMIFS(Oferta!$F:$F,Oferta!$A:$A,$A3806,Oferta!$E:$E,$E3806),$F3806)</f>
        <v/>
      </c>
      <c r="J3806" s="6" t="inlineStr">
        <is>
          <t>Derivado_da_Oferta</t>
        </is>
      </c>
      <c r="K3806" s="6" t="inlineStr">
        <is>
          <t>Mercado externo: limite superior calculado automaticamente pela soma da oferta do produto no período.</t>
        </is>
      </c>
    </row>
    <row r="3807">
      <c r="A3807" s="6" t="inlineStr">
        <is>
          <t>Soja</t>
        </is>
      </c>
      <c r="B3807" s="6" t="inlineStr">
        <is>
          <t>Santarém - PA</t>
        </is>
      </c>
      <c r="C3807" s="6" t="n">
        <v>-2.43849</v>
      </c>
      <c r="D3807" s="6" t="n">
        <v>-54.6996</v>
      </c>
      <c r="E3807" s="6" t="inlineStr">
        <is>
          <t>2023-02</t>
        </is>
      </c>
      <c r="F3807" s="6" t="n"/>
      <c r="G3807" s="6" t="inlineStr">
        <is>
          <t>EXPORTACAO</t>
        </is>
      </c>
      <c r="H3807" s="6" t="inlineStr">
        <is>
          <t>AUTO_OFERTA_TOTAL_PRODUTO_PERIODO</t>
        </is>
      </c>
      <c r="I3807" s="11">
        <f>IF($H3807="AUTO_OFERTA_TOTAL_PRODUTO_PERIODO",SUMIFS(Oferta!$F:$F,Oferta!$A:$A,$A3807,Oferta!$E:$E,$E3807),$F3807)</f>
        <v/>
      </c>
      <c r="J3807" s="6" t="inlineStr">
        <is>
          <t>Derivado_da_Oferta</t>
        </is>
      </c>
      <c r="K3807" s="6" t="inlineStr">
        <is>
          <t>Mercado externo: limite superior calculado automaticamente pela soma da oferta do produto no período.</t>
        </is>
      </c>
    </row>
    <row r="3808">
      <c r="A3808" s="6" t="inlineStr">
        <is>
          <t>Soja</t>
        </is>
      </c>
      <c r="B3808" s="6" t="inlineStr">
        <is>
          <t>Santarém - PA</t>
        </is>
      </c>
      <c r="C3808" s="6" t="n">
        <v>-2.43849</v>
      </c>
      <c r="D3808" s="6" t="n">
        <v>-54.6996</v>
      </c>
      <c r="E3808" s="6" t="inlineStr">
        <is>
          <t>2023-03</t>
        </is>
      </c>
      <c r="F3808" s="6" t="n"/>
      <c r="G3808" s="6" t="inlineStr">
        <is>
          <t>EXPORTACAO</t>
        </is>
      </c>
      <c r="H3808" s="6" t="inlineStr">
        <is>
          <t>AUTO_OFERTA_TOTAL_PRODUTO_PERIODO</t>
        </is>
      </c>
      <c r="I3808" s="11">
        <f>IF($H3808="AUTO_OFERTA_TOTAL_PRODUTO_PERIODO",SUMIFS(Oferta!$F:$F,Oferta!$A:$A,$A3808,Oferta!$E:$E,$E3808),$F3808)</f>
        <v/>
      </c>
      <c r="J3808" s="6" t="inlineStr">
        <is>
          <t>Derivado_da_Oferta</t>
        </is>
      </c>
      <c r="K3808" s="6" t="inlineStr">
        <is>
          <t>Mercado externo: limite superior calculado automaticamente pela soma da oferta do produto no período.</t>
        </is>
      </c>
    </row>
    <row r="3809">
      <c r="A3809" s="6" t="inlineStr">
        <is>
          <t>Soja</t>
        </is>
      </c>
      <c r="B3809" s="6" t="inlineStr">
        <is>
          <t>Santarém - PA</t>
        </is>
      </c>
      <c r="C3809" s="6" t="n">
        <v>-2.43849</v>
      </c>
      <c r="D3809" s="6" t="n">
        <v>-54.6996</v>
      </c>
      <c r="E3809" s="6" t="inlineStr">
        <is>
          <t>2023-04</t>
        </is>
      </c>
      <c r="F3809" s="6" t="n"/>
      <c r="G3809" s="6" t="inlineStr">
        <is>
          <t>EXPORTACAO</t>
        </is>
      </c>
      <c r="H3809" s="6" t="inlineStr">
        <is>
          <t>AUTO_OFERTA_TOTAL_PRODUTO_PERIODO</t>
        </is>
      </c>
      <c r="I3809" s="11">
        <f>IF($H3809="AUTO_OFERTA_TOTAL_PRODUTO_PERIODO",SUMIFS(Oferta!$F:$F,Oferta!$A:$A,$A3809,Oferta!$E:$E,$E3809),$F3809)</f>
        <v/>
      </c>
      <c r="J3809" s="6" t="inlineStr">
        <is>
          <t>Derivado_da_Oferta</t>
        </is>
      </c>
      <c r="K3809" s="6" t="inlineStr">
        <is>
          <t>Mercado externo: limite superior calculado automaticamente pela soma da oferta do produto no período.</t>
        </is>
      </c>
    </row>
    <row r="3810">
      <c r="A3810" s="6" t="inlineStr">
        <is>
          <t>Soja</t>
        </is>
      </c>
      <c r="B3810" s="6" t="inlineStr">
        <is>
          <t>Santarém - PA</t>
        </is>
      </c>
      <c r="C3810" s="6" t="n">
        <v>-2.43849</v>
      </c>
      <c r="D3810" s="6" t="n">
        <v>-54.6996</v>
      </c>
      <c r="E3810" s="6" t="inlineStr">
        <is>
          <t>2023-05</t>
        </is>
      </c>
      <c r="F3810" s="6" t="n"/>
      <c r="G3810" s="6" t="inlineStr">
        <is>
          <t>EXPORTACAO</t>
        </is>
      </c>
      <c r="H3810" s="6" t="inlineStr">
        <is>
          <t>AUTO_OFERTA_TOTAL_PRODUTO_PERIODO</t>
        </is>
      </c>
      <c r="I3810" s="11">
        <f>IF($H3810="AUTO_OFERTA_TOTAL_PRODUTO_PERIODO",SUMIFS(Oferta!$F:$F,Oferta!$A:$A,$A3810,Oferta!$E:$E,$E3810),$F3810)</f>
        <v/>
      </c>
      <c r="J3810" s="6" t="inlineStr">
        <is>
          <t>Derivado_da_Oferta</t>
        </is>
      </c>
      <c r="K3810" s="6" t="inlineStr">
        <is>
          <t>Mercado externo: limite superior calculado automaticamente pela soma da oferta do produto no período.</t>
        </is>
      </c>
    </row>
    <row r="3811">
      <c r="A3811" s="6" t="inlineStr">
        <is>
          <t>Soja</t>
        </is>
      </c>
      <c r="B3811" s="6" t="inlineStr">
        <is>
          <t>Santarém - PA</t>
        </is>
      </c>
      <c r="C3811" s="6" t="n">
        <v>-2.43849</v>
      </c>
      <c r="D3811" s="6" t="n">
        <v>-54.6996</v>
      </c>
      <c r="E3811" s="6" t="inlineStr">
        <is>
          <t>2023-06</t>
        </is>
      </c>
      <c r="F3811" s="6" t="n"/>
      <c r="G3811" s="6" t="inlineStr">
        <is>
          <t>EXPORTACAO</t>
        </is>
      </c>
      <c r="H3811" s="6" t="inlineStr">
        <is>
          <t>AUTO_OFERTA_TOTAL_PRODUTO_PERIODO</t>
        </is>
      </c>
      <c r="I3811" s="11">
        <f>IF($H3811="AUTO_OFERTA_TOTAL_PRODUTO_PERIODO",SUMIFS(Oferta!$F:$F,Oferta!$A:$A,$A3811,Oferta!$E:$E,$E3811),$F3811)</f>
        <v/>
      </c>
      <c r="J3811" s="6" t="inlineStr">
        <is>
          <t>Derivado_da_Oferta</t>
        </is>
      </c>
      <c r="K3811" s="6" t="inlineStr">
        <is>
          <t>Mercado externo: limite superior calculado automaticamente pela soma da oferta do produto no período.</t>
        </is>
      </c>
    </row>
    <row r="3812">
      <c r="A3812" s="6" t="inlineStr">
        <is>
          <t>Soja</t>
        </is>
      </c>
      <c r="B3812" s="6" t="inlineStr">
        <is>
          <t>Santarém - PA</t>
        </is>
      </c>
      <c r="C3812" s="6" t="n">
        <v>-2.43849</v>
      </c>
      <c r="D3812" s="6" t="n">
        <v>-54.6996</v>
      </c>
      <c r="E3812" s="6" t="inlineStr">
        <is>
          <t>2023-07</t>
        </is>
      </c>
      <c r="F3812" s="6" t="n"/>
      <c r="G3812" s="6" t="inlineStr">
        <is>
          <t>EXPORTACAO</t>
        </is>
      </c>
      <c r="H3812" s="6" t="inlineStr">
        <is>
          <t>AUTO_OFERTA_TOTAL_PRODUTO_PERIODO</t>
        </is>
      </c>
      <c r="I3812" s="11">
        <f>IF($H3812="AUTO_OFERTA_TOTAL_PRODUTO_PERIODO",SUMIFS(Oferta!$F:$F,Oferta!$A:$A,$A3812,Oferta!$E:$E,$E3812),$F3812)</f>
        <v/>
      </c>
      <c r="J3812" s="6" t="inlineStr">
        <is>
          <t>Derivado_da_Oferta</t>
        </is>
      </c>
      <c r="K3812" s="6" t="inlineStr">
        <is>
          <t>Mercado externo: limite superior calculado automaticamente pela soma da oferta do produto no período.</t>
        </is>
      </c>
    </row>
    <row r="3813">
      <c r="A3813" s="6" t="inlineStr">
        <is>
          <t>Soja</t>
        </is>
      </c>
      <c r="B3813" s="6" t="inlineStr">
        <is>
          <t>Santarém - PA</t>
        </is>
      </c>
      <c r="C3813" s="6" t="n">
        <v>-2.43849</v>
      </c>
      <c r="D3813" s="6" t="n">
        <v>-54.6996</v>
      </c>
      <c r="E3813" s="6" t="inlineStr">
        <is>
          <t>2023-08</t>
        </is>
      </c>
      <c r="F3813" s="6" t="n"/>
      <c r="G3813" s="6" t="inlineStr">
        <is>
          <t>EXPORTACAO</t>
        </is>
      </c>
      <c r="H3813" s="6" t="inlineStr">
        <is>
          <t>AUTO_OFERTA_TOTAL_PRODUTO_PERIODO</t>
        </is>
      </c>
      <c r="I3813" s="11">
        <f>IF($H3813="AUTO_OFERTA_TOTAL_PRODUTO_PERIODO",SUMIFS(Oferta!$F:$F,Oferta!$A:$A,$A3813,Oferta!$E:$E,$E3813),$F3813)</f>
        <v/>
      </c>
      <c r="J3813" s="6" t="inlineStr">
        <is>
          <t>Derivado_da_Oferta</t>
        </is>
      </c>
      <c r="K3813" s="6" t="inlineStr">
        <is>
          <t>Mercado externo: limite superior calculado automaticamente pela soma da oferta do produto no período.</t>
        </is>
      </c>
    </row>
    <row r="3814">
      <c r="A3814" s="6" t="inlineStr">
        <is>
          <t>Soja</t>
        </is>
      </c>
      <c r="B3814" s="6" t="inlineStr">
        <is>
          <t>Santarém - PA</t>
        </is>
      </c>
      <c r="C3814" s="6" t="n">
        <v>-2.43849</v>
      </c>
      <c r="D3814" s="6" t="n">
        <v>-54.6996</v>
      </c>
      <c r="E3814" s="6" t="inlineStr">
        <is>
          <t>2023-09</t>
        </is>
      </c>
      <c r="F3814" s="6" t="n"/>
      <c r="G3814" s="6" t="inlineStr">
        <is>
          <t>EXPORTACAO</t>
        </is>
      </c>
      <c r="H3814" s="6" t="inlineStr">
        <is>
          <t>AUTO_OFERTA_TOTAL_PRODUTO_PERIODO</t>
        </is>
      </c>
      <c r="I3814" s="11">
        <f>IF($H3814="AUTO_OFERTA_TOTAL_PRODUTO_PERIODO",SUMIFS(Oferta!$F:$F,Oferta!$A:$A,$A3814,Oferta!$E:$E,$E3814),$F3814)</f>
        <v/>
      </c>
      <c r="J3814" s="6" t="inlineStr">
        <is>
          <t>Derivado_da_Oferta</t>
        </is>
      </c>
      <c r="K3814" s="6" t="inlineStr">
        <is>
          <t>Mercado externo: limite superior calculado automaticamente pela soma da oferta do produto no período.</t>
        </is>
      </c>
    </row>
    <row r="3815">
      <c r="A3815" s="6" t="inlineStr">
        <is>
          <t>Soja</t>
        </is>
      </c>
      <c r="B3815" s="6" t="inlineStr">
        <is>
          <t>Santarém - PA</t>
        </is>
      </c>
      <c r="C3815" s="6" t="n">
        <v>-2.43849</v>
      </c>
      <c r="D3815" s="6" t="n">
        <v>-54.6996</v>
      </c>
      <c r="E3815" s="6" t="inlineStr">
        <is>
          <t>2023-10</t>
        </is>
      </c>
      <c r="F3815" s="6" t="n"/>
      <c r="G3815" s="6" t="inlineStr">
        <is>
          <t>EXPORTACAO</t>
        </is>
      </c>
      <c r="H3815" s="6" t="inlineStr">
        <is>
          <t>AUTO_OFERTA_TOTAL_PRODUTO_PERIODO</t>
        </is>
      </c>
      <c r="I3815" s="11">
        <f>IF($H3815="AUTO_OFERTA_TOTAL_PRODUTO_PERIODO",SUMIFS(Oferta!$F:$F,Oferta!$A:$A,$A3815,Oferta!$E:$E,$E3815),$F3815)</f>
        <v/>
      </c>
      <c r="J3815" s="6" t="inlineStr">
        <is>
          <t>Derivado_da_Oferta</t>
        </is>
      </c>
      <c r="K3815" s="6" t="inlineStr">
        <is>
          <t>Mercado externo: limite superior calculado automaticamente pela soma da oferta do produto no período.</t>
        </is>
      </c>
    </row>
    <row r="3816">
      <c r="A3816" s="6" t="inlineStr">
        <is>
          <t>Soja</t>
        </is>
      </c>
      <c r="B3816" s="6" t="inlineStr">
        <is>
          <t>Santarém - PA</t>
        </is>
      </c>
      <c r="C3816" s="6" t="n">
        <v>-2.43849</v>
      </c>
      <c r="D3816" s="6" t="n">
        <v>-54.6996</v>
      </c>
      <c r="E3816" s="6" t="inlineStr">
        <is>
          <t>2023-11</t>
        </is>
      </c>
      <c r="F3816" s="6" t="n"/>
      <c r="G3816" s="6" t="inlineStr">
        <is>
          <t>EXPORTACAO</t>
        </is>
      </c>
      <c r="H3816" s="6" t="inlineStr">
        <is>
          <t>AUTO_OFERTA_TOTAL_PRODUTO_PERIODO</t>
        </is>
      </c>
      <c r="I3816" s="11">
        <f>IF($H3816="AUTO_OFERTA_TOTAL_PRODUTO_PERIODO",SUMIFS(Oferta!$F:$F,Oferta!$A:$A,$A3816,Oferta!$E:$E,$E3816),$F3816)</f>
        <v/>
      </c>
      <c r="J3816" s="6" t="inlineStr">
        <is>
          <t>Derivado_da_Oferta</t>
        </is>
      </c>
      <c r="K3816" s="6" t="inlineStr">
        <is>
          <t>Mercado externo: limite superior calculado automaticamente pela soma da oferta do produto no período.</t>
        </is>
      </c>
    </row>
    <row r="3817">
      <c r="A3817" s="6" t="inlineStr">
        <is>
          <t>Soja</t>
        </is>
      </c>
      <c r="B3817" s="6" t="inlineStr">
        <is>
          <t>Santarém - PA</t>
        </is>
      </c>
      <c r="C3817" s="6" t="n">
        <v>-2.43849</v>
      </c>
      <c r="D3817" s="6" t="n">
        <v>-54.6996</v>
      </c>
      <c r="E3817" s="6" t="inlineStr">
        <is>
          <t>2023-12</t>
        </is>
      </c>
      <c r="F3817" s="6" t="n"/>
      <c r="G3817" s="6" t="inlineStr">
        <is>
          <t>EXPORTACAO</t>
        </is>
      </c>
      <c r="H3817" s="6" t="inlineStr">
        <is>
          <t>AUTO_OFERTA_TOTAL_PRODUTO_PERIODO</t>
        </is>
      </c>
      <c r="I3817" s="11">
        <f>IF($H3817="AUTO_OFERTA_TOTAL_PRODUTO_PERIODO",SUMIFS(Oferta!$F:$F,Oferta!$A:$A,$A3817,Oferta!$E:$E,$E3817),$F3817)</f>
        <v/>
      </c>
      <c r="J3817" s="6" t="inlineStr">
        <is>
          <t>Derivado_da_Oferta</t>
        </is>
      </c>
      <c r="K3817" s="6" t="inlineStr">
        <is>
          <t>Mercado externo: limite superior calculado automaticamente pela soma da oferta do produto no período.</t>
        </is>
      </c>
    </row>
    <row r="3818">
      <c r="A3818" s="6" t="inlineStr">
        <is>
          <t>Soja</t>
        </is>
      </c>
      <c r="B3818" s="6" t="inlineStr">
        <is>
          <t>Santarém - PA</t>
        </is>
      </c>
      <c r="C3818" s="6" t="n">
        <v>-2.43849</v>
      </c>
      <c r="D3818" s="6" t="n">
        <v>-54.6996</v>
      </c>
      <c r="E3818" s="6" t="inlineStr">
        <is>
          <t>2024-01</t>
        </is>
      </c>
      <c r="F3818" s="6" t="n"/>
      <c r="G3818" s="6" t="inlineStr">
        <is>
          <t>EXPORTACAO</t>
        </is>
      </c>
      <c r="H3818" s="6" t="inlineStr">
        <is>
          <t>AUTO_OFERTA_TOTAL_PRODUTO_PERIODO</t>
        </is>
      </c>
      <c r="I3818" s="11">
        <f>IF($H3818="AUTO_OFERTA_TOTAL_PRODUTO_PERIODO",SUMIFS(Oferta!$F:$F,Oferta!$A:$A,$A3818,Oferta!$E:$E,$E3818),$F3818)</f>
        <v/>
      </c>
      <c r="J3818" s="6" t="inlineStr">
        <is>
          <t>Derivado_da_Oferta</t>
        </is>
      </c>
      <c r="K3818" s="6" t="inlineStr">
        <is>
          <t>Mercado externo: limite superior calculado automaticamente pela soma da oferta do produto no período.</t>
        </is>
      </c>
    </row>
    <row r="3819">
      <c r="A3819" s="6" t="inlineStr">
        <is>
          <t>Soja</t>
        </is>
      </c>
      <c r="B3819" s="6" t="inlineStr">
        <is>
          <t>Santarém - PA</t>
        </is>
      </c>
      <c r="C3819" s="6" t="n">
        <v>-2.43849</v>
      </c>
      <c r="D3819" s="6" t="n">
        <v>-54.6996</v>
      </c>
      <c r="E3819" s="6" t="inlineStr">
        <is>
          <t>2024-02</t>
        </is>
      </c>
      <c r="F3819" s="6" t="n"/>
      <c r="G3819" s="6" t="inlineStr">
        <is>
          <t>EXPORTACAO</t>
        </is>
      </c>
      <c r="H3819" s="6" t="inlineStr">
        <is>
          <t>AUTO_OFERTA_TOTAL_PRODUTO_PERIODO</t>
        </is>
      </c>
      <c r="I3819" s="11">
        <f>IF($H3819="AUTO_OFERTA_TOTAL_PRODUTO_PERIODO",SUMIFS(Oferta!$F:$F,Oferta!$A:$A,$A3819,Oferta!$E:$E,$E3819),$F3819)</f>
        <v/>
      </c>
      <c r="J3819" s="6" t="inlineStr">
        <is>
          <t>Derivado_da_Oferta</t>
        </is>
      </c>
      <c r="K3819" s="6" t="inlineStr">
        <is>
          <t>Mercado externo: limite superior calculado automaticamente pela soma da oferta do produto no período.</t>
        </is>
      </c>
    </row>
    <row r="3820">
      <c r="A3820" s="6" t="inlineStr">
        <is>
          <t>Soja</t>
        </is>
      </c>
      <c r="B3820" s="6" t="inlineStr">
        <is>
          <t>Santarém - PA</t>
        </is>
      </c>
      <c r="C3820" s="6" t="n">
        <v>-2.43849</v>
      </c>
      <c r="D3820" s="6" t="n">
        <v>-54.6996</v>
      </c>
      <c r="E3820" s="6" t="inlineStr">
        <is>
          <t>2024-03</t>
        </is>
      </c>
      <c r="F3820" s="6" t="n"/>
      <c r="G3820" s="6" t="inlineStr">
        <is>
          <t>EXPORTACAO</t>
        </is>
      </c>
      <c r="H3820" s="6" t="inlineStr">
        <is>
          <t>AUTO_OFERTA_TOTAL_PRODUTO_PERIODO</t>
        </is>
      </c>
      <c r="I3820" s="11">
        <f>IF($H3820="AUTO_OFERTA_TOTAL_PRODUTO_PERIODO",SUMIFS(Oferta!$F:$F,Oferta!$A:$A,$A3820,Oferta!$E:$E,$E3820),$F3820)</f>
        <v/>
      </c>
      <c r="J3820" s="6" t="inlineStr">
        <is>
          <t>Derivado_da_Oferta</t>
        </is>
      </c>
      <c r="K3820" s="6" t="inlineStr">
        <is>
          <t>Mercado externo: limite superior calculado automaticamente pela soma da oferta do produto no período.</t>
        </is>
      </c>
    </row>
    <row r="3821">
      <c r="A3821" s="6" t="inlineStr">
        <is>
          <t>Soja</t>
        </is>
      </c>
      <c r="B3821" s="6" t="inlineStr">
        <is>
          <t>Santarém - PA</t>
        </is>
      </c>
      <c r="C3821" s="6" t="n">
        <v>-2.43849</v>
      </c>
      <c r="D3821" s="6" t="n">
        <v>-54.6996</v>
      </c>
      <c r="E3821" s="6" t="inlineStr">
        <is>
          <t>2024-04</t>
        </is>
      </c>
      <c r="F3821" s="6" t="n"/>
      <c r="G3821" s="6" t="inlineStr">
        <is>
          <t>EXPORTACAO</t>
        </is>
      </c>
      <c r="H3821" s="6" t="inlineStr">
        <is>
          <t>AUTO_OFERTA_TOTAL_PRODUTO_PERIODO</t>
        </is>
      </c>
      <c r="I3821" s="11">
        <f>IF($H3821="AUTO_OFERTA_TOTAL_PRODUTO_PERIODO",SUMIFS(Oferta!$F:$F,Oferta!$A:$A,$A3821,Oferta!$E:$E,$E3821),$F3821)</f>
        <v/>
      </c>
      <c r="J3821" s="6" t="inlineStr">
        <is>
          <t>Derivado_da_Oferta</t>
        </is>
      </c>
      <c r="K3821" s="6" t="inlineStr">
        <is>
          <t>Mercado externo: limite superior calculado automaticamente pela soma da oferta do produto no período.</t>
        </is>
      </c>
    </row>
    <row r="3822">
      <c r="A3822" s="6" t="inlineStr">
        <is>
          <t>Soja</t>
        </is>
      </c>
      <c r="B3822" s="6" t="inlineStr">
        <is>
          <t>Santarém - PA</t>
        </is>
      </c>
      <c r="C3822" s="6" t="n">
        <v>-2.43849</v>
      </c>
      <c r="D3822" s="6" t="n">
        <v>-54.6996</v>
      </c>
      <c r="E3822" s="6" t="inlineStr">
        <is>
          <t>2024-05</t>
        </is>
      </c>
      <c r="F3822" s="6" t="n"/>
      <c r="G3822" s="6" t="inlineStr">
        <is>
          <t>EXPORTACAO</t>
        </is>
      </c>
      <c r="H3822" s="6" t="inlineStr">
        <is>
          <t>AUTO_OFERTA_TOTAL_PRODUTO_PERIODO</t>
        </is>
      </c>
      <c r="I3822" s="11">
        <f>IF($H3822="AUTO_OFERTA_TOTAL_PRODUTO_PERIODO",SUMIFS(Oferta!$F:$F,Oferta!$A:$A,$A3822,Oferta!$E:$E,$E3822),$F3822)</f>
        <v/>
      </c>
      <c r="J3822" s="6" t="inlineStr">
        <is>
          <t>Derivado_da_Oferta</t>
        </is>
      </c>
      <c r="K3822" s="6" t="inlineStr">
        <is>
          <t>Mercado externo: limite superior calculado automaticamente pela soma da oferta do produto no período.</t>
        </is>
      </c>
    </row>
    <row r="3823">
      <c r="A3823" s="6" t="inlineStr">
        <is>
          <t>Soja</t>
        </is>
      </c>
      <c r="B3823" s="6" t="inlineStr">
        <is>
          <t>Santarém - PA</t>
        </is>
      </c>
      <c r="C3823" s="6" t="n">
        <v>-2.43849</v>
      </c>
      <c r="D3823" s="6" t="n">
        <v>-54.6996</v>
      </c>
      <c r="E3823" s="6" t="inlineStr">
        <is>
          <t>2024-06</t>
        </is>
      </c>
      <c r="F3823" s="6" t="n"/>
      <c r="G3823" s="6" t="inlineStr">
        <is>
          <t>EXPORTACAO</t>
        </is>
      </c>
      <c r="H3823" s="6" t="inlineStr">
        <is>
          <t>AUTO_OFERTA_TOTAL_PRODUTO_PERIODO</t>
        </is>
      </c>
      <c r="I3823" s="11">
        <f>IF($H3823="AUTO_OFERTA_TOTAL_PRODUTO_PERIODO",SUMIFS(Oferta!$F:$F,Oferta!$A:$A,$A3823,Oferta!$E:$E,$E3823),$F3823)</f>
        <v/>
      </c>
      <c r="J3823" s="6" t="inlineStr">
        <is>
          <t>Derivado_da_Oferta</t>
        </is>
      </c>
      <c r="K3823" s="6" t="inlineStr">
        <is>
          <t>Mercado externo: limite superior calculado automaticamente pela soma da oferta do produto no período.</t>
        </is>
      </c>
    </row>
    <row r="3824">
      <c r="A3824" s="6" t="inlineStr">
        <is>
          <t>Soja</t>
        </is>
      </c>
      <c r="B3824" s="6" t="inlineStr">
        <is>
          <t>Santarém - PA</t>
        </is>
      </c>
      <c r="C3824" s="6" t="n">
        <v>-2.43849</v>
      </c>
      <c r="D3824" s="6" t="n">
        <v>-54.6996</v>
      </c>
      <c r="E3824" s="6" t="inlineStr">
        <is>
          <t>2024-07</t>
        </is>
      </c>
      <c r="F3824" s="6" t="n"/>
      <c r="G3824" s="6" t="inlineStr">
        <is>
          <t>EXPORTACAO</t>
        </is>
      </c>
      <c r="H3824" s="6" t="inlineStr">
        <is>
          <t>AUTO_OFERTA_TOTAL_PRODUTO_PERIODO</t>
        </is>
      </c>
      <c r="I3824" s="11">
        <f>IF($H3824="AUTO_OFERTA_TOTAL_PRODUTO_PERIODO",SUMIFS(Oferta!$F:$F,Oferta!$A:$A,$A3824,Oferta!$E:$E,$E3824),$F3824)</f>
        <v/>
      </c>
      <c r="J3824" s="6" t="inlineStr">
        <is>
          <t>Derivado_da_Oferta</t>
        </is>
      </c>
      <c r="K3824" s="6" t="inlineStr">
        <is>
          <t>Mercado externo: limite superior calculado automaticamente pela soma da oferta do produto no período.</t>
        </is>
      </c>
    </row>
    <row r="3825">
      <c r="A3825" s="6" t="inlineStr">
        <is>
          <t>Soja</t>
        </is>
      </c>
      <c r="B3825" s="6" t="inlineStr">
        <is>
          <t>Santarém - PA</t>
        </is>
      </c>
      <c r="C3825" s="6" t="n">
        <v>-2.43849</v>
      </c>
      <c r="D3825" s="6" t="n">
        <v>-54.6996</v>
      </c>
      <c r="E3825" s="6" t="inlineStr">
        <is>
          <t>2024-08</t>
        </is>
      </c>
      <c r="F3825" s="6" t="n"/>
      <c r="G3825" s="6" t="inlineStr">
        <is>
          <t>EXPORTACAO</t>
        </is>
      </c>
      <c r="H3825" s="6" t="inlineStr">
        <is>
          <t>AUTO_OFERTA_TOTAL_PRODUTO_PERIODO</t>
        </is>
      </c>
      <c r="I3825" s="11">
        <f>IF($H3825="AUTO_OFERTA_TOTAL_PRODUTO_PERIODO",SUMIFS(Oferta!$F:$F,Oferta!$A:$A,$A3825,Oferta!$E:$E,$E3825),$F3825)</f>
        <v/>
      </c>
      <c r="J3825" s="6" t="inlineStr">
        <is>
          <t>Derivado_da_Oferta</t>
        </is>
      </c>
      <c r="K3825" s="6" t="inlineStr">
        <is>
          <t>Mercado externo: limite superior calculado automaticamente pela soma da oferta do produto no período.</t>
        </is>
      </c>
    </row>
    <row r="3826">
      <c r="A3826" s="6" t="inlineStr">
        <is>
          <t>Soja</t>
        </is>
      </c>
      <c r="B3826" s="6" t="inlineStr">
        <is>
          <t>Santarém - PA</t>
        </is>
      </c>
      <c r="C3826" s="6" t="n">
        <v>-2.43849</v>
      </c>
      <c r="D3826" s="6" t="n">
        <v>-54.6996</v>
      </c>
      <c r="E3826" s="6" t="inlineStr">
        <is>
          <t>2024-09</t>
        </is>
      </c>
      <c r="F3826" s="6" t="n"/>
      <c r="G3826" s="6" t="inlineStr">
        <is>
          <t>EXPORTACAO</t>
        </is>
      </c>
      <c r="H3826" s="6" t="inlineStr">
        <is>
          <t>AUTO_OFERTA_TOTAL_PRODUTO_PERIODO</t>
        </is>
      </c>
      <c r="I3826" s="11">
        <f>IF($H3826="AUTO_OFERTA_TOTAL_PRODUTO_PERIODO",SUMIFS(Oferta!$F:$F,Oferta!$A:$A,$A3826,Oferta!$E:$E,$E3826),$F3826)</f>
        <v/>
      </c>
      <c r="J3826" s="6" t="inlineStr">
        <is>
          <t>Derivado_da_Oferta</t>
        </is>
      </c>
      <c r="K3826" s="6" t="inlineStr">
        <is>
          <t>Mercado externo: limite superior calculado automaticamente pela soma da oferta do produto no período.</t>
        </is>
      </c>
    </row>
    <row r="3827">
      <c r="A3827" s="6" t="inlineStr">
        <is>
          <t>Soja</t>
        </is>
      </c>
      <c r="B3827" s="6" t="inlineStr">
        <is>
          <t>Santarém - PA</t>
        </is>
      </c>
      <c r="C3827" s="6" t="n">
        <v>-2.43849</v>
      </c>
      <c r="D3827" s="6" t="n">
        <v>-54.6996</v>
      </c>
      <c r="E3827" s="6" t="inlineStr">
        <is>
          <t>2024-10</t>
        </is>
      </c>
      <c r="F3827" s="6" t="n"/>
      <c r="G3827" s="6" t="inlineStr">
        <is>
          <t>EXPORTACAO</t>
        </is>
      </c>
      <c r="H3827" s="6" t="inlineStr">
        <is>
          <t>AUTO_OFERTA_TOTAL_PRODUTO_PERIODO</t>
        </is>
      </c>
      <c r="I3827" s="11">
        <f>IF($H3827="AUTO_OFERTA_TOTAL_PRODUTO_PERIODO",SUMIFS(Oferta!$F:$F,Oferta!$A:$A,$A3827,Oferta!$E:$E,$E3827),$F3827)</f>
        <v/>
      </c>
      <c r="J3827" s="6" t="inlineStr">
        <is>
          <t>Derivado_da_Oferta</t>
        </is>
      </c>
      <c r="K3827" s="6" t="inlineStr">
        <is>
          <t>Mercado externo: limite superior calculado automaticamente pela soma da oferta do produto no período.</t>
        </is>
      </c>
    </row>
    <row r="3828">
      <c r="A3828" s="6" t="inlineStr">
        <is>
          <t>Soja</t>
        </is>
      </c>
      <c r="B3828" s="6" t="inlineStr">
        <is>
          <t>Santarém - PA</t>
        </is>
      </c>
      <c r="C3828" s="6" t="n">
        <v>-2.43849</v>
      </c>
      <c r="D3828" s="6" t="n">
        <v>-54.6996</v>
      </c>
      <c r="E3828" s="6" t="inlineStr">
        <is>
          <t>2024-11</t>
        </is>
      </c>
      <c r="F3828" s="6" t="n"/>
      <c r="G3828" s="6" t="inlineStr">
        <is>
          <t>EXPORTACAO</t>
        </is>
      </c>
      <c r="H3828" s="6" t="inlineStr">
        <is>
          <t>AUTO_OFERTA_TOTAL_PRODUTO_PERIODO</t>
        </is>
      </c>
      <c r="I3828" s="11">
        <f>IF($H3828="AUTO_OFERTA_TOTAL_PRODUTO_PERIODO",SUMIFS(Oferta!$F:$F,Oferta!$A:$A,$A3828,Oferta!$E:$E,$E3828),$F3828)</f>
        <v/>
      </c>
      <c r="J3828" s="6" t="inlineStr">
        <is>
          <t>Derivado_da_Oferta</t>
        </is>
      </c>
      <c r="K3828" s="6" t="inlineStr">
        <is>
          <t>Mercado externo: limite superior calculado automaticamente pela soma da oferta do produto no período.</t>
        </is>
      </c>
    </row>
    <row r="3829">
      <c r="A3829" s="6" t="inlineStr">
        <is>
          <t>Soja</t>
        </is>
      </c>
      <c r="B3829" s="6" t="inlineStr">
        <is>
          <t>Santarém - PA</t>
        </is>
      </c>
      <c r="C3829" s="6" t="n">
        <v>-2.43849</v>
      </c>
      <c r="D3829" s="6" t="n">
        <v>-54.6996</v>
      </c>
      <c r="E3829" s="6" t="inlineStr">
        <is>
          <t>2024-12</t>
        </is>
      </c>
      <c r="F3829" s="6" t="n"/>
      <c r="G3829" s="6" t="inlineStr">
        <is>
          <t>EXPORTACAO</t>
        </is>
      </c>
      <c r="H3829" s="6" t="inlineStr">
        <is>
          <t>AUTO_OFERTA_TOTAL_PRODUTO_PERIODO</t>
        </is>
      </c>
      <c r="I3829" s="11">
        <f>IF($H3829="AUTO_OFERTA_TOTAL_PRODUTO_PERIODO",SUMIFS(Oferta!$F:$F,Oferta!$A:$A,$A3829,Oferta!$E:$E,$E3829),$F3829)</f>
        <v/>
      </c>
      <c r="J3829" s="6" t="inlineStr">
        <is>
          <t>Derivado_da_Oferta</t>
        </is>
      </c>
      <c r="K3829" s="6" t="inlineStr">
        <is>
          <t>Mercado externo: limite superior calculado automaticamente pela soma da oferta do produto no período.</t>
        </is>
      </c>
    </row>
    <row r="3830">
      <c r="A3830" s="6" t="inlineStr">
        <is>
          <t>Soja</t>
        </is>
      </c>
      <c r="B3830" s="6" t="inlineStr">
        <is>
          <t>Santarém - PA</t>
        </is>
      </c>
      <c r="C3830" s="6" t="n">
        <v>-2.43849</v>
      </c>
      <c r="D3830" s="6" t="n">
        <v>-54.6996</v>
      </c>
      <c r="E3830" s="6" t="inlineStr">
        <is>
          <t>2025-01</t>
        </is>
      </c>
      <c r="F3830" s="6" t="n"/>
      <c r="G3830" s="6" t="inlineStr">
        <is>
          <t>EXPORTACAO</t>
        </is>
      </c>
      <c r="H3830" s="6" t="inlineStr">
        <is>
          <t>AUTO_OFERTA_TOTAL_PRODUTO_PERIODO</t>
        </is>
      </c>
      <c r="I3830" s="11">
        <f>IF($H3830="AUTO_OFERTA_TOTAL_PRODUTO_PERIODO",SUMIFS(Oferta!$F:$F,Oferta!$A:$A,$A3830,Oferta!$E:$E,$E3830),$F3830)</f>
        <v/>
      </c>
      <c r="J3830" s="6" t="inlineStr">
        <is>
          <t>Derivado_da_Oferta</t>
        </is>
      </c>
      <c r="K3830" s="6" t="inlineStr">
        <is>
          <t>Mercado externo: limite superior calculado automaticamente pela soma da oferta do produto no período.</t>
        </is>
      </c>
    </row>
    <row r="3831">
      <c r="A3831" s="6" t="inlineStr">
        <is>
          <t>Soja</t>
        </is>
      </c>
      <c r="B3831" s="6" t="inlineStr">
        <is>
          <t>Santarém - PA</t>
        </is>
      </c>
      <c r="C3831" s="6" t="n">
        <v>-2.43849</v>
      </c>
      <c r="D3831" s="6" t="n">
        <v>-54.6996</v>
      </c>
      <c r="E3831" s="6" t="inlineStr">
        <is>
          <t>2025-02</t>
        </is>
      </c>
      <c r="F3831" s="6" t="n"/>
      <c r="G3831" s="6" t="inlineStr">
        <is>
          <t>EXPORTACAO</t>
        </is>
      </c>
      <c r="H3831" s="6" t="inlineStr">
        <is>
          <t>AUTO_OFERTA_TOTAL_PRODUTO_PERIODO</t>
        </is>
      </c>
      <c r="I3831" s="11">
        <f>IF($H3831="AUTO_OFERTA_TOTAL_PRODUTO_PERIODO",SUMIFS(Oferta!$F:$F,Oferta!$A:$A,$A3831,Oferta!$E:$E,$E3831),$F3831)</f>
        <v/>
      </c>
      <c r="J3831" s="6" t="inlineStr">
        <is>
          <t>Derivado_da_Oferta</t>
        </is>
      </c>
      <c r="K3831" s="6" t="inlineStr">
        <is>
          <t>Mercado externo: limite superior calculado automaticamente pela soma da oferta do produto no período.</t>
        </is>
      </c>
    </row>
    <row r="3832">
      <c r="A3832" s="6" t="inlineStr">
        <is>
          <t>Soja</t>
        </is>
      </c>
      <c r="B3832" s="6" t="inlineStr">
        <is>
          <t>Santarém - PA</t>
        </is>
      </c>
      <c r="C3832" s="6" t="n">
        <v>-2.43849</v>
      </c>
      <c r="D3832" s="6" t="n">
        <v>-54.6996</v>
      </c>
      <c r="E3832" s="6" t="inlineStr">
        <is>
          <t>2025-03</t>
        </is>
      </c>
      <c r="F3832" s="6" t="n"/>
      <c r="G3832" s="6" t="inlineStr">
        <is>
          <t>EXPORTACAO</t>
        </is>
      </c>
      <c r="H3832" s="6" t="inlineStr">
        <is>
          <t>AUTO_OFERTA_TOTAL_PRODUTO_PERIODO</t>
        </is>
      </c>
      <c r="I3832" s="11">
        <f>IF($H3832="AUTO_OFERTA_TOTAL_PRODUTO_PERIODO",SUMIFS(Oferta!$F:$F,Oferta!$A:$A,$A3832,Oferta!$E:$E,$E3832),$F3832)</f>
        <v/>
      </c>
      <c r="J3832" s="6" t="inlineStr">
        <is>
          <t>Derivado_da_Oferta</t>
        </is>
      </c>
      <c r="K3832" s="6" t="inlineStr">
        <is>
          <t>Mercado externo: limite superior calculado automaticamente pela soma da oferta do produto no período.</t>
        </is>
      </c>
    </row>
    <row r="3833">
      <c r="A3833" s="6" t="inlineStr">
        <is>
          <t>Soja</t>
        </is>
      </c>
      <c r="B3833" s="6" t="inlineStr">
        <is>
          <t>Santarém - PA</t>
        </is>
      </c>
      <c r="C3833" s="6" t="n">
        <v>-2.43849</v>
      </c>
      <c r="D3833" s="6" t="n">
        <v>-54.6996</v>
      </c>
      <c r="E3833" s="6" t="inlineStr">
        <is>
          <t>2025-04</t>
        </is>
      </c>
      <c r="F3833" s="6" t="n"/>
      <c r="G3833" s="6" t="inlineStr">
        <is>
          <t>EXPORTACAO</t>
        </is>
      </c>
      <c r="H3833" s="6" t="inlineStr">
        <is>
          <t>AUTO_OFERTA_TOTAL_PRODUTO_PERIODO</t>
        </is>
      </c>
      <c r="I3833" s="11">
        <f>IF($H3833="AUTO_OFERTA_TOTAL_PRODUTO_PERIODO",SUMIFS(Oferta!$F:$F,Oferta!$A:$A,$A3833,Oferta!$E:$E,$E3833),$F3833)</f>
        <v/>
      </c>
      <c r="J3833" s="6" t="inlineStr">
        <is>
          <t>Derivado_da_Oferta</t>
        </is>
      </c>
      <c r="K3833" s="6" t="inlineStr">
        <is>
          <t>Mercado externo: limite superior calculado automaticamente pela soma da oferta do produto no período.</t>
        </is>
      </c>
    </row>
    <row r="3834">
      <c r="A3834" s="6" t="inlineStr">
        <is>
          <t>Soja</t>
        </is>
      </c>
      <c r="B3834" s="6" t="inlineStr">
        <is>
          <t>Santarém - PA</t>
        </is>
      </c>
      <c r="C3834" s="6" t="n">
        <v>-2.43849</v>
      </c>
      <c r="D3834" s="6" t="n">
        <v>-54.6996</v>
      </c>
      <c r="E3834" s="6" t="inlineStr">
        <is>
          <t>2025-05</t>
        </is>
      </c>
      <c r="F3834" s="6" t="n"/>
      <c r="G3834" s="6" t="inlineStr">
        <is>
          <t>EXPORTACAO</t>
        </is>
      </c>
      <c r="H3834" s="6" t="inlineStr">
        <is>
          <t>AUTO_OFERTA_TOTAL_PRODUTO_PERIODO</t>
        </is>
      </c>
      <c r="I3834" s="11">
        <f>IF($H3834="AUTO_OFERTA_TOTAL_PRODUTO_PERIODO",SUMIFS(Oferta!$F:$F,Oferta!$A:$A,$A3834,Oferta!$E:$E,$E3834),$F3834)</f>
        <v/>
      </c>
      <c r="J3834" s="6" t="inlineStr">
        <is>
          <t>Derivado_da_Oferta</t>
        </is>
      </c>
      <c r="K3834" s="6" t="inlineStr">
        <is>
          <t>Mercado externo: limite superior calculado automaticamente pela soma da oferta do produto no período.</t>
        </is>
      </c>
    </row>
    <row r="3835">
      <c r="A3835" s="6" t="inlineStr">
        <is>
          <t>Soja</t>
        </is>
      </c>
      <c r="B3835" s="6" t="inlineStr">
        <is>
          <t>Santarém - PA</t>
        </is>
      </c>
      <c r="C3835" s="6" t="n">
        <v>-2.43849</v>
      </c>
      <c r="D3835" s="6" t="n">
        <v>-54.6996</v>
      </c>
      <c r="E3835" s="6" t="inlineStr">
        <is>
          <t>2025-06</t>
        </is>
      </c>
      <c r="F3835" s="6" t="n"/>
      <c r="G3835" s="6" t="inlineStr">
        <is>
          <t>EXPORTACAO</t>
        </is>
      </c>
      <c r="H3835" s="6" t="inlineStr">
        <is>
          <t>AUTO_OFERTA_TOTAL_PRODUTO_PERIODO</t>
        </is>
      </c>
      <c r="I3835" s="11">
        <f>IF($H3835="AUTO_OFERTA_TOTAL_PRODUTO_PERIODO",SUMIFS(Oferta!$F:$F,Oferta!$A:$A,$A3835,Oferta!$E:$E,$E3835),$F3835)</f>
        <v/>
      </c>
      <c r="J3835" s="6" t="inlineStr">
        <is>
          <t>Derivado_da_Oferta</t>
        </is>
      </c>
      <c r="K3835" s="6" t="inlineStr">
        <is>
          <t>Mercado externo: limite superior calculado automaticamente pela soma da oferta do produto no período.</t>
        </is>
      </c>
    </row>
    <row r="3836">
      <c r="A3836" s="6" t="inlineStr">
        <is>
          <t>Soja</t>
        </is>
      </c>
      <c r="B3836" s="6" t="inlineStr">
        <is>
          <t>Santarém - PA</t>
        </is>
      </c>
      <c r="C3836" s="6" t="n">
        <v>-2.43849</v>
      </c>
      <c r="D3836" s="6" t="n">
        <v>-54.6996</v>
      </c>
      <c r="E3836" s="6" t="inlineStr">
        <is>
          <t>2025-07</t>
        </is>
      </c>
      <c r="F3836" s="6" t="n"/>
      <c r="G3836" s="6" t="inlineStr">
        <is>
          <t>EXPORTACAO</t>
        </is>
      </c>
      <c r="H3836" s="6" t="inlineStr">
        <is>
          <t>AUTO_OFERTA_TOTAL_PRODUTO_PERIODO</t>
        </is>
      </c>
      <c r="I3836" s="11">
        <f>IF($H3836="AUTO_OFERTA_TOTAL_PRODUTO_PERIODO",SUMIFS(Oferta!$F:$F,Oferta!$A:$A,$A3836,Oferta!$E:$E,$E3836),$F3836)</f>
        <v/>
      </c>
      <c r="J3836" s="6" t="inlineStr">
        <is>
          <t>Derivado_da_Oferta</t>
        </is>
      </c>
      <c r="K3836" s="6" t="inlineStr">
        <is>
          <t>Mercado externo: limite superior calculado automaticamente pela soma da oferta do produto no período.</t>
        </is>
      </c>
    </row>
    <row r="3837">
      <c r="A3837" s="6" t="inlineStr">
        <is>
          <t>Soja</t>
        </is>
      </c>
      <c r="B3837" s="6" t="inlineStr">
        <is>
          <t>Santarém - PA</t>
        </is>
      </c>
      <c r="C3837" s="6" t="n">
        <v>-2.43849</v>
      </c>
      <c r="D3837" s="6" t="n">
        <v>-54.6996</v>
      </c>
      <c r="E3837" s="6" t="inlineStr">
        <is>
          <t>2025-08</t>
        </is>
      </c>
      <c r="F3837" s="6" t="n"/>
      <c r="G3837" s="6" t="inlineStr">
        <is>
          <t>EXPORTACAO</t>
        </is>
      </c>
      <c r="H3837" s="6" t="inlineStr">
        <is>
          <t>AUTO_OFERTA_TOTAL_PRODUTO_PERIODO</t>
        </is>
      </c>
      <c r="I3837" s="11">
        <f>IF($H3837="AUTO_OFERTA_TOTAL_PRODUTO_PERIODO",SUMIFS(Oferta!$F:$F,Oferta!$A:$A,$A3837,Oferta!$E:$E,$E3837),$F3837)</f>
        <v/>
      </c>
      <c r="J3837" s="6" t="inlineStr">
        <is>
          <t>Derivado_da_Oferta</t>
        </is>
      </c>
      <c r="K3837" s="6" t="inlineStr">
        <is>
          <t>Mercado externo: limite superior calculado automaticamente pela soma da oferta do produto no período.</t>
        </is>
      </c>
    </row>
    <row r="3838">
      <c r="A3838" s="6" t="inlineStr">
        <is>
          <t>Soja</t>
        </is>
      </c>
      <c r="B3838" s="6" t="inlineStr">
        <is>
          <t>Santarém - PA</t>
        </is>
      </c>
      <c r="C3838" s="6" t="n">
        <v>-2.43849</v>
      </c>
      <c r="D3838" s="6" t="n">
        <v>-54.6996</v>
      </c>
      <c r="E3838" s="6" t="inlineStr">
        <is>
          <t>2025-09</t>
        </is>
      </c>
      <c r="F3838" s="6" t="n"/>
      <c r="G3838" s="6" t="inlineStr">
        <is>
          <t>EXPORTACAO</t>
        </is>
      </c>
      <c r="H3838" s="6" t="inlineStr">
        <is>
          <t>AUTO_OFERTA_TOTAL_PRODUTO_PERIODO</t>
        </is>
      </c>
      <c r="I3838" s="11">
        <f>IF($H3838="AUTO_OFERTA_TOTAL_PRODUTO_PERIODO",SUMIFS(Oferta!$F:$F,Oferta!$A:$A,$A3838,Oferta!$E:$E,$E3838),$F3838)</f>
        <v/>
      </c>
      <c r="J3838" s="6" t="inlineStr">
        <is>
          <t>Derivado_da_Oferta</t>
        </is>
      </c>
      <c r="K3838" s="6" t="inlineStr">
        <is>
          <t>Mercado externo: limite superior calculado automaticamente pela soma da oferta do produto no período.</t>
        </is>
      </c>
    </row>
    <row r="3839">
      <c r="A3839" s="6" t="inlineStr">
        <is>
          <t>Soja</t>
        </is>
      </c>
      <c r="B3839" s="6" t="inlineStr">
        <is>
          <t>Santarém - PA</t>
        </is>
      </c>
      <c r="C3839" s="6" t="n">
        <v>-2.43849</v>
      </c>
      <c r="D3839" s="6" t="n">
        <v>-54.6996</v>
      </c>
      <c r="E3839" s="6" t="inlineStr">
        <is>
          <t>2025-10</t>
        </is>
      </c>
      <c r="F3839" s="6" t="n"/>
      <c r="G3839" s="6" t="inlineStr">
        <is>
          <t>EXPORTACAO</t>
        </is>
      </c>
      <c r="H3839" s="6" t="inlineStr">
        <is>
          <t>AUTO_OFERTA_TOTAL_PRODUTO_PERIODO</t>
        </is>
      </c>
      <c r="I3839" s="11">
        <f>IF($H3839="AUTO_OFERTA_TOTAL_PRODUTO_PERIODO",SUMIFS(Oferta!$F:$F,Oferta!$A:$A,$A3839,Oferta!$E:$E,$E3839),$F3839)</f>
        <v/>
      </c>
      <c r="J3839" s="6" t="inlineStr">
        <is>
          <t>Derivado_da_Oferta</t>
        </is>
      </c>
      <c r="K3839" s="6" t="inlineStr">
        <is>
          <t>Mercado externo: limite superior calculado automaticamente pela soma da oferta do produto no período.</t>
        </is>
      </c>
    </row>
    <row r="3840">
      <c r="A3840" s="6" t="inlineStr">
        <is>
          <t>Soja</t>
        </is>
      </c>
      <c r="B3840" s="6" t="inlineStr">
        <is>
          <t>Santarém - PA</t>
        </is>
      </c>
      <c r="C3840" s="6" t="n">
        <v>-2.43849</v>
      </c>
      <c r="D3840" s="6" t="n">
        <v>-54.6996</v>
      </c>
      <c r="E3840" s="6" t="inlineStr">
        <is>
          <t>2025-11</t>
        </is>
      </c>
      <c r="F3840" s="6" t="n"/>
      <c r="G3840" s="6" t="inlineStr">
        <is>
          <t>EXPORTACAO</t>
        </is>
      </c>
      <c r="H3840" s="6" t="inlineStr">
        <is>
          <t>AUTO_OFERTA_TOTAL_PRODUTO_PERIODO</t>
        </is>
      </c>
      <c r="I3840" s="11">
        <f>IF($H3840="AUTO_OFERTA_TOTAL_PRODUTO_PERIODO",SUMIFS(Oferta!$F:$F,Oferta!$A:$A,$A3840,Oferta!$E:$E,$E3840),$F3840)</f>
        <v/>
      </c>
      <c r="J3840" s="6" t="inlineStr">
        <is>
          <t>Derivado_da_Oferta</t>
        </is>
      </c>
      <c r="K3840" s="6" t="inlineStr">
        <is>
          <t>Mercado externo: limite superior calculado automaticamente pela soma da oferta do produto no período.</t>
        </is>
      </c>
    </row>
    <row r="3841">
      <c r="A3841" s="6" t="inlineStr">
        <is>
          <t>Soja</t>
        </is>
      </c>
      <c r="B3841" s="6" t="inlineStr">
        <is>
          <t>Santarém - PA</t>
        </is>
      </c>
      <c r="C3841" s="6" t="n">
        <v>-2.43849</v>
      </c>
      <c r="D3841" s="6" t="n">
        <v>-54.6996</v>
      </c>
      <c r="E3841" s="6" t="inlineStr">
        <is>
          <t>2025-12</t>
        </is>
      </c>
      <c r="F3841" s="6" t="n"/>
      <c r="G3841" s="6" t="inlineStr">
        <is>
          <t>EXPORTACAO</t>
        </is>
      </c>
      <c r="H3841" s="6" t="inlineStr">
        <is>
          <t>AUTO_OFERTA_TOTAL_PRODUTO_PERIODO</t>
        </is>
      </c>
      <c r="I3841" s="11">
        <f>IF($H3841="AUTO_OFERTA_TOTAL_PRODUTO_PERIODO",SUMIFS(Oferta!$F:$F,Oferta!$A:$A,$A3841,Oferta!$E:$E,$E3841),$F3841)</f>
        <v/>
      </c>
      <c r="J3841" s="6" t="inlineStr">
        <is>
          <t>Derivado_da_Oferta</t>
        </is>
      </c>
      <c r="K3841" s="6" t="inlineStr">
        <is>
          <t>Mercado externo: limite superior calculado automaticamente pela soma da oferta do produto no período.</t>
        </is>
      </c>
    </row>
    <row r="3842">
      <c r="A3842" s="6" t="inlineStr">
        <is>
          <t>Milho</t>
        </is>
      </c>
      <c r="B3842" s="6" t="inlineStr">
        <is>
          <t>Itacoatiara - AM</t>
        </is>
      </c>
      <c r="C3842" s="6" t="n">
        <v>-3.13861</v>
      </c>
      <c r="D3842" s="6" t="n">
        <v>-58.4449</v>
      </c>
      <c r="E3842" s="6" t="inlineStr">
        <is>
          <t>2021-01</t>
        </is>
      </c>
      <c r="F3842" s="6" t="n"/>
      <c r="G3842" s="6" t="inlineStr">
        <is>
          <t>EXPORTACAO</t>
        </is>
      </c>
      <c r="H3842" s="6" t="inlineStr">
        <is>
          <t>AUTO_OFERTA_TOTAL_PRODUTO_PERIODO</t>
        </is>
      </c>
      <c r="I3842" s="11">
        <f>IF($H3842="AUTO_OFERTA_TOTAL_PRODUTO_PERIODO",SUMIFS(Oferta!$F:$F,Oferta!$A:$A,$A3842,Oferta!$E:$E,$E3842),$F3842)</f>
        <v/>
      </c>
      <c r="J3842" s="6" t="inlineStr">
        <is>
          <t>Derivado_da_Oferta</t>
        </is>
      </c>
      <c r="K3842" s="6" t="inlineStr">
        <is>
          <t>Mercado externo: limite superior calculado automaticamente pela soma da oferta do produto no período.</t>
        </is>
      </c>
    </row>
    <row r="3843">
      <c r="A3843" s="6" t="inlineStr">
        <is>
          <t>Milho</t>
        </is>
      </c>
      <c r="B3843" s="6" t="inlineStr">
        <is>
          <t>Itacoatiara - AM</t>
        </is>
      </c>
      <c r="C3843" s="6" t="n">
        <v>-3.13861</v>
      </c>
      <c r="D3843" s="6" t="n">
        <v>-58.4449</v>
      </c>
      <c r="E3843" s="6" t="inlineStr">
        <is>
          <t>2021-02</t>
        </is>
      </c>
      <c r="F3843" s="6" t="n"/>
      <c r="G3843" s="6" t="inlineStr">
        <is>
          <t>EXPORTACAO</t>
        </is>
      </c>
      <c r="H3843" s="6" t="inlineStr">
        <is>
          <t>AUTO_OFERTA_TOTAL_PRODUTO_PERIODO</t>
        </is>
      </c>
      <c r="I3843" s="11">
        <f>IF($H3843="AUTO_OFERTA_TOTAL_PRODUTO_PERIODO",SUMIFS(Oferta!$F:$F,Oferta!$A:$A,$A3843,Oferta!$E:$E,$E3843),$F3843)</f>
        <v/>
      </c>
      <c r="J3843" s="6" t="inlineStr">
        <is>
          <t>Derivado_da_Oferta</t>
        </is>
      </c>
      <c r="K3843" s="6" t="inlineStr">
        <is>
          <t>Mercado externo: limite superior calculado automaticamente pela soma da oferta do produto no período.</t>
        </is>
      </c>
    </row>
    <row r="3844">
      <c r="A3844" s="6" t="inlineStr">
        <is>
          <t>Milho</t>
        </is>
      </c>
      <c r="B3844" s="6" t="inlineStr">
        <is>
          <t>Itacoatiara - AM</t>
        </is>
      </c>
      <c r="C3844" s="6" t="n">
        <v>-3.13861</v>
      </c>
      <c r="D3844" s="6" t="n">
        <v>-58.4449</v>
      </c>
      <c r="E3844" s="6" t="inlineStr">
        <is>
          <t>2021-03</t>
        </is>
      </c>
      <c r="F3844" s="6" t="n"/>
      <c r="G3844" s="6" t="inlineStr">
        <is>
          <t>EXPORTACAO</t>
        </is>
      </c>
      <c r="H3844" s="6" t="inlineStr">
        <is>
          <t>AUTO_OFERTA_TOTAL_PRODUTO_PERIODO</t>
        </is>
      </c>
      <c r="I3844" s="11">
        <f>IF($H3844="AUTO_OFERTA_TOTAL_PRODUTO_PERIODO",SUMIFS(Oferta!$F:$F,Oferta!$A:$A,$A3844,Oferta!$E:$E,$E3844),$F3844)</f>
        <v/>
      </c>
      <c r="J3844" s="6" t="inlineStr">
        <is>
          <t>Derivado_da_Oferta</t>
        </is>
      </c>
      <c r="K3844" s="6" t="inlineStr">
        <is>
          <t>Mercado externo: limite superior calculado automaticamente pela soma da oferta do produto no período.</t>
        </is>
      </c>
    </row>
    <row r="3845">
      <c r="A3845" s="6" t="inlineStr">
        <is>
          <t>Milho</t>
        </is>
      </c>
      <c r="B3845" s="6" t="inlineStr">
        <is>
          <t>Itacoatiara - AM</t>
        </is>
      </c>
      <c r="C3845" s="6" t="n">
        <v>-3.13861</v>
      </c>
      <c r="D3845" s="6" t="n">
        <v>-58.4449</v>
      </c>
      <c r="E3845" s="6" t="inlineStr">
        <is>
          <t>2021-04</t>
        </is>
      </c>
      <c r="F3845" s="6" t="n"/>
      <c r="G3845" s="6" t="inlineStr">
        <is>
          <t>EXPORTACAO</t>
        </is>
      </c>
      <c r="H3845" s="6" t="inlineStr">
        <is>
          <t>AUTO_OFERTA_TOTAL_PRODUTO_PERIODO</t>
        </is>
      </c>
      <c r="I3845" s="11">
        <f>IF($H3845="AUTO_OFERTA_TOTAL_PRODUTO_PERIODO",SUMIFS(Oferta!$F:$F,Oferta!$A:$A,$A3845,Oferta!$E:$E,$E3845),$F3845)</f>
        <v/>
      </c>
      <c r="J3845" s="6" t="inlineStr">
        <is>
          <t>Derivado_da_Oferta</t>
        </is>
      </c>
      <c r="K3845" s="6" t="inlineStr">
        <is>
          <t>Mercado externo: limite superior calculado automaticamente pela soma da oferta do produto no período.</t>
        </is>
      </c>
    </row>
    <row r="3846">
      <c r="A3846" s="6" t="inlineStr">
        <is>
          <t>Milho</t>
        </is>
      </c>
      <c r="B3846" s="6" t="inlineStr">
        <is>
          <t>Itacoatiara - AM</t>
        </is>
      </c>
      <c r="C3846" s="6" t="n">
        <v>-3.13861</v>
      </c>
      <c r="D3846" s="6" t="n">
        <v>-58.4449</v>
      </c>
      <c r="E3846" s="6" t="inlineStr">
        <is>
          <t>2021-05</t>
        </is>
      </c>
      <c r="F3846" s="6" t="n"/>
      <c r="G3846" s="6" t="inlineStr">
        <is>
          <t>EXPORTACAO</t>
        </is>
      </c>
      <c r="H3846" s="6" t="inlineStr">
        <is>
          <t>AUTO_OFERTA_TOTAL_PRODUTO_PERIODO</t>
        </is>
      </c>
      <c r="I3846" s="11">
        <f>IF($H3846="AUTO_OFERTA_TOTAL_PRODUTO_PERIODO",SUMIFS(Oferta!$F:$F,Oferta!$A:$A,$A3846,Oferta!$E:$E,$E3846),$F3846)</f>
        <v/>
      </c>
      <c r="J3846" s="6" t="inlineStr">
        <is>
          <t>Derivado_da_Oferta</t>
        </is>
      </c>
      <c r="K3846" s="6" t="inlineStr">
        <is>
          <t>Mercado externo: limite superior calculado automaticamente pela soma da oferta do produto no período.</t>
        </is>
      </c>
    </row>
    <row r="3847">
      <c r="A3847" s="6" t="inlineStr">
        <is>
          <t>Milho</t>
        </is>
      </c>
      <c r="B3847" s="6" t="inlineStr">
        <is>
          <t>Itacoatiara - AM</t>
        </is>
      </c>
      <c r="C3847" s="6" t="n">
        <v>-3.13861</v>
      </c>
      <c r="D3847" s="6" t="n">
        <v>-58.4449</v>
      </c>
      <c r="E3847" s="6" t="inlineStr">
        <is>
          <t>2021-06</t>
        </is>
      </c>
      <c r="F3847" s="6" t="n"/>
      <c r="G3847" s="6" t="inlineStr">
        <is>
          <t>EXPORTACAO</t>
        </is>
      </c>
      <c r="H3847" s="6" t="inlineStr">
        <is>
          <t>AUTO_OFERTA_TOTAL_PRODUTO_PERIODO</t>
        </is>
      </c>
      <c r="I3847" s="11">
        <f>IF($H3847="AUTO_OFERTA_TOTAL_PRODUTO_PERIODO",SUMIFS(Oferta!$F:$F,Oferta!$A:$A,$A3847,Oferta!$E:$E,$E3847),$F3847)</f>
        <v/>
      </c>
      <c r="J3847" s="6" t="inlineStr">
        <is>
          <t>Derivado_da_Oferta</t>
        </is>
      </c>
      <c r="K3847" s="6" t="inlineStr">
        <is>
          <t>Mercado externo: limite superior calculado automaticamente pela soma da oferta do produto no período.</t>
        </is>
      </c>
    </row>
    <row r="3848">
      <c r="A3848" s="6" t="inlineStr">
        <is>
          <t>Milho</t>
        </is>
      </c>
      <c r="B3848" s="6" t="inlineStr">
        <is>
          <t>Itacoatiara - AM</t>
        </is>
      </c>
      <c r="C3848" s="6" t="n">
        <v>-3.13861</v>
      </c>
      <c r="D3848" s="6" t="n">
        <v>-58.4449</v>
      </c>
      <c r="E3848" s="6" t="inlineStr">
        <is>
          <t>2021-07</t>
        </is>
      </c>
      <c r="F3848" s="6" t="n"/>
      <c r="G3848" s="6" t="inlineStr">
        <is>
          <t>EXPORTACAO</t>
        </is>
      </c>
      <c r="H3848" s="6" t="inlineStr">
        <is>
          <t>AUTO_OFERTA_TOTAL_PRODUTO_PERIODO</t>
        </is>
      </c>
      <c r="I3848" s="11">
        <f>IF($H3848="AUTO_OFERTA_TOTAL_PRODUTO_PERIODO",SUMIFS(Oferta!$F:$F,Oferta!$A:$A,$A3848,Oferta!$E:$E,$E3848),$F3848)</f>
        <v/>
      </c>
      <c r="J3848" s="6" t="inlineStr">
        <is>
          <t>Derivado_da_Oferta</t>
        </is>
      </c>
      <c r="K3848" s="6" t="inlineStr">
        <is>
          <t>Mercado externo: limite superior calculado automaticamente pela soma da oferta do produto no período.</t>
        </is>
      </c>
    </row>
    <row r="3849">
      <c r="A3849" s="6" t="inlineStr">
        <is>
          <t>Milho</t>
        </is>
      </c>
      <c r="B3849" s="6" t="inlineStr">
        <is>
          <t>Itacoatiara - AM</t>
        </is>
      </c>
      <c r="C3849" s="6" t="n">
        <v>-3.13861</v>
      </c>
      <c r="D3849" s="6" t="n">
        <v>-58.4449</v>
      </c>
      <c r="E3849" s="6" t="inlineStr">
        <is>
          <t>2021-08</t>
        </is>
      </c>
      <c r="F3849" s="6" t="n"/>
      <c r="G3849" s="6" t="inlineStr">
        <is>
          <t>EXPORTACAO</t>
        </is>
      </c>
      <c r="H3849" s="6" t="inlineStr">
        <is>
          <t>AUTO_OFERTA_TOTAL_PRODUTO_PERIODO</t>
        </is>
      </c>
      <c r="I3849" s="11">
        <f>IF($H3849="AUTO_OFERTA_TOTAL_PRODUTO_PERIODO",SUMIFS(Oferta!$F:$F,Oferta!$A:$A,$A3849,Oferta!$E:$E,$E3849),$F3849)</f>
        <v/>
      </c>
      <c r="J3849" s="6" t="inlineStr">
        <is>
          <t>Derivado_da_Oferta</t>
        </is>
      </c>
      <c r="K3849" s="6" t="inlineStr">
        <is>
          <t>Mercado externo: limite superior calculado automaticamente pela soma da oferta do produto no período.</t>
        </is>
      </c>
    </row>
    <row r="3850">
      <c r="A3850" s="6" t="inlineStr">
        <is>
          <t>Milho</t>
        </is>
      </c>
      <c r="B3850" s="6" t="inlineStr">
        <is>
          <t>Itacoatiara - AM</t>
        </is>
      </c>
      <c r="C3850" s="6" t="n">
        <v>-3.13861</v>
      </c>
      <c r="D3850" s="6" t="n">
        <v>-58.4449</v>
      </c>
      <c r="E3850" s="6" t="inlineStr">
        <is>
          <t>2021-09</t>
        </is>
      </c>
      <c r="F3850" s="6" t="n"/>
      <c r="G3850" s="6" t="inlineStr">
        <is>
          <t>EXPORTACAO</t>
        </is>
      </c>
      <c r="H3850" s="6" t="inlineStr">
        <is>
          <t>AUTO_OFERTA_TOTAL_PRODUTO_PERIODO</t>
        </is>
      </c>
      <c r="I3850" s="11">
        <f>IF($H3850="AUTO_OFERTA_TOTAL_PRODUTO_PERIODO",SUMIFS(Oferta!$F:$F,Oferta!$A:$A,$A3850,Oferta!$E:$E,$E3850),$F3850)</f>
        <v/>
      </c>
      <c r="J3850" s="6" t="inlineStr">
        <is>
          <t>Derivado_da_Oferta</t>
        </is>
      </c>
      <c r="K3850" s="6" t="inlineStr">
        <is>
          <t>Mercado externo: limite superior calculado automaticamente pela soma da oferta do produto no período.</t>
        </is>
      </c>
    </row>
    <row r="3851">
      <c r="A3851" s="6" t="inlineStr">
        <is>
          <t>Milho</t>
        </is>
      </c>
      <c r="B3851" s="6" t="inlineStr">
        <is>
          <t>Itacoatiara - AM</t>
        </is>
      </c>
      <c r="C3851" s="6" t="n">
        <v>-3.13861</v>
      </c>
      <c r="D3851" s="6" t="n">
        <v>-58.4449</v>
      </c>
      <c r="E3851" s="6" t="inlineStr">
        <is>
          <t>2021-10</t>
        </is>
      </c>
      <c r="F3851" s="6" t="n"/>
      <c r="G3851" s="6" t="inlineStr">
        <is>
          <t>EXPORTACAO</t>
        </is>
      </c>
      <c r="H3851" s="6" t="inlineStr">
        <is>
          <t>AUTO_OFERTA_TOTAL_PRODUTO_PERIODO</t>
        </is>
      </c>
      <c r="I3851" s="11">
        <f>IF($H3851="AUTO_OFERTA_TOTAL_PRODUTO_PERIODO",SUMIFS(Oferta!$F:$F,Oferta!$A:$A,$A3851,Oferta!$E:$E,$E3851),$F3851)</f>
        <v/>
      </c>
      <c r="J3851" s="6" t="inlineStr">
        <is>
          <t>Derivado_da_Oferta</t>
        </is>
      </c>
      <c r="K3851" s="6" t="inlineStr">
        <is>
          <t>Mercado externo: limite superior calculado automaticamente pela soma da oferta do produto no período.</t>
        </is>
      </c>
    </row>
    <row r="3852">
      <c r="A3852" s="6" t="inlineStr">
        <is>
          <t>Milho</t>
        </is>
      </c>
      <c r="B3852" s="6" t="inlineStr">
        <is>
          <t>Itacoatiara - AM</t>
        </is>
      </c>
      <c r="C3852" s="6" t="n">
        <v>-3.13861</v>
      </c>
      <c r="D3852" s="6" t="n">
        <v>-58.4449</v>
      </c>
      <c r="E3852" s="6" t="inlineStr">
        <is>
          <t>2021-11</t>
        </is>
      </c>
      <c r="F3852" s="6" t="n"/>
      <c r="G3852" s="6" t="inlineStr">
        <is>
          <t>EXPORTACAO</t>
        </is>
      </c>
      <c r="H3852" s="6" t="inlineStr">
        <is>
          <t>AUTO_OFERTA_TOTAL_PRODUTO_PERIODO</t>
        </is>
      </c>
      <c r="I3852" s="11">
        <f>IF($H3852="AUTO_OFERTA_TOTAL_PRODUTO_PERIODO",SUMIFS(Oferta!$F:$F,Oferta!$A:$A,$A3852,Oferta!$E:$E,$E3852),$F3852)</f>
        <v/>
      </c>
      <c r="J3852" s="6" t="inlineStr">
        <is>
          <t>Derivado_da_Oferta</t>
        </is>
      </c>
      <c r="K3852" s="6" t="inlineStr">
        <is>
          <t>Mercado externo: limite superior calculado automaticamente pela soma da oferta do produto no período.</t>
        </is>
      </c>
    </row>
    <row r="3853">
      <c r="A3853" s="6" t="inlineStr">
        <is>
          <t>Milho</t>
        </is>
      </c>
      <c r="B3853" s="6" t="inlineStr">
        <is>
          <t>Itacoatiara - AM</t>
        </is>
      </c>
      <c r="C3853" s="6" t="n">
        <v>-3.13861</v>
      </c>
      <c r="D3853" s="6" t="n">
        <v>-58.4449</v>
      </c>
      <c r="E3853" s="6" t="inlineStr">
        <is>
          <t>2021-12</t>
        </is>
      </c>
      <c r="F3853" s="6" t="n"/>
      <c r="G3853" s="6" t="inlineStr">
        <is>
          <t>EXPORTACAO</t>
        </is>
      </c>
      <c r="H3853" s="6" t="inlineStr">
        <is>
          <t>AUTO_OFERTA_TOTAL_PRODUTO_PERIODO</t>
        </is>
      </c>
      <c r="I3853" s="11">
        <f>IF($H3853="AUTO_OFERTA_TOTAL_PRODUTO_PERIODO",SUMIFS(Oferta!$F:$F,Oferta!$A:$A,$A3853,Oferta!$E:$E,$E3853),$F3853)</f>
        <v/>
      </c>
      <c r="J3853" s="6" t="inlineStr">
        <is>
          <t>Derivado_da_Oferta</t>
        </is>
      </c>
      <c r="K3853" s="6" t="inlineStr">
        <is>
          <t>Mercado externo: limite superior calculado automaticamente pela soma da oferta do produto no período.</t>
        </is>
      </c>
    </row>
    <row r="3854">
      <c r="A3854" s="6" t="inlineStr">
        <is>
          <t>Milho</t>
        </is>
      </c>
      <c r="B3854" s="6" t="inlineStr">
        <is>
          <t>Itacoatiara - AM</t>
        </is>
      </c>
      <c r="C3854" s="6" t="n">
        <v>-3.13861</v>
      </c>
      <c r="D3854" s="6" t="n">
        <v>-58.4449</v>
      </c>
      <c r="E3854" s="6" t="inlineStr">
        <is>
          <t>2022-01</t>
        </is>
      </c>
      <c r="F3854" s="6" t="n"/>
      <c r="G3854" s="6" t="inlineStr">
        <is>
          <t>EXPORTACAO</t>
        </is>
      </c>
      <c r="H3854" s="6" t="inlineStr">
        <is>
          <t>AUTO_OFERTA_TOTAL_PRODUTO_PERIODO</t>
        </is>
      </c>
      <c r="I3854" s="11">
        <f>IF($H3854="AUTO_OFERTA_TOTAL_PRODUTO_PERIODO",SUMIFS(Oferta!$F:$F,Oferta!$A:$A,$A3854,Oferta!$E:$E,$E3854),$F3854)</f>
        <v/>
      </c>
      <c r="J3854" s="6" t="inlineStr">
        <is>
          <t>Derivado_da_Oferta</t>
        </is>
      </c>
      <c r="K3854" s="6" t="inlineStr">
        <is>
          <t>Mercado externo: limite superior calculado automaticamente pela soma da oferta do produto no período.</t>
        </is>
      </c>
    </row>
    <row r="3855">
      <c r="A3855" s="6" t="inlineStr">
        <is>
          <t>Milho</t>
        </is>
      </c>
      <c r="B3855" s="6" t="inlineStr">
        <is>
          <t>Itacoatiara - AM</t>
        </is>
      </c>
      <c r="C3855" s="6" t="n">
        <v>-3.13861</v>
      </c>
      <c r="D3855" s="6" t="n">
        <v>-58.4449</v>
      </c>
      <c r="E3855" s="6" t="inlineStr">
        <is>
          <t>2022-02</t>
        </is>
      </c>
      <c r="F3855" s="6" t="n"/>
      <c r="G3855" s="6" t="inlineStr">
        <is>
          <t>EXPORTACAO</t>
        </is>
      </c>
      <c r="H3855" s="6" t="inlineStr">
        <is>
          <t>AUTO_OFERTA_TOTAL_PRODUTO_PERIODO</t>
        </is>
      </c>
      <c r="I3855" s="11">
        <f>IF($H3855="AUTO_OFERTA_TOTAL_PRODUTO_PERIODO",SUMIFS(Oferta!$F:$F,Oferta!$A:$A,$A3855,Oferta!$E:$E,$E3855),$F3855)</f>
        <v/>
      </c>
      <c r="J3855" s="6" t="inlineStr">
        <is>
          <t>Derivado_da_Oferta</t>
        </is>
      </c>
      <c r="K3855" s="6" t="inlineStr">
        <is>
          <t>Mercado externo: limite superior calculado automaticamente pela soma da oferta do produto no período.</t>
        </is>
      </c>
    </row>
    <row r="3856">
      <c r="A3856" s="6" t="inlineStr">
        <is>
          <t>Milho</t>
        </is>
      </c>
      <c r="B3856" s="6" t="inlineStr">
        <is>
          <t>Itacoatiara - AM</t>
        </is>
      </c>
      <c r="C3856" s="6" t="n">
        <v>-3.13861</v>
      </c>
      <c r="D3856" s="6" t="n">
        <v>-58.4449</v>
      </c>
      <c r="E3856" s="6" t="inlineStr">
        <is>
          <t>2022-03</t>
        </is>
      </c>
      <c r="F3856" s="6" t="n"/>
      <c r="G3856" s="6" t="inlineStr">
        <is>
          <t>EXPORTACAO</t>
        </is>
      </c>
      <c r="H3856" s="6" t="inlineStr">
        <is>
          <t>AUTO_OFERTA_TOTAL_PRODUTO_PERIODO</t>
        </is>
      </c>
      <c r="I3856" s="11">
        <f>IF($H3856="AUTO_OFERTA_TOTAL_PRODUTO_PERIODO",SUMIFS(Oferta!$F:$F,Oferta!$A:$A,$A3856,Oferta!$E:$E,$E3856),$F3856)</f>
        <v/>
      </c>
      <c r="J3856" s="6" t="inlineStr">
        <is>
          <t>Derivado_da_Oferta</t>
        </is>
      </c>
      <c r="K3856" s="6" t="inlineStr">
        <is>
          <t>Mercado externo: limite superior calculado automaticamente pela soma da oferta do produto no período.</t>
        </is>
      </c>
    </row>
    <row r="3857">
      <c r="A3857" s="6" t="inlineStr">
        <is>
          <t>Milho</t>
        </is>
      </c>
      <c r="B3857" s="6" t="inlineStr">
        <is>
          <t>Itacoatiara - AM</t>
        </is>
      </c>
      <c r="C3857" s="6" t="n">
        <v>-3.13861</v>
      </c>
      <c r="D3857" s="6" t="n">
        <v>-58.4449</v>
      </c>
      <c r="E3857" s="6" t="inlineStr">
        <is>
          <t>2022-04</t>
        </is>
      </c>
      <c r="F3857" s="6" t="n"/>
      <c r="G3857" s="6" t="inlineStr">
        <is>
          <t>EXPORTACAO</t>
        </is>
      </c>
      <c r="H3857" s="6" t="inlineStr">
        <is>
          <t>AUTO_OFERTA_TOTAL_PRODUTO_PERIODO</t>
        </is>
      </c>
      <c r="I3857" s="11">
        <f>IF($H3857="AUTO_OFERTA_TOTAL_PRODUTO_PERIODO",SUMIFS(Oferta!$F:$F,Oferta!$A:$A,$A3857,Oferta!$E:$E,$E3857),$F3857)</f>
        <v/>
      </c>
      <c r="J3857" s="6" t="inlineStr">
        <is>
          <t>Derivado_da_Oferta</t>
        </is>
      </c>
      <c r="K3857" s="6" t="inlineStr">
        <is>
          <t>Mercado externo: limite superior calculado automaticamente pela soma da oferta do produto no período.</t>
        </is>
      </c>
    </row>
    <row r="3858">
      <c r="A3858" s="6" t="inlineStr">
        <is>
          <t>Milho</t>
        </is>
      </c>
      <c r="B3858" s="6" t="inlineStr">
        <is>
          <t>Itacoatiara - AM</t>
        </is>
      </c>
      <c r="C3858" s="6" t="n">
        <v>-3.13861</v>
      </c>
      <c r="D3858" s="6" t="n">
        <v>-58.4449</v>
      </c>
      <c r="E3858" s="6" t="inlineStr">
        <is>
          <t>2022-05</t>
        </is>
      </c>
      <c r="F3858" s="6" t="n"/>
      <c r="G3858" s="6" t="inlineStr">
        <is>
          <t>EXPORTACAO</t>
        </is>
      </c>
      <c r="H3858" s="6" t="inlineStr">
        <is>
          <t>AUTO_OFERTA_TOTAL_PRODUTO_PERIODO</t>
        </is>
      </c>
      <c r="I3858" s="11">
        <f>IF($H3858="AUTO_OFERTA_TOTAL_PRODUTO_PERIODO",SUMIFS(Oferta!$F:$F,Oferta!$A:$A,$A3858,Oferta!$E:$E,$E3858),$F3858)</f>
        <v/>
      </c>
      <c r="J3858" s="6" t="inlineStr">
        <is>
          <t>Derivado_da_Oferta</t>
        </is>
      </c>
      <c r="K3858" s="6" t="inlineStr">
        <is>
          <t>Mercado externo: limite superior calculado automaticamente pela soma da oferta do produto no período.</t>
        </is>
      </c>
    </row>
    <row r="3859">
      <c r="A3859" s="6" t="inlineStr">
        <is>
          <t>Milho</t>
        </is>
      </c>
      <c r="B3859" s="6" t="inlineStr">
        <is>
          <t>Itacoatiara - AM</t>
        </is>
      </c>
      <c r="C3859" s="6" t="n">
        <v>-3.13861</v>
      </c>
      <c r="D3859" s="6" t="n">
        <v>-58.4449</v>
      </c>
      <c r="E3859" s="6" t="inlineStr">
        <is>
          <t>2022-06</t>
        </is>
      </c>
      <c r="F3859" s="6" t="n"/>
      <c r="G3859" s="6" t="inlineStr">
        <is>
          <t>EXPORTACAO</t>
        </is>
      </c>
      <c r="H3859" s="6" t="inlineStr">
        <is>
          <t>AUTO_OFERTA_TOTAL_PRODUTO_PERIODO</t>
        </is>
      </c>
      <c r="I3859" s="11">
        <f>IF($H3859="AUTO_OFERTA_TOTAL_PRODUTO_PERIODO",SUMIFS(Oferta!$F:$F,Oferta!$A:$A,$A3859,Oferta!$E:$E,$E3859),$F3859)</f>
        <v/>
      </c>
      <c r="J3859" s="6" t="inlineStr">
        <is>
          <t>Derivado_da_Oferta</t>
        </is>
      </c>
      <c r="K3859" s="6" t="inlineStr">
        <is>
          <t>Mercado externo: limite superior calculado automaticamente pela soma da oferta do produto no período.</t>
        </is>
      </c>
    </row>
    <row r="3860">
      <c r="A3860" s="6" t="inlineStr">
        <is>
          <t>Milho</t>
        </is>
      </c>
      <c r="B3860" s="6" t="inlineStr">
        <is>
          <t>Itacoatiara - AM</t>
        </is>
      </c>
      <c r="C3860" s="6" t="n">
        <v>-3.13861</v>
      </c>
      <c r="D3860" s="6" t="n">
        <v>-58.4449</v>
      </c>
      <c r="E3860" s="6" t="inlineStr">
        <is>
          <t>2022-07</t>
        </is>
      </c>
      <c r="F3860" s="6" t="n"/>
      <c r="G3860" s="6" t="inlineStr">
        <is>
          <t>EXPORTACAO</t>
        </is>
      </c>
      <c r="H3860" s="6" t="inlineStr">
        <is>
          <t>AUTO_OFERTA_TOTAL_PRODUTO_PERIODO</t>
        </is>
      </c>
      <c r="I3860" s="11">
        <f>IF($H3860="AUTO_OFERTA_TOTAL_PRODUTO_PERIODO",SUMIFS(Oferta!$F:$F,Oferta!$A:$A,$A3860,Oferta!$E:$E,$E3860),$F3860)</f>
        <v/>
      </c>
      <c r="J3860" s="6" t="inlineStr">
        <is>
          <t>Derivado_da_Oferta</t>
        </is>
      </c>
      <c r="K3860" s="6" t="inlineStr">
        <is>
          <t>Mercado externo: limite superior calculado automaticamente pela soma da oferta do produto no período.</t>
        </is>
      </c>
    </row>
    <row r="3861">
      <c r="A3861" s="6" t="inlineStr">
        <is>
          <t>Milho</t>
        </is>
      </c>
      <c r="B3861" s="6" t="inlineStr">
        <is>
          <t>Itacoatiara - AM</t>
        </is>
      </c>
      <c r="C3861" s="6" t="n">
        <v>-3.13861</v>
      </c>
      <c r="D3861" s="6" t="n">
        <v>-58.4449</v>
      </c>
      <c r="E3861" s="6" t="inlineStr">
        <is>
          <t>2022-08</t>
        </is>
      </c>
      <c r="F3861" s="6" t="n"/>
      <c r="G3861" s="6" t="inlineStr">
        <is>
          <t>EXPORTACAO</t>
        </is>
      </c>
      <c r="H3861" s="6" t="inlineStr">
        <is>
          <t>AUTO_OFERTA_TOTAL_PRODUTO_PERIODO</t>
        </is>
      </c>
      <c r="I3861" s="11">
        <f>IF($H3861="AUTO_OFERTA_TOTAL_PRODUTO_PERIODO",SUMIFS(Oferta!$F:$F,Oferta!$A:$A,$A3861,Oferta!$E:$E,$E3861),$F3861)</f>
        <v/>
      </c>
      <c r="J3861" s="6" t="inlineStr">
        <is>
          <t>Derivado_da_Oferta</t>
        </is>
      </c>
      <c r="K3861" s="6" t="inlineStr">
        <is>
          <t>Mercado externo: limite superior calculado automaticamente pela soma da oferta do produto no período.</t>
        </is>
      </c>
    </row>
    <row r="3862">
      <c r="A3862" s="6" t="inlineStr">
        <is>
          <t>Milho</t>
        </is>
      </c>
      <c r="B3862" s="6" t="inlineStr">
        <is>
          <t>Itacoatiara - AM</t>
        </is>
      </c>
      <c r="C3862" s="6" t="n">
        <v>-3.13861</v>
      </c>
      <c r="D3862" s="6" t="n">
        <v>-58.4449</v>
      </c>
      <c r="E3862" s="6" t="inlineStr">
        <is>
          <t>2022-09</t>
        </is>
      </c>
      <c r="F3862" s="6" t="n"/>
      <c r="G3862" s="6" t="inlineStr">
        <is>
          <t>EXPORTACAO</t>
        </is>
      </c>
      <c r="H3862" s="6" t="inlineStr">
        <is>
          <t>AUTO_OFERTA_TOTAL_PRODUTO_PERIODO</t>
        </is>
      </c>
      <c r="I3862" s="11">
        <f>IF($H3862="AUTO_OFERTA_TOTAL_PRODUTO_PERIODO",SUMIFS(Oferta!$F:$F,Oferta!$A:$A,$A3862,Oferta!$E:$E,$E3862),$F3862)</f>
        <v/>
      </c>
      <c r="J3862" s="6" t="inlineStr">
        <is>
          <t>Derivado_da_Oferta</t>
        </is>
      </c>
      <c r="K3862" s="6" t="inlineStr">
        <is>
          <t>Mercado externo: limite superior calculado automaticamente pela soma da oferta do produto no período.</t>
        </is>
      </c>
    </row>
    <row r="3863">
      <c r="A3863" s="6" t="inlineStr">
        <is>
          <t>Milho</t>
        </is>
      </c>
      <c r="B3863" s="6" t="inlineStr">
        <is>
          <t>Itacoatiara - AM</t>
        </is>
      </c>
      <c r="C3863" s="6" t="n">
        <v>-3.13861</v>
      </c>
      <c r="D3863" s="6" t="n">
        <v>-58.4449</v>
      </c>
      <c r="E3863" s="6" t="inlineStr">
        <is>
          <t>2022-10</t>
        </is>
      </c>
      <c r="F3863" s="6" t="n"/>
      <c r="G3863" s="6" t="inlineStr">
        <is>
          <t>EXPORTACAO</t>
        </is>
      </c>
      <c r="H3863" s="6" t="inlineStr">
        <is>
          <t>AUTO_OFERTA_TOTAL_PRODUTO_PERIODO</t>
        </is>
      </c>
      <c r="I3863" s="11">
        <f>IF($H3863="AUTO_OFERTA_TOTAL_PRODUTO_PERIODO",SUMIFS(Oferta!$F:$F,Oferta!$A:$A,$A3863,Oferta!$E:$E,$E3863),$F3863)</f>
        <v/>
      </c>
      <c r="J3863" s="6" t="inlineStr">
        <is>
          <t>Derivado_da_Oferta</t>
        </is>
      </c>
      <c r="K3863" s="6" t="inlineStr">
        <is>
          <t>Mercado externo: limite superior calculado automaticamente pela soma da oferta do produto no período.</t>
        </is>
      </c>
    </row>
    <row r="3864">
      <c r="A3864" s="6" t="inlineStr">
        <is>
          <t>Milho</t>
        </is>
      </c>
      <c r="B3864" s="6" t="inlineStr">
        <is>
          <t>Itacoatiara - AM</t>
        </is>
      </c>
      <c r="C3864" s="6" t="n">
        <v>-3.13861</v>
      </c>
      <c r="D3864" s="6" t="n">
        <v>-58.4449</v>
      </c>
      <c r="E3864" s="6" t="inlineStr">
        <is>
          <t>2022-11</t>
        </is>
      </c>
      <c r="F3864" s="6" t="n"/>
      <c r="G3864" s="6" t="inlineStr">
        <is>
          <t>EXPORTACAO</t>
        </is>
      </c>
      <c r="H3864" s="6" t="inlineStr">
        <is>
          <t>AUTO_OFERTA_TOTAL_PRODUTO_PERIODO</t>
        </is>
      </c>
      <c r="I3864" s="11">
        <f>IF($H3864="AUTO_OFERTA_TOTAL_PRODUTO_PERIODO",SUMIFS(Oferta!$F:$F,Oferta!$A:$A,$A3864,Oferta!$E:$E,$E3864),$F3864)</f>
        <v/>
      </c>
      <c r="J3864" s="6" t="inlineStr">
        <is>
          <t>Derivado_da_Oferta</t>
        </is>
      </c>
      <c r="K3864" s="6" t="inlineStr">
        <is>
          <t>Mercado externo: limite superior calculado automaticamente pela soma da oferta do produto no período.</t>
        </is>
      </c>
    </row>
    <row r="3865">
      <c r="A3865" s="6" t="inlineStr">
        <is>
          <t>Milho</t>
        </is>
      </c>
      <c r="B3865" s="6" t="inlineStr">
        <is>
          <t>Itacoatiara - AM</t>
        </is>
      </c>
      <c r="C3865" s="6" t="n">
        <v>-3.13861</v>
      </c>
      <c r="D3865" s="6" t="n">
        <v>-58.4449</v>
      </c>
      <c r="E3865" s="6" t="inlineStr">
        <is>
          <t>2022-12</t>
        </is>
      </c>
      <c r="F3865" s="6" t="n"/>
      <c r="G3865" s="6" t="inlineStr">
        <is>
          <t>EXPORTACAO</t>
        </is>
      </c>
      <c r="H3865" s="6" t="inlineStr">
        <is>
          <t>AUTO_OFERTA_TOTAL_PRODUTO_PERIODO</t>
        </is>
      </c>
      <c r="I3865" s="11">
        <f>IF($H3865="AUTO_OFERTA_TOTAL_PRODUTO_PERIODO",SUMIFS(Oferta!$F:$F,Oferta!$A:$A,$A3865,Oferta!$E:$E,$E3865),$F3865)</f>
        <v/>
      </c>
      <c r="J3865" s="6" t="inlineStr">
        <is>
          <t>Derivado_da_Oferta</t>
        </is>
      </c>
      <c r="K3865" s="6" t="inlineStr">
        <is>
          <t>Mercado externo: limite superior calculado automaticamente pela soma da oferta do produto no período.</t>
        </is>
      </c>
    </row>
    <row r="3866">
      <c r="A3866" s="6" t="inlineStr">
        <is>
          <t>Milho</t>
        </is>
      </c>
      <c r="B3866" s="6" t="inlineStr">
        <is>
          <t>Itacoatiara - AM</t>
        </is>
      </c>
      <c r="C3866" s="6" t="n">
        <v>-3.13861</v>
      </c>
      <c r="D3866" s="6" t="n">
        <v>-58.4449</v>
      </c>
      <c r="E3866" s="6" t="inlineStr">
        <is>
          <t>2023-01</t>
        </is>
      </c>
      <c r="F3866" s="6" t="n"/>
      <c r="G3866" s="6" t="inlineStr">
        <is>
          <t>EXPORTACAO</t>
        </is>
      </c>
      <c r="H3866" s="6" t="inlineStr">
        <is>
          <t>AUTO_OFERTA_TOTAL_PRODUTO_PERIODO</t>
        </is>
      </c>
      <c r="I3866" s="11">
        <f>IF($H3866="AUTO_OFERTA_TOTAL_PRODUTO_PERIODO",SUMIFS(Oferta!$F:$F,Oferta!$A:$A,$A3866,Oferta!$E:$E,$E3866),$F3866)</f>
        <v/>
      </c>
      <c r="J3866" s="6" t="inlineStr">
        <is>
          <t>Derivado_da_Oferta</t>
        </is>
      </c>
      <c r="K3866" s="6" t="inlineStr">
        <is>
          <t>Mercado externo: limite superior calculado automaticamente pela soma da oferta do produto no período.</t>
        </is>
      </c>
    </row>
    <row r="3867">
      <c r="A3867" s="6" t="inlineStr">
        <is>
          <t>Milho</t>
        </is>
      </c>
      <c r="B3867" s="6" t="inlineStr">
        <is>
          <t>Itacoatiara - AM</t>
        </is>
      </c>
      <c r="C3867" s="6" t="n">
        <v>-3.13861</v>
      </c>
      <c r="D3867" s="6" t="n">
        <v>-58.4449</v>
      </c>
      <c r="E3867" s="6" t="inlineStr">
        <is>
          <t>2023-02</t>
        </is>
      </c>
      <c r="F3867" s="6" t="n"/>
      <c r="G3867" s="6" t="inlineStr">
        <is>
          <t>EXPORTACAO</t>
        </is>
      </c>
      <c r="H3867" s="6" t="inlineStr">
        <is>
          <t>AUTO_OFERTA_TOTAL_PRODUTO_PERIODO</t>
        </is>
      </c>
      <c r="I3867" s="11">
        <f>IF($H3867="AUTO_OFERTA_TOTAL_PRODUTO_PERIODO",SUMIFS(Oferta!$F:$F,Oferta!$A:$A,$A3867,Oferta!$E:$E,$E3867),$F3867)</f>
        <v/>
      </c>
      <c r="J3867" s="6" t="inlineStr">
        <is>
          <t>Derivado_da_Oferta</t>
        </is>
      </c>
      <c r="K3867" s="6" t="inlineStr">
        <is>
          <t>Mercado externo: limite superior calculado automaticamente pela soma da oferta do produto no período.</t>
        </is>
      </c>
    </row>
    <row r="3868">
      <c r="A3868" s="6" t="inlineStr">
        <is>
          <t>Milho</t>
        </is>
      </c>
      <c r="B3868" s="6" t="inlineStr">
        <is>
          <t>Itacoatiara - AM</t>
        </is>
      </c>
      <c r="C3868" s="6" t="n">
        <v>-3.13861</v>
      </c>
      <c r="D3868" s="6" t="n">
        <v>-58.4449</v>
      </c>
      <c r="E3868" s="6" t="inlineStr">
        <is>
          <t>2023-03</t>
        </is>
      </c>
      <c r="F3868" s="6" t="n"/>
      <c r="G3868" s="6" t="inlineStr">
        <is>
          <t>EXPORTACAO</t>
        </is>
      </c>
      <c r="H3868" s="6" t="inlineStr">
        <is>
          <t>AUTO_OFERTA_TOTAL_PRODUTO_PERIODO</t>
        </is>
      </c>
      <c r="I3868" s="11">
        <f>IF($H3868="AUTO_OFERTA_TOTAL_PRODUTO_PERIODO",SUMIFS(Oferta!$F:$F,Oferta!$A:$A,$A3868,Oferta!$E:$E,$E3868),$F3868)</f>
        <v/>
      </c>
      <c r="J3868" s="6" t="inlineStr">
        <is>
          <t>Derivado_da_Oferta</t>
        </is>
      </c>
      <c r="K3868" s="6" t="inlineStr">
        <is>
          <t>Mercado externo: limite superior calculado automaticamente pela soma da oferta do produto no período.</t>
        </is>
      </c>
    </row>
    <row r="3869">
      <c r="A3869" s="6" t="inlineStr">
        <is>
          <t>Milho</t>
        </is>
      </c>
      <c r="B3869" s="6" t="inlineStr">
        <is>
          <t>Itacoatiara - AM</t>
        </is>
      </c>
      <c r="C3869" s="6" t="n">
        <v>-3.13861</v>
      </c>
      <c r="D3869" s="6" t="n">
        <v>-58.4449</v>
      </c>
      <c r="E3869" s="6" t="inlineStr">
        <is>
          <t>2023-04</t>
        </is>
      </c>
      <c r="F3869" s="6" t="n"/>
      <c r="G3869" s="6" t="inlineStr">
        <is>
          <t>EXPORTACAO</t>
        </is>
      </c>
      <c r="H3869" s="6" t="inlineStr">
        <is>
          <t>AUTO_OFERTA_TOTAL_PRODUTO_PERIODO</t>
        </is>
      </c>
      <c r="I3869" s="11">
        <f>IF($H3869="AUTO_OFERTA_TOTAL_PRODUTO_PERIODO",SUMIFS(Oferta!$F:$F,Oferta!$A:$A,$A3869,Oferta!$E:$E,$E3869),$F3869)</f>
        <v/>
      </c>
      <c r="J3869" s="6" t="inlineStr">
        <is>
          <t>Derivado_da_Oferta</t>
        </is>
      </c>
      <c r="K3869" s="6" t="inlineStr">
        <is>
          <t>Mercado externo: limite superior calculado automaticamente pela soma da oferta do produto no período.</t>
        </is>
      </c>
    </row>
    <row r="3870">
      <c r="A3870" s="6" t="inlineStr">
        <is>
          <t>Milho</t>
        </is>
      </c>
      <c r="B3870" s="6" t="inlineStr">
        <is>
          <t>Itacoatiara - AM</t>
        </is>
      </c>
      <c r="C3870" s="6" t="n">
        <v>-3.13861</v>
      </c>
      <c r="D3870" s="6" t="n">
        <v>-58.4449</v>
      </c>
      <c r="E3870" s="6" t="inlineStr">
        <is>
          <t>2023-05</t>
        </is>
      </c>
      <c r="F3870" s="6" t="n"/>
      <c r="G3870" s="6" t="inlineStr">
        <is>
          <t>EXPORTACAO</t>
        </is>
      </c>
      <c r="H3870" s="6" t="inlineStr">
        <is>
          <t>AUTO_OFERTA_TOTAL_PRODUTO_PERIODO</t>
        </is>
      </c>
      <c r="I3870" s="11">
        <f>IF($H3870="AUTO_OFERTA_TOTAL_PRODUTO_PERIODO",SUMIFS(Oferta!$F:$F,Oferta!$A:$A,$A3870,Oferta!$E:$E,$E3870),$F3870)</f>
        <v/>
      </c>
      <c r="J3870" s="6" t="inlineStr">
        <is>
          <t>Derivado_da_Oferta</t>
        </is>
      </c>
      <c r="K3870" s="6" t="inlineStr">
        <is>
          <t>Mercado externo: limite superior calculado automaticamente pela soma da oferta do produto no período.</t>
        </is>
      </c>
    </row>
    <row r="3871">
      <c r="A3871" s="6" t="inlineStr">
        <is>
          <t>Milho</t>
        </is>
      </c>
      <c r="B3871" s="6" t="inlineStr">
        <is>
          <t>Itacoatiara - AM</t>
        </is>
      </c>
      <c r="C3871" s="6" t="n">
        <v>-3.13861</v>
      </c>
      <c r="D3871" s="6" t="n">
        <v>-58.4449</v>
      </c>
      <c r="E3871" s="6" t="inlineStr">
        <is>
          <t>2023-06</t>
        </is>
      </c>
      <c r="F3871" s="6" t="n"/>
      <c r="G3871" s="6" t="inlineStr">
        <is>
          <t>EXPORTACAO</t>
        </is>
      </c>
      <c r="H3871" s="6" t="inlineStr">
        <is>
          <t>AUTO_OFERTA_TOTAL_PRODUTO_PERIODO</t>
        </is>
      </c>
      <c r="I3871" s="11">
        <f>IF($H3871="AUTO_OFERTA_TOTAL_PRODUTO_PERIODO",SUMIFS(Oferta!$F:$F,Oferta!$A:$A,$A3871,Oferta!$E:$E,$E3871),$F3871)</f>
        <v/>
      </c>
      <c r="J3871" s="6" t="inlineStr">
        <is>
          <t>Derivado_da_Oferta</t>
        </is>
      </c>
      <c r="K3871" s="6" t="inlineStr">
        <is>
          <t>Mercado externo: limite superior calculado automaticamente pela soma da oferta do produto no período.</t>
        </is>
      </c>
    </row>
    <row r="3872">
      <c r="A3872" s="6" t="inlineStr">
        <is>
          <t>Milho</t>
        </is>
      </c>
      <c r="B3872" s="6" t="inlineStr">
        <is>
          <t>Itacoatiara - AM</t>
        </is>
      </c>
      <c r="C3872" s="6" t="n">
        <v>-3.13861</v>
      </c>
      <c r="D3872" s="6" t="n">
        <v>-58.4449</v>
      </c>
      <c r="E3872" s="6" t="inlineStr">
        <is>
          <t>2023-07</t>
        </is>
      </c>
      <c r="F3872" s="6" t="n"/>
      <c r="G3872" s="6" t="inlineStr">
        <is>
          <t>EXPORTACAO</t>
        </is>
      </c>
      <c r="H3872" s="6" t="inlineStr">
        <is>
          <t>AUTO_OFERTA_TOTAL_PRODUTO_PERIODO</t>
        </is>
      </c>
      <c r="I3872" s="11">
        <f>IF($H3872="AUTO_OFERTA_TOTAL_PRODUTO_PERIODO",SUMIFS(Oferta!$F:$F,Oferta!$A:$A,$A3872,Oferta!$E:$E,$E3872),$F3872)</f>
        <v/>
      </c>
      <c r="J3872" s="6" t="inlineStr">
        <is>
          <t>Derivado_da_Oferta</t>
        </is>
      </c>
      <c r="K3872" s="6" t="inlineStr">
        <is>
          <t>Mercado externo: limite superior calculado automaticamente pela soma da oferta do produto no período.</t>
        </is>
      </c>
    </row>
    <row r="3873">
      <c r="A3873" s="6" t="inlineStr">
        <is>
          <t>Milho</t>
        </is>
      </c>
      <c r="B3873" s="6" t="inlineStr">
        <is>
          <t>Itacoatiara - AM</t>
        </is>
      </c>
      <c r="C3873" s="6" t="n">
        <v>-3.13861</v>
      </c>
      <c r="D3873" s="6" t="n">
        <v>-58.4449</v>
      </c>
      <c r="E3873" s="6" t="inlineStr">
        <is>
          <t>2023-08</t>
        </is>
      </c>
      <c r="F3873" s="6" t="n"/>
      <c r="G3873" s="6" t="inlineStr">
        <is>
          <t>EXPORTACAO</t>
        </is>
      </c>
      <c r="H3873" s="6" t="inlineStr">
        <is>
          <t>AUTO_OFERTA_TOTAL_PRODUTO_PERIODO</t>
        </is>
      </c>
      <c r="I3873" s="11">
        <f>IF($H3873="AUTO_OFERTA_TOTAL_PRODUTO_PERIODO",SUMIFS(Oferta!$F:$F,Oferta!$A:$A,$A3873,Oferta!$E:$E,$E3873),$F3873)</f>
        <v/>
      </c>
      <c r="J3873" s="6" t="inlineStr">
        <is>
          <t>Derivado_da_Oferta</t>
        </is>
      </c>
      <c r="K3873" s="6" t="inlineStr">
        <is>
          <t>Mercado externo: limite superior calculado automaticamente pela soma da oferta do produto no período.</t>
        </is>
      </c>
    </row>
    <row r="3874">
      <c r="A3874" s="6" t="inlineStr">
        <is>
          <t>Milho</t>
        </is>
      </c>
      <c r="B3874" s="6" t="inlineStr">
        <is>
          <t>Itacoatiara - AM</t>
        </is>
      </c>
      <c r="C3874" s="6" t="n">
        <v>-3.13861</v>
      </c>
      <c r="D3874" s="6" t="n">
        <v>-58.4449</v>
      </c>
      <c r="E3874" s="6" t="inlineStr">
        <is>
          <t>2023-09</t>
        </is>
      </c>
      <c r="F3874" s="6" t="n"/>
      <c r="G3874" s="6" t="inlineStr">
        <is>
          <t>EXPORTACAO</t>
        </is>
      </c>
      <c r="H3874" s="6" t="inlineStr">
        <is>
          <t>AUTO_OFERTA_TOTAL_PRODUTO_PERIODO</t>
        </is>
      </c>
      <c r="I3874" s="11">
        <f>IF($H3874="AUTO_OFERTA_TOTAL_PRODUTO_PERIODO",SUMIFS(Oferta!$F:$F,Oferta!$A:$A,$A3874,Oferta!$E:$E,$E3874),$F3874)</f>
        <v/>
      </c>
      <c r="J3874" s="6" t="inlineStr">
        <is>
          <t>Derivado_da_Oferta</t>
        </is>
      </c>
      <c r="K3874" s="6" t="inlineStr">
        <is>
          <t>Mercado externo: limite superior calculado automaticamente pela soma da oferta do produto no período.</t>
        </is>
      </c>
    </row>
    <row r="3875">
      <c r="A3875" s="6" t="inlineStr">
        <is>
          <t>Milho</t>
        </is>
      </c>
      <c r="B3875" s="6" t="inlineStr">
        <is>
          <t>Itacoatiara - AM</t>
        </is>
      </c>
      <c r="C3875" s="6" t="n">
        <v>-3.13861</v>
      </c>
      <c r="D3875" s="6" t="n">
        <v>-58.4449</v>
      </c>
      <c r="E3875" s="6" t="inlineStr">
        <is>
          <t>2023-10</t>
        </is>
      </c>
      <c r="F3875" s="6" t="n"/>
      <c r="G3875" s="6" t="inlineStr">
        <is>
          <t>EXPORTACAO</t>
        </is>
      </c>
      <c r="H3875" s="6" t="inlineStr">
        <is>
          <t>AUTO_OFERTA_TOTAL_PRODUTO_PERIODO</t>
        </is>
      </c>
      <c r="I3875" s="11">
        <f>IF($H3875="AUTO_OFERTA_TOTAL_PRODUTO_PERIODO",SUMIFS(Oferta!$F:$F,Oferta!$A:$A,$A3875,Oferta!$E:$E,$E3875),$F3875)</f>
        <v/>
      </c>
      <c r="J3875" s="6" t="inlineStr">
        <is>
          <t>Derivado_da_Oferta</t>
        </is>
      </c>
      <c r="K3875" s="6" t="inlineStr">
        <is>
          <t>Mercado externo: limite superior calculado automaticamente pela soma da oferta do produto no período.</t>
        </is>
      </c>
    </row>
    <row r="3876">
      <c r="A3876" s="6" t="inlineStr">
        <is>
          <t>Milho</t>
        </is>
      </c>
      <c r="B3876" s="6" t="inlineStr">
        <is>
          <t>Itacoatiara - AM</t>
        </is>
      </c>
      <c r="C3876" s="6" t="n">
        <v>-3.13861</v>
      </c>
      <c r="D3876" s="6" t="n">
        <v>-58.4449</v>
      </c>
      <c r="E3876" s="6" t="inlineStr">
        <is>
          <t>2023-11</t>
        </is>
      </c>
      <c r="F3876" s="6" t="n"/>
      <c r="G3876" s="6" t="inlineStr">
        <is>
          <t>EXPORTACAO</t>
        </is>
      </c>
      <c r="H3876" s="6" t="inlineStr">
        <is>
          <t>AUTO_OFERTA_TOTAL_PRODUTO_PERIODO</t>
        </is>
      </c>
      <c r="I3876" s="11">
        <f>IF($H3876="AUTO_OFERTA_TOTAL_PRODUTO_PERIODO",SUMIFS(Oferta!$F:$F,Oferta!$A:$A,$A3876,Oferta!$E:$E,$E3876),$F3876)</f>
        <v/>
      </c>
      <c r="J3876" s="6" t="inlineStr">
        <is>
          <t>Derivado_da_Oferta</t>
        </is>
      </c>
      <c r="K3876" s="6" t="inlineStr">
        <is>
          <t>Mercado externo: limite superior calculado automaticamente pela soma da oferta do produto no período.</t>
        </is>
      </c>
    </row>
    <row r="3877">
      <c r="A3877" s="6" t="inlineStr">
        <is>
          <t>Milho</t>
        </is>
      </c>
      <c r="B3877" s="6" t="inlineStr">
        <is>
          <t>Itacoatiara - AM</t>
        </is>
      </c>
      <c r="C3877" s="6" t="n">
        <v>-3.13861</v>
      </c>
      <c r="D3877" s="6" t="n">
        <v>-58.4449</v>
      </c>
      <c r="E3877" s="6" t="inlineStr">
        <is>
          <t>2023-12</t>
        </is>
      </c>
      <c r="F3877" s="6" t="n"/>
      <c r="G3877" s="6" t="inlineStr">
        <is>
          <t>EXPORTACAO</t>
        </is>
      </c>
      <c r="H3877" s="6" t="inlineStr">
        <is>
          <t>AUTO_OFERTA_TOTAL_PRODUTO_PERIODO</t>
        </is>
      </c>
      <c r="I3877" s="11">
        <f>IF($H3877="AUTO_OFERTA_TOTAL_PRODUTO_PERIODO",SUMIFS(Oferta!$F:$F,Oferta!$A:$A,$A3877,Oferta!$E:$E,$E3877),$F3877)</f>
        <v/>
      </c>
      <c r="J3877" s="6" t="inlineStr">
        <is>
          <t>Derivado_da_Oferta</t>
        </is>
      </c>
      <c r="K3877" s="6" t="inlineStr">
        <is>
          <t>Mercado externo: limite superior calculado automaticamente pela soma da oferta do produto no período.</t>
        </is>
      </c>
    </row>
    <row r="3878">
      <c r="A3878" s="6" t="inlineStr">
        <is>
          <t>Milho</t>
        </is>
      </c>
      <c r="B3878" s="6" t="inlineStr">
        <is>
          <t>Itacoatiara - AM</t>
        </is>
      </c>
      <c r="C3878" s="6" t="n">
        <v>-3.13861</v>
      </c>
      <c r="D3878" s="6" t="n">
        <v>-58.4449</v>
      </c>
      <c r="E3878" s="6" t="inlineStr">
        <is>
          <t>2024-01</t>
        </is>
      </c>
      <c r="F3878" s="6" t="n"/>
      <c r="G3878" s="6" t="inlineStr">
        <is>
          <t>EXPORTACAO</t>
        </is>
      </c>
      <c r="H3878" s="6" t="inlineStr">
        <is>
          <t>AUTO_OFERTA_TOTAL_PRODUTO_PERIODO</t>
        </is>
      </c>
      <c r="I3878" s="11">
        <f>IF($H3878="AUTO_OFERTA_TOTAL_PRODUTO_PERIODO",SUMIFS(Oferta!$F:$F,Oferta!$A:$A,$A3878,Oferta!$E:$E,$E3878),$F3878)</f>
        <v/>
      </c>
      <c r="J3878" s="6" t="inlineStr">
        <is>
          <t>Derivado_da_Oferta</t>
        </is>
      </c>
      <c r="K3878" s="6" t="inlineStr">
        <is>
          <t>Mercado externo: limite superior calculado automaticamente pela soma da oferta do produto no período.</t>
        </is>
      </c>
    </row>
    <row r="3879">
      <c r="A3879" s="6" t="inlineStr">
        <is>
          <t>Milho</t>
        </is>
      </c>
      <c r="B3879" s="6" t="inlineStr">
        <is>
          <t>Itacoatiara - AM</t>
        </is>
      </c>
      <c r="C3879" s="6" t="n">
        <v>-3.13861</v>
      </c>
      <c r="D3879" s="6" t="n">
        <v>-58.4449</v>
      </c>
      <c r="E3879" s="6" t="inlineStr">
        <is>
          <t>2024-02</t>
        </is>
      </c>
      <c r="F3879" s="6" t="n"/>
      <c r="G3879" s="6" t="inlineStr">
        <is>
          <t>EXPORTACAO</t>
        </is>
      </c>
      <c r="H3879" s="6" t="inlineStr">
        <is>
          <t>AUTO_OFERTA_TOTAL_PRODUTO_PERIODO</t>
        </is>
      </c>
      <c r="I3879" s="11">
        <f>IF($H3879="AUTO_OFERTA_TOTAL_PRODUTO_PERIODO",SUMIFS(Oferta!$F:$F,Oferta!$A:$A,$A3879,Oferta!$E:$E,$E3879),$F3879)</f>
        <v/>
      </c>
      <c r="J3879" s="6" t="inlineStr">
        <is>
          <t>Derivado_da_Oferta</t>
        </is>
      </c>
      <c r="K3879" s="6" t="inlineStr">
        <is>
          <t>Mercado externo: limite superior calculado automaticamente pela soma da oferta do produto no período.</t>
        </is>
      </c>
    </row>
    <row r="3880">
      <c r="A3880" s="6" t="inlineStr">
        <is>
          <t>Milho</t>
        </is>
      </c>
      <c r="B3880" s="6" t="inlineStr">
        <is>
          <t>Itacoatiara - AM</t>
        </is>
      </c>
      <c r="C3880" s="6" t="n">
        <v>-3.13861</v>
      </c>
      <c r="D3880" s="6" t="n">
        <v>-58.4449</v>
      </c>
      <c r="E3880" s="6" t="inlineStr">
        <is>
          <t>2024-03</t>
        </is>
      </c>
      <c r="F3880" s="6" t="n"/>
      <c r="G3880" s="6" t="inlineStr">
        <is>
          <t>EXPORTACAO</t>
        </is>
      </c>
      <c r="H3880" s="6" t="inlineStr">
        <is>
          <t>AUTO_OFERTA_TOTAL_PRODUTO_PERIODO</t>
        </is>
      </c>
      <c r="I3880" s="11">
        <f>IF($H3880="AUTO_OFERTA_TOTAL_PRODUTO_PERIODO",SUMIFS(Oferta!$F:$F,Oferta!$A:$A,$A3880,Oferta!$E:$E,$E3880),$F3880)</f>
        <v/>
      </c>
      <c r="J3880" s="6" t="inlineStr">
        <is>
          <t>Derivado_da_Oferta</t>
        </is>
      </c>
      <c r="K3880" s="6" t="inlineStr">
        <is>
          <t>Mercado externo: limite superior calculado automaticamente pela soma da oferta do produto no período.</t>
        </is>
      </c>
    </row>
    <row r="3881">
      <c r="A3881" s="6" t="inlineStr">
        <is>
          <t>Milho</t>
        </is>
      </c>
      <c r="B3881" s="6" t="inlineStr">
        <is>
          <t>Itacoatiara - AM</t>
        </is>
      </c>
      <c r="C3881" s="6" t="n">
        <v>-3.13861</v>
      </c>
      <c r="D3881" s="6" t="n">
        <v>-58.4449</v>
      </c>
      <c r="E3881" s="6" t="inlineStr">
        <is>
          <t>2024-04</t>
        </is>
      </c>
      <c r="F3881" s="6" t="n"/>
      <c r="G3881" s="6" t="inlineStr">
        <is>
          <t>EXPORTACAO</t>
        </is>
      </c>
      <c r="H3881" s="6" t="inlineStr">
        <is>
          <t>AUTO_OFERTA_TOTAL_PRODUTO_PERIODO</t>
        </is>
      </c>
      <c r="I3881" s="11">
        <f>IF($H3881="AUTO_OFERTA_TOTAL_PRODUTO_PERIODO",SUMIFS(Oferta!$F:$F,Oferta!$A:$A,$A3881,Oferta!$E:$E,$E3881),$F3881)</f>
        <v/>
      </c>
      <c r="J3881" s="6" t="inlineStr">
        <is>
          <t>Derivado_da_Oferta</t>
        </is>
      </c>
      <c r="K3881" s="6" t="inlineStr">
        <is>
          <t>Mercado externo: limite superior calculado automaticamente pela soma da oferta do produto no período.</t>
        </is>
      </c>
    </row>
    <row r="3882">
      <c r="A3882" s="6" t="inlineStr">
        <is>
          <t>Milho</t>
        </is>
      </c>
      <c r="B3882" s="6" t="inlineStr">
        <is>
          <t>Itacoatiara - AM</t>
        </is>
      </c>
      <c r="C3882" s="6" t="n">
        <v>-3.13861</v>
      </c>
      <c r="D3882" s="6" t="n">
        <v>-58.4449</v>
      </c>
      <c r="E3882" s="6" t="inlineStr">
        <is>
          <t>2024-05</t>
        </is>
      </c>
      <c r="F3882" s="6" t="n"/>
      <c r="G3882" s="6" t="inlineStr">
        <is>
          <t>EXPORTACAO</t>
        </is>
      </c>
      <c r="H3882" s="6" t="inlineStr">
        <is>
          <t>AUTO_OFERTA_TOTAL_PRODUTO_PERIODO</t>
        </is>
      </c>
      <c r="I3882" s="11">
        <f>IF($H3882="AUTO_OFERTA_TOTAL_PRODUTO_PERIODO",SUMIFS(Oferta!$F:$F,Oferta!$A:$A,$A3882,Oferta!$E:$E,$E3882),$F3882)</f>
        <v/>
      </c>
      <c r="J3882" s="6" t="inlineStr">
        <is>
          <t>Derivado_da_Oferta</t>
        </is>
      </c>
      <c r="K3882" s="6" t="inlineStr">
        <is>
          <t>Mercado externo: limite superior calculado automaticamente pela soma da oferta do produto no período.</t>
        </is>
      </c>
    </row>
    <row r="3883">
      <c r="A3883" s="6" t="inlineStr">
        <is>
          <t>Milho</t>
        </is>
      </c>
      <c r="B3883" s="6" t="inlineStr">
        <is>
          <t>Itacoatiara - AM</t>
        </is>
      </c>
      <c r="C3883" s="6" t="n">
        <v>-3.13861</v>
      </c>
      <c r="D3883" s="6" t="n">
        <v>-58.4449</v>
      </c>
      <c r="E3883" s="6" t="inlineStr">
        <is>
          <t>2024-06</t>
        </is>
      </c>
      <c r="F3883" s="6" t="n"/>
      <c r="G3883" s="6" t="inlineStr">
        <is>
          <t>EXPORTACAO</t>
        </is>
      </c>
      <c r="H3883" s="6" t="inlineStr">
        <is>
          <t>AUTO_OFERTA_TOTAL_PRODUTO_PERIODO</t>
        </is>
      </c>
      <c r="I3883" s="11">
        <f>IF($H3883="AUTO_OFERTA_TOTAL_PRODUTO_PERIODO",SUMIFS(Oferta!$F:$F,Oferta!$A:$A,$A3883,Oferta!$E:$E,$E3883),$F3883)</f>
        <v/>
      </c>
      <c r="J3883" s="6" t="inlineStr">
        <is>
          <t>Derivado_da_Oferta</t>
        </is>
      </c>
      <c r="K3883" s="6" t="inlineStr">
        <is>
          <t>Mercado externo: limite superior calculado automaticamente pela soma da oferta do produto no período.</t>
        </is>
      </c>
    </row>
    <row r="3884">
      <c r="A3884" s="6" t="inlineStr">
        <is>
          <t>Milho</t>
        </is>
      </c>
      <c r="B3884" s="6" t="inlineStr">
        <is>
          <t>Itacoatiara - AM</t>
        </is>
      </c>
      <c r="C3884" s="6" t="n">
        <v>-3.13861</v>
      </c>
      <c r="D3884" s="6" t="n">
        <v>-58.4449</v>
      </c>
      <c r="E3884" s="6" t="inlineStr">
        <is>
          <t>2024-07</t>
        </is>
      </c>
      <c r="F3884" s="6" t="n"/>
      <c r="G3884" s="6" t="inlineStr">
        <is>
          <t>EXPORTACAO</t>
        </is>
      </c>
      <c r="H3884" s="6" t="inlineStr">
        <is>
          <t>AUTO_OFERTA_TOTAL_PRODUTO_PERIODO</t>
        </is>
      </c>
      <c r="I3884" s="11">
        <f>IF($H3884="AUTO_OFERTA_TOTAL_PRODUTO_PERIODO",SUMIFS(Oferta!$F:$F,Oferta!$A:$A,$A3884,Oferta!$E:$E,$E3884),$F3884)</f>
        <v/>
      </c>
      <c r="J3884" s="6" t="inlineStr">
        <is>
          <t>Derivado_da_Oferta</t>
        </is>
      </c>
      <c r="K3884" s="6" t="inlineStr">
        <is>
          <t>Mercado externo: limite superior calculado automaticamente pela soma da oferta do produto no período.</t>
        </is>
      </c>
    </row>
    <row r="3885">
      <c r="A3885" s="6" t="inlineStr">
        <is>
          <t>Milho</t>
        </is>
      </c>
      <c r="B3885" s="6" t="inlineStr">
        <is>
          <t>Itacoatiara - AM</t>
        </is>
      </c>
      <c r="C3885" s="6" t="n">
        <v>-3.13861</v>
      </c>
      <c r="D3885" s="6" t="n">
        <v>-58.4449</v>
      </c>
      <c r="E3885" s="6" t="inlineStr">
        <is>
          <t>2024-08</t>
        </is>
      </c>
      <c r="F3885" s="6" t="n"/>
      <c r="G3885" s="6" t="inlineStr">
        <is>
          <t>EXPORTACAO</t>
        </is>
      </c>
      <c r="H3885" s="6" t="inlineStr">
        <is>
          <t>AUTO_OFERTA_TOTAL_PRODUTO_PERIODO</t>
        </is>
      </c>
      <c r="I3885" s="11">
        <f>IF($H3885="AUTO_OFERTA_TOTAL_PRODUTO_PERIODO",SUMIFS(Oferta!$F:$F,Oferta!$A:$A,$A3885,Oferta!$E:$E,$E3885),$F3885)</f>
        <v/>
      </c>
      <c r="J3885" s="6" t="inlineStr">
        <is>
          <t>Derivado_da_Oferta</t>
        </is>
      </c>
      <c r="K3885" s="6" t="inlineStr">
        <is>
          <t>Mercado externo: limite superior calculado automaticamente pela soma da oferta do produto no período.</t>
        </is>
      </c>
    </row>
    <row r="3886">
      <c r="A3886" s="6" t="inlineStr">
        <is>
          <t>Milho</t>
        </is>
      </c>
      <c r="B3886" s="6" t="inlineStr">
        <is>
          <t>Itacoatiara - AM</t>
        </is>
      </c>
      <c r="C3886" s="6" t="n">
        <v>-3.13861</v>
      </c>
      <c r="D3886" s="6" t="n">
        <v>-58.4449</v>
      </c>
      <c r="E3886" s="6" t="inlineStr">
        <is>
          <t>2024-09</t>
        </is>
      </c>
      <c r="F3886" s="6" t="n"/>
      <c r="G3886" s="6" t="inlineStr">
        <is>
          <t>EXPORTACAO</t>
        </is>
      </c>
      <c r="H3886" s="6" t="inlineStr">
        <is>
          <t>AUTO_OFERTA_TOTAL_PRODUTO_PERIODO</t>
        </is>
      </c>
      <c r="I3886" s="11">
        <f>IF($H3886="AUTO_OFERTA_TOTAL_PRODUTO_PERIODO",SUMIFS(Oferta!$F:$F,Oferta!$A:$A,$A3886,Oferta!$E:$E,$E3886),$F3886)</f>
        <v/>
      </c>
      <c r="J3886" s="6" t="inlineStr">
        <is>
          <t>Derivado_da_Oferta</t>
        </is>
      </c>
      <c r="K3886" s="6" t="inlineStr">
        <is>
          <t>Mercado externo: limite superior calculado automaticamente pela soma da oferta do produto no período.</t>
        </is>
      </c>
    </row>
    <row r="3887">
      <c r="A3887" s="6" t="inlineStr">
        <is>
          <t>Milho</t>
        </is>
      </c>
      <c r="B3887" s="6" t="inlineStr">
        <is>
          <t>Itacoatiara - AM</t>
        </is>
      </c>
      <c r="C3887" s="6" t="n">
        <v>-3.13861</v>
      </c>
      <c r="D3887" s="6" t="n">
        <v>-58.4449</v>
      </c>
      <c r="E3887" s="6" t="inlineStr">
        <is>
          <t>2024-10</t>
        </is>
      </c>
      <c r="F3887" s="6" t="n"/>
      <c r="G3887" s="6" t="inlineStr">
        <is>
          <t>EXPORTACAO</t>
        </is>
      </c>
      <c r="H3887" s="6" t="inlineStr">
        <is>
          <t>AUTO_OFERTA_TOTAL_PRODUTO_PERIODO</t>
        </is>
      </c>
      <c r="I3887" s="11">
        <f>IF($H3887="AUTO_OFERTA_TOTAL_PRODUTO_PERIODO",SUMIFS(Oferta!$F:$F,Oferta!$A:$A,$A3887,Oferta!$E:$E,$E3887),$F3887)</f>
        <v/>
      </c>
      <c r="J3887" s="6" t="inlineStr">
        <is>
          <t>Derivado_da_Oferta</t>
        </is>
      </c>
      <c r="K3887" s="6" t="inlineStr">
        <is>
          <t>Mercado externo: limite superior calculado automaticamente pela soma da oferta do produto no período.</t>
        </is>
      </c>
    </row>
    <row r="3888">
      <c r="A3888" s="6" t="inlineStr">
        <is>
          <t>Milho</t>
        </is>
      </c>
      <c r="B3888" s="6" t="inlineStr">
        <is>
          <t>Itacoatiara - AM</t>
        </is>
      </c>
      <c r="C3888" s="6" t="n">
        <v>-3.13861</v>
      </c>
      <c r="D3888" s="6" t="n">
        <v>-58.4449</v>
      </c>
      <c r="E3888" s="6" t="inlineStr">
        <is>
          <t>2024-11</t>
        </is>
      </c>
      <c r="F3888" s="6" t="n"/>
      <c r="G3888" s="6" t="inlineStr">
        <is>
          <t>EXPORTACAO</t>
        </is>
      </c>
      <c r="H3888" s="6" t="inlineStr">
        <is>
          <t>AUTO_OFERTA_TOTAL_PRODUTO_PERIODO</t>
        </is>
      </c>
      <c r="I3888" s="11">
        <f>IF($H3888="AUTO_OFERTA_TOTAL_PRODUTO_PERIODO",SUMIFS(Oferta!$F:$F,Oferta!$A:$A,$A3888,Oferta!$E:$E,$E3888),$F3888)</f>
        <v/>
      </c>
      <c r="J3888" s="6" t="inlineStr">
        <is>
          <t>Derivado_da_Oferta</t>
        </is>
      </c>
      <c r="K3888" s="6" t="inlineStr">
        <is>
          <t>Mercado externo: limite superior calculado automaticamente pela soma da oferta do produto no período.</t>
        </is>
      </c>
    </row>
    <row r="3889">
      <c r="A3889" s="6" t="inlineStr">
        <is>
          <t>Milho</t>
        </is>
      </c>
      <c r="B3889" s="6" t="inlineStr">
        <is>
          <t>Itacoatiara - AM</t>
        </is>
      </c>
      <c r="C3889" s="6" t="n">
        <v>-3.13861</v>
      </c>
      <c r="D3889" s="6" t="n">
        <v>-58.4449</v>
      </c>
      <c r="E3889" s="6" t="inlineStr">
        <is>
          <t>2024-12</t>
        </is>
      </c>
      <c r="F3889" s="6" t="n"/>
      <c r="G3889" s="6" t="inlineStr">
        <is>
          <t>EXPORTACAO</t>
        </is>
      </c>
      <c r="H3889" s="6" t="inlineStr">
        <is>
          <t>AUTO_OFERTA_TOTAL_PRODUTO_PERIODO</t>
        </is>
      </c>
      <c r="I3889" s="11">
        <f>IF($H3889="AUTO_OFERTA_TOTAL_PRODUTO_PERIODO",SUMIFS(Oferta!$F:$F,Oferta!$A:$A,$A3889,Oferta!$E:$E,$E3889),$F3889)</f>
        <v/>
      </c>
      <c r="J3889" s="6" t="inlineStr">
        <is>
          <t>Derivado_da_Oferta</t>
        </is>
      </c>
      <c r="K3889" s="6" t="inlineStr">
        <is>
          <t>Mercado externo: limite superior calculado automaticamente pela soma da oferta do produto no período.</t>
        </is>
      </c>
    </row>
    <row r="3890">
      <c r="A3890" s="6" t="inlineStr">
        <is>
          <t>Milho</t>
        </is>
      </c>
      <c r="B3890" s="6" t="inlineStr">
        <is>
          <t>Itacoatiara - AM</t>
        </is>
      </c>
      <c r="C3890" s="6" t="n">
        <v>-3.13861</v>
      </c>
      <c r="D3890" s="6" t="n">
        <v>-58.4449</v>
      </c>
      <c r="E3890" s="6" t="inlineStr">
        <is>
          <t>2025-01</t>
        </is>
      </c>
      <c r="F3890" s="6" t="n"/>
      <c r="G3890" s="6" t="inlineStr">
        <is>
          <t>EXPORTACAO</t>
        </is>
      </c>
      <c r="H3890" s="6" t="inlineStr">
        <is>
          <t>AUTO_OFERTA_TOTAL_PRODUTO_PERIODO</t>
        </is>
      </c>
      <c r="I3890" s="11">
        <f>IF($H3890="AUTO_OFERTA_TOTAL_PRODUTO_PERIODO",SUMIFS(Oferta!$F:$F,Oferta!$A:$A,$A3890,Oferta!$E:$E,$E3890),$F3890)</f>
        <v/>
      </c>
      <c r="J3890" s="6" t="inlineStr">
        <is>
          <t>Derivado_da_Oferta</t>
        </is>
      </c>
      <c r="K3890" s="6" t="inlineStr">
        <is>
          <t>Mercado externo: limite superior calculado automaticamente pela soma da oferta do produto no período.</t>
        </is>
      </c>
    </row>
    <row r="3891">
      <c r="A3891" s="6" t="inlineStr">
        <is>
          <t>Milho</t>
        </is>
      </c>
      <c r="B3891" s="6" t="inlineStr">
        <is>
          <t>Itacoatiara - AM</t>
        </is>
      </c>
      <c r="C3891" s="6" t="n">
        <v>-3.13861</v>
      </c>
      <c r="D3891" s="6" t="n">
        <v>-58.4449</v>
      </c>
      <c r="E3891" s="6" t="inlineStr">
        <is>
          <t>2025-02</t>
        </is>
      </c>
      <c r="F3891" s="6" t="n"/>
      <c r="G3891" s="6" t="inlineStr">
        <is>
          <t>EXPORTACAO</t>
        </is>
      </c>
      <c r="H3891" s="6" t="inlineStr">
        <is>
          <t>AUTO_OFERTA_TOTAL_PRODUTO_PERIODO</t>
        </is>
      </c>
      <c r="I3891" s="11">
        <f>IF($H3891="AUTO_OFERTA_TOTAL_PRODUTO_PERIODO",SUMIFS(Oferta!$F:$F,Oferta!$A:$A,$A3891,Oferta!$E:$E,$E3891),$F3891)</f>
        <v/>
      </c>
      <c r="J3891" s="6" t="inlineStr">
        <is>
          <t>Derivado_da_Oferta</t>
        </is>
      </c>
      <c r="K3891" s="6" t="inlineStr">
        <is>
          <t>Mercado externo: limite superior calculado automaticamente pela soma da oferta do produto no período.</t>
        </is>
      </c>
    </row>
    <row r="3892">
      <c r="A3892" s="6" t="inlineStr">
        <is>
          <t>Milho</t>
        </is>
      </c>
      <c r="B3892" s="6" t="inlineStr">
        <is>
          <t>Itacoatiara - AM</t>
        </is>
      </c>
      <c r="C3892" s="6" t="n">
        <v>-3.13861</v>
      </c>
      <c r="D3892" s="6" t="n">
        <v>-58.4449</v>
      </c>
      <c r="E3892" s="6" t="inlineStr">
        <is>
          <t>2025-03</t>
        </is>
      </c>
      <c r="F3892" s="6" t="n"/>
      <c r="G3892" s="6" t="inlineStr">
        <is>
          <t>EXPORTACAO</t>
        </is>
      </c>
      <c r="H3892" s="6" t="inlineStr">
        <is>
          <t>AUTO_OFERTA_TOTAL_PRODUTO_PERIODO</t>
        </is>
      </c>
      <c r="I3892" s="11">
        <f>IF($H3892="AUTO_OFERTA_TOTAL_PRODUTO_PERIODO",SUMIFS(Oferta!$F:$F,Oferta!$A:$A,$A3892,Oferta!$E:$E,$E3892),$F3892)</f>
        <v/>
      </c>
      <c r="J3892" s="6" t="inlineStr">
        <is>
          <t>Derivado_da_Oferta</t>
        </is>
      </c>
      <c r="K3892" s="6" t="inlineStr">
        <is>
          <t>Mercado externo: limite superior calculado automaticamente pela soma da oferta do produto no período.</t>
        </is>
      </c>
    </row>
    <row r="3893">
      <c r="A3893" s="6" t="inlineStr">
        <is>
          <t>Milho</t>
        </is>
      </c>
      <c r="B3893" s="6" t="inlineStr">
        <is>
          <t>Itacoatiara - AM</t>
        </is>
      </c>
      <c r="C3893" s="6" t="n">
        <v>-3.13861</v>
      </c>
      <c r="D3893" s="6" t="n">
        <v>-58.4449</v>
      </c>
      <c r="E3893" s="6" t="inlineStr">
        <is>
          <t>2025-04</t>
        </is>
      </c>
      <c r="F3893" s="6" t="n"/>
      <c r="G3893" s="6" t="inlineStr">
        <is>
          <t>EXPORTACAO</t>
        </is>
      </c>
      <c r="H3893" s="6" t="inlineStr">
        <is>
          <t>AUTO_OFERTA_TOTAL_PRODUTO_PERIODO</t>
        </is>
      </c>
      <c r="I3893" s="11">
        <f>IF($H3893="AUTO_OFERTA_TOTAL_PRODUTO_PERIODO",SUMIFS(Oferta!$F:$F,Oferta!$A:$A,$A3893,Oferta!$E:$E,$E3893),$F3893)</f>
        <v/>
      </c>
      <c r="J3893" s="6" t="inlineStr">
        <is>
          <t>Derivado_da_Oferta</t>
        </is>
      </c>
      <c r="K3893" s="6" t="inlineStr">
        <is>
          <t>Mercado externo: limite superior calculado automaticamente pela soma da oferta do produto no período.</t>
        </is>
      </c>
    </row>
    <row r="3894">
      <c r="A3894" s="6" t="inlineStr">
        <is>
          <t>Milho</t>
        </is>
      </c>
      <c r="B3894" s="6" t="inlineStr">
        <is>
          <t>Itacoatiara - AM</t>
        </is>
      </c>
      <c r="C3894" s="6" t="n">
        <v>-3.13861</v>
      </c>
      <c r="D3894" s="6" t="n">
        <v>-58.4449</v>
      </c>
      <c r="E3894" s="6" t="inlineStr">
        <is>
          <t>2025-05</t>
        </is>
      </c>
      <c r="F3894" s="6" t="n"/>
      <c r="G3894" s="6" t="inlineStr">
        <is>
          <t>EXPORTACAO</t>
        </is>
      </c>
      <c r="H3894" s="6" t="inlineStr">
        <is>
          <t>AUTO_OFERTA_TOTAL_PRODUTO_PERIODO</t>
        </is>
      </c>
      <c r="I3894" s="11">
        <f>IF($H3894="AUTO_OFERTA_TOTAL_PRODUTO_PERIODO",SUMIFS(Oferta!$F:$F,Oferta!$A:$A,$A3894,Oferta!$E:$E,$E3894),$F3894)</f>
        <v/>
      </c>
      <c r="J3894" s="6" t="inlineStr">
        <is>
          <t>Derivado_da_Oferta</t>
        </is>
      </c>
      <c r="K3894" s="6" t="inlineStr">
        <is>
          <t>Mercado externo: limite superior calculado automaticamente pela soma da oferta do produto no período.</t>
        </is>
      </c>
    </row>
    <row r="3895">
      <c r="A3895" s="6" t="inlineStr">
        <is>
          <t>Milho</t>
        </is>
      </c>
      <c r="B3895" s="6" t="inlineStr">
        <is>
          <t>Itacoatiara - AM</t>
        </is>
      </c>
      <c r="C3895" s="6" t="n">
        <v>-3.13861</v>
      </c>
      <c r="D3895" s="6" t="n">
        <v>-58.4449</v>
      </c>
      <c r="E3895" s="6" t="inlineStr">
        <is>
          <t>2025-06</t>
        </is>
      </c>
      <c r="F3895" s="6" t="n"/>
      <c r="G3895" s="6" t="inlineStr">
        <is>
          <t>EXPORTACAO</t>
        </is>
      </c>
      <c r="H3895" s="6" t="inlineStr">
        <is>
          <t>AUTO_OFERTA_TOTAL_PRODUTO_PERIODO</t>
        </is>
      </c>
      <c r="I3895" s="11">
        <f>IF($H3895="AUTO_OFERTA_TOTAL_PRODUTO_PERIODO",SUMIFS(Oferta!$F:$F,Oferta!$A:$A,$A3895,Oferta!$E:$E,$E3895),$F3895)</f>
        <v/>
      </c>
      <c r="J3895" s="6" t="inlineStr">
        <is>
          <t>Derivado_da_Oferta</t>
        </is>
      </c>
      <c r="K3895" s="6" t="inlineStr">
        <is>
          <t>Mercado externo: limite superior calculado automaticamente pela soma da oferta do produto no período.</t>
        </is>
      </c>
    </row>
    <row r="3896">
      <c r="A3896" s="6" t="inlineStr">
        <is>
          <t>Milho</t>
        </is>
      </c>
      <c r="B3896" s="6" t="inlineStr">
        <is>
          <t>Itacoatiara - AM</t>
        </is>
      </c>
      <c r="C3896" s="6" t="n">
        <v>-3.13861</v>
      </c>
      <c r="D3896" s="6" t="n">
        <v>-58.4449</v>
      </c>
      <c r="E3896" s="6" t="inlineStr">
        <is>
          <t>2025-07</t>
        </is>
      </c>
      <c r="F3896" s="6" t="n"/>
      <c r="G3896" s="6" t="inlineStr">
        <is>
          <t>EXPORTACAO</t>
        </is>
      </c>
      <c r="H3896" s="6" t="inlineStr">
        <is>
          <t>AUTO_OFERTA_TOTAL_PRODUTO_PERIODO</t>
        </is>
      </c>
      <c r="I3896" s="11">
        <f>IF($H3896="AUTO_OFERTA_TOTAL_PRODUTO_PERIODO",SUMIFS(Oferta!$F:$F,Oferta!$A:$A,$A3896,Oferta!$E:$E,$E3896),$F3896)</f>
        <v/>
      </c>
      <c r="J3896" s="6" t="inlineStr">
        <is>
          <t>Derivado_da_Oferta</t>
        </is>
      </c>
      <c r="K3896" s="6" t="inlineStr">
        <is>
          <t>Mercado externo: limite superior calculado automaticamente pela soma da oferta do produto no período.</t>
        </is>
      </c>
    </row>
    <row r="3897">
      <c r="A3897" s="6" t="inlineStr">
        <is>
          <t>Milho</t>
        </is>
      </c>
      <c r="B3897" s="6" t="inlineStr">
        <is>
          <t>Itacoatiara - AM</t>
        </is>
      </c>
      <c r="C3897" s="6" t="n">
        <v>-3.13861</v>
      </c>
      <c r="D3897" s="6" t="n">
        <v>-58.4449</v>
      </c>
      <c r="E3897" s="6" t="inlineStr">
        <is>
          <t>2025-08</t>
        </is>
      </c>
      <c r="F3897" s="6" t="n"/>
      <c r="G3897" s="6" t="inlineStr">
        <is>
          <t>EXPORTACAO</t>
        </is>
      </c>
      <c r="H3897" s="6" t="inlineStr">
        <is>
          <t>AUTO_OFERTA_TOTAL_PRODUTO_PERIODO</t>
        </is>
      </c>
      <c r="I3897" s="11">
        <f>IF($H3897="AUTO_OFERTA_TOTAL_PRODUTO_PERIODO",SUMIFS(Oferta!$F:$F,Oferta!$A:$A,$A3897,Oferta!$E:$E,$E3897),$F3897)</f>
        <v/>
      </c>
      <c r="J3897" s="6" t="inlineStr">
        <is>
          <t>Derivado_da_Oferta</t>
        </is>
      </c>
      <c r="K3897" s="6" t="inlineStr">
        <is>
          <t>Mercado externo: limite superior calculado automaticamente pela soma da oferta do produto no período.</t>
        </is>
      </c>
    </row>
    <row r="3898">
      <c r="A3898" s="6" t="inlineStr">
        <is>
          <t>Milho</t>
        </is>
      </c>
      <c r="B3898" s="6" t="inlineStr">
        <is>
          <t>Itacoatiara - AM</t>
        </is>
      </c>
      <c r="C3898" s="6" t="n">
        <v>-3.13861</v>
      </c>
      <c r="D3898" s="6" t="n">
        <v>-58.4449</v>
      </c>
      <c r="E3898" s="6" t="inlineStr">
        <is>
          <t>2025-09</t>
        </is>
      </c>
      <c r="F3898" s="6" t="n"/>
      <c r="G3898" s="6" t="inlineStr">
        <is>
          <t>EXPORTACAO</t>
        </is>
      </c>
      <c r="H3898" s="6" t="inlineStr">
        <is>
          <t>AUTO_OFERTA_TOTAL_PRODUTO_PERIODO</t>
        </is>
      </c>
      <c r="I3898" s="11">
        <f>IF($H3898="AUTO_OFERTA_TOTAL_PRODUTO_PERIODO",SUMIFS(Oferta!$F:$F,Oferta!$A:$A,$A3898,Oferta!$E:$E,$E3898),$F3898)</f>
        <v/>
      </c>
      <c r="J3898" s="6" t="inlineStr">
        <is>
          <t>Derivado_da_Oferta</t>
        </is>
      </c>
      <c r="K3898" s="6" t="inlineStr">
        <is>
          <t>Mercado externo: limite superior calculado automaticamente pela soma da oferta do produto no período.</t>
        </is>
      </c>
    </row>
    <row r="3899">
      <c r="A3899" s="6" t="inlineStr">
        <is>
          <t>Milho</t>
        </is>
      </c>
      <c r="B3899" s="6" t="inlineStr">
        <is>
          <t>Itacoatiara - AM</t>
        </is>
      </c>
      <c r="C3899" s="6" t="n">
        <v>-3.13861</v>
      </c>
      <c r="D3899" s="6" t="n">
        <v>-58.4449</v>
      </c>
      <c r="E3899" s="6" t="inlineStr">
        <is>
          <t>2025-10</t>
        </is>
      </c>
      <c r="F3899" s="6" t="n"/>
      <c r="G3899" s="6" t="inlineStr">
        <is>
          <t>EXPORTACAO</t>
        </is>
      </c>
      <c r="H3899" s="6" t="inlineStr">
        <is>
          <t>AUTO_OFERTA_TOTAL_PRODUTO_PERIODO</t>
        </is>
      </c>
      <c r="I3899" s="11">
        <f>IF($H3899="AUTO_OFERTA_TOTAL_PRODUTO_PERIODO",SUMIFS(Oferta!$F:$F,Oferta!$A:$A,$A3899,Oferta!$E:$E,$E3899),$F3899)</f>
        <v/>
      </c>
      <c r="J3899" s="6" t="inlineStr">
        <is>
          <t>Derivado_da_Oferta</t>
        </is>
      </c>
      <c r="K3899" s="6" t="inlineStr">
        <is>
          <t>Mercado externo: limite superior calculado automaticamente pela soma da oferta do produto no período.</t>
        </is>
      </c>
    </row>
    <row r="3900">
      <c r="A3900" s="6" t="inlineStr">
        <is>
          <t>Milho</t>
        </is>
      </c>
      <c r="B3900" s="6" t="inlineStr">
        <is>
          <t>Itacoatiara - AM</t>
        </is>
      </c>
      <c r="C3900" s="6" t="n">
        <v>-3.13861</v>
      </c>
      <c r="D3900" s="6" t="n">
        <v>-58.4449</v>
      </c>
      <c r="E3900" s="6" t="inlineStr">
        <is>
          <t>2025-11</t>
        </is>
      </c>
      <c r="F3900" s="6" t="n"/>
      <c r="G3900" s="6" t="inlineStr">
        <is>
          <t>EXPORTACAO</t>
        </is>
      </c>
      <c r="H3900" s="6" t="inlineStr">
        <is>
          <t>AUTO_OFERTA_TOTAL_PRODUTO_PERIODO</t>
        </is>
      </c>
      <c r="I3900" s="11">
        <f>IF($H3900="AUTO_OFERTA_TOTAL_PRODUTO_PERIODO",SUMIFS(Oferta!$F:$F,Oferta!$A:$A,$A3900,Oferta!$E:$E,$E3900),$F3900)</f>
        <v/>
      </c>
      <c r="J3900" s="6" t="inlineStr">
        <is>
          <t>Derivado_da_Oferta</t>
        </is>
      </c>
      <c r="K3900" s="6" t="inlineStr">
        <is>
          <t>Mercado externo: limite superior calculado automaticamente pela soma da oferta do produto no período.</t>
        </is>
      </c>
    </row>
    <row r="3901">
      <c r="A3901" s="6" t="inlineStr">
        <is>
          <t>Milho</t>
        </is>
      </c>
      <c r="B3901" s="6" t="inlineStr">
        <is>
          <t>Itacoatiara - AM</t>
        </is>
      </c>
      <c r="C3901" s="6" t="n">
        <v>-3.13861</v>
      </c>
      <c r="D3901" s="6" t="n">
        <v>-58.4449</v>
      </c>
      <c r="E3901" s="6" t="inlineStr">
        <is>
          <t>2025-12</t>
        </is>
      </c>
      <c r="F3901" s="6" t="n"/>
      <c r="G3901" s="6" t="inlineStr">
        <is>
          <t>EXPORTACAO</t>
        </is>
      </c>
      <c r="H3901" s="6" t="inlineStr">
        <is>
          <t>AUTO_OFERTA_TOTAL_PRODUTO_PERIODO</t>
        </is>
      </c>
      <c r="I3901" s="11">
        <f>IF($H3901="AUTO_OFERTA_TOTAL_PRODUTO_PERIODO",SUMIFS(Oferta!$F:$F,Oferta!$A:$A,$A3901,Oferta!$E:$E,$E3901),$F3901)</f>
        <v/>
      </c>
      <c r="J3901" s="6" t="inlineStr">
        <is>
          <t>Derivado_da_Oferta</t>
        </is>
      </c>
      <c r="K3901" s="6" t="inlineStr">
        <is>
          <t>Mercado externo: limite superior calculado automaticamente pela soma da oferta do produto no período.</t>
        </is>
      </c>
    </row>
    <row r="3902">
      <c r="A3902" s="6" t="inlineStr">
        <is>
          <t>Soja</t>
        </is>
      </c>
      <c r="B3902" s="6" t="inlineStr">
        <is>
          <t>Itacoatiara - AM</t>
        </is>
      </c>
      <c r="C3902" s="6" t="n">
        <v>-3.13861</v>
      </c>
      <c r="D3902" s="6" t="n">
        <v>-58.4449</v>
      </c>
      <c r="E3902" s="6" t="inlineStr">
        <is>
          <t>2021-01</t>
        </is>
      </c>
      <c r="F3902" s="6" t="n"/>
      <c r="G3902" s="6" t="inlineStr">
        <is>
          <t>EXPORTACAO</t>
        </is>
      </c>
      <c r="H3902" s="6" t="inlineStr">
        <is>
          <t>AUTO_OFERTA_TOTAL_PRODUTO_PERIODO</t>
        </is>
      </c>
      <c r="I3902" s="11">
        <f>IF($H3902="AUTO_OFERTA_TOTAL_PRODUTO_PERIODO",SUMIFS(Oferta!$F:$F,Oferta!$A:$A,$A3902,Oferta!$E:$E,$E3902),$F3902)</f>
        <v/>
      </c>
      <c r="J3902" s="6" t="inlineStr">
        <is>
          <t>Derivado_da_Oferta</t>
        </is>
      </c>
      <c r="K3902" s="6" t="inlineStr">
        <is>
          <t>Mercado externo: limite superior calculado automaticamente pela soma da oferta do produto no período.</t>
        </is>
      </c>
    </row>
    <row r="3903">
      <c r="A3903" s="6" t="inlineStr">
        <is>
          <t>Soja</t>
        </is>
      </c>
      <c r="B3903" s="6" t="inlineStr">
        <is>
          <t>Itacoatiara - AM</t>
        </is>
      </c>
      <c r="C3903" s="6" t="n">
        <v>-3.13861</v>
      </c>
      <c r="D3903" s="6" t="n">
        <v>-58.4449</v>
      </c>
      <c r="E3903" s="6" t="inlineStr">
        <is>
          <t>2021-02</t>
        </is>
      </c>
      <c r="F3903" s="6" t="n"/>
      <c r="G3903" s="6" t="inlineStr">
        <is>
          <t>EXPORTACAO</t>
        </is>
      </c>
      <c r="H3903" s="6" t="inlineStr">
        <is>
          <t>AUTO_OFERTA_TOTAL_PRODUTO_PERIODO</t>
        </is>
      </c>
      <c r="I3903" s="11">
        <f>IF($H3903="AUTO_OFERTA_TOTAL_PRODUTO_PERIODO",SUMIFS(Oferta!$F:$F,Oferta!$A:$A,$A3903,Oferta!$E:$E,$E3903),$F3903)</f>
        <v/>
      </c>
      <c r="J3903" s="6" t="inlineStr">
        <is>
          <t>Derivado_da_Oferta</t>
        </is>
      </c>
      <c r="K3903" s="6" t="inlineStr">
        <is>
          <t>Mercado externo: limite superior calculado automaticamente pela soma da oferta do produto no período.</t>
        </is>
      </c>
    </row>
    <row r="3904">
      <c r="A3904" s="6" t="inlineStr">
        <is>
          <t>Soja</t>
        </is>
      </c>
      <c r="B3904" s="6" t="inlineStr">
        <is>
          <t>Itacoatiara - AM</t>
        </is>
      </c>
      <c r="C3904" s="6" t="n">
        <v>-3.13861</v>
      </c>
      <c r="D3904" s="6" t="n">
        <v>-58.4449</v>
      </c>
      <c r="E3904" s="6" t="inlineStr">
        <is>
          <t>2021-03</t>
        </is>
      </c>
      <c r="F3904" s="6" t="n"/>
      <c r="G3904" s="6" t="inlineStr">
        <is>
          <t>EXPORTACAO</t>
        </is>
      </c>
      <c r="H3904" s="6" t="inlineStr">
        <is>
          <t>AUTO_OFERTA_TOTAL_PRODUTO_PERIODO</t>
        </is>
      </c>
      <c r="I3904" s="11">
        <f>IF($H3904="AUTO_OFERTA_TOTAL_PRODUTO_PERIODO",SUMIFS(Oferta!$F:$F,Oferta!$A:$A,$A3904,Oferta!$E:$E,$E3904),$F3904)</f>
        <v/>
      </c>
      <c r="J3904" s="6" t="inlineStr">
        <is>
          <t>Derivado_da_Oferta</t>
        </is>
      </c>
      <c r="K3904" s="6" t="inlineStr">
        <is>
          <t>Mercado externo: limite superior calculado automaticamente pela soma da oferta do produto no período.</t>
        </is>
      </c>
    </row>
    <row r="3905">
      <c r="A3905" s="6" t="inlineStr">
        <is>
          <t>Soja</t>
        </is>
      </c>
      <c r="B3905" s="6" t="inlineStr">
        <is>
          <t>Itacoatiara - AM</t>
        </is>
      </c>
      <c r="C3905" s="6" t="n">
        <v>-3.13861</v>
      </c>
      <c r="D3905" s="6" t="n">
        <v>-58.4449</v>
      </c>
      <c r="E3905" s="6" t="inlineStr">
        <is>
          <t>2021-04</t>
        </is>
      </c>
      <c r="F3905" s="6" t="n"/>
      <c r="G3905" s="6" t="inlineStr">
        <is>
          <t>EXPORTACAO</t>
        </is>
      </c>
      <c r="H3905" s="6" t="inlineStr">
        <is>
          <t>AUTO_OFERTA_TOTAL_PRODUTO_PERIODO</t>
        </is>
      </c>
      <c r="I3905" s="11">
        <f>IF($H3905="AUTO_OFERTA_TOTAL_PRODUTO_PERIODO",SUMIFS(Oferta!$F:$F,Oferta!$A:$A,$A3905,Oferta!$E:$E,$E3905),$F3905)</f>
        <v/>
      </c>
      <c r="J3905" s="6" t="inlineStr">
        <is>
          <t>Derivado_da_Oferta</t>
        </is>
      </c>
      <c r="K3905" s="6" t="inlineStr">
        <is>
          <t>Mercado externo: limite superior calculado automaticamente pela soma da oferta do produto no período.</t>
        </is>
      </c>
    </row>
    <row r="3906">
      <c r="A3906" s="6" t="inlineStr">
        <is>
          <t>Soja</t>
        </is>
      </c>
      <c r="B3906" s="6" t="inlineStr">
        <is>
          <t>Itacoatiara - AM</t>
        </is>
      </c>
      <c r="C3906" s="6" t="n">
        <v>-3.13861</v>
      </c>
      <c r="D3906" s="6" t="n">
        <v>-58.4449</v>
      </c>
      <c r="E3906" s="6" t="inlineStr">
        <is>
          <t>2021-05</t>
        </is>
      </c>
      <c r="F3906" s="6" t="n"/>
      <c r="G3906" s="6" t="inlineStr">
        <is>
          <t>EXPORTACAO</t>
        </is>
      </c>
      <c r="H3906" s="6" t="inlineStr">
        <is>
          <t>AUTO_OFERTA_TOTAL_PRODUTO_PERIODO</t>
        </is>
      </c>
      <c r="I3906" s="11">
        <f>IF($H3906="AUTO_OFERTA_TOTAL_PRODUTO_PERIODO",SUMIFS(Oferta!$F:$F,Oferta!$A:$A,$A3906,Oferta!$E:$E,$E3906),$F3906)</f>
        <v/>
      </c>
      <c r="J3906" s="6" t="inlineStr">
        <is>
          <t>Derivado_da_Oferta</t>
        </is>
      </c>
      <c r="K3906" s="6" t="inlineStr">
        <is>
          <t>Mercado externo: limite superior calculado automaticamente pela soma da oferta do produto no período.</t>
        </is>
      </c>
    </row>
    <row r="3907">
      <c r="A3907" s="6" t="inlineStr">
        <is>
          <t>Soja</t>
        </is>
      </c>
      <c r="B3907" s="6" t="inlineStr">
        <is>
          <t>Itacoatiara - AM</t>
        </is>
      </c>
      <c r="C3907" s="6" t="n">
        <v>-3.13861</v>
      </c>
      <c r="D3907" s="6" t="n">
        <v>-58.4449</v>
      </c>
      <c r="E3907" s="6" t="inlineStr">
        <is>
          <t>2021-06</t>
        </is>
      </c>
      <c r="F3907" s="6" t="n"/>
      <c r="G3907" s="6" t="inlineStr">
        <is>
          <t>EXPORTACAO</t>
        </is>
      </c>
      <c r="H3907" s="6" t="inlineStr">
        <is>
          <t>AUTO_OFERTA_TOTAL_PRODUTO_PERIODO</t>
        </is>
      </c>
      <c r="I3907" s="11">
        <f>IF($H3907="AUTO_OFERTA_TOTAL_PRODUTO_PERIODO",SUMIFS(Oferta!$F:$F,Oferta!$A:$A,$A3907,Oferta!$E:$E,$E3907),$F3907)</f>
        <v/>
      </c>
      <c r="J3907" s="6" t="inlineStr">
        <is>
          <t>Derivado_da_Oferta</t>
        </is>
      </c>
      <c r="K3907" s="6" t="inlineStr">
        <is>
          <t>Mercado externo: limite superior calculado automaticamente pela soma da oferta do produto no período.</t>
        </is>
      </c>
    </row>
    <row r="3908">
      <c r="A3908" s="6" t="inlineStr">
        <is>
          <t>Soja</t>
        </is>
      </c>
      <c r="B3908" s="6" t="inlineStr">
        <is>
          <t>Itacoatiara - AM</t>
        </is>
      </c>
      <c r="C3908" s="6" t="n">
        <v>-3.13861</v>
      </c>
      <c r="D3908" s="6" t="n">
        <v>-58.4449</v>
      </c>
      <c r="E3908" s="6" t="inlineStr">
        <is>
          <t>2021-07</t>
        </is>
      </c>
      <c r="F3908" s="6" t="n"/>
      <c r="G3908" s="6" t="inlineStr">
        <is>
          <t>EXPORTACAO</t>
        </is>
      </c>
      <c r="H3908" s="6" t="inlineStr">
        <is>
          <t>AUTO_OFERTA_TOTAL_PRODUTO_PERIODO</t>
        </is>
      </c>
      <c r="I3908" s="11">
        <f>IF($H3908="AUTO_OFERTA_TOTAL_PRODUTO_PERIODO",SUMIFS(Oferta!$F:$F,Oferta!$A:$A,$A3908,Oferta!$E:$E,$E3908),$F3908)</f>
        <v/>
      </c>
      <c r="J3908" s="6" t="inlineStr">
        <is>
          <t>Derivado_da_Oferta</t>
        </is>
      </c>
      <c r="K3908" s="6" t="inlineStr">
        <is>
          <t>Mercado externo: limite superior calculado automaticamente pela soma da oferta do produto no período.</t>
        </is>
      </c>
    </row>
    <row r="3909">
      <c r="A3909" s="6" t="inlineStr">
        <is>
          <t>Soja</t>
        </is>
      </c>
      <c r="B3909" s="6" t="inlineStr">
        <is>
          <t>Itacoatiara - AM</t>
        </is>
      </c>
      <c r="C3909" s="6" t="n">
        <v>-3.13861</v>
      </c>
      <c r="D3909" s="6" t="n">
        <v>-58.4449</v>
      </c>
      <c r="E3909" s="6" t="inlineStr">
        <is>
          <t>2021-08</t>
        </is>
      </c>
      <c r="F3909" s="6" t="n"/>
      <c r="G3909" s="6" t="inlineStr">
        <is>
          <t>EXPORTACAO</t>
        </is>
      </c>
      <c r="H3909" s="6" t="inlineStr">
        <is>
          <t>AUTO_OFERTA_TOTAL_PRODUTO_PERIODO</t>
        </is>
      </c>
      <c r="I3909" s="11">
        <f>IF($H3909="AUTO_OFERTA_TOTAL_PRODUTO_PERIODO",SUMIFS(Oferta!$F:$F,Oferta!$A:$A,$A3909,Oferta!$E:$E,$E3909),$F3909)</f>
        <v/>
      </c>
      <c r="J3909" s="6" t="inlineStr">
        <is>
          <t>Derivado_da_Oferta</t>
        </is>
      </c>
      <c r="K3909" s="6" t="inlineStr">
        <is>
          <t>Mercado externo: limite superior calculado automaticamente pela soma da oferta do produto no período.</t>
        </is>
      </c>
    </row>
    <row r="3910">
      <c r="A3910" s="6" t="inlineStr">
        <is>
          <t>Soja</t>
        </is>
      </c>
      <c r="B3910" s="6" t="inlineStr">
        <is>
          <t>Itacoatiara - AM</t>
        </is>
      </c>
      <c r="C3910" s="6" t="n">
        <v>-3.13861</v>
      </c>
      <c r="D3910" s="6" t="n">
        <v>-58.4449</v>
      </c>
      <c r="E3910" s="6" t="inlineStr">
        <is>
          <t>2021-09</t>
        </is>
      </c>
      <c r="F3910" s="6" t="n"/>
      <c r="G3910" s="6" t="inlineStr">
        <is>
          <t>EXPORTACAO</t>
        </is>
      </c>
      <c r="H3910" s="6" t="inlineStr">
        <is>
          <t>AUTO_OFERTA_TOTAL_PRODUTO_PERIODO</t>
        </is>
      </c>
      <c r="I3910" s="11">
        <f>IF($H3910="AUTO_OFERTA_TOTAL_PRODUTO_PERIODO",SUMIFS(Oferta!$F:$F,Oferta!$A:$A,$A3910,Oferta!$E:$E,$E3910),$F3910)</f>
        <v/>
      </c>
      <c r="J3910" s="6" t="inlineStr">
        <is>
          <t>Derivado_da_Oferta</t>
        </is>
      </c>
      <c r="K3910" s="6" t="inlineStr">
        <is>
          <t>Mercado externo: limite superior calculado automaticamente pela soma da oferta do produto no período.</t>
        </is>
      </c>
    </row>
    <row r="3911">
      <c r="A3911" s="6" t="inlineStr">
        <is>
          <t>Soja</t>
        </is>
      </c>
      <c r="B3911" s="6" t="inlineStr">
        <is>
          <t>Itacoatiara - AM</t>
        </is>
      </c>
      <c r="C3911" s="6" t="n">
        <v>-3.13861</v>
      </c>
      <c r="D3911" s="6" t="n">
        <v>-58.4449</v>
      </c>
      <c r="E3911" s="6" t="inlineStr">
        <is>
          <t>2021-10</t>
        </is>
      </c>
      <c r="F3911" s="6" t="n"/>
      <c r="G3911" s="6" t="inlineStr">
        <is>
          <t>EXPORTACAO</t>
        </is>
      </c>
      <c r="H3911" s="6" t="inlineStr">
        <is>
          <t>AUTO_OFERTA_TOTAL_PRODUTO_PERIODO</t>
        </is>
      </c>
      <c r="I3911" s="11">
        <f>IF($H3911="AUTO_OFERTA_TOTAL_PRODUTO_PERIODO",SUMIFS(Oferta!$F:$F,Oferta!$A:$A,$A3911,Oferta!$E:$E,$E3911),$F3911)</f>
        <v/>
      </c>
      <c r="J3911" s="6" t="inlineStr">
        <is>
          <t>Derivado_da_Oferta</t>
        </is>
      </c>
      <c r="K3911" s="6" t="inlineStr">
        <is>
          <t>Mercado externo: limite superior calculado automaticamente pela soma da oferta do produto no período.</t>
        </is>
      </c>
    </row>
    <row r="3912">
      <c r="A3912" s="6" t="inlineStr">
        <is>
          <t>Soja</t>
        </is>
      </c>
      <c r="B3912" s="6" t="inlineStr">
        <is>
          <t>Itacoatiara - AM</t>
        </is>
      </c>
      <c r="C3912" s="6" t="n">
        <v>-3.13861</v>
      </c>
      <c r="D3912" s="6" t="n">
        <v>-58.4449</v>
      </c>
      <c r="E3912" s="6" t="inlineStr">
        <is>
          <t>2021-11</t>
        </is>
      </c>
      <c r="F3912" s="6" t="n"/>
      <c r="G3912" s="6" t="inlineStr">
        <is>
          <t>EXPORTACAO</t>
        </is>
      </c>
      <c r="H3912" s="6" t="inlineStr">
        <is>
          <t>AUTO_OFERTA_TOTAL_PRODUTO_PERIODO</t>
        </is>
      </c>
      <c r="I3912" s="11">
        <f>IF($H3912="AUTO_OFERTA_TOTAL_PRODUTO_PERIODO",SUMIFS(Oferta!$F:$F,Oferta!$A:$A,$A3912,Oferta!$E:$E,$E3912),$F3912)</f>
        <v/>
      </c>
      <c r="J3912" s="6" t="inlineStr">
        <is>
          <t>Derivado_da_Oferta</t>
        </is>
      </c>
      <c r="K3912" s="6" t="inlineStr">
        <is>
          <t>Mercado externo: limite superior calculado automaticamente pela soma da oferta do produto no período.</t>
        </is>
      </c>
    </row>
    <row r="3913">
      <c r="A3913" s="6" t="inlineStr">
        <is>
          <t>Soja</t>
        </is>
      </c>
      <c r="B3913" s="6" t="inlineStr">
        <is>
          <t>Itacoatiara - AM</t>
        </is>
      </c>
      <c r="C3913" s="6" t="n">
        <v>-3.13861</v>
      </c>
      <c r="D3913" s="6" t="n">
        <v>-58.4449</v>
      </c>
      <c r="E3913" s="6" t="inlineStr">
        <is>
          <t>2021-12</t>
        </is>
      </c>
      <c r="F3913" s="6" t="n"/>
      <c r="G3913" s="6" t="inlineStr">
        <is>
          <t>EXPORTACAO</t>
        </is>
      </c>
      <c r="H3913" s="6" t="inlineStr">
        <is>
          <t>AUTO_OFERTA_TOTAL_PRODUTO_PERIODO</t>
        </is>
      </c>
      <c r="I3913" s="11">
        <f>IF($H3913="AUTO_OFERTA_TOTAL_PRODUTO_PERIODO",SUMIFS(Oferta!$F:$F,Oferta!$A:$A,$A3913,Oferta!$E:$E,$E3913),$F3913)</f>
        <v/>
      </c>
      <c r="J3913" s="6" t="inlineStr">
        <is>
          <t>Derivado_da_Oferta</t>
        </is>
      </c>
      <c r="K3913" s="6" t="inlineStr">
        <is>
          <t>Mercado externo: limite superior calculado automaticamente pela soma da oferta do produto no período.</t>
        </is>
      </c>
    </row>
    <row r="3914">
      <c r="A3914" s="6" t="inlineStr">
        <is>
          <t>Soja</t>
        </is>
      </c>
      <c r="B3914" s="6" t="inlineStr">
        <is>
          <t>Itacoatiara - AM</t>
        </is>
      </c>
      <c r="C3914" s="6" t="n">
        <v>-3.13861</v>
      </c>
      <c r="D3914" s="6" t="n">
        <v>-58.4449</v>
      </c>
      <c r="E3914" s="6" t="inlineStr">
        <is>
          <t>2022-01</t>
        </is>
      </c>
      <c r="F3914" s="6" t="n"/>
      <c r="G3914" s="6" t="inlineStr">
        <is>
          <t>EXPORTACAO</t>
        </is>
      </c>
      <c r="H3914" s="6" t="inlineStr">
        <is>
          <t>AUTO_OFERTA_TOTAL_PRODUTO_PERIODO</t>
        </is>
      </c>
      <c r="I3914" s="11">
        <f>IF($H3914="AUTO_OFERTA_TOTAL_PRODUTO_PERIODO",SUMIFS(Oferta!$F:$F,Oferta!$A:$A,$A3914,Oferta!$E:$E,$E3914),$F3914)</f>
        <v/>
      </c>
      <c r="J3914" s="6" t="inlineStr">
        <is>
          <t>Derivado_da_Oferta</t>
        </is>
      </c>
      <c r="K3914" s="6" t="inlineStr">
        <is>
          <t>Mercado externo: limite superior calculado automaticamente pela soma da oferta do produto no período.</t>
        </is>
      </c>
    </row>
    <row r="3915">
      <c r="A3915" s="6" t="inlineStr">
        <is>
          <t>Soja</t>
        </is>
      </c>
      <c r="B3915" s="6" t="inlineStr">
        <is>
          <t>Itacoatiara - AM</t>
        </is>
      </c>
      <c r="C3915" s="6" t="n">
        <v>-3.13861</v>
      </c>
      <c r="D3915" s="6" t="n">
        <v>-58.4449</v>
      </c>
      <c r="E3915" s="6" t="inlineStr">
        <is>
          <t>2022-02</t>
        </is>
      </c>
      <c r="F3915" s="6" t="n"/>
      <c r="G3915" s="6" t="inlineStr">
        <is>
          <t>EXPORTACAO</t>
        </is>
      </c>
      <c r="H3915" s="6" t="inlineStr">
        <is>
          <t>AUTO_OFERTA_TOTAL_PRODUTO_PERIODO</t>
        </is>
      </c>
      <c r="I3915" s="11">
        <f>IF($H3915="AUTO_OFERTA_TOTAL_PRODUTO_PERIODO",SUMIFS(Oferta!$F:$F,Oferta!$A:$A,$A3915,Oferta!$E:$E,$E3915),$F3915)</f>
        <v/>
      </c>
      <c r="J3915" s="6" t="inlineStr">
        <is>
          <t>Derivado_da_Oferta</t>
        </is>
      </c>
      <c r="K3915" s="6" t="inlineStr">
        <is>
          <t>Mercado externo: limite superior calculado automaticamente pela soma da oferta do produto no período.</t>
        </is>
      </c>
    </row>
    <row r="3916">
      <c r="A3916" s="6" t="inlineStr">
        <is>
          <t>Soja</t>
        </is>
      </c>
      <c r="B3916" s="6" t="inlineStr">
        <is>
          <t>Itacoatiara - AM</t>
        </is>
      </c>
      <c r="C3916" s="6" t="n">
        <v>-3.13861</v>
      </c>
      <c r="D3916" s="6" t="n">
        <v>-58.4449</v>
      </c>
      <c r="E3916" s="6" t="inlineStr">
        <is>
          <t>2022-03</t>
        </is>
      </c>
      <c r="F3916" s="6" t="n"/>
      <c r="G3916" s="6" t="inlineStr">
        <is>
          <t>EXPORTACAO</t>
        </is>
      </c>
      <c r="H3916" s="6" t="inlineStr">
        <is>
          <t>AUTO_OFERTA_TOTAL_PRODUTO_PERIODO</t>
        </is>
      </c>
      <c r="I3916" s="11">
        <f>IF($H3916="AUTO_OFERTA_TOTAL_PRODUTO_PERIODO",SUMIFS(Oferta!$F:$F,Oferta!$A:$A,$A3916,Oferta!$E:$E,$E3916),$F3916)</f>
        <v/>
      </c>
      <c r="J3916" s="6" t="inlineStr">
        <is>
          <t>Derivado_da_Oferta</t>
        </is>
      </c>
      <c r="K3916" s="6" t="inlineStr">
        <is>
          <t>Mercado externo: limite superior calculado automaticamente pela soma da oferta do produto no período.</t>
        </is>
      </c>
    </row>
    <row r="3917">
      <c r="A3917" s="6" t="inlineStr">
        <is>
          <t>Soja</t>
        </is>
      </c>
      <c r="B3917" s="6" t="inlineStr">
        <is>
          <t>Itacoatiara - AM</t>
        </is>
      </c>
      <c r="C3917" s="6" t="n">
        <v>-3.13861</v>
      </c>
      <c r="D3917" s="6" t="n">
        <v>-58.4449</v>
      </c>
      <c r="E3917" s="6" t="inlineStr">
        <is>
          <t>2022-04</t>
        </is>
      </c>
      <c r="F3917" s="6" t="n"/>
      <c r="G3917" s="6" t="inlineStr">
        <is>
          <t>EXPORTACAO</t>
        </is>
      </c>
      <c r="H3917" s="6" t="inlineStr">
        <is>
          <t>AUTO_OFERTA_TOTAL_PRODUTO_PERIODO</t>
        </is>
      </c>
      <c r="I3917" s="11">
        <f>IF($H3917="AUTO_OFERTA_TOTAL_PRODUTO_PERIODO",SUMIFS(Oferta!$F:$F,Oferta!$A:$A,$A3917,Oferta!$E:$E,$E3917),$F3917)</f>
        <v/>
      </c>
      <c r="J3917" s="6" t="inlineStr">
        <is>
          <t>Derivado_da_Oferta</t>
        </is>
      </c>
      <c r="K3917" s="6" t="inlineStr">
        <is>
          <t>Mercado externo: limite superior calculado automaticamente pela soma da oferta do produto no período.</t>
        </is>
      </c>
    </row>
    <row r="3918">
      <c r="A3918" s="6" t="inlineStr">
        <is>
          <t>Soja</t>
        </is>
      </c>
      <c r="B3918" s="6" t="inlineStr">
        <is>
          <t>Itacoatiara - AM</t>
        </is>
      </c>
      <c r="C3918" s="6" t="n">
        <v>-3.13861</v>
      </c>
      <c r="D3918" s="6" t="n">
        <v>-58.4449</v>
      </c>
      <c r="E3918" s="6" t="inlineStr">
        <is>
          <t>2022-05</t>
        </is>
      </c>
      <c r="F3918" s="6" t="n"/>
      <c r="G3918" s="6" t="inlineStr">
        <is>
          <t>EXPORTACAO</t>
        </is>
      </c>
      <c r="H3918" s="6" t="inlineStr">
        <is>
          <t>AUTO_OFERTA_TOTAL_PRODUTO_PERIODO</t>
        </is>
      </c>
      <c r="I3918" s="11">
        <f>IF($H3918="AUTO_OFERTA_TOTAL_PRODUTO_PERIODO",SUMIFS(Oferta!$F:$F,Oferta!$A:$A,$A3918,Oferta!$E:$E,$E3918),$F3918)</f>
        <v/>
      </c>
      <c r="J3918" s="6" t="inlineStr">
        <is>
          <t>Derivado_da_Oferta</t>
        </is>
      </c>
      <c r="K3918" s="6" t="inlineStr">
        <is>
          <t>Mercado externo: limite superior calculado automaticamente pela soma da oferta do produto no período.</t>
        </is>
      </c>
    </row>
    <row r="3919">
      <c r="A3919" s="6" t="inlineStr">
        <is>
          <t>Soja</t>
        </is>
      </c>
      <c r="B3919" s="6" t="inlineStr">
        <is>
          <t>Itacoatiara - AM</t>
        </is>
      </c>
      <c r="C3919" s="6" t="n">
        <v>-3.13861</v>
      </c>
      <c r="D3919" s="6" t="n">
        <v>-58.4449</v>
      </c>
      <c r="E3919" s="6" t="inlineStr">
        <is>
          <t>2022-06</t>
        </is>
      </c>
      <c r="F3919" s="6" t="n"/>
      <c r="G3919" s="6" t="inlineStr">
        <is>
          <t>EXPORTACAO</t>
        </is>
      </c>
      <c r="H3919" s="6" t="inlineStr">
        <is>
          <t>AUTO_OFERTA_TOTAL_PRODUTO_PERIODO</t>
        </is>
      </c>
      <c r="I3919" s="11">
        <f>IF($H3919="AUTO_OFERTA_TOTAL_PRODUTO_PERIODO",SUMIFS(Oferta!$F:$F,Oferta!$A:$A,$A3919,Oferta!$E:$E,$E3919),$F3919)</f>
        <v/>
      </c>
      <c r="J3919" s="6" t="inlineStr">
        <is>
          <t>Derivado_da_Oferta</t>
        </is>
      </c>
      <c r="K3919" s="6" t="inlineStr">
        <is>
          <t>Mercado externo: limite superior calculado automaticamente pela soma da oferta do produto no período.</t>
        </is>
      </c>
    </row>
    <row r="3920">
      <c r="A3920" s="6" t="inlineStr">
        <is>
          <t>Soja</t>
        </is>
      </c>
      <c r="B3920" s="6" t="inlineStr">
        <is>
          <t>Itacoatiara - AM</t>
        </is>
      </c>
      <c r="C3920" s="6" t="n">
        <v>-3.13861</v>
      </c>
      <c r="D3920" s="6" t="n">
        <v>-58.4449</v>
      </c>
      <c r="E3920" s="6" t="inlineStr">
        <is>
          <t>2022-07</t>
        </is>
      </c>
      <c r="F3920" s="6" t="n"/>
      <c r="G3920" s="6" t="inlineStr">
        <is>
          <t>EXPORTACAO</t>
        </is>
      </c>
      <c r="H3920" s="6" t="inlineStr">
        <is>
          <t>AUTO_OFERTA_TOTAL_PRODUTO_PERIODO</t>
        </is>
      </c>
      <c r="I3920" s="11">
        <f>IF($H3920="AUTO_OFERTA_TOTAL_PRODUTO_PERIODO",SUMIFS(Oferta!$F:$F,Oferta!$A:$A,$A3920,Oferta!$E:$E,$E3920),$F3920)</f>
        <v/>
      </c>
      <c r="J3920" s="6" t="inlineStr">
        <is>
          <t>Derivado_da_Oferta</t>
        </is>
      </c>
      <c r="K3920" s="6" t="inlineStr">
        <is>
          <t>Mercado externo: limite superior calculado automaticamente pela soma da oferta do produto no período.</t>
        </is>
      </c>
    </row>
    <row r="3921">
      <c r="A3921" s="6" t="inlineStr">
        <is>
          <t>Soja</t>
        </is>
      </c>
      <c r="B3921" s="6" t="inlineStr">
        <is>
          <t>Itacoatiara - AM</t>
        </is>
      </c>
      <c r="C3921" s="6" t="n">
        <v>-3.13861</v>
      </c>
      <c r="D3921" s="6" t="n">
        <v>-58.4449</v>
      </c>
      <c r="E3921" s="6" t="inlineStr">
        <is>
          <t>2022-08</t>
        </is>
      </c>
      <c r="F3921" s="6" t="n"/>
      <c r="G3921" s="6" t="inlineStr">
        <is>
          <t>EXPORTACAO</t>
        </is>
      </c>
      <c r="H3921" s="6" t="inlineStr">
        <is>
          <t>AUTO_OFERTA_TOTAL_PRODUTO_PERIODO</t>
        </is>
      </c>
      <c r="I3921" s="11">
        <f>IF($H3921="AUTO_OFERTA_TOTAL_PRODUTO_PERIODO",SUMIFS(Oferta!$F:$F,Oferta!$A:$A,$A3921,Oferta!$E:$E,$E3921),$F3921)</f>
        <v/>
      </c>
      <c r="J3921" s="6" t="inlineStr">
        <is>
          <t>Derivado_da_Oferta</t>
        </is>
      </c>
      <c r="K3921" s="6" t="inlineStr">
        <is>
          <t>Mercado externo: limite superior calculado automaticamente pela soma da oferta do produto no período.</t>
        </is>
      </c>
    </row>
    <row r="3922">
      <c r="A3922" s="6" t="inlineStr">
        <is>
          <t>Soja</t>
        </is>
      </c>
      <c r="B3922" s="6" t="inlineStr">
        <is>
          <t>Itacoatiara - AM</t>
        </is>
      </c>
      <c r="C3922" s="6" t="n">
        <v>-3.13861</v>
      </c>
      <c r="D3922" s="6" t="n">
        <v>-58.4449</v>
      </c>
      <c r="E3922" s="6" t="inlineStr">
        <is>
          <t>2022-09</t>
        </is>
      </c>
      <c r="F3922" s="6" t="n"/>
      <c r="G3922" s="6" t="inlineStr">
        <is>
          <t>EXPORTACAO</t>
        </is>
      </c>
      <c r="H3922" s="6" t="inlineStr">
        <is>
          <t>AUTO_OFERTA_TOTAL_PRODUTO_PERIODO</t>
        </is>
      </c>
      <c r="I3922" s="11">
        <f>IF($H3922="AUTO_OFERTA_TOTAL_PRODUTO_PERIODO",SUMIFS(Oferta!$F:$F,Oferta!$A:$A,$A3922,Oferta!$E:$E,$E3922),$F3922)</f>
        <v/>
      </c>
      <c r="J3922" s="6" t="inlineStr">
        <is>
          <t>Derivado_da_Oferta</t>
        </is>
      </c>
      <c r="K3922" s="6" t="inlineStr">
        <is>
          <t>Mercado externo: limite superior calculado automaticamente pela soma da oferta do produto no período.</t>
        </is>
      </c>
    </row>
    <row r="3923">
      <c r="A3923" s="6" t="inlineStr">
        <is>
          <t>Soja</t>
        </is>
      </c>
      <c r="B3923" s="6" t="inlineStr">
        <is>
          <t>Itacoatiara - AM</t>
        </is>
      </c>
      <c r="C3923" s="6" t="n">
        <v>-3.13861</v>
      </c>
      <c r="D3923" s="6" t="n">
        <v>-58.4449</v>
      </c>
      <c r="E3923" s="6" t="inlineStr">
        <is>
          <t>2022-10</t>
        </is>
      </c>
      <c r="F3923" s="6" t="n"/>
      <c r="G3923" s="6" t="inlineStr">
        <is>
          <t>EXPORTACAO</t>
        </is>
      </c>
      <c r="H3923" s="6" t="inlineStr">
        <is>
          <t>AUTO_OFERTA_TOTAL_PRODUTO_PERIODO</t>
        </is>
      </c>
      <c r="I3923" s="11">
        <f>IF($H3923="AUTO_OFERTA_TOTAL_PRODUTO_PERIODO",SUMIFS(Oferta!$F:$F,Oferta!$A:$A,$A3923,Oferta!$E:$E,$E3923),$F3923)</f>
        <v/>
      </c>
      <c r="J3923" s="6" t="inlineStr">
        <is>
          <t>Derivado_da_Oferta</t>
        </is>
      </c>
      <c r="K3923" s="6" t="inlineStr">
        <is>
          <t>Mercado externo: limite superior calculado automaticamente pela soma da oferta do produto no período.</t>
        </is>
      </c>
    </row>
    <row r="3924">
      <c r="A3924" s="6" t="inlineStr">
        <is>
          <t>Soja</t>
        </is>
      </c>
      <c r="B3924" s="6" t="inlineStr">
        <is>
          <t>Itacoatiara - AM</t>
        </is>
      </c>
      <c r="C3924" s="6" t="n">
        <v>-3.13861</v>
      </c>
      <c r="D3924" s="6" t="n">
        <v>-58.4449</v>
      </c>
      <c r="E3924" s="6" t="inlineStr">
        <is>
          <t>2022-11</t>
        </is>
      </c>
      <c r="F3924" s="6" t="n"/>
      <c r="G3924" s="6" t="inlineStr">
        <is>
          <t>EXPORTACAO</t>
        </is>
      </c>
      <c r="H3924" s="6" t="inlineStr">
        <is>
          <t>AUTO_OFERTA_TOTAL_PRODUTO_PERIODO</t>
        </is>
      </c>
      <c r="I3924" s="11">
        <f>IF($H3924="AUTO_OFERTA_TOTAL_PRODUTO_PERIODO",SUMIFS(Oferta!$F:$F,Oferta!$A:$A,$A3924,Oferta!$E:$E,$E3924),$F3924)</f>
        <v/>
      </c>
      <c r="J3924" s="6" t="inlineStr">
        <is>
          <t>Derivado_da_Oferta</t>
        </is>
      </c>
      <c r="K3924" s="6" t="inlineStr">
        <is>
          <t>Mercado externo: limite superior calculado automaticamente pela soma da oferta do produto no período.</t>
        </is>
      </c>
    </row>
    <row r="3925">
      <c r="A3925" s="6" t="inlineStr">
        <is>
          <t>Soja</t>
        </is>
      </c>
      <c r="B3925" s="6" t="inlineStr">
        <is>
          <t>Itacoatiara - AM</t>
        </is>
      </c>
      <c r="C3925" s="6" t="n">
        <v>-3.13861</v>
      </c>
      <c r="D3925" s="6" t="n">
        <v>-58.4449</v>
      </c>
      <c r="E3925" s="6" t="inlineStr">
        <is>
          <t>2022-12</t>
        </is>
      </c>
      <c r="F3925" s="6" t="n"/>
      <c r="G3925" s="6" t="inlineStr">
        <is>
          <t>EXPORTACAO</t>
        </is>
      </c>
      <c r="H3925" s="6" t="inlineStr">
        <is>
          <t>AUTO_OFERTA_TOTAL_PRODUTO_PERIODO</t>
        </is>
      </c>
      <c r="I3925" s="11">
        <f>IF($H3925="AUTO_OFERTA_TOTAL_PRODUTO_PERIODO",SUMIFS(Oferta!$F:$F,Oferta!$A:$A,$A3925,Oferta!$E:$E,$E3925),$F3925)</f>
        <v/>
      </c>
      <c r="J3925" s="6" t="inlineStr">
        <is>
          <t>Derivado_da_Oferta</t>
        </is>
      </c>
      <c r="K3925" s="6" t="inlineStr">
        <is>
          <t>Mercado externo: limite superior calculado automaticamente pela soma da oferta do produto no período.</t>
        </is>
      </c>
    </row>
    <row r="3926">
      <c r="A3926" s="6" t="inlineStr">
        <is>
          <t>Soja</t>
        </is>
      </c>
      <c r="B3926" s="6" t="inlineStr">
        <is>
          <t>Itacoatiara - AM</t>
        </is>
      </c>
      <c r="C3926" s="6" t="n">
        <v>-3.13861</v>
      </c>
      <c r="D3926" s="6" t="n">
        <v>-58.4449</v>
      </c>
      <c r="E3926" s="6" t="inlineStr">
        <is>
          <t>2023-01</t>
        </is>
      </c>
      <c r="F3926" s="6" t="n"/>
      <c r="G3926" s="6" t="inlineStr">
        <is>
          <t>EXPORTACAO</t>
        </is>
      </c>
      <c r="H3926" s="6" t="inlineStr">
        <is>
          <t>AUTO_OFERTA_TOTAL_PRODUTO_PERIODO</t>
        </is>
      </c>
      <c r="I3926" s="11">
        <f>IF($H3926="AUTO_OFERTA_TOTAL_PRODUTO_PERIODO",SUMIFS(Oferta!$F:$F,Oferta!$A:$A,$A3926,Oferta!$E:$E,$E3926),$F3926)</f>
        <v/>
      </c>
      <c r="J3926" s="6" t="inlineStr">
        <is>
          <t>Derivado_da_Oferta</t>
        </is>
      </c>
      <c r="K3926" s="6" t="inlineStr">
        <is>
          <t>Mercado externo: limite superior calculado automaticamente pela soma da oferta do produto no período.</t>
        </is>
      </c>
    </row>
    <row r="3927">
      <c r="A3927" s="6" t="inlineStr">
        <is>
          <t>Soja</t>
        </is>
      </c>
      <c r="B3927" s="6" t="inlineStr">
        <is>
          <t>Itacoatiara - AM</t>
        </is>
      </c>
      <c r="C3927" s="6" t="n">
        <v>-3.13861</v>
      </c>
      <c r="D3927" s="6" t="n">
        <v>-58.4449</v>
      </c>
      <c r="E3927" s="6" t="inlineStr">
        <is>
          <t>2023-02</t>
        </is>
      </c>
      <c r="F3927" s="6" t="n"/>
      <c r="G3927" s="6" t="inlineStr">
        <is>
          <t>EXPORTACAO</t>
        </is>
      </c>
      <c r="H3927" s="6" t="inlineStr">
        <is>
          <t>AUTO_OFERTA_TOTAL_PRODUTO_PERIODO</t>
        </is>
      </c>
      <c r="I3927" s="11">
        <f>IF($H3927="AUTO_OFERTA_TOTAL_PRODUTO_PERIODO",SUMIFS(Oferta!$F:$F,Oferta!$A:$A,$A3927,Oferta!$E:$E,$E3927),$F3927)</f>
        <v/>
      </c>
      <c r="J3927" s="6" t="inlineStr">
        <is>
          <t>Derivado_da_Oferta</t>
        </is>
      </c>
      <c r="K3927" s="6" t="inlineStr">
        <is>
          <t>Mercado externo: limite superior calculado automaticamente pela soma da oferta do produto no período.</t>
        </is>
      </c>
    </row>
    <row r="3928">
      <c r="A3928" s="6" t="inlineStr">
        <is>
          <t>Soja</t>
        </is>
      </c>
      <c r="B3928" s="6" t="inlineStr">
        <is>
          <t>Itacoatiara - AM</t>
        </is>
      </c>
      <c r="C3928" s="6" t="n">
        <v>-3.13861</v>
      </c>
      <c r="D3928" s="6" t="n">
        <v>-58.4449</v>
      </c>
      <c r="E3928" s="6" t="inlineStr">
        <is>
          <t>2023-03</t>
        </is>
      </c>
      <c r="F3928" s="6" t="n"/>
      <c r="G3928" s="6" t="inlineStr">
        <is>
          <t>EXPORTACAO</t>
        </is>
      </c>
      <c r="H3928" s="6" t="inlineStr">
        <is>
          <t>AUTO_OFERTA_TOTAL_PRODUTO_PERIODO</t>
        </is>
      </c>
      <c r="I3928" s="11">
        <f>IF($H3928="AUTO_OFERTA_TOTAL_PRODUTO_PERIODO",SUMIFS(Oferta!$F:$F,Oferta!$A:$A,$A3928,Oferta!$E:$E,$E3928),$F3928)</f>
        <v/>
      </c>
      <c r="J3928" s="6" t="inlineStr">
        <is>
          <t>Derivado_da_Oferta</t>
        </is>
      </c>
      <c r="K3928" s="6" t="inlineStr">
        <is>
          <t>Mercado externo: limite superior calculado automaticamente pela soma da oferta do produto no período.</t>
        </is>
      </c>
    </row>
    <row r="3929">
      <c r="A3929" s="6" t="inlineStr">
        <is>
          <t>Soja</t>
        </is>
      </c>
      <c r="B3929" s="6" t="inlineStr">
        <is>
          <t>Itacoatiara - AM</t>
        </is>
      </c>
      <c r="C3929" s="6" t="n">
        <v>-3.13861</v>
      </c>
      <c r="D3929" s="6" t="n">
        <v>-58.4449</v>
      </c>
      <c r="E3929" s="6" t="inlineStr">
        <is>
          <t>2023-04</t>
        </is>
      </c>
      <c r="F3929" s="6" t="n"/>
      <c r="G3929" s="6" t="inlineStr">
        <is>
          <t>EXPORTACAO</t>
        </is>
      </c>
      <c r="H3929" s="6" t="inlineStr">
        <is>
          <t>AUTO_OFERTA_TOTAL_PRODUTO_PERIODO</t>
        </is>
      </c>
      <c r="I3929" s="11">
        <f>IF($H3929="AUTO_OFERTA_TOTAL_PRODUTO_PERIODO",SUMIFS(Oferta!$F:$F,Oferta!$A:$A,$A3929,Oferta!$E:$E,$E3929),$F3929)</f>
        <v/>
      </c>
      <c r="J3929" s="6" t="inlineStr">
        <is>
          <t>Derivado_da_Oferta</t>
        </is>
      </c>
      <c r="K3929" s="6" t="inlineStr">
        <is>
          <t>Mercado externo: limite superior calculado automaticamente pela soma da oferta do produto no período.</t>
        </is>
      </c>
    </row>
    <row r="3930">
      <c r="A3930" s="6" t="inlineStr">
        <is>
          <t>Soja</t>
        </is>
      </c>
      <c r="B3930" s="6" t="inlineStr">
        <is>
          <t>Itacoatiara - AM</t>
        </is>
      </c>
      <c r="C3930" s="6" t="n">
        <v>-3.13861</v>
      </c>
      <c r="D3930" s="6" t="n">
        <v>-58.4449</v>
      </c>
      <c r="E3930" s="6" t="inlineStr">
        <is>
          <t>2023-05</t>
        </is>
      </c>
      <c r="F3930" s="6" t="n"/>
      <c r="G3930" s="6" t="inlineStr">
        <is>
          <t>EXPORTACAO</t>
        </is>
      </c>
      <c r="H3930" s="6" t="inlineStr">
        <is>
          <t>AUTO_OFERTA_TOTAL_PRODUTO_PERIODO</t>
        </is>
      </c>
      <c r="I3930" s="11">
        <f>IF($H3930="AUTO_OFERTA_TOTAL_PRODUTO_PERIODO",SUMIFS(Oferta!$F:$F,Oferta!$A:$A,$A3930,Oferta!$E:$E,$E3930),$F3930)</f>
        <v/>
      </c>
      <c r="J3930" s="6" t="inlineStr">
        <is>
          <t>Derivado_da_Oferta</t>
        </is>
      </c>
      <c r="K3930" s="6" t="inlineStr">
        <is>
          <t>Mercado externo: limite superior calculado automaticamente pela soma da oferta do produto no período.</t>
        </is>
      </c>
    </row>
    <row r="3931">
      <c r="A3931" s="6" t="inlineStr">
        <is>
          <t>Soja</t>
        </is>
      </c>
      <c r="B3931" s="6" t="inlineStr">
        <is>
          <t>Itacoatiara - AM</t>
        </is>
      </c>
      <c r="C3931" s="6" t="n">
        <v>-3.13861</v>
      </c>
      <c r="D3931" s="6" t="n">
        <v>-58.4449</v>
      </c>
      <c r="E3931" s="6" t="inlineStr">
        <is>
          <t>2023-06</t>
        </is>
      </c>
      <c r="F3931" s="6" t="n"/>
      <c r="G3931" s="6" t="inlineStr">
        <is>
          <t>EXPORTACAO</t>
        </is>
      </c>
      <c r="H3931" s="6" t="inlineStr">
        <is>
          <t>AUTO_OFERTA_TOTAL_PRODUTO_PERIODO</t>
        </is>
      </c>
      <c r="I3931" s="11">
        <f>IF($H3931="AUTO_OFERTA_TOTAL_PRODUTO_PERIODO",SUMIFS(Oferta!$F:$F,Oferta!$A:$A,$A3931,Oferta!$E:$E,$E3931),$F3931)</f>
        <v/>
      </c>
      <c r="J3931" s="6" t="inlineStr">
        <is>
          <t>Derivado_da_Oferta</t>
        </is>
      </c>
      <c r="K3931" s="6" t="inlineStr">
        <is>
          <t>Mercado externo: limite superior calculado automaticamente pela soma da oferta do produto no período.</t>
        </is>
      </c>
    </row>
    <row r="3932">
      <c r="A3932" s="6" t="inlineStr">
        <is>
          <t>Soja</t>
        </is>
      </c>
      <c r="B3932" s="6" t="inlineStr">
        <is>
          <t>Itacoatiara - AM</t>
        </is>
      </c>
      <c r="C3932" s="6" t="n">
        <v>-3.13861</v>
      </c>
      <c r="D3932" s="6" t="n">
        <v>-58.4449</v>
      </c>
      <c r="E3932" s="6" t="inlineStr">
        <is>
          <t>2023-07</t>
        </is>
      </c>
      <c r="F3932" s="6" t="n"/>
      <c r="G3932" s="6" t="inlineStr">
        <is>
          <t>EXPORTACAO</t>
        </is>
      </c>
      <c r="H3932" s="6" t="inlineStr">
        <is>
          <t>AUTO_OFERTA_TOTAL_PRODUTO_PERIODO</t>
        </is>
      </c>
      <c r="I3932" s="11">
        <f>IF($H3932="AUTO_OFERTA_TOTAL_PRODUTO_PERIODO",SUMIFS(Oferta!$F:$F,Oferta!$A:$A,$A3932,Oferta!$E:$E,$E3932),$F3932)</f>
        <v/>
      </c>
      <c r="J3932" s="6" t="inlineStr">
        <is>
          <t>Derivado_da_Oferta</t>
        </is>
      </c>
      <c r="K3932" s="6" t="inlineStr">
        <is>
          <t>Mercado externo: limite superior calculado automaticamente pela soma da oferta do produto no período.</t>
        </is>
      </c>
    </row>
    <row r="3933">
      <c r="A3933" s="6" t="inlineStr">
        <is>
          <t>Soja</t>
        </is>
      </c>
      <c r="B3933" s="6" t="inlineStr">
        <is>
          <t>Itacoatiara - AM</t>
        </is>
      </c>
      <c r="C3933" s="6" t="n">
        <v>-3.13861</v>
      </c>
      <c r="D3933" s="6" t="n">
        <v>-58.4449</v>
      </c>
      <c r="E3933" s="6" t="inlineStr">
        <is>
          <t>2023-08</t>
        </is>
      </c>
      <c r="F3933" s="6" t="n"/>
      <c r="G3933" s="6" t="inlineStr">
        <is>
          <t>EXPORTACAO</t>
        </is>
      </c>
      <c r="H3933" s="6" t="inlineStr">
        <is>
          <t>AUTO_OFERTA_TOTAL_PRODUTO_PERIODO</t>
        </is>
      </c>
      <c r="I3933" s="11">
        <f>IF($H3933="AUTO_OFERTA_TOTAL_PRODUTO_PERIODO",SUMIFS(Oferta!$F:$F,Oferta!$A:$A,$A3933,Oferta!$E:$E,$E3933),$F3933)</f>
        <v/>
      </c>
      <c r="J3933" s="6" t="inlineStr">
        <is>
          <t>Derivado_da_Oferta</t>
        </is>
      </c>
      <c r="K3933" s="6" t="inlineStr">
        <is>
          <t>Mercado externo: limite superior calculado automaticamente pela soma da oferta do produto no período.</t>
        </is>
      </c>
    </row>
    <row r="3934">
      <c r="A3934" s="6" t="inlineStr">
        <is>
          <t>Soja</t>
        </is>
      </c>
      <c r="B3934" s="6" t="inlineStr">
        <is>
          <t>Itacoatiara - AM</t>
        </is>
      </c>
      <c r="C3934" s="6" t="n">
        <v>-3.13861</v>
      </c>
      <c r="D3934" s="6" t="n">
        <v>-58.4449</v>
      </c>
      <c r="E3934" s="6" t="inlineStr">
        <is>
          <t>2023-09</t>
        </is>
      </c>
      <c r="F3934" s="6" t="n"/>
      <c r="G3934" s="6" t="inlineStr">
        <is>
          <t>EXPORTACAO</t>
        </is>
      </c>
      <c r="H3934" s="6" t="inlineStr">
        <is>
          <t>AUTO_OFERTA_TOTAL_PRODUTO_PERIODO</t>
        </is>
      </c>
      <c r="I3934" s="11">
        <f>IF($H3934="AUTO_OFERTA_TOTAL_PRODUTO_PERIODO",SUMIFS(Oferta!$F:$F,Oferta!$A:$A,$A3934,Oferta!$E:$E,$E3934),$F3934)</f>
        <v/>
      </c>
      <c r="J3934" s="6" t="inlineStr">
        <is>
          <t>Derivado_da_Oferta</t>
        </is>
      </c>
      <c r="K3934" s="6" t="inlineStr">
        <is>
          <t>Mercado externo: limite superior calculado automaticamente pela soma da oferta do produto no período.</t>
        </is>
      </c>
    </row>
    <row r="3935">
      <c r="A3935" s="6" t="inlineStr">
        <is>
          <t>Soja</t>
        </is>
      </c>
      <c r="B3935" s="6" t="inlineStr">
        <is>
          <t>Itacoatiara - AM</t>
        </is>
      </c>
      <c r="C3935" s="6" t="n">
        <v>-3.13861</v>
      </c>
      <c r="D3935" s="6" t="n">
        <v>-58.4449</v>
      </c>
      <c r="E3935" s="6" t="inlineStr">
        <is>
          <t>2023-10</t>
        </is>
      </c>
      <c r="F3935" s="6" t="n"/>
      <c r="G3935" s="6" t="inlineStr">
        <is>
          <t>EXPORTACAO</t>
        </is>
      </c>
      <c r="H3935" s="6" t="inlineStr">
        <is>
          <t>AUTO_OFERTA_TOTAL_PRODUTO_PERIODO</t>
        </is>
      </c>
      <c r="I3935" s="11">
        <f>IF($H3935="AUTO_OFERTA_TOTAL_PRODUTO_PERIODO",SUMIFS(Oferta!$F:$F,Oferta!$A:$A,$A3935,Oferta!$E:$E,$E3935),$F3935)</f>
        <v/>
      </c>
      <c r="J3935" s="6" t="inlineStr">
        <is>
          <t>Derivado_da_Oferta</t>
        </is>
      </c>
      <c r="K3935" s="6" t="inlineStr">
        <is>
          <t>Mercado externo: limite superior calculado automaticamente pela soma da oferta do produto no período.</t>
        </is>
      </c>
    </row>
    <row r="3936">
      <c r="A3936" s="6" t="inlineStr">
        <is>
          <t>Soja</t>
        </is>
      </c>
      <c r="B3936" s="6" t="inlineStr">
        <is>
          <t>Itacoatiara - AM</t>
        </is>
      </c>
      <c r="C3936" s="6" t="n">
        <v>-3.13861</v>
      </c>
      <c r="D3936" s="6" t="n">
        <v>-58.4449</v>
      </c>
      <c r="E3936" s="6" t="inlineStr">
        <is>
          <t>2023-11</t>
        </is>
      </c>
      <c r="F3936" s="6" t="n"/>
      <c r="G3936" s="6" t="inlineStr">
        <is>
          <t>EXPORTACAO</t>
        </is>
      </c>
      <c r="H3936" s="6" t="inlineStr">
        <is>
          <t>AUTO_OFERTA_TOTAL_PRODUTO_PERIODO</t>
        </is>
      </c>
      <c r="I3936" s="11">
        <f>IF($H3936="AUTO_OFERTA_TOTAL_PRODUTO_PERIODO",SUMIFS(Oferta!$F:$F,Oferta!$A:$A,$A3936,Oferta!$E:$E,$E3936),$F3936)</f>
        <v/>
      </c>
      <c r="J3936" s="6" t="inlineStr">
        <is>
          <t>Derivado_da_Oferta</t>
        </is>
      </c>
      <c r="K3936" s="6" t="inlineStr">
        <is>
          <t>Mercado externo: limite superior calculado automaticamente pela soma da oferta do produto no período.</t>
        </is>
      </c>
    </row>
    <row r="3937">
      <c r="A3937" s="6" t="inlineStr">
        <is>
          <t>Soja</t>
        </is>
      </c>
      <c r="B3937" s="6" t="inlineStr">
        <is>
          <t>Itacoatiara - AM</t>
        </is>
      </c>
      <c r="C3937" s="6" t="n">
        <v>-3.13861</v>
      </c>
      <c r="D3937" s="6" t="n">
        <v>-58.4449</v>
      </c>
      <c r="E3937" s="6" t="inlineStr">
        <is>
          <t>2023-12</t>
        </is>
      </c>
      <c r="F3937" s="6" t="n"/>
      <c r="G3937" s="6" t="inlineStr">
        <is>
          <t>EXPORTACAO</t>
        </is>
      </c>
      <c r="H3937" s="6" t="inlineStr">
        <is>
          <t>AUTO_OFERTA_TOTAL_PRODUTO_PERIODO</t>
        </is>
      </c>
      <c r="I3937" s="11">
        <f>IF($H3937="AUTO_OFERTA_TOTAL_PRODUTO_PERIODO",SUMIFS(Oferta!$F:$F,Oferta!$A:$A,$A3937,Oferta!$E:$E,$E3937),$F3937)</f>
        <v/>
      </c>
      <c r="J3937" s="6" t="inlineStr">
        <is>
          <t>Derivado_da_Oferta</t>
        </is>
      </c>
      <c r="K3937" s="6" t="inlineStr">
        <is>
          <t>Mercado externo: limite superior calculado automaticamente pela soma da oferta do produto no período.</t>
        </is>
      </c>
    </row>
    <row r="3938">
      <c r="A3938" s="6" t="inlineStr">
        <is>
          <t>Soja</t>
        </is>
      </c>
      <c r="B3938" s="6" t="inlineStr">
        <is>
          <t>Itacoatiara - AM</t>
        </is>
      </c>
      <c r="C3938" s="6" t="n">
        <v>-3.13861</v>
      </c>
      <c r="D3938" s="6" t="n">
        <v>-58.4449</v>
      </c>
      <c r="E3938" s="6" t="inlineStr">
        <is>
          <t>2024-01</t>
        </is>
      </c>
      <c r="F3938" s="6" t="n"/>
      <c r="G3938" s="6" t="inlineStr">
        <is>
          <t>EXPORTACAO</t>
        </is>
      </c>
      <c r="H3938" s="6" t="inlineStr">
        <is>
          <t>AUTO_OFERTA_TOTAL_PRODUTO_PERIODO</t>
        </is>
      </c>
      <c r="I3938" s="11">
        <f>IF($H3938="AUTO_OFERTA_TOTAL_PRODUTO_PERIODO",SUMIFS(Oferta!$F:$F,Oferta!$A:$A,$A3938,Oferta!$E:$E,$E3938),$F3938)</f>
        <v/>
      </c>
      <c r="J3938" s="6" t="inlineStr">
        <is>
          <t>Derivado_da_Oferta</t>
        </is>
      </c>
      <c r="K3938" s="6" t="inlineStr">
        <is>
          <t>Mercado externo: limite superior calculado automaticamente pela soma da oferta do produto no período.</t>
        </is>
      </c>
    </row>
    <row r="3939">
      <c r="A3939" s="6" t="inlineStr">
        <is>
          <t>Soja</t>
        </is>
      </c>
      <c r="B3939" s="6" t="inlineStr">
        <is>
          <t>Itacoatiara - AM</t>
        </is>
      </c>
      <c r="C3939" s="6" t="n">
        <v>-3.13861</v>
      </c>
      <c r="D3939" s="6" t="n">
        <v>-58.4449</v>
      </c>
      <c r="E3939" s="6" t="inlineStr">
        <is>
          <t>2024-02</t>
        </is>
      </c>
      <c r="F3939" s="6" t="n"/>
      <c r="G3939" s="6" t="inlineStr">
        <is>
          <t>EXPORTACAO</t>
        </is>
      </c>
      <c r="H3939" s="6" t="inlineStr">
        <is>
          <t>AUTO_OFERTA_TOTAL_PRODUTO_PERIODO</t>
        </is>
      </c>
      <c r="I3939" s="11">
        <f>IF($H3939="AUTO_OFERTA_TOTAL_PRODUTO_PERIODO",SUMIFS(Oferta!$F:$F,Oferta!$A:$A,$A3939,Oferta!$E:$E,$E3939),$F3939)</f>
        <v/>
      </c>
      <c r="J3939" s="6" t="inlineStr">
        <is>
          <t>Derivado_da_Oferta</t>
        </is>
      </c>
      <c r="K3939" s="6" t="inlineStr">
        <is>
          <t>Mercado externo: limite superior calculado automaticamente pela soma da oferta do produto no período.</t>
        </is>
      </c>
    </row>
    <row r="3940">
      <c r="A3940" s="6" t="inlineStr">
        <is>
          <t>Soja</t>
        </is>
      </c>
      <c r="B3940" s="6" t="inlineStr">
        <is>
          <t>Itacoatiara - AM</t>
        </is>
      </c>
      <c r="C3940" s="6" t="n">
        <v>-3.13861</v>
      </c>
      <c r="D3940" s="6" t="n">
        <v>-58.4449</v>
      </c>
      <c r="E3940" s="6" t="inlineStr">
        <is>
          <t>2024-03</t>
        </is>
      </c>
      <c r="F3940" s="6" t="n"/>
      <c r="G3940" s="6" t="inlineStr">
        <is>
          <t>EXPORTACAO</t>
        </is>
      </c>
      <c r="H3940" s="6" t="inlineStr">
        <is>
          <t>AUTO_OFERTA_TOTAL_PRODUTO_PERIODO</t>
        </is>
      </c>
      <c r="I3940" s="11">
        <f>IF($H3940="AUTO_OFERTA_TOTAL_PRODUTO_PERIODO",SUMIFS(Oferta!$F:$F,Oferta!$A:$A,$A3940,Oferta!$E:$E,$E3940),$F3940)</f>
        <v/>
      </c>
      <c r="J3940" s="6" t="inlineStr">
        <is>
          <t>Derivado_da_Oferta</t>
        </is>
      </c>
      <c r="K3940" s="6" t="inlineStr">
        <is>
          <t>Mercado externo: limite superior calculado automaticamente pela soma da oferta do produto no período.</t>
        </is>
      </c>
    </row>
    <row r="3941">
      <c r="A3941" s="6" t="inlineStr">
        <is>
          <t>Soja</t>
        </is>
      </c>
      <c r="B3941" s="6" t="inlineStr">
        <is>
          <t>Itacoatiara - AM</t>
        </is>
      </c>
      <c r="C3941" s="6" t="n">
        <v>-3.13861</v>
      </c>
      <c r="D3941" s="6" t="n">
        <v>-58.4449</v>
      </c>
      <c r="E3941" s="6" t="inlineStr">
        <is>
          <t>2024-04</t>
        </is>
      </c>
      <c r="F3941" s="6" t="n"/>
      <c r="G3941" s="6" t="inlineStr">
        <is>
          <t>EXPORTACAO</t>
        </is>
      </c>
      <c r="H3941" s="6" t="inlineStr">
        <is>
          <t>AUTO_OFERTA_TOTAL_PRODUTO_PERIODO</t>
        </is>
      </c>
      <c r="I3941" s="11">
        <f>IF($H3941="AUTO_OFERTA_TOTAL_PRODUTO_PERIODO",SUMIFS(Oferta!$F:$F,Oferta!$A:$A,$A3941,Oferta!$E:$E,$E3941),$F3941)</f>
        <v/>
      </c>
      <c r="J3941" s="6" t="inlineStr">
        <is>
          <t>Derivado_da_Oferta</t>
        </is>
      </c>
      <c r="K3941" s="6" t="inlineStr">
        <is>
          <t>Mercado externo: limite superior calculado automaticamente pela soma da oferta do produto no período.</t>
        </is>
      </c>
    </row>
    <row r="3942">
      <c r="A3942" s="6" t="inlineStr">
        <is>
          <t>Soja</t>
        </is>
      </c>
      <c r="B3942" s="6" t="inlineStr">
        <is>
          <t>Itacoatiara - AM</t>
        </is>
      </c>
      <c r="C3942" s="6" t="n">
        <v>-3.13861</v>
      </c>
      <c r="D3942" s="6" t="n">
        <v>-58.4449</v>
      </c>
      <c r="E3942" s="6" t="inlineStr">
        <is>
          <t>2024-05</t>
        </is>
      </c>
      <c r="F3942" s="6" t="n"/>
      <c r="G3942" s="6" t="inlineStr">
        <is>
          <t>EXPORTACAO</t>
        </is>
      </c>
      <c r="H3942" s="6" t="inlineStr">
        <is>
          <t>AUTO_OFERTA_TOTAL_PRODUTO_PERIODO</t>
        </is>
      </c>
      <c r="I3942" s="11">
        <f>IF($H3942="AUTO_OFERTA_TOTAL_PRODUTO_PERIODO",SUMIFS(Oferta!$F:$F,Oferta!$A:$A,$A3942,Oferta!$E:$E,$E3942),$F3942)</f>
        <v/>
      </c>
      <c r="J3942" s="6" t="inlineStr">
        <is>
          <t>Derivado_da_Oferta</t>
        </is>
      </c>
      <c r="K3942" s="6" t="inlineStr">
        <is>
          <t>Mercado externo: limite superior calculado automaticamente pela soma da oferta do produto no período.</t>
        </is>
      </c>
    </row>
    <row r="3943">
      <c r="A3943" s="6" t="inlineStr">
        <is>
          <t>Soja</t>
        </is>
      </c>
      <c r="B3943" s="6" t="inlineStr">
        <is>
          <t>Itacoatiara - AM</t>
        </is>
      </c>
      <c r="C3943" s="6" t="n">
        <v>-3.13861</v>
      </c>
      <c r="D3943" s="6" t="n">
        <v>-58.4449</v>
      </c>
      <c r="E3943" s="6" t="inlineStr">
        <is>
          <t>2024-06</t>
        </is>
      </c>
      <c r="F3943" s="6" t="n"/>
      <c r="G3943" s="6" t="inlineStr">
        <is>
          <t>EXPORTACAO</t>
        </is>
      </c>
      <c r="H3943" s="6" t="inlineStr">
        <is>
          <t>AUTO_OFERTA_TOTAL_PRODUTO_PERIODO</t>
        </is>
      </c>
      <c r="I3943" s="11">
        <f>IF($H3943="AUTO_OFERTA_TOTAL_PRODUTO_PERIODO",SUMIFS(Oferta!$F:$F,Oferta!$A:$A,$A3943,Oferta!$E:$E,$E3943),$F3943)</f>
        <v/>
      </c>
      <c r="J3943" s="6" t="inlineStr">
        <is>
          <t>Derivado_da_Oferta</t>
        </is>
      </c>
      <c r="K3943" s="6" t="inlineStr">
        <is>
          <t>Mercado externo: limite superior calculado automaticamente pela soma da oferta do produto no período.</t>
        </is>
      </c>
    </row>
    <row r="3944">
      <c r="A3944" s="6" t="inlineStr">
        <is>
          <t>Soja</t>
        </is>
      </c>
      <c r="B3944" s="6" t="inlineStr">
        <is>
          <t>Itacoatiara - AM</t>
        </is>
      </c>
      <c r="C3944" s="6" t="n">
        <v>-3.13861</v>
      </c>
      <c r="D3944" s="6" t="n">
        <v>-58.4449</v>
      </c>
      <c r="E3944" s="6" t="inlineStr">
        <is>
          <t>2024-07</t>
        </is>
      </c>
      <c r="F3944" s="6" t="n"/>
      <c r="G3944" s="6" t="inlineStr">
        <is>
          <t>EXPORTACAO</t>
        </is>
      </c>
      <c r="H3944" s="6" t="inlineStr">
        <is>
          <t>AUTO_OFERTA_TOTAL_PRODUTO_PERIODO</t>
        </is>
      </c>
      <c r="I3944" s="11">
        <f>IF($H3944="AUTO_OFERTA_TOTAL_PRODUTO_PERIODO",SUMIFS(Oferta!$F:$F,Oferta!$A:$A,$A3944,Oferta!$E:$E,$E3944),$F3944)</f>
        <v/>
      </c>
      <c r="J3944" s="6" t="inlineStr">
        <is>
          <t>Derivado_da_Oferta</t>
        </is>
      </c>
      <c r="K3944" s="6" t="inlineStr">
        <is>
          <t>Mercado externo: limite superior calculado automaticamente pela soma da oferta do produto no período.</t>
        </is>
      </c>
    </row>
    <row r="3945">
      <c r="A3945" s="6" t="inlineStr">
        <is>
          <t>Soja</t>
        </is>
      </c>
      <c r="B3945" s="6" t="inlineStr">
        <is>
          <t>Itacoatiara - AM</t>
        </is>
      </c>
      <c r="C3945" s="6" t="n">
        <v>-3.13861</v>
      </c>
      <c r="D3945" s="6" t="n">
        <v>-58.4449</v>
      </c>
      <c r="E3945" s="6" t="inlineStr">
        <is>
          <t>2024-08</t>
        </is>
      </c>
      <c r="F3945" s="6" t="n"/>
      <c r="G3945" s="6" t="inlineStr">
        <is>
          <t>EXPORTACAO</t>
        </is>
      </c>
      <c r="H3945" s="6" t="inlineStr">
        <is>
          <t>AUTO_OFERTA_TOTAL_PRODUTO_PERIODO</t>
        </is>
      </c>
      <c r="I3945" s="11">
        <f>IF($H3945="AUTO_OFERTA_TOTAL_PRODUTO_PERIODO",SUMIFS(Oferta!$F:$F,Oferta!$A:$A,$A3945,Oferta!$E:$E,$E3945),$F3945)</f>
        <v/>
      </c>
      <c r="J3945" s="6" t="inlineStr">
        <is>
          <t>Derivado_da_Oferta</t>
        </is>
      </c>
      <c r="K3945" s="6" t="inlineStr">
        <is>
          <t>Mercado externo: limite superior calculado automaticamente pela soma da oferta do produto no período.</t>
        </is>
      </c>
    </row>
    <row r="3946">
      <c r="A3946" s="6" t="inlineStr">
        <is>
          <t>Soja</t>
        </is>
      </c>
      <c r="B3946" s="6" t="inlineStr">
        <is>
          <t>Itacoatiara - AM</t>
        </is>
      </c>
      <c r="C3946" s="6" t="n">
        <v>-3.13861</v>
      </c>
      <c r="D3946" s="6" t="n">
        <v>-58.4449</v>
      </c>
      <c r="E3946" s="6" t="inlineStr">
        <is>
          <t>2024-09</t>
        </is>
      </c>
      <c r="F3946" s="6" t="n"/>
      <c r="G3946" s="6" t="inlineStr">
        <is>
          <t>EXPORTACAO</t>
        </is>
      </c>
      <c r="H3946" s="6" t="inlineStr">
        <is>
          <t>AUTO_OFERTA_TOTAL_PRODUTO_PERIODO</t>
        </is>
      </c>
      <c r="I3946" s="11">
        <f>IF($H3946="AUTO_OFERTA_TOTAL_PRODUTO_PERIODO",SUMIFS(Oferta!$F:$F,Oferta!$A:$A,$A3946,Oferta!$E:$E,$E3946),$F3946)</f>
        <v/>
      </c>
      <c r="J3946" s="6" t="inlineStr">
        <is>
          <t>Derivado_da_Oferta</t>
        </is>
      </c>
      <c r="K3946" s="6" t="inlineStr">
        <is>
          <t>Mercado externo: limite superior calculado automaticamente pela soma da oferta do produto no período.</t>
        </is>
      </c>
    </row>
    <row r="3947">
      <c r="A3947" s="6" t="inlineStr">
        <is>
          <t>Soja</t>
        </is>
      </c>
      <c r="B3947" s="6" t="inlineStr">
        <is>
          <t>Itacoatiara - AM</t>
        </is>
      </c>
      <c r="C3947" s="6" t="n">
        <v>-3.13861</v>
      </c>
      <c r="D3947" s="6" t="n">
        <v>-58.4449</v>
      </c>
      <c r="E3947" s="6" t="inlineStr">
        <is>
          <t>2024-10</t>
        </is>
      </c>
      <c r="F3947" s="6" t="n"/>
      <c r="G3947" s="6" t="inlineStr">
        <is>
          <t>EXPORTACAO</t>
        </is>
      </c>
      <c r="H3947" s="6" t="inlineStr">
        <is>
          <t>AUTO_OFERTA_TOTAL_PRODUTO_PERIODO</t>
        </is>
      </c>
      <c r="I3947" s="11">
        <f>IF($H3947="AUTO_OFERTA_TOTAL_PRODUTO_PERIODO",SUMIFS(Oferta!$F:$F,Oferta!$A:$A,$A3947,Oferta!$E:$E,$E3947),$F3947)</f>
        <v/>
      </c>
      <c r="J3947" s="6" t="inlineStr">
        <is>
          <t>Derivado_da_Oferta</t>
        </is>
      </c>
      <c r="K3947" s="6" t="inlineStr">
        <is>
          <t>Mercado externo: limite superior calculado automaticamente pela soma da oferta do produto no período.</t>
        </is>
      </c>
    </row>
    <row r="3948">
      <c r="A3948" s="6" t="inlineStr">
        <is>
          <t>Soja</t>
        </is>
      </c>
      <c r="B3948" s="6" t="inlineStr">
        <is>
          <t>Itacoatiara - AM</t>
        </is>
      </c>
      <c r="C3948" s="6" t="n">
        <v>-3.13861</v>
      </c>
      <c r="D3948" s="6" t="n">
        <v>-58.4449</v>
      </c>
      <c r="E3948" s="6" t="inlineStr">
        <is>
          <t>2024-11</t>
        </is>
      </c>
      <c r="F3948" s="6" t="n"/>
      <c r="G3948" s="6" t="inlineStr">
        <is>
          <t>EXPORTACAO</t>
        </is>
      </c>
      <c r="H3948" s="6" t="inlineStr">
        <is>
          <t>AUTO_OFERTA_TOTAL_PRODUTO_PERIODO</t>
        </is>
      </c>
      <c r="I3948" s="11">
        <f>IF($H3948="AUTO_OFERTA_TOTAL_PRODUTO_PERIODO",SUMIFS(Oferta!$F:$F,Oferta!$A:$A,$A3948,Oferta!$E:$E,$E3948),$F3948)</f>
        <v/>
      </c>
      <c r="J3948" s="6" t="inlineStr">
        <is>
          <t>Derivado_da_Oferta</t>
        </is>
      </c>
      <c r="K3948" s="6" t="inlineStr">
        <is>
          <t>Mercado externo: limite superior calculado automaticamente pela soma da oferta do produto no período.</t>
        </is>
      </c>
    </row>
    <row r="3949">
      <c r="A3949" s="6" t="inlineStr">
        <is>
          <t>Soja</t>
        </is>
      </c>
      <c r="B3949" s="6" t="inlineStr">
        <is>
          <t>Itacoatiara - AM</t>
        </is>
      </c>
      <c r="C3949" s="6" t="n">
        <v>-3.13861</v>
      </c>
      <c r="D3949" s="6" t="n">
        <v>-58.4449</v>
      </c>
      <c r="E3949" s="6" t="inlineStr">
        <is>
          <t>2024-12</t>
        </is>
      </c>
      <c r="F3949" s="6" t="n"/>
      <c r="G3949" s="6" t="inlineStr">
        <is>
          <t>EXPORTACAO</t>
        </is>
      </c>
      <c r="H3949" s="6" t="inlineStr">
        <is>
          <t>AUTO_OFERTA_TOTAL_PRODUTO_PERIODO</t>
        </is>
      </c>
      <c r="I3949" s="11">
        <f>IF($H3949="AUTO_OFERTA_TOTAL_PRODUTO_PERIODO",SUMIFS(Oferta!$F:$F,Oferta!$A:$A,$A3949,Oferta!$E:$E,$E3949),$F3949)</f>
        <v/>
      </c>
      <c r="J3949" s="6" t="inlineStr">
        <is>
          <t>Derivado_da_Oferta</t>
        </is>
      </c>
      <c r="K3949" s="6" t="inlineStr">
        <is>
          <t>Mercado externo: limite superior calculado automaticamente pela soma da oferta do produto no período.</t>
        </is>
      </c>
    </row>
    <row r="3950">
      <c r="A3950" s="6" t="inlineStr">
        <is>
          <t>Soja</t>
        </is>
      </c>
      <c r="B3950" s="6" t="inlineStr">
        <is>
          <t>Itacoatiara - AM</t>
        </is>
      </c>
      <c r="C3950" s="6" t="n">
        <v>-3.13861</v>
      </c>
      <c r="D3950" s="6" t="n">
        <v>-58.4449</v>
      </c>
      <c r="E3950" s="6" t="inlineStr">
        <is>
          <t>2025-01</t>
        </is>
      </c>
      <c r="F3950" s="6" t="n"/>
      <c r="G3950" s="6" t="inlineStr">
        <is>
          <t>EXPORTACAO</t>
        </is>
      </c>
      <c r="H3950" s="6" t="inlineStr">
        <is>
          <t>AUTO_OFERTA_TOTAL_PRODUTO_PERIODO</t>
        </is>
      </c>
      <c r="I3950" s="11">
        <f>IF($H3950="AUTO_OFERTA_TOTAL_PRODUTO_PERIODO",SUMIFS(Oferta!$F:$F,Oferta!$A:$A,$A3950,Oferta!$E:$E,$E3950),$F3950)</f>
        <v/>
      </c>
      <c r="J3950" s="6" t="inlineStr">
        <is>
          <t>Derivado_da_Oferta</t>
        </is>
      </c>
      <c r="K3950" s="6" t="inlineStr">
        <is>
          <t>Mercado externo: limite superior calculado automaticamente pela soma da oferta do produto no período.</t>
        </is>
      </c>
    </row>
    <row r="3951">
      <c r="A3951" s="6" t="inlineStr">
        <is>
          <t>Soja</t>
        </is>
      </c>
      <c r="B3951" s="6" t="inlineStr">
        <is>
          <t>Itacoatiara - AM</t>
        </is>
      </c>
      <c r="C3951" s="6" t="n">
        <v>-3.13861</v>
      </c>
      <c r="D3951" s="6" t="n">
        <v>-58.4449</v>
      </c>
      <c r="E3951" s="6" t="inlineStr">
        <is>
          <t>2025-02</t>
        </is>
      </c>
      <c r="F3951" s="6" t="n"/>
      <c r="G3951" s="6" t="inlineStr">
        <is>
          <t>EXPORTACAO</t>
        </is>
      </c>
      <c r="H3951" s="6" t="inlineStr">
        <is>
          <t>AUTO_OFERTA_TOTAL_PRODUTO_PERIODO</t>
        </is>
      </c>
      <c r="I3951" s="11">
        <f>IF($H3951="AUTO_OFERTA_TOTAL_PRODUTO_PERIODO",SUMIFS(Oferta!$F:$F,Oferta!$A:$A,$A3951,Oferta!$E:$E,$E3951),$F3951)</f>
        <v/>
      </c>
      <c r="J3951" s="6" t="inlineStr">
        <is>
          <t>Derivado_da_Oferta</t>
        </is>
      </c>
      <c r="K3951" s="6" t="inlineStr">
        <is>
          <t>Mercado externo: limite superior calculado automaticamente pela soma da oferta do produto no período.</t>
        </is>
      </c>
    </row>
    <row r="3952">
      <c r="A3952" s="6" t="inlineStr">
        <is>
          <t>Soja</t>
        </is>
      </c>
      <c r="B3952" s="6" t="inlineStr">
        <is>
          <t>Itacoatiara - AM</t>
        </is>
      </c>
      <c r="C3952" s="6" t="n">
        <v>-3.13861</v>
      </c>
      <c r="D3952" s="6" t="n">
        <v>-58.4449</v>
      </c>
      <c r="E3952" s="6" t="inlineStr">
        <is>
          <t>2025-03</t>
        </is>
      </c>
      <c r="F3952" s="6" t="n"/>
      <c r="G3952" s="6" t="inlineStr">
        <is>
          <t>EXPORTACAO</t>
        </is>
      </c>
      <c r="H3952" s="6" t="inlineStr">
        <is>
          <t>AUTO_OFERTA_TOTAL_PRODUTO_PERIODO</t>
        </is>
      </c>
      <c r="I3952" s="11">
        <f>IF($H3952="AUTO_OFERTA_TOTAL_PRODUTO_PERIODO",SUMIFS(Oferta!$F:$F,Oferta!$A:$A,$A3952,Oferta!$E:$E,$E3952),$F3952)</f>
        <v/>
      </c>
      <c r="J3952" s="6" t="inlineStr">
        <is>
          <t>Derivado_da_Oferta</t>
        </is>
      </c>
      <c r="K3952" s="6" t="inlineStr">
        <is>
          <t>Mercado externo: limite superior calculado automaticamente pela soma da oferta do produto no período.</t>
        </is>
      </c>
    </row>
    <row r="3953">
      <c r="A3953" s="6" t="inlineStr">
        <is>
          <t>Soja</t>
        </is>
      </c>
      <c r="B3953" s="6" t="inlineStr">
        <is>
          <t>Itacoatiara - AM</t>
        </is>
      </c>
      <c r="C3953" s="6" t="n">
        <v>-3.13861</v>
      </c>
      <c r="D3953" s="6" t="n">
        <v>-58.4449</v>
      </c>
      <c r="E3953" s="6" t="inlineStr">
        <is>
          <t>2025-04</t>
        </is>
      </c>
      <c r="F3953" s="6" t="n"/>
      <c r="G3953" s="6" t="inlineStr">
        <is>
          <t>EXPORTACAO</t>
        </is>
      </c>
      <c r="H3953" s="6" t="inlineStr">
        <is>
          <t>AUTO_OFERTA_TOTAL_PRODUTO_PERIODO</t>
        </is>
      </c>
      <c r="I3953" s="11">
        <f>IF($H3953="AUTO_OFERTA_TOTAL_PRODUTO_PERIODO",SUMIFS(Oferta!$F:$F,Oferta!$A:$A,$A3953,Oferta!$E:$E,$E3953),$F3953)</f>
        <v/>
      </c>
      <c r="J3953" s="6" t="inlineStr">
        <is>
          <t>Derivado_da_Oferta</t>
        </is>
      </c>
      <c r="K3953" s="6" t="inlineStr">
        <is>
          <t>Mercado externo: limite superior calculado automaticamente pela soma da oferta do produto no período.</t>
        </is>
      </c>
    </row>
    <row r="3954">
      <c r="A3954" s="6" t="inlineStr">
        <is>
          <t>Soja</t>
        </is>
      </c>
      <c r="B3954" s="6" t="inlineStr">
        <is>
          <t>Itacoatiara - AM</t>
        </is>
      </c>
      <c r="C3954" s="6" t="n">
        <v>-3.13861</v>
      </c>
      <c r="D3954" s="6" t="n">
        <v>-58.4449</v>
      </c>
      <c r="E3954" s="6" t="inlineStr">
        <is>
          <t>2025-05</t>
        </is>
      </c>
      <c r="F3954" s="6" t="n"/>
      <c r="G3954" s="6" t="inlineStr">
        <is>
          <t>EXPORTACAO</t>
        </is>
      </c>
      <c r="H3954" s="6" t="inlineStr">
        <is>
          <t>AUTO_OFERTA_TOTAL_PRODUTO_PERIODO</t>
        </is>
      </c>
      <c r="I3954" s="11">
        <f>IF($H3954="AUTO_OFERTA_TOTAL_PRODUTO_PERIODO",SUMIFS(Oferta!$F:$F,Oferta!$A:$A,$A3954,Oferta!$E:$E,$E3954),$F3954)</f>
        <v/>
      </c>
      <c r="J3954" s="6" t="inlineStr">
        <is>
          <t>Derivado_da_Oferta</t>
        </is>
      </c>
      <c r="K3954" s="6" t="inlineStr">
        <is>
          <t>Mercado externo: limite superior calculado automaticamente pela soma da oferta do produto no período.</t>
        </is>
      </c>
    </row>
    <row r="3955">
      <c r="A3955" s="6" t="inlineStr">
        <is>
          <t>Soja</t>
        </is>
      </c>
      <c r="B3955" s="6" t="inlineStr">
        <is>
          <t>Itacoatiara - AM</t>
        </is>
      </c>
      <c r="C3955" s="6" t="n">
        <v>-3.13861</v>
      </c>
      <c r="D3955" s="6" t="n">
        <v>-58.4449</v>
      </c>
      <c r="E3955" s="6" t="inlineStr">
        <is>
          <t>2025-06</t>
        </is>
      </c>
      <c r="F3955" s="6" t="n"/>
      <c r="G3955" s="6" t="inlineStr">
        <is>
          <t>EXPORTACAO</t>
        </is>
      </c>
      <c r="H3955" s="6" t="inlineStr">
        <is>
          <t>AUTO_OFERTA_TOTAL_PRODUTO_PERIODO</t>
        </is>
      </c>
      <c r="I3955" s="11">
        <f>IF($H3955="AUTO_OFERTA_TOTAL_PRODUTO_PERIODO",SUMIFS(Oferta!$F:$F,Oferta!$A:$A,$A3955,Oferta!$E:$E,$E3955),$F3955)</f>
        <v/>
      </c>
      <c r="J3955" s="6" t="inlineStr">
        <is>
          <t>Derivado_da_Oferta</t>
        </is>
      </c>
      <c r="K3955" s="6" t="inlineStr">
        <is>
          <t>Mercado externo: limite superior calculado automaticamente pela soma da oferta do produto no período.</t>
        </is>
      </c>
    </row>
    <row r="3956">
      <c r="A3956" s="6" t="inlineStr">
        <is>
          <t>Soja</t>
        </is>
      </c>
      <c r="B3956" s="6" t="inlineStr">
        <is>
          <t>Itacoatiara - AM</t>
        </is>
      </c>
      <c r="C3956" s="6" t="n">
        <v>-3.13861</v>
      </c>
      <c r="D3956" s="6" t="n">
        <v>-58.4449</v>
      </c>
      <c r="E3956" s="6" t="inlineStr">
        <is>
          <t>2025-07</t>
        </is>
      </c>
      <c r="F3956" s="6" t="n"/>
      <c r="G3956" s="6" t="inlineStr">
        <is>
          <t>EXPORTACAO</t>
        </is>
      </c>
      <c r="H3956" s="6" t="inlineStr">
        <is>
          <t>AUTO_OFERTA_TOTAL_PRODUTO_PERIODO</t>
        </is>
      </c>
      <c r="I3956" s="11">
        <f>IF($H3956="AUTO_OFERTA_TOTAL_PRODUTO_PERIODO",SUMIFS(Oferta!$F:$F,Oferta!$A:$A,$A3956,Oferta!$E:$E,$E3956),$F3956)</f>
        <v/>
      </c>
      <c r="J3956" s="6" t="inlineStr">
        <is>
          <t>Derivado_da_Oferta</t>
        </is>
      </c>
      <c r="K3956" s="6" t="inlineStr">
        <is>
          <t>Mercado externo: limite superior calculado automaticamente pela soma da oferta do produto no período.</t>
        </is>
      </c>
    </row>
    <row r="3957">
      <c r="A3957" s="6" t="inlineStr">
        <is>
          <t>Soja</t>
        </is>
      </c>
      <c r="B3957" s="6" t="inlineStr">
        <is>
          <t>Itacoatiara - AM</t>
        </is>
      </c>
      <c r="C3957" s="6" t="n">
        <v>-3.13861</v>
      </c>
      <c r="D3957" s="6" t="n">
        <v>-58.4449</v>
      </c>
      <c r="E3957" s="6" t="inlineStr">
        <is>
          <t>2025-08</t>
        </is>
      </c>
      <c r="F3957" s="6" t="n"/>
      <c r="G3957" s="6" t="inlineStr">
        <is>
          <t>EXPORTACAO</t>
        </is>
      </c>
      <c r="H3957" s="6" t="inlineStr">
        <is>
          <t>AUTO_OFERTA_TOTAL_PRODUTO_PERIODO</t>
        </is>
      </c>
      <c r="I3957" s="11">
        <f>IF($H3957="AUTO_OFERTA_TOTAL_PRODUTO_PERIODO",SUMIFS(Oferta!$F:$F,Oferta!$A:$A,$A3957,Oferta!$E:$E,$E3957),$F3957)</f>
        <v/>
      </c>
      <c r="J3957" s="6" t="inlineStr">
        <is>
          <t>Derivado_da_Oferta</t>
        </is>
      </c>
      <c r="K3957" s="6" t="inlineStr">
        <is>
          <t>Mercado externo: limite superior calculado automaticamente pela soma da oferta do produto no período.</t>
        </is>
      </c>
    </row>
    <row r="3958">
      <c r="A3958" s="6" t="inlineStr">
        <is>
          <t>Soja</t>
        </is>
      </c>
      <c r="B3958" s="6" t="inlineStr">
        <is>
          <t>Itacoatiara - AM</t>
        </is>
      </c>
      <c r="C3958" s="6" t="n">
        <v>-3.13861</v>
      </c>
      <c r="D3958" s="6" t="n">
        <v>-58.4449</v>
      </c>
      <c r="E3958" s="6" t="inlineStr">
        <is>
          <t>2025-09</t>
        </is>
      </c>
      <c r="F3958" s="6" t="n"/>
      <c r="G3958" s="6" t="inlineStr">
        <is>
          <t>EXPORTACAO</t>
        </is>
      </c>
      <c r="H3958" s="6" t="inlineStr">
        <is>
          <t>AUTO_OFERTA_TOTAL_PRODUTO_PERIODO</t>
        </is>
      </c>
      <c r="I3958" s="11">
        <f>IF($H3958="AUTO_OFERTA_TOTAL_PRODUTO_PERIODO",SUMIFS(Oferta!$F:$F,Oferta!$A:$A,$A3958,Oferta!$E:$E,$E3958),$F3958)</f>
        <v/>
      </c>
      <c r="J3958" s="6" t="inlineStr">
        <is>
          <t>Derivado_da_Oferta</t>
        </is>
      </c>
      <c r="K3958" s="6" t="inlineStr">
        <is>
          <t>Mercado externo: limite superior calculado automaticamente pela soma da oferta do produto no período.</t>
        </is>
      </c>
    </row>
    <row r="3959">
      <c r="A3959" s="6" t="inlineStr">
        <is>
          <t>Soja</t>
        </is>
      </c>
      <c r="B3959" s="6" t="inlineStr">
        <is>
          <t>Itacoatiara - AM</t>
        </is>
      </c>
      <c r="C3959" s="6" t="n">
        <v>-3.13861</v>
      </c>
      <c r="D3959" s="6" t="n">
        <v>-58.4449</v>
      </c>
      <c r="E3959" s="6" t="inlineStr">
        <is>
          <t>2025-10</t>
        </is>
      </c>
      <c r="F3959" s="6" t="n"/>
      <c r="G3959" s="6" t="inlineStr">
        <is>
          <t>EXPORTACAO</t>
        </is>
      </c>
      <c r="H3959" s="6" t="inlineStr">
        <is>
          <t>AUTO_OFERTA_TOTAL_PRODUTO_PERIODO</t>
        </is>
      </c>
      <c r="I3959" s="11">
        <f>IF($H3959="AUTO_OFERTA_TOTAL_PRODUTO_PERIODO",SUMIFS(Oferta!$F:$F,Oferta!$A:$A,$A3959,Oferta!$E:$E,$E3959),$F3959)</f>
        <v/>
      </c>
      <c r="J3959" s="6" t="inlineStr">
        <is>
          <t>Derivado_da_Oferta</t>
        </is>
      </c>
      <c r="K3959" s="6" t="inlineStr">
        <is>
          <t>Mercado externo: limite superior calculado automaticamente pela soma da oferta do produto no período.</t>
        </is>
      </c>
    </row>
    <row r="3960">
      <c r="A3960" s="6" t="inlineStr">
        <is>
          <t>Soja</t>
        </is>
      </c>
      <c r="B3960" s="6" t="inlineStr">
        <is>
          <t>Itacoatiara - AM</t>
        </is>
      </c>
      <c r="C3960" s="6" t="n">
        <v>-3.13861</v>
      </c>
      <c r="D3960" s="6" t="n">
        <v>-58.4449</v>
      </c>
      <c r="E3960" s="6" t="inlineStr">
        <is>
          <t>2025-11</t>
        </is>
      </c>
      <c r="F3960" s="6" t="n"/>
      <c r="G3960" s="6" t="inlineStr">
        <is>
          <t>EXPORTACAO</t>
        </is>
      </c>
      <c r="H3960" s="6" t="inlineStr">
        <is>
          <t>AUTO_OFERTA_TOTAL_PRODUTO_PERIODO</t>
        </is>
      </c>
      <c r="I3960" s="11">
        <f>IF($H3960="AUTO_OFERTA_TOTAL_PRODUTO_PERIODO",SUMIFS(Oferta!$F:$F,Oferta!$A:$A,$A3960,Oferta!$E:$E,$E3960),$F3960)</f>
        <v/>
      </c>
      <c r="J3960" s="6" t="inlineStr">
        <is>
          <t>Derivado_da_Oferta</t>
        </is>
      </c>
      <c r="K3960" s="6" t="inlineStr">
        <is>
          <t>Mercado externo: limite superior calculado automaticamente pela soma da oferta do produto no período.</t>
        </is>
      </c>
    </row>
    <row r="3961">
      <c r="A3961" s="6" t="inlineStr">
        <is>
          <t>Soja</t>
        </is>
      </c>
      <c r="B3961" s="6" t="inlineStr">
        <is>
          <t>Itacoatiara - AM</t>
        </is>
      </c>
      <c r="C3961" s="6" t="n">
        <v>-3.13861</v>
      </c>
      <c r="D3961" s="6" t="n">
        <v>-58.4449</v>
      </c>
      <c r="E3961" s="6" t="inlineStr">
        <is>
          <t>2025-12</t>
        </is>
      </c>
      <c r="F3961" s="6" t="n"/>
      <c r="G3961" s="6" t="inlineStr">
        <is>
          <t>EXPORTACAO</t>
        </is>
      </c>
      <c r="H3961" s="6" t="inlineStr">
        <is>
          <t>AUTO_OFERTA_TOTAL_PRODUTO_PERIODO</t>
        </is>
      </c>
      <c r="I3961" s="11">
        <f>IF($H3961="AUTO_OFERTA_TOTAL_PRODUTO_PERIODO",SUMIFS(Oferta!$F:$F,Oferta!$A:$A,$A3961,Oferta!$E:$E,$E3961),$F3961)</f>
        <v/>
      </c>
      <c r="J3961" s="6" t="inlineStr">
        <is>
          <t>Derivado_da_Oferta</t>
        </is>
      </c>
      <c r="K3961" s="6" t="inlineStr">
        <is>
          <t>Mercado externo: limite superior calculado automaticamente pela soma da oferta do produto no período.</t>
        </is>
      </c>
    </row>
    <row r="3962">
      <c r="A3962" s="6" t="inlineStr">
        <is>
          <t>Milho</t>
        </is>
      </c>
      <c r="B3962" s="6" t="inlineStr">
        <is>
          <t>São Francisco do Sul - SC</t>
        </is>
      </c>
      <c r="C3962" s="6" t="n">
        <v>-26.2579</v>
      </c>
      <c r="D3962" s="6" t="n">
        <v>-48.6344</v>
      </c>
      <c r="E3962" s="6" t="inlineStr">
        <is>
          <t>2021-01</t>
        </is>
      </c>
      <c r="F3962" s="6" t="n"/>
      <c r="G3962" s="6" t="inlineStr">
        <is>
          <t>EXPORTACAO</t>
        </is>
      </c>
      <c r="H3962" s="6" t="inlineStr">
        <is>
          <t>AUTO_OFERTA_TOTAL_PRODUTO_PERIODO</t>
        </is>
      </c>
      <c r="I3962" s="11">
        <f>IF($H3962="AUTO_OFERTA_TOTAL_PRODUTO_PERIODO",SUMIFS(Oferta!$F:$F,Oferta!$A:$A,$A3962,Oferta!$E:$E,$E3962),$F3962)</f>
        <v/>
      </c>
      <c r="J3962" s="6" t="inlineStr">
        <is>
          <t>Derivado_da_Oferta</t>
        </is>
      </c>
      <c r="K3962" s="6" t="inlineStr">
        <is>
          <t>Mercado externo: limite superior calculado automaticamente pela soma da oferta do produto no período.</t>
        </is>
      </c>
    </row>
    <row r="3963">
      <c r="A3963" s="6" t="inlineStr">
        <is>
          <t>Milho</t>
        </is>
      </c>
      <c r="B3963" s="6" t="inlineStr">
        <is>
          <t>São Francisco do Sul - SC</t>
        </is>
      </c>
      <c r="C3963" s="6" t="n">
        <v>-26.2579</v>
      </c>
      <c r="D3963" s="6" t="n">
        <v>-48.6344</v>
      </c>
      <c r="E3963" s="6" t="inlineStr">
        <is>
          <t>2021-02</t>
        </is>
      </c>
      <c r="F3963" s="6" t="n"/>
      <c r="G3963" s="6" t="inlineStr">
        <is>
          <t>EXPORTACAO</t>
        </is>
      </c>
      <c r="H3963" s="6" t="inlineStr">
        <is>
          <t>AUTO_OFERTA_TOTAL_PRODUTO_PERIODO</t>
        </is>
      </c>
      <c r="I3963" s="11">
        <f>IF($H3963="AUTO_OFERTA_TOTAL_PRODUTO_PERIODO",SUMIFS(Oferta!$F:$F,Oferta!$A:$A,$A3963,Oferta!$E:$E,$E3963),$F3963)</f>
        <v/>
      </c>
      <c r="J3963" s="6" t="inlineStr">
        <is>
          <t>Derivado_da_Oferta</t>
        </is>
      </c>
      <c r="K3963" s="6" t="inlineStr">
        <is>
          <t>Mercado externo: limite superior calculado automaticamente pela soma da oferta do produto no período.</t>
        </is>
      </c>
    </row>
    <row r="3964">
      <c r="A3964" s="6" t="inlineStr">
        <is>
          <t>Milho</t>
        </is>
      </c>
      <c r="B3964" s="6" t="inlineStr">
        <is>
          <t>São Francisco do Sul - SC</t>
        </is>
      </c>
      <c r="C3964" s="6" t="n">
        <v>-26.2579</v>
      </c>
      <c r="D3964" s="6" t="n">
        <v>-48.6344</v>
      </c>
      <c r="E3964" s="6" t="inlineStr">
        <is>
          <t>2021-03</t>
        </is>
      </c>
      <c r="F3964" s="6" t="n"/>
      <c r="G3964" s="6" t="inlineStr">
        <is>
          <t>EXPORTACAO</t>
        </is>
      </c>
      <c r="H3964" s="6" t="inlineStr">
        <is>
          <t>AUTO_OFERTA_TOTAL_PRODUTO_PERIODO</t>
        </is>
      </c>
      <c r="I3964" s="11">
        <f>IF($H3964="AUTO_OFERTA_TOTAL_PRODUTO_PERIODO",SUMIFS(Oferta!$F:$F,Oferta!$A:$A,$A3964,Oferta!$E:$E,$E3964),$F3964)</f>
        <v/>
      </c>
      <c r="J3964" s="6" t="inlineStr">
        <is>
          <t>Derivado_da_Oferta</t>
        </is>
      </c>
      <c r="K3964" s="6" t="inlineStr">
        <is>
          <t>Mercado externo: limite superior calculado automaticamente pela soma da oferta do produto no período.</t>
        </is>
      </c>
    </row>
    <row r="3965">
      <c r="A3965" s="6" t="inlineStr">
        <is>
          <t>Milho</t>
        </is>
      </c>
      <c r="B3965" s="6" t="inlineStr">
        <is>
          <t>São Francisco do Sul - SC</t>
        </is>
      </c>
      <c r="C3965" s="6" t="n">
        <v>-26.2579</v>
      </c>
      <c r="D3965" s="6" t="n">
        <v>-48.6344</v>
      </c>
      <c r="E3965" s="6" t="inlineStr">
        <is>
          <t>2021-04</t>
        </is>
      </c>
      <c r="F3965" s="6" t="n"/>
      <c r="G3965" s="6" t="inlineStr">
        <is>
          <t>EXPORTACAO</t>
        </is>
      </c>
      <c r="H3965" s="6" t="inlineStr">
        <is>
          <t>AUTO_OFERTA_TOTAL_PRODUTO_PERIODO</t>
        </is>
      </c>
      <c r="I3965" s="11">
        <f>IF($H3965="AUTO_OFERTA_TOTAL_PRODUTO_PERIODO",SUMIFS(Oferta!$F:$F,Oferta!$A:$A,$A3965,Oferta!$E:$E,$E3965),$F3965)</f>
        <v/>
      </c>
      <c r="J3965" s="6" t="inlineStr">
        <is>
          <t>Derivado_da_Oferta</t>
        </is>
      </c>
      <c r="K3965" s="6" t="inlineStr">
        <is>
          <t>Mercado externo: limite superior calculado automaticamente pela soma da oferta do produto no período.</t>
        </is>
      </c>
    </row>
    <row r="3966">
      <c r="A3966" s="6" t="inlineStr">
        <is>
          <t>Milho</t>
        </is>
      </c>
      <c r="B3966" s="6" t="inlineStr">
        <is>
          <t>São Francisco do Sul - SC</t>
        </is>
      </c>
      <c r="C3966" s="6" t="n">
        <v>-26.2579</v>
      </c>
      <c r="D3966" s="6" t="n">
        <v>-48.6344</v>
      </c>
      <c r="E3966" s="6" t="inlineStr">
        <is>
          <t>2021-05</t>
        </is>
      </c>
      <c r="F3966" s="6" t="n"/>
      <c r="G3966" s="6" t="inlineStr">
        <is>
          <t>EXPORTACAO</t>
        </is>
      </c>
      <c r="H3966" s="6" t="inlineStr">
        <is>
          <t>AUTO_OFERTA_TOTAL_PRODUTO_PERIODO</t>
        </is>
      </c>
      <c r="I3966" s="11">
        <f>IF($H3966="AUTO_OFERTA_TOTAL_PRODUTO_PERIODO",SUMIFS(Oferta!$F:$F,Oferta!$A:$A,$A3966,Oferta!$E:$E,$E3966),$F3966)</f>
        <v/>
      </c>
      <c r="J3966" s="6" t="inlineStr">
        <is>
          <t>Derivado_da_Oferta</t>
        </is>
      </c>
      <c r="K3966" s="6" t="inlineStr">
        <is>
          <t>Mercado externo: limite superior calculado automaticamente pela soma da oferta do produto no período.</t>
        </is>
      </c>
    </row>
    <row r="3967">
      <c r="A3967" s="6" t="inlineStr">
        <is>
          <t>Milho</t>
        </is>
      </c>
      <c r="B3967" s="6" t="inlineStr">
        <is>
          <t>São Francisco do Sul - SC</t>
        </is>
      </c>
      <c r="C3967" s="6" t="n">
        <v>-26.2579</v>
      </c>
      <c r="D3967" s="6" t="n">
        <v>-48.6344</v>
      </c>
      <c r="E3967" s="6" t="inlineStr">
        <is>
          <t>2021-06</t>
        </is>
      </c>
      <c r="F3967" s="6" t="n"/>
      <c r="G3967" s="6" t="inlineStr">
        <is>
          <t>EXPORTACAO</t>
        </is>
      </c>
      <c r="H3967" s="6" t="inlineStr">
        <is>
          <t>AUTO_OFERTA_TOTAL_PRODUTO_PERIODO</t>
        </is>
      </c>
      <c r="I3967" s="11">
        <f>IF($H3967="AUTO_OFERTA_TOTAL_PRODUTO_PERIODO",SUMIFS(Oferta!$F:$F,Oferta!$A:$A,$A3967,Oferta!$E:$E,$E3967),$F3967)</f>
        <v/>
      </c>
      <c r="J3967" s="6" t="inlineStr">
        <is>
          <t>Derivado_da_Oferta</t>
        </is>
      </c>
      <c r="K3967" s="6" t="inlineStr">
        <is>
          <t>Mercado externo: limite superior calculado automaticamente pela soma da oferta do produto no período.</t>
        </is>
      </c>
    </row>
    <row r="3968">
      <c r="A3968" s="6" t="inlineStr">
        <is>
          <t>Milho</t>
        </is>
      </c>
      <c r="B3968" s="6" t="inlineStr">
        <is>
          <t>São Francisco do Sul - SC</t>
        </is>
      </c>
      <c r="C3968" s="6" t="n">
        <v>-26.2579</v>
      </c>
      <c r="D3968" s="6" t="n">
        <v>-48.6344</v>
      </c>
      <c r="E3968" s="6" t="inlineStr">
        <is>
          <t>2021-07</t>
        </is>
      </c>
      <c r="F3968" s="6" t="n"/>
      <c r="G3968" s="6" t="inlineStr">
        <is>
          <t>EXPORTACAO</t>
        </is>
      </c>
      <c r="H3968" s="6" t="inlineStr">
        <is>
          <t>AUTO_OFERTA_TOTAL_PRODUTO_PERIODO</t>
        </is>
      </c>
      <c r="I3968" s="11">
        <f>IF($H3968="AUTO_OFERTA_TOTAL_PRODUTO_PERIODO",SUMIFS(Oferta!$F:$F,Oferta!$A:$A,$A3968,Oferta!$E:$E,$E3968),$F3968)</f>
        <v/>
      </c>
      <c r="J3968" s="6" t="inlineStr">
        <is>
          <t>Derivado_da_Oferta</t>
        </is>
      </c>
      <c r="K3968" s="6" t="inlineStr">
        <is>
          <t>Mercado externo: limite superior calculado automaticamente pela soma da oferta do produto no período.</t>
        </is>
      </c>
    </row>
    <row r="3969">
      <c r="A3969" s="6" t="inlineStr">
        <is>
          <t>Milho</t>
        </is>
      </c>
      <c r="B3969" s="6" t="inlineStr">
        <is>
          <t>São Francisco do Sul - SC</t>
        </is>
      </c>
      <c r="C3969" s="6" t="n">
        <v>-26.2579</v>
      </c>
      <c r="D3969" s="6" t="n">
        <v>-48.6344</v>
      </c>
      <c r="E3969" s="6" t="inlineStr">
        <is>
          <t>2021-08</t>
        </is>
      </c>
      <c r="F3969" s="6" t="n"/>
      <c r="G3969" s="6" t="inlineStr">
        <is>
          <t>EXPORTACAO</t>
        </is>
      </c>
      <c r="H3969" s="6" t="inlineStr">
        <is>
          <t>AUTO_OFERTA_TOTAL_PRODUTO_PERIODO</t>
        </is>
      </c>
      <c r="I3969" s="11">
        <f>IF($H3969="AUTO_OFERTA_TOTAL_PRODUTO_PERIODO",SUMIFS(Oferta!$F:$F,Oferta!$A:$A,$A3969,Oferta!$E:$E,$E3969),$F3969)</f>
        <v/>
      </c>
      <c r="J3969" s="6" t="inlineStr">
        <is>
          <t>Derivado_da_Oferta</t>
        </is>
      </c>
      <c r="K3969" s="6" t="inlineStr">
        <is>
          <t>Mercado externo: limite superior calculado automaticamente pela soma da oferta do produto no período.</t>
        </is>
      </c>
    </row>
    <row r="3970">
      <c r="A3970" s="6" t="inlineStr">
        <is>
          <t>Milho</t>
        </is>
      </c>
      <c r="B3970" s="6" t="inlineStr">
        <is>
          <t>São Francisco do Sul - SC</t>
        </is>
      </c>
      <c r="C3970" s="6" t="n">
        <v>-26.2579</v>
      </c>
      <c r="D3970" s="6" t="n">
        <v>-48.6344</v>
      </c>
      <c r="E3970" s="6" t="inlineStr">
        <is>
          <t>2021-09</t>
        </is>
      </c>
      <c r="F3970" s="6" t="n"/>
      <c r="G3970" s="6" t="inlineStr">
        <is>
          <t>EXPORTACAO</t>
        </is>
      </c>
      <c r="H3970" s="6" t="inlineStr">
        <is>
          <t>AUTO_OFERTA_TOTAL_PRODUTO_PERIODO</t>
        </is>
      </c>
      <c r="I3970" s="11">
        <f>IF($H3970="AUTO_OFERTA_TOTAL_PRODUTO_PERIODO",SUMIFS(Oferta!$F:$F,Oferta!$A:$A,$A3970,Oferta!$E:$E,$E3970),$F3970)</f>
        <v/>
      </c>
      <c r="J3970" s="6" t="inlineStr">
        <is>
          <t>Derivado_da_Oferta</t>
        </is>
      </c>
      <c r="K3970" s="6" t="inlineStr">
        <is>
          <t>Mercado externo: limite superior calculado automaticamente pela soma da oferta do produto no período.</t>
        </is>
      </c>
    </row>
    <row r="3971">
      <c r="A3971" s="6" t="inlineStr">
        <is>
          <t>Milho</t>
        </is>
      </c>
      <c r="B3971" s="6" t="inlineStr">
        <is>
          <t>São Francisco do Sul - SC</t>
        </is>
      </c>
      <c r="C3971" s="6" t="n">
        <v>-26.2579</v>
      </c>
      <c r="D3971" s="6" t="n">
        <v>-48.6344</v>
      </c>
      <c r="E3971" s="6" t="inlineStr">
        <is>
          <t>2021-10</t>
        </is>
      </c>
      <c r="F3971" s="6" t="n"/>
      <c r="G3971" s="6" t="inlineStr">
        <is>
          <t>EXPORTACAO</t>
        </is>
      </c>
      <c r="H3971" s="6" t="inlineStr">
        <is>
          <t>AUTO_OFERTA_TOTAL_PRODUTO_PERIODO</t>
        </is>
      </c>
      <c r="I3971" s="11">
        <f>IF($H3971="AUTO_OFERTA_TOTAL_PRODUTO_PERIODO",SUMIFS(Oferta!$F:$F,Oferta!$A:$A,$A3971,Oferta!$E:$E,$E3971),$F3971)</f>
        <v/>
      </c>
      <c r="J3971" s="6" t="inlineStr">
        <is>
          <t>Derivado_da_Oferta</t>
        </is>
      </c>
      <c r="K3971" s="6" t="inlineStr">
        <is>
          <t>Mercado externo: limite superior calculado automaticamente pela soma da oferta do produto no período.</t>
        </is>
      </c>
    </row>
    <row r="3972">
      <c r="A3972" s="6" t="inlineStr">
        <is>
          <t>Milho</t>
        </is>
      </c>
      <c r="B3972" s="6" t="inlineStr">
        <is>
          <t>São Francisco do Sul - SC</t>
        </is>
      </c>
      <c r="C3972" s="6" t="n">
        <v>-26.2579</v>
      </c>
      <c r="D3972" s="6" t="n">
        <v>-48.6344</v>
      </c>
      <c r="E3972" s="6" t="inlineStr">
        <is>
          <t>2021-11</t>
        </is>
      </c>
      <c r="F3972" s="6" t="n"/>
      <c r="G3972" s="6" t="inlineStr">
        <is>
          <t>EXPORTACAO</t>
        </is>
      </c>
      <c r="H3972" s="6" t="inlineStr">
        <is>
          <t>AUTO_OFERTA_TOTAL_PRODUTO_PERIODO</t>
        </is>
      </c>
      <c r="I3972" s="11">
        <f>IF($H3972="AUTO_OFERTA_TOTAL_PRODUTO_PERIODO",SUMIFS(Oferta!$F:$F,Oferta!$A:$A,$A3972,Oferta!$E:$E,$E3972),$F3972)</f>
        <v/>
      </c>
      <c r="J3972" s="6" t="inlineStr">
        <is>
          <t>Derivado_da_Oferta</t>
        </is>
      </c>
      <c r="K3972" s="6" t="inlineStr">
        <is>
          <t>Mercado externo: limite superior calculado automaticamente pela soma da oferta do produto no período.</t>
        </is>
      </c>
    </row>
    <row r="3973">
      <c r="A3973" s="6" t="inlineStr">
        <is>
          <t>Milho</t>
        </is>
      </c>
      <c r="B3973" s="6" t="inlineStr">
        <is>
          <t>São Francisco do Sul - SC</t>
        </is>
      </c>
      <c r="C3973" s="6" t="n">
        <v>-26.2579</v>
      </c>
      <c r="D3973" s="6" t="n">
        <v>-48.6344</v>
      </c>
      <c r="E3973" s="6" t="inlineStr">
        <is>
          <t>2021-12</t>
        </is>
      </c>
      <c r="F3973" s="6" t="n"/>
      <c r="G3973" s="6" t="inlineStr">
        <is>
          <t>EXPORTACAO</t>
        </is>
      </c>
      <c r="H3973" s="6" t="inlineStr">
        <is>
          <t>AUTO_OFERTA_TOTAL_PRODUTO_PERIODO</t>
        </is>
      </c>
      <c r="I3973" s="11">
        <f>IF($H3973="AUTO_OFERTA_TOTAL_PRODUTO_PERIODO",SUMIFS(Oferta!$F:$F,Oferta!$A:$A,$A3973,Oferta!$E:$E,$E3973),$F3973)</f>
        <v/>
      </c>
      <c r="J3973" s="6" t="inlineStr">
        <is>
          <t>Derivado_da_Oferta</t>
        </is>
      </c>
      <c r="K3973" s="6" t="inlineStr">
        <is>
          <t>Mercado externo: limite superior calculado automaticamente pela soma da oferta do produto no período.</t>
        </is>
      </c>
    </row>
    <row r="3974">
      <c r="A3974" s="6" t="inlineStr">
        <is>
          <t>Milho</t>
        </is>
      </c>
      <c r="B3974" s="6" t="inlineStr">
        <is>
          <t>São Francisco do Sul - SC</t>
        </is>
      </c>
      <c r="C3974" s="6" t="n">
        <v>-26.2579</v>
      </c>
      <c r="D3974" s="6" t="n">
        <v>-48.6344</v>
      </c>
      <c r="E3974" s="6" t="inlineStr">
        <is>
          <t>2022-01</t>
        </is>
      </c>
      <c r="F3974" s="6" t="n"/>
      <c r="G3974" s="6" t="inlineStr">
        <is>
          <t>EXPORTACAO</t>
        </is>
      </c>
      <c r="H3974" s="6" t="inlineStr">
        <is>
          <t>AUTO_OFERTA_TOTAL_PRODUTO_PERIODO</t>
        </is>
      </c>
      <c r="I3974" s="11">
        <f>IF($H3974="AUTO_OFERTA_TOTAL_PRODUTO_PERIODO",SUMIFS(Oferta!$F:$F,Oferta!$A:$A,$A3974,Oferta!$E:$E,$E3974),$F3974)</f>
        <v/>
      </c>
      <c r="J3974" s="6" t="inlineStr">
        <is>
          <t>Derivado_da_Oferta</t>
        </is>
      </c>
      <c r="K3974" s="6" t="inlineStr">
        <is>
          <t>Mercado externo: limite superior calculado automaticamente pela soma da oferta do produto no período.</t>
        </is>
      </c>
    </row>
    <row r="3975">
      <c r="A3975" s="6" t="inlineStr">
        <is>
          <t>Milho</t>
        </is>
      </c>
      <c r="B3975" s="6" t="inlineStr">
        <is>
          <t>São Francisco do Sul - SC</t>
        </is>
      </c>
      <c r="C3975" s="6" t="n">
        <v>-26.2579</v>
      </c>
      <c r="D3975" s="6" t="n">
        <v>-48.6344</v>
      </c>
      <c r="E3975" s="6" t="inlineStr">
        <is>
          <t>2022-02</t>
        </is>
      </c>
      <c r="F3975" s="6" t="n"/>
      <c r="G3975" s="6" t="inlineStr">
        <is>
          <t>EXPORTACAO</t>
        </is>
      </c>
      <c r="H3975" s="6" t="inlineStr">
        <is>
          <t>AUTO_OFERTA_TOTAL_PRODUTO_PERIODO</t>
        </is>
      </c>
      <c r="I3975" s="11">
        <f>IF($H3975="AUTO_OFERTA_TOTAL_PRODUTO_PERIODO",SUMIFS(Oferta!$F:$F,Oferta!$A:$A,$A3975,Oferta!$E:$E,$E3975),$F3975)</f>
        <v/>
      </c>
      <c r="J3975" s="6" t="inlineStr">
        <is>
          <t>Derivado_da_Oferta</t>
        </is>
      </c>
      <c r="K3975" s="6" t="inlineStr">
        <is>
          <t>Mercado externo: limite superior calculado automaticamente pela soma da oferta do produto no período.</t>
        </is>
      </c>
    </row>
    <row r="3976">
      <c r="A3976" s="6" t="inlineStr">
        <is>
          <t>Milho</t>
        </is>
      </c>
      <c r="B3976" s="6" t="inlineStr">
        <is>
          <t>São Francisco do Sul - SC</t>
        </is>
      </c>
      <c r="C3976" s="6" t="n">
        <v>-26.2579</v>
      </c>
      <c r="D3976" s="6" t="n">
        <v>-48.6344</v>
      </c>
      <c r="E3976" s="6" t="inlineStr">
        <is>
          <t>2022-03</t>
        </is>
      </c>
      <c r="F3976" s="6" t="n"/>
      <c r="G3976" s="6" t="inlineStr">
        <is>
          <t>EXPORTACAO</t>
        </is>
      </c>
      <c r="H3976" s="6" t="inlineStr">
        <is>
          <t>AUTO_OFERTA_TOTAL_PRODUTO_PERIODO</t>
        </is>
      </c>
      <c r="I3976" s="11">
        <f>IF($H3976="AUTO_OFERTA_TOTAL_PRODUTO_PERIODO",SUMIFS(Oferta!$F:$F,Oferta!$A:$A,$A3976,Oferta!$E:$E,$E3976),$F3976)</f>
        <v/>
      </c>
      <c r="J3976" s="6" t="inlineStr">
        <is>
          <t>Derivado_da_Oferta</t>
        </is>
      </c>
      <c r="K3976" s="6" t="inlineStr">
        <is>
          <t>Mercado externo: limite superior calculado automaticamente pela soma da oferta do produto no período.</t>
        </is>
      </c>
    </row>
    <row r="3977">
      <c r="A3977" s="6" t="inlineStr">
        <is>
          <t>Milho</t>
        </is>
      </c>
      <c r="B3977" s="6" t="inlineStr">
        <is>
          <t>São Francisco do Sul - SC</t>
        </is>
      </c>
      <c r="C3977" s="6" t="n">
        <v>-26.2579</v>
      </c>
      <c r="D3977" s="6" t="n">
        <v>-48.6344</v>
      </c>
      <c r="E3977" s="6" t="inlineStr">
        <is>
          <t>2022-04</t>
        </is>
      </c>
      <c r="F3977" s="6" t="n"/>
      <c r="G3977" s="6" t="inlineStr">
        <is>
          <t>EXPORTACAO</t>
        </is>
      </c>
      <c r="H3977" s="6" t="inlineStr">
        <is>
          <t>AUTO_OFERTA_TOTAL_PRODUTO_PERIODO</t>
        </is>
      </c>
      <c r="I3977" s="11">
        <f>IF($H3977="AUTO_OFERTA_TOTAL_PRODUTO_PERIODO",SUMIFS(Oferta!$F:$F,Oferta!$A:$A,$A3977,Oferta!$E:$E,$E3977),$F3977)</f>
        <v/>
      </c>
      <c r="J3977" s="6" t="inlineStr">
        <is>
          <t>Derivado_da_Oferta</t>
        </is>
      </c>
      <c r="K3977" s="6" t="inlineStr">
        <is>
          <t>Mercado externo: limite superior calculado automaticamente pela soma da oferta do produto no período.</t>
        </is>
      </c>
    </row>
    <row r="3978">
      <c r="A3978" s="6" t="inlineStr">
        <is>
          <t>Milho</t>
        </is>
      </c>
      <c r="B3978" s="6" t="inlineStr">
        <is>
          <t>São Francisco do Sul - SC</t>
        </is>
      </c>
      <c r="C3978" s="6" t="n">
        <v>-26.2579</v>
      </c>
      <c r="D3978" s="6" t="n">
        <v>-48.6344</v>
      </c>
      <c r="E3978" s="6" t="inlineStr">
        <is>
          <t>2022-05</t>
        </is>
      </c>
      <c r="F3978" s="6" t="n"/>
      <c r="G3978" s="6" t="inlineStr">
        <is>
          <t>EXPORTACAO</t>
        </is>
      </c>
      <c r="H3978" s="6" t="inlineStr">
        <is>
          <t>AUTO_OFERTA_TOTAL_PRODUTO_PERIODO</t>
        </is>
      </c>
      <c r="I3978" s="11">
        <f>IF($H3978="AUTO_OFERTA_TOTAL_PRODUTO_PERIODO",SUMIFS(Oferta!$F:$F,Oferta!$A:$A,$A3978,Oferta!$E:$E,$E3978),$F3978)</f>
        <v/>
      </c>
      <c r="J3978" s="6" t="inlineStr">
        <is>
          <t>Derivado_da_Oferta</t>
        </is>
      </c>
      <c r="K3978" s="6" t="inlineStr">
        <is>
          <t>Mercado externo: limite superior calculado automaticamente pela soma da oferta do produto no período.</t>
        </is>
      </c>
    </row>
    <row r="3979">
      <c r="A3979" s="6" t="inlineStr">
        <is>
          <t>Milho</t>
        </is>
      </c>
      <c r="B3979" s="6" t="inlineStr">
        <is>
          <t>São Francisco do Sul - SC</t>
        </is>
      </c>
      <c r="C3979" s="6" t="n">
        <v>-26.2579</v>
      </c>
      <c r="D3979" s="6" t="n">
        <v>-48.6344</v>
      </c>
      <c r="E3979" s="6" t="inlineStr">
        <is>
          <t>2022-06</t>
        </is>
      </c>
      <c r="F3979" s="6" t="n"/>
      <c r="G3979" s="6" t="inlineStr">
        <is>
          <t>EXPORTACAO</t>
        </is>
      </c>
      <c r="H3979" s="6" t="inlineStr">
        <is>
          <t>AUTO_OFERTA_TOTAL_PRODUTO_PERIODO</t>
        </is>
      </c>
      <c r="I3979" s="11">
        <f>IF($H3979="AUTO_OFERTA_TOTAL_PRODUTO_PERIODO",SUMIFS(Oferta!$F:$F,Oferta!$A:$A,$A3979,Oferta!$E:$E,$E3979),$F3979)</f>
        <v/>
      </c>
      <c r="J3979" s="6" t="inlineStr">
        <is>
          <t>Derivado_da_Oferta</t>
        </is>
      </c>
      <c r="K3979" s="6" t="inlineStr">
        <is>
          <t>Mercado externo: limite superior calculado automaticamente pela soma da oferta do produto no período.</t>
        </is>
      </c>
    </row>
    <row r="3980">
      <c r="A3980" s="6" t="inlineStr">
        <is>
          <t>Milho</t>
        </is>
      </c>
      <c r="B3980" s="6" t="inlineStr">
        <is>
          <t>São Francisco do Sul - SC</t>
        </is>
      </c>
      <c r="C3980" s="6" t="n">
        <v>-26.2579</v>
      </c>
      <c r="D3980" s="6" t="n">
        <v>-48.6344</v>
      </c>
      <c r="E3980" s="6" t="inlineStr">
        <is>
          <t>2022-07</t>
        </is>
      </c>
      <c r="F3980" s="6" t="n"/>
      <c r="G3980" s="6" t="inlineStr">
        <is>
          <t>EXPORTACAO</t>
        </is>
      </c>
      <c r="H3980" s="6" t="inlineStr">
        <is>
          <t>AUTO_OFERTA_TOTAL_PRODUTO_PERIODO</t>
        </is>
      </c>
      <c r="I3980" s="11">
        <f>IF($H3980="AUTO_OFERTA_TOTAL_PRODUTO_PERIODO",SUMIFS(Oferta!$F:$F,Oferta!$A:$A,$A3980,Oferta!$E:$E,$E3980),$F3980)</f>
        <v/>
      </c>
      <c r="J3980" s="6" t="inlineStr">
        <is>
          <t>Derivado_da_Oferta</t>
        </is>
      </c>
      <c r="K3980" s="6" t="inlineStr">
        <is>
          <t>Mercado externo: limite superior calculado automaticamente pela soma da oferta do produto no período.</t>
        </is>
      </c>
    </row>
    <row r="3981">
      <c r="A3981" s="6" t="inlineStr">
        <is>
          <t>Milho</t>
        </is>
      </c>
      <c r="B3981" s="6" t="inlineStr">
        <is>
          <t>São Francisco do Sul - SC</t>
        </is>
      </c>
      <c r="C3981" s="6" t="n">
        <v>-26.2579</v>
      </c>
      <c r="D3981" s="6" t="n">
        <v>-48.6344</v>
      </c>
      <c r="E3981" s="6" t="inlineStr">
        <is>
          <t>2022-08</t>
        </is>
      </c>
      <c r="F3981" s="6" t="n"/>
      <c r="G3981" s="6" t="inlineStr">
        <is>
          <t>EXPORTACAO</t>
        </is>
      </c>
      <c r="H3981" s="6" t="inlineStr">
        <is>
          <t>AUTO_OFERTA_TOTAL_PRODUTO_PERIODO</t>
        </is>
      </c>
      <c r="I3981" s="11">
        <f>IF($H3981="AUTO_OFERTA_TOTAL_PRODUTO_PERIODO",SUMIFS(Oferta!$F:$F,Oferta!$A:$A,$A3981,Oferta!$E:$E,$E3981),$F3981)</f>
        <v/>
      </c>
      <c r="J3981" s="6" t="inlineStr">
        <is>
          <t>Derivado_da_Oferta</t>
        </is>
      </c>
      <c r="K3981" s="6" t="inlineStr">
        <is>
          <t>Mercado externo: limite superior calculado automaticamente pela soma da oferta do produto no período.</t>
        </is>
      </c>
    </row>
    <row r="3982">
      <c r="A3982" s="6" t="inlineStr">
        <is>
          <t>Milho</t>
        </is>
      </c>
      <c r="B3982" s="6" t="inlineStr">
        <is>
          <t>São Francisco do Sul - SC</t>
        </is>
      </c>
      <c r="C3982" s="6" t="n">
        <v>-26.2579</v>
      </c>
      <c r="D3982" s="6" t="n">
        <v>-48.6344</v>
      </c>
      <c r="E3982" s="6" t="inlineStr">
        <is>
          <t>2022-09</t>
        </is>
      </c>
      <c r="F3982" s="6" t="n"/>
      <c r="G3982" s="6" t="inlineStr">
        <is>
          <t>EXPORTACAO</t>
        </is>
      </c>
      <c r="H3982" s="6" t="inlineStr">
        <is>
          <t>AUTO_OFERTA_TOTAL_PRODUTO_PERIODO</t>
        </is>
      </c>
      <c r="I3982" s="11">
        <f>IF($H3982="AUTO_OFERTA_TOTAL_PRODUTO_PERIODO",SUMIFS(Oferta!$F:$F,Oferta!$A:$A,$A3982,Oferta!$E:$E,$E3982),$F3982)</f>
        <v/>
      </c>
      <c r="J3982" s="6" t="inlineStr">
        <is>
          <t>Derivado_da_Oferta</t>
        </is>
      </c>
      <c r="K3982" s="6" t="inlineStr">
        <is>
          <t>Mercado externo: limite superior calculado automaticamente pela soma da oferta do produto no período.</t>
        </is>
      </c>
    </row>
    <row r="3983">
      <c r="A3983" s="6" t="inlineStr">
        <is>
          <t>Milho</t>
        </is>
      </c>
      <c r="B3983" s="6" t="inlineStr">
        <is>
          <t>São Francisco do Sul - SC</t>
        </is>
      </c>
      <c r="C3983" s="6" t="n">
        <v>-26.2579</v>
      </c>
      <c r="D3983" s="6" t="n">
        <v>-48.6344</v>
      </c>
      <c r="E3983" s="6" t="inlineStr">
        <is>
          <t>2022-10</t>
        </is>
      </c>
      <c r="F3983" s="6" t="n"/>
      <c r="G3983" s="6" t="inlineStr">
        <is>
          <t>EXPORTACAO</t>
        </is>
      </c>
      <c r="H3983" s="6" t="inlineStr">
        <is>
          <t>AUTO_OFERTA_TOTAL_PRODUTO_PERIODO</t>
        </is>
      </c>
      <c r="I3983" s="11">
        <f>IF($H3983="AUTO_OFERTA_TOTAL_PRODUTO_PERIODO",SUMIFS(Oferta!$F:$F,Oferta!$A:$A,$A3983,Oferta!$E:$E,$E3983),$F3983)</f>
        <v/>
      </c>
      <c r="J3983" s="6" t="inlineStr">
        <is>
          <t>Derivado_da_Oferta</t>
        </is>
      </c>
      <c r="K3983" s="6" t="inlineStr">
        <is>
          <t>Mercado externo: limite superior calculado automaticamente pela soma da oferta do produto no período.</t>
        </is>
      </c>
    </row>
    <row r="3984">
      <c r="A3984" s="6" t="inlineStr">
        <is>
          <t>Milho</t>
        </is>
      </c>
      <c r="B3984" s="6" t="inlineStr">
        <is>
          <t>São Francisco do Sul - SC</t>
        </is>
      </c>
      <c r="C3984" s="6" t="n">
        <v>-26.2579</v>
      </c>
      <c r="D3984" s="6" t="n">
        <v>-48.6344</v>
      </c>
      <c r="E3984" s="6" t="inlineStr">
        <is>
          <t>2022-11</t>
        </is>
      </c>
      <c r="F3984" s="6" t="n"/>
      <c r="G3984" s="6" t="inlineStr">
        <is>
          <t>EXPORTACAO</t>
        </is>
      </c>
      <c r="H3984" s="6" t="inlineStr">
        <is>
          <t>AUTO_OFERTA_TOTAL_PRODUTO_PERIODO</t>
        </is>
      </c>
      <c r="I3984" s="11">
        <f>IF($H3984="AUTO_OFERTA_TOTAL_PRODUTO_PERIODO",SUMIFS(Oferta!$F:$F,Oferta!$A:$A,$A3984,Oferta!$E:$E,$E3984),$F3984)</f>
        <v/>
      </c>
      <c r="J3984" s="6" t="inlineStr">
        <is>
          <t>Derivado_da_Oferta</t>
        </is>
      </c>
      <c r="K3984" s="6" t="inlineStr">
        <is>
          <t>Mercado externo: limite superior calculado automaticamente pela soma da oferta do produto no período.</t>
        </is>
      </c>
    </row>
    <row r="3985">
      <c r="A3985" s="6" t="inlineStr">
        <is>
          <t>Milho</t>
        </is>
      </c>
      <c r="B3985" s="6" t="inlineStr">
        <is>
          <t>São Francisco do Sul - SC</t>
        </is>
      </c>
      <c r="C3985" s="6" t="n">
        <v>-26.2579</v>
      </c>
      <c r="D3985" s="6" t="n">
        <v>-48.6344</v>
      </c>
      <c r="E3985" s="6" t="inlineStr">
        <is>
          <t>2022-12</t>
        </is>
      </c>
      <c r="F3985" s="6" t="n"/>
      <c r="G3985" s="6" t="inlineStr">
        <is>
          <t>EXPORTACAO</t>
        </is>
      </c>
      <c r="H3985" s="6" t="inlineStr">
        <is>
          <t>AUTO_OFERTA_TOTAL_PRODUTO_PERIODO</t>
        </is>
      </c>
      <c r="I3985" s="11">
        <f>IF($H3985="AUTO_OFERTA_TOTAL_PRODUTO_PERIODO",SUMIFS(Oferta!$F:$F,Oferta!$A:$A,$A3985,Oferta!$E:$E,$E3985),$F3985)</f>
        <v/>
      </c>
      <c r="J3985" s="6" t="inlineStr">
        <is>
          <t>Derivado_da_Oferta</t>
        </is>
      </c>
      <c r="K3985" s="6" t="inlineStr">
        <is>
          <t>Mercado externo: limite superior calculado automaticamente pela soma da oferta do produto no período.</t>
        </is>
      </c>
    </row>
    <row r="3986">
      <c r="A3986" s="6" t="inlineStr">
        <is>
          <t>Milho</t>
        </is>
      </c>
      <c r="B3986" s="6" t="inlineStr">
        <is>
          <t>São Francisco do Sul - SC</t>
        </is>
      </c>
      <c r="C3986" s="6" t="n">
        <v>-26.2579</v>
      </c>
      <c r="D3986" s="6" t="n">
        <v>-48.6344</v>
      </c>
      <c r="E3986" s="6" t="inlineStr">
        <is>
          <t>2023-01</t>
        </is>
      </c>
      <c r="F3986" s="6" t="n"/>
      <c r="G3986" s="6" t="inlineStr">
        <is>
          <t>EXPORTACAO</t>
        </is>
      </c>
      <c r="H3986" s="6" t="inlineStr">
        <is>
          <t>AUTO_OFERTA_TOTAL_PRODUTO_PERIODO</t>
        </is>
      </c>
      <c r="I3986" s="11">
        <f>IF($H3986="AUTO_OFERTA_TOTAL_PRODUTO_PERIODO",SUMIFS(Oferta!$F:$F,Oferta!$A:$A,$A3986,Oferta!$E:$E,$E3986),$F3986)</f>
        <v/>
      </c>
      <c r="J3986" s="6" t="inlineStr">
        <is>
          <t>Derivado_da_Oferta</t>
        </is>
      </c>
      <c r="K3986" s="6" t="inlineStr">
        <is>
          <t>Mercado externo: limite superior calculado automaticamente pela soma da oferta do produto no período.</t>
        </is>
      </c>
    </row>
    <row r="3987">
      <c r="A3987" s="6" t="inlineStr">
        <is>
          <t>Milho</t>
        </is>
      </c>
      <c r="B3987" s="6" t="inlineStr">
        <is>
          <t>São Francisco do Sul - SC</t>
        </is>
      </c>
      <c r="C3987" s="6" t="n">
        <v>-26.2579</v>
      </c>
      <c r="D3987" s="6" t="n">
        <v>-48.6344</v>
      </c>
      <c r="E3987" s="6" t="inlineStr">
        <is>
          <t>2023-02</t>
        </is>
      </c>
      <c r="F3987" s="6" t="n"/>
      <c r="G3987" s="6" t="inlineStr">
        <is>
          <t>EXPORTACAO</t>
        </is>
      </c>
      <c r="H3987" s="6" t="inlineStr">
        <is>
          <t>AUTO_OFERTA_TOTAL_PRODUTO_PERIODO</t>
        </is>
      </c>
      <c r="I3987" s="11">
        <f>IF($H3987="AUTO_OFERTA_TOTAL_PRODUTO_PERIODO",SUMIFS(Oferta!$F:$F,Oferta!$A:$A,$A3987,Oferta!$E:$E,$E3987),$F3987)</f>
        <v/>
      </c>
      <c r="J3987" s="6" t="inlineStr">
        <is>
          <t>Derivado_da_Oferta</t>
        </is>
      </c>
      <c r="K3987" s="6" t="inlineStr">
        <is>
          <t>Mercado externo: limite superior calculado automaticamente pela soma da oferta do produto no período.</t>
        </is>
      </c>
    </row>
    <row r="3988">
      <c r="A3988" s="6" t="inlineStr">
        <is>
          <t>Milho</t>
        </is>
      </c>
      <c r="B3988" s="6" t="inlineStr">
        <is>
          <t>São Francisco do Sul - SC</t>
        </is>
      </c>
      <c r="C3988" s="6" t="n">
        <v>-26.2579</v>
      </c>
      <c r="D3988" s="6" t="n">
        <v>-48.6344</v>
      </c>
      <c r="E3988" s="6" t="inlineStr">
        <is>
          <t>2023-03</t>
        </is>
      </c>
      <c r="F3988" s="6" t="n"/>
      <c r="G3988" s="6" t="inlineStr">
        <is>
          <t>EXPORTACAO</t>
        </is>
      </c>
      <c r="H3988" s="6" t="inlineStr">
        <is>
          <t>AUTO_OFERTA_TOTAL_PRODUTO_PERIODO</t>
        </is>
      </c>
      <c r="I3988" s="11">
        <f>IF($H3988="AUTO_OFERTA_TOTAL_PRODUTO_PERIODO",SUMIFS(Oferta!$F:$F,Oferta!$A:$A,$A3988,Oferta!$E:$E,$E3988),$F3988)</f>
        <v/>
      </c>
      <c r="J3988" s="6" t="inlineStr">
        <is>
          <t>Derivado_da_Oferta</t>
        </is>
      </c>
      <c r="K3988" s="6" t="inlineStr">
        <is>
          <t>Mercado externo: limite superior calculado automaticamente pela soma da oferta do produto no período.</t>
        </is>
      </c>
    </row>
    <row r="3989">
      <c r="A3989" s="6" t="inlineStr">
        <is>
          <t>Milho</t>
        </is>
      </c>
      <c r="B3989" s="6" t="inlineStr">
        <is>
          <t>São Francisco do Sul - SC</t>
        </is>
      </c>
      <c r="C3989" s="6" t="n">
        <v>-26.2579</v>
      </c>
      <c r="D3989" s="6" t="n">
        <v>-48.6344</v>
      </c>
      <c r="E3989" s="6" t="inlineStr">
        <is>
          <t>2023-04</t>
        </is>
      </c>
      <c r="F3989" s="6" t="n"/>
      <c r="G3989" s="6" t="inlineStr">
        <is>
          <t>EXPORTACAO</t>
        </is>
      </c>
      <c r="H3989" s="6" t="inlineStr">
        <is>
          <t>AUTO_OFERTA_TOTAL_PRODUTO_PERIODO</t>
        </is>
      </c>
      <c r="I3989" s="11">
        <f>IF($H3989="AUTO_OFERTA_TOTAL_PRODUTO_PERIODO",SUMIFS(Oferta!$F:$F,Oferta!$A:$A,$A3989,Oferta!$E:$E,$E3989),$F3989)</f>
        <v/>
      </c>
      <c r="J3989" s="6" t="inlineStr">
        <is>
          <t>Derivado_da_Oferta</t>
        </is>
      </c>
      <c r="K3989" s="6" t="inlineStr">
        <is>
          <t>Mercado externo: limite superior calculado automaticamente pela soma da oferta do produto no período.</t>
        </is>
      </c>
    </row>
    <row r="3990">
      <c r="A3990" s="6" t="inlineStr">
        <is>
          <t>Milho</t>
        </is>
      </c>
      <c r="B3990" s="6" t="inlineStr">
        <is>
          <t>São Francisco do Sul - SC</t>
        </is>
      </c>
      <c r="C3990" s="6" t="n">
        <v>-26.2579</v>
      </c>
      <c r="D3990" s="6" t="n">
        <v>-48.6344</v>
      </c>
      <c r="E3990" s="6" t="inlineStr">
        <is>
          <t>2023-05</t>
        </is>
      </c>
      <c r="F3990" s="6" t="n"/>
      <c r="G3990" s="6" t="inlineStr">
        <is>
          <t>EXPORTACAO</t>
        </is>
      </c>
      <c r="H3990" s="6" t="inlineStr">
        <is>
          <t>AUTO_OFERTA_TOTAL_PRODUTO_PERIODO</t>
        </is>
      </c>
      <c r="I3990" s="11">
        <f>IF($H3990="AUTO_OFERTA_TOTAL_PRODUTO_PERIODO",SUMIFS(Oferta!$F:$F,Oferta!$A:$A,$A3990,Oferta!$E:$E,$E3990),$F3990)</f>
        <v/>
      </c>
      <c r="J3990" s="6" t="inlineStr">
        <is>
          <t>Derivado_da_Oferta</t>
        </is>
      </c>
      <c r="K3990" s="6" t="inlineStr">
        <is>
          <t>Mercado externo: limite superior calculado automaticamente pela soma da oferta do produto no período.</t>
        </is>
      </c>
    </row>
    <row r="3991">
      <c r="A3991" s="6" t="inlineStr">
        <is>
          <t>Milho</t>
        </is>
      </c>
      <c r="B3991" s="6" t="inlineStr">
        <is>
          <t>São Francisco do Sul - SC</t>
        </is>
      </c>
      <c r="C3991" s="6" t="n">
        <v>-26.2579</v>
      </c>
      <c r="D3991" s="6" t="n">
        <v>-48.6344</v>
      </c>
      <c r="E3991" s="6" t="inlineStr">
        <is>
          <t>2023-06</t>
        </is>
      </c>
      <c r="F3991" s="6" t="n"/>
      <c r="G3991" s="6" t="inlineStr">
        <is>
          <t>EXPORTACAO</t>
        </is>
      </c>
      <c r="H3991" s="6" t="inlineStr">
        <is>
          <t>AUTO_OFERTA_TOTAL_PRODUTO_PERIODO</t>
        </is>
      </c>
      <c r="I3991" s="11">
        <f>IF($H3991="AUTO_OFERTA_TOTAL_PRODUTO_PERIODO",SUMIFS(Oferta!$F:$F,Oferta!$A:$A,$A3991,Oferta!$E:$E,$E3991),$F3991)</f>
        <v/>
      </c>
      <c r="J3991" s="6" t="inlineStr">
        <is>
          <t>Derivado_da_Oferta</t>
        </is>
      </c>
      <c r="K3991" s="6" t="inlineStr">
        <is>
          <t>Mercado externo: limite superior calculado automaticamente pela soma da oferta do produto no período.</t>
        </is>
      </c>
    </row>
    <row r="3992">
      <c r="A3992" s="6" t="inlineStr">
        <is>
          <t>Milho</t>
        </is>
      </c>
      <c r="B3992" s="6" t="inlineStr">
        <is>
          <t>São Francisco do Sul - SC</t>
        </is>
      </c>
      <c r="C3992" s="6" t="n">
        <v>-26.2579</v>
      </c>
      <c r="D3992" s="6" t="n">
        <v>-48.6344</v>
      </c>
      <c r="E3992" s="6" t="inlineStr">
        <is>
          <t>2023-07</t>
        </is>
      </c>
      <c r="F3992" s="6" t="n"/>
      <c r="G3992" s="6" t="inlineStr">
        <is>
          <t>EXPORTACAO</t>
        </is>
      </c>
      <c r="H3992" s="6" t="inlineStr">
        <is>
          <t>AUTO_OFERTA_TOTAL_PRODUTO_PERIODO</t>
        </is>
      </c>
      <c r="I3992" s="11">
        <f>IF($H3992="AUTO_OFERTA_TOTAL_PRODUTO_PERIODO",SUMIFS(Oferta!$F:$F,Oferta!$A:$A,$A3992,Oferta!$E:$E,$E3992),$F3992)</f>
        <v/>
      </c>
      <c r="J3992" s="6" t="inlineStr">
        <is>
          <t>Derivado_da_Oferta</t>
        </is>
      </c>
      <c r="K3992" s="6" t="inlineStr">
        <is>
          <t>Mercado externo: limite superior calculado automaticamente pela soma da oferta do produto no período.</t>
        </is>
      </c>
    </row>
    <row r="3993">
      <c r="A3993" s="6" t="inlineStr">
        <is>
          <t>Milho</t>
        </is>
      </c>
      <c r="B3993" s="6" t="inlineStr">
        <is>
          <t>São Francisco do Sul - SC</t>
        </is>
      </c>
      <c r="C3993" s="6" t="n">
        <v>-26.2579</v>
      </c>
      <c r="D3993" s="6" t="n">
        <v>-48.6344</v>
      </c>
      <c r="E3993" s="6" t="inlineStr">
        <is>
          <t>2023-08</t>
        </is>
      </c>
      <c r="F3993" s="6" t="n"/>
      <c r="G3993" s="6" t="inlineStr">
        <is>
          <t>EXPORTACAO</t>
        </is>
      </c>
      <c r="H3993" s="6" t="inlineStr">
        <is>
          <t>AUTO_OFERTA_TOTAL_PRODUTO_PERIODO</t>
        </is>
      </c>
      <c r="I3993" s="11">
        <f>IF($H3993="AUTO_OFERTA_TOTAL_PRODUTO_PERIODO",SUMIFS(Oferta!$F:$F,Oferta!$A:$A,$A3993,Oferta!$E:$E,$E3993),$F3993)</f>
        <v/>
      </c>
      <c r="J3993" s="6" t="inlineStr">
        <is>
          <t>Derivado_da_Oferta</t>
        </is>
      </c>
      <c r="K3993" s="6" t="inlineStr">
        <is>
          <t>Mercado externo: limite superior calculado automaticamente pela soma da oferta do produto no período.</t>
        </is>
      </c>
    </row>
    <row r="3994">
      <c r="A3994" s="6" t="inlineStr">
        <is>
          <t>Milho</t>
        </is>
      </c>
      <c r="B3994" s="6" t="inlineStr">
        <is>
          <t>São Francisco do Sul - SC</t>
        </is>
      </c>
      <c r="C3994" s="6" t="n">
        <v>-26.2579</v>
      </c>
      <c r="D3994" s="6" t="n">
        <v>-48.6344</v>
      </c>
      <c r="E3994" s="6" t="inlineStr">
        <is>
          <t>2023-09</t>
        </is>
      </c>
      <c r="F3994" s="6" t="n"/>
      <c r="G3994" s="6" t="inlineStr">
        <is>
          <t>EXPORTACAO</t>
        </is>
      </c>
      <c r="H3994" s="6" t="inlineStr">
        <is>
          <t>AUTO_OFERTA_TOTAL_PRODUTO_PERIODO</t>
        </is>
      </c>
      <c r="I3994" s="11">
        <f>IF($H3994="AUTO_OFERTA_TOTAL_PRODUTO_PERIODO",SUMIFS(Oferta!$F:$F,Oferta!$A:$A,$A3994,Oferta!$E:$E,$E3994),$F3994)</f>
        <v/>
      </c>
      <c r="J3994" s="6" t="inlineStr">
        <is>
          <t>Derivado_da_Oferta</t>
        </is>
      </c>
      <c r="K3994" s="6" t="inlineStr">
        <is>
          <t>Mercado externo: limite superior calculado automaticamente pela soma da oferta do produto no período.</t>
        </is>
      </c>
    </row>
    <row r="3995">
      <c r="A3995" s="6" t="inlineStr">
        <is>
          <t>Milho</t>
        </is>
      </c>
      <c r="B3995" s="6" t="inlineStr">
        <is>
          <t>São Francisco do Sul - SC</t>
        </is>
      </c>
      <c r="C3995" s="6" t="n">
        <v>-26.2579</v>
      </c>
      <c r="D3995" s="6" t="n">
        <v>-48.6344</v>
      </c>
      <c r="E3995" s="6" t="inlineStr">
        <is>
          <t>2023-10</t>
        </is>
      </c>
      <c r="F3995" s="6" t="n"/>
      <c r="G3995" s="6" t="inlineStr">
        <is>
          <t>EXPORTACAO</t>
        </is>
      </c>
      <c r="H3995" s="6" t="inlineStr">
        <is>
          <t>AUTO_OFERTA_TOTAL_PRODUTO_PERIODO</t>
        </is>
      </c>
      <c r="I3995" s="11">
        <f>IF($H3995="AUTO_OFERTA_TOTAL_PRODUTO_PERIODO",SUMIFS(Oferta!$F:$F,Oferta!$A:$A,$A3995,Oferta!$E:$E,$E3995),$F3995)</f>
        <v/>
      </c>
      <c r="J3995" s="6" t="inlineStr">
        <is>
          <t>Derivado_da_Oferta</t>
        </is>
      </c>
      <c r="K3995" s="6" t="inlineStr">
        <is>
          <t>Mercado externo: limite superior calculado automaticamente pela soma da oferta do produto no período.</t>
        </is>
      </c>
    </row>
    <row r="3996">
      <c r="A3996" s="6" t="inlineStr">
        <is>
          <t>Milho</t>
        </is>
      </c>
      <c r="B3996" s="6" t="inlineStr">
        <is>
          <t>São Francisco do Sul - SC</t>
        </is>
      </c>
      <c r="C3996" s="6" t="n">
        <v>-26.2579</v>
      </c>
      <c r="D3996" s="6" t="n">
        <v>-48.6344</v>
      </c>
      <c r="E3996" s="6" t="inlineStr">
        <is>
          <t>2023-11</t>
        </is>
      </c>
      <c r="F3996" s="6" t="n"/>
      <c r="G3996" s="6" t="inlineStr">
        <is>
          <t>EXPORTACAO</t>
        </is>
      </c>
      <c r="H3996" s="6" t="inlineStr">
        <is>
          <t>AUTO_OFERTA_TOTAL_PRODUTO_PERIODO</t>
        </is>
      </c>
      <c r="I3996" s="11">
        <f>IF($H3996="AUTO_OFERTA_TOTAL_PRODUTO_PERIODO",SUMIFS(Oferta!$F:$F,Oferta!$A:$A,$A3996,Oferta!$E:$E,$E3996),$F3996)</f>
        <v/>
      </c>
      <c r="J3996" s="6" t="inlineStr">
        <is>
          <t>Derivado_da_Oferta</t>
        </is>
      </c>
      <c r="K3996" s="6" t="inlineStr">
        <is>
          <t>Mercado externo: limite superior calculado automaticamente pela soma da oferta do produto no período.</t>
        </is>
      </c>
    </row>
    <row r="3997">
      <c r="A3997" s="6" t="inlineStr">
        <is>
          <t>Milho</t>
        </is>
      </c>
      <c r="B3997" s="6" t="inlineStr">
        <is>
          <t>São Francisco do Sul - SC</t>
        </is>
      </c>
      <c r="C3997" s="6" t="n">
        <v>-26.2579</v>
      </c>
      <c r="D3997" s="6" t="n">
        <v>-48.6344</v>
      </c>
      <c r="E3997" s="6" t="inlineStr">
        <is>
          <t>2023-12</t>
        </is>
      </c>
      <c r="F3997" s="6" t="n"/>
      <c r="G3997" s="6" t="inlineStr">
        <is>
          <t>EXPORTACAO</t>
        </is>
      </c>
      <c r="H3997" s="6" t="inlineStr">
        <is>
          <t>AUTO_OFERTA_TOTAL_PRODUTO_PERIODO</t>
        </is>
      </c>
      <c r="I3997" s="11">
        <f>IF($H3997="AUTO_OFERTA_TOTAL_PRODUTO_PERIODO",SUMIFS(Oferta!$F:$F,Oferta!$A:$A,$A3997,Oferta!$E:$E,$E3997),$F3997)</f>
        <v/>
      </c>
      <c r="J3997" s="6" t="inlineStr">
        <is>
          <t>Derivado_da_Oferta</t>
        </is>
      </c>
      <c r="K3997" s="6" t="inlineStr">
        <is>
          <t>Mercado externo: limite superior calculado automaticamente pela soma da oferta do produto no período.</t>
        </is>
      </c>
    </row>
    <row r="3998">
      <c r="A3998" s="6" t="inlineStr">
        <is>
          <t>Milho</t>
        </is>
      </c>
      <c r="B3998" s="6" t="inlineStr">
        <is>
          <t>São Francisco do Sul - SC</t>
        </is>
      </c>
      <c r="C3998" s="6" t="n">
        <v>-26.2579</v>
      </c>
      <c r="D3998" s="6" t="n">
        <v>-48.6344</v>
      </c>
      <c r="E3998" s="6" t="inlineStr">
        <is>
          <t>2024-01</t>
        </is>
      </c>
      <c r="F3998" s="6" t="n"/>
      <c r="G3998" s="6" t="inlineStr">
        <is>
          <t>EXPORTACAO</t>
        </is>
      </c>
      <c r="H3998" s="6" t="inlineStr">
        <is>
          <t>AUTO_OFERTA_TOTAL_PRODUTO_PERIODO</t>
        </is>
      </c>
      <c r="I3998" s="11">
        <f>IF($H3998="AUTO_OFERTA_TOTAL_PRODUTO_PERIODO",SUMIFS(Oferta!$F:$F,Oferta!$A:$A,$A3998,Oferta!$E:$E,$E3998),$F3998)</f>
        <v/>
      </c>
      <c r="J3998" s="6" t="inlineStr">
        <is>
          <t>Derivado_da_Oferta</t>
        </is>
      </c>
      <c r="K3998" s="6" t="inlineStr">
        <is>
          <t>Mercado externo: limite superior calculado automaticamente pela soma da oferta do produto no período.</t>
        </is>
      </c>
    </row>
    <row r="3999">
      <c r="A3999" s="6" t="inlineStr">
        <is>
          <t>Milho</t>
        </is>
      </c>
      <c r="B3999" s="6" t="inlineStr">
        <is>
          <t>São Francisco do Sul - SC</t>
        </is>
      </c>
      <c r="C3999" s="6" t="n">
        <v>-26.2579</v>
      </c>
      <c r="D3999" s="6" t="n">
        <v>-48.6344</v>
      </c>
      <c r="E3999" s="6" t="inlineStr">
        <is>
          <t>2024-02</t>
        </is>
      </c>
      <c r="F3999" s="6" t="n"/>
      <c r="G3999" s="6" t="inlineStr">
        <is>
          <t>EXPORTACAO</t>
        </is>
      </c>
      <c r="H3999" s="6" t="inlineStr">
        <is>
          <t>AUTO_OFERTA_TOTAL_PRODUTO_PERIODO</t>
        </is>
      </c>
      <c r="I3999" s="11">
        <f>IF($H3999="AUTO_OFERTA_TOTAL_PRODUTO_PERIODO",SUMIFS(Oferta!$F:$F,Oferta!$A:$A,$A3999,Oferta!$E:$E,$E3999),$F3999)</f>
        <v/>
      </c>
      <c r="J3999" s="6" t="inlineStr">
        <is>
          <t>Derivado_da_Oferta</t>
        </is>
      </c>
      <c r="K3999" s="6" t="inlineStr">
        <is>
          <t>Mercado externo: limite superior calculado automaticamente pela soma da oferta do produto no período.</t>
        </is>
      </c>
    </row>
    <row r="4000">
      <c r="A4000" s="6" t="inlineStr">
        <is>
          <t>Milho</t>
        </is>
      </c>
      <c r="B4000" s="6" t="inlineStr">
        <is>
          <t>São Francisco do Sul - SC</t>
        </is>
      </c>
      <c r="C4000" s="6" t="n">
        <v>-26.2579</v>
      </c>
      <c r="D4000" s="6" t="n">
        <v>-48.6344</v>
      </c>
      <c r="E4000" s="6" t="inlineStr">
        <is>
          <t>2024-03</t>
        </is>
      </c>
      <c r="F4000" s="6" t="n"/>
      <c r="G4000" s="6" t="inlineStr">
        <is>
          <t>EXPORTACAO</t>
        </is>
      </c>
      <c r="H4000" s="6" t="inlineStr">
        <is>
          <t>AUTO_OFERTA_TOTAL_PRODUTO_PERIODO</t>
        </is>
      </c>
      <c r="I4000" s="11">
        <f>IF($H4000="AUTO_OFERTA_TOTAL_PRODUTO_PERIODO",SUMIFS(Oferta!$F:$F,Oferta!$A:$A,$A4000,Oferta!$E:$E,$E4000),$F4000)</f>
        <v/>
      </c>
      <c r="J4000" s="6" t="inlineStr">
        <is>
          <t>Derivado_da_Oferta</t>
        </is>
      </c>
      <c r="K4000" s="6" t="inlineStr">
        <is>
          <t>Mercado externo: limite superior calculado automaticamente pela soma da oferta do produto no período.</t>
        </is>
      </c>
    </row>
    <row r="4001">
      <c r="A4001" s="6" t="inlineStr">
        <is>
          <t>Milho</t>
        </is>
      </c>
      <c r="B4001" s="6" t="inlineStr">
        <is>
          <t>São Francisco do Sul - SC</t>
        </is>
      </c>
      <c r="C4001" s="6" t="n">
        <v>-26.2579</v>
      </c>
      <c r="D4001" s="6" t="n">
        <v>-48.6344</v>
      </c>
      <c r="E4001" s="6" t="inlineStr">
        <is>
          <t>2024-04</t>
        </is>
      </c>
      <c r="F4001" s="6" t="n"/>
      <c r="G4001" s="6" t="inlineStr">
        <is>
          <t>EXPORTACAO</t>
        </is>
      </c>
      <c r="H4001" s="6" t="inlineStr">
        <is>
          <t>AUTO_OFERTA_TOTAL_PRODUTO_PERIODO</t>
        </is>
      </c>
      <c r="I4001" s="11">
        <f>IF($H4001="AUTO_OFERTA_TOTAL_PRODUTO_PERIODO",SUMIFS(Oferta!$F:$F,Oferta!$A:$A,$A4001,Oferta!$E:$E,$E4001),$F4001)</f>
        <v/>
      </c>
      <c r="J4001" s="6" t="inlineStr">
        <is>
          <t>Derivado_da_Oferta</t>
        </is>
      </c>
      <c r="K4001" s="6" t="inlineStr">
        <is>
          <t>Mercado externo: limite superior calculado automaticamente pela soma da oferta do produto no período.</t>
        </is>
      </c>
    </row>
    <row r="4002">
      <c r="A4002" s="6" t="inlineStr">
        <is>
          <t>Milho</t>
        </is>
      </c>
      <c r="B4002" s="6" t="inlineStr">
        <is>
          <t>São Francisco do Sul - SC</t>
        </is>
      </c>
      <c r="C4002" s="6" t="n">
        <v>-26.2579</v>
      </c>
      <c r="D4002" s="6" t="n">
        <v>-48.6344</v>
      </c>
      <c r="E4002" s="6" t="inlineStr">
        <is>
          <t>2024-05</t>
        </is>
      </c>
      <c r="F4002" s="6" t="n"/>
      <c r="G4002" s="6" t="inlineStr">
        <is>
          <t>EXPORTACAO</t>
        </is>
      </c>
      <c r="H4002" s="6" t="inlineStr">
        <is>
          <t>AUTO_OFERTA_TOTAL_PRODUTO_PERIODO</t>
        </is>
      </c>
      <c r="I4002" s="11">
        <f>IF($H4002="AUTO_OFERTA_TOTAL_PRODUTO_PERIODO",SUMIFS(Oferta!$F:$F,Oferta!$A:$A,$A4002,Oferta!$E:$E,$E4002),$F4002)</f>
        <v/>
      </c>
      <c r="J4002" s="6" t="inlineStr">
        <is>
          <t>Derivado_da_Oferta</t>
        </is>
      </c>
      <c r="K4002" s="6" t="inlineStr">
        <is>
          <t>Mercado externo: limite superior calculado automaticamente pela soma da oferta do produto no período.</t>
        </is>
      </c>
    </row>
    <row r="4003">
      <c r="A4003" s="6" t="inlineStr">
        <is>
          <t>Milho</t>
        </is>
      </c>
      <c r="B4003" s="6" t="inlineStr">
        <is>
          <t>São Francisco do Sul - SC</t>
        </is>
      </c>
      <c r="C4003" s="6" t="n">
        <v>-26.2579</v>
      </c>
      <c r="D4003" s="6" t="n">
        <v>-48.6344</v>
      </c>
      <c r="E4003" s="6" t="inlineStr">
        <is>
          <t>2024-06</t>
        </is>
      </c>
      <c r="F4003" s="6" t="n"/>
      <c r="G4003" s="6" t="inlineStr">
        <is>
          <t>EXPORTACAO</t>
        </is>
      </c>
      <c r="H4003" s="6" t="inlineStr">
        <is>
          <t>AUTO_OFERTA_TOTAL_PRODUTO_PERIODO</t>
        </is>
      </c>
      <c r="I4003" s="11">
        <f>IF($H4003="AUTO_OFERTA_TOTAL_PRODUTO_PERIODO",SUMIFS(Oferta!$F:$F,Oferta!$A:$A,$A4003,Oferta!$E:$E,$E4003),$F4003)</f>
        <v/>
      </c>
      <c r="J4003" s="6" t="inlineStr">
        <is>
          <t>Derivado_da_Oferta</t>
        </is>
      </c>
      <c r="K4003" s="6" t="inlineStr">
        <is>
          <t>Mercado externo: limite superior calculado automaticamente pela soma da oferta do produto no período.</t>
        </is>
      </c>
    </row>
    <row r="4004">
      <c r="A4004" s="6" t="inlineStr">
        <is>
          <t>Milho</t>
        </is>
      </c>
      <c r="B4004" s="6" t="inlineStr">
        <is>
          <t>São Francisco do Sul - SC</t>
        </is>
      </c>
      <c r="C4004" s="6" t="n">
        <v>-26.2579</v>
      </c>
      <c r="D4004" s="6" t="n">
        <v>-48.6344</v>
      </c>
      <c r="E4004" s="6" t="inlineStr">
        <is>
          <t>2024-07</t>
        </is>
      </c>
      <c r="F4004" s="6" t="n"/>
      <c r="G4004" s="6" t="inlineStr">
        <is>
          <t>EXPORTACAO</t>
        </is>
      </c>
      <c r="H4004" s="6" t="inlineStr">
        <is>
          <t>AUTO_OFERTA_TOTAL_PRODUTO_PERIODO</t>
        </is>
      </c>
      <c r="I4004" s="11">
        <f>IF($H4004="AUTO_OFERTA_TOTAL_PRODUTO_PERIODO",SUMIFS(Oferta!$F:$F,Oferta!$A:$A,$A4004,Oferta!$E:$E,$E4004),$F4004)</f>
        <v/>
      </c>
      <c r="J4004" s="6" t="inlineStr">
        <is>
          <t>Derivado_da_Oferta</t>
        </is>
      </c>
      <c r="K4004" s="6" t="inlineStr">
        <is>
          <t>Mercado externo: limite superior calculado automaticamente pela soma da oferta do produto no período.</t>
        </is>
      </c>
    </row>
    <row r="4005">
      <c r="A4005" s="6" t="inlineStr">
        <is>
          <t>Milho</t>
        </is>
      </c>
      <c r="B4005" s="6" t="inlineStr">
        <is>
          <t>São Francisco do Sul - SC</t>
        </is>
      </c>
      <c r="C4005" s="6" t="n">
        <v>-26.2579</v>
      </c>
      <c r="D4005" s="6" t="n">
        <v>-48.6344</v>
      </c>
      <c r="E4005" s="6" t="inlineStr">
        <is>
          <t>2024-08</t>
        </is>
      </c>
      <c r="F4005" s="6" t="n"/>
      <c r="G4005" s="6" t="inlineStr">
        <is>
          <t>EXPORTACAO</t>
        </is>
      </c>
      <c r="H4005" s="6" t="inlineStr">
        <is>
          <t>AUTO_OFERTA_TOTAL_PRODUTO_PERIODO</t>
        </is>
      </c>
      <c r="I4005" s="11">
        <f>IF($H4005="AUTO_OFERTA_TOTAL_PRODUTO_PERIODO",SUMIFS(Oferta!$F:$F,Oferta!$A:$A,$A4005,Oferta!$E:$E,$E4005),$F4005)</f>
        <v/>
      </c>
      <c r="J4005" s="6" t="inlineStr">
        <is>
          <t>Derivado_da_Oferta</t>
        </is>
      </c>
      <c r="K4005" s="6" t="inlineStr">
        <is>
          <t>Mercado externo: limite superior calculado automaticamente pela soma da oferta do produto no período.</t>
        </is>
      </c>
    </row>
    <row r="4006">
      <c r="A4006" s="6" t="inlineStr">
        <is>
          <t>Milho</t>
        </is>
      </c>
      <c r="B4006" s="6" t="inlineStr">
        <is>
          <t>São Francisco do Sul - SC</t>
        </is>
      </c>
      <c r="C4006" s="6" t="n">
        <v>-26.2579</v>
      </c>
      <c r="D4006" s="6" t="n">
        <v>-48.6344</v>
      </c>
      <c r="E4006" s="6" t="inlineStr">
        <is>
          <t>2024-09</t>
        </is>
      </c>
      <c r="F4006" s="6" t="n"/>
      <c r="G4006" s="6" t="inlineStr">
        <is>
          <t>EXPORTACAO</t>
        </is>
      </c>
      <c r="H4006" s="6" t="inlineStr">
        <is>
          <t>AUTO_OFERTA_TOTAL_PRODUTO_PERIODO</t>
        </is>
      </c>
      <c r="I4006" s="11">
        <f>IF($H4006="AUTO_OFERTA_TOTAL_PRODUTO_PERIODO",SUMIFS(Oferta!$F:$F,Oferta!$A:$A,$A4006,Oferta!$E:$E,$E4006),$F4006)</f>
        <v/>
      </c>
      <c r="J4006" s="6" t="inlineStr">
        <is>
          <t>Derivado_da_Oferta</t>
        </is>
      </c>
      <c r="K4006" s="6" t="inlineStr">
        <is>
          <t>Mercado externo: limite superior calculado automaticamente pela soma da oferta do produto no período.</t>
        </is>
      </c>
    </row>
    <row r="4007">
      <c r="A4007" s="6" t="inlineStr">
        <is>
          <t>Milho</t>
        </is>
      </c>
      <c r="B4007" s="6" t="inlineStr">
        <is>
          <t>São Francisco do Sul - SC</t>
        </is>
      </c>
      <c r="C4007" s="6" t="n">
        <v>-26.2579</v>
      </c>
      <c r="D4007" s="6" t="n">
        <v>-48.6344</v>
      </c>
      <c r="E4007" s="6" t="inlineStr">
        <is>
          <t>2024-10</t>
        </is>
      </c>
      <c r="F4007" s="6" t="n"/>
      <c r="G4007" s="6" t="inlineStr">
        <is>
          <t>EXPORTACAO</t>
        </is>
      </c>
      <c r="H4007" s="6" t="inlineStr">
        <is>
          <t>AUTO_OFERTA_TOTAL_PRODUTO_PERIODO</t>
        </is>
      </c>
      <c r="I4007" s="11">
        <f>IF($H4007="AUTO_OFERTA_TOTAL_PRODUTO_PERIODO",SUMIFS(Oferta!$F:$F,Oferta!$A:$A,$A4007,Oferta!$E:$E,$E4007),$F4007)</f>
        <v/>
      </c>
      <c r="J4007" s="6" t="inlineStr">
        <is>
          <t>Derivado_da_Oferta</t>
        </is>
      </c>
      <c r="K4007" s="6" t="inlineStr">
        <is>
          <t>Mercado externo: limite superior calculado automaticamente pela soma da oferta do produto no período.</t>
        </is>
      </c>
    </row>
    <row r="4008">
      <c r="A4008" s="6" t="inlineStr">
        <is>
          <t>Milho</t>
        </is>
      </c>
      <c r="B4008" s="6" t="inlineStr">
        <is>
          <t>São Francisco do Sul - SC</t>
        </is>
      </c>
      <c r="C4008" s="6" t="n">
        <v>-26.2579</v>
      </c>
      <c r="D4008" s="6" t="n">
        <v>-48.6344</v>
      </c>
      <c r="E4008" s="6" t="inlineStr">
        <is>
          <t>2024-11</t>
        </is>
      </c>
      <c r="F4008" s="6" t="n"/>
      <c r="G4008" s="6" t="inlineStr">
        <is>
          <t>EXPORTACAO</t>
        </is>
      </c>
      <c r="H4008" s="6" t="inlineStr">
        <is>
          <t>AUTO_OFERTA_TOTAL_PRODUTO_PERIODO</t>
        </is>
      </c>
      <c r="I4008" s="11">
        <f>IF($H4008="AUTO_OFERTA_TOTAL_PRODUTO_PERIODO",SUMIFS(Oferta!$F:$F,Oferta!$A:$A,$A4008,Oferta!$E:$E,$E4008),$F4008)</f>
        <v/>
      </c>
      <c r="J4008" s="6" t="inlineStr">
        <is>
          <t>Derivado_da_Oferta</t>
        </is>
      </c>
      <c r="K4008" s="6" t="inlineStr">
        <is>
          <t>Mercado externo: limite superior calculado automaticamente pela soma da oferta do produto no período.</t>
        </is>
      </c>
    </row>
    <row r="4009">
      <c r="A4009" s="6" t="inlineStr">
        <is>
          <t>Milho</t>
        </is>
      </c>
      <c r="B4009" s="6" t="inlineStr">
        <is>
          <t>São Francisco do Sul - SC</t>
        </is>
      </c>
      <c r="C4009" s="6" t="n">
        <v>-26.2579</v>
      </c>
      <c r="D4009" s="6" t="n">
        <v>-48.6344</v>
      </c>
      <c r="E4009" s="6" t="inlineStr">
        <is>
          <t>2024-12</t>
        </is>
      </c>
      <c r="F4009" s="6" t="n"/>
      <c r="G4009" s="6" t="inlineStr">
        <is>
          <t>EXPORTACAO</t>
        </is>
      </c>
      <c r="H4009" s="6" t="inlineStr">
        <is>
          <t>AUTO_OFERTA_TOTAL_PRODUTO_PERIODO</t>
        </is>
      </c>
      <c r="I4009" s="11">
        <f>IF($H4009="AUTO_OFERTA_TOTAL_PRODUTO_PERIODO",SUMIFS(Oferta!$F:$F,Oferta!$A:$A,$A4009,Oferta!$E:$E,$E4009),$F4009)</f>
        <v/>
      </c>
      <c r="J4009" s="6" t="inlineStr">
        <is>
          <t>Derivado_da_Oferta</t>
        </is>
      </c>
      <c r="K4009" s="6" t="inlineStr">
        <is>
          <t>Mercado externo: limite superior calculado automaticamente pela soma da oferta do produto no período.</t>
        </is>
      </c>
    </row>
    <row r="4010">
      <c r="A4010" s="6" t="inlineStr">
        <is>
          <t>Milho</t>
        </is>
      </c>
      <c r="B4010" s="6" t="inlineStr">
        <is>
          <t>São Francisco do Sul - SC</t>
        </is>
      </c>
      <c r="C4010" s="6" t="n">
        <v>-26.2579</v>
      </c>
      <c r="D4010" s="6" t="n">
        <v>-48.6344</v>
      </c>
      <c r="E4010" s="6" t="inlineStr">
        <is>
          <t>2025-01</t>
        </is>
      </c>
      <c r="F4010" s="6" t="n"/>
      <c r="G4010" s="6" t="inlineStr">
        <is>
          <t>EXPORTACAO</t>
        </is>
      </c>
      <c r="H4010" s="6" t="inlineStr">
        <is>
          <t>AUTO_OFERTA_TOTAL_PRODUTO_PERIODO</t>
        </is>
      </c>
      <c r="I4010" s="11">
        <f>IF($H4010="AUTO_OFERTA_TOTAL_PRODUTO_PERIODO",SUMIFS(Oferta!$F:$F,Oferta!$A:$A,$A4010,Oferta!$E:$E,$E4010),$F4010)</f>
        <v/>
      </c>
      <c r="J4010" s="6" t="inlineStr">
        <is>
          <t>Derivado_da_Oferta</t>
        </is>
      </c>
      <c r="K4010" s="6" t="inlineStr">
        <is>
          <t>Mercado externo: limite superior calculado automaticamente pela soma da oferta do produto no período.</t>
        </is>
      </c>
    </row>
    <row r="4011">
      <c r="A4011" s="6" t="inlineStr">
        <is>
          <t>Milho</t>
        </is>
      </c>
      <c r="B4011" s="6" t="inlineStr">
        <is>
          <t>São Francisco do Sul - SC</t>
        </is>
      </c>
      <c r="C4011" s="6" t="n">
        <v>-26.2579</v>
      </c>
      <c r="D4011" s="6" t="n">
        <v>-48.6344</v>
      </c>
      <c r="E4011" s="6" t="inlineStr">
        <is>
          <t>2025-02</t>
        </is>
      </c>
      <c r="F4011" s="6" t="n"/>
      <c r="G4011" s="6" t="inlineStr">
        <is>
          <t>EXPORTACAO</t>
        </is>
      </c>
      <c r="H4011" s="6" t="inlineStr">
        <is>
          <t>AUTO_OFERTA_TOTAL_PRODUTO_PERIODO</t>
        </is>
      </c>
      <c r="I4011" s="11">
        <f>IF($H4011="AUTO_OFERTA_TOTAL_PRODUTO_PERIODO",SUMIFS(Oferta!$F:$F,Oferta!$A:$A,$A4011,Oferta!$E:$E,$E4011),$F4011)</f>
        <v/>
      </c>
      <c r="J4011" s="6" t="inlineStr">
        <is>
          <t>Derivado_da_Oferta</t>
        </is>
      </c>
      <c r="K4011" s="6" t="inlineStr">
        <is>
          <t>Mercado externo: limite superior calculado automaticamente pela soma da oferta do produto no período.</t>
        </is>
      </c>
    </row>
    <row r="4012">
      <c r="A4012" s="6" t="inlineStr">
        <is>
          <t>Milho</t>
        </is>
      </c>
      <c r="B4012" s="6" t="inlineStr">
        <is>
          <t>São Francisco do Sul - SC</t>
        </is>
      </c>
      <c r="C4012" s="6" t="n">
        <v>-26.2579</v>
      </c>
      <c r="D4012" s="6" t="n">
        <v>-48.6344</v>
      </c>
      <c r="E4012" s="6" t="inlineStr">
        <is>
          <t>2025-03</t>
        </is>
      </c>
      <c r="F4012" s="6" t="n"/>
      <c r="G4012" s="6" t="inlineStr">
        <is>
          <t>EXPORTACAO</t>
        </is>
      </c>
      <c r="H4012" s="6" t="inlineStr">
        <is>
          <t>AUTO_OFERTA_TOTAL_PRODUTO_PERIODO</t>
        </is>
      </c>
      <c r="I4012" s="11">
        <f>IF($H4012="AUTO_OFERTA_TOTAL_PRODUTO_PERIODO",SUMIFS(Oferta!$F:$F,Oferta!$A:$A,$A4012,Oferta!$E:$E,$E4012),$F4012)</f>
        <v/>
      </c>
      <c r="J4012" s="6" t="inlineStr">
        <is>
          <t>Derivado_da_Oferta</t>
        </is>
      </c>
      <c r="K4012" s="6" t="inlineStr">
        <is>
          <t>Mercado externo: limite superior calculado automaticamente pela soma da oferta do produto no período.</t>
        </is>
      </c>
    </row>
    <row r="4013">
      <c r="A4013" s="6" t="inlineStr">
        <is>
          <t>Milho</t>
        </is>
      </c>
      <c r="B4013" s="6" t="inlineStr">
        <is>
          <t>São Francisco do Sul - SC</t>
        </is>
      </c>
      <c r="C4013" s="6" t="n">
        <v>-26.2579</v>
      </c>
      <c r="D4013" s="6" t="n">
        <v>-48.6344</v>
      </c>
      <c r="E4013" s="6" t="inlineStr">
        <is>
          <t>2025-04</t>
        </is>
      </c>
      <c r="F4013" s="6" t="n"/>
      <c r="G4013" s="6" t="inlineStr">
        <is>
          <t>EXPORTACAO</t>
        </is>
      </c>
      <c r="H4013" s="6" t="inlineStr">
        <is>
          <t>AUTO_OFERTA_TOTAL_PRODUTO_PERIODO</t>
        </is>
      </c>
      <c r="I4013" s="11">
        <f>IF($H4013="AUTO_OFERTA_TOTAL_PRODUTO_PERIODO",SUMIFS(Oferta!$F:$F,Oferta!$A:$A,$A4013,Oferta!$E:$E,$E4013),$F4013)</f>
        <v/>
      </c>
      <c r="J4013" s="6" t="inlineStr">
        <is>
          <t>Derivado_da_Oferta</t>
        </is>
      </c>
      <c r="K4013" s="6" t="inlineStr">
        <is>
          <t>Mercado externo: limite superior calculado automaticamente pela soma da oferta do produto no período.</t>
        </is>
      </c>
    </row>
    <row r="4014">
      <c r="A4014" s="6" t="inlineStr">
        <is>
          <t>Milho</t>
        </is>
      </c>
      <c r="B4014" s="6" t="inlineStr">
        <is>
          <t>São Francisco do Sul - SC</t>
        </is>
      </c>
      <c r="C4014" s="6" t="n">
        <v>-26.2579</v>
      </c>
      <c r="D4014" s="6" t="n">
        <v>-48.6344</v>
      </c>
      <c r="E4014" s="6" t="inlineStr">
        <is>
          <t>2025-05</t>
        </is>
      </c>
      <c r="F4014" s="6" t="n"/>
      <c r="G4014" s="6" t="inlineStr">
        <is>
          <t>EXPORTACAO</t>
        </is>
      </c>
      <c r="H4014" s="6" t="inlineStr">
        <is>
          <t>AUTO_OFERTA_TOTAL_PRODUTO_PERIODO</t>
        </is>
      </c>
      <c r="I4014" s="11">
        <f>IF($H4014="AUTO_OFERTA_TOTAL_PRODUTO_PERIODO",SUMIFS(Oferta!$F:$F,Oferta!$A:$A,$A4014,Oferta!$E:$E,$E4014),$F4014)</f>
        <v/>
      </c>
      <c r="J4014" s="6" t="inlineStr">
        <is>
          <t>Derivado_da_Oferta</t>
        </is>
      </c>
      <c r="K4014" s="6" t="inlineStr">
        <is>
          <t>Mercado externo: limite superior calculado automaticamente pela soma da oferta do produto no período.</t>
        </is>
      </c>
    </row>
    <row r="4015">
      <c r="A4015" s="6" t="inlineStr">
        <is>
          <t>Milho</t>
        </is>
      </c>
      <c r="B4015" s="6" t="inlineStr">
        <is>
          <t>São Francisco do Sul - SC</t>
        </is>
      </c>
      <c r="C4015" s="6" t="n">
        <v>-26.2579</v>
      </c>
      <c r="D4015" s="6" t="n">
        <v>-48.6344</v>
      </c>
      <c r="E4015" s="6" t="inlineStr">
        <is>
          <t>2025-06</t>
        </is>
      </c>
      <c r="F4015" s="6" t="n"/>
      <c r="G4015" s="6" t="inlineStr">
        <is>
          <t>EXPORTACAO</t>
        </is>
      </c>
      <c r="H4015" s="6" t="inlineStr">
        <is>
          <t>AUTO_OFERTA_TOTAL_PRODUTO_PERIODO</t>
        </is>
      </c>
      <c r="I4015" s="11">
        <f>IF($H4015="AUTO_OFERTA_TOTAL_PRODUTO_PERIODO",SUMIFS(Oferta!$F:$F,Oferta!$A:$A,$A4015,Oferta!$E:$E,$E4015),$F4015)</f>
        <v/>
      </c>
      <c r="J4015" s="6" t="inlineStr">
        <is>
          <t>Derivado_da_Oferta</t>
        </is>
      </c>
      <c r="K4015" s="6" t="inlineStr">
        <is>
          <t>Mercado externo: limite superior calculado automaticamente pela soma da oferta do produto no período.</t>
        </is>
      </c>
    </row>
    <row r="4016">
      <c r="A4016" s="6" t="inlineStr">
        <is>
          <t>Milho</t>
        </is>
      </c>
      <c r="B4016" s="6" t="inlineStr">
        <is>
          <t>São Francisco do Sul - SC</t>
        </is>
      </c>
      <c r="C4016" s="6" t="n">
        <v>-26.2579</v>
      </c>
      <c r="D4016" s="6" t="n">
        <v>-48.6344</v>
      </c>
      <c r="E4016" s="6" t="inlineStr">
        <is>
          <t>2025-07</t>
        </is>
      </c>
      <c r="F4016" s="6" t="n"/>
      <c r="G4016" s="6" t="inlineStr">
        <is>
          <t>EXPORTACAO</t>
        </is>
      </c>
      <c r="H4016" s="6" t="inlineStr">
        <is>
          <t>AUTO_OFERTA_TOTAL_PRODUTO_PERIODO</t>
        </is>
      </c>
      <c r="I4016" s="11">
        <f>IF($H4016="AUTO_OFERTA_TOTAL_PRODUTO_PERIODO",SUMIFS(Oferta!$F:$F,Oferta!$A:$A,$A4016,Oferta!$E:$E,$E4016),$F4016)</f>
        <v/>
      </c>
      <c r="J4016" s="6" t="inlineStr">
        <is>
          <t>Derivado_da_Oferta</t>
        </is>
      </c>
      <c r="K4016" s="6" t="inlineStr">
        <is>
          <t>Mercado externo: limite superior calculado automaticamente pela soma da oferta do produto no período.</t>
        </is>
      </c>
    </row>
    <row r="4017">
      <c r="A4017" s="6" t="inlineStr">
        <is>
          <t>Milho</t>
        </is>
      </c>
      <c r="B4017" s="6" t="inlineStr">
        <is>
          <t>São Francisco do Sul - SC</t>
        </is>
      </c>
      <c r="C4017" s="6" t="n">
        <v>-26.2579</v>
      </c>
      <c r="D4017" s="6" t="n">
        <v>-48.6344</v>
      </c>
      <c r="E4017" s="6" t="inlineStr">
        <is>
          <t>2025-08</t>
        </is>
      </c>
      <c r="F4017" s="6" t="n"/>
      <c r="G4017" s="6" t="inlineStr">
        <is>
          <t>EXPORTACAO</t>
        </is>
      </c>
      <c r="H4017" s="6" t="inlineStr">
        <is>
          <t>AUTO_OFERTA_TOTAL_PRODUTO_PERIODO</t>
        </is>
      </c>
      <c r="I4017" s="11">
        <f>IF($H4017="AUTO_OFERTA_TOTAL_PRODUTO_PERIODO",SUMIFS(Oferta!$F:$F,Oferta!$A:$A,$A4017,Oferta!$E:$E,$E4017),$F4017)</f>
        <v/>
      </c>
      <c r="J4017" s="6" t="inlineStr">
        <is>
          <t>Derivado_da_Oferta</t>
        </is>
      </c>
      <c r="K4017" s="6" t="inlineStr">
        <is>
          <t>Mercado externo: limite superior calculado automaticamente pela soma da oferta do produto no período.</t>
        </is>
      </c>
    </row>
    <row r="4018">
      <c r="A4018" s="6" t="inlineStr">
        <is>
          <t>Milho</t>
        </is>
      </c>
      <c r="B4018" s="6" t="inlineStr">
        <is>
          <t>São Francisco do Sul - SC</t>
        </is>
      </c>
      <c r="C4018" s="6" t="n">
        <v>-26.2579</v>
      </c>
      <c r="D4018" s="6" t="n">
        <v>-48.6344</v>
      </c>
      <c r="E4018" s="6" t="inlineStr">
        <is>
          <t>2025-09</t>
        </is>
      </c>
      <c r="F4018" s="6" t="n"/>
      <c r="G4018" s="6" t="inlineStr">
        <is>
          <t>EXPORTACAO</t>
        </is>
      </c>
      <c r="H4018" s="6" t="inlineStr">
        <is>
          <t>AUTO_OFERTA_TOTAL_PRODUTO_PERIODO</t>
        </is>
      </c>
      <c r="I4018" s="11">
        <f>IF($H4018="AUTO_OFERTA_TOTAL_PRODUTO_PERIODO",SUMIFS(Oferta!$F:$F,Oferta!$A:$A,$A4018,Oferta!$E:$E,$E4018),$F4018)</f>
        <v/>
      </c>
      <c r="J4018" s="6" t="inlineStr">
        <is>
          <t>Derivado_da_Oferta</t>
        </is>
      </c>
      <c r="K4018" s="6" t="inlineStr">
        <is>
          <t>Mercado externo: limite superior calculado automaticamente pela soma da oferta do produto no período.</t>
        </is>
      </c>
    </row>
    <row r="4019">
      <c r="A4019" s="6" t="inlineStr">
        <is>
          <t>Milho</t>
        </is>
      </c>
      <c r="B4019" s="6" t="inlineStr">
        <is>
          <t>São Francisco do Sul - SC</t>
        </is>
      </c>
      <c r="C4019" s="6" t="n">
        <v>-26.2579</v>
      </c>
      <c r="D4019" s="6" t="n">
        <v>-48.6344</v>
      </c>
      <c r="E4019" s="6" t="inlineStr">
        <is>
          <t>2025-10</t>
        </is>
      </c>
      <c r="F4019" s="6" t="n"/>
      <c r="G4019" s="6" t="inlineStr">
        <is>
          <t>EXPORTACAO</t>
        </is>
      </c>
      <c r="H4019" s="6" t="inlineStr">
        <is>
          <t>AUTO_OFERTA_TOTAL_PRODUTO_PERIODO</t>
        </is>
      </c>
      <c r="I4019" s="11">
        <f>IF($H4019="AUTO_OFERTA_TOTAL_PRODUTO_PERIODO",SUMIFS(Oferta!$F:$F,Oferta!$A:$A,$A4019,Oferta!$E:$E,$E4019),$F4019)</f>
        <v/>
      </c>
      <c r="J4019" s="6" t="inlineStr">
        <is>
          <t>Derivado_da_Oferta</t>
        </is>
      </c>
      <c r="K4019" s="6" t="inlineStr">
        <is>
          <t>Mercado externo: limite superior calculado automaticamente pela soma da oferta do produto no período.</t>
        </is>
      </c>
    </row>
    <row r="4020">
      <c r="A4020" s="6" t="inlineStr">
        <is>
          <t>Milho</t>
        </is>
      </c>
      <c r="B4020" s="6" t="inlineStr">
        <is>
          <t>São Francisco do Sul - SC</t>
        </is>
      </c>
      <c r="C4020" s="6" t="n">
        <v>-26.2579</v>
      </c>
      <c r="D4020" s="6" t="n">
        <v>-48.6344</v>
      </c>
      <c r="E4020" s="6" t="inlineStr">
        <is>
          <t>2025-11</t>
        </is>
      </c>
      <c r="F4020" s="6" t="n"/>
      <c r="G4020" s="6" t="inlineStr">
        <is>
          <t>EXPORTACAO</t>
        </is>
      </c>
      <c r="H4020" s="6" t="inlineStr">
        <is>
          <t>AUTO_OFERTA_TOTAL_PRODUTO_PERIODO</t>
        </is>
      </c>
      <c r="I4020" s="11">
        <f>IF($H4020="AUTO_OFERTA_TOTAL_PRODUTO_PERIODO",SUMIFS(Oferta!$F:$F,Oferta!$A:$A,$A4020,Oferta!$E:$E,$E4020),$F4020)</f>
        <v/>
      </c>
      <c r="J4020" s="6" t="inlineStr">
        <is>
          <t>Derivado_da_Oferta</t>
        </is>
      </c>
      <c r="K4020" s="6" t="inlineStr">
        <is>
          <t>Mercado externo: limite superior calculado automaticamente pela soma da oferta do produto no período.</t>
        </is>
      </c>
    </row>
    <row r="4021">
      <c r="A4021" s="6" t="inlineStr">
        <is>
          <t>Milho</t>
        </is>
      </c>
      <c r="B4021" s="6" t="inlineStr">
        <is>
          <t>São Francisco do Sul - SC</t>
        </is>
      </c>
      <c r="C4021" s="6" t="n">
        <v>-26.2579</v>
      </c>
      <c r="D4021" s="6" t="n">
        <v>-48.6344</v>
      </c>
      <c r="E4021" s="6" t="inlineStr">
        <is>
          <t>2025-12</t>
        </is>
      </c>
      <c r="F4021" s="6" t="n"/>
      <c r="G4021" s="6" t="inlineStr">
        <is>
          <t>EXPORTACAO</t>
        </is>
      </c>
      <c r="H4021" s="6" t="inlineStr">
        <is>
          <t>AUTO_OFERTA_TOTAL_PRODUTO_PERIODO</t>
        </is>
      </c>
      <c r="I4021" s="11">
        <f>IF($H4021="AUTO_OFERTA_TOTAL_PRODUTO_PERIODO",SUMIFS(Oferta!$F:$F,Oferta!$A:$A,$A4021,Oferta!$E:$E,$E4021),$F4021)</f>
        <v/>
      </c>
      <c r="J4021" s="6" t="inlineStr">
        <is>
          <t>Derivado_da_Oferta</t>
        </is>
      </c>
      <c r="K4021" s="6" t="inlineStr">
        <is>
          <t>Mercado externo: limite superior calculado automaticamente pela soma da oferta do produto no período.</t>
        </is>
      </c>
    </row>
    <row r="4022">
      <c r="A4022" s="6" t="inlineStr">
        <is>
          <t>Soja</t>
        </is>
      </c>
      <c r="B4022" s="6" t="inlineStr">
        <is>
          <t>São Francisco do Sul - SC</t>
        </is>
      </c>
      <c r="C4022" s="6" t="n">
        <v>-26.2579</v>
      </c>
      <c r="D4022" s="6" t="n">
        <v>-48.6344</v>
      </c>
      <c r="E4022" s="6" t="inlineStr">
        <is>
          <t>2021-01</t>
        </is>
      </c>
      <c r="F4022" s="6" t="n"/>
      <c r="G4022" s="6" t="inlineStr">
        <is>
          <t>EXPORTACAO</t>
        </is>
      </c>
      <c r="H4022" s="6" t="inlineStr">
        <is>
          <t>AUTO_OFERTA_TOTAL_PRODUTO_PERIODO</t>
        </is>
      </c>
      <c r="I4022" s="11">
        <f>IF($H4022="AUTO_OFERTA_TOTAL_PRODUTO_PERIODO",SUMIFS(Oferta!$F:$F,Oferta!$A:$A,$A4022,Oferta!$E:$E,$E4022),$F4022)</f>
        <v/>
      </c>
      <c r="J4022" s="6" t="inlineStr">
        <is>
          <t>Derivado_da_Oferta</t>
        </is>
      </c>
      <c r="K4022" s="6" t="inlineStr">
        <is>
          <t>Mercado externo: limite superior calculado automaticamente pela soma da oferta do produto no período.</t>
        </is>
      </c>
    </row>
    <row r="4023">
      <c r="A4023" s="6" t="inlineStr">
        <is>
          <t>Soja</t>
        </is>
      </c>
      <c r="B4023" s="6" t="inlineStr">
        <is>
          <t>São Francisco do Sul - SC</t>
        </is>
      </c>
      <c r="C4023" s="6" t="n">
        <v>-26.2579</v>
      </c>
      <c r="D4023" s="6" t="n">
        <v>-48.6344</v>
      </c>
      <c r="E4023" s="6" t="inlineStr">
        <is>
          <t>2021-02</t>
        </is>
      </c>
      <c r="F4023" s="6" t="n"/>
      <c r="G4023" s="6" t="inlineStr">
        <is>
          <t>EXPORTACAO</t>
        </is>
      </c>
      <c r="H4023" s="6" t="inlineStr">
        <is>
          <t>AUTO_OFERTA_TOTAL_PRODUTO_PERIODO</t>
        </is>
      </c>
      <c r="I4023" s="11">
        <f>IF($H4023="AUTO_OFERTA_TOTAL_PRODUTO_PERIODO",SUMIFS(Oferta!$F:$F,Oferta!$A:$A,$A4023,Oferta!$E:$E,$E4023),$F4023)</f>
        <v/>
      </c>
      <c r="J4023" s="6" t="inlineStr">
        <is>
          <t>Derivado_da_Oferta</t>
        </is>
      </c>
      <c r="K4023" s="6" t="inlineStr">
        <is>
          <t>Mercado externo: limite superior calculado automaticamente pela soma da oferta do produto no período.</t>
        </is>
      </c>
    </row>
    <row r="4024">
      <c r="A4024" s="6" t="inlineStr">
        <is>
          <t>Soja</t>
        </is>
      </c>
      <c r="B4024" s="6" t="inlineStr">
        <is>
          <t>São Francisco do Sul - SC</t>
        </is>
      </c>
      <c r="C4024" s="6" t="n">
        <v>-26.2579</v>
      </c>
      <c r="D4024" s="6" t="n">
        <v>-48.6344</v>
      </c>
      <c r="E4024" s="6" t="inlineStr">
        <is>
          <t>2021-03</t>
        </is>
      </c>
      <c r="F4024" s="6" t="n"/>
      <c r="G4024" s="6" t="inlineStr">
        <is>
          <t>EXPORTACAO</t>
        </is>
      </c>
      <c r="H4024" s="6" t="inlineStr">
        <is>
          <t>AUTO_OFERTA_TOTAL_PRODUTO_PERIODO</t>
        </is>
      </c>
      <c r="I4024" s="11">
        <f>IF($H4024="AUTO_OFERTA_TOTAL_PRODUTO_PERIODO",SUMIFS(Oferta!$F:$F,Oferta!$A:$A,$A4024,Oferta!$E:$E,$E4024),$F4024)</f>
        <v/>
      </c>
      <c r="J4024" s="6" t="inlineStr">
        <is>
          <t>Derivado_da_Oferta</t>
        </is>
      </c>
      <c r="K4024" s="6" t="inlineStr">
        <is>
          <t>Mercado externo: limite superior calculado automaticamente pela soma da oferta do produto no período.</t>
        </is>
      </c>
    </row>
    <row r="4025">
      <c r="A4025" s="6" t="inlineStr">
        <is>
          <t>Soja</t>
        </is>
      </c>
      <c r="B4025" s="6" t="inlineStr">
        <is>
          <t>São Francisco do Sul - SC</t>
        </is>
      </c>
      <c r="C4025" s="6" t="n">
        <v>-26.2579</v>
      </c>
      <c r="D4025" s="6" t="n">
        <v>-48.6344</v>
      </c>
      <c r="E4025" s="6" t="inlineStr">
        <is>
          <t>2021-04</t>
        </is>
      </c>
      <c r="F4025" s="6" t="n"/>
      <c r="G4025" s="6" t="inlineStr">
        <is>
          <t>EXPORTACAO</t>
        </is>
      </c>
      <c r="H4025" s="6" t="inlineStr">
        <is>
          <t>AUTO_OFERTA_TOTAL_PRODUTO_PERIODO</t>
        </is>
      </c>
      <c r="I4025" s="11">
        <f>IF($H4025="AUTO_OFERTA_TOTAL_PRODUTO_PERIODO",SUMIFS(Oferta!$F:$F,Oferta!$A:$A,$A4025,Oferta!$E:$E,$E4025),$F4025)</f>
        <v/>
      </c>
      <c r="J4025" s="6" t="inlineStr">
        <is>
          <t>Derivado_da_Oferta</t>
        </is>
      </c>
      <c r="K4025" s="6" t="inlineStr">
        <is>
          <t>Mercado externo: limite superior calculado automaticamente pela soma da oferta do produto no período.</t>
        </is>
      </c>
    </row>
    <row r="4026">
      <c r="A4026" s="6" t="inlineStr">
        <is>
          <t>Soja</t>
        </is>
      </c>
      <c r="B4026" s="6" t="inlineStr">
        <is>
          <t>São Francisco do Sul - SC</t>
        </is>
      </c>
      <c r="C4026" s="6" t="n">
        <v>-26.2579</v>
      </c>
      <c r="D4026" s="6" t="n">
        <v>-48.6344</v>
      </c>
      <c r="E4026" s="6" t="inlineStr">
        <is>
          <t>2021-05</t>
        </is>
      </c>
      <c r="F4026" s="6" t="n"/>
      <c r="G4026" s="6" t="inlineStr">
        <is>
          <t>EXPORTACAO</t>
        </is>
      </c>
      <c r="H4026" s="6" t="inlineStr">
        <is>
          <t>AUTO_OFERTA_TOTAL_PRODUTO_PERIODO</t>
        </is>
      </c>
      <c r="I4026" s="11">
        <f>IF($H4026="AUTO_OFERTA_TOTAL_PRODUTO_PERIODO",SUMIFS(Oferta!$F:$F,Oferta!$A:$A,$A4026,Oferta!$E:$E,$E4026),$F4026)</f>
        <v/>
      </c>
      <c r="J4026" s="6" t="inlineStr">
        <is>
          <t>Derivado_da_Oferta</t>
        </is>
      </c>
      <c r="K4026" s="6" t="inlineStr">
        <is>
          <t>Mercado externo: limite superior calculado automaticamente pela soma da oferta do produto no período.</t>
        </is>
      </c>
    </row>
    <row r="4027">
      <c r="A4027" s="6" t="inlineStr">
        <is>
          <t>Soja</t>
        </is>
      </c>
      <c r="B4027" s="6" t="inlineStr">
        <is>
          <t>São Francisco do Sul - SC</t>
        </is>
      </c>
      <c r="C4027" s="6" t="n">
        <v>-26.2579</v>
      </c>
      <c r="D4027" s="6" t="n">
        <v>-48.6344</v>
      </c>
      <c r="E4027" s="6" t="inlineStr">
        <is>
          <t>2021-06</t>
        </is>
      </c>
      <c r="F4027" s="6" t="n"/>
      <c r="G4027" s="6" t="inlineStr">
        <is>
          <t>EXPORTACAO</t>
        </is>
      </c>
      <c r="H4027" s="6" t="inlineStr">
        <is>
          <t>AUTO_OFERTA_TOTAL_PRODUTO_PERIODO</t>
        </is>
      </c>
      <c r="I4027" s="11">
        <f>IF($H4027="AUTO_OFERTA_TOTAL_PRODUTO_PERIODO",SUMIFS(Oferta!$F:$F,Oferta!$A:$A,$A4027,Oferta!$E:$E,$E4027),$F4027)</f>
        <v/>
      </c>
      <c r="J4027" s="6" t="inlineStr">
        <is>
          <t>Derivado_da_Oferta</t>
        </is>
      </c>
      <c r="K4027" s="6" t="inlineStr">
        <is>
          <t>Mercado externo: limite superior calculado automaticamente pela soma da oferta do produto no período.</t>
        </is>
      </c>
    </row>
    <row r="4028">
      <c r="A4028" s="6" t="inlineStr">
        <is>
          <t>Soja</t>
        </is>
      </c>
      <c r="B4028" s="6" t="inlineStr">
        <is>
          <t>São Francisco do Sul - SC</t>
        </is>
      </c>
      <c r="C4028" s="6" t="n">
        <v>-26.2579</v>
      </c>
      <c r="D4028" s="6" t="n">
        <v>-48.6344</v>
      </c>
      <c r="E4028" s="6" t="inlineStr">
        <is>
          <t>2021-07</t>
        </is>
      </c>
      <c r="F4028" s="6" t="n"/>
      <c r="G4028" s="6" t="inlineStr">
        <is>
          <t>EXPORTACAO</t>
        </is>
      </c>
      <c r="H4028" s="6" t="inlineStr">
        <is>
          <t>AUTO_OFERTA_TOTAL_PRODUTO_PERIODO</t>
        </is>
      </c>
      <c r="I4028" s="11">
        <f>IF($H4028="AUTO_OFERTA_TOTAL_PRODUTO_PERIODO",SUMIFS(Oferta!$F:$F,Oferta!$A:$A,$A4028,Oferta!$E:$E,$E4028),$F4028)</f>
        <v/>
      </c>
      <c r="J4028" s="6" t="inlineStr">
        <is>
          <t>Derivado_da_Oferta</t>
        </is>
      </c>
      <c r="K4028" s="6" t="inlineStr">
        <is>
          <t>Mercado externo: limite superior calculado automaticamente pela soma da oferta do produto no período.</t>
        </is>
      </c>
    </row>
    <row r="4029">
      <c r="A4029" s="6" t="inlineStr">
        <is>
          <t>Soja</t>
        </is>
      </c>
      <c r="B4029" s="6" t="inlineStr">
        <is>
          <t>São Francisco do Sul - SC</t>
        </is>
      </c>
      <c r="C4029" s="6" t="n">
        <v>-26.2579</v>
      </c>
      <c r="D4029" s="6" t="n">
        <v>-48.6344</v>
      </c>
      <c r="E4029" s="6" t="inlineStr">
        <is>
          <t>2021-08</t>
        </is>
      </c>
      <c r="F4029" s="6" t="n"/>
      <c r="G4029" s="6" t="inlineStr">
        <is>
          <t>EXPORTACAO</t>
        </is>
      </c>
      <c r="H4029" s="6" t="inlineStr">
        <is>
          <t>AUTO_OFERTA_TOTAL_PRODUTO_PERIODO</t>
        </is>
      </c>
      <c r="I4029" s="11">
        <f>IF($H4029="AUTO_OFERTA_TOTAL_PRODUTO_PERIODO",SUMIFS(Oferta!$F:$F,Oferta!$A:$A,$A4029,Oferta!$E:$E,$E4029),$F4029)</f>
        <v/>
      </c>
      <c r="J4029" s="6" t="inlineStr">
        <is>
          <t>Derivado_da_Oferta</t>
        </is>
      </c>
      <c r="K4029" s="6" t="inlineStr">
        <is>
          <t>Mercado externo: limite superior calculado automaticamente pela soma da oferta do produto no período.</t>
        </is>
      </c>
    </row>
    <row r="4030">
      <c r="A4030" s="6" t="inlineStr">
        <is>
          <t>Soja</t>
        </is>
      </c>
      <c r="B4030" s="6" t="inlineStr">
        <is>
          <t>São Francisco do Sul - SC</t>
        </is>
      </c>
      <c r="C4030" s="6" t="n">
        <v>-26.2579</v>
      </c>
      <c r="D4030" s="6" t="n">
        <v>-48.6344</v>
      </c>
      <c r="E4030" s="6" t="inlineStr">
        <is>
          <t>2021-09</t>
        </is>
      </c>
      <c r="F4030" s="6" t="n"/>
      <c r="G4030" s="6" t="inlineStr">
        <is>
          <t>EXPORTACAO</t>
        </is>
      </c>
      <c r="H4030" s="6" t="inlineStr">
        <is>
          <t>AUTO_OFERTA_TOTAL_PRODUTO_PERIODO</t>
        </is>
      </c>
      <c r="I4030" s="11">
        <f>IF($H4030="AUTO_OFERTA_TOTAL_PRODUTO_PERIODO",SUMIFS(Oferta!$F:$F,Oferta!$A:$A,$A4030,Oferta!$E:$E,$E4030),$F4030)</f>
        <v/>
      </c>
      <c r="J4030" s="6" t="inlineStr">
        <is>
          <t>Derivado_da_Oferta</t>
        </is>
      </c>
      <c r="K4030" s="6" t="inlineStr">
        <is>
          <t>Mercado externo: limite superior calculado automaticamente pela soma da oferta do produto no período.</t>
        </is>
      </c>
    </row>
    <row r="4031">
      <c r="A4031" s="6" t="inlineStr">
        <is>
          <t>Soja</t>
        </is>
      </c>
      <c r="B4031" s="6" t="inlineStr">
        <is>
          <t>São Francisco do Sul - SC</t>
        </is>
      </c>
      <c r="C4031" s="6" t="n">
        <v>-26.2579</v>
      </c>
      <c r="D4031" s="6" t="n">
        <v>-48.6344</v>
      </c>
      <c r="E4031" s="6" t="inlineStr">
        <is>
          <t>2021-10</t>
        </is>
      </c>
      <c r="F4031" s="6" t="n"/>
      <c r="G4031" s="6" t="inlineStr">
        <is>
          <t>EXPORTACAO</t>
        </is>
      </c>
      <c r="H4031" s="6" t="inlineStr">
        <is>
          <t>AUTO_OFERTA_TOTAL_PRODUTO_PERIODO</t>
        </is>
      </c>
      <c r="I4031" s="11">
        <f>IF($H4031="AUTO_OFERTA_TOTAL_PRODUTO_PERIODO",SUMIFS(Oferta!$F:$F,Oferta!$A:$A,$A4031,Oferta!$E:$E,$E4031),$F4031)</f>
        <v/>
      </c>
      <c r="J4031" s="6" t="inlineStr">
        <is>
          <t>Derivado_da_Oferta</t>
        </is>
      </c>
      <c r="K4031" s="6" t="inlineStr">
        <is>
          <t>Mercado externo: limite superior calculado automaticamente pela soma da oferta do produto no período.</t>
        </is>
      </c>
    </row>
    <row r="4032">
      <c r="A4032" s="6" t="inlineStr">
        <is>
          <t>Soja</t>
        </is>
      </c>
      <c r="B4032" s="6" t="inlineStr">
        <is>
          <t>São Francisco do Sul - SC</t>
        </is>
      </c>
      <c r="C4032" s="6" t="n">
        <v>-26.2579</v>
      </c>
      <c r="D4032" s="6" t="n">
        <v>-48.6344</v>
      </c>
      <c r="E4032" s="6" t="inlineStr">
        <is>
          <t>2021-11</t>
        </is>
      </c>
      <c r="F4032" s="6" t="n"/>
      <c r="G4032" s="6" t="inlineStr">
        <is>
          <t>EXPORTACAO</t>
        </is>
      </c>
      <c r="H4032" s="6" t="inlineStr">
        <is>
          <t>AUTO_OFERTA_TOTAL_PRODUTO_PERIODO</t>
        </is>
      </c>
      <c r="I4032" s="11">
        <f>IF($H4032="AUTO_OFERTA_TOTAL_PRODUTO_PERIODO",SUMIFS(Oferta!$F:$F,Oferta!$A:$A,$A4032,Oferta!$E:$E,$E4032),$F4032)</f>
        <v/>
      </c>
      <c r="J4032" s="6" t="inlineStr">
        <is>
          <t>Derivado_da_Oferta</t>
        </is>
      </c>
      <c r="K4032" s="6" t="inlineStr">
        <is>
          <t>Mercado externo: limite superior calculado automaticamente pela soma da oferta do produto no período.</t>
        </is>
      </c>
    </row>
    <row r="4033">
      <c r="A4033" s="6" t="inlineStr">
        <is>
          <t>Soja</t>
        </is>
      </c>
      <c r="B4033" s="6" t="inlineStr">
        <is>
          <t>São Francisco do Sul - SC</t>
        </is>
      </c>
      <c r="C4033" s="6" t="n">
        <v>-26.2579</v>
      </c>
      <c r="D4033" s="6" t="n">
        <v>-48.6344</v>
      </c>
      <c r="E4033" s="6" t="inlineStr">
        <is>
          <t>2021-12</t>
        </is>
      </c>
      <c r="F4033" s="6" t="n"/>
      <c r="G4033" s="6" t="inlineStr">
        <is>
          <t>EXPORTACAO</t>
        </is>
      </c>
      <c r="H4033" s="6" t="inlineStr">
        <is>
          <t>AUTO_OFERTA_TOTAL_PRODUTO_PERIODO</t>
        </is>
      </c>
      <c r="I4033" s="11">
        <f>IF($H4033="AUTO_OFERTA_TOTAL_PRODUTO_PERIODO",SUMIFS(Oferta!$F:$F,Oferta!$A:$A,$A4033,Oferta!$E:$E,$E4033),$F4033)</f>
        <v/>
      </c>
      <c r="J4033" s="6" t="inlineStr">
        <is>
          <t>Derivado_da_Oferta</t>
        </is>
      </c>
      <c r="K4033" s="6" t="inlineStr">
        <is>
          <t>Mercado externo: limite superior calculado automaticamente pela soma da oferta do produto no período.</t>
        </is>
      </c>
    </row>
    <row r="4034">
      <c r="A4034" s="6" t="inlineStr">
        <is>
          <t>Soja</t>
        </is>
      </c>
      <c r="B4034" s="6" t="inlineStr">
        <is>
          <t>São Francisco do Sul - SC</t>
        </is>
      </c>
      <c r="C4034" s="6" t="n">
        <v>-26.2579</v>
      </c>
      <c r="D4034" s="6" t="n">
        <v>-48.6344</v>
      </c>
      <c r="E4034" s="6" t="inlineStr">
        <is>
          <t>2022-01</t>
        </is>
      </c>
      <c r="F4034" s="6" t="n"/>
      <c r="G4034" s="6" t="inlineStr">
        <is>
          <t>EXPORTACAO</t>
        </is>
      </c>
      <c r="H4034" s="6" t="inlineStr">
        <is>
          <t>AUTO_OFERTA_TOTAL_PRODUTO_PERIODO</t>
        </is>
      </c>
      <c r="I4034" s="11">
        <f>IF($H4034="AUTO_OFERTA_TOTAL_PRODUTO_PERIODO",SUMIFS(Oferta!$F:$F,Oferta!$A:$A,$A4034,Oferta!$E:$E,$E4034),$F4034)</f>
        <v/>
      </c>
      <c r="J4034" s="6" t="inlineStr">
        <is>
          <t>Derivado_da_Oferta</t>
        </is>
      </c>
      <c r="K4034" s="6" t="inlineStr">
        <is>
          <t>Mercado externo: limite superior calculado automaticamente pela soma da oferta do produto no período.</t>
        </is>
      </c>
    </row>
    <row r="4035">
      <c r="A4035" s="6" t="inlineStr">
        <is>
          <t>Soja</t>
        </is>
      </c>
      <c r="B4035" s="6" t="inlineStr">
        <is>
          <t>São Francisco do Sul - SC</t>
        </is>
      </c>
      <c r="C4035" s="6" t="n">
        <v>-26.2579</v>
      </c>
      <c r="D4035" s="6" t="n">
        <v>-48.6344</v>
      </c>
      <c r="E4035" s="6" t="inlineStr">
        <is>
          <t>2022-02</t>
        </is>
      </c>
      <c r="F4035" s="6" t="n"/>
      <c r="G4035" s="6" t="inlineStr">
        <is>
          <t>EXPORTACAO</t>
        </is>
      </c>
      <c r="H4035" s="6" t="inlineStr">
        <is>
          <t>AUTO_OFERTA_TOTAL_PRODUTO_PERIODO</t>
        </is>
      </c>
      <c r="I4035" s="11">
        <f>IF($H4035="AUTO_OFERTA_TOTAL_PRODUTO_PERIODO",SUMIFS(Oferta!$F:$F,Oferta!$A:$A,$A4035,Oferta!$E:$E,$E4035),$F4035)</f>
        <v/>
      </c>
      <c r="J4035" s="6" t="inlineStr">
        <is>
          <t>Derivado_da_Oferta</t>
        </is>
      </c>
      <c r="K4035" s="6" t="inlineStr">
        <is>
          <t>Mercado externo: limite superior calculado automaticamente pela soma da oferta do produto no período.</t>
        </is>
      </c>
    </row>
    <row r="4036">
      <c r="A4036" s="6" t="inlineStr">
        <is>
          <t>Soja</t>
        </is>
      </c>
      <c r="B4036" s="6" t="inlineStr">
        <is>
          <t>São Francisco do Sul - SC</t>
        </is>
      </c>
      <c r="C4036" s="6" t="n">
        <v>-26.2579</v>
      </c>
      <c r="D4036" s="6" t="n">
        <v>-48.6344</v>
      </c>
      <c r="E4036" s="6" t="inlineStr">
        <is>
          <t>2022-03</t>
        </is>
      </c>
      <c r="F4036" s="6" t="n"/>
      <c r="G4036" s="6" t="inlineStr">
        <is>
          <t>EXPORTACAO</t>
        </is>
      </c>
      <c r="H4036" s="6" t="inlineStr">
        <is>
          <t>AUTO_OFERTA_TOTAL_PRODUTO_PERIODO</t>
        </is>
      </c>
      <c r="I4036" s="11">
        <f>IF($H4036="AUTO_OFERTA_TOTAL_PRODUTO_PERIODO",SUMIFS(Oferta!$F:$F,Oferta!$A:$A,$A4036,Oferta!$E:$E,$E4036),$F4036)</f>
        <v/>
      </c>
      <c r="J4036" s="6" t="inlineStr">
        <is>
          <t>Derivado_da_Oferta</t>
        </is>
      </c>
      <c r="K4036" s="6" t="inlineStr">
        <is>
          <t>Mercado externo: limite superior calculado automaticamente pela soma da oferta do produto no período.</t>
        </is>
      </c>
    </row>
    <row r="4037">
      <c r="A4037" s="6" t="inlineStr">
        <is>
          <t>Soja</t>
        </is>
      </c>
      <c r="B4037" s="6" t="inlineStr">
        <is>
          <t>São Francisco do Sul - SC</t>
        </is>
      </c>
      <c r="C4037" s="6" t="n">
        <v>-26.2579</v>
      </c>
      <c r="D4037" s="6" t="n">
        <v>-48.6344</v>
      </c>
      <c r="E4037" s="6" t="inlineStr">
        <is>
          <t>2022-04</t>
        </is>
      </c>
      <c r="F4037" s="6" t="n"/>
      <c r="G4037" s="6" t="inlineStr">
        <is>
          <t>EXPORTACAO</t>
        </is>
      </c>
      <c r="H4037" s="6" t="inlineStr">
        <is>
          <t>AUTO_OFERTA_TOTAL_PRODUTO_PERIODO</t>
        </is>
      </c>
      <c r="I4037" s="11">
        <f>IF($H4037="AUTO_OFERTA_TOTAL_PRODUTO_PERIODO",SUMIFS(Oferta!$F:$F,Oferta!$A:$A,$A4037,Oferta!$E:$E,$E4037),$F4037)</f>
        <v/>
      </c>
      <c r="J4037" s="6" t="inlineStr">
        <is>
          <t>Derivado_da_Oferta</t>
        </is>
      </c>
      <c r="K4037" s="6" t="inlineStr">
        <is>
          <t>Mercado externo: limite superior calculado automaticamente pela soma da oferta do produto no período.</t>
        </is>
      </c>
    </row>
    <row r="4038">
      <c r="A4038" s="6" t="inlineStr">
        <is>
          <t>Soja</t>
        </is>
      </c>
      <c r="B4038" s="6" t="inlineStr">
        <is>
          <t>São Francisco do Sul - SC</t>
        </is>
      </c>
      <c r="C4038" s="6" t="n">
        <v>-26.2579</v>
      </c>
      <c r="D4038" s="6" t="n">
        <v>-48.6344</v>
      </c>
      <c r="E4038" s="6" t="inlineStr">
        <is>
          <t>2022-05</t>
        </is>
      </c>
      <c r="F4038" s="6" t="n"/>
      <c r="G4038" s="6" t="inlineStr">
        <is>
          <t>EXPORTACAO</t>
        </is>
      </c>
      <c r="H4038" s="6" t="inlineStr">
        <is>
          <t>AUTO_OFERTA_TOTAL_PRODUTO_PERIODO</t>
        </is>
      </c>
      <c r="I4038" s="11">
        <f>IF($H4038="AUTO_OFERTA_TOTAL_PRODUTO_PERIODO",SUMIFS(Oferta!$F:$F,Oferta!$A:$A,$A4038,Oferta!$E:$E,$E4038),$F4038)</f>
        <v/>
      </c>
      <c r="J4038" s="6" t="inlineStr">
        <is>
          <t>Derivado_da_Oferta</t>
        </is>
      </c>
      <c r="K4038" s="6" t="inlineStr">
        <is>
          <t>Mercado externo: limite superior calculado automaticamente pela soma da oferta do produto no período.</t>
        </is>
      </c>
    </row>
    <row r="4039">
      <c r="A4039" s="6" t="inlineStr">
        <is>
          <t>Soja</t>
        </is>
      </c>
      <c r="B4039" s="6" t="inlineStr">
        <is>
          <t>São Francisco do Sul - SC</t>
        </is>
      </c>
      <c r="C4039" s="6" t="n">
        <v>-26.2579</v>
      </c>
      <c r="D4039" s="6" t="n">
        <v>-48.6344</v>
      </c>
      <c r="E4039" s="6" t="inlineStr">
        <is>
          <t>2022-06</t>
        </is>
      </c>
      <c r="F4039" s="6" t="n"/>
      <c r="G4039" s="6" t="inlineStr">
        <is>
          <t>EXPORTACAO</t>
        </is>
      </c>
      <c r="H4039" s="6" t="inlineStr">
        <is>
          <t>AUTO_OFERTA_TOTAL_PRODUTO_PERIODO</t>
        </is>
      </c>
      <c r="I4039" s="11">
        <f>IF($H4039="AUTO_OFERTA_TOTAL_PRODUTO_PERIODO",SUMIFS(Oferta!$F:$F,Oferta!$A:$A,$A4039,Oferta!$E:$E,$E4039),$F4039)</f>
        <v/>
      </c>
      <c r="J4039" s="6" t="inlineStr">
        <is>
          <t>Derivado_da_Oferta</t>
        </is>
      </c>
      <c r="K4039" s="6" t="inlineStr">
        <is>
          <t>Mercado externo: limite superior calculado automaticamente pela soma da oferta do produto no período.</t>
        </is>
      </c>
    </row>
    <row r="4040">
      <c r="A4040" s="6" t="inlineStr">
        <is>
          <t>Soja</t>
        </is>
      </c>
      <c r="B4040" s="6" t="inlineStr">
        <is>
          <t>São Francisco do Sul - SC</t>
        </is>
      </c>
      <c r="C4040" s="6" t="n">
        <v>-26.2579</v>
      </c>
      <c r="D4040" s="6" t="n">
        <v>-48.6344</v>
      </c>
      <c r="E4040" s="6" t="inlineStr">
        <is>
          <t>2022-07</t>
        </is>
      </c>
      <c r="F4040" s="6" t="n"/>
      <c r="G4040" s="6" t="inlineStr">
        <is>
          <t>EXPORTACAO</t>
        </is>
      </c>
      <c r="H4040" s="6" t="inlineStr">
        <is>
          <t>AUTO_OFERTA_TOTAL_PRODUTO_PERIODO</t>
        </is>
      </c>
      <c r="I4040" s="11">
        <f>IF($H4040="AUTO_OFERTA_TOTAL_PRODUTO_PERIODO",SUMIFS(Oferta!$F:$F,Oferta!$A:$A,$A4040,Oferta!$E:$E,$E4040),$F4040)</f>
        <v/>
      </c>
      <c r="J4040" s="6" t="inlineStr">
        <is>
          <t>Derivado_da_Oferta</t>
        </is>
      </c>
      <c r="K4040" s="6" t="inlineStr">
        <is>
          <t>Mercado externo: limite superior calculado automaticamente pela soma da oferta do produto no período.</t>
        </is>
      </c>
    </row>
    <row r="4041">
      <c r="A4041" s="6" t="inlineStr">
        <is>
          <t>Soja</t>
        </is>
      </c>
      <c r="B4041" s="6" t="inlineStr">
        <is>
          <t>São Francisco do Sul - SC</t>
        </is>
      </c>
      <c r="C4041" s="6" t="n">
        <v>-26.2579</v>
      </c>
      <c r="D4041" s="6" t="n">
        <v>-48.6344</v>
      </c>
      <c r="E4041" s="6" t="inlineStr">
        <is>
          <t>2022-08</t>
        </is>
      </c>
      <c r="F4041" s="6" t="n"/>
      <c r="G4041" s="6" t="inlineStr">
        <is>
          <t>EXPORTACAO</t>
        </is>
      </c>
      <c r="H4041" s="6" t="inlineStr">
        <is>
          <t>AUTO_OFERTA_TOTAL_PRODUTO_PERIODO</t>
        </is>
      </c>
      <c r="I4041" s="11">
        <f>IF($H4041="AUTO_OFERTA_TOTAL_PRODUTO_PERIODO",SUMIFS(Oferta!$F:$F,Oferta!$A:$A,$A4041,Oferta!$E:$E,$E4041),$F4041)</f>
        <v/>
      </c>
      <c r="J4041" s="6" t="inlineStr">
        <is>
          <t>Derivado_da_Oferta</t>
        </is>
      </c>
      <c r="K4041" s="6" t="inlineStr">
        <is>
          <t>Mercado externo: limite superior calculado automaticamente pela soma da oferta do produto no período.</t>
        </is>
      </c>
    </row>
    <row r="4042">
      <c r="A4042" s="6" t="inlineStr">
        <is>
          <t>Soja</t>
        </is>
      </c>
      <c r="B4042" s="6" t="inlineStr">
        <is>
          <t>São Francisco do Sul - SC</t>
        </is>
      </c>
      <c r="C4042" s="6" t="n">
        <v>-26.2579</v>
      </c>
      <c r="D4042" s="6" t="n">
        <v>-48.6344</v>
      </c>
      <c r="E4042" s="6" t="inlineStr">
        <is>
          <t>2022-09</t>
        </is>
      </c>
      <c r="F4042" s="6" t="n"/>
      <c r="G4042" s="6" t="inlineStr">
        <is>
          <t>EXPORTACAO</t>
        </is>
      </c>
      <c r="H4042" s="6" t="inlineStr">
        <is>
          <t>AUTO_OFERTA_TOTAL_PRODUTO_PERIODO</t>
        </is>
      </c>
      <c r="I4042" s="11">
        <f>IF($H4042="AUTO_OFERTA_TOTAL_PRODUTO_PERIODO",SUMIFS(Oferta!$F:$F,Oferta!$A:$A,$A4042,Oferta!$E:$E,$E4042),$F4042)</f>
        <v/>
      </c>
      <c r="J4042" s="6" t="inlineStr">
        <is>
          <t>Derivado_da_Oferta</t>
        </is>
      </c>
      <c r="K4042" s="6" t="inlineStr">
        <is>
          <t>Mercado externo: limite superior calculado automaticamente pela soma da oferta do produto no período.</t>
        </is>
      </c>
    </row>
    <row r="4043">
      <c r="A4043" s="6" t="inlineStr">
        <is>
          <t>Soja</t>
        </is>
      </c>
      <c r="B4043" s="6" t="inlineStr">
        <is>
          <t>São Francisco do Sul - SC</t>
        </is>
      </c>
      <c r="C4043" s="6" t="n">
        <v>-26.2579</v>
      </c>
      <c r="D4043" s="6" t="n">
        <v>-48.6344</v>
      </c>
      <c r="E4043" s="6" t="inlineStr">
        <is>
          <t>2022-10</t>
        </is>
      </c>
      <c r="F4043" s="6" t="n"/>
      <c r="G4043" s="6" t="inlineStr">
        <is>
          <t>EXPORTACAO</t>
        </is>
      </c>
      <c r="H4043" s="6" t="inlineStr">
        <is>
          <t>AUTO_OFERTA_TOTAL_PRODUTO_PERIODO</t>
        </is>
      </c>
      <c r="I4043" s="11">
        <f>IF($H4043="AUTO_OFERTA_TOTAL_PRODUTO_PERIODO",SUMIFS(Oferta!$F:$F,Oferta!$A:$A,$A4043,Oferta!$E:$E,$E4043),$F4043)</f>
        <v/>
      </c>
      <c r="J4043" s="6" t="inlineStr">
        <is>
          <t>Derivado_da_Oferta</t>
        </is>
      </c>
      <c r="K4043" s="6" t="inlineStr">
        <is>
          <t>Mercado externo: limite superior calculado automaticamente pela soma da oferta do produto no período.</t>
        </is>
      </c>
    </row>
    <row r="4044">
      <c r="A4044" s="6" t="inlineStr">
        <is>
          <t>Soja</t>
        </is>
      </c>
      <c r="B4044" s="6" t="inlineStr">
        <is>
          <t>São Francisco do Sul - SC</t>
        </is>
      </c>
      <c r="C4044" s="6" t="n">
        <v>-26.2579</v>
      </c>
      <c r="D4044" s="6" t="n">
        <v>-48.6344</v>
      </c>
      <c r="E4044" s="6" t="inlineStr">
        <is>
          <t>2022-11</t>
        </is>
      </c>
      <c r="F4044" s="6" t="n"/>
      <c r="G4044" s="6" t="inlineStr">
        <is>
          <t>EXPORTACAO</t>
        </is>
      </c>
      <c r="H4044" s="6" t="inlineStr">
        <is>
          <t>AUTO_OFERTA_TOTAL_PRODUTO_PERIODO</t>
        </is>
      </c>
      <c r="I4044" s="11">
        <f>IF($H4044="AUTO_OFERTA_TOTAL_PRODUTO_PERIODO",SUMIFS(Oferta!$F:$F,Oferta!$A:$A,$A4044,Oferta!$E:$E,$E4044),$F4044)</f>
        <v/>
      </c>
      <c r="J4044" s="6" t="inlineStr">
        <is>
          <t>Derivado_da_Oferta</t>
        </is>
      </c>
      <c r="K4044" s="6" t="inlineStr">
        <is>
          <t>Mercado externo: limite superior calculado automaticamente pela soma da oferta do produto no período.</t>
        </is>
      </c>
    </row>
    <row r="4045">
      <c r="A4045" s="6" t="inlineStr">
        <is>
          <t>Soja</t>
        </is>
      </c>
      <c r="B4045" s="6" t="inlineStr">
        <is>
          <t>São Francisco do Sul - SC</t>
        </is>
      </c>
      <c r="C4045" s="6" t="n">
        <v>-26.2579</v>
      </c>
      <c r="D4045" s="6" t="n">
        <v>-48.6344</v>
      </c>
      <c r="E4045" s="6" t="inlineStr">
        <is>
          <t>2022-12</t>
        </is>
      </c>
      <c r="F4045" s="6" t="n"/>
      <c r="G4045" s="6" t="inlineStr">
        <is>
          <t>EXPORTACAO</t>
        </is>
      </c>
      <c r="H4045" s="6" t="inlineStr">
        <is>
          <t>AUTO_OFERTA_TOTAL_PRODUTO_PERIODO</t>
        </is>
      </c>
      <c r="I4045" s="11">
        <f>IF($H4045="AUTO_OFERTA_TOTAL_PRODUTO_PERIODO",SUMIFS(Oferta!$F:$F,Oferta!$A:$A,$A4045,Oferta!$E:$E,$E4045),$F4045)</f>
        <v/>
      </c>
      <c r="J4045" s="6" t="inlineStr">
        <is>
          <t>Derivado_da_Oferta</t>
        </is>
      </c>
      <c r="K4045" s="6" t="inlineStr">
        <is>
          <t>Mercado externo: limite superior calculado automaticamente pela soma da oferta do produto no período.</t>
        </is>
      </c>
    </row>
    <row r="4046">
      <c r="A4046" s="6" t="inlineStr">
        <is>
          <t>Soja</t>
        </is>
      </c>
      <c r="B4046" s="6" t="inlineStr">
        <is>
          <t>São Francisco do Sul - SC</t>
        </is>
      </c>
      <c r="C4046" s="6" t="n">
        <v>-26.2579</v>
      </c>
      <c r="D4046" s="6" t="n">
        <v>-48.6344</v>
      </c>
      <c r="E4046" s="6" t="inlineStr">
        <is>
          <t>2023-01</t>
        </is>
      </c>
      <c r="F4046" s="6" t="n"/>
      <c r="G4046" s="6" t="inlineStr">
        <is>
          <t>EXPORTACAO</t>
        </is>
      </c>
      <c r="H4046" s="6" t="inlineStr">
        <is>
          <t>AUTO_OFERTA_TOTAL_PRODUTO_PERIODO</t>
        </is>
      </c>
      <c r="I4046" s="11">
        <f>IF($H4046="AUTO_OFERTA_TOTAL_PRODUTO_PERIODO",SUMIFS(Oferta!$F:$F,Oferta!$A:$A,$A4046,Oferta!$E:$E,$E4046),$F4046)</f>
        <v/>
      </c>
      <c r="J4046" s="6" t="inlineStr">
        <is>
          <t>Derivado_da_Oferta</t>
        </is>
      </c>
      <c r="K4046" s="6" t="inlineStr">
        <is>
          <t>Mercado externo: limite superior calculado automaticamente pela soma da oferta do produto no período.</t>
        </is>
      </c>
    </row>
    <row r="4047">
      <c r="A4047" s="6" t="inlineStr">
        <is>
          <t>Soja</t>
        </is>
      </c>
      <c r="B4047" s="6" t="inlineStr">
        <is>
          <t>São Francisco do Sul - SC</t>
        </is>
      </c>
      <c r="C4047" s="6" t="n">
        <v>-26.2579</v>
      </c>
      <c r="D4047" s="6" t="n">
        <v>-48.6344</v>
      </c>
      <c r="E4047" s="6" t="inlineStr">
        <is>
          <t>2023-02</t>
        </is>
      </c>
      <c r="F4047" s="6" t="n"/>
      <c r="G4047" s="6" t="inlineStr">
        <is>
          <t>EXPORTACAO</t>
        </is>
      </c>
      <c r="H4047" s="6" t="inlineStr">
        <is>
          <t>AUTO_OFERTA_TOTAL_PRODUTO_PERIODO</t>
        </is>
      </c>
      <c r="I4047" s="11">
        <f>IF($H4047="AUTO_OFERTA_TOTAL_PRODUTO_PERIODO",SUMIFS(Oferta!$F:$F,Oferta!$A:$A,$A4047,Oferta!$E:$E,$E4047),$F4047)</f>
        <v/>
      </c>
      <c r="J4047" s="6" t="inlineStr">
        <is>
          <t>Derivado_da_Oferta</t>
        </is>
      </c>
      <c r="K4047" s="6" t="inlineStr">
        <is>
          <t>Mercado externo: limite superior calculado automaticamente pela soma da oferta do produto no período.</t>
        </is>
      </c>
    </row>
    <row r="4048">
      <c r="A4048" s="6" t="inlineStr">
        <is>
          <t>Soja</t>
        </is>
      </c>
      <c r="B4048" s="6" t="inlineStr">
        <is>
          <t>São Francisco do Sul - SC</t>
        </is>
      </c>
      <c r="C4048" s="6" t="n">
        <v>-26.2579</v>
      </c>
      <c r="D4048" s="6" t="n">
        <v>-48.6344</v>
      </c>
      <c r="E4048" s="6" t="inlineStr">
        <is>
          <t>2023-03</t>
        </is>
      </c>
      <c r="F4048" s="6" t="n"/>
      <c r="G4048" s="6" t="inlineStr">
        <is>
          <t>EXPORTACAO</t>
        </is>
      </c>
      <c r="H4048" s="6" t="inlineStr">
        <is>
          <t>AUTO_OFERTA_TOTAL_PRODUTO_PERIODO</t>
        </is>
      </c>
      <c r="I4048" s="11">
        <f>IF($H4048="AUTO_OFERTA_TOTAL_PRODUTO_PERIODO",SUMIFS(Oferta!$F:$F,Oferta!$A:$A,$A4048,Oferta!$E:$E,$E4048),$F4048)</f>
        <v/>
      </c>
      <c r="J4048" s="6" t="inlineStr">
        <is>
          <t>Derivado_da_Oferta</t>
        </is>
      </c>
      <c r="K4048" s="6" t="inlineStr">
        <is>
          <t>Mercado externo: limite superior calculado automaticamente pela soma da oferta do produto no período.</t>
        </is>
      </c>
    </row>
    <row r="4049">
      <c r="A4049" s="6" t="inlineStr">
        <is>
          <t>Soja</t>
        </is>
      </c>
      <c r="B4049" s="6" t="inlineStr">
        <is>
          <t>São Francisco do Sul - SC</t>
        </is>
      </c>
      <c r="C4049" s="6" t="n">
        <v>-26.2579</v>
      </c>
      <c r="D4049" s="6" t="n">
        <v>-48.6344</v>
      </c>
      <c r="E4049" s="6" t="inlineStr">
        <is>
          <t>2023-04</t>
        </is>
      </c>
      <c r="F4049" s="6" t="n"/>
      <c r="G4049" s="6" t="inlineStr">
        <is>
          <t>EXPORTACAO</t>
        </is>
      </c>
      <c r="H4049" s="6" t="inlineStr">
        <is>
          <t>AUTO_OFERTA_TOTAL_PRODUTO_PERIODO</t>
        </is>
      </c>
      <c r="I4049" s="11">
        <f>IF($H4049="AUTO_OFERTA_TOTAL_PRODUTO_PERIODO",SUMIFS(Oferta!$F:$F,Oferta!$A:$A,$A4049,Oferta!$E:$E,$E4049),$F4049)</f>
        <v/>
      </c>
      <c r="J4049" s="6" t="inlineStr">
        <is>
          <t>Derivado_da_Oferta</t>
        </is>
      </c>
      <c r="K4049" s="6" t="inlineStr">
        <is>
          <t>Mercado externo: limite superior calculado automaticamente pela soma da oferta do produto no período.</t>
        </is>
      </c>
    </row>
    <row r="4050">
      <c r="A4050" s="6" t="inlineStr">
        <is>
          <t>Soja</t>
        </is>
      </c>
      <c r="B4050" s="6" t="inlineStr">
        <is>
          <t>São Francisco do Sul - SC</t>
        </is>
      </c>
      <c r="C4050" s="6" t="n">
        <v>-26.2579</v>
      </c>
      <c r="D4050" s="6" t="n">
        <v>-48.6344</v>
      </c>
      <c r="E4050" s="6" t="inlineStr">
        <is>
          <t>2023-05</t>
        </is>
      </c>
      <c r="F4050" s="6" t="n"/>
      <c r="G4050" s="6" t="inlineStr">
        <is>
          <t>EXPORTACAO</t>
        </is>
      </c>
      <c r="H4050" s="6" t="inlineStr">
        <is>
          <t>AUTO_OFERTA_TOTAL_PRODUTO_PERIODO</t>
        </is>
      </c>
      <c r="I4050" s="11">
        <f>IF($H4050="AUTO_OFERTA_TOTAL_PRODUTO_PERIODO",SUMIFS(Oferta!$F:$F,Oferta!$A:$A,$A4050,Oferta!$E:$E,$E4050),$F4050)</f>
        <v/>
      </c>
      <c r="J4050" s="6" t="inlineStr">
        <is>
          <t>Derivado_da_Oferta</t>
        </is>
      </c>
      <c r="K4050" s="6" t="inlineStr">
        <is>
          <t>Mercado externo: limite superior calculado automaticamente pela soma da oferta do produto no período.</t>
        </is>
      </c>
    </row>
    <row r="4051">
      <c r="A4051" s="6" t="inlineStr">
        <is>
          <t>Soja</t>
        </is>
      </c>
      <c r="B4051" s="6" t="inlineStr">
        <is>
          <t>São Francisco do Sul - SC</t>
        </is>
      </c>
      <c r="C4051" s="6" t="n">
        <v>-26.2579</v>
      </c>
      <c r="D4051" s="6" t="n">
        <v>-48.6344</v>
      </c>
      <c r="E4051" s="6" t="inlineStr">
        <is>
          <t>2023-06</t>
        </is>
      </c>
      <c r="F4051" s="6" t="n"/>
      <c r="G4051" s="6" t="inlineStr">
        <is>
          <t>EXPORTACAO</t>
        </is>
      </c>
      <c r="H4051" s="6" t="inlineStr">
        <is>
          <t>AUTO_OFERTA_TOTAL_PRODUTO_PERIODO</t>
        </is>
      </c>
      <c r="I4051" s="11">
        <f>IF($H4051="AUTO_OFERTA_TOTAL_PRODUTO_PERIODO",SUMIFS(Oferta!$F:$F,Oferta!$A:$A,$A4051,Oferta!$E:$E,$E4051),$F4051)</f>
        <v/>
      </c>
      <c r="J4051" s="6" t="inlineStr">
        <is>
          <t>Derivado_da_Oferta</t>
        </is>
      </c>
      <c r="K4051" s="6" t="inlineStr">
        <is>
          <t>Mercado externo: limite superior calculado automaticamente pela soma da oferta do produto no período.</t>
        </is>
      </c>
    </row>
    <row r="4052">
      <c r="A4052" s="6" t="inlineStr">
        <is>
          <t>Soja</t>
        </is>
      </c>
      <c r="B4052" s="6" t="inlineStr">
        <is>
          <t>São Francisco do Sul - SC</t>
        </is>
      </c>
      <c r="C4052" s="6" t="n">
        <v>-26.2579</v>
      </c>
      <c r="D4052" s="6" t="n">
        <v>-48.6344</v>
      </c>
      <c r="E4052" s="6" t="inlineStr">
        <is>
          <t>2023-07</t>
        </is>
      </c>
      <c r="F4052" s="6" t="n"/>
      <c r="G4052" s="6" t="inlineStr">
        <is>
          <t>EXPORTACAO</t>
        </is>
      </c>
      <c r="H4052" s="6" t="inlineStr">
        <is>
          <t>AUTO_OFERTA_TOTAL_PRODUTO_PERIODO</t>
        </is>
      </c>
      <c r="I4052" s="11">
        <f>IF($H4052="AUTO_OFERTA_TOTAL_PRODUTO_PERIODO",SUMIFS(Oferta!$F:$F,Oferta!$A:$A,$A4052,Oferta!$E:$E,$E4052),$F4052)</f>
        <v/>
      </c>
      <c r="J4052" s="6" t="inlineStr">
        <is>
          <t>Derivado_da_Oferta</t>
        </is>
      </c>
      <c r="K4052" s="6" t="inlineStr">
        <is>
          <t>Mercado externo: limite superior calculado automaticamente pela soma da oferta do produto no período.</t>
        </is>
      </c>
    </row>
    <row r="4053">
      <c r="A4053" s="6" t="inlineStr">
        <is>
          <t>Soja</t>
        </is>
      </c>
      <c r="B4053" s="6" t="inlineStr">
        <is>
          <t>São Francisco do Sul - SC</t>
        </is>
      </c>
      <c r="C4053" s="6" t="n">
        <v>-26.2579</v>
      </c>
      <c r="D4053" s="6" t="n">
        <v>-48.6344</v>
      </c>
      <c r="E4053" s="6" t="inlineStr">
        <is>
          <t>2023-08</t>
        </is>
      </c>
      <c r="F4053" s="6" t="n"/>
      <c r="G4053" s="6" t="inlineStr">
        <is>
          <t>EXPORTACAO</t>
        </is>
      </c>
      <c r="H4053" s="6" t="inlineStr">
        <is>
          <t>AUTO_OFERTA_TOTAL_PRODUTO_PERIODO</t>
        </is>
      </c>
      <c r="I4053" s="11">
        <f>IF($H4053="AUTO_OFERTA_TOTAL_PRODUTO_PERIODO",SUMIFS(Oferta!$F:$F,Oferta!$A:$A,$A4053,Oferta!$E:$E,$E4053),$F4053)</f>
        <v/>
      </c>
      <c r="J4053" s="6" t="inlineStr">
        <is>
          <t>Derivado_da_Oferta</t>
        </is>
      </c>
      <c r="K4053" s="6" t="inlineStr">
        <is>
          <t>Mercado externo: limite superior calculado automaticamente pela soma da oferta do produto no período.</t>
        </is>
      </c>
    </row>
    <row r="4054">
      <c r="A4054" s="6" t="inlineStr">
        <is>
          <t>Soja</t>
        </is>
      </c>
      <c r="B4054" s="6" t="inlineStr">
        <is>
          <t>São Francisco do Sul - SC</t>
        </is>
      </c>
      <c r="C4054" s="6" t="n">
        <v>-26.2579</v>
      </c>
      <c r="D4054" s="6" t="n">
        <v>-48.6344</v>
      </c>
      <c r="E4054" s="6" t="inlineStr">
        <is>
          <t>2023-09</t>
        </is>
      </c>
      <c r="F4054" s="6" t="n"/>
      <c r="G4054" s="6" t="inlineStr">
        <is>
          <t>EXPORTACAO</t>
        </is>
      </c>
      <c r="H4054" s="6" t="inlineStr">
        <is>
          <t>AUTO_OFERTA_TOTAL_PRODUTO_PERIODO</t>
        </is>
      </c>
      <c r="I4054" s="11">
        <f>IF($H4054="AUTO_OFERTA_TOTAL_PRODUTO_PERIODO",SUMIFS(Oferta!$F:$F,Oferta!$A:$A,$A4054,Oferta!$E:$E,$E4054),$F4054)</f>
        <v/>
      </c>
      <c r="J4054" s="6" t="inlineStr">
        <is>
          <t>Derivado_da_Oferta</t>
        </is>
      </c>
      <c r="K4054" s="6" t="inlineStr">
        <is>
          <t>Mercado externo: limite superior calculado automaticamente pela soma da oferta do produto no período.</t>
        </is>
      </c>
    </row>
    <row r="4055">
      <c r="A4055" s="6" t="inlineStr">
        <is>
          <t>Soja</t>
        </is>
      </c>
      <c r="B4055" s="6" t="inlineStr">
        <is>
          <t>São Francisco do Sul - SC</t>
        </is>
      </c>
      <c r="C4055" s="6" t="n">
        <v>-26.2579</v>
      </c>
      <c r="D4055" s="6" t="n">
        <v>-48.6344</v>
      </c>
      <c r="E4055" s="6" t="inlineStr">
        <is>
          <t>2023-10</t>
        </is>
      </c>
      <c r="F4055" s="6" t="n"/>
      <c r="G4055" s="6" t="inlineStr">
        <is>
          <t>EXPORTACAO</t>
        </is>
      </c>
      <c r="H4055" s="6" t="inlineStr">
        <is>
          <t>AUTO_OFERTA_TOTAL_PRODUTO_PERIODO</t>
        </is>
      </c>
      <c r="I4055" s="11">
        <f>IF($H4055="AUTO_OFERTA_TOTAL_PRODUTO_PERIODO",SUMIFS(Oferta!$F:$F,Oferta!$A:$A,$A4055,Oferta!$E:$E,$E4055),$F4055)</f>
        <v/>
      </c>
      <c r="J4055" s="6" t="inlineStr">
        <is>
          <t>Derivado_da_Oferta</t>
        </is>
      </c>
      <c r="K4055" s="6" t="inlineStr">
        <is>
          <t>Mercado externo: limite superior calculado automaticamente pela soma da oferta do produto no período.</t>
        </is>
      </c>
    </row>
    <row r="4056">
      <c r="A4056" s="6" t="inlineStr">
        <is>
          <t>Soja</t>
        </is>
      </c>
      <c r="B4056" s="6" t="inlineStr">
        <is>
          <t>São Francisco do Sul - SC</t>
        </is>
      </c>
      <c r="C4056" s="6" t="n">
        <v>-26.2579</v>
      </c>
      <c r="D4056" s="6" t="n">
        <v>-48.6344</v>
      </c>
      <c r="E4056" s="6" t="inlineStr">
        <is>
          <t>2023-11</t>
        </is>
      </c>
      <c r="F4056" s="6" t="n"/>
      <c r="G4056" s="6" t="inlineStr">
        <is>
          <t>EXPORTACAO</t>
        </is>
      </c>
      <c r="H4056" s="6" t="inlineStr">
        <is>
          <t>AUTO_OFERTA_TOTAL_PRODUTO_PERIODO</t>
        </is>
      </c>
      <c r="I4056" s="11">
        <f>IF($H4056="AUTO_OFERTA_TOTAL_PRODUTO_PERIODO",SUMIFS(Oferta!$F:$F,Oferta!$A:$A,$A4056,Oferta!$E:$E,$E4056),$F4056)</f>
        <v/>
      </c>
      <c r="J4056" s="6" t="inlineStr">
        <is>
          <t>Derivado_da_Oferta</t>
        </is>
      </c>
      <c r="K4056" s="6" t="inlineStr">
        <is>
          <t>Mercado externo: limite superior calculado automaticamente pela soma da oferta do produto no período.</t>
        </is>
      </c>
    </row>
    <row r="4057">
      <c r="A4057" s="6" t="inlineStr">
        <is>
          <t>Soja</t>
        </is>
      </c>
      <c r="B4057" s="6" t="inlineStr">
        <is>
          <t>São Francisco do Sul - SC</t>
        </is>
      </c>
      <c r="C4057" s="6" t="n">
        <v>-26.2579</v>
      </c>
      <c r="D4057" s="6" t="n">
        <v>-48.6344</v>
      </c>
      <c r="E4057" s="6" t="inlineStr">
        <is>
          <t>2023-12</t>
        </is>
      </c>
      <c r="F4057" s="6" t="n"/>
      <c r="G4057" s="6" t="inlineStr">
        <is>
          <t>EXPORTACAO</t>
        </is>
      </c>
      <c r="H4057" s="6" t="inlineStr">
        <is>
          <t>AUTO_OFERTA_TOTAL_PRODUTO_PERIODO</t>
        </is>
      </c>
      <c r="I4057" s="11">
        <f>IF($H4057="AUTO_OFERTA_TOTAL_PRODUTO_PERIODO",SUMIFS(Oferta!$F:$F,Oferta!$A:$A,$A4057,Oferta!$E:$E,$E4057),$F4057)</f>
        <v/>
      </c>
      <c r="J4057" s="6" t="inlineStr">
        <is>
          <t>Derivado_da_Oferta</t>
        </is>
      </c>
      <c r="K4057" s="6" t="inlineStr">
        <is>
          <t>Mercado externo: limite superior calculado automaticamente pela soma da oferta do produto no período.</t>
        </is>
      </c>
    </row>
    <row r="4058">
      <c r="A4058" s="6" t="inlineStr">
        <is>
          <t>Soja</t>
        </is>
      </c>
      <c r="B4058" s="6" t="inlineStr">
        <is>
          <t>São Francisco do Sul - SC</t>
        </is>
      </c>
      <c r="C4058" s="6" t="n">
        <v>-26.2579</v>
      </c>
      <c r="D4058" s="6" t="n">
        <v>-48.6344</v>
      </c>
      <c r="E4058" s="6" t="inlineStr">
        <is>
          <t>2024-01</t>
        </is>
      </c>
      <c r="F4058" s="6" t="n"/>
      <c r="G4058" s="6" t="inlineStr">
        <is>
          <t>EXPORTACAO</t>
        </is>
      </c>
      <c r="H4058" s="6" t="inlineStr">
        <is>
          <t>AUTO_OFERTA_TOTAL_PRODUTO_PERIODO</t>
        </is>
      </c>
      <c r="I4058" s="11">
        <f>IF($H4058="AUTO_OFERTA_TOTAL_PRODUTO_PERIODO",SUMIFS(Oferta!$F:$F,Oferta!$A:$A,$A4058,Oferta!$E:$E,$E4058),$F4058)</f>
        <v/>
      </c>
      <c r="J4058" s="6" t="inlineStr">
        <is>
          <t>Derivado_da_Oferta</t>
        </is>
      </c>
      <c r="K4058" s="6" t="inlineStr">
        <is>
          <t>Mercado externo: limite superior calculado automaticamente pela soma da oferta do produto no período.</t>
        </is>
      </c>
    </row>
    <row r="4059">
      <c r="A4059" s="6" t="inlineStr">
        <is>
          <t>Soja</t>
        </is>
      </c>
      <c r="B4059" s="6" t="inlineStr">
        <is>
          <t>São Francisco do Sul - SC</t>
        </is>
      </c>
      <c r="C4059" s="6" t="n">
        <v>-26.2579</v>
      </c>
      <c r="D4059" s="6" t="n">
        <v>-48.6344</v>
      </c>
      <c r="E4059" s="6" t="inlineStr">
        <is>
          <t>2024-02</t>
        </is>
      </c>
      <c r="F4059" s="6" t="n"/>
      <c r="G4059" s="6" t="inlineStr">
        <is>
          <t>EXPORTACAO</t>
        </is>
      </c>
      <c r="H4059" s="6" t="inlineStr">
        <is>
          <t>AUTO_OFERTA_TOTAL_PRODUTO_PERIODO</t>
        </is>
      </c>
      <c r="I4059" s="11">
        <f>IF($H4059="AUTO_OFERTA_TOTAL_PRODUTO_PERIODO",SUMIFS(Oferta!$F:$F,Oferta!$A:$A,$A4059,Oferta!$E:$E,$E4059),$F4059)</f>
        <v/>
      </c>
      <c r="J4059" s="6" t="inlineStr">
        <is>
          <t>Derivado_da_Oferta</t>
        </is>
      </c>
      <c r="K4059" s="6" t="inlineStr">
        <is>
          <t>Mercado externo: limite superior calculado automaticamente pela soma da oferta do produto no período.</t>
        </is>
      </c>
    </row>
    <row r="4060">
      <c r="A4060" s="6" t="inlineStr">
        <is>
          <t>Soja</t>
        </is>
      </c>
      <c r="B4060" s="6" t="inlineStr">
        <is>
          <t>São Francisco do Sul - SC</t>
        </is>
      </c>
      <c r="C4060" s="6" t="n">
        <v>-26.2579</v>
      </c>
      <c r="D4060" s="6" t="n">
        <v>-48.6344</v>
      </c>
      <c r="E4060" s="6" t="inlineStr">
        <is>
          <t>2024-03</t>
        </is>
      </c>
      <c r="F4060" s="6" t="n"/>
      <c r="G4060" s="6" t="inlineStr">
        <is>
          <t>EXPORTACAO</t>
        </is>
      </c>
      <c r="H4060" s="6" t="inlineStr">
        <is>
          <t>AUTO_OFERTA_TOTAL_PRODUTO_PERIODO</t>
        </is>
      </c>
      <c r="I4060" s="11">
        <f>IF($H4060="AUTO_OFERTA_TOTAL_PRODUTO_PERIODO",SUMIFS(Oferta!$F:$F,Oferta!$A:$A,$A4060,Oferta!$E:$E,$E4060),$F4060)</f>
        <v/>
      </c>
      <c r="J4060" s="6" t="inlineStr">
        <is>
          <t>Derivado_da_Oferta</t>
        </is>
      </c>
      <c r="K4060" s="6" t="inlineStr">
        <is>
          <t>Mercado externo: limite superior calculado automaticamente pela soma da oferta do produto no período.</t>
        </is>
      </c>
    </row>
    <row r="4061">
      <c r="A4061" s="6" t="inlineStr">
        <is>
          <t>Soja</t>
        </is>
      </c>
      <c r="B4061" s="6" t="inlineStr">
        <is>
          <t>São Francisco do Sul - SC</t>
        </is>
      </c>
      <c r="C4061" s="6" t="n">
        <v>-26.2579</v>
      </c>
      <c r="D4061" s="6" t="n">
        <v>-48.6344</v>
      </c>
      <c r="E4061" s="6" t="inlineStr">
        <is>
          <t>2024-04</t>
        </is>
      </c>
      <c r="F4061" s="6" t="n"/>
      <c r="G4061" s="6" t="inlineStr">
        <is>
          <t>EXPORTACAO</t>
        </is>
      </c>
      <c r="H4061" s="6" t="inlineStr">
        <is>
          <t>AUTO_OFERTA_TOTAL_PRODUTO_PERIODO</t>
        </is>
      </c>
      <c r="I4061" s="11">
        <f>IF($H4061="AUTO_OFERTA_TOTAL_PRODUTO_PERIODO",SUMIFS(Oferta!$F:$F,Oferta!$A:$A,$A4061,Oferta!$E:$E,$E4061),$F4061)</f>
        <v/>
      </c>
      <c r="J4061" s="6" t="inlineStr">
        <is>
          <t>Derivado_da_Oferta</t>
        </is>
      </c>
      <c r="K4061" s="6" t="inlineStr">
        <is>
          <t>Mercado externo: limite superior calculado automaticamente pela soma da oferta do produto no período.</t>
        </is>
      </c>
    </row>
    <row r="4062">
      <c r="A4062" s="6" t="inlineStr">
        <is>
          <t>Soja</t>
        </is>
      </c>
      <c r="B4062" s="6" t="inlineStr">
        <is>
          <t>São Francisco do Sul - SC</t>
        </is>
      </c>
      <c r="C4062" s="6" t="n">
        <v>-26.2579</v>
      </c>
      <c r="D4062" s="6" t="n">
        <v>-48.6344</v>
      </c>
      <c r="E4062" s="6" t="inlineStr">
        <is>
          <t>2024-05</t>
        </is>
      </c>
      <c r="F4062" s="6" t="n"/>
      <c r="G4062" s="6" t="inlineStr">
        <is>
          <t>EXPORTACAO</t>
        </is>
      </c>
      <c r="H4062" s="6" t="inlineStr">
        <is>
          <t>AUTO_OFERTA_TOTAL_PRODUTO_PERIODO</t>
        </is>
      </c>
      <c r="I4062" s="11">
        <f>IF($H4062="AUTO_OFERTA_TOTAL_PRODUTO_PERIODO",SUMIFS(Oferta!$F:$F,Oferta!$A:$A,$A4062,Oferta!$E:$E,$E4062),$F4062)</f>
        <v/>
      </c>
      <c r="J4062" s="6" t="inlineStr">
        <is>
          <t>Derivado_da_Oferta</t>
        </is>
      </c>
      <c r="K4062" s="6" t="inlineStr">
        <is>
          <t>Mercado externo: limite superior calculado automaticamente pela soma da oferta do produto no período.</t>
        </is>
      </c>
    </row>
    <row r="4063">
      <c r="A4063" s="6" t="inlineStr">
        <is>
          <t>Soja</t>
        </is>
      </c>
      <c r="B4063" s="6" t="inlineStr">
        <is>
          <t>São Francisco do Sul - SC</t>
        </is>
      </c>
      <c r="C4063" s="6" t="n">
        <v>-26.2579</v>
      </c>
      <c r="D4063" s="6" t="n">
        <v>-48.6344</v>
      </c>
      <c r="E4063" s="6" t="inlineStr">
        <is>
          <t>2024-06</t>
        </is>
      </c>
      <c r="F4063" s="6" t="n"/>
      <c r="G4063" s="6" t="inlineStr">
        <is>
          <t>EXPORTACAO</t>
        </is>
      </c>
      <c r="H4063" s="6" t="inlineStr">
        <is>
          <t>AUTO_OFERTA_TOTAL_PRODUTO_PERIODO</t>
        </is>
      </c>
      <c r="I4063" s="11">
        <f>IF($H4063="AUTO_OFERTA_TOTAL_PRODUTO_PERIODO",SUMIFS(Oferta!$F:$F,Oferta!$A:$A,$A4063,Oferta!$E:$E,$E4063),$F4063)</f>
        <v/>
      </c>
      <c r="J4063" s="6" t="inlineStr">
        <is>
          <t>Derivado_da_Oferta</t>
        </is>
      </c>
      <c r="K4063" s="6" t="inlineStr">
        <is>
          <t>Mercado externo: limite superior calculado automaticamente pela soma da oferta do produto no período.</t>
        </is>
      </c>
    </row>
    <row r="4064">
      <c r="A4064" s="6" t="inlineStr">
        <is>
          <t>Soja</t>
        </is>
      </c>
      <c r="B4064" s="6" t="inlineStr">
        <is>
          <t>São Francisco do Sul - SC</t>
        </is>
      </c>
      <c r="C4064" s="6" t="n">
        <v>-26.2579</v>
      </c>
      <c r="D4064" s="6" t="n">
        <v>-48.6344</v>
      </c>
      <c r="E4064" s="6" t="inlineStr">
        <is>
          <t>2024-07</t>
        </is>
      </c>
      <c r="F4064" s="6" t="n"/>
      <c r="G4064" s="6" t="inlineStr">
        <is>
          <t>EXPORTACAO</t>
        </is>
      </c>
      <c r="H4064" s="6" t="inlineStr">
        <is>
          <t>AUTO_OFERTA_TOTAL_PRODUTO_PERIODO</t>
        </is>
      </c>
      <c r="I4064" s="11">
        <f>IF($H4064="AUTO_OFERTA_TOTAL_PRODUTO_PERIODO",SUMIFS(Oferta!$F:$F,Oferta!$A:$A,$A4064,Oferta!$E:$E,$E4064),$F4064)</f>
        <v/>
      </c>
      <c r="J4064" s="6" t="inlineStr">
        <is>
          <t>Derivado_da_Oferta</t>
        </is>
      </c>
      <c r="K4064" s="6" t="inlineStr">
        <is>
          <t>Mercado externo: limite superior calculado automaticamente pela soma da oferta do produto no período.</t>
        </is>
      </c>
    </row>
    <row r="4065">
      <c r="A4065" s="6" t="inlineStr">
        <is>
          <t>Soja</t>
        </is>
      </c>
      <c r="B4065" s="6" t="inlineStr">
        <is>
          <t>São Francisco do Sul - SC</t>
        </is>
      </c>
      <c r="C4065" s="6" t="n">
        <v>-26.2579</v>
      </c>
      <c r="D4065" s="6" t="n">
        <v>-48.6344</v>
      </c>
      <c r="E4065" s="6" t="inlineStr">
        <is>
          <t>2024-08</t>
        </is>
      </c>
      <c r="F4065" s="6" t="n"/>
      <c r="G4065" s="6" t="inlineStr">
        <is>
          <t>EXPORTACAO</t>
        </is>
      </c>
      <c r="H4065" s="6" t="inlineStr">
        <is>
          <t>AUTO_OFERTA_TOTAL_PRODUTO_PERIODO</t>
        </is>
      </c>
      <c r="I4065" s="11">
        <f>IF($H4065="AUTO_OFERTA_TOTAL_PRODUTO_PERIODO",SUMIFS(Oferta!$F:$F,Oferta!$A:$A,$A4065,Oferta!$E:$E,$E4065),$F4065)</f>
        <v/>
      </c>
      <c r="J4065" s="6" t="inlineStr">
        <is>
          <t>Derivado_da_Oferta</t>
        </is>
      </c>
      <c r="K4065" s="6" t="inlineStr">
        <is>
          <t>Mercado externo: limite superior calculado automaticamente pela soma da oferta do produto no período.</t>
        </is>
      </c>
    </row>
    <row r="4066">
      <c r="A4066" s="6" t="inlineStr">
        <is>
          <t>Soja</t>
        </is>
      </c>
      <c r="B4066" s="6" t="inlineStr">
        <is>
          <t>São Francisco do Sul - SC</t>
        </is>
      </c>
      <c r="C4066" s="6" t="n">
        <v>-26.2579</v>
      </c>
      <c r="D4066" s="6" t="n">
        <v>-48.6344</v>
      </c>
      <c r="E4066" s="6" t="inlineStr">
        <is>
          <t>2024-09</t>
        </is>
      </c>
      <c r="F4066" s="6" t="n"/>
      <c r="G4066" s="6" t="inlineStr">
        <is>
          <t>EXPORTACAO</t>
        </is>
      </c>
      <c r="H4066" s="6" t="inlineStr">
        <is>
          <t>AUTO_OFERTA_TOTAL_PRODUTO_PERIODO</t>
        </is>
      </c>
      <c r="I4066" s="11">
        <f>IF($H4066="AUTO_OFERTA_TOTAL_PRODUTO_PERIODO",SUMIFS(Oferta!$F:$F,Oferta!$A:$A,$A4066,Oferta!$E:$E,$E4066),$F4066)</f>
        <v/>
      </c>
      <c r="J4066" s="6" t="inlineStr">
        <is>
          <t>Derivado_da_Oferta</t>
        </is>
      </c>
      <c r="K4066" s="6" t="inlineStr">
        <is>
          <t>Mercado externo: limite superior calculado automaticamente pela soma da oferta do produto no período.</t>
        </is>
      </c>
    </row>
    <row r="4067">
      <c r="A4067" s="6" t="inlineStr">
        <is>
          <t>Soja</t>
        </is>
      </c>
      <c r="B4067" s="6" t="inlineStr">
        <is>
          <t>São Francisco do Sul - SC</t>
        </is>
      </c>
      <c r="C4067" s="6" t="n">
        <v>-26.2579</v>
      </c>
      <c r="D4067" s="6" t="n">
        <v>-48.6344</v>
      </c>
      <c r="E4067" s="6" t="inlineStr">
        <is>
          <t>2024-10</t>
        </is>
      </c>
      <c r="F4067" s="6" t="n"/>
      <c r="G4067" s="6" t="inlineStr">
        <is>
          <t>EXPORTACAO</t>
        </is>
      </c>
      <c r="H4067" s="6" t="inlineStr">
        <is>
          <t>AUTO_OFERTA_TOTAL_PRODUTO_PERIODO</t>
        </is>
      </c>
      <c r="I4067" s="11">
        <f>IF($H4067="AUTO_OFERTA_TOTAL_PRODUTO_PERIODO",SUMIFS(Oferta!$F:$F,Oferta!$A:$A,$A4067,Oferta!$E:$E,$E4067),$F4067)</f>
        <v/>
      </c>
      <c r="J4067" s="6" t="inlineStr">
        <is>
          <t>Derivado_da_Oferta</t>
        </is>
      </c>
      <c r="K4067" s="6" t="inlineStr">
        <is>
          <t>Mercado externo: limite superior calculado automaticamente pela soma da oferta do produto no período.</t>
        </is>
      </c>
    </row>
    <row r="4068">
      <c r="A4068" s="6" t="inlineStr">
        <is>
          <t>Soja</t>
        </is>
      </c>
      <c r="B4068" s="6" t="inlineStr">
        <is>
          <t>São Francisco do Sul - SC</t>
        </is>
      </c>
      <c r="C4068" s="6" t="n">
        <v>-26.2579</v>
      </c>
      <c r="D4068" s="6" t="n">
        <v>-48.6344</v>
      </c>
      <c r="E4068" s="6" t="inlineStr">
        <is>
          <t>2024-11</t>
        </is>
      </c>
      <c r="F4068" s="6" t="n"/>
      <c r="G4068" s="6" t="inlineStr">
        <is>
          <t>EXPORTACAO</t>
        </is>
      </c>
      <c r="H4068" s="6" t="inlineStr">
        <is>
          <t>AUTO_OFERTA_TOTAL_PRODUTO_PERIODO</t>
        </is>
      </c>
      <c r="I4068" s="11">
        <f>IF($H4068="AUTO_OFERTA_TOTAL_PRODUTO_PERIODO",SUMIFS(Oferta!$F:$F,Oferta!$A:$A,$A4068,Oferta!$E:$E,$E4068),$F4068)</f>
        <v/>
      </c>
      <c r="J4068" s="6" t="inlineStr">
        <is>
          <t>Derivado_da_Oferta</t>
        </is>
      </c>
      <c r="K4068" s="6" t="inlineStr">
        <is>
          <t>Mercado externo: limite superior calculado automaticamente pela soma da oferta do produto no período.</t>
        </is>
      </c>
    </row>
    <row r="4069">
      <c r="A4069" s="6" t="inlineStr">
        <is>
          <t>Soja</t>
        </is>
      </c>
      <c r="B4069" s="6" t="inlineStr">
        <is>
          <t>São Francisco do Sul - SC</t>
        </is>
      </c>
      <c r="C4069" s="6" t="n">
        <v>-26.2579</v>
      </c>
      <c r="D4069" s="6" t="n">
        <v>-48.6344</v>
      </c>
      <c r="E4069" s="6" t="inlineStr">
        <is>
          <t>2024-12</t>
        </is>
      </c>
      <c r="F4069" s="6" t="n"/>
      <c r="G4069" s="6" t="inlineStr">
        <is>
          <t>EXPORTACAO</t>
        </is>
      </c>
      <c r="H4069" s="6" t="inlineStr">
        <is>
          <t>AUTO_OFERTA_TOTAL_PRODUTO_PERIODO</t>
        </is>
      </c>
      <c r="I4069" s="11">
        <f>IF($H4069="AUTO_OFERTA_TOTAL_PRODUTO_PERIODO",SUMIFS(Oferta!$F:$F,Oferta!$A:$A,$A4069,Oferta!$E:$E,$E4069),$F4069)</f>
        <v/>
      </c>
      <c r="J4069" s="6" t="inlineStr">
        <is>
          <t>Derivado_da_Oferta</t>
        </is>
      </c>
      <c r="K4069" s="6" t="inlineStr">
        <is>
          <t>Mercado externo: limite superior calculado automaticamente pela soma da oferta do produto no período.</t>
        </is>
      </c>
    </row>
    <row r="4070">
      <c r="A4070" s="6" t="inlineStr">
        <is>
          <t>Soja</t>
        </is>
      </c>
      <c r="B4070" s="6" t="inlineStr">
        <is>
          <t>São Francisco do Sul - SC</t>
        </is>
      </c>
      <c r="C4070" s="6" t="n">
        <v>-26.2579</v>
      </c>
      <c r="D4070" s="6" t="n">
        <v>-48.6344</v>
      </c>
      <c r="E4070" s="6" t="inlineStr">
        <is>
          <t>2025-01</t>
        </is>
      </c>
      <c r="F4070" s="6" t="n"/>
      <c r="G4070" s="6" t="inlineStr">
        <is>
          <t>EXPORTACAO</t>
        </is>
      </c>
      <c r="H4070" s="6" t="inlineStr">
        <is>
          <t>AUTO_OFERTA_TOTAL_PRODUTO_PERIODO</t>
        </is>
      </c>
      <c r="I4070" s="11">
        <f>IF($H4070="AUTO_OFERTA_TOTAL_PRODUTO_PERIODO",SUMIFS(Oferta!$F:$F,Oferta!$A:$A,$A4070,Oferta!$E:$E,$E4070),$F4070)</f>
        <v/>
      </c>
      <c r="J4070" s="6" t="inlineStr">
        <is>
          <t>Derivado_da_Oferta</t>
        </is>
      </c>
      <c r="K4070" s="6" t="inlineStr">
        <is>
          <t>Mercado externo: limite superior calculado automaticamente pela soma da oferta do produto no período.</t>
        </is>
      </c>
    </row>
    <row r="4071">
      <c r="A4071" s="6" t="inlineStr">
        <is>
          <t>Soja</t>
        </is>
      </c>
      <c r="B4071" s="6" t="inlineStr">
        <is>
          <t>São Francisco do Sul - SC</t>
        </is>
      </c>
      <c r="C4071" s="6" t="n">
        <v>-26.2579</v>
      </c>
      <c r="D4071" s="6" t="n">
        <v>-48.6344</v>
      </c>
      <c r="E4071" s="6" t="inlineStr">
        <is>
          <t>2025-02</t>
        </is>
      </c>
      <c r="F4071" s="6" t="n"/>
      <c r="G4071" s="6" t="inlineStr">
        <is>
          <t>EXPORTACAO</t>
        </is>
      </c>
      <c r="H4071" s="6" t="inlineStr">
        <is>
          <t>AUTO_OFERTA_TOTAL_PRODUTO_PERIODO</t>
        </is>
      </c>
      <c r="I4071" s="11">
        <f>IF($H4071="AUTO_OFERTA_TOTAL_PRODUTO_PERIODO",SUMIFS(Oferta!$F:$F,Oferta!$A:$A,$A4071,Oferta!$E:$E,$E4071),$F4071)</f>
        <v/>
      </c>
      <c r="J4071" s="6" t="inlineStr">
        <is>
          <t>Derivado_da_Oferta</t>
        </is>
      </c>
      <c r="K4071" s="6" t="inlineStr">
        <is>
          <t>Mercado externo: limite superior calculado automaticamente pela soma da oferta do produto no período.</t>
        </is>
      </c>
    </row>
    <row r="4072">
      <c r="A4072" s="6" t="inlineStr">
        <is>
          <t>Soja</t>
        </is>
      </c>
      <c r="B4072" s="6" t="inlineStr">
        <is>
          <t>São Francisco do Sul - SC</t>
        </is>
      </c>
      <c r="C4072" s="6" t="n">
        <v>-26.2579</v>
      </c>
      <c r="D4072" s="6" t="n">
        <v>-48.6344</v>
      </c>
      <c r="E4072" s="6" t="inlineStr">
        <is>
          <t>2025-03</t>
        </is>
      </c>
      <c r="F4072" s="6" t="n"/>
      <c r="G4072" s="6" t="inlineStr">
        <is>
          <t>EXPORTACAO</t>
        </is>
      </c>
      <c r="H4072" s="6" t="inlineStr">
        <is>
          <t>AUTO_OFERTA_TOTAL_PRODUTO_PERIODO</t>
        </is>
      </c>
      <c r="I4072" s="11">
        <f>IF($H4072="AUTO_OFERTA_TOTAL_PRODUTO_PERIODO",SUMIFS(Oferta!$F:$F,Oferta!$A:$A,$A4072,Oferta!$E:$E,$E4072),$F4072)</f>
        <v/>
      </c>
      <c r="J4072" s="6" t="inlineStr">
        <is>
          <t>Derivado_da_Oferta</t>
        </is>
      </c>
      <c r="K4072" s="6" t="inlineStr">
        <is>
          <t>Mercado externo: limite superior calculado automaticamente pela soma da oferta do produto no período.</t>
        </is>
      </c>
    </row>
    <row r="4073">
      <c r="A4073" s="6" t="inlineStr">
        <is>
          <t>Soja</t>
        </is>
      </c>
      <c r="B4073" s="6" t="inlineStr">
        <is>
          <t>São Francisco do Sul - SC</t>
        </is>
      </c>
      <c r="C4073" s="6" t="n">
        <v>-26.2579</v>
      </c>
      <c r="D4073" s="6" t="n">
        <v>-48.6344</v>
      </c>
      <c r="E4073" s="6" t="inlineStr">
        <is>
          <t>2025-04</t>
        </is>
      </c>
      <c r="F4073" s="6" t="n"/>
      <c r="G4073" s="6" t="inlineStr">
        <is>
          <t>EXPORTACAO</t>
        </is>
      </c>
      <c r="H4073" s="6" t="inlineStr">
        <is>
          <t>AUTO_OFERTA_TOTAL_PRODUTO_PERIODO</t>
        </is>
      </c>
      <c r="I4073" s="11">
        <f>IF($H4073="AUTO_OFERTA_TOTAL_PRODUTO_PERIODO",SUMIFS(Oferta!$F:$F,Oferta!$A:$A,$A4073,Oferta!$E:$E,$E4073),$F4073)</f>
        <v/>
      </c>
      <c r="J4073" s="6" t="inlineStr">
        <is>
          <t>Derivado_da_Oferta</t>
        </is>
      </c>
      <c r="K4073" s="6" t="inlineStr">
        <is>
          <t>Mercado externo: limite superior calculado automaticamente pela soma da oferta do produto no período.</t>
        </is>
      </c>
    </row>
    <row r="4074">
      <c r="A4074" s="6" t="inlineStr">
        <is>
          <t>Soja</t>
        </is>
      </c>
      <c r="B4074" s="6" t="inlineStr">
        <is>
          <t>São Francisco do Sul - SC</t>
        </is>
      </c>
      <c r="C4074" s="6" t="n">
        <v>-26.2579</v>
      </c>
      <c r="D4074" s="6" t="n">
        <v>-48.6344</v>
      </c>
      <c r="E4074" s="6" t="inlineStr">
        <is>
          <t>2025-05</t>
        </is>
      </c>
      <c r="F4074" s="6" t="n"/>
      <c r="G4074" s="6" t="inlineStr">
        <is>
          <t>EXPORTACAO</t>
        </is>
      </c>
      <c r="H4074" s="6" t="inlineStr">
        <is>
          <t>AUTO_OFERTA_TOTAL_PRODUTO_PERIODO</t>
        </is>
      </c>
      <c r="I4074" s="11">
        <f>IF($H4074="AUTO_OFERTA_TOTAL_PRODUTO_PERIODO",SUMIFS(Oferta!$F:$F,Oferta!$A:$A,$A4074,Oferta!$E:$E,$E4074),$F4074)</f>
        <v/>
      </c>
      <c r="J4074" s="6" t="inlineStr">
        <is>
          <t>Derivado_da_Oferta</t>
        </is>
      </c>
      <c r="K4074" s="6" t="inlineStr">
        <is>
          <t>Mercado externo: limite superior calculado automaticamente pela soma da oferta do produto no período.</t>
        </is>
      </c>
    </row>
    <row r="4075">
      <c r="A4075" s="6" t="inlineStr">
        <is>
          <t>Soja</t>
        </is>
      </c>
      <c r="B4075" s="6" t="inlineStr">
        <is>
          <t>São Francisco do Sul - SC</t>
        </is>
      </c>
      <c r="C4075" s="6" t="n">
        <v>-26.2579</v>
      </c>
      <c r="D4075" s="6" t="n">
        <v>-48.6344</v>
      </c>
      <c r="E4075" s="6" t="inlineStr">
        <is>
          <t>2025-06</t>
        </is>
      </c>
      <c r="F4075" s="6" t="n"/>
      <c r="G4075" s="6" t="inlineStr">
        <is>
          <t>EXPORTACAO</t>
        </is>
      </c>
      <c r="H4075" s="6" t="inlineStr">
        <is>
          <t>AUTO_OFERTA_TOTAL_PRODUTO_PERIODO</t>
        </is>
      </c>
      <c r="I4075" s="11">
        <f>IF($H4075="AUTO_OFERTA_TOTAL_PRODUTO_PERIODO",SUMIFS(Oferta!$F:$F,Oferta!$A:$A,$A4075,Oferta!$E:$E,$E4075),$F4075)</f>
        <v/>
      </c>
      <c r="J4075" s="6" t="inlineStr">
        <is>
          <t>Derivado_da_Oferta</t>
        </is>
      </c>
      <c r="K4075" s="6" t="inlineStr">
        <is>
          <t>Mercado externo: limite superior calculado automaticamente pela soma da oferta do produto no período.</t>
        </is>
      </c>
    </row>
    <row r="4076">
      <c r="A4076" s="6" t="inlineStr">
        <is>
          <t>Soja</t>
        </is>
      </c>
      <c r="B4076" s="6" t="inlineStr">
        <is>
          <t>São Francisco do Sul - SC</t>
        </is>
      </c>
      <c r="C4076" s="6" t="n">
        <v>-26.2579</v>
      </c>
      <c r="D4076" s="6" t="n">
        <v>-48.6344</v>
      </c>
      <c r="E4076" s="6" t="inlineStr">
        <is>
          <t>2025-07</t>
        </is>
      </c>
      <c r="F4076" s="6" t="n"/>
      <c r="G4076" s="6" t="inlineStr">
        <is>
          <t>EXPORTACAO</t>
        </is>
      </c>
      <c r="H4076" s="6" t="inlineStr">
        <is>
          <t>AUTO_OFERTA_TOTAL_PRODUTO_PERIODO</t>
        </is>
      </c>
      <c r="I4076" s="11">
        <f>IF($H4076="AUTO_OFERTA_TOTAL_PRODUTO_PERIODO",SUMIFS(Oferta!$F:$F,Oferta!$A:$A,$A4076,Oferta!$E:$E,$E4076),$F4076)</f>
        <v/>
      </c>
      <c r="J4076" s="6" t="inlineStr">
        <is>
          <t>Derivado_da_Oferta</t>
        </is>
      </c>
      <c r="K4076" s="6" t="inlineStr">
        <is>
          <t>Mercado externo: limite superior calculado automaticamente pela soma da oferta do produto no período.</t>
        </is>
      </c>
    </row>
    <row r="4077">
      <c r="A4077" s="6" t="inlineStr">
        <is>
          <t>Soja</t>
        </is>
      </c>
      <c r="B4077" s="6" t="inlineStr">
        <is>
          <t>São Francisco do Sul - SC</t>
        </is>
      </c>
      <c r="C4077" s="6" t="n">
        <v>-26.2579</v>
      </c>
      <c r="D4077" s="6" t="n">
        <v>-48.6344</v>
      </c>
      <c r="E4077" s="6" t="inlineStr">
        <is>
          <t>2025-08</t>
        </is>
      </c>
      <c r="F4077" s="6" t="n"/>
      <c r="G4077" s="6" t="inlineStr">
        <is>
          <t>EXPORTACAO</t>
        </is>
      </c>
      <c r="H4077" s="6" t="inlineStr">
        <is>
          <t>AUTO_OFERTA_TOTAL_PRODUTO_PERIODO</t>
        </is>
      </c>
      <c r="I4077" s="11">
        <f>IF($H4077="AUTO_OFERTA_TOTAL_PRODUTO_PERIODO",SUMIFS(Oferta!$F:$F,Oferta!$A:$A,$A4077,Oferta!$E:$E,$E4077),$F4077)</f>
        <v/>
      </c>
      <c r="J4077" s="6" t="inlineStr">
        <is>
          <t>Derivado_da_Oferta</t>
        </is>
      </c>
      <c r="K4077" s="6" t="inlineStr">
        <is>
          <t>Mercado externo: limite superior calculado automaticamente pela soma da oferta do produto no período.</t>
        </is>
      </c>
    </row>
    <row r="4078">
      <c r="A4078" s="6" t="inlineStr">
        <is>
          <t>Soja</t>
        </is>
      </c>
      <c r="B4078" s="6" t="inlineStr">
        <is>
          <t>São Francisco do Sul - SC</t>
        </is>
      </c>
      <c r="C4078" s="6" t="n">
        <v>-26.2579</v>
      </c>
      <c r="D4078" s="6" t="n">
        <v>-48.6344</v>
      </c>
      <c r="E4078" s="6" t="inlineStr">
        <is>
          <t>2025-09</t>
        </is>
      </c>
      <c r="F4078" s="6" t="n"/>
      <c r="G4078" s="6" t="inlineStr">
        <is>
          <t>EXPORTACAO</t>
        </is>
      </c>
      <c r="H4078" s="6" t="inlineStr">
        <is>
          <t>AUTO_OFERTA_TOTAL_PRODUTO_PERIODO</t>
        </is>
      </c>
      <c r="I4078" s="11">
        <f>IF($H4078="AUTO_OFERTA_TOTAL_PRODUTO_PERIODO",SUMIFS(Oferta!$F:$F,Oferta!$A:$A,$A4078,Oferta!$E:$E,$E4078),$F4078)</f>
        <v/>
      </c>
      <c r="J4078" s="6" t="inlineStr">
        <is>
          <t>Derivado_da_Oferta</t>
        </is>
      </c>
      <c r="K4078" s="6" t="inlineStr">
        <is>
          <t>Mercado externo: limite superior calculado automaticamente pela soma da oferta do produto no período.</t>
        </is>
      </c>
    </row>
    <row r="4079">
      <c r="A4079" s="6" t="inlineStr">
        <is>
          <t>Soja</t>
        </is>
      </c>
      <c r="B4079" s="6" t="inlineStr">
        <is>
          <t>São Francisco do Sul - SC</t>
        </is>
      </c>
      <c r="C4079" s="6" t="n">
        <v>-26.2579</v>
      </c>
      <c r="D4079" s="6" t="n">
        <v>-48.6344</v>
      </c>
      <c r="E4079" s="6" t="inlineStr">
        <is>
          <t>2025-10</t>
        </is>
      </c>
      <c r="F4079" s="6" t="n"/>
      <c r="G4079" s="6" t="inlineStr">
        <is>
          <t>EXPORTACAO</t>
        </is>
      </c>
      <c r="H4079" s="6" t="inlineStr">
        <is>
          <t>AUTO_OFERTA_TOTAL_PRODUTO_PERIODO</t>
        </is>
      </c>
      <c r="I4079" s="11">
        <f>IF($H4079="AUTO_OFERTA_TOTAL_PRODUTO_PERIODO",SUMIFS(Oferta!$F:$F,Oferta!$A:$A,$A4079,Oferta!$E:$E,$E4079),$F4079)</f>
        <v/>
      </c>
      <c r="J4079" s="6" t="inlineStr">
        <is>
          <t>Derivado_da_Oferta</t>
        </is>
      </c>
      <c r="K4079" s="6" t="inlineStr">
        <is>
          <t>Mercado externo: limite superior calculado automaticamente pela soma da oferta do produto no período.</t>
        </is>
      </c>
    </row>
    <row r="4080">
      <c r="A4080" s="6" t="inlineStr">
        <is>
          <t>Soja</t>
        </is>
      </c>
      <c r="B4080" s="6" t="inlineStr">
        <is>
          <t>São Francisco do Sul - SC</t>
        </is>
      </c>
      <c r="C4080" s="6" t="n">
        <v>-26.2579</v>
      </c>
      <c r="D4080" s="6" t="n">
        <v>-48.6344</v>
      </c>
      <c r="E4080" s="6" t="inlineStr">
        <is>
          <t>2025-11</t>
        </is>
      </c>
      <c r="F4080" s="6" t="n"/>
      <c r="G4080" s="6" t="inlineStr">
        <is>
          <t>EXPORTACAO</t>
        </is>
      </c>
      <c r="H4080" s="6" t="inlineStr">
        <is>
          <t>AUTO_OFERTA_TOTAL_PRODUTO_PERIODO</t>
        </is>
      </c>
      <c r="I4080" s="11">
        <f>IF($H4080="AUTO_OFERTA_TOTAL_PRODUTO_PERIODO",SUMIFS(Oferta!$F:$F,Oferta!$A:$A,$A4080,Oferta!$E:$E,$E4080),$F4080)</f>
        <v/>
      </c>
      <c r="J4080" s="6" t="inlineStr">
        <is>
          <t>Derivado_da_Oferta</t>
        </is>
      </c>
      <c r="K4080" s="6" t="inlineStr">
        <is>
          <t>Mercado externo: limite superior calculado automaticamente pela soma da oferta do produto no período.</t>
        </is>
      </c>
    </row>
    <row r="4081">
      <c r="A4081" s="6" t="inlineStr">
        <is>
          <t>Soja</t>
        </is>
      </c>
      <c r="B4081" s="6" t="inlineStr">
        <is>
          <t>São Francisco do Sul - SC</t>
        </is>
      </c>
      <c r="C4081" s="6" t="n">
        <v>-26.2579</v>
      </c>
      <c r="D4081" s="6" t="n">
        <v>-48.6344</v>
      </c>
      <c r="E4081" s="6" t="inlineStr">
        <is>
          <t>2025-12</t>
        </is>
      </c>
      <c r="F4081" s="6" t="n"/>
      <c r="G4081" s="6" t="inlineStr">
        <is>
          <t>EXPORTACAO</t>
        </is>
      </c>
      <c r="H4081" s="6" t="inlineStr">
        <is>
          <t>AUTO_OFERTA_TOTAL_PRODUTO_PERIODO</t>
        </is>
      </c>
      <c r="I4081" s="11">
        <f>IF($H4081="AUTO_OFERTA_TOTAL_PRODUTO_PERIODO",SUMIFS(Oferta!$F:$F,Oferta!$A:$A,$A4081,Oferta!$E:$E,$E4081),$F4081)</f>
        <v/>
      </c>
      <c r="J4081" s="6" t="inlineStr">
        <is>
          <t>Derivado_da_Oferta</t>
        </is>
      </c>
      <c r="K4081" s="6" t="inlineStr">
        <is>
          <t>Mercado externo: limite superior calculado automaticamente pela soma da oferta do produto no período.</t>
        </is>
      </c>
    </row>
    <row r="4082">
      <c r="A4082" s="6" t="inlineStr">
        <is>
          <t>Milho</t>
        </is>
      </c>
      <c r="B4082" s="6" t="inlineStr">
        <is>
          <t>Itaituba - PA</t>
        </is>
      </c>
      <c r="C4082" s="6" t="n">
        <v>-4.2667</v>
      </c>
      <c r="D4082" s="6" t="n">
        <v>-55.9926</v>
      </c>
      <c r="E4082" s="6" t="inlineStr">
        <is>
          <t>2021-01</t>
        </is>
      </c>
      <c r="F4082" s="6" t="n"/>
      <c r="G4082" s="6" t="inlineStr">
        <is>
          <t>EXPORTACAO</t>
        </is>
      </c>
      <c r="H4082" s="6" t="inlineStr">
        <is>
          <t>AUTO_OFERTA_TOTAL_PRODUTO_PERIODO</t>
        </is>
      </c>
      <c r="I4082" s="11">
        <f>IF($H4082="AUTO_OFERTA_TOTAL_PRODUTO_PERIODO",SUMIFS(Oferta!$F:$F,Oferta!$A:$A,$A4082,Oferta!$E:$E,$E4082),$F4082)</f>
        <v/>
      </c>
      <c r="J4082" s="6" t="inlineStr">
        <is>
          <t>Derivado_da_Oferta</t>
        </is>
      </c>
      <c r="K4082" s="6" t="inlineStr">
        <is>
          <t>Mercado externo: limite superior calculado automaticamente pela soma da oferta do produto no período.</t>
        </is>
      </c>
    </row>
    <row r="4083">
      <c r="A4083" s="6" t="inlineStr">
        <is>
          <t>Milho</t>
        </is>
      </c>
      <c r="B4083" s="6" t="inlineStr">
        <is>
          <t>Itaituba - PA</t>
        </is>
      </c>
      <c r="C4083" s="6" t="n">
        <v>-4.2667</v>
      </c>
      <c r="D4083" s="6" t="n">
        <v>-55.9926</v>
      </c>
      <c r="E4083" s="6" t="inlineStr">
        <is>
          <t>2021-02</t>
        </is>
      </c>
      <c r="F4083" s="6" t="n"/>
      <c r="G4083" s="6" t="inlineStr">
        <is>
          <t>EXPORTACAO</t>
        </is>
      </c>
      <c r="H4083" s="6" t="inlineStr">
        <is>
          <t>AUTO_OFERTA_TOTAL_PRODUTO_PERIODO</t>
        </is>
      </c>
      <c r="I4083" s="11">
        <f>IF($H4083="AUTO_OFERTA_TOTAL_PRODUTO_PERIODO",SUMIFS(Oferta!$F:$F,Oferta!$A:$A,$A4083,Oferta!$E:$E,$E4083),$F4083)</f>
        <v/>
      </c>
      <c r="J4083" s="6" t="inlineStr">
        <is>
          <t>Derivado_da_Oferta</t>
        </is>
      </c>
      <c r="K4083" s="6" t="inlineStr">
        <is>
          <t>Mercado externo: limite superior calculado automaticamente pela soma da oferta do produto no período.</t>
        </is>
      </c>
    </row>
    <row r="4084">
      <c r="A4084" s="6" t="inlineStr">
        <is>
          <t>Milho</t>
        </is>
      </c>
      <c r="B4084" s="6" t="inlineStr">
        <is>
          <t>Itaituba - PA</t>
        </is>
      </c>
      <c r="C4084" s="6" t="n">
        <v>-4.2667</v>
      </c>
      <c r="D4084" s="6" t="n">
        <v>-55.9926</v>
      </c>
      <c r="E4084" s="6" t="inlineStr">
        <is>
          <t>2021-03</t>
        </is>
      </c>
      <c r="F4084" s="6" t="n"/>
      <c r="G4084" s="6" t="inlineStr">
        <is>
          <t>EXPORTACAO</t>
        </is>
      </c>
      <c r="H4084" s="6" t="inlineStr">
        <is>
          <t>AUTO_OFERTA_TOTAL_PRODUTO_PERIODO</t>
        </is>
      </c>
      <c r="I4084" s="11">
        <f>IF($H4084="AUTO_OFERTA_TOTAL_PRODUTO_PERIODO",SUMIFS(Oferta!$F:$F,Oferta!$A:$A,$A4084,Oferta!$E:$E,$E4084),$F4084)</f>
        <v/>
      </c>
      <c r="J4084" s="6" t="inlineStr">
        <is>
          <t>Derivado_da_Oferta</t>
        </is>
      </c>
      <c r="K4084" s="6" t="inlineStr">
        <is>
          <t>Mercado externo: limite superior calculado automaticamente pela soma da oferta do produto no período.</t>
        </is>
      </c>
    </row>
    <row r="4085">
      <c r="A4085" s="6" t="inlineStr">
        <is>
          <t>Milho</t>
        </is>
      </c>
      <c r="B4085" s="6" t="inlineStr">
        <is>
          <t>Itaituba - PA</t>
        </is>
      </c>
      <c r="C4085" s="6" t="n">
        <v>-4.2667</v>
      </c>
      <c r="D4085" s="6" t="n">
        <v>-55.9926</v>
      </c>
      <c r="E4085" s="6" t="inlineStr">
        <is>
          <t>2021-04</t>
        </is>
      </c>
      <c r="F4085" s="6" t="n"/>
      <c r="G4085" s="6" t="inlineStr">
        <is>
          <t>EXPORTACAO</t>
        </is>
      </c>
      <c r="H4085" s="6" t="inlineStr">
        <is>
          <t>AUTO_OFERTA_TOTAL_PRODUTO_PERIODO</t>
        </is>
      </c>
      <c r="I4085" s="11">
        <f>IF($H4085="AUTO_OFERTA_TOTAL_PRODUTO_PERIODO",SUMIFS(Oferta!$F:$F,Oferta!$A:$A,$A4085,Oferta!$E:$E,$E4085),$F4085)</f>
        <v/>
      </c>
      <c r="J4085" s="6" t="inlineStr">
        <is>
          <t>Derivado_da_Oferta</t>
        </is>
      </c>
      <c r="K4085" s="6" t="inlineStr">
        <is>
          <t>Mercado externo: limite superior calculado automaticamente pela soma da oferta do produto no período.</t>
        </is>
      </c>
    </row>
    <row r="4086">
      <c r="A4086" s="6" t="inlineStr">
        <is>
          <t>Milho</t>
        </is>
      </c>
      <c r="B4086" s="6" t="inlineStr">
        <is>
          <t>Itaituba - PA</t>
        </is>
      </c>
      <c r="C4086" s="6" t="n">
        <v>-4.2667</v>
      </c>
      <c r="D4086" s="6" t="n">
        <v>-55.9926</v>
      </c>
      <c r="E4086" s="6" t="inlineStr">
        <is>
          <t>2021-05</t>
        </is>
      </c>
      <c r="F4086" s="6" t="n"/>
      <c r="G4086" s="6" t="inlineStr">
        <is>
          <t>EXPORTACAO</t>
        </is>
      </c>
      <c r="H4086" s="6" t="inlineStr">
        <is>
          <t>AUTO_OFERTA_TOTAL_PRODUTO_PERIODO</t>
        </is>
      </c>
      <c r="I4086" s="11">
        <f>IF($H4086="AUTO_OFERTA_TOTAL_PRODUTO_PERIODO",SUMIFS(Oferta!$F:$F,Oferta!$A:$A,$A4086,Oferta!$E:$E,$E4086),$F4086)</f>
        <v/>
      </c>
      <c r="J4086" s="6" t="inlineStr">
        <is>
          <t>Derivado_da_Oferta</t>
        </is>
      </c>
      <c r="K4086" s="6" t="inlineStr">
        <is>
          <t>Mercado externo: limite superior calculado automaticamente pela soma da oferta do produto no período.</t>
        </is>
      </c>
    </row>
    <row r="4087">
      <c r="A4087" s="6" t="inlineStr">
        <is>
          <t>Milho</t>
        </is>
      </c>
      <c r="B4087" s="6" t="inlineStr">
        <is>
          <t>Itaituba - PA</t>
        </is>
      </c>
      <c r="C4087" s="6" t="n">
        <v>-4.2667</v>
      </c>
      <c r="D4087" s="6" t="n">
        <v>-55.9926</v>
      </c>
      <c r="E4087" s="6" t="inlineStr">
        <is>
          <t>2021-06</t>
        </is>
      </c>
      <c r="F4087" s="6" t="n"/>
      <c r="G4087" s="6" t="inlineStr">
        <is>
          <t>EXPORTACAO</t>
        </is>
      </c>
      <c r="H4087" s="6" t="inlineStr">
        <is>
          <t>AUTO_OFERTA_TOTAL_PRODUTO_PERIODO</t>
        </is>
      </c>
      <c r="I4087" s="11">
        <f>IF($H4087="AUTO_OFERTA_TOTAL_PRODUTO_PERIODO",SUMIFS(Oferta!$F:$F,Oferta!$A:$A,$A4087,Oferta!$E:$E,$E4087),$F4087)</f>
        <v/>
      </c>
      <c r="J4087" s="6" t="inlineStr">
        <is>
          <t>Derivado_da_Oferta</t>
        </is>
      </c>
      <c r="K4087" s="6" t="inlineStr">
        <is>
          <t>Mercado externo: limite superior calculado automaticamente pela soma da oferta do produto no período.</t>
        </is>
      </c>
    </row>
    <row r="4088">
      <c r="A4088" s="6" t="inlineStr">
        <is>
          <t>Milho</t>
        </is>
      </c>
      <c r="B4088" s="6" t="inlineStr">
        <is>
          <t>Itaituba - PA</t>
        </is>
      </c>
      <c r="C4088" s="6" t="n">
        <v>-4.2667</v>
      </c>
      <c r="D4088" s="6" t="n">
        <v>-55.9926</v>
      </c>
      <c r="E4088" s="6" t="inlineStr">
        <is>
          <t>2021-07</t>
        </is>
      </c>
      <c r="F4088" s="6" t="n"/>
      <c r="G4088" s="6" t="inlineStr">
        <is>
          <t>EXPORTACAO</t>
        </is>
      </c>
      <c r="H4088" s="6" t="inlineStr">
        <is>
          <t>AUTO_OFERTA_TOTAL_PRODUTO_PERIODO</t>
        </is>
      </c>
      <c r="I4088" s="11">
        <f>IF($H4088="AUTO_OFERTA_TOTAL_PRODUTO_PERIODO",SUMIFS(Oferta!$F:$F,Oferta!$A:$A,$A4088,Oferta!$E:$E,$E4088),$F4088)</f>
        <v/>
      </c>
      <c r="J4088" s="6" t="inlineStr">
        <is>
          <t>Derivado_da_Oferta</t>
        </is>
      </c>
      <c r="K4088" s="6" t="inlineStr">
        <is>
          <t>Mercado externo: limite superior calculado automaticamente pela soma da oferta do produto no período.</t>
        </is>
      </c>
    </row>
    <row r="4089">
      <c r="A4089" s="6" t="inlineStr">
        <is>
          <t>Milho</t>
        </is>
      </c>
      <c r="B4089" s="6" t="inlineStr">
        <is>
          <t>Itaituba - PA</t>
        </is>
      </c>
      <c r="C4089" s="6" t="n">
        <v>-4.2667</v>
      </c>
      <c r="D4089" s="6" t="n">
        <v>-55.9926</v>
      </c>
      <c r="E4089" s="6" t="inlineStr">
        <is>
          <t>2021-08</t>
        </is>
      </c>
      <c r="F4089" s="6" t="n"/>
      <c r="G4089" s="6" t="inlineStr">
        <is>
          <t>EXPORTACAO</t>
        </is>
      </c>
      <c r="H4089" s="6" t="inlineStr">
        <is>
          <t>AUTO_OFERTA_TOTAL_PRODUTO_PERIODO</t>
        </is>
      </c>
      <c r="I4089" s="11">
        <f>IF($H4089="AUTO_OFERTA_TOTAL_PRODUTO_PERIODO",SUMIFS(Oferta!$F:$F,Oferta!$A:$A,$A4089,Oferta!$E:$E,$E4089),$F4089)</f>
        <v/>
      </c>
      <c r="J4089" s="6" t="inlineStr">
        <is>
          <t>Derivado_da_Oferta</t>
        </is>
      </c>
      <c r="K4089" s="6" t="inlineStr">
        <is>
          <t>Mercado externo: limite superior calculado automaticamente pela soma da oferta do produto no período.</t>
        </is>
      </c>
    </row>
    <row r="4090">
      <c r="A4090" s="6" t="inlineStr">
        <is>
          <t>Milho</t>
        </is>
      </c>
      <c r="B4090" s="6" t="inlineStr">
        <is>
          <t>Itaituba - PA</t>
        </is>
      </c>
      <c r="C4090" s="6" t="n">
        <v>-4.2667</v>
      </c>
      <c r="D4090" s="6" t="n">
        <v>-55.9926</v>
      </c>
      <c r="E4090" s="6" t="inlineStr">
        <is>
          <t>2021-09</t>
        </is>
      </c>
      <c r="F4090" s="6" t="n"/>
      <c r="G4090" s="6" t="inlineStr">
        <is>
          <t>EXPORTACAO</t>
        </is>
      </c>
      <c r="H4090" s="6" t="inlineStr">
        <is>
          <t>AUTO_OFERTA_TOTAL_PRODUTO_PERIODO</t>
        </is>
      </c>
      <c r="I4090" s="11">
        <f>IF($H4090="AUTO_OFERTA_TOTAL_PRODUTO_PERIODO",SUMIFS(Oferta!$F:$F,Oferta!$A:$A,$A4090,Oferta!$E:$E,$E4090),$F4090)</f>
        <v/>
      </c>
      <c r="J4090" s="6" t="inlineStr">
        <is>
          <t>Derivado_da_Oferta</t>
        </is>
      </c>
      <c r="K4090" s="6" t="inlineStr">
        <is>
          <t>Mercado externo: limite superior calculado automaticamente pela soma da oferta do produto no período.</t>
        </is>
      </c>
    </row>
    <row r="4091">
      <c r="A4091" s="6" t="inlineStr">
        <is>
          <t>Milho</t>
        </is>
      </c>
      <c r="B4091" s="6" t="inlineStr">
        <is>
          <t>Itaituba - PA</t>
        </is>
      </c>
      <c r="C4091" s="6" t="n">
        <v>-4.2667</v>
      </c>
      <c r="D4091" s="6" t="n">
        <v>-55.9926</v>
      </c>
      <c r="E4091" s="6" t="inlineStr">
        <is>
          <t>2021-10</t>
        </is>
      </c>
      <c r="F4091" s="6" t="n"/>
      <c r="G4091" s="6" t="inlineStr">
        <is>
          <t>EXPORTACAO</t>
        </is>
      </c>
      <c r="H4091" s="6" t="inlineStr">
        <is>
          <t>AUTO_OFERTA_TOTAL_PRODUTO_PERIODO</t>
        </is>
      </c>
      <c r="I4091" s="11">
        <f>IF($H4091="AUTO_OFERTA_TOTAL_PRODUTO_PERIODO",SUMIFS(Oferta!$F:$F,Oferta!$A:$A,$A4091,Oferta!$E:$E,$E4091),$F4091)</f>
        <v/>
      </c>
      <c r="J4091" s="6" t="inlineStr">
        <is>
          <t>Derivado_da_Oferta</t>
        </is>
      </c>
      <c r="K4091" s="6" t="inlineStr">
        <is>
          <t>Mercado externo: limite superior calculado automaticamente pela soma da oferta do produto no período.</t>
        </is>
      </c>
    </row>
    <row r="4092">
      <c r="A4092" s="6" t="inlineStr">
        <is>
          <t>Milho</t>
        </is>
      </c>
      <c r="B4092" s="6" t="inlineStr">
        <is>
          <t>Itaituba - PA</t>
        </is>
      </c>
      <c r="C4092" s="6" t="n">
        <v>-4.2667</v>
      </c>
      <c r="D4092" s="6" t="n">
        <v>-55.9926</v>
      </c>
      <c r="E4092" s="6" t="inlineStr">
        <is>
          <t>2021-11</t>
        </is>
      </c>
      <c r="F4092" s="6" t="n"/>
      <c r="G4092" s="6" t="inlineStr">
        <is>
          <t>EXPORTACAO</t>
        </is>
      </c>
      <c r="H4092" s="6" t="inlineStr">
        <is>
          <t>AUTO_OFERTA_TOTAL_PRODUTO_PERIODO</t>
        </is>
      </c>
      <c r="I4092" s="11">
        <f>IF($H4092="AUTO_OFERTA_TOTAL_PRODUTO_PERIODO",SUMIFS(Oferta!$F:$F,Oferta!$A:$A,$A4092,Oferta!$E:$E,$E4092),$F4092)</f>
        <v/>
      </c>
      <c r="J4092" s="6" t="inlineStr">
        <is>
          <t>Derivado_da_Oferta</t>
        </is>
      </c>
      <c r="K4092" s="6" t="inlineStr">
        <is>
          <t>Mercado externo: limite superior calculado automaticamente pela soma da oferta do produto no período.</t>
        </is>
      </c>
    </row>
    <row r="4093">
      <c r="A4093" s="6" t="inlineStr">
        <is>
          <t>Milho</t>
        </is>
      </c>
      <c r="B4093" s="6" t="inlineStr">
        <is>
          <t>Itaituba - PA</t>
        </is>
      </c>
      <c r="C4093" s="6" t="n">
        <v>-4.2667</v>
      </c>
      <c r="D4093" s="6" t="n">
        <v>-55.9926</v>
      </c>
      <c r="E4093" s="6" t="inlineStr">
        <is>
          <t>2021-12</t>
        </is>
      </c>
      <c r="F4093" s="6" t="n"/>
      <c r="G4093" s="6" t="inlineStr">
        <is>
          <t>EXPORTACAO</t>
        </is>
      </c>
      <c r="H4093" s="6" t="inlineStr">
        <is>
          <t>AUTO_OFERTA_TOTAL_PRODUTO_PERIODO</t>
        </is>
      </c>
      <c r="I4093" s="11">
        <f>IF($H4093="AUTO_OFERTA_TOTAL_PRODUTO_PERIODO",SUMIFS(Oferta!$F:$F,Oferta!$A:$A,$A4093,Oferta!$E:$E,$E4093),$F4093)</f>
        <v/>
      </c>
      <c r="J4093" s="6" t="inlineStr">
        <is>
          <t>Derivado_da_Oferta</t>
        </is>
      </c>
      <c r="K4093" s="6" t="inlineStr">
        <is>
          <t>Mercado externo: limite superior calculado automaticamente pela soma da oferta do produto no período.</t>
        </is>
      </c>
    </row>
    <row r="4094">
      <c r="A4094" s="6" t="inlineStr">
        <is>
          <t>Milho</t>
        </is>
      </c>
      <c r="B4094" s="6" t="inlineStr">
        <is>
          <t>Itaituba - PA</t>
        </is>
      </c>
      <c r="C4094" s="6" t="n">
        <v>-4.2667</v>
      </c>
      <c r="D4094" s="6" t="n">
        <v>-55.9926</v>
      </c>
      <c r="E4094" s="6" t="inlineStr">
        <is>
          <t>2022-01</t>
        </is>
      </c>
      <c r="F4094" s="6" t="n"/>
      <c r="G4094" s="6" t="inlineStr">
        <is>
          <t>EXPORTACAO</t>
        </is>
      </c>
      <c r="H4094" s="6" t="inlineStr">
        <is>
          <t>AUTO_OFERTA_TOTAL_PRODUTO_PERIODO</t>
        </is>
      </c>
      <c r="I4094" s="11">
        <f>IF($H4094="AUTO_OFERTA_TOTAL_PRODUTO_PERIODO",SUMIFS(Oferta!$F:$F,Oferta!$A:$A,$A4094,Oferta!$E:$E,$E4094),$F4094)</f>
        <v/>
      </c>
      <c r="J4094" s="6" t="inlineStr">
        <is>
          <t>Derivado_da_Oferta</t>
        </is>
      </c>
      <c r="K4094" s="6" t="inlineStr">
        <is>
          <t>Mercado externo: limite superior calculado automaticamente pela soma da oferta do produto no período.</t>
        </is>
      </c>
    </row>
    <row r="4095">
      <c r="A4095" s="6" t="inlineStr">
        <is>
          <t>Milho</t>
        </is>
      </c>
      <c r="B4095" s="6" t="inlineStr">
        <is>
          <t>Itaituba - PA</t>
        </is>
      </c>
      <c r="C4095" s="6" t="n">
        <v>-4.2667</v>
      </c>
      <c r="D4095" s="6" t="n">
        <v>-55.9926</v>
      </c>
      <c r="E4095" s="6" t="inlineStr">
        <is>
          <t>2022-02</t>
        </is>
      </c>
      <c r="F4095" s="6" t="n"/>
      <c r="G4095" s="6" t="inlineStr">
        <is>
          <t>EXPORTACAO</t>
        </is>
      </c>
      <c r="H4095" s="6" t="inlineStr">
        <is>
          <t>AUTO_OFERTA_TOTAL_PRODUTO_PERIODO</t>
        </is>
      </c>
      <c r="I4095" s="11">
        <f>IF($H4095="AUTO_OFERTA_TOTAL_PRODUTO_PERIODO",SUMIFS(Oferta!$F:$F,Oferta!$A:$A,$A4095,Oferta!$E:$E,$E4095),$F4095)</f>
        <v/>
      </c>
      <c r="J4095" s="6" t="inlineStr">
        <is>
          <t>Derivado_da_Oferta</t>
        </is>
      </c>
      <c r="K4095" s="6" t="inlineStr">
        <is>
          <t>Mercado externo: limite superior calculado automaticamente pela soma da oferta do produto no período.</t>
        </is>
      </c>
    </row>
    <row r="4096">
      <c r="A4096" s="6" t="inlineStr">
        <is>
          <t>Milho</t>
        </is>
      </c>
      <c r="B4096" s="6" t="inlineStr">
        <is>
          <t>Itaituba - PA</t>
        </is>
      </c>
      <c r="C4096" s="6" t="n">
        <v>-4.2667</v>
      </c>
      <c r="D4096" s="6" t="n">
        <v>-55.9926</v>
      </c>
      <c r="E4096" s="6" t="inlineStr">
        <is>
          <t>2022-03</t>
        </is>
      </c>
      <c r="F4096" s="6" t="n"/>
      <c r="G4096" s="6" t="inlineStr">
        <is>
          <t>EXPORTACAO</t>
        </is>
      </c>
      <c r="H4096" s="6" t="inlineStr">
        <is>
          <t>AUTO_OFERTA_TOTAL_PRODUTO_PERIODO</t>
        </is>
      </c>
      <c r="I4096" s="11">
        <f>IF($H4096="AUTO_OFERTA_TOTAL_PRODUTO_PERIODO",SUMIFS(Oferta!$F:$F,Oferta!$A:$A,$A4096,Oferta!$E:$E,$E4096),$F4096)</f>
        <v/>
      </c>
      <c r="J4096" s="6" t="inlineStr">
        <is>
          <t>Derivado_da_Oferta</t>
        </is>
      </c>
      <c r="K4096" s="6" t="inlineStr">
        <is>
          <t>Mercado externo: limite superior calculado automaticamente pela soma da oferta do produto no período.</t>
        </is>
      </c>
    </row>
    <row r="4097">
      <c r="A4097" s="6" t="inlineStr">
        <is>
          <t>Milho</t>
        </is>
      </c>
      <c r="B4097" s="6" t="inlineStr">
        <is>
          <t>Itaituba - PA</t>
        </is>
      </c>
      <c r="C4097" s="6" t="n">
        <v>-4.2667</v>
      </c>
      <c r="D4097" s="6" t="n">
        <v>-55.9926</v>
      </c>
      <c r="E4097" s="6" t="inlineStr">
        <is>
          <t>2022-04</t>
        </is>
      </c>
      <c r="F4097" s="6" t="n"/>
      <c r="G4097" s="6" t="inlineStr">
        <is>
          <t>EXPORTACAO</t>
        </is>
      </c>
      <c r="H4097" s="6" t="inlineStr">
        <is>
          <t>AUTO_OFERTA_TOTAL_PRODUTO_PERIODO</t>
        </is>
      </c>
      <c r="I4097" s="11">
        <f>IF($H4097="AUTO_OFERTA_TOTAL_PRODUTO_PERIODO",SUMIFS(Oferta!$F:$F,Oferta!$A:$A,$A4097,Oferta!$E:$E,$E4097),$F4097)</f>
        <v/>
      </c>
      <c r="J4097" s="6" t="inlineStr">
        <is>
          <t>Derivado_da_Oferta</t>
        </is>
      </c>
      <c r="K4097" s="6" t="inlineStr">
        <is>
          <t>Mercado externo: limite superior calculado automaticamente pela soma da oferta do produto no período.</t>
        </is>
      </c>
    </row>
    <row r="4098">
      <c r="A4098" s="6" t="inlineStr">
        <is>
          <t>Milho</t>
        </is>
      </c>
      <c r="B4098" s="6" t="inlineStr">
        <is>
          <t>Itaituba - PA</t>
        </is>
      </c>
      <c r="C4098" s="6" t="n">
        <v>-4.2667</v>
      </c>
      <c r="D4098" s="6" t="n">
        <v>-55.9926</v>
      </c>
      <c r="E4098" s="6" t="inlineStr">
        <is>
          <t>2022-05</t>
        </is>
      </c>
      <c r="F4098" s="6" t="n"/>
      <c r="G4098" s="6" t="inlineStr">
        <is>
          <t>EXPORTACAO</t>
        </is>
      </c>
      <c r="H4098" s="6" t="inlineStr">
        <is>
          <t>AUTO_OFERTA_TOTAL_PRODUTO_PERIODO</t>
        </is>
      </c>
      <c r="I4098" s="11">
        <f>IF($H4098="AUTO_OFERTA_TOTAL_PRODUTO_PERIODO",SUMIFS(Oferta!$F:$F,Oferta!$A:$A,$A4098,Oferta!$E:$E,$E4098),$F4098)</f>
        <v/>
      </c>
      <c r="J4098" s="6" t="inlineStr">
        <is>
          <t>Derivado_da_Oferta</t>
        </is>
      </c>
      <c r="K4098" s="6" t="inlineStr">
        <is>
          <t>Mercado externo: limite superior calculado automaticamente pela soma da oferta do produto no período.</t>
        </is>
      </c>
    </row>
    <row r="4099">
      <c r="A4099" s="6" t="inlineStr">
        <is>
          <t>Milho</t>
        </is>
      </c>
      <c r="B4099" s="6" t="inlineStr">
        <is>
          <t>Itaituba - PA</t>
        </is>
      </c>
      <c r="C4099" s="6" t="n">
        <v>-4.2667</v>
      </c>
      <c r="D4099" s="6" t="n">
        <v>-55.9926</v>
      </c>
      <c r="E4099" s="6" t="inlineStr">
        <is>
          <t>2022-06</t>
        </is>
      </c>
      <c r="F4099" s="6" t="n"/>
      <c r="G4099" s="6" t="inlineStr">
        <is>
          <t>EXPORTACAO</t>
        </is>
      </c>
      <c r="H4099" s="6" t="inlineStr">
        <is>
          <t>AUTO_OFERTA_TOTAL_PRODUTO_PERIODO</t>
        </is>
      </c>
      <c r="I4099" s="11">
        <f>IF($H4099="AUTO_OFERTA_TOTAL_PRODUTO_PERIODO",SUMIFS(Oferta!$F:$F,Oferta!$A:$A,$A4099,Oferta!$E:$E,$E4099),$F4099)</f>
        <v/>
      </c>
      <c r="J4099" s="6" t="inlineStr">
        <is>
          <t>Derivado_da_Oferta</t>
        </is>
      </c>
      <c r="K4099" s="6" t="inlineStr">
        <is>
          <t>Mercado externo: limite superior calculado automaticamente pela soma da oferta do produto no período.</t>
        </is>
      </c>
    </row>
    <row r="4100">
      <c r="A4100" s="6" t="inlineStr">
        <is>
          <t>Milho</t>
        </is>
      </c>
      <c r="B4100" s="6" t="inlineStr">
        <is>
          <t>Itaituba - PA</t>
        </is>
      </c>
      <c r="C4100" s="6" t="n">
        <v>-4.2667</v>
      </c>
      <c r="D4100" s="6" t="n">
        <v>-55.9926</v>
      </c>
      <c r="E4100" s="6" t="inlineStr">
        <is>
          <t>2022-07</t>
        </is>
      </c>
      <c r="F4100" s="6" t="n"/>
      <c r="G4100" s="6" t="inlineStr">
        <is>
          <t>EXPORTACAO</t>
        </is>
      </c>
      <c r="H4100" s="6" t="inlineStr">
        <is>
          <t>AUTO_OFERTA_TOTAL_PRODUTO_PERIODO</t>
        </is>
      </c>
      <c r="I4100" s="11">
        <f>IF($H4100="AUTO_OFERTA_TOTAL_PRODUTO_PERIODO",SUMIFS(Oferta!$F:$F,Oferta!$A:$A,$A4100,Oferta!$E:$E,$E4100),$F4100)</f>
        <v/>
      </c>
      <c r="J4100" s="6" t="inlineStr">
        <is>
          <t>Derivado_da_Oferta</t>
        </is>
      </c>
      <c r="K4100" s="6" t="inlineStr">
        <is>
          <t>Mercado externo: limite superior calculado automaticamente pela soma da oferta do produto no período.</t>
        </is>
      </c>
    </row>
    <row r="4101">
      <c r="A4101" s="6" t="inlineStr">
        <is>
          <t>Milho</t>
        </is>
      </c>
      <c r="B4101" s="6" t="inlineStr">
        <is>
          <t>Itaituba - PA</t>
        </is>
      </c>
      <c r="C4101" s="6" t="n">
        <v>-4.2667</v>
      </c>
      <c r="D4101" s="6" t="n">
        <v>-55.9926</v>
      </c>
      <c r="E4101" s="6" t="inlineStr">
        <is>
          <t>2022-08</t>
        </is>
      </c>
      <c r="F4101" s="6" t="n"/>
      <c r="G4101" s="6" t="inlineStr">
        <is>
          <t>EXPORTACAO</t>
        </is>
      </c>
      <c r="H4101" s="6" t="inlineStr">
        <is>
          <t>AUTO_OFERTA_TOTAL_PRODUTO_PERIODO</t>
        </is>
      </c>
      <c r="I4101" s="11">
        <f>IF($H4101="AUTO_OFERTA_TOTAL_PRODUTO_PERIODO",SUMIFS(Oferta!$F:$F,Oferta!$A:$A,$A4101,Oferta!$E:$E,$E4101),$F4101)</f>
        <v/>
      </c>
      <c r="J4101" s="6" t="inlineStr">
        <is>
          <t>Derivado_da_Oferta</t>
        </is>
      </c>
      <c r="K4101" s="6" t="inlineStr">
        <is>
          <t>Mercado externo: limite superior calculado automaticamente pela soma da oferta do produto no período.</t>
        </is>
      </c>
    </row>
    <row r="4102">
      <c r="A4102" s="6" t="inlineStr">
        <is>
          <t>Milho</t>
        </is>
      </c>
      <c r="B4102" s="6" t="inlineStr">
        <is>
          <t>Itaituba - PA</t>
        </is>
      </c>
      <c r="C4102" s="6" t="n">
        <v>-4.2667</v>
      </c>
      <c r="D4102" s="6" t="n">
        <v>-55.9926</v>
      </c>
      <c r="E4102" s="6" t="inlineStr">
        <is>
          <t>2022-09</t>
        </is>
      </c>
      <c r="F4102" s="6" t="n"/>
      <c r="G4102" s="6" t="inlineStr">
        <is>
          <t>EXPORTACAO</t>
        </is>
      </c>
      <c r="H4102" s="6" t="inlineStr">
        <is>
          <t>AUTO_OFERTA_TOTAL_PRODUTO_PERIODO</t>
        </is>
      </c>
      <c r="I4102" s="11">
        <f>IF($H4102="AUTO_OFERTA_TOTAL_PRODUTO_PERIODO",SUMIFS(Oferta!$F:$F,Oferta!$A:$A,$A4102,Oferta!$E:$E,$E4102),$F4102)</f>
        <v/>
      </c>
      <c r="J4102" s="6" t="inlineStr">
        <is>
          <t>Derivado_da_Oferta</t>
        </is>
      </c>
      <c r="K4102" s="6" t="inlineStr">
        <is>
          <t>Mercado externo: limite superior calculado automaticamente pela soma da oferta do produto no período.</t>
        </is>
      </c>
    </row>
    <row r="4103">
      <c r="A4103" s="6" t="inlineStr">
        <is>
          <t>Milho</t>
        </is>
      </c>
      <c r="B4103" s="6" t="inlineStr">
        <is>
          <t>Itaituba - PA</t>
        </is>
      </c>
      <c r="C4103" s="6" t="n">
        <v>-4.2667</v>
      </c>
      <c r="D4103" s="6" t="n">
        <v>-55.9926</v>
      </c>
      <c r="E4103" s="6" t="inlineStr">
        <is>
          <t>2022-10</t>
        </is>
      </c>
      <c r="F4103" s="6" t="n"/>
      <c r="G4103" s="6" t="inlineStr">
        <is>
          <t>EXPORTACAO</t>
        </is>
      </c>
      <c r="H4103" s="6" t="inlineStr">
        <is>
          <t>AUTO_OFERTA_TOTAL_PRODUTO_PERIODO</t>
        </is>
      </c>
      <c r="I4103" s="11">
        <f>IF($H4103="AUTO_OFERTA_TOTAL_PRODUTO_PERIODO",SUMIFS(Oferta!$F:$F,Oferta!$A:$A,$A4103,Oferta!$E:$E,$E4103),$F4103)</f>
        <v/>
      </c>
      <c r="J4103" s="6" t="inlineStr">
        <is>
          <t>Derivado_da_Oferta</t>
        </is>
      </c>
      <c r="K4103" s="6" t="inlineStr">
        <is>
          <t>Mercado externo: limite superior calculado automaticamente pela soma da oferta do produto no período.</t>
        </is>
      </c>
    </row>
    <row r="4104">
      <c r="A4104" s="6" t="inlineStr">
        <is>
          <t>Milho</t>
        </is>
      </c>
      <c r="B4104" s="6" t="inlineStr">
        <is>
          <t>Itaituba - PA</t>
        </is>
      </c>
      <c r="C4104" s="6" t="n">
        <v>-4.2667</v>
      </c>
      <c r="D4104" s="6" t="n">
        <v>-55.9926</v>
      </c>
      <c r="E4104" s="6" t="inlineStr">
        <is>
          <t>2022-11</t>
        </is>
      </c>
      <c r="F4104" s="6" t="n"/>
      <c r="G4104" s="6" t="inlineStr">
        <is>
          <t>EXPORTACAO</t>
        </is>
      </c>
      <c r="H4104" s="6" t="inlineStr">
        <is>
          <t>AUTO_OFERTA_TOTAL_PRODUTO_PERIODO</t>
        </is>
      </c>
      <c r="I4104" s="11">
        <f>IF($H4104="AUTO_OFERTA_TOTAL_PRODUTO_PERIODO",SUMIFS(Oferta!$F:$F,Oferta!$A:$A,$A4104,Oferta!$E:$E,$E4104),$F4104)</f>
        <v/>
      </c>
      <c r="J4104" s="6" t="inlineStr">
        <is>
          <t>Derivado_da_Oferta</t>
        </is>
      </c>
      <c r="K4104" s="6" t="inlineStr">
        <is>
          <t>Mercado externo: limite superior calculado automaticamente pela soma da oferta do produto no período.</t>
        </is>
      </c>
    </row>
    <row r="4105">
      <c r="A4105" s="6" t="inlineStr">
        <is>
          <t>Milho</t>
        </is>
      </c>
      <c r="B4105" s="6" t="inlineStr">
        <is>
          <t>Itaituba - PA</t>
        </is>
      </c>
      <c r="C4105" s="6" t="n">
        <v>-4.2667</v>
      </c>
      <c r="D4105" s="6" t="n">
        <v>-55.9926</v>
      </c>
      <c r="E4105" s="6" t="inlineStr">
        <is>
          <t>2022-12</t>
        </is>
      </c>
      <c r="F4105" s="6" t="n"/>
      <c r="G4105" s="6" t="inlineStr">
        <is>
          <t>EXPORTACAO</t>
        </is>
      </c>
      <c r="H4105" s="6" t="inlineStr">
        <is>
          <t>AUTO_OFERTA_TOTAL_PRODUTO_PERIODO</t>
        </is>
      </c>
      <c r="I4105" s="11">
        <f>IF($H4105="AUTO_OFERTA_TOTAL_PRODUTO_PERIODO",SUMIFS(Oferta!$F:$F,Oferta!$A:$A,$A4105,Oferta!$E:$E,$E4105),$F4105)</f>
        <v/>
      </c>
      <c r="J4105" s="6" t="inlineStr">
        <is>
          <t>Derivado_da_Oferta</t>
        </is>
      </c>
      <c r="K4105" s="6" t="inlineStr">
        <is>
          <t>Mercado externo: limite superior calculado automaticamente pela soma da oferta do produto no período.</t>
        </is>
      </c>
    </row>
    <row r="4106">
      <c r="A4106" s="6" t="inlineStr">
        <is>
          <t>Milho</t>
        </is>
      </c>
      <c r="B4106" s="6" t="inlineStr">
        <is>
          <t>Itaituba - PA</t>
        </is>
      </c>
      <c r="C4106" s="6" t="n">
        <v>-4.2667</v>
      </c>
      <c r="D4106" s="6" t="n">
        <v>-55.9926</v>
      </c>
      <c r="E4106" s="6" t="inlineStr">
        <is>
          <t>2023-01</t>
        </is>
      </c>
      <c r="F4106" s="6" t="n"/>
      <c r="G4106" s="6" t="inlineStr">
        <is>
          <t>EXPORTACAO</t>
        </is>
      </c>
      <c r="H4106" s="6" t="inlineStr">
        <is>
          <t>AUTO_OFERTA_TOTAL_PRODUTO_PERIODO</t>
        </is>
      </c>
      <c r="I4106" s="11">
        <f>IF($H4106="AUTO_OFERTA_TOTAL_PRODUTO_PERIODO",SUMIFS(Oferta!$F:$F,Oferta!$A:$A,$A4106,Oferta!$E:$E,$E4106),$F4106)</f>
        <v/>
      </c>
      <c r="J4106" s="6" t="inlineStr">
        <is>
          <t>Derivado_da_Oferta</t>
        </is>
      </c>
      <c r="K4106" s="6" t="inlineStr">
        <is>
          <t>Mercado externo: limite superior calculado automaticamente pela soma da oferta do produto no período.</t>
        </is>
      </c>
    </row>
    <row r="4107">
      <c r="A4107" s="6" t="inlineStr">
        <is>
          <t>Milho</t>
        </is>
      </c>
      <c r="B4107" s="6" t="inlineStr">
        <is>
          <t>Itaituba - PA</t>
        </is>
      </c>
      <c r="C4107" s="6" t="n">
        <v>-4.2667</v>
      </c>
      <c r="D4107" s="6" t="n">
        <v>-55.9926</v>
      </c>
      <c r="E4107" s="6" t="inlineStr">
        <is>
          <t>2023-02</t>
        </is>
      </c>
      <c r="F4107" s="6" t="n"/>
      <c r="G4107" s="6" t="inlineStr">
        <is>
          <t>EXPORTACAO</t>
        </is>
      </c>
      <c r="H4107" s="6" t="inlineStr">
        <is>
          <t>AUTO_OFERTA_TOTAL_PRODUTO_PERIODO</t>
        </is>
      </c>
      <c r="I4107" s="11">
        <f>IF($H4107="AUTO_OFERTA_TOTAL_PRODUTO_PERIODO",SUMIFS(Oferta!$F:$F,Oferta!$A:$A,$A4107,Oferta!$E:$E,$E4107),$F4107)</f>
        <v/>
      </c>
      <c r="J4107" s="6" t="inlineStr">
        <is>
          <t>Derivado_da_Oferta</t>
        </is>
      </c>
      <c r="K4107" s="6" t="inlineStr">
        <is>
          <t>Mercado externo: limite superior calculado automaticamente pela soma da oferta do produto no período.</t>
        </is>
      </c>
    </row>
    <row r="4108">
      <c r="A4108" s="6" t="inlineStr">
        <is>
          <t>Milho</t>
        </is>
      </c>
      <c r="B4108" s="6" t="inlineStr">
        <is>
          <t>Itaituba - PA</t>
        </is>
      </c>
      <c r="C4108" s="6" t="n">
        <v>-4.2667</v>
      </c>
      <c r="D4108" s="6" t="n">
        <v>-55.9926</v>
      </c>
      <c r="E4108" s="6" t="inlineStr">
        <is>
          <t>2023-03</t>
        </is>
      </c>
      <c r="F4108" s="6" t="n"/>
      <c r="G4108" s="6" t="inlineStr">
        <is>
          <t>EXPORTACAO</t>
        </is>
      </c>
      <c r="H4108" s="6" t="inlineStr">
        <is>
          <t>AUTO_OFERTA_TOTAL_PRODUTO_PERIODO</t>
        </is>
      </c>
      <c r="I4108" s="11">
        <f>IF($H4108="AUTO_OFERTA_TOTAL_PRODUTO_PERIODO",SUMIFS(Oferta!$F:$F,Oferta!$A:$A,$A4108,Oferta!$E:$E,$E4108),$F4108)</f>
        <v/>
      </c>
      <c r="J4108" s="6" t="inlineStr">
        <is>
          <t>Derivado_da_Oferta</t>
        </is>
      </c>
      <c r="K4108" s="6" t="inlineStr">
        <is>
          <t>Mercado externo: limite superior calculado automaticamente pela soma da oferta do produto no período.</t>
        </is>
      </c>
    </row>
    <row r="4109">
      <c r="A4109" s="6" t="inlineStr">
        <is>
          <t>Milho</t>
        </is>
      </c>
      <c r="B4109" s="6" t="inlineStr">
        <is>
          <t>Itaituba - PA</t>
        </is>
      </c>
      <c r="C4109" s="6" t="n">
        <v>-4.2667</v>
      </c>
      <c r="D4109" s="6" t="n">
        <v>-55.9926</v>
      </c>
      <c r="E4109" s="6" t="inlineStr">
        <is>
          <t>2023-04</t>
        </is>
      </c>
      <c r="F4109" s="6" t="n"/>
      <c r="G4109" s="6" t="inlineStr">
        <is>
          <t>EXPORTACAO</t>
        </is>
      </c>
      <c r="H4109" s="6" t="inlineStr">
        <is>
          <t>AUTO_OFERTA_TOTAL_PRODUTO_PERIODO</t>
        </is>
      </c>
      <c r="I4109" s="11">
        <f>IF($H4109="AUTO_OFERTA_TOTAL_PRODUTO_PERIODO",SUMIFS(Oferta!$F:$F,Oferta!$A:$A,$A4109,Oferta!$E:$E,$E4109),$F4109)</f>
        <v/>
      </c>
      <c r="J4109" s="6" t="inlineStr">
        <is>
          <t>Derivado_da_Oferta</t>
        </is>
      </c>
      <c r="K4109" s="6" t="inlineStr">
        <is>
          <t>Mercado externo: limite superior calculado automaticamente pela soma da oferta do produto no período.</t>
        </is>
      </c>
    </row>
    <row r="4110">
      <c r="A4110" s="6" t="inlineStr">
        <is>
          <t>Milho</t>
        </is>
      </c>
      <c r="B4110" s="6" t="inlineStr">
        <is>
          <t>Itaituba - PA</t>
        </is>
      </c>
      <c r="C4110" s="6" t="n">
        <v>-4.2667</v>
      </c>
      <c r="D4110" s="6" t="n">
        <v>-55.9926</v>
      </c>
      <c r="E4110" s="6" t="inlineStr">
        <is>
          <t>2023-05</t>
        </is>
      </c>
      <c r="F4110" s="6" t="n"/>
      <c r="G4110" s="6" t="inlineStr">
        <is>
          <t>EXPORTACAO</t>
        </is>
      </c>
      <c r="H4110" s="6" t="inlineStr">
        <is>
          <t>AUTO_OFERTA_TOTAL_PRODUTO_PERIODO</t>
        </is>
      </c>
      <c r="I4110" s="11">
        <f>IF($H4110="AUTO_OFERTA_TOTAL_PRODUTO_PERIODO",SUMIFS(Oferta!$F:$F,Oferta!$A:$A,$A4110,Oferta!$E:$E,$E4110),$F4110)</f>
        <v/>
      </c>
      <c r="J4110" s="6" t="inlineStr">
        <is>
          <t>Derivado_da_Oferta</t>
        </is>
      </c>
      <c r="K4110" s="6" t="inlineStr">
        <is>
          <t>Mercado externo: limite superior calculado automaticamente pela soma da oferta do produto no período.</t>
        </is>
      </c>
    </row>
    <row r="4111">
      <c r="A4111" s="6" t="inlineStr">
        <is>
          <t>Milho</t>
        </is>
      </c>
      <c r="B4111" s="6" t="inlineStr">
        <is>
          <t>Itaituba - PA</t>
        </is>
      </c>
      <c r="C4111" s="6" t="n">
        <v>-4.2667</v>
      </c>
      <c r="D4111" s="6" t="n">
        <v>-55.9926</v>
      </c>
      <c r="E4111" s="6" t="inlineStr">
        <is>
          <t>2023-06</t>
        </is>
      </c>
      <c r="F4111" s="6" t="n"/>
      <c r="G4111" s="6" t="inlineStr">
        <is>
          <t>EXPORTACAO</t>
        </is>
      </c>
      <c r="H4111" s="6" t="inlineStr">
        <is>
          <t>AUTO_OFERTA_TOTAL_PRODUTO_PERIODO</t>
        </is>
      </c>
      <c r="I4111" s="11">
        <f>IF($H4111="AUTO_OFERTA_TOTAL_PRODUTO_PERIODO",SUMIFS(Oferta!$F:$F,Oferta!$A:$A,$A4111,Oferta!$E:$E,$E4111),$F4111)</f>
        <v/>
      </c>
      <c r="J4111" s="6" t="inlineStr">
        <is>
          <t>Derivado_da_Oferta</t>
        </is>
      </c>
      <c r="K4111" s="6" t="inlineStr">
        <is>
          <t>Mercado externo: limite superior calculado automaticamente pela soma da oferta do produto no período.</t>
        </is>
      </c>
    </row>
    <row r="4112">
      <c r="A4112" s="6" t="inlineStr">
        <is>
          <t>Milho</t>
        </is>
      </c>
      <c r="B4112" s="6" t="inlineStr">
        <is>
          <t>Itaituba - PA</t>
        </is>
      </c>
      <c r="C4112" s="6" t="n">
        <v>-4.2667</v>
      </c>
      <c r="D4112" s="6" t="n">
        <v>-55.9926</v>
      </c>
      <c r="E4112" s="6" t="inlineStr">
        <is>
          <t>2023-07</t>
        </is>
      </c>
      <c r="F4112" s="6" t="n"/>
      <c r="G4112" s="6" t="inlineStr">
        <is>
          <t>EXPORTACAO</t>
        </is>
      </c>
      <c r="H4112" s="6" t="inlineStr">
        <is>
          <t>AUTO_OFERTA_TOTAL_PRODUTO_PERIODO</t>
        </is>
      </c>
      <c r="I4112" s="11">
        <f>IF($H4112="AUTO_OFERTA_TOTAL_PRODUTO_PERIODO",SUMIFS(Oferta!$F:$F,Oferta!$A:$A,$A4112,Oferta!$E:$E,$E4112),$F4112)</f>
        <v/>
      </c>
      <c r="J4112" s="6" t="inlineStr">
        <is>
          <t>Derivado_da_Oferta</t>
        </is>
      </c>
      <c r="K4112" s="6" t="inlineStr">
        <is>
          <t>Mercado externo: limite superior calculado automaticamente pela soma da oferta do produto no período.</t>
        </is>
      </c>
    </row>
    <row r="4113">
      <c r="A4113" s="6" t="inlineStr">
        <is>
          <t>Milho</t>
        </is>
      </c>
      <c r="B4113" s="6" t="inlineStr">
        <is>
          <t>Itaituba - PA</t>
        </is>
      </c>
      <c r="C4113" s="6" t="n">
        <v>-4.2667</v>
      </c>
      <c r="D4113" s="6" t="n">
        <v>-55.9926</v>
      </c>
      <c r="E4113" s="6" t="inlineStr">
        <is>
          <t>2023-08</t>
        </is>
      </c>
      <c r="F4113" s="6" t="n"/>
      <c r="G4113" s="6" t="inlineStr">
        <is>
          <t>EXPORTACAO</t>
        </is>
      </c>
      <c r="H4113" s="6" t="inlineStr">
        <is>
          <t>AUTO_OFERTA_TOTAL_PRODUTO_PERIODO</t>
        </is>
      </c>
      <c r="I4113" s="11">
        <f>IF($H4113="AUTO_OFERTA_TOTAL_PRODUTO_PERIODO",SUMIFS(Oferta!$F:$F,Oferta!$A:$A,$A4113,Oferta!$E:$E,$E4113),$F4113)</f>
        <v/>
      </c>
      <c r="J4113" s="6" t="inlineStr">
        <is>
          <t>Derivado_da_Oferta</t>
        </is>
      </c>
      <c r="K4113" s="6" t="inlineStr">
        <is>
          <t>Mercado externo: limite superior calculado automaticamente pela soma da oferta do produto no período.</t>
        </is>
      </c>
    </row>
    <row r="4114">
      <c r="A4114" s="6" t="inlineStr">
        <is>
          <t>Milho</t>
        </is>
      </c>
      <c r="B4114" s="6" t="inlineStr">
        <is>
          <t>Itaituba - PA</t>
        </is>
      </c>
      <c r="C4114" s="6" t="n">
        <v>-4.2667</v>
      </c>
      <c r="D4114" s="6" t="n">
        <v>-55.9926</v>
      </c>
      <c r="E4114" s="6" t="inlineStr">
        <is>
          <t>2023-09</t>
        </is>
      </c>
      <c r="F4114" s="6" t="n"/>
      <c r="G4114" s="6" t="inlineStr">
        <is>
          <t>EXPORTACAO</t>
        </is>
      </c>
      <c r="H4114" s="6" t="inlineStr">
        <is>
          <t>AUTO_OFERTA_TOTAL_PRODUTO_PERIODO</t>
        </is>
      </c>
      <c r="I4114" s="11">
        <f>IF($H4114="AUTO_OFERTA_TOTAL_PRODUTO_PERIODO",SUMIFS(Oferta!$F:$F,Oferta!$A:$A,$A4114,Oferta!$E:$E,$E4114),$F4114)</f>
        <v/>
      </c>
      <c r="J4114" s="6" t="inlineStr">
        <is>
          <t>Derivado_da_Oferta</t>
        </is>
      </c>
      <c r="K4114" s="6" t="inlineStr">
        <is>
          <t>Mercado externo: limite superior calculado automaticamente pela soma da oferta do produto no período.</t>
        </is>
      </c>
    </row>
    <row r="4115">
      <c r="A4115" s="6" t="inlineStr">
        <is>
          <t>Milho</t>
        </is>
      </c>
      <c r="B4115" s="6" t="inlineStr">
        <is>
          <t>Itaituba - PA</t>
        </is>
      </c>
      <c r="C4115" s="6" t="n">
        <v>-4.2667</v>
      </c>
      <c r="D4115" s="6" t="n">
        <v>-55.9926</v>
      </c>
      <c r="E4115" s="6" t="inlineStr">
        <is>
          <t>2023-10</t>
        </is>
      </c>
      <c r="F4115" s="6" t="n"/>
      <c r="G4115" s="6" t="inlineStr">
        <is>
          <t>EXPORTACAO</t>
        </is>
      </c>
      <c r="H4115" s="6" t="inlineStr">
        <is>
          <t>AUTO_OFERTA_TOTAL_PRODUTO_PERIODO</t>
        </is>
      </c>
      <c r="I4115" s="11">
        <f>IF($H4115="AUTO_OFERTA_TOTAL_PRODUTO_PERIODO",SUMIFS(Oferta!$F:$F,Oferta!$A:$A,$A4115,Oferta!$E:$E,$E4115),$F4115)</f>
        <v/>
      </c>
      <c r="J4115" s="6" t="inlineStr">
        <is>
          <t>Derivado_da_Oferta</t>
        </is>
      </c>
      <c r="K4115" s="6" t="inlineStr">
        <is>
          <t>Mercado externo: limite superior calculado automaticamente pela soma da oferta do produto no período.</t>
        </is>
      </c>
    </row>
    <row r="4116">
      <c r="A4116" s="6" t="inlineStr">
        <is>
          <t>Milho</t>
        </is>
      </c>
      <c r="B4116" s="6" t="inlineStr">
        <is>
          <t>Itaituba - PA</t>
        </is>
      </c>
      <c r="C4116" s="6" t="n">
        <v>-4.2667</v>
      </c>
      <c r="D4116" s="6" t="n">
        <v>-55.9926</v>
      </c>
      <c r="E4116" s="6" t="inlineStr">
        <is>
          <t>2023-11</t>
        </is>
      </c>
      <c r="F4116" s="6" t="n"/>
      <c r="G4116" s="6" t="inlineStr">
        <is>
          <t>EXPORTACAO</t>
        </is>
      </c>
      <c r="H4116" s="6" t="inlineStr">
        <is>
          <t>AUTO_OFERTA_TOTAL_PRODUTO_PERIODO</t>
        </is>
      </c>
      <c r="I4116" s="11">
        <f>IF($H4116="AUTO_OFERTA_TOTAL_PRODUTO_PERIODO",SUMIFS(Oferta!$F:$F,Oferta!$A:$A,$A4116,Oferta!$E:$E,$E4116),$F4116)</f>
        <v/>
      </c>
      <c r="J4116" s="6" t="inlineStr">
        <is>
          <t>Derivado_da_Oferta</t>
        </is>
      </c>
      <c r="K4116" s="6" t="inlineStr">
        <is>
          <t>Mercado externo: limite superior calculado automaticamente pela soma da oferta do produto no período.</t>
        </is>
      </c>
    </row>
    <row r="4117">
      <c r="A4117" s="6" t="inlineStr">
        <is>
          <t>Milho</t>
        </is>
      </c>
      <c r="B4117" s="6" t="inlineStr">
        <is>
          <t>Itaituba - PA</t>
        </is>
      </c>
      <c r="C4117" s="6" t="n">
        <v>-4.2667</v>
      </c>
      <c r="D4117" s="6" t="n">
        <v>-55.9926</v>
      </c>
      <c r="E4117" s="6" t="inlineStr">
        <is>
          <t>2023-12</t>
        </is>
      </c>
      <c r="F4117" s="6" t="n"/>
      <c r="G4117" s="6" t="inlineStr">
        <is>
          <t>EXPORTACAO</t>
        </is>
      </c>
      <c r="H4117" s="6" t="inlineStr">
        <is>
          <t>AUTO_OFERTA_TOTAL_PRODUTO_PERIODO</t>
        </is>
      </c>
      <c r="I4117" s="11">
        <f>IF($H4117="AUTO_OFERTA_TOTAL_PRODUTO_PERIODO",SUMIFS(Oferta!$F:$F,Oferta!$A:$A,$A4117,Oferta!$E:$E,$E4117),$F4117)</f>
        <v/>
      </c>
      <c r="J4117" s="6" t="inlineStr">
        <is>
          <t>Derivado_da_Oferta</t>
        </is>
      </c>
      <c r="K4117" s="6" t="inlineStr">
        <is>
          <t>Mercado externo: limite superior calculado automaticamente pela soma da oferta do produto no período.</t>
        </is>
      </c>
    </row>
    <row r="4118">
      <c r="A4118" s="6" t="inlineStr">
        <is>
          <t>Milho</t>
        </is>
      </c>
      <c r="B4118" s="6" t="inlineStr">
        <is>
          <t>Itaituba - PA</t>
        </is>
      </c>
      <c r="C4118" s="6" t="n">
        <v>-4.2667</v>
      </c>
      <c r="D4118" s="6" t="n">
        <v>-55.9926</v>
      </c>
      <c r="E4118" s="6" t="inlineStr">
        <is>
          <t>2024-01</t>
        </is>
      </c>
      <c r="F4118" s="6" t="n"/>
      <c r="G4118" s="6" t="inlineStr">
        <is>
          <t>EXPORTACAO</t>
        </is>
      </c>
      <c r="H4118" s="6" t="inlineStr">
        <is>
          <t>AUTO_OFERTA_TOTAL_PRODUTO_PERIODO</t>
        </is>
      </c>
      <c r="I4118" s="11">
        <f>IF($H4118="AUTO_OFERTA_TOTAL_PRODUTO_PERIODO",SUMIFS(Oferta!$F:$F,Oferta!$A:$A,$A4118,Oferta!$E:$E,$E4118),$F4118)</f>
        <v/>
      </c>
      <c r="J4118" s="6" t="inlineStr">
        <is>
          <t>Derivado_da_Oferta</t>
        </is>
      </c>
      <c r="K4118" s="6" t="inlineStr">
        <is>
          <t>Mercado externo: limite superior calculado automaticamente pela soma da oferta do produto no período.</t>
        </is>
      </c>
    </row>
    <row r="4119">
      <c r="A4119" s="6" t="inlineStr">
        <is>
          <t>Milho</t>
        </is>
      </c>
      <c r="B4119" s="6" t="inlineStr">
        <is>
          <t>Itaituba - PA</t>
        </is>
      </c>
      <c r="C4119" s="6" t="n">
        <v>-4.2667</v>
      </c>
      <c r="D4119" s="6" t="n">
        <v>-55.9926</v>
      </c>
      <c r="E4119" s="6" t="inlineStr">
        <is>
          <t>2024-02</t>
        </is>
      </c>
      <c r="F4119" s="6" t="n"/>
      <c r="G4119" s="6" t="inlineStr">
        <is>
          <t>EXPORTACAO</t>
        </is>
      </c>
      <c r="H4119" s="6" t="inlineStr">
        <is>
          <t>AUTO_OFERTA_TOTAL_PRODUTO_PERIODO</t>
        </is>
      </c>
      <c r="I4119" s="11">
        <f>IF($H4119="AUTO_OFERTA_TOTAL_PRODUTO_PERIODO",SUMIFS(Oferta!$F:$F,Oferta!$A:$A,$A4119,Oferta!$E:$E,$E4119),$F4119)</f>
        <v/>
      </c>
      <c r="J4119" s="6" t="inlineStr">
        <is>
          <t>Derivado_da_Oferta</t>
        </is>
      </c>
      <c r="K4119" s="6" t="inlineStr">
        <is>
          <t>Mercado externo: limite superior calculado automaticamente pela soma da oferta do produto no período.</t>
        </is>
      </c>
    </row>
    <row r="4120">
      <c r="A4120" s="6" t="inlineStr">
        <is>
          <t>Milho</t>
        </is>
      </c>
      <c r="B4120" s="6" t="inlineStr">
        <is>
          <t>Itaituba - PA</t>
        </is>
      </c>
      <c r="C4120" s="6" t="n">
        <v>-4.2667</v>
      </c>
      <c r="D4120" s="6" t="n">
        <v>-55.9926</v>
      </c>
      <c r="E4120" s="6" t="inlineStr">
        <is>
          <t>2024-03</t>
        </is>
      </c>
      <c r="F4120" s="6" t="n"/>
      <c r="G4120" s="6" t="inlineStr">
        <is>
          <t>EXPORTACAO</t>
        </is>
      </c>
      <c r="H4120" s="6" t="inlineStr">
        <is>
          <t>AUTO_OFERTA_TOTAL_PRODUTO_PERIODO</t>
        </is>
      </c>
      <c r="I4120" s="11">
        <f>IF($H4120="AUTO_OFERTA_TOTAL_PRODUTO_PERIODO",SUMIFS(Oferta!$F:$F,Oferta!$A:$A,$A4120,Oferta!$E:$E,$E4120),$F4120)</f>
        <v/>
      </c>
      <c r="J4120" s="6" t="inlineStr">
        <is>
          <t>Derivado_da_Oferta</t>
        </is>
      </c>
      <c r="K4120" s="6" t="inlineStr">
        <is>
          <t>Mercado externo: limite superior calculado automaticamente pela soma da oferta do produto no período.</t>
        </is>
      </c>
    </row>
    <row r="4121">
      <c r="A4121" s="6" t="inlineStr">
        <is>
          <t>Milho</t>
        </is>
      </c>
      <c r="B4121" s="6" t="inlineStr">
        <is>
          <t>Itaituba - PA</t>
        </is>
      </c>
      <c r="C4121" s="6" t="n">
        <v>-4.2667</v>
      </c>
      <c r="D4121" s="6" t="n">
        <v>-55.9926</v>
      </c>
      <c r="E4121" s="6" t="inlineStr">
        <is>
          <t>2024-04</t>
        </is>
      </c>
      <c r="F4121" s="6" t="n"/>
      <c r="G4121" s="6" t="inlineStr">
        <is>
          <t>EXPORTACAO</t>
        </is>
      </c>
      <c r="H4121" s="6" t="inlineStr">
        <is>
          <t>AUTO_OFERTA_TOTAL_PRODUTO_PERIODO</t>
        </is>
      </c>
      <c r="I4121" s="11">
        <f>IF($H4121="AUTO_OFERTA_TOTAL_PRODUTO_PERIODO",SUMIFS(Oferta!$F:$F,Oferta!$A:$A,$A4121,Oferta!$E:$E,$E4121),$F4121)</f>
        <v/>
      </c>
      <c r="J4121" s="6" t="inlineStr">
        <is>
          <t>Derivado_da_Oferta</t>
        </is>
      </c>
      <c r="K4121" s="6" t="inlineStr">
        <is>
          <t>Mercado externo: limite superior calculado automaticamente pela soma da oferta do produto no período.</t>
        </is>
      </c>
    </row>
    <row r="4122">
      <c r="A4122" s="6" t="inlineStr">
        <is>
          <t>Milho</t>
        </is>
      </c>
      <c r="B4122" s="6" t="inlineStr">
        <is>
          <t>Itaituba - PA</t>
        </is>
      </c>
      <c r="C4122" s="6" t="n">
        <v>-4.2667</v>
      </c>
      <c r="D4122" s="6" t="n">
        <v>-55.9926</v>
      </c>
      <c r="E4122" s="6" t="inlineStr">
        <is>
          <t>2024-05</t>
        </is>
      </c>
      <c r="F4122" s="6" t="n"/>
      <c r="G4122" s="6" t="inlineStr">
        <is>
          <t>EXPORTACAO</t>
        </is>
      </c>
      <c r="H4122" s="6" t="inlineStr">
        <is>
          <t>AUTO_OFERTA_TOTAL_PRODUTO_PERIODO</t>
        </is>
      </c>
      <c r="I4122" s="11">
        <f>IF($H4122="AUTO_OFERTA_TOTAL_PRODUTO_PERIODO",SUMIFS(Oferta!$F:$F,Oferta!$A:$A,$A4122,Oferta!$E:$E,$E4122),$F4122)</f>
        <v/>
      </c>
      <c r="J4122" s="6" t="inlineStr">
        <is>
          <t>Derivado_da_Oferta</t>
        </is>
      </c>
      <c r="K4122" s="6" t="inlineStr">
        <is>
          <t>Mercado externo: limite superior calculado automaticamente pela soma da oferta do produto no período.</t>
        </is>
      </c>
    </row>
    <row r="4123">
      <c r="A4123" s="6" t="inlineStr">
        <is>
          <t>Milho</t>
        </is>
      </c>
      <c r="B4123" s="6" t="inlineStr">
        <is>
          <t>Itaituba - PA</t>
        </is>
      </c>
      <c r="C4123" s="6" t="n">
        <v>-4.2667</v>
      </c>
      <c r="D4123" s="6" t="n">
        <v>-55.9926</v>
      </c>
      <c r="E4123" s="6" t="inlineStr">
        <is>
          <t>2024-06</t>
        </is>
      </c>
      <c r="F4123" s="6" t="n"/>
      <c r="G4123" s="6" t="inlineStr">
        <is>
          <t>EXPORTACAO</t>
        </is>
      </c>
      <c r="H4123" s="6" t="inlineStr">
        <is>
          <t>AUTO_OFERTA_TOTAL_PRODUTO_PERIODO</t>
        </is>
      </c>
      <c r="I4123" s="11">
        <f>IF($H4123="AUTO_OFERTA_TOTAL_PRODUTO_PERIODO",SUMIFS(Oferta!$F:$F,Oferta!$A:$A,$A4123,Oferta!$E:$E,$E4123),$F4123)</f>
        <v/>
      </c>
      <c r="J4123" s="6" t="inlineStr">
        <is>
          <t>Derivado_da_Oferta</t>
        </is>
      </c>
      <c r="K4123" s="6" t="inlineStr">
        <is>
          <t>Mercado externo: limite superior calculado automaticamente pela soma da oferta do produto no período.</t>
        </is>
      </c>
    </row>
    <row r="4124">
      <c r="A4124" s="6" t="inlineStr">
        <is>
          <t>Milho</t>
        </is>
      </c>
      <c r="B4124" s="6" t="inlineStr">
        <is>
          <t>Itaituba - PA</t>
        </is>
      </c>
      <c r="C4124" s="6" t="n">
        <v>-4.2667</v>
      </c>
      <c r="D4124" s="6" t="n">
        <v>-55.9926</v>
      </c>
      <c r="E4124" s="6" t="inlineStr">
        <is>
          <t>2024-07</t>
        </is>
      </c>
      <c r="F4124" s="6" t="n"/>
      <c r="G4124" s="6" t="inlineStr">
        <is>
          <t>EXPORTACAO</t>
        </is>
      </c>
      <c r="H4124" s="6" t="inlineStr">
        <is>
          <t>AUTO_OFERTA_TOTAL_PRODUTO_PERIODO</t>
        </is>
      </c>
      <c r="I4124" s="11">
        <f>IF($H4124="AUTO_OFERTA_TOTAL_PRODUTO_PERIODO",SUMIFS(Oferta!$F:$F,Oferta!$A:$A,$A4124,Oferta!$E:$E,$E4124),$F4124)</f>
        <v/>
      </c>
      <c r="J4124" s="6" t="inlineStr">
        <is>
          <t>Derivado_da_Oferta</t>
        </is>
      </c>
      <c r="K4124" s="6" t="inlineStr">
        <is>
          <t>Mercado externo: limite superior calculado automaticamente pela soma da oferta do produto no período.</t>
        </is>
      </c>
    </row>
    <row r="4125">
      <c r="A4125" s="6" t="inlineStr">
        <is>
          <t>Milho</t>
        </is>
      </c>
      <c r="B4125" s="6" t="inlineStr">
        <is>
          <t>Itaituba - PA</t>
        </is>
      </c>
      <c r="C4125" s="6" t="n">
        <v>-4.2667</v>
      </c>
      <c r="D4125" s="6" t="n">
        <v>-55.9926</v>
      </c>
      <c r="E4125" s="6" t="inlineStr">
        <is>
          <t>2024-08</t>
        </is>
      </c>
      <c r="F4125" s="6" t="n"/>
      <c r="G4125" s="6" t="inlineStr">
        <is>
          <t>EXPORTACAO</t>
        </is>
      </c>
      <c r="H4125" s="6" t="inlineStr">
        <is>
          <t>AUTO_OFERTA_TOTAL_PRODUTO_PERIODO</t>
        </is>
      </c>
      <c r="I4125" s="11">
        <f>IF($H4125="AUTO_OFERTA_TOTAL_PRODUTO_PERIODO",SUMIFS(Oferta!$F:$F,Oferta!$A:$A,$A4125,Oferta!$E:$E,$E4125),$F4125)</f>
        <v/>
      </c>
      <c r="J4125" s="6" t="inlineStr">
        <is>
          <t>Derivado_da_Oferta</t>
        </is>
      </c>
      <c r="K4125" s="6" t="inlineStr">
        <is>
          <t>Mercado externo: limite superior calculado automaticamente pela soma da oferta do produto no período.</t>
        </is>
      </c>
    </row>
    <row r="4126">
      <c r="A4126" s="6" t="inlineStr">
        <is>
          <t>Milho</t>
        </is>
      </c>
      <c r="B4126" s="6" t="inlineStr">
        <is>
          <t>Itaituba - PA</t>
        </is>
      </c>
      <c r="C4126" s="6" t="n">
        <v>-4.2667</v>
      </c>
      <c r="D4126" s="6" t="n">
        <v>-55.9926</v>
      </c>
      <c r="E4126" s="6" t="inlineStr">
        <is>
          <t>2024-09</t>
        </is>
      </c>
      <c r="F4126" s="6" t="n"/>
      <c r="G4126" s="6" t="inlineStr">
        <is>
          <t>EXPORTACAO</t>
        </is>
      </c>
      <c r="H4126" s="6" t="inlineStr">
        <is>
          <t>AUTO_OFERTA_TOTAL_PRODUTO_PERIODO</t>
        </is>
      </c>
      <c r="I4126" s="11">
        <f>IF($H4126="AUTO_OFERTA_TOTAL_PRODUTO_PERIODO",SUMIFS(Oferta!$F:$F,Oferta!$A:$A,$A4126,Oferta!$E:$E,$E4126),$F4126)</f>
        <v/>
      </c>
      <c r="J4126" s="6" t="inlineStr">
        <is>
          <t>Derivado_da_Oferta</t>
        </is>
      </c>
      <c r="K4126" s="6" t="inlineStr">
        <is>
          <t>Mercado externo: limite superior calculado automaticamente pela soma da oferta do produto no período.</t>
        </is>
      </c>
    </row>
    <row r="4127">
      <c r="A4127" s="6" t="inlineStr">
        <is>
          <t>Milho</t>
        </is>
      </c>
      <c r="B4127" s="6" t="inlineStr">
        <is>
          <t>Itaituba - PA</t>
        </is>
      </c>
      <c r="C4127" s="6" t="n">
        <v>-4.2667</v>
      </c>
      <c r="D4127" s="6" t="n">
        <v>-55.9926</v>
      </c>
      <c r="E4127" s="6" t="inlineStr">
        <is>
          <t>2024-10</t>
        </is>
      </c>
      <c r="F4127" s="6" t="n"/>
      <c r="G4127" s="6" t="inlineStr">
        <is>
          <t>EXPORTACAO</t>
        </is>
      </c>
      <c r="H4127" s="6" t="inlineStr">
        <is>
          <t>AUTO_OFERTA_TOTAL_PRODUTO_PERIODO</t>
        </is>
      </c>
      <c r="I4127" s="11">
        <f>IF($H4127="AUTO_OFERTA_TOTAL_PRODUTO_PERIODO",SUMIFS(Oferta!$F:$F,Oferta!$A:$A,$A4127,Oferta!$E:$E,$E4127),$F4127)</f>
        <v/>
      </c>
      <c r="J4127" s="6" t="inlineStr">
        <is>
          <t>Derivado_da_Oferta</t>
        </is>
      </c>
      <c r="K4127" s="6" t="inlineStr">
        <is>
          <t>Mercado externo: limite superior calculado automaticamente pela soma da oferta do produto no período.</t>
        </is>
      </c>
    </row>
    <row r="4128">
      <c r="A4128" s="6" t="inlineStr">
        <is>
          <t>Milho</t>
        </is>
      </c>
      <c r="B4128" s="6" t="inlineStr">
        <is>
          <t>Itaituba - PA</t>
        </is>
      </c>
      <c r="C4128" s="6" t="n">
        <v>-4.2667</v>
      </c>
      <c r="D4128" s="6" t="n">
        <v>-55.9926</v>
      </c>
      <c r="E4128" s="6" t="inlineStr">
        <is>
          <t>2024-11</t>
        </is>
      </c>
      <c r="F4128" s="6" t="n"/>
      <c r="G4128" s="6" t="inlineStr">
        <is>
          <t>EXPORTACAO</t>
        </is>
      </c>
      <c r="H4128" s="6" t="inlineStr">
        <is>
          <t>AUTO_OFERTA_TOTAL_PRODUTO_PERIODO</t>
        </is>
      </c>
      <c r="I4128" s="11">
        <f>IF($H4128="AUTO_OFERTA_TOTAL_PRODUTO_PERIODO",SUMIFS(Oferta!$F:$F,Oferta!$A:$A,$A4128,Oferta!$E:$E,$E4128),$F4128)</f>
        <v/>
      </c>
      <c r="J4128" s="6" t="inlineStr">
        <is>
          <t>Derivado_da_Oferta</t>
        </is>
      </c>
      <c r="K4128" s="6" t="inlineStr">
        <is>
          <t>Mercado externo: limite superior calculado automaticamente pela soma da oferta do produto no período.</t>
        </is>
      </c>
    </row>
    <row r="4129">
      <c r="A4129" s="6" t="inlineStr">
        <is>
          <t>Milho</t>
        </is>
      </c>
      <c r="B4129" s="6" t="inlineStr">
        <is>
          <t>Itaituba - PA</t>
        </is>
      </c>
      <c r="C4129" s="6" t="n">
        <v>-4.2667</v>
      </c>
      <c r="D4129" s="6" t="n">
        <v>-55.9926</v>
      </c>
      <c r="E4129" s="6" t="inlineStr">
        <is>
          <t>2024-12</t>
        </is>
      </c>
      <c r="F4129" s="6" t="n"/>
      <c r="G4129" s="6" t="inlineStr">
        <is>
          <t>EXPORTACAO</t>
        </is>
      </c>
      <c r="H4129" s="6" t="inlineStr">
        <is>
          <t>AUTO_OFERTA_TOTAL_PRODUTO_PERIODO</t>
        </is>
      </c>
      <c r="I4129" s="11">
        <f>IF($H4129="AUTO_OFERTA_TOTAL_PRODUTO_PERIODO",SUMIFS(Oferta!$F:$F,Oferta!$A:$A,$A4129,Oferta!$E:$E,$E4129),$F4129)</f>
        <v/>
      </c>
      <c r="J4129" s="6" t="inlineStr">
        <is>
          <t>Derivado_da_Oferta</t>
        </is>
      </c>
      <c r="K4129" s="6" t="inlineStr">
        <is>
          <t>Mercado externo: limite superior calculado automaticamente pela soma da oferta do produto no período.</t>
        </is>
      </c>
    </row>
    <row r="4130">
      <c r="A4130" s="6" t="inlineStr">
        <is>
          <t>Milho</t>
        </is>
      </c>
      <c r="B4130" s="6" t="inlineStr">
        <is>
          <t>Itaituba - PA</t>
        </is>
      </c>
      <c r="C4130" s="6" t="n">
        <v>-4.2667</v>
      </c>
      <c r="D4130" s="6" t="n">
        <v>-55.9926</v>
      </c>
      <c r="E4130" s="6" t="inlineStr">
        <is>
          <t>2025-01</t>
        </is>
      </c>
      <c r="F4130" s="6" t="n"/>
      <c r="G4130" s="6" t="inlineStr">
        <is>
          <t>EXPORTACAO</t>
        </is>
      </c>
      <c r="H4130" s="6" t="inlineStr">
        <is>
          <t>AUTO_OFERTA_TOTAL_PRODUTO_PERIODO</t>
        </is>
      </c>
      <c r="I4130" s="11">
        <f>IF($H4130="AUTO_OFERTA_TOTAL_PRODUTO_PERIODO",SUMIFS(Oferta!$F:$F,Oferta!$A:$A,$A4130,Oferta!$E:$E,$E4130),$F4130)</f>
        <v/>
      </c>
      <c r="J4130" s="6" t="inlineStr">
        <is>
          <t>Derivado_da_Oferta</t>
        </is>
      </c>
      <c r="K4130" s="6" t="inlineStr">
        <is>
          <t>Mercado externo: limite superior calculado automaticamente pela soma da oferta do produto no período.</t>
        </is>
      </c>
    </row>
    <row r="4131">
      <c r="A4131" s="6" t="inlineStr">
        <is>
          <t>Milho</t>
        </is>
      </c>
      <c r="B4131" s="6" t="inlineStr">
        <is>
          <t>Itaituba - PA</t>
        </is>
      </c>
      <c r="C4131" s="6" t="n">
        <v>-4.2667</v>
      </c>
      <c r="D4131" s="6" t="n">
        <v>-55.9926</v>
      </c>
      <c r="E4131" s="6" t="inlineStr">
        <is>
          <t>2025-02</t>
        </is>
      </c>
      <c r="F4131" s="6" t="n"/>
      <c r="G4131" s="6" t="inlineStr">
        <is>
          <t>EXPORTACAO</t>
        </is>
      </c>
      <c r="H4131" s="6" t="inlineStr">
        <is>
          <t>AUTO_OFERTA_TOTAL_PRODUTO_PERIODO</t>
        </is>
      </c>
      <c r="I4131" s="11">
        <f>IF($H4131="AUTO_OFERTA_TOTAL_PRODUTO_PERIODO",SUMIFS(Oferta!$F:$F,Oferta!$A:$A,$A4131,Oferta!$E:$E,$E4131),$F4131)</f>
        <v/>
      </c>
      <c r="J4131" s="6" t="inlineStr">
        <is>
          <t>Derivado_da_Oferta</t>
        </is>
      </c>
      <c r="K4131" s="6" t="inlineStr">
        <is>
          <t>Mercado externo: limite superior calculado automaticamente pela soma da oferta do produto no período.</t>
        </is>
      </c>
    </row>
    <row r="4132">
      <c r="A4132" s="6" t="inlineStr">
        <is>
          <t>Milho</t>
        </is>
      </c>
      <c r="B4132" s="6" t="inlineStr">
        <is>
          <t>Itaituba - PA</t>
        </is>
      </c>
      <c r="C4132" s="6" t="n">
        <v>-4.2667</v>
      </c>
      <c r="D4132" s="6" t="n">
        <v>-55.9926</v>
      </c>
      <c r="E4132" s="6" t="inlineStr">
        <is>
          <t>2025-03</t>
        </is>
      </c>
      <c r="F4132" s="6" t="n"/>
      <c r="G4132" s="6" t="inlineStr">
        <is>
          <t>EXPORTACAO</t>
        </is>
      </c>
      <c r="H4132" s="6" t="inlineStr">
        <is>
          <t>AUTO_OFERTA_TOTAL_PRODUTO_PERIODO</t>
        </is>
      </c>
      <c r="I4132" s="11">
        <f>IF($H4132="AUTO_OFERTA_TOTAL_PRODUTO_PERIODO",SUMIFS(Oferta!$F:$F,Oferta!$A:$A,$A4132,Oferta!$E:$E,$E4132),$F4132)</f>
        <v/>
      </c>
      <c r="J4132" s="6" t="inlineStr">
        <is>
          <t>Derivado_da_Oferta</t>
        </is>
      </c>
      <c r="K4132" s="6" t="inlineStr">
        <is>
          <t>Mercado externo: limite superior calculado automaticamente pela soma da oferta do produto no período.</t>
        </is>
      </c>
    </row>
    <row r="4133">
      <c r="A4133" s="6" t="inlineStr">
        <is>
          <t>Milho</t>
        </is>
      </c>
      <c r="B4133" s="6" t="inlineStr">
        <is>
          <t>Itaituba - PA</t>
        </is>
      </c>
      <c r="C4133" s="6" t="n">
        <v>-4.2667</v>
      </c>
      <c r="D4133" s="6" t="n">
        <v>-55.9926</v>
      </c>
      <c r="E4133" s="6" t="inlineStr">
        <is>
          <t>2025-04</t>
        </is>
      </c>
      <c r="F4133" s="6" t="n"/>
      <c r="G4133" s="6" t="inlineStr">
        <is>
          <t>EXPORTACAO</t>
        </is>
      </c>
      <c r="H4133" s="6" t="inlineStr">
        <is>
          <t>AUTO_OFERTA_TOTAL_PRODUTO_PERIODO</t>
        </is>
      </c>
      <c r="I4133" s="11">
        <f>IF($H4133="AUTO_OFERTA_TOTAL_PRODUTO_PERIODO",SUMIFS(Oferta!$F:$F,Oferta!$A:$A,$A4133,Oferta!$E:$E,$E4133),$F4133)</f>
        <v/>
      </c>
      <c r="J4133" s="6" t="inlineStr">
        <is>
          <t>Derivado_da_Oferta</t>
        </is>
      </c>
      <c r="K4133" s="6" t="inlineStr">
        <is>
          <t>Mercado externo: limite superior calculado automaticamente pela soma da oferta do produto no período.</t>
        </is>
      </c>
    </row>
    <row r="4134">
      <c r="A4134" s="6" t="inlineStr">
        <is>
          <t>Milho</t>
        </is>
      </c>
      <c r="B4134" s="6" t="inlineStr">
        <is>
          <t>Itaituba - PA</t>
        </is>
      </c>
      <c r="C4134" s="6" t="n">
        <v>-4.2667</v>
      </c>
      <c r="D4134" s="6" t="n">
        <v>-55.9926</v>
      </c>
      <c r="E4134" s="6" t="inlineStr">
        <is>
          <t>2025-05</t>
        </is>
      </c>
      <c r="F4134" s="6" t="n"/>
      <c r="G4134" s="6" t="inlineStr">
        <is>
          <t>EXPORTACAO</t>
        </is>
      </c>
      <c r="H4134" s="6" t="inlineStr">
        <is>
          <t>AUTO_OFERTA_TOTAL_PRODUTO_PERIODO</t>
        </is>
      </c>
      <c r="I4134" s="11">
        <f>IF($H4134="AUTO_OFERTA_TOTAL_PRODUTO_PERIODO",SUMIFS(Oferta!$F:$F,Oferta!$A:$A,$A4134,Oferta!$E:$E,$E4134),$F4134)</f>
        <v/>
      </c>
      <c r="J4134" s="6" t="inlineStr">
        <is>
          <t>Derivado_da_Oferta</t>
        </is>
      </c>
      <c r="K4134" s="6" t="inlineStr">
        <is>
          <t>Mercado externo: limite superior calculado automaticamente pela soma da oferta do produto no período.</t>
        </is>
      </c>
    </row>
    <row r="4135">
      <c r="A4135" s="6" t="inlineStr">
        <is>
          <t>Milho</t>
        </is>
      </c>
      <c r="B4135" s="6" t="inlineStr">
        <is>
          <t>Itaituba - PA</t>
        </is>
      </c>
      <c r="C4135" s="6" t="n">
        <v>-4.2667</v>
      </c>
      <c r="D4135" s="6" t="n">
        <v>-55.9926</v>
      </c>
      <c r="E4135" s="6" t="inlineStr">
        <is>
          <t>2025-06</t>
        </is>
      </c>
      <c r="F4135" s="6" t="n"/>
      <c r="G4135" s="6" t="inlineStr">
        <is>
          <t>EXPORTACAO</t>
        </is>
      </c>
      <c r="H4135" s="6" t="inlineStr">
        <is>
          <t>AUTO_OFERTA_TOTAL_PRODUTO_PERIODO</t>
        </is>
      </c>
      <c r="I4135" s="11">
        <f>IF($H4135="AUTO_OFERTA_TOTAL_PRODUTO_PERIODO",SUMIFS(Oferta!$F:$F,Oferta!$A:$A,$A4135,Oferta!$E:$E,$E4135),$F4135)</f>
        <v/>
      </c>
      <c r="J4135" s="6" t="inlineStr">
        <is>
          <t>Derivado_da_Oferta</t>
        </is>
      </c>
      <c r="K4135" s="6" t="inlineStr">
        <is>
          <t>Mercado externo: limite superior calculado automaticamente pela soma da oferta do produto no período.</t>
        </is>
      </c>
    </row>
    <row r="4136">
      <c r="A4136" s="6" t="inlineStr">
        <is>
          <t>Milho</t>
        </is>
      </c>
      <c r="B4136" s="6" t="inlineStr">
        <is>
          <t>Itaituba - PA</t>
        </is>
      </c>
      <c r="C4136" s="6" t="n">
        <v>-4.2667</v>
      </c>
      <c r="D4136" s="6" t="n">
        <v>-55.9926</v>
      </c>
      <c r="E4136" s="6" t="inlineStr">
        <is>
          <t>2025-07</t>
        </is>
      </c>
      <c r="F4136" s="6" t="n"/>
      <c r="G4136" s="6" t="inlineStr">
        <is>
          <t>EXPORTACAO</t>
        </is>
      </c>
      <c r="H4136" s="6" t="inlineStr">
        <is>
          <t>AUTO_OFERTA_TOTAL_PRODUTO_PERIODO</t>
        </is>
      </c>
      <c r="I4136" s="11">
        <f>IF($H4136="AUTO_OFERTA_TOTAL_PRODUTO_PERIODO",SUMIFS(Oferta!$F:$F,Oferta!$A:$A,$A4136,Oferta!$E:$E,$E4136),$F4136)</f>
        <v/>
      </c>
      <c r="J4136" s="6" t="inlineStr">
        <is>
          <t>Derivado_da_Oferta</t>
        </is>
      </c>
      <c r="K4136" s="6" t="inlineStr">
        <is>
          <t>Mercado externo: limite superior calculado automaticamente pela soma da oferta do produto no período.</t>
        </is>
      </c>
    </row>
    <row r="4137">
      <c r="A4137" s="6" t="inlineStr">
        <is>
          <t>Milho</t>
        </is>
      </c>
      <c r="B4137" s="6" t="inlineStr">
        <is>
          <t>Itaituba - PA</t>
        </is>
      </c>
      <c r="C4137" s="6" t="n">
        <v>-4.2667</v>
      </c>
      <c r="D4137" s="6" t="n">
        <v>-55.9926</v>
      </c>
      <c r="E4137" s="6" t="inlineStr">
        <is>
          <t>2025-08</t>
        </is>
      </c>
      <c r="F4137" s="6" t="n"/>
      <c r="G4137" s="6" t="inlineStr">
        <is>
          <t>EXPORTACAO</t>
        </is>
      </c>
      <c r="H4137" s="6" t="inlineStr">
        <is>
          <t>AUTO_OFERTA_TOTAL_PRODUTO_PERIODO</t>
        </is>
      </c>
      <c r="I4137" s="11">
        <f>IF($H4137="AUTO_OFERTA_TOTAL_PRODUTO_PERIODO",SUMIFS(Oferta!$F:$F,Oferta!$A:$A,$A4137,Oferta!$E:$E,$E4137),$F4137)</f>
        <v/>
      </c>
      <c r="J4137" s="6" t="inlineStr">
        <is>
          <t>Derivado_da_Oferta</t>
        </is>
      </c>
      <c r="K4137" s="6" t="inlineStr">
        <is>
          <t>Mercado externo: limite superior calculado automaticamente pela soma da oferta do produto no período.</t>
        </is>
      </c>
    </row>
    <row r="4138">
      <c r="A4138" s="6" t="inlineStr">
        <is>
          <t>Milho</t>
        </is>
      </c>
      <c r="B4138" s="6" t="inlineStr">
        <is>
          <t>Itaituba - PA</t>
        </is>
      </c>
      <c r="C4138" s="6" t="n">
        <v>-4.2667</v>
      </c>
      <c r="D4138" s="6" t="n">
        <v>-55.9926</v>
      </c>
      <c r="E4138" s="6" t="inlineStr">
        <is>
          <t>2025-09</t>
        </is>
      </c>
      <c r="F4138" s="6" t="n"/>
      <c r="G4138" s="6" t="inlineStr">
        <is>
          <t>EXPORTACAO</t>
        </is>
      </c>
      <c r="H4138" s="6" t="inlineStr">
        <is>
          <t>AUTO_OFERTA_TOTAL_PRODUTO_PERIODO</t>
        </is>
      </c>
      <c r="I4138" s="11">
        <f>IF($H4138="AUTO_OFERTA_TOTAL_PRODUTO_PERIODO",SUMIFS(Oferta!$F:$F,Oferta!$A:$A,$A4138,Oferta!$E:$E,$E4138),$F4138)</f>
        <v/>
      </c>
      <c r="J4138" s="6" t="inlineStr">
        <is>
          <t>Derivado_da_Oferta</t>
        </is>
      </c>
      <c r="K4138" s="6" t="inlineStr">
        <is>
          <t>Mercado externo: limite superior calculado automaticamente pela soma da oferta do produto no período.</t>
        </is>
      </c>
    </row>
    <row r="4139">
      <c r="A4139" s="6" t="inlineStr">
        <is>
          <t>Milho</t>
        </is>
      </c>
      <c r="B4139" s="6" t="inlineStr">
        <is>
          <t>Itaituba - PA</t>
        </is>
      </c>
      <c r="C4139" s="6" t="n">
        <v>-4.2667</v>
      </c>
      <c r="D4139" s="6" t="n">
        <v>-55.9926</v>
      </c>
      <c r="E4139" s="6" t="inlineStr">
        <is>
          <t>2025-10</t>
        </is>
      </c>
      <c r="F4139" s="6" t="n"/>
      <c r="G4139" s="6" t="inlineStr">
        <is>
          <t>EXPORTACAO</t>
        </is>
      </c>
      <c r="H4139" s="6" t="inlineStr">
        <is>
          <t>AUTO_OFERTA_TOTAL_PRODUTO_PERIODO</t>
        </is>
      </c>
      <c r="I4139" s="11">
        <f>IF($H4139="AUTO_OFERTA_TOTAL_PRODUTO_PERIODO",SUMIFS(Oferta!$F:$F,Oferta!$A:$A,$A4139,Oferta!$E:$E,$E4139),$F4139)</f>
        <v/>
      </c>
      <c r="J4139" s="6" t="inlineStr">
        <is>
          <t>Derivado_da_Oferta</t>
        </is>
      </c>
      <c r="K4139" s="6" t="inlineStr">
        <is>
          <t>Mercado externo: limite superior calculado automaticamente pela soma da oferta do produto no período.</t>
        </is>
      </c>
    </row>
    <row r="4140">
      <c r="A4140" s="6" t="inlineStr">
        <is>
          <t>Milho</t>
        </is>
      </c>
      <c r="B4140" s="6" t="inlineStr">
        <is>
          <t>Itaituba - PA</t>
        </is>
      </c>
      <c r="C4140" s="6" t="n">
        <v>-4.2667</v>
      </c>
      <c r="D4140" s="6" t="n">
        <v>-55.9926</v>
      </c>
      <c r="E4140" s="6" t="inlineStr">
        <is>
          <t>2025-11</t>
        </is>
      </c>
      <c r="F4140" s="6" t="n"/>
      <c r="G4140" s="6" t="inlineStr">
        <is>
          <t>EXPORTACAO</t>
        </is>
      </c>
      <c r="H4140" s="6" t="inlineStr">
        <is>
          <t>AUTO_OFERTA_TOTAL_PRODUTO_PERIODO</t>
        </is>
      </c>
      <c r="I4140" s="11">
        <f>IF($H4140="AUTO_OFERTA_TOTAL_PRODUTO_PERIODO",SUMIFS(Oferta!$F:$F,Oferta!$A:$A,$A4140,Oferta!$E:$E,$E4140),$F4140)</f>
        <v/>
      </c>
      <c r="J4140" s="6" t="inlineStr">
        <is>
          <t>Derivado_da_Oferta</t>
        </is>
      </c>
      <c r="K4140" s="6" t="inlineStr">
        <is>
          <t>Mercado externo: limite superior calculado automaticamente pela soma da oferta do produto no período.</t>
        </is>
      </c>
    </row>
    <row r="4141">
      <c r="A4141" s="6" t="inlineStr">
        <is>
          <t>Milho</t>
        </is>
      </c>
      <c r="B4141" s="6" t="inlineStr">
        <is>
          <t>Itaituba - PA</t>
        </is>
      </c>
      <c r="C4141" s="6" t="n">
        <v>-4.2667</v>
      </c>
      <c r="D4141" s="6" t="n">
        <v>-55.9926</v>
      </c>
      <c r="E4141" s="6" t="inlineStr">
        <is>
          <t>2025-12</t>
        </is>
      </c>
      <c r="F4141" s="6" t="n"/>
      <c r="G4141" s="6" t="inlineStr">
        <is>
          <t>EXPORTACAO</t>
        </is>
      </c>
      <c r="H4141" s="6" t="inlineStr">
        <is>
          <t>AUTO_OFERTA_TOTAL_PRODUTO_PERIODO</t>
        </is>
      </c>
      <c r="I4141" s="11">
        <f>IF($H4141="AUTO_OFERTA_TOTAL_PRODUTO_PERIODO",SUMIFS(Oferta!$F:$F,Oferta!$A:$A,$A4141,Oferta!$E:$E,$E4141),$F4141)</f>
        <v/>
      </c>
      <c r="J4141" s="6" t="inlineStr">
        <is>
          <t>Derivado_da_Oferta</t>
        </is>
      </c>
      <c r="K4141" s="6" t="inlineStr">
        <is>
          <t>Mercado externo: limite superior calculado automaticamente pela soma da oferta do produto no período.</t>
        </is>
      </c>
    </row>
    <row r="4142">
      <c r="A4142" s="6" t="inlineStr">
        <is>
          <t>Soja</t>
        </is>
      </c>
      <c r="B4142" s="6" t="inlineStr">
        <is>
          <t>Itaituba - PA</t>
        </is>
      </c>
      <c r="C4142" s="6" t="n">
        <v>-4.2667</v>
      </c>
      <c r="D4142" s="6" t="n">
        <v>-55.9926</v>
      </c>
      <c r="E4142" s="6" t="inlineStr">
        <is>
          <t>2021-01</t>
        </is>
      </c>
      <c r="F4142" s="6" t="n"/>
      <c r="G4142" s="6" t="inlineStr">
        <is>
          <t>EXPORTACAO</t>
        </is>
      </c>
      <c r="H4142" s="6" t="inlineStr">
        <is>
          <t>AUTO_OFERTA_TOTAL_PRODUTO_PERIODO</t>
        </is>
      </c>
      <c r="I4142" s="11">
        <f>IF($H4142="AUTO_OFERTA_TOTAL_PRODUTO_PERIODO",SUMIFS(Oferta!$F:$F,Oferta!$A:$A,$A4142,Oferta!$E:$E,$E4142),$F4142)</f>
        <v/>
      </c>
      <c r="J4142" s="6" t="inlineStr">
        <is>
          <t>Derivado_da_Oferta</t>
        </is>
      </c>
      <c r="K4142" s="6" t="inlineStr">
        <is>
          <t>Mercado externo: limite superior calculado automaticamente pela soma da oferta do produto no período.</t>
        </is>
      </c>
    </row>
    <row r="4143">
      <c r="A4143" s="6" t="inlineStr">
        <is>
          <t>Soja</t>
        </is>
      </c>
      <c r="B4143" s="6" t="inlineStr">
        <is>
          <t>Itaituba - PA</t>
        </is>
      </c>
      <c r="C4143" s="6" t="n">
        <v>-4.2667</v>
      </c>
      <c r="D4143" s="6" t="n">
        <v>-55.9926</v>
      </c>
      <c r="E4143" s="6" t="inlineStr">
        <is>
          <t>2021-02</t>
        </is>
      </c>
      <c r="F4143" s="6" t="n"/>
      <c r="G4143" s="6" t="inlineStr">
        <is>
          <t>EXPORTACAO</t>
        </is>
      </c>
      <c r="H4143" s="6" t="inlineStr">
        <is>
          <t>AUTO_OFERTA_TOTAL_PRODUTO_PERIODO</t>
        </is>
      </c>
      <c r="I4143" s="11">
        <f>IF($H4143="AUTO_OFERTA_TOTAL_PRODUTO_PERIODO",SUMIFS(Oferta!$F:$F,Oferta!$A:$A,$A4143,Oferta!$E:$E,$E4143),$F4143)</f>
        <v/>
      </c>
      <c r="J4143" s="6" t="inlineStr">
        <is>
          <t>Derivado_da_Oferta</t>
        </is>
      </c>
      <c r="K4143" s="6" t="inlineStr">
        <is>
          <t>Mercado externo: limite superior calculado automaticamente pela soma da oferta do produto no período.</t>
        </is>
      </c>
    </row>
    <row r="4144">
      <c r="A4144" s="6" t="inlineStr">
        <is>
          <t>Soja</t>
        </is>
      </c>
      <c r="B4144" s="6" t="inlineStr">
        <is>
          <t>Itaituba - PA</t>
        </is>
      </c>
      <c r="C4144" s="6" t="n">
        <v>-4.2667</v>
      </c>
      <c r="D4144" s="6" t="n">
        <v>-55.9926</v>
      </c>
      <c r="E4144" s="6" t="inlineStr">
        <is>
          <t>2021-03</t>
        </is>
      </c>
      <c r="F4144" s="6" t="n"/>
      <c r="G4144" s="6" t="inlineStr">
        <is>
          <t>EXPORTACAO</t>
        </is>
      </c>
      <c r="H4144" s="6" t="inlineStr">
        <is>
          <t>AUTO_OFERTA_TOTAL_PRODUTO_PERIODO</t>
        </is>
      </c>
      <c r="I4144" s="11">
        <f>IF($H4144="AUTO_OFERTA_TOTAL_PRODUTO_PERIODO",SUMIFS(Oferta!$F:$F,Oferta!$A:$A,$A4144,Oferta!$E:$E,$E4144),$F4144)</f>
        <v/>
      </c>
      <c r="J4144" s="6" t="inlineStr">
        <is>
          <t>Derivado_da_Oferta</t>
        </is>
      </c>
      <c r="K4144" s="6" t="inlineStr">
        <is>
          <t>Mercado externo: limite superior calculado automaticamente pela soma da oferta do produto no período.</t>
        </is>
      </c>
    </row>
    <row r="4145">
      <c r="A4145" s="6" t="inlineStr">
        <is>
          <t>Soja</t>
        </is>
      </c>
      <c r="B4145" s="6" t="inlineStr">
        <is>
          <t>Itaituba - PA</t>
        </is>
      </c>
      <c r="C4145" s="6" t="n">
        <v>-4.2667</v>
      </c>
      <c r="D4145" s="6" t="n">
        <v>-55.9926</v>
      </c>
      <c r="E4145" s="6" t="inlineStr">
        <is>
          <t>2021-04</t>
        </is>
      </c>
      <c r="F4145" s="6" t="n"/>
      <c r="G4145" s="6" t="inlineStr">
        <is>
          <t>EXPORTACAO</t>
        </is>
      </c>
      <c r="H4145" s="6" t="inlineStr">
        <is>
          <t>AUTO_OFERTA_TOTAL_PRODUTO_PERIODO</t>
        </is>
      </c>
      <c r="I4145" s="11">
        <f>IF($H4145="AUTO_OFERTA_TOTAL_PRODUTO_PERIODO",SUMIFS(Oferta!$F:$F,Oferta!$A:$A,$A4145,Oferta!$E:$E,$E4145),$F4145)</f>
        <v/>
      </c>
      <c r="J4145" s="6" t="inlineStr">
        <is>
          <t>Derivado_da_Oferta</t>
        </is>
      </c>
      <c r="K4145" s="6" t="inlineStr">
        <is>
          <t>Mercado externo: limite superior calculado automaticamente pela soma da oferta do produto no período.</t>
        </is>
      </c>
    </row>
    <row r="4146">
      <c r="A4146" s="6" t="inlineStr">
        <is>
          <t>Soja</t>
        </is>
      </c>
      <c r="B4146" s="6" t="inlineStr">
        <is>
          <t>Itaituba - PA</t>
        </is>
      </c>
      <c r="C4146" s="6" t="n">
        <v>-4.2667</v>
      </c>
      <c r="D4146" s="6" t="n">
        <v>-55.9926</v>
      </c>
      <c r="E4146" s="6" t="inlineStr">
        <is>
          <t>2021-05</t>
        </is>
      </c>
      <c r="F4146" s="6" t="n"/>
      <c r="G4146" s="6" t="inlineStr">
        <is>
          <t>EXPORTACAO</t>
        </is>
      </c>
      <c r="H4146" s="6" t="inlineStr">
        <is>
          <t>AUTO_OFERTA_TOTAL_PRODUTO_PERIODO</t>
        </is>
      </c>
      <c r="I4146" s="11">
        <f>IF($H4146="AUTO_OFERTA_TOTAL_PRODUTO_PERIODO",SUMIFS(Oferta!$F:$F,Oferta!$A:$A,$A4146,Oferta!$E:$E,$E4146),$F4146)</f>
        <v/>
      </c>
      <c r="J4146" s="6" t="inlineStr">
        <is>
          <t>Derivado_da_Oferta</t>
        </is>
      </c>
      <c r="K4146" s="6" t="inlineStr">
        <is>
          <t>Mercado externo: limite superior calculado automaticamente pela soma da oferta do produto no período.</t>
        </is>
      </c>
    </row>
    <row r="4147">
      <c r="A4147" s="6" t="inlineStr">
        <is>
          <t>Soja</t>
        </is>
      </c>
      <c r="B4147" s="6" t="inlineStr">
        <is>
          <t>Itaituba - PA</t>
        </is>
      </c>
      <c r="C4147" s="6" t="n">
        <v>-4.2667</v>
      </c>
      <c r="D4147" s="6" t="n">
        <v>-55.9926</v>
      </c>
      <c r="E4147" s="6" t="inlineStr">
        <is>
          <t>2021-06</t>
        </is>
      </c>
      <c r="F4147" s="6" t="n"/>
      <c r="G4147" s="6" t="inlineStr">
        <is>
          <t>EXPORTACAO</t>
        </is>
      </c>
      <c r="H4147" s="6" t="inlineStr">
        <is>
          <t>AUTO_OFERTA_TOTAL_PRODUTO_PERIODO</t>
        </is>
      </c>
      <c r="I4147" s="11">
        <f>IF($H4147="AUTO_OFERTA_TOTAL_PRODUTO_PERIODO",SUMIFS(Oferta!$F:$F,Oferta!$A:$A,$A4147,Oferta!$E:$E,$E4147),$F4147)</f>
        <v/>
      </c>
      <c r="J4147" s="6" t="inlineStr">
        <is>
          <t>Derivado_da_Oferta</t>
        </is>
      </c>
      <c r="K4147" s="6" t="inlineStr">
        <is>
          <t>Mercado externo: limite superior calculado automaticamente pela soma da oferta do produto no período.</t>
        </is>
      </c>
    </row>
    <row r="4148">
      <c r="A4148" s="6" t="inlineStr">
        <is>
          <t>Soja</t>
        </is>
      </c>
      <c r="B4148" s="6" t="inlineStr">
        <is>
          <t>Itaituba - PA</t>
        </is>
      </c>
      <c r="C4148" s="6" t="n">
        <v>-4.2667</v>
      </c>
      <c r="D4148" s="6" t="n">
        <v>-55.9926</v>
      </c>
      <c r="E4148" s="6" t="inlineStr">
        <is>
          <t>2021-07</t>
        </is>
      </c>
      <c r="F4148" s="6" t="n"/>
      <c r="G4148" s="6" t="inlineStr">
        <is>
          <t>EXPORTACAO</t>
        </is>
      </c>
      <c r="H4148" s="6" t="inlineStr">
        <is>
          <t>AUTO_OFERTA_TOTAL_PRODUTO_PERIODO</t>
        </is>
      </c>
      <c r="I4148" s="11">
        <f>IF($H4148="AUTO_OFERTA_TOTAL_PRODUTO_PERIODO",SUMIFS(Oferta!$F:$F,Oferta!$A:$A,$A4148,Oferta!$E:$E,$E4148),$F4148)</f>
        <v/>
      </c>
      <c r="J4148" s="6" t="inlineStr">
        <is>
          <t>Derivado_da_Oferta</t>
        </is>
      </c>
      <c r="K4148" s="6" t="inlineStr">
        <is>
          <t>Mercado externo: limite superior calculado automaticamente pela soma da oferta do produto no período.</t>
        </is>
      </c>
    </row>
    <row r="4149">
      <c r="A4149" s="6" t="inlineStr">
        <is>
          <t>Soja</t>
        </is>
      </c>
      <c r="B4149" s="6" t="inlineStr">
        <is>
          <t>Itaituba - PA</t>
        </is>
      </c>
      <c r="C4149" s="6" t="n">
        <v>-4.2667</v>
      </c>
      <c r="D4149" s="6" t="n">
        <v>-55.9926</v>
      </c>
      <c r="E4149" s="6" t="inlineStr">
        <is>
          <t>2021-08</t>
        </is>
      </c>
      <c r="F4149" s="6" t="n"/>
      <c r="G4149" s="6" t="inlineStr">
        <is>
          <t>EXPORTACAO</t>
        </is>
      </c>
      <c r="H4149" s="6" t="inlineStr">
        <is>
          <t>AUTO_OFERTA_TOTAL_PRODUTO_PERIODO</t>
        </is>
      </c>
      <c r="I4149" s="11">
        <f>IF($H4149="AUTO_OFERTA_TOTAL_PRODUTO_PERIODO",SUMIFS(Oferta!$F:$F,Oferta!$A:$A,$A4149,Oferta!$E:$E,$E4149),$F4149)</f>
        <v/>
      </c>
      <c r="J4149" s="6" t="inlineStr">
        <is>
          <t>Derivado_da_Oferta</t>
        </is>
      </c>
      <c r="K4149" s="6" t="inlineStr">
        <is>
          <t>Mercado externo: limite superior calculado automaticamente pela soma da oferta do produto no período.</t>
        </is>
      </c>
    </row>
    <row r="4150">
      <c r="A4150" s="6" t="inlineStr">
        <is>
          <t>Soja</t>
        </is>
      </c>
      <c r="B4150" s="6" t="inlineStr">
        <is>
          <t>Itaituba - PA</t>
        </is>
      </c>
      <c r="C4150" s="6" t="n">
        <v>-4.2667</v>
      </c>
      <c r="D4150" s="6" t="n">
        <v>-55.9926</v>
      </c>
      <c r="E4150" s="6" t="inlineStr">
        <is>
          <t>2021-09</t>
        </is>
      </c>
      <c r="F4150" s="6" t="n"/>
      <c r="G4150" s="6" t="inlineStr">
        <is>
          <t>EXPORTACAO</t>
        </is>
      </c>
      <c r="H4150" s="6" t="inlineStr">
        <is>
          <t>AUTO_OFERTA_TOTAL_PRODUTO_PERIODO</t>
        </is>
      </c>
      <c r="I4150" s="11">
        <f>IF($H4150="AUTO_OFERTA_TOTAL_PRODUTO_PERIODO",SUMIFS(Oferta!$F:$F,Oferta!$A:$A,$A4150,Oferta!$E:$E,$E4150),$F4150)</f>
        <v/>
      </c>
      <c r="J4150" s="6" t="inlineStr">
        <is>
          <t>Derivado_da_Oferta</t>
        </is>
      </c>
      <c r="K4150" s="6" t="inlineStr">
        <is>
          <t>Mercado externo: limite superior calculado automaticamente pela soma da oferta do produto no período.</t>
        </is>
      </c>
    </row>
    <row r="4151">
      <c r="A4151" s="6" t="inlineStr">
        <is>
          <t>Soja</t>
        </is>
      </c>
      <c r="B4151" s="6" t="inlineStr">
        <is>
          <t>Itaituba - PA</t>
        </is>
      </c>
      <c r="C4151" s="6" t="n">
        <v>-4.2667</v>
      </c>
      <c r="D4151" s="6" t="n">
        <v>-55.9926</v>
      </c>
      <c r="E4151" s="6" t="inlineStr">
        <is>
          <t>2021-10</t>
        </is>
      </c>
      <c r="F4151" s="6" t="n"/>
      <c r="G4151" s="6" t="inlineStr">
        <is>
          <t>EXPORTACAO</t>
        </is>
      </c>
      <c r="H4151" s="6" t="inlineStr">
        <is>
          <t>AUTO_OFERTA_TOTAL_PRODUTO_PERIODO</t>
        </is>
      </c>
      <c r="I4151" s="11">
        <f>IF($H4151="AUTO_OFERTA_TOTAL_PRODUTO_PERIODO",SUMIFS(Oferta!$F:$F,Oferta!$A:$A,$A4151,Oferta!$E:$E,$E4151),$F4151)</f>
        <v/>
      </c>
      <c r="J4151" s="6" t="inlineStr">
        <is>
          <t>Derivado_da_Oferta</t>
        </is>
      </c>
      <c r="K4151" s="6" t="inlineStr">
        <is>
          <t>Mercado externo: limite superior calculado automaticamente pela soma da oferta do produto no período.</t>
        </is>
      </c>
    </row>
    <row r="4152">
      <c r="A4152" s="6" t="inlineStr">
        <is>
          <t>Soja</t>
        </is>
      </c>
      <c r="B4152" s="6" t="inlineStr">
        <is>
          <t>Itaituba - PA</t>
        </is>
      </c>
      <c r="C4152" s="6" t="n">
        <v>-4.2667</v>
      </c>
      <c r="D4152" s="6" t="n">
        <v>-55.9926</v>
      </c>
      <c r="E4152" s="6" t="inlineStr">
        <is>
          <t>2021-11</t>
        </is>
      </c>
      <c r="F4152" s="6" t="n"/>
      <c r="G4152" s="6" t="inlineStr">
        <is>
          <t>EXPORTACAO</t>
        </is>
      </c>
      <c r="H4152" s="6" t="inlineStr">
        <is>
          <t>AUTO_OFERTA_TOTAL_PRODUTO_PERIODO</t>
        </is>
      </c>
      <c r="I4152" s="11">
        <f>IF($H4152="AUTO_OFERTA_TOTAL_PRODUTO_PERIODO",SUMIFS(Oferta!$F:$F,Oferta!$A:$A,$A4152,Oferta!$E:$E,$E4152),$F4152)</f>
        <v/>
      </c>
      <c r="J4152" s="6" t="inlineStr">
        <is>
          <t>Derivado_da_Oferta</t>
        </is>
      </c>
      <c r="K4152" s="6" t="inlineStr">
        <is>
          <t>Mercado externo: limite superior calculado automaticamente pela soma da oferta do produto no período.</t>
        </is>
      </c>
    </row>
    <row r="4153">
      <c r="A4153" s="6" t="inlineStr">
        <is>
          <t>Soja</t>
        </is>
      </c>
      <c r="B4153" s="6" t="inlineStr">
        <is>
          <t>Itaituba - PA</t>
        </is>
      </c>
      <c r="C4153" s="6" t="n">
        <v>-4.2667</v>
      </c>
      <c r="D4153" s="6" t="n">
        <v>-55.9926</v>
      </c>
      <c r="E4153" s="6" t="inlineStr">
        <is>
          <t>2021-12</t>
        </is>
      </c>
      <c r="F4153" s="6" t="n"/>
      <c r="G4153" s="6" t="inlineStr">
        <is>
          <t>EXPORTACAO</t>
        </is>
      </c>
      <c r="H4153" s="6" t="inlineStr">
        <is>
          <t>AUTO_OFERTA_TOTAL_PRODUTO_PERIODO</t>
        </is>
      </c>
      <c r="I4153" s="11">
        <f>IF($H4153="AUTO_OFERTA_TOTAL_PRODUTO_PERIODO",SUMIFS(Oferta!$F:$F,Oferta!$A:$A,$A4153,Oferta!$E:$E,$E4153),$F4153)</f>
        <v/>
      </c>
      <c r="J4153" s="6" t="inlineStr">
        <is>
          <t>Derivado_da_Oferta</t>
        </is>
      </c>
      <c r="K4153" s="6" t="inlineStr">
        <is>
          <t>Mercado externo: limite superior calculado automaticamente pela soma da oferta do produto no período.</t>
        </is>
      </c>
    </row>
    <row r="4154">
      <c r="A4154" s="6" t="inlineStr">
        <is>
          <t>Soja</t>
        </is>
      </c>
      <c r="B4154" s="6" t="inlineStr">
        <is>
          <t>Itaituba - PA</t>
        </is>
      </c>
      <c r="C4154" s="6" t="n">
        <v>-4.2667</v>
      </c>
      <c r="D4154" s="6" t="n">
        <v>-55.9926</v>
      </c>
      <c r="E4154" s="6" t="inlineStr">
        <is>
          <t>2022-01</t>
        </is>
      </c>
      <c r="F4154" s="6" t="n"/>
      <c r="G4154" s="6" t="inlineStr">
        <is>
          <t>EXPORTACAO</t>
        </is>
      </c>
      <c r="H4154" s="6" t="inlineStr">
        <is>
          <t>AUTO_OFERTA_TOTAL_PRODUTO_PERIODO</t>
        </is>
      </c>
      <c r="I4154" s="11">
        <f>IF($H4154="AUTO_OFERTA_TOTAL_PRODUTO_PERIODO",SUMIFS(Oferta!$F:$F,Oferta!$A:$A,$A4154,Oferta!$E:$E,$E4154),$F4154)</f>
        <v/>
      </c>
      <c r="J4154" s="6" t="inlineStr">
        <is>
          <t>Derivado_da_Oferta</t>
        </is>
      </c>
      <c r="K4154" s="6" t="inlineStr">
        <is>
          <t>Mercado externo: limite superior calculado automaticamente pela soma da oferta do produto no período.</t>
        </is>
      </c>
    </row>
    <row r="4155">
      <c r="A4155" s="6" t="inlineStr">
        <is>
          <t>Soja</t>
        </is>
      </c>
      <c r="B4155" s="6" t="inlineStr">
        <is>
          <t>Itaituba - PA</t>
        </is>
      </c>
      <c r="C4155" s="6" t="n">
        <v>-4.2667</v>
      </c>
      <c r="D4155" s="6" t="n">
        <v>-55.9926</v>
      </c>
      <c r="E4155" s="6" t="inlineStr">
        <is>
          <t>2022-02</t>
        </is>
      </c>
      <c r="F4155" s="6" t="n"/>
      <c r="G4155" s="6" t="inlineStr">
        <is>
          <t>EXPORTACAO</t>
        </is>
      </c>
      <c r="H4155" s="6" t="inlineStr">
        <is>
          <t>AUTO_OFERTA_TOTAL_PRODUTO_PERIODO</t>
        </is>
      </c>
      <c r="I4155" s="11">
        <f>IF($H4155="AUTO_OFERTA_TOTAL_PRODUTO_PERIODO",SUMIFS(Oferta!$F:$F,Oferta!$A:$A,$A4155,Oferta!$E:$E,$E4155),$F4155)</f>
        <v/>
      </c>
      <c r="J4155" s="6" t="inlineStr">
        <is>
          <t>Derivado_da_Oferta</t>
        </is>
      </c>
      <c r="K4155" s="6" t="inlineStr">
        <is>
          <t>Mercado externo: limite superior calculado automaticamente pela soma da oferta do produto no período.</t>
        </is>
      </c>
    </row>
    <row r="4156">
      <c r="A4156" s="6" t="inlineStr">
        <is>
          <t>Soja</t>
        </is>
      </c>
      <c r="B4156" s="6" t="inlineStr">
        <is>
          <t>Itaituba - PA</t>
        </is>
      </c>
      <c r="C4156" s="6" t="n">
        <v>-4.2667</v>
      </c>
      <c r="D4156" s="6" t="n">
        <v>-55.9926</v>
      </c>
      <c r="E4156" s="6" t="inlineStr">
        <is>
          <t>2022-03</t>
        </is>
      </c>
      <c r="F4156" s="6" t="n"/>
      <c r="G4156" s="6" t="inlineStr">
        <is>
          <t>EXPORTACAO</t>
        </is>
      </c>
      <c r="H4156" s="6" t="inlineStr">
        <is>
          <t>AUTO_OFERTA_TOTAL_PRODUTO_PERIODO</t>
        </is>
      </c>
      <c r="I4156" s="11">
        <f>IF($H4156="AUTO_OFERTA_TOTAL_PRODUTO_PERIODO",SUMIFS(Oferta!$F:$F,Oferta!$A:$A,$A4156,Oferta!$E:$E,$E4156),$F4156)</f>
        <v/>
      </c>
      <c r="J4156" s="6" t="inlineStr">
        <is>
          <t>Derivado_da_Oferta</t>
        </is>
      </c>
      <c r="K4156" s="6" t="inlineStr">
        <is>
          <t>Mercado externo: limite superior calculado automaticamente pela soma da oferta do produto no período.</t>
        </is>
      </c>
    </row>
    <row r="4157">
      <c r="A4157" s="6" t="inlineStr">
        <is>
          <t>Soja</t>
        </is>
      </c>
      <c r="B4157" s="6" t="inlineStr">
        <is>
          <t>Itaituba - PA</t>
        </is>
      </c>
      <c r="C4157" s="6" t="n">
        <v>-4.2667</v>
      </c>
      <c r="D4157" s="6" t="n">
        <v>-55.9926</v>
      </c>
      <c r="E4157" s="6" t="inlineStr">
        <is>
          <t>2022-04</t>
        </is>
      </c>
      <c r="F4157" s="6" t="n"/>
      <c r="G4157" s="6" t="inlineStr">
        <is>
          <t>EXPORTACAO</t>
        </is>
      </c>
      <c r="H4157" s="6" t="inlineStr">
        <is>
          <t>AUTO_OFERTA_TOTAL_PRODUTO_PERIODO</t>
        </is>
      </c>
      <c r="I4157" s="11">
        <f>IF($H4157="AUTO_OFERTA_TOTAL_PRODUTO_PERIODO",SUMIFS(Oferta!$F:$F,Oferta!$A:$A,$A4157,Oferta!$E:$E,$E4157),$F4157)</f>
        <v/>
      </c>
      <c r="J4157" s="6" t="inlineStr">
        <is>
          <t>Derivado_da_Oferta</t>
        </is>
      </c>
      <c r="K4157" s="6" t="inlineStr">
        <is>
          <t>Mercado externo: limite superior calculado automaticamente pela soma da oferta do produto no período.</t>
        </is>
      </c>
    </row>
    <row r="4158">
      <c r="A4158" s="6" t="inlineStr">
        <is>
          <t>Soja</t>
        </is>
      </c>
      <c r="B4158" s="6" t="inlineStr">
        <is>
          <t>Itaituba - PA</t>
        </is>
      </c>
      <c r="C4158" s="6" t="n">
        <v>-4.2667</v>
      </c>
      <c r="D4158" s="6" t="n">
        <v>-55.9926</v>
      </c>
      <c r="E4158" s="6" t="inlineStr">
        <is>
          <t>2022-05</t>
        </is>
      </c>
      <c r="F4158" s="6" t="n"/>
      <c r="G4158" s="6" t="inlineStr">
        <is>
          <t>EXPORTACAO</t>
        </is>
      </c>
      <c r="H4158" s="6" t="inlineStr">
        <is>
          <t>AUTO_OFERTA_TOTAL_PRODUTO_PERIODO</t>
        </is>
      </c>
      <c r="I4158" s="11">
        <f>IF($H4158="AUTO_OFERTA_TOTAL_PRODUTO_PERIODO",SUMIFS(Oferta!$F:$F,Oferta!$A:$A,$A4158,Oferta!$E:$E,$E4158),$F4158)</f>
        <v/>
      </c>
      <c r="J4158" s="6" t="inlineStr">
        <is>
          <t>Derivado_da_Oferta</t>
        </is>
      </c>
      <c r="K4158" s="6" t="inlineStr">
        <is>
          <t>Mercado externo: limite superior calculado automaticamente pela soma da oferta do produto no período.</t>
        </is>
      </c>
    </row>
    <row r="4159">
      <c r="A4159" s="6" t="inlineStr">
        <is>
          <t>Soja</t>
        </is>
      </c>
      <c r="B4159" s="6" t="inlineStr">
        <is>
          <t>Itaituba - PA</t>
        </is>
      </c>
      <c r="C4159" s="6" t="n">
        <v>-4.2667</v>
      </c>
      <c r="D4159" s="6" t="n">
        <v>-55.9926</v>
      </c>
      <c r="E4159" s="6" t="inlineStr">
        <is>
          <t>2022-06</t>
        </is>
      </c>
      <c r="F4159" s="6" t="n"/>
      <c r="G4159" s="6" t="inlineStr">
        <is>
          <t>EXPORTACAO</t>
        </is>
      </c>
      <c r="H4159" s="6" t="inlineStr">
        <is>
          <t>AUTO_OFERTA_TOTAL_PRODUTO_PERIODO</t>
        </is>
      </c>
      <c r="I4159" s="11">
        <f>IF($H4159="AUTO_OFERTA_TOTAL_PRODUTO_PERIODO",SUMIFS(Oferta!$F:$F,Oferta!$A:$A,$A4159,Oferta!$E:$E,$E4159),$F4159)</f>
        <v/>
      </c>
      <c r="J4159" s="6" t="inlineStr">
        <is>
          <t>Derivado_da_Oferta</t>
        </is>
      </c>
      <c r="K4159" s="6" t="inlineStr">
        <is>
          <t>Mercado externo: limite superior calculado automaticamente pela soma da oferta do produto no período.</t>
        </is>
      </c>
    </row>
    <row r="4160">
      <c r="A4160" s="6" t="inlineStr">
        <is>
          <t>Soja</t>
        </is>
      </c>
      <c r="B4160" s="6" t="inlineStr">
        <is>
          <t>Itaituba - PA</t>
        </is>
      </c>
      <c r="C4160" s="6" t="n">
        <v>-4.2667</v>
      </c>
      <c r="D4160" s="6" t="n">
        <v>-55.9926</v>
      </c>
      <c r="E4160" s="6" t="inlineStr">
        <is>
          <t>2022-07</t>
        </is>
      </c>
      <c r="F4160" s="6" t="n"/>
      <c r="G4160" s="6" t="inlineStr">
        <is>
          <t>EXPORTACAO</t>
        </is>
      </c>
      <c r="H4160" s="6" t="inlineStr">
        <is>
          <t>AUTO_OFERTA_TOTAL_PRODUTO_PERIODO</t>
        </is>
      </c>
      <c r="I4160" s="11">
        <f>IF($H4160="AUTO_OFERTA_TOTAL_PRODUTO_PERIODO",SUMIFS(Oferta!$F:$F,Oferta!$A:$A,$A4160,Oferta!$E:$E,$E4160),$F4160)</f>
        <v/>
      </c>
      <c r="J4160" s="6" t="inlineStr">
        <is>
          <t>Derivado_da_Oferta</t>
        </is>
      </c>
      <c r="K4160" s="6" t="inlineStr">
        <is>
          <t>Mercado externo: limite superior calculado automaticamente pela soma da oferta do produto no período.</t>
        </is>
      </c>
    </row>
    <row r="4161">
      <c r="A4161" s="6" t="inlineStr">
        <is>
          <t>Soja</t>
        </is>
      </c>
      <c r="B4161" s="6" t="inlineStr">
        <is>
          <t>Itaituba - PA</t>
        </is>
      </c>
      <c r="C4161" s="6" t="n">
        <v>-4.2667</v>
      </c>
      <c r="D4161" s="6" t="n">
        <v>-55.9926</v>
      </c>
      <c r="E4161" s="6" t="inlineStr">
        <is>
          <t>2022-08</t>
        </is>
      </c>
      <c r="F4161" s="6" t="n"/>
      <c r="G4161" s="6" t="inlineStr">
        <is>
          <t>EXPORTACAO</t>
        </is>
      </c>
      <c r="H4161" s="6" t="inlineStr">
        <is>
          <t>AUTO_OFERTA_TOTAL_PRODUTO_PERIODO</t>
        </is>
      </c>
      <c r="I4161" s="11">
        <f>IF($H4161="AUTO_OFERTA_TOTAL_PRODUTO_PERIODO",SUMIFS(Oferta!$F:$F,Oferta!$A:$A,$A4161,Oferta!$E:$E,$E4161),$F4161)</f>
        <v/>
      </c>
      <c r="J4161" s="6" t="inlineStr">
        <is>
          <t>Derivado_da_Oferta</t>
        </is>
      </c>
      <c r="K4161" s="6" t="inlineStr">
        <is>
          <t>Mercado externo: limite superior calculado automaticamente pela soma da oferta do produto no período.</t>
        </is>
      </c>
    </row>
    <row r="4162">
      <c r="A4162" s="6" t="inlineStr">
        <is>
          <t>Soja</t>
        </is>
      </c>
      <c r="B4162" s="6" t="inlineStr">
        <is>
          <t>Itaituba - PA</t>
        </is>
      </c>
      <c r="C4162" s="6" t="n">
        <v>-4.2667</v>
      </c>
      <c r="D4162" s="6" t="n">
        <v>-55.9926</v>
      </c>
      <c r="E4162" s="6" t="inlineStr">
        <is>
          <t>2022-09</t>
        </is>
      </c>
      <c r="F4162" s="6" t="n"/>
      <c r="G4162" s="6" t="inlineStr">
        <is>
          <t>EXPORTACAO</t>
        </is>
      </c>
      <c r="H4162" s="6" t="inlineStr">
        <is>
          <t>AUTO_OFERTA_TOTAL_PRODUTO_PERIODO</t>
        </is>
      </c>
      <c r="I4162" s="11">
        <f>IF($H4162="AUTO_OFERTA_TOTAL_PRODUTO_PERIODO",SUMIFS(Oferta!$F:$F,Oferta!$A:$A,$A4162,Oferta!$E:$E,$E4162),$F4162)</f>
        <v/>
      </c>
      <c r="J4162" s="6" t="inlineStr">
        <is>
          <t>Derivado_da_Oferta</t>
        </is>
      </c>
      <c r="K4162" s="6" t="inlineStr">
        <is>
          <t>Mercado externo: limite superior calculado automaticamente pela soma da oferta do produto no período.</t>
        </is>
      </c>
    </row>
    <row r="4163">
      <c r="A4163" s="6" t="inlineStr">
        <is>
          <t>Soja</t>
        </is>
      </c>
      <c r="B4163" s="6" t="inlineStr">
        <is>
          <t>Itaituba - PA</t>
        </is>
      </c>
      <c r="C4163" s="6" t="n">
        <v>-4.2667</v>
      </c>
      <c r="D4163" s="6" t="n">
        <v>-55.9926</v>
      </c>
      <c r="E4163" s="6" t="inlineStr">
        <is>
          <t>2022-10</t>
        </is>
      </c>
      <c r="F4163" s="6" t="n"/>
      <c r="G4163" s="6" t="inlineStr">
        <is>
          <t>EXPORTACAO</t>
        </is>
      </c>
      <c r="H4163" s="6" t="inlineStr">
        <is>
          <t>AUTO_OFERTA_TOTAL_PRODUTO_PERIODO</t>
        </is>
      </c>
      <c r="I4163" s="11">
        <f>IF($H4163="AUTO_OFERTA_TOTAL_PRODUTO_PERIODO",SUMIFS(Oferta!$F:$F,Oferta!$A:$A,$A4163,Oferta!$E:$E,$E4163),$F4163)</f>
        <v/>
      </c>
      <c r="J4163" s="6" t="inlineStr">
        <is>
          <t>Derivado_da_Oferta</t>
        </is>
      </c>
      <c r="K4163" s="6" t="inlineStr">
        <is>
          <t>Mercado externo: limite superior calculado automaticamente pela soma da oferta do produto no período.</t>
        </is>
      </c>
    </row>
    <row r="4164">
      <c r="A4164" s="6" t="inlineStr">
        <is>
          <t>Soja</t>
        </is>
      </c>
      <c r="B4164" s="6" t="inlineStr">
        <is>
          <t>Itaituba - PA</t>
        </is>
      </c>
      <c r="C4164" s="6" t="n">
        <v>-4.2667</v>
      </c>
      <c r="D4164" s="6" t="n">
        <v>-55.9926</v>
      </c>
      <c r="E4164" s="6" t="inlineStr">
        <is>
          <t>2022-11</t>
        </is>
      </c>
      <c r="F4164" s="6" t="n"/>
      <c r="G4164" s="6" t="inlineStr">
        <is>
          <t>EXPORTACAO</t>
        </is>
      </c>
      <c r="H4164" s="6" t="inlineStr">
        <is>
          <t>AUTO_OFERTA_TOTAL_PRODUTO_PERIODO</t>
        </is>
      </c>
      <c r="I4164" s="11">
        <f>IF($H4164="AUTO_OFERTA_TOTAL_PRODUTO_PERIODO",SUMIFS(Oferta!$F:$F,Oferta!$A:$A,$A4164,Oferta!$E:$E,$E4164),$F4164)</f>
        <v/>
      </c>
      <c r="J4164" s="6" t="inlineStr">
        <is>
          <t>Derivado_da_Oferta</t>
        </is>
      </c>
      <c r="K4164" s="6" t="inlineStr">
        <is>
          <t>Mercado externo: limite superior calculado automaticamente pela soma da oferta do produto no período.</t>
        </is>
      </c>
    </row>
    <row r="4165">
      <c r="A4165" s="6" t="inlineStr">
        <is>
          <t>Soja</t>
        </is>
      </c>
      <c r="B4165" s="6" t="inlineStr">
        <is>
          <t>Itaituba - PA</t>
        </is>
      </c>
      <c r="C4165" s="6" t="n">
        <v>-4.2667</v>
      </c>
      <c r="D4165" s="6" t="n">
        <v>-55.9926</v>
      </c>
      <c r="E4165" s="6" t="inlineStr">
        <is>
          <t>2022-12</t>
        </is>
      </c>
      <c r="F4165" s="6" t="n"/>
      <c r="G4165" s="6" t="inlineStr">
        <is>
          <t>EXPORTACAO</t>
        </is>
      </c>
      <c r="H4165" s="6" t="inlineStr">
        <is>
          <t>AUTO_OFERTA_TOTAL_PRODUTO_PERIODO</t>
        </is>
      </c>
      <c r="I4165" s="11">
        <f>IF($H4165="AUTO_OFERTA_TOTAL_PRODUTO_PERIODO",SUMIFS(Oferta!$F:$F,Oferta!$A:$A,$A4165,Oferta!$E:$E,$E4165),$F4165)</f>
        <v/>
      </c>
      <c r="J4165" s="6" t="inlineStr">
        <is>
          <t>Derivado_da_Oferta</t>
        </is>
      </c>
      <c r="K4165" s="6" t="inlineStr">
        <is>
          <t>Mercado externo: limite superior calculado automaticamente pela soma da oferta do produto no período.</t>
        </is>
      </c>
    </row>
    <row r="4166">
      <c r="A4166" s="6" t="inlineStr">
        <is>
          <t>Soja</t>
        </is>
      </c>
      <c r="B4166" s="6" t="inlineStr">
        <is>
          <t>Itaituba - PA</t>
        </is>
      </c>
      <c r="C4166" s="6" t="n">
        <v>-4.2667</v>
      </c>
      <c r="D4166" s="6" t="n">
        <v>-55.9926</v>
      </c>
      <c r="E4166" s="6" t="inlineStr">
        <is>
          <t>2023-01</t>
        </is>
      </c>
      <c r="F4166" s="6" t="n"/>
      <c r="G4166" s="6" t="inlineStr">
        <is>
          <t>EXPORTACAO</t>
        </is>
      </c>
      <c r="H4166" s="6" t="inlineStr">
        <is>
          <t>AUTO_OFERTA_TOTAL_PRODUTO_PERIODO</t>
        </is>
      </c>
      <c r="I4166" s="11">
        <f>IF($H4166="AUTO_OFERTA_TOTAL_PRODUTO_PERIODO",SUMIFS(Oferta!$F:$F,Oferta!$A:$A,$A4166,Oferta!$E:$E,$E4166),$F4166)</f>
        <v/>
      </c>
      <c r="J4166" s="6" t="inlineStr">
        <is>
          <t>Derivado_da_Oferta</t>
        </is>
      </c>
      <c r="K4166" s="6" t="inlineStr">
        <is>
          <t>Mercado externo: limite superior calculado automaticamente pela soma da oferta do produto no período.</t>
        </is>
      </c>
    </row>
    <row r="4167">
      <c r="A4167" s="6" t="inlineStr">
        <is>
          <t>Soja</t>
        </is>
      </c>
      <c r="B4167" s="6" t="inlineStr">
        <is>
          <t>Itaituba - PA</t>
        </is>
      </c>
      <c r="C4167" s="6" t="n">
        <v>-4.2667</v>
      </c>
      <c r="D4167" s="6" t="n">
        <v>-55.9926</v>
      </c>
      <c r="E4167" s="6" t="inlineStr">
        <is>
          <t>2023-02</t>
        </is>
      </c>
      <c r="F4167" s="6" t="n"/>
      <c r="G4167" s="6" t="inlineStr">
        <is>
          <t>EXPORTACAO</t>
        </is>
      </c>
      <c r="H4167" s="6" t="inlineStr">
        <is>
          <t>AUTO_OFERTA_TOTAL_PRODUTO_PERIODO</t>
        </is>
      </c>
      <c r="I4167" s="11">
        <f>IF($H4167="AUTO_OFERTA_TOTAL_PRODUTO_PERIODO",SUMIFS(Oferta!$F:$F,Oferta!$A:$A,$A4167,Oferta!$E:$E,$E4167),$F4167)</f>
        <v/>
      </c>
      <c r="J4167" s="6" t="inlineStr">
        <is>
          <t>Derivado_da_Oferta</t>
        </is>
      </c>
      <c r="K4167" s="6" t="inlineStr">
        <is>
          <t>Mercado externo: limite superior calculado automaticamente pela soma da oferta do produto no período.</t>
        </is>
      </c>
    </row>
    <row r="4168">
      <c r="A4168" s="6" t="inlineStr">
        <is>
          <t>Soja</t>
        </is>
      </c>
      <c r="B4168" s="6" t="inlineStr">
        <is>
          <t>Itaituba - PA</t>
        </is>
      </c>
      <c r="C4168" s="6" t="n">
        <v>-4.2667</v>
      </c>
      <c r="D4168" s="6" t="n">
        <v>-55.9926</v>
      </c>
      <c r="E4168" s="6" t="inlineStr">
        <is>
          <t>2023-03</t>
        </is>
      </c>
      <c r="F4168" s="6" t="n"/>
      <c r="G4168" s="6" t="inlineStr">
        <is>
          <t>EXPORTACAO</t>
        </is>
      </c>
      <c r="H4168" s="6" t="inlineStr">
        <is>
          <t>AUTO_OFERTA_TOTAL_PRODUTO_PERIODO</t>
        </is>
      </c>
      <c r="I4168" s="11">
        <f>IF($H4168="AUTO_OFERTA_TOTAL_PRODUTO_PERIODO",SUMIFS(Oferta!$F:$F,Oferta!$A:$A,$A4168,Oferta!$E:$E,$E4168),$F4168)</f>
        <v/>
      </c>
      <c r="J4168" s="6" t="inlineStr">
        <is>
          <t>Derivado_da_Oferta</t>
        </is>
      </c>
      <c r="K4168" s="6" t="inlineStr">
        <is>
          <t>Mercado externo: limite superior calculado automaticamente pela soma da oferta do produto no período.</t>
        </is>
      </c>
    </row>
    <row r="4169">
      <c r="A4169" s="6" t="inlineStr">
        <is>
          <t>Soja</t>
        </is>
      </c>
      <c r="B4169" s="6" t="inlineStr">
        <is>
          <t>Itaituba - PA</t>
        </is>
      </c>
      <c r="C4169" s="6" t="n">
        <v>-4.2667</v>
      </c>
      <c r="D4169" s="6" t="n">
        <v>-55.9926</v>
      </c>
      <c r="E4169" s="6" t="inlineStr">
        <is>
          <t>2023-04</t>
        </is>
      </c>
      <c r="F4169" s="6" t="n"/>
      <c r="G4169" s="6" t="inlineStr">
        <is>
          <t>EXPORTACAO</t>
        </is>
      </c>
      <c r="H4169" s="6" t="inlineStr">
        <is>
          <t>AUTO_OFERTA_TOTAL_PRODUTO_PERIODO</t>
        </is>
      </c>
      <c r="I4169" s="11">
        <f>IF($H4169="AUTO_OFERTA_TOTAL_PRODUTO_PERIODO",SUMIFS(Oferta!$F:$F,Oferta!$A:$A,$A4169,Oferta!$E:$E,$E4169),$F4169)</f>
        <v/>
      </c>
      <c r="J4169" s="6" t="inlineStr">
        <is>
          <t>Derivado_da_Oferta</t>
        </is>
      </c>
      <c r="K4169" s="6" t="inlineStr">
        <is>
          <t>Mercado externo: limite superior calculado automaticamente pela soma da oferta do produto no período.</t>
        </is>
      </c>
    </row>
    <row r="4170">
      <c r="A4170" s="6" t="inlineStr">
        <is>
          <t>Soja</t>
        </is>
      </c>
      <c r="B4170" s="6" t="inlineStr">
        <is>
          <t>Itaituba - PA</t>
        </is>
      </c>
      <c r="C4170" s="6" t="n">
        <v>-4.2667</v>
      </c>
      <c r="D4170" s="6" t="n">
        <v>-55.9926</v>
      </c>
      <c r="E4170" s="6" t="inlineStr">
        <is>
          <t>2023-05</t>
        </is>
      </c>
      <c r="F4170" s="6" t="n"/>
      <c r="G4170" s="6" t="inlineStr">
        <is>
          <t>EXPORTACAO</t>
        </is>
      </c>
      <c r="H4170" s="6" t="inlineStr">
        <is>
          <t>AUTO_OFERTA_TOTAL_PRODUTO_PERIODO</t>
        </is>
      </c>
      <c r="I4170" s="11">
        <f>IF($H4170="AUTO_OFERTA_TOTAL_PRODUTO_PERIODO",SUMIFS(Oferta!$F:$F,Oferta!$A:$A,$A4170,Oferta!$E:$E,$E4170),$F4170)</f>
        <v/>
      </c>
      <c r="J4170" s="6" t="inlineStr">
        <is>
          <t>Derivado_da_Oferta</t>
        </is>
      </c>
      <c r="K4170" s="6" t="inlineStr">
        <is>
          <t>Mercado externo: limite superior calculado automaticamente pela soma da oferta do produto no período.</t>
        </is>
      </c>
    </row>
    <row r="4171">
      <c r="A4171" s="6" t="inlineStr">
        <is>
          <t>Soja</t>
        </is>
      </c>
      <c r="B4171" s="6" t="inlineStr">
        <is>
          <t>Itaituba - PA</t>
        </is>
      </c>
      <c r="C4171" s="6" t="n">
        <v>-4.2667</v>
      </c>
      <c r="D4171" s="6" t="n">
        <v>-55.9926</v>
      </c>
      <c r="E4171" s="6" t="inlineStr">
        <is>
          <t>2023-06</t>
        </is>
      </c>
      <c r="F4171" s="6" t="n"/>
      <c r="G4171" s="6" t="inlineStr">
        <is>
          <t>EXPORTACAO</t>
        </is>
      </c>
      <c r="H4171" s="6" t="inlineStr">
        <is>
          <t>AUTO_OFERTA_TOTAL_PRODUTO_PERIODO</t>
        </is>
      </c>
      <c r="I4171" s="11">
        <f>IF($H4171="AUTO_OFERTA_TOTAL_PRODUTO_PERIODO",SUMIFS(Oferta!$F:$F,Oferta!$A:$A,$A4171,Oferta!$E:$E,$E4171),$F4171)</f>
        <v/>
      </c>
      <c r="J4171" s="6" t="inlineStr">
        <is>
          <t>Derivado_da_Oferta</t>
        </is>
      </c>
      <c r="K4171" s="6" t="inlineStr">
        <is>
          <t>Mercado externo: limite superior calculado automaticamente pela soma da oferta do produto no período.</t>
        </is>
      </c>
    </row>
    <row r="4172">
      <c r="A4172" s="6" t="inlineStr">
        <is>
          <t>Soja</t>
        </is>
      </c>
      <c r="B4172" s="6" t="inlineStr">
        <is>
          <t>Itaituba - PA</t>
        </is>
      </c>
      <c r="C4172" s="6" t="n">
        <v>-4.2667</v>
      </c>
      <c r="D4172" s="6" t="n">
        <v>-55.9926</v>
      </c>
      <c r="E4172" s="6" t="inlineStr">
        <is>
          <t>2023-07</t>
        </is>
      </c>
      <c r="F4172" s="6" t="n"/>
      <c r="G4172" s="6" t="inlineStr">
        <is>
          <t>EXPORTACAO</t>
        </is>
      </c>
      <c r="H4172" s="6" t="inlineStr">
        <is>
          <t>AUTO_OFERTA_TOTAL_PRODUTO_PERIODO</t>
        </is>
      </c>
      <c r="I4172" s="11">
        <f>IF($H4172="AUTO_OFERTA_TOTAL_PRODUTO_PERIODO",SUMIFS(Oferta!$F:$F,Oferta!$A:$A,$A4172,Oferta!$E:$E,$E4172),$F4172)</f>
        <v/>
      </c>
      <c r="J4172" s="6" t="inlineStr">
        <is>
          <t>Derivado_da_Oferta</t>
        </is>
      </c>
      <c r="K4172" s="6" t="inlineStr">
        <is>
          <t>Mercado externo: limite superior calculado automaticamente pela soma da oferta do produto no período.</t>
        </is>
      </c>
    </row>
    <row r="4173">
      <c r="A4173" s="6" t="inlineStr">
        <is>
          <t>Soja</t>
        </is>
      </c>
      <c r="B4173" s="6" t="inlineStr">
        <is>
          <t>Itaituba - PA</t>
        </is>
      </c>
      <c r="C4173" s="6" t="n">
        <v>-4.2667</v>
      </c>
      <c r="D4173" s="6" t="n">
        <v>-55.9926</v>
      </c>
      <c r="E4173" s="6" t="inlineStr">
        <is>
          <t>2023-08</t>
        </is>
      </c>
      <c r="F4173" s="6" t="n"/>
      <c r="G4173" s="6" t="inlineStr">
        <is>
          <t>EXPORTACAO</t>
        </is>
      </c>
      <c r="H4173" s="6" t="inlineStr">
        <is>
          <t>AUTO_OFERTA_TOTAL_PRODUTO_PERIODO</t>
        </is>
      </c>
      <c r="I4173" s="11">
        <f>IF($H4173="AUTO_OFERTA_TOTAL_PRODUTO_PERIODO",SUMIFS(Oferta!$F:$F,Oferta!$A:$A,$A4173,Oferta!$E:$E,$E4173),$F4173)</f>
        <v/>
      </c>
      <c r="J4173" s="6" t="inlineStr">
        <is>
          <t>Derivado_da_Oferta</t>
        </is>
      </c>
      <c r="K4173" s="6" t="inlineStr">
        <is>
          <t>Mercado externo: limite superior calculado automaticamente pela soma da oferta do produto no período.</t>
        </is>
      </c>
    </row>
    <row r="4174">
      <c r="A4174" s="6" t="inlineStr">
        <is>
          <t>Soja</t>
        </is>
      </c>
      <c r="B4174" s="6" t="inlineStr">
        <is>
          <t>Itaituba - PA</t>
        </is>
      </c>
      <c r="C4174" s="6" t="n">
        <v>-4.2667</v>
      </c>
      <c r="D4174" s="6" t="n">
        <v>-55.9926</v>
      </c>
      <c r="E4174" s="6" t="inlineStr">
        <is>
          <t>2023-09</t>
        </is>
      </c>
      <c r="F4174" s="6" t="n"/>
      <c r="G4174" s="6" t="inlineStr">
        <is>
          <t>EXPORTACAO</t>
        </is>
      </c>
      <c r="H4174" s="6" t="inlineStr">
        <is>
          <t>AUTO_OFERTA_TOTAL_PRODUTO_PERIODO</t>
        </is>
      </c>
      <c r="I4174" s="11">
        <f>IF($H4174="AUTO_OFERTA_TOTAL_PRODUTO_PERIODO",SUMIFS(Oferta!$F:$F,Oferta!$A:$A,$A4174,Oferta!$E:$E,$E4174),$F4174)</f>
        <v/>
      </c>
      <c r="J4174" s="6" t="inlineStr">
        <is>
          <t>Derivado_da_Oferta</t>
        </is>
      </c>
      <c r="K4174" s="6" t="inlineStr">
        <is>
          <t>Mercado externo: limite superior calculado automaticamente pela soma da oferta do produto no período.</t>
        </is>
      </c>
    </row>
    <row r="4175">
      <c r="A4175" s="6" t="inlineStr">
        <is>
          <t>Soja</t>
        </is>
      </c>
      <c r="B4175" s="6" t="inlineStr">
        <is>
          <t>Itaituba - PA</t>
        </is>
      </c>
      <c r="C4175" s="6" t="n">
        <v>-4.2667</v>
      </c>
      <c r="D4175" s="6" t="n">
        <v>-55.9926</v>
      </c>
      <c r="E4175" s="6" t="inlineStr">
        <is>
          <t>2023-10</t>
        </is>
      </c>
      <c r="F4175" s="6" t="n"/>
      <c r="G4175" s="6" t="inlineStr">
        <is>
          <t>EXPORTACAO</t>
        </is>
      </c>
      <c r="H4175" s="6" t="inlineStr">
        <is>
          <t>AUTO_OFERTA_TOTAL_PRODUTO_PERIODO</t>
        </is>
      </c>
      <c r="I4175" s="11">
        <f>IF($H4175="AUTO_OFERTA_TOTAL_PRODUTO_PERIODO",SUMIFS(Oferta!$F:$F,Oferta!$A:$A,$A4175,Oferta!$E:$E,$E4175),$F4175)</f>
        <v/>
      </c>
      <c r="J4175" s="6" t="inlineStr">
        <is>
          <t>Derivado_da_Oferta</t>
        </is>
      </c>
      <c r="K4175" s="6" t="inlineStr">
        <is>
          <t>Mercado externo: limite superior calculado automaticamente pela soma da oferta do produto no período.</t>
        </is>
      </c>
    </row>
    <row r="4176">
      <c r="A4176" s="6" t="inlineStr">
        <is>
          <t>Soja</t>
        </is>
      </c>
      <c r="B4176" s="6" t="inlineStr">
        <is>
          <t>Itaituba - PA</t>
        </is>
      </c>
      <c r="C4176" s="6" t="n">
        <v>-4.2667</v>
      </c>
      <c r="D4176" s="6" t="n">
        <v>-55.9926</v>
      </c>
      <c r="E4176" s="6" t="inlineStr">
        <is>
          <t>2023-11</t>
        </is>
      </c>
      <c r="F4176" s="6" t="n"/>
      <c r="G4176" s="6" t="inlineStr">
        <is>
          <t>EXPORTACAO</t>
        </is>
      </c>
      <c r="H4176" s="6" t="inlineStr">
        <is>
          <t>AUTO_OFERTA_TOTAL_PRODUTO_PERIODO</t>
        </is>
      </c>
      <c r="I4176" s="11">
        <f>IF($H4176="AUTO_OFERTA_TOTAL_PRODUTO_PERIODO",SUMIFS(Oferta!$F:$F,Oferta!$A:$A,$A4176,Oferta!$E:$E,$E4176),$F4176)</f>
        <v/>
      </c>
      <c r="J4176" s="6" t="inlineStr">
        <is>
          <t>Derivado_da_Oferta</t>
        </is>
      </c>
      <c r="K4176" s="6" t="inlineStr">
        <is>
          <t>Mercado externo: limite superior calculado automaticamente pela soma da oferta do produto no período.</t>
        </is>
      </c>
    </row>
    <row r="4177">
      <c r="A4177" s="6" t="inlineStr">
        <is>
          <t>Soja</t>
        </is>
      </c>
      <c r="B4177" s="6" t="inlineStr">
        <is>
          <t>Itaituba - PA</t>
        </is>
      </c>
      <c r="C4177" s="6" t="n">
        <v>-4.2667</v>
      </c>
      <c r="D4177" s="6" t="n">
        <v>-55.9926</v>
      </c>
      <c r="E4177" s="6" t="inlineStr">
        <is>
          <t>2023-12</t>
        </is>
      </c>
      <c r="F4177" s="6" t="n"/>
      <c r="G4177" s="6" t="inlineStr">
        <is>
          <t>EXPORTACAO</t>
        </is>
      </c>
      <c r="H4177" s="6" t="inlineStr">
        <is>
          <t>AUTO_OFERTA_TOTAL_PRODUTO_PERIODO</t>
        </is>
      </c>
      <c r="I4177" s="11">
        <f>IF($H4177="AUTO_OFERTA_TOTAL_PRODUTO_PERIODO",SUMIFS(Oferta!$F:$F,Oferta!$A:$A,$A4177,Oferta!$E:$E,$E4177),$F4177)</f>
        <v/>
      </c>
      <c r="J4177" s="6" t="inlineStr">
        <is>
          <t>Derivado_da_Oferta</t>
        </is>
      </c>
      <c r="K4177" s="6" t="inlineStr">
        <is>
          <t>Mercado externo: limite superior calculado automaticamente pela soma da oferta do produto no período.</t>
        </is>
      </c>
    </row>
    <row r="4178">
      <c r="A4178" s="6" t="inlineStr">
        <is>
          <t>Soja</t>
        </is>
      </c>
      <c r="B4178" s="6" t="inlineStr">
        <is>
          <t>Itaituba - PA</t>
        </is>
      </c>
      <c r="C4178" s="6" t="n">
        <v>-4.2667</v>
      </c>
      <c r="D4178" s="6" t="n">
        <v>-55.9926</v>
      </c>
      <c r="E4178" s="6" t="inlineStr">
        <is>
          <t>2024-01</t>
        </is>
      </c>
      <c r="F4178" s="6" t="n"/>
      <c r="G4178" s="6" t="inlineStr">
        <is>
          <t>EXPORTACAO</t>
        </is>
      </c>
      <c r="H4178" s="6" t="inlineStr">
        <is>
          <t>AUTO_OFERTA_TOTAL_PRODUTO_PERIODO</t>
        </is>
      </c>
      <c r="I4178" s="11">
        <f>IF($H4178="AUTO_OFERTA_TOTAL_PRODUTO_PERIODO",SUMIFS(Oferta!$F:$F,Oferta!$A:$A,$A4178,Oferta!$E:$E,$E4178),$F4178)</f>
        <v/>
      </c>
      <c r="J4178" s="6" t="inlineStr">
        <is>
          <t>Derivado_da_Oferta</t>
        </is>
      </c>
      <c r="K4178" s="6" t="inlineStr">
        <is>
          <t>Mercado externo: limite superior calculado automaticamente pela soma da oferta do produto no período.</t>
        </is>
      </c>
    </row>
    <row r="4179">
      <c r="A4179" s="6" t="inlineStr">
        <is>
          <t>Soja</t>
        </is>
      </c>
      <c r="B4179" s="6" t="inlineStr">
        <is>
          <t>Itaituba - PA</t>
        </is>
      </c>
      <c r="C4179" s="6" t="n">
        <v>-4.2667</v>
      </c>
      <c r="D4179" s="6" t="n">
        <v>-55.9926</v>
      </c>
      <c r="E4179" s="6" t="inlineStr">
        <is>
          <t>2024-02</t>
        </is>
      </c>
      <c r="F4179" s="6" t="n"/>
      <c r="G4179" s="6" t="inlineStr">
        <is>
          <t>EXPORTACAO</t>
        </is>
      </c>
      <c r="H4179" s="6" t="inlineStr">
        <is>
          <t>AUTO_OFERTA_TOTAL_PRODUTO_PERIODO</t>
        </is>
      </c>
      <c r="I4179" s="11">
        <f>IF($H4179="AUTO_OFERTA_TOTAL_PRODUTO_PERIODO",SUMIFS(Oferta!$F:$F,Oferta!$A:$A,$A4179,Oferta!$E:$E,$E4179),$F4179)</f>
        <v/>
      </c>
      <c r="J4179" s="6" t="inlineStr">
        <is>
          <t>Derivado_da_Oferta</t>
        </is>
      </c>
      <c r="K4179" s="6" t="inlineStr">
        <is>
          <t>Mercado externo: limite superior calculado automaticamente pela soma da oferta do produto no período.</t>
        </is>
      </c>
    </row>
    <row r="4180">
      <c r="A4180" s="6" t="inlineStr">
        <is>
          <t>Soja</t>
        </is>
      </c>
      <c r="B4180" s="6" t="inlineStr">
        <is>
          <t>Itaituba - PA</t>
        </is>
      </c>
      <c r="C4180" s="6" t="n">
        <v>-4.2667</v>
      </c>
      <c r="D4180" s="6" t="n">
        <v>-55.9926</v>
      </c>
      <c r="E4180" s="6" t="inlineStr">
        <is>
          <t>2024-03</t>
        </is>
      </c>
      <c r="F4180" s="6" t="n"/>
      <c r="G4180" s="6" t="inlineStr">
        <is>
          <t>EXPORTACAO</t>
        </is>
      </c>
      <c r="H4180" s="6" t="inlineStr">
        <is>
          <t>AUTO_OFERTA_TOTAL_PRODUTO_PERIODO</t>
        </is>
      </c>
      <c r="I4180" s="11">
        <f>IF($H4180="AUTO_OFERTA_TOTAL_PRODUTO_PERIODO",SUMIFS(Oferta!$F:$F,Oferta!$A:$A,$A4180,Oferta!$E:$E,$E4180),$F4180)</f>
        <v/>
      </c>
      <c r="J4180" s="6" t="inlineStr">
        <is>
          <t>Derivado_da_Oferta</t>
        </is>
      </c>
      <c r="K4180" s="6" t="inlineStr">
        <is>
          <t>Mercado externo: limite superior calculado automaticamente pela soma da oferta do produto no período.</t>
        </is>
      </c>
    </row>
    <row r="4181">
      <c r="A4181" s="6" t="inlineStr">
        <is>
          <t>Soja</t>
        </is>
      </c>
      <c r="B4181" s="6" t="inlineStr">
        <is>
          <t>Itaituba - PA</t>
        </is>
      </c>
      <c r="C4181" s="6" t="n">
        <v>-4.2667</v>
      </c>
      <c r="D4181" s="6" t="n">
        <v>-55.9926</v>
      </c>
      <c r="E4181" s="6" t="inlineStr">
        <is>
          <t>2024-04</t>
        </is>
      </c>
      <c r="F4181" s="6" t="n"/>
      <c r="G4181" s="6" t="inlineStr">
        <is>
          <t>EXPORTACAO</t>
        </is>
      </c>
      <c r="H4181" s="6" t="inlineStr">
        <is>
          <t>AUTO_OFERTA_TOTAL_PRODUTO_PERIODO</t>
        </is>
      </c>
      <c r="I4181" s="11">
        <f>IF($H4181="AUTO_OFERTA_TOTAL_PRODUTO_PERIODO",SUMIFS(Oferta!$F:$F,Oferta!$A:$A,$A4181,Oferta!$E:$E,$E4181),$F4181)</f>
        <v/>
      </c>
      <c r="J4181" s="6" t="inlineStr">
        <is>
          <t>Derivado_da_Oferta</t>
        </is>
      </c>
      <c r="K4181" s="6" t="inlineStr">
        <is>
          <t>Mercado externo: limite superior calculado automaticamente pela soma da oferta do produto no período.</t>
        </is>
      </c>
    </row>
    <row r="4182">
      <c r="A4182" s="6" t="inlineStr">
        <is>
          <t>Soja</t>
        </is>
      </c>
      <c r="B4182" s="6" t="inlineStr">
        <is>
          <t>Itaituba - PA</t>
        </is>
      </c>
      <c r="C4182" s="6" t="n">
        <v>-4.2667</v>
      </c>
      <c r="D4182" s="6" t="n">
        <v>-55.9926</v>
      </c>
      <c r="E4182" s="6" t="inlineStr">
        <is>
          <t>2024-05</t>
        </is>
      </c>
      <c r="F4182" s="6" t="n"/>
      <c r="G4182" s="6" t="inlineStr">
        <is>
          <t>EXPORTACAO</t>
        </is>
      </c>
      <c r="H4182" s="6" t="inlineStr">
        <is>
          <t>AUTO_OFERTA_TOTAL_PRODUTO_PERIODO</t>
        </is>
      </c>
      <c r="I4182" s="11">
        <f>IF($H4182="AUTO_OFERTA_TOTAL_PRODUTO_PERIODO",SUMIFS(Oferta!$F:$F,Oferta!$A:$A,$A4182,Oferta!$E:$E,$E4182),$F4182)</f>
        <v/>
      </c>
      <c r="J4182" s="6" t="inlineStr">
        <is>
          <t>Derivado_da_Oferta</t>
        </is>
      </c>
      <c r="K4182" s="6" t="inlineStr">
        <is>
          <t>Mercado externo: limite superior calculado automaticamente pela soma da oferta do produto no período.</t>
        </is>
      </c>
    </row>
    <row r="4183">
      <c r="A4183" s="6" t="inlineStr">
        <is>
          <t>Soja</t>
        </is>
      </c>
      <c r="B4183" s="6" t="inlineStr">
        <is>
          <t>Itaituba - PA</t>
        </is>
      </c>
      <c r="C4183" s="6" t="n">
        <v>-4.2667</v>
      </c>
      <c r="D4183" s="6" t="n">
        <v>-55.9926</v>
      </c>
      <c r="E4183" s="6" t="inlineStr">
        <is>
          <t>2024-06</t>
        </is>
      </c>
      <c r="F4183" s="6" t="n"/>
      <c r="G4183" s="6" t="inlineStr">
        <is>
          <t>EXPORTACAO</t>
        </is>
      </c>
      <c r="H4183" s="6" t="inlineStr">
        <is>
          <t>AUTO_OFERTA_TOTAL_PRODUTO_PERIODO</t>
        </is>
      </c>
      <c r="I4183" s="11">
        <f>IF($H4183="AUTO_OFERTA_TOTAL_PRODUTO_PERIODO",SUMIFS(Oferta!$F:$F,Oferta!$A:$A,$A4183,Oferta!$E:$E,$E4183),$F4183)</f>
        <v/>
      </c>
      <c r="J4183" s="6" t="inlineStr">
        <is>
          <t>Derivado_da_Oferta</t>
        </is>
      </c>
      <c r="K4183" s="6" t="inlineStr">
        <is>
          <t>Mercado externo: limite superior calculado automaticamente pela soma da oferta do produto no período.</t>
        </is>
      </c>
    </row>
    <row r="4184">
      <c r="A4184" s="6" t="inlineStr">
        <is>
          <t>Soja</t>
        </is>
      </c>
      <c r="B4184" s="6" t="inlineStr">
        <is>
          <t>Itaituba - PA</t>
        </is>
      </c>
      <c r="C4184" s="6" t="n">
        <v>-4.2667</v>
      </c>
      <c r="D4184" s="6" t="n">
        <v>-55.9926</v>
      </c>
      <c r="E4184" s="6" t="inlineStr">
        <is>
          <t>2024-07</t>
        </is>
      </c>
      <c r="F4184" s="6" t="n"/>
      <c r="G4184" s="6" t="inlineStr">
        <is>
          <t>EXPORTACAO</t>
        </is>
      </c>
      <c r="H4184" s="6" t="inlineStr">
        <is>
          <t>AUTO_OFERTA_TOTAL_PRODUTO_PERIODO</t>
        </is>
      </c>
      <c r="I4184" s="11">
        <f>IF($H4184="AUTO_OFERTA_TOTAL_PRODUTO_PERIODO",SUMIFS(Oferta!$F:$F,Oferta!$A:$A,$A4184,Oferta!$E:$E,$E4184),$F4184)</f>
        <v/>
      </c>
      <c r="J4184" s="6" t="inlineStr">
        <is>
          <t>Derivado_da_Oferta</t>
        </is>
      </c>
      <c r="K4184" s="6" t="inlineStr">
        <is>
          <t>Mercado externo: limite superior calculado automaticamente pela soma da oferta do produto no período.</t>
        </is>
      </c>
    </row>
    <row r="4185">
      <c r="A4185" s="6" t="inlineStr">
        <is>
          <t>Soja</t>
        </is>
      </c>
      <c r="B4185" s="6" t="inlineStr">
        <is>
          <t>Itaituba - PA</t>
        </is>
      </c>
      <c r="C4185" s="6" t="n">
        <v>-4.2667</v>
      </c>
      <c r="D4185" s="6" t="n">
        <v>-55.9926</v>
      </c>
      <c r="E4185" s="6" t="inlineStr">
        <is>
          <t>2024-08</t>
        </is>
      </c>
      <c r="F4185" s="6" t="n"/>
      <c r="G4185" s="6" t="inlineStr">
        <is>
          <t>EXPORTACAO</t>
        </is>
      </c>
      <c r="H4185" s="6" t="inlineStr">
        <is>
          <t>AUTO_OFERTA_TOTAL_PRODUTO_PERIODO</t>
        </is>
      </c>
      <c r="I4185" s="11">
        <f>IF($H4185="AUTO_OFERTA_TOTAL_PRODUTO_PERIODO",SUMIFS(Oferta!$F:$F,Oferta!$A:$A,$A4185,Oferta!$E:$E,$E4185),$F4185)</f>
        <v/>
      </c>
      <c r="J4185" s="6" t="inlineStr">
        <is>
          <t>Derivado_da_Oferta</t>
        </is>
      </c>
      <c r="K4185" s="6" t="inlineStr">
        <is>
          <t>Mercado externo: limite superior calculado automaticamente pela soma da oferta do produto no período.</t>
        </is>
      </c>
    </row>
    <row r="4186">
      <c r="A4186" s="6" t="inlineStr">
        <is>
          <t>Soja</t>
        </is>
      </c>
      <c r="B4186" s="6" t="inlineStr">
        <is>
          <t>Itaituba - PA</t>
        </is>
      </c>
      <c r="C4186" s="6" t="n">
        <v>-4.2667</v>
      </c>
      <c r="D4186" s="6" t="n">
        <v>-55.9926</v>
      </c>
      <c r="E4186" s="6" t="inlineStr">
        <is>
          <t>2024-09</t>
        </is>
      </c>
      <c r="F4186" s="6" t="n"/>
      <c r="G4186" s="6" t="inlineStr">
        <is>
          <t>EXPORTACAO</t>
        </is>
      </c>
      <c r="H4186" s="6" t="inlineStr">
        <is>
          <t>AUTO_OFERTA_TOTAL_PRODUTO_PERIODO</t>
        </is>
      </c>
      <c r="I4186" s="11">
        <f>IF($H4186="AUTO_OFERTA_TOTAL_PRODUTO_PERIODO",SUMIFS(Oferta!$F:$F,Oferta!$A:$A,$A4186,Oferta!$E:$E,$E4186),$F4186)</f>
        <v/>
      </c>
      <c r="J4186" s="6" t="inlineStr">
        <is>
          <t>Derivado_da_Oferta</t>
        </is>
      </c>
      <c r="K4186" s="6" t="inlineStr">
        <is>
          <t>Mercado externo: limite superior calculado automaticamente pela soma da oferta do produto no período.</t>
        </is>
      </c>
    </row>
    <row r="4187">
      <c r="A4187" s="6" t="inlineStr">
        <is>
          <t>Soja</t>
        </is>
      </c>
      <c r="B4187" s="6" t="inlineStr">
        <is>
          <t>Itaituba - PA</t>
        </is>
      </c>
      <c r="C4187" s="6" t="n">
        <v>-4.2667</v>
      </c>
      <c r="D4187" s="6" t="n">
        <v>-55.9926</v>
      </c>
      <c r="E4187" s="6" t="inlineStr">
        <is>
          <t>2024-10</t>
        </is>
      </c>
      <c r="F4187" s="6" t="n"/>
      <c r="G4187" s="6" t="inlineStr">
        <is>
          <t>EXPORTACAO</t>
        </is>
      </c>
      <c r="H4187" s="6" t="inlineStr">
        <is>
          <t>AUTO_OFERTA_TOTAL_PRODUTO_PERIODO</t>
        </is>
      </c>
      <c r="I4187" s="11">
        <f>IF($H4187="AUTO_OFERTA_TOTAL_PRODUTO_PERIODO",SUMIFS(Oferta!$F:$F,Oferta!$A:$A,$A4187,Oferta!$E:$E,$E4187),$F4187)</f>
        <v/>
      </c>
      <c r="J4187" s="6" t="inlineStr">
        <is>
          <t>Derivado_da_Oferta</t>
        </is>
      </c>
      <c r="K4187" s="6" t="inlineStr">
        <is>
          <t>Mercado externo: limite superior calculado automaticamente pela soma da oferta do produto no período.</t>
        </is>
      </c>
    </row>
    <row r="4188">
      <c r="A4188" s="6" t="inlineStr">
        <is>
          <t>Soja</t>
        </is>
      </c>
      <c r="B4188" s="6" t="inlineStr">
        <is>
          <t>Itaituba - PA</t>
        </is>
      </c>
      <c r="C4188" s="6" t="n">
        <v>-4.2667</v>
      </c>
      <c r="D4188" s="6" t="n">
        <v>-55.9926</v>
      </c>
      <c r="E4188" s="6" t="inlineStr">
        <is>
          <t>2024-11</t>
        </is>
      </c>
      <c r="F4188" s="6" t="n"/>
      <c r="G4188" s="6" t="inlineStr">
        <is>
          <t>EXPORTACAO</t>
        </is>
      </c>
      <c r="H4188" s="6" t="inlineStr">
        <is>
          <t>AUTO_OFERTA_TOTAL_PRODUTO_PERIODO</t>
        </is>
      </c>
      <c r="I4188" s="11">
        <f>IF($H4188="AUTO_OFERTA_TOTAL_PRODUTO_PERIODO",SUMIFS(Oferta!$F:$F,Oferta!$A:$A,$A4188,Oferta!$E:$E,$E4188),$F4188)</f>
        <v/>
      </c>
      <c r="J4188" s="6" t="inlineStr">
        <is>
          <t>Derivado_da_Oferta</t>
        </is>
      </c>
      <c r="K4188" s="6" t="inlineStr">
        <is>
          <t>Mercado externo: limite superior calculado automaticamente pela soma da oferta do produto no período.</t>
        </is>
      </c>
    </row>
    <row r="4189">
      <c r="A4189" s="6" t="inlineStr">
        <is>
          <t>Soja</t>
        </is>
      </c>
      <c r="B4189" s="6" t="inlineStr">
        <is>
          <t>Itaituba - PA</t>
        </is>
      </c>
      <c r="C4189" s="6" t="n">
        <v>-4.2667</v>
      </c>
      <c r="D4189" s="6" t="n">
        <v>-55.9926</v>
      </c>
      <c r="E4189" s="6" t="inlineStr">
        <is>
          <t>2024-12</t>
        </is>
      </c>
      <c r="F4189" s="6" t="n"/>
      <c r="G4189" s="6" t="inlineStr">
        <is>
          <t>EXPORTACAO</t>
        </is>
      </c>
      <c r="H4189" s="6" t="inlineStr">
        <is>
          <t>AUTO_OFERTA_TOTAL_PRODUTO_PERIODO</t>
        </is>
      </c>
      <c r="I4189" s="11">
        <f>IF($H4189="AUTO_OFERTA_TOTAL_PRODUTO_PERIODO",SUMIFS(Oferta!$F:$F,Oferta!$A:$A,$A4189,Oferta!$E:$E,$E4189),$F4189)</f>
        <v/>
      </c>
      <c r="J4189" s="6" t="inlineStr">
        <is>
          <t>Derivado_da_Oferta</t>
        </is>
      </c>
      <c r="K4189" s="6" t="inlineStr">
        <is>
          <t>Mercado externo: limite superior calculado automaticamente pela soma da oferta do produto no período.</t>
        </is>
      </c>
    </row>
    <row r="4190">
      <c r="A4190" s="6" t="inlineStr">
        <is>
          <t>Soja</t>
        </is>
      </c>
      <c r="B4190" s="6" t="inlineStr">
        <is>
          <t>Itaituba - PA</t>
        </is>
      </c>
      <c r="C4190" s="6" t="n">
        <v>-4.2667</v>
      </c>
      <c r="D4190" s="6" t="n">
        <v>-55.9926</v>
      </c>
      <c r="E4190" s="6" t="inlineStr">
        <is>
          <t>2025-01</t>
        </is>
      </c>
      <c r="F4190" s="6" t="n"/>
      <c r="G4190" s="6" t="inlineStr">
        <is>
          <t>EXPORTACAO</t>
        </is>
      </c>
      <c r="H4190" s="6" t="inlineStr">
        <is>
          <t>AUTO_OFERTA_TOTAL_PRODUTO_PERIODO</t>
        </is>
      </c>
      <c r="I4190" s="11">
        <f>IF($H4190="AUTO_OFERTA_TOTAL_PRODUTO_PERIODO",SUMIFS(Oferta!$F:$F,Oferta!$A:$A,$A4190,Oferta!$E:$E,$E4190),$F4190)</f>
        <v/>
      </c>
      <c r="J4190" s="6" t="inlineStr">
        <is>
          <t>Derivado_da_Oferta</t>
        </is>
      </c>
      <c r="K4190" s="6" t="inlineStr">
        <is>
          <t>Mercado externo: limite superior calculado automaticamente pela soma da oferta do produto no período.</t>
        </is>
      </c>
    </row>
    <row r="4191">
      <c r="A4191" s="6" t="inlineStr">
        <is>
          <t>Soja</t>
        </is>
      </c>
      <c r="B4191" s="6" t="inlineStr">
        <is>
          <t>Itaituba - PA</t>
        </is>
      </c>
      <c r="C4191" s="6" t="n">
        <v>-4.2667</v>
      </c>
      <c r="D4191" s="6" t="n">
        <v>-55.9926</v>
      </c>
      <c r="E4191" s="6" t="inlineStr">
        <is>
          <t>2025-02</t>
        </is>
      </c>
      <c r="F4191" s="6" t="n"/>
      <c r="G4191" s="6" t="inlineStr">
        <is>
          <t>EXPORTACAO</t>
        </is>
      </c>
      <c r="H4191" s="6" t="inlineStr">
        <is>
          <t>AUTO_OFERTA_TOTAL_PRODUTO_PERIODO</t>
        </is>
      </c>
      <c r="I4191" s="11">
        <f>IF($H4191="AUTO_OFERTA_TOTAL_PRODUTO_PERIODO",SUMIFS(Oferta!$F:$F,Oferta!$A:$A,$A4191,Oferta!$E:$E,$E4191),$F4191)</f>
        <v/>
      </c>
      <c r="J4191" s="6" t="inlineStr">
        <is>
          <t>Derivado_da_Oferta</t>
        </is>
      </c>
      <c r="K4191" s="6" t="inlineStr">
        <is>
          <t>Mercado externo: limite superior calculado automaticamente pela soma da oferta do produto no período.</t>
        </is>
      </c>
    </row>
    <row r="4192">
      <c r="A4192" s="6" t="inlineStr">
        <is>
          <t>Soja</t>
        </is>
      </c>
      <c r="B4192" s="6" t="inlineStr">
        <is>
          <t>Itaituba - PA</t>
        </is>
      </c>
      <c r="C4192" s="6" t="n">
        <v>-4.2667</v>
      </c>
      <c r="D4192" s="6" t="n">
        <v>-55.9926</v>
      </c>
      <c r="E4192" s="6" t="inlineStr">
        <is>
          <t>2025-03</t>
        </is>
      </c>
      <c r="F4192" s="6" t="n"/>
      <c r="G4192" s="6" t="inlineStr">
        <is>
          <t>EXPORTACAO</t>
        </is>
      </c>
      <c r="H4192" s="6" t="inlineStr">
        <is>
          <t>AUTO_OFERTA_TOTAL_PRODUTO_PERIODO</t>
        </is>
      </c>
      <c r="I4192" s="11">
        <f>IF($H4192="AUTO_OFERTA_TOTAL_PRODUTO_PERIODO",SUMIFS(Oferta!$F:$F,Oferta!$A:$A,$A4192,Oferta!$E:$E,$E4192),$F4192)</f>
        <v/>
      </c>
      <c r="J4192" s="6" t="inlineStr">
        <is>
          <t>Derivado_da_Oferta</t>
        </is>
      </c>
      <c r="K4192" s="6" t="inlineStr">
        <is>
          <t>Mercado externo: limite superior calculado automaticamente pela soma da oferta do produto no período.</t>
        </is>
      </c>
    </row>
    <row r="4193">
      <c r="A4193" s="6" t="inlineStr">
        <is>
          <t>Soja</t>
        </is>
      </c>
      <c r="B4193" s="6" t="inlineStr">
        <is>
          <t>Itaituba - PA</t>
        </is>
      </c>
      <c r="C4193" s="6" t="n">
        <v>-4.2667</v>
      </c>
      <c r="D4193" s="6" t="n">
        <v>-55.9926</v>
      </c>
      <c r="E4193" s="6" t="inlineStr">
        <is>
          <t>2025-04</t>
        </is>
      </c>
      <c r="F4193" s="6" t="n"/>
      <c r="G4193" s="6" t="inlineStr">
        <is>
          <t>EXPORTACAO</t>
        </is>
      </c>
      <c r="H4193" s="6" t="inlineStr">
        <is>
          <t>AUTO_OFERTA_TOTAL_PRODUTO_PERIODO</t>
        </is>
      </c>
      <c r="I4193" s="11">
        <f>IF($H4193="AUTO_OFERTA_TOTAL_PRODUTO_PERIODO",SUMIFS(Oferta!$F:$F,Oferta!$A:$A,$A4193,Oferta!$E:$E,$E4193),$F4193)</f>
        <v/>
      </c>
      <c r="J4193" s="6" t="inlineStr">
        <is>
          <t>Derivado_da_Oferta</t>
        </is>
      </c>
      <c r="K4193" s="6" t="inlineStr">
        <is>
          <t>Mercado externo: limite superior calculado automaticamente pela soma da oferta do produto no período.</t>
        </is>
      </c>
    </row>
    <row r="4194">
      <c r="A4194" s="6" t="inlineStr">
        <is>
          <t>Soja</t>
        </is>
      </c>
      <c r="B4194" s="6" t="inlineStr">
        <is>
          <t>Itaituba - PA</t>
        </is>
      </c>
      <c r="C4194" s="6" t="n">
        <v>-4.2667</v>
      </c>
      <c r="D4194" s="6" t="n">
        <v>-55.9926</v>
      </c>
      <c r="E4194" s="6" t="inlineStr">
        <is>
          <t>2025-05</t>
        </is>
      </c>
      <c r="F4194" s="6" t="n"/>
      <c r="G4194" s="6" t="inlineStr">
        <is>
          <t>EXPORTACAO</t>
        </is>
      </c>
      <c r="H4194" s="6" t="inlineStr">
        <is>
          <t>AUTO_OFERTA_TOTAL_PRODUTO_PERIODO</t>
        </is>
      </c>
      <c r="I4194" s="11">
        <f>IF($H4194="AUTO_OFERTA_TOTAL_PRODUTO_PERIODO",SUMIFS(Oferta!$F:$F,Oferta!$A:$A,$A4194,Oferta!$E:$E,$E4194),$F4194)</f>
        <v/>
      </c>
      <c r="J4194" s="6" t="inlineStr">
        <is>
          <t>Derivado_da_Oferta</t>
        </is>
      </c>
      <c r="K4194" s="6" t="inlineStr">
        <is>
          <t>Mercado externo: limite superior calculado automaticamente pela soma da oferta do produto no período.</t>
        </is>
      </c>
    </row>
    <row r="4195">
      <c r="A4195" s="6" t="inlineStr">
        <is>
          <t>Soja</t>
        </is>
      </c>
      <c r="B4195" s="6" t="inlineStr">
        <is>
          <t>Itaituba - PA</t>
        </is>
      </c>
      <c r="C4195" s="6" t="n">
        <v>-4.2667</v>
      </c>
      <c r="D4195" s="6" t="n">
        <v>-55.9926</v>
      </c>
      <c r="E4195" s="6" t="inlineStr">
        <is>
          <t>2025-06</t>
        </is>
      </c>
      <c r="F4195" s="6" t="n"/>
      <c r="G4195" s="6" t="inlineStr">
        <is>
          <t>EXPORTACAO</t>
        </is>
      </c>
      <c r="H4195" s="6" t="inlineStr">
        <is>
          <t>AUTO_OFERTA_TOTAL_PRODUTO_PERIODO</t>
        </is>
      </c>
      <c r="I4195" s="11">
        <f>IF($H4195="AUTO_OFERTA_TOTAL_PRODUTO_PERIODO",SUMIFS(Oferta!$F:$F,Oferta!$A:$A,$A4195,Oferta!$E:$E,$E4195),$F4195)</f>
        <v/>
      </c>
      <c r="J4195" s="6" t="inlineStr">
        <is>
          <t>Derivado_da_Oferta</t>
        </is>
      </c>
      <c r="K4195" s="6" t="inlineStr">
        <is>
          <t>Mercado externo: limite superior calculado automaticamente pela soma da oferta do produto no período.</t>
        </is>
      </c>
    </row>
    <row r="4196">
      <c r="A4196" s="6" t="inlineStr">
        <is>
          <t>Soja</t>
        </is>
      </c>
      <c r="B4196" s="6" t="inlineStr">
        <is>
          <t>Itaituba - PA</t>
        </is>
      </c>
      <c r="C4196" s="6" t="n">
        <v>-4.2667</v>
      </c>
      <c r="D4196" s="6" t="n">
        <v>-55.9926</v>
      </c>
      <c r="E4196" s="6" t="inlineStr">
        <is>
          <t>2025-07</t>
        </is>
      </c>
      <c r="F4196" s="6" t="n"/>
      <c r="G4196" s="6" t="inlineStr">
        <is>
          <t>EXPORTACAO</t>
        </is>
      </c>
      <c r="H4196" s="6" t="inlineStr">
        <is>
          <t>AUTO_OFERTA_TOTAL_PRODUTO_PERIODO</t>
        </is>
      </c>
      <c r="I4196" s="11">
        <f>IF($H4196="AUTO_OFERTA_TOTAL_PRODUTO_PERIODO",SUMIFS(Oferta!$F:$F,Oferta!$A:$A,$A4196,Oferta!$E:$E,$E4196),$F4196)</f>
        <v/>
      </c>
      <c r="J4196" s="6" t="inlineStr">
        <is>
          <t>Derivado_da_Oferta</t>
        </is>
      </c>
      <c r="K4196" s="6" t="inlineStr">
        <is>
          <t>Mercado externo: limite superior calculado automaticamente pela soma da oferta do produto no período.</t>
        </is>
      </c>
    </row>
    <row r="4197">
      <c r="A4197" s="6" t="inlineStr">
        <is>
          <t>Soja</t>
        </is>
      </c>
      <c r="B4197" s="6" t="inlineStr">
        <is>
          <t>Itaituba - PA</t>
        </is>
      </c>
      <c r="C4197" s="6" t="n">
        <v>-4.2667</v>
      </c>
      <c r="D4197" s="6" t="n">
        <v>-55.9926</v>
      </c>
      <c r="E4197" s="6" t="inlineStr">
        <is>
          <t>2025-08</t>
        </is>
      </c>
      <c r="F4197" s="6" t="n"/>
      <c r="G4197" s="6" t="inlineStr">
        <is>
          <t>EXPORTACAO</t>
        </is>
      </c>
      <c r="H4197" s="6" t="inlineStr">
        <is>
          <t>AUTO_OFERTA_TOTAL_PRODUTO_PERIODO</t>
        </is>
      </c>
      <c r="I4197" s="11">
        <f>IF($H4197="AUTO_OFERTA_TOTAL_PRODUTO_PERIODO",SUMIFS(Oferta!$F:$F,Oferta!$A:$A,$A4197,Oferta!$E:$E,$E4197),$F4197)</f>
        <v/>
      </c>
      <c r="J4197" s="6" t="inlineStr">
        <is>
          <t>Derivado_da_Oferta</t>
        </is>
      </c>
      <c r="K4197" s="6" t="inlineStr">
        <is>
          <t>Mercado externo: limite superior calculado automaticamente pela soma da oferta do produto no período.</t>
        </is>
      </c>
    </row>
    <row r="4198">
      <c r="A4198" s="6" t="inlineStr">
        <is>
          <t>Soja</t>
        </is>
      </c>
      <c r="B4198" s="6" t="inlineStr">
        <is>
          <t>Itaituba - PA</t>
        </is>
      </c>
      <c r="C4198" s="6" t="n">
        <v>-4.2667</v>
      </c>
      <c r="D4198" s="6" t="n">
        <v>-55.9926</v>
      </c>
      <c r="E4198" s="6" t="inlineStr">
        <is>
          <t>2025-09</t>
        </is>
      </c>
      <c r="F4198" s="6" t="n"/>
      <c r="G4198" s="6" t="inlineStr">
        <is>
          <t>EXPORTACAO</t>
        </is>
      </c>
      <c r="H4198" s="6" t="inlineStr">
        <is>
          <t>AUTO_OFERTA_TOTAL_PRODUTO_PERIODO</t>
        </is>
      </c>
      <c r="I4198" s="11">
        <f>IF($H4198="AUTO_OFERTA_TOTAL_PRODUTO_PERIODO",SUMIFS(Oferta!$F:$F,Oferta!$A:$A,$A4198,Oferta!$E:$E,$E4198),$F4198)</f>
        <v/>
      </c>
      <c r="J4198" s="6" t="inlineStr">
        <is>
          <t>Derivado_da_Oferta</t>
        </is>
      </c>
      <c r="K4198" s="6" t="inlineStr">
        <is>
          <t>Mercado externo: limite superior calculado automaticamente pela soma da oferta do produto no período.</t>
        </is>
      </c>
    </row>
    <row r="4199">
      <c r="A4199" s="6" t="inlineStr">
        <is>
          <t>Soja</t>
        </is>
      </c>
      <c r="B4199" s="6" t="inlineStr">
        <is>
          <t>Itaituba - PA</t>
        </is>
      </c>
      <c r="C4199" s="6" t="n">
        <v>-4.2667</v>
      </c>
      <c r="D4199" s="6" t="n">
        <v>-55.9926</v>
      </c>
      <c r="E4199" s="6" t="inlineStr">
        <is>
          <t>2025-10</t>
        </is>
      </c>
      <c r="F4199" s="6" t="n"/>
      <c r="G4199" s="6" t="inlineStr">
        <is>
          <t>EXPORTACAO</t>
        </is>
      </c>
      <c r="H4199" s="6" t="inlineStr">
        <is>
          <t>AUTO_OFERTA_TOTAL_PRODUTO_PERIODO</t>
        </is>
      </c>
      <c r="I4199" s="11">
        <f>IF($H4199="AUTO_OFERTA_TOTAL_PRODUTO_PERIODO",SUMIFS(Oferta!$F:$F,Oferta!$A:$A,$A4199,Oferta!$E:$E,$E4199),$F4199)</f>
        <v/>
      </c>
      <c r="J4199" s="6" t="inlineStr">
        <is>
          <t>Derivado_da_Oferta</t>
        </is>
      </c>
      <c r="K4199" s="6" t="inlineStr">
        <is>
          <t>Mercado externo: limite superior calculado automaticamente pela soma da oferta do produto no período.</t>
        </is>
      </c>
    </row>
    <row r="4200">
      <c r="A4200" s="6" t="inlineStr">
        <is>
          <t>Soja</t>
        </is>
      </c>
      <c r="B4200" s="6" t="inlineStr">
        <is>
          <t>Itaituba - PA</t>
        </is>
      </c>
      <c r="C4200" s="6" t="n">
        <v>-4.2667</v>
      </c>
      <c r="D4200" s="6" t="n">
        <v>-55.9926</v>
      </c>
      <c r="E4200" s="6" t="inlineStr">
        <is>
          <t>2025-11</t>
        </is>
      </c>
      <c r="F4200" s="6" t="n"/>
      <c r="G4200" s="6" t="inlineStr">
        <is>
          <t>EXPORTACAO</t>
        </is>
      </c>
      <c r="H4200" s="6" t="inlineStr">
        <is>
          <t>AUTO_OFERTA_TOTAL_PRODUTO_PERIODO</t>
        </is>
      </c>
      <c r="I4200" s="11">
        <f>IF($H4200="AUTO_OFERTA_TOTAL_PRODUTO_PERIODO",SUMIFS(Oferta!$F:$F,Oferta!$A:$A,$A4200,Oferta!$E:$E,$E4200),$F4200)</f>
        <v/>
      </c>
      <c r="J4200" s="6" t="inlineStr">
        <is>
          <t>Derivado_da_Oferta</t>
        </is>
      </c>
      <c r="K4200" s="6" t="inlineStr">
        <is>
          <t>Mercado externo: limite superior calculado automaticamente pela soma da oferta do produto no período.</t>
        </is>
      </c>
    </row>
    <row r="4201">
      <c r="A4201" s="6" t="inlineStr">
        <is>
          <t>Soja</t>
        </is>
      </c>
      <c r="B4201" s="6" t="inlineStr">
        <is>
          <t>Itaituba - PA</t>
        </is>
      </c>
      <c r="C4201" s="6" t="n">
        <v>-4.2667</v>
      </c>
      <c r="D4201" s="6" t="n">
        <v>-55.9926</v>
      </c>
      <c r="E4201" s="6" t="inlineStr">
        <is>
          <t>2025-12</t>
        </is>
      </c>
      <c r="F4201" s="6" t="n"/>
      <c r="G4201" s="6" t="inlineStr">
        <is>
          <t>EXPORTACAO</t>
        </is>
      </c>
      <c r="H4201" s="6" t="inlineStr">
        <is>
          <t>AUTO_OFERTA_TOTAL_PRODUTO_PERIODO</t>
        </is>
      </c>
      <c r="I4201" s="11">
        <f>IF($H4201="AUTO_OFERTA_TOTAL_PRODUTO_PERIODO",SUMIFS(Oferta!$F:$F,Oferta!$A:$A,$A4201,Oferta!$E:$E,$E4201),$F4201)</f>
        <v/>
      </c>
      <c r="J4201" s="6" t="inlineStr">
        <is>
          <t>Derivado_da_Oferta</t>
        </is>
      </c>
      <c r="K4201" s="6" t="inlineStr">
        <is>
          <t>Mercado externo: limite superior calculado automaticamente pela soma da oferta do produto no período.</t>
        </is>
      </c>
    </row>
    <row r="4202">
      <c r="A4202" s="6" t="inlineStr">
        <is>
          <t>Milho</t>
        </is>
      </c>
      <c r="B4202" s="6" t="inlineStr">
        <is>
          <t>Rio Grande - RS</t>
        </is>
      </c>
      <c r="C4202" s="6" t="n">
        <v>-32.0349</v>
      </c>
      <c r="D4202" s="6" t="n">
        <v>-52.1071</v>
      </c>
      <c r="E4202" s="6" t="inlineStr">
        <is>
          <t>2021-01</t>
        </is>
      </c>
      <c r="F4202" s="6" t="n"/>
      <c r="G4202" s="6" t="inlineStr">
        <is>
          <t>EXPORTACAO</t>
        </is>
      </c>
      <c r="H4202" s="6" t="inlineStr">
        <is>
          <t>AUTO_OFERTA_TOTAL_PRODUTO_PERIODO</t>
        </is>
      </c>
      <c r="I4202" s="11">
        <f>IF($H4202="AUTO_OFERTA_TOTAL_PRODUTO_PERIODO",SUMIFS(Oferta!$F:$F,Oferta!$A:$A,$A4202,Oferta!$E:$E,$E4202),$F4202)</f>
        <v/>
      </c>
      <c r="J4202" s="6" t="inlineStr">
        <is>
          <t>Derivado_da_Oferta</t>
        </is>
      </c>
      <c r="K4202" s="6" t="inlineStr">
        <is>
          <t>Mercado externo: limite superior calculado automaticamente pela soma da oferta do produto no período.</t>
        </is>
      </c>
    </row>
    <row r="4203">
      <c r="A4203" s="6" t="inlineStr">
        <is>
          <t>Milho</t>
        </is>
      </c>
      <c r="B4203" s="6" t="inlineStr">
        <is>
          <t>Rio Grande - RS</t>
        </is>
      </c>
      <c r="C4203" s="6" t="n">
        <v>-32.0349</v>
      </c>
      <c r="D4203" s="6" t="n">
        <v>-52.1071</v>
      </c>
      <c r="E4203" s="6" t="inlineStr">
        <is>
          <t>2021-02</t>
        </is>
      </c>
      <c r="F4203" s="6" t="n"/>
      <c r="G4203" s="6" t="inlineStr">
        <is>
          <t>EXPORTACAO</t>
        </is>
      </c>
      <c r="H4203" s="6" t="inlineStr">
        <is>
          <t>AUTO_OFERTA_TOTAL_PRODUTO_PERIODO</t>
        </is>
      </c>
      <c r="I4203" s="11">
        <f>IF($H4203="AUTO_OFERTA_TOTAL_PRODUTO_PERIODO",SUMIFS(Oferta!$F:$F,Oferta!$A:$A,$A4203,Oferta!$E:$E,$E4203),$F4203)</f>
        <v/>
      </c>
      <c r="J4203" s="6" t="inlineStr">
        <is>
          <t>Derivado_da_Oferta</t>
        </is>
      </c>
      <c r="K4203" s="6" t="inlineStr">
        <is>
          <t>Mercado externo: limite superior calculado automaticamente pela soma da oferta do produto no período.</t>
        </is>
      </c>
    </row>
    <row r="4204">
      <c r="A4204" s="6" t="inlineStr">
        <is>
          <t>Milho</t>
        </is>
      </c>
      <c r="B4204" s="6" t="inlineStr">
        <is>
          <t>Rio Grande - RS</t>
        </is>
      </c>
      <c r="C4204" s="6" t="n">
        <v>-32.0349</v>
      </c>
      <c r="D4204" s="6" t="n">
        <v>-52.1071</v>
      </c>
      <c r="E4204" s="6" t="inlineStr">
        <is>
          <t>2021-03</t>
        </is>
      </c>
      <c r="F4204" s="6" t="n"/>
      <c r="G4204" s="6" t="inlineStr">
        <is>
          <t>EXPORTACAO</t>
        </is>
      </c>
      <c r="H4204" s="6" t="inlineStr">
        <is>
          <t>AUTO_OFERTA_TOTAL_PRODUTO_PERIODO</t>
        </is>
      </c>
      <c r="I4204" s="11">
        <f>IF($H4204="AUTO_OFERTA_TOTAL_PRODUTO_PERIODO",SUMIFS(Oferta!$F:$F,Oferta!$A:$A,$A4204,Oferta!$E:$E,$E4204),$F4204)</f>
        <v/>
      </c>
      <c r="J4204" s="6" t="inlineStr">
        <is>
          <t>Derivado_da_Oferta</t>
        </is>
      </c>
      <c r="K4204" s="6" t="inlineStr">
        <is>
          <t>Mercado externo: limite superior calculado automaticamente pela soma da oferta do produto no período.</t>
        </is>
      </c>
    </row>
    <row r="4205">
      <c r="A4205" s="6" t="inlineStr">
        <is>
          <t>Milho</t>
        </is>
      </c>
      <c r="B4205" s="6" t="inlineStr">
        <is>
          <t>Rio Grande - RS</t>
        </is>
      </c>
      <c r="C4205" s="6" t="n">
        <v>-32.0349</v>
      </c>
      <c r="D4205" s="6" t="n">
        <v>-52.1071</v>
      </c>
      <c r="E4205" s="6" t="inlineStr">
        <is>
          <t>2021-04</t>
        </is>
      </c>
      <c r="F4205" s="6" t="n"/>
      <c r="G4205" s="6" t="inlineStr">
        <is>
          <t>EXPORTACAO</t>
        </is>
      </c>
      <c r="H4205" s="6" t="inlineStr">
        <is>
          <t>AUTO_OFERTA_TOTAL_PRODUTO_PERIODO</t>
        </is>
      </c>
      <c r="I4205" s="11">
        <f>IF($H4205="AUTO_OFERTA_TOTAL_PRODUTO_PERIODO",SUMIFS(Oferta!$F:$F,Oferta!$A:$A,$A4205,Oferta!$E:$E,$E4205),$F4205)</f>
        <v/>
      </c>
      <c r="J4205" s="6" t="inlineStr">
        <is>
          <t>Derivado_da_Oferta</t>
        </is>
      </c>
      <c r="K4205" s="6" t="inlineStr">
        <is>
          <t>Mercado externo: limite superior calculado automaticamente pela soma da oferta do produto no período.</t>
        </is>
      </c>
    </row>
    <row r="4206">
      <c r="A4206" s="6" t="inlineStr">
        <is>
          <t>Milho</t>
        </is>
      </c>
      <c r="B4206" s="6" t="inlineStr">
        <is>
          <t>Rio Grande - RS</t>
        </is>
      </c>
      <c r="C4206" s="6" t="n">
        <v>-32.0349</v>
      </c>
      <c r="D4206" s="6" t="n">
        <v>-52.1071</v>
      </c>
      <c r="E4206" s="6" t="inlineStr">
        <is>
          <t>2021-05</t>
        </is>
      </c>
      <c r="F4206" s="6" t="n"/>
      <c r="G4206" s="6" t="inlineStr">
        <is>
          <t>EXPORTACAO</t>
        </is>
      </c>
      <c r="H4206" s="6" t="inlineStr">
        <is>
          <t>AUTO_OFERTA_TOTAL_PRODUTO_PERIODO</t>
        </is>
      </c>
      <c r="I4206" s="11">
        <f>IF($H4206="AUTO_OFERTA_TOTAL_PRODUTO_PERIODO",SUMIFS(Oferta!$F:$F,Oferta!$A:$A,$A4206,Oferta!$E:$E,$E4206),$F4206)</f>
        <v/>
      </c>
      <c r="J4206" s="6" t="inlineStr">
        <is>
          <t>Derivado_da_Oferta</t>
        </is>
      </c>
      <c r="K4206" s="6" t="inlineStr">
        <is>
          <t>Mercado externo: limite superior calculado automaticamente pela soma da oferta do produto no período.</t>
        </is>
      </c>
    </row>
    <row r="4207">
      <c r="A4207" s="6" t="inlineStr">
        <is>
          <t>Milho</t>
        </is>
      </c>
      <c r="B4207" s="6" t="inlineStr">
        <is>
          <t>Rio Grande - RS</t>
        </is>
      </c>
      <c r="C4207" s="6" t="n">
        <v>-32.0349</v>
      </c>
      <c r="D4207" s="6" t="n">
        <v>-52.1071</v>
      </c>
      <c r="E4207" s="6" t="inlineStr">
        <is>
          <t>2021-06</t>
        </is>
      </c>
      <c r="F4207" s="6" t="n"/>
      <c r="G4207" s="6" t="inlineStr">
        <is>
          <t>EXPORTACAO</t>
        </is>
      </c>
      <c r="H4207" s="6" t="inlineStr">
        <is>
          <t>AUTO_OFERTA_TOTAL_PRODUTO_PERIODO</t>
        </is>
      </c>
      <c r="I4207" s="11">
        <f>IF($H4207="AUTO_OFERTA_TOTAL_PRODUTO_PERIODO",SUMIFS(Oferta!$F:$F,Oferta!$A:$A,$A4207,Oferta!$E:$E,$E4207),$F4207)</f>
        <v/>
      </c>
      <c r="J4207" s="6" t="inlineStr">
        <is>
          <t>Derivado_da_Oferta</t>
        </is>
      </c>
      <c r="K4207" s="6" t="inlineStr">
        <is>
          <t>Mercado externo: limite superior calculado automaticamente pela soma da oferta do produto no período.</t>
        </is>
      </c>
    </row>
    <row r="4208">
      <c r="A4208" s="6" t="inlineStr">
        <is>
          <t>Milho</t>
        </is>
      </c>
      <c r="B4208" s="6" t="inlineStr">
        <is>
          <t>Rio Grande - RS</t>
        </is>
      </c>
      <c r="C4208" s="6" t="n">
        <v>-32.0349</v>
      </c>
      <c r="D4208" s="6" t="n">
        <v>-52.1071</v>
      </c>
      <c r="E4208" s="6" t="inlineStr">
        <is>
          <t>2021-07</t>
        </is>
      </c>
      <c r="F4208" s="6" t="n"/>
      <c r="G4208" s="6" t="inlineStr">
        <is>
          <t>EXPORTACAO</t>
        </is>
      </c>
      <c r="H4208" s="6" t="inlineStr">
        <is>
          <t>AUTO_OFERTA_TOTAL_PRODUTO_PERIODO</t>
        </is>
      </c>
      <c r="I4208" s="11">
        <f>IF($H4208="AUTO_OFERTA_TOTAL_PRODUTO_PERIODO",SUMIFS(Oferta!$F:$F,Oferta!$A:$A,$A4208,Oferta!$E:$E,$E4208),$F4208)</f>
        <v/>
      </c>
      <c r="J4208" s="6" t="inlineStr">
        <is>
          <t>Derivado_da_Oferta</t>
        </is>
      </c>
      <c r="K4208" s="6" t="inlineStr">
        <is>
          <t>Mercado externo: limite superior calculado automaticamente pela soma da oferta do produto no período.</t>
        </is>
      </c>
    </row>
    <row r="4209">
      <c r="A4209" s="6" t="inlineStr">
        <is>
          <t>Milho</t>
        </is>
      </c>
      <c r="B4209" s="6" t="inlineStr">
        <is>
          <t>Rio Grande - RS</t>
        </is>
      </c>
      <c r="C4209" s="6" t="n">
        <v>-32.0349</v>
      </c>
      <c r="D4209" s="6" t="n">
        <v>-52.1071</v>
      </c>
      <c r="E4209" s="6" t="inlineStr">
        <is>
          <t>2021-08</t>
        </is>
      </c>
      <c r="F4209" s="6" t="n"/>
      <c r="G4209" s="6" t="inlineStr">
        <is>
          <t>EXPORTACAO</t>
        </is>
      </c>
      <c r="H4209" s="6" t="inlineStr">
        <is>
          <t>AUTO_OFERTA_TOTAL_PRODUTO_PERIODO</t>
        </is>
      </c>
      <c r="I4209" s="11">
        <f>IF($H4209="AUTO_OFERTA_TOTAL_PRODUTO_PERIODO",SUMIFS(Oferta!$F:$F,Oferta!$A:$A,$A4209,Oferta!$E:$E,$E4209),$F4209)</f>
        <v/>
      </c>
      <c r="J4209" s="6" t="inlineStr">
        <is>
          <t>Derivado_da_Oferta</t>
        </is>
      </c>
      <c r="K4209" s="6" t="inlineStr">
        <is>
          <t>Mercado externo: limite superior calculado automaticamente pela soma da oferta do produto no período.</t>
        </is>
      </c>
    </row>
    <row r="4210">
      <c r="A4210" s="6" t="inlineStr">
        <is>
          <t>Milho</t>
        </is>
      </c>
      <c r="B4210" s="6" t="inlineStr">
        <is>
          <t>Rio Grande - RS</t>
        </is>
      </c>
      <c r="C4210" s="6" t="n">
        <v>-32.0349</v>
      </c>
      <c r="D4210" s="6" t="n">
        <v>-52.1071</v>
      </c>
      <c r="E4210" s="6" t="inlineStr">
        <is>
          <t>2021-09</t>
        </is>
      </c>
      <c r="F4210" s="6" t="n"/>
      <c r="G4210" s="6" t="inlineStr">
        <is>
          <t>EXPORTACAO</t>
        </is>
      </c>
      <c r="H4210" s="6" t="inlineStr">
        <is>
          <t>AUTO_OFERTA_TOTAL_PRODUTO_PERIODO</t>
        </is>
      </c>
      <c r="I4210" s="11">
        <f>IF($H4210="AUTO_OFERTA_TOTAL_PRODUTO_PERIODO",SUMIFS(Oferta!$F:$F,Oferta!$A:$A,$A4210,Oferta!$E:$E,$E4210),$F4210)</f>
        <v/>
      </c>
      <c r="J4210" s="6" t="inlineStr">
        <is>
          <t>Derivado_da_Oferta</t>
        </is>
      </c>
      <c r="K4210" s="6" t="inlineStr">
        <is>
          <t>Mercado externo: limite superior calculado automaticamente pela soma da oferta do produto no período.</t>
        </is>
      </c>
    </row>
    <row r="4211">
      <c r="A4211" s="6" t="inlineStr">
        <is>
          <t>Milho</t>
        </is>
      </c>
      <c r="B4211" s="6" t="inlineStr">
        <is>
          <t>Rio Grande - RS</t>
        </is>
      </c>
      <c r="C4211" s="6" t="n">
        <v>-32.0349</v>
      </c>
      <c r="D4211" s="6" t="n">
        <v>-52.1071</v>
      </c>
      <c r="E4211" s="6" t="inlineStr">
        <is>
          <t>2021-10</t>
        </is>
      </c>
      <c r="F4211" s="6" t="n"/>
      <c r="G4211" s="6" t="inlineStr">
        <is>
          <t>EXPORTACAO</t>
        </is>
      </c>
      <c r="H4211" s="6" t="inlineStr">
        <is>
          <t>AUTO_OFERTA_TOTAL_PRODUTO_PERIODO</t>
        </is>
      </c>
      <c r="I4211" s="11">
        <f>IF($H4211="AUTO_OFERTA_TOTAL_PRODUTO_PERIODO",SUMIFS(Oferta!$F:$F,Oferta!$A:$A,$A4211,Oferta!$E:$E,$E4211),$F4211)</f>
        <v/>
      </c>
      <c r="J4211" s="6" t="inlineStr">
        <is>
          <t>Derivado_da_Oferta</t>
        </is>
      </c>
      <c r="K4211" s="6" t="inlineStr">
        <is>
          <t>Mercado externo: limite superior calculado automaticamente pela soma da oferta do produto no período.</t>
        </is>
      </c>
    </row>
    <row r="4212">
      <c r="A4212" s="6" t="inlineStr">
        <is>
          <t>Milho</t>
        </is>
      </c>
      <c r="B4212" s="6" t="inlineStr">
        <is>
          <t>Rio Grande - RS</t>
        </is>
      </c>
      <c r="C4212" s="6" t="n">
        <v>-32.0349</v>
      </c>
      <c r="D4212" s="6" t="n">
        <v>-52.1071</v>
      </c>
      <c r="E4212" s="6" t="inlineStr">
        <is>
          <t>2021-11</t>
        </is>
      </c>
      <c r="F4212" s="6" t="n"/>
      <c r="G4212" s="6" t="inlineStr">
        <is>
          <t>EXPORTACAO</t>
        </is>
      </c>
      <c r="H4212" s="6" t="inlineStr">
        <is>
          <t>AUTO_OFERTA_TOTAL_PRODUTO_PERIODO</t>
        </is>
      </c>
      <c r="I4212" s="11">
        <f>IF($H4212="AUTO_OFERTA_TOTAL_PRODUTO_PERIODO",SUMIFS(Oferta!$F:$F,Oferta!$A:$A,$A4212,Oferta!$E:$E,$E4212),$F4212)</f>
        <v/>
      </c>
      <c r="J4212" s="6" t="inlineStr">
        <is>
          <t>Derivado_da_Oferta</t>
        </is>
      </c>
      <c r="K4212" s="6" t="inlineStr">
        <is>
          <t>Mercado externo: limite superior calculado automaticamente pela soma da oferta do produto no período.</t>
        </is>
      </c>
    </row>
    <row r="4213">
      <c r="A4213" s="6" t="inlineStr">
        <is>
          <t>Milho</t>
        </is>
      </c>
      <c r="B4213" s="6" t="inlineStr">
        <is>
          <t>Rio Grande - RS</t>
        </is>
      </c>
      <c r="C4213" s="6" t="n">
        <v>-32.0349</v>
      </c>
      <c r="D4213" s="6" t="n">
        <v>-52.1071</v>
      </c>
      <c r="E4213" s="6" t="inlineStr">
        <is>
          <t>2021-12</t>
        </is>
      </c>
      <c r="F4213" s="6" t="n"/>
      <c r="G4213" s="6" t="inlineStr">
        <is>
          <t>EXPORTACAO</t>
        </is>
      </c>
      <c r="H4213" s="6" t="inlineStr">
        <is>
          <t>AUTO_OFERTA_TOTAL_PRODUTO_PERIODO</t>
        </is>
      </c>
      <c r="I4213" s="11">
        <f>IF($H4213="AUTO_OFERTA_TOTAL_PRODUTO_PERIODO",SUMIFS(Oferta!$F:$F,Oferta!$A:$A,$A4213,Oferta!$E:$E,$E4213),$F4213)</f>
        <v/>
      </c>
      <c r="J4213" s="6" t="inlineStr">
        <is>
          <t>Derivado_da_Oferta</t>
        </is>
      </c>
      <c r="K4213" s="6" t="inlineStr">
        <is>
          <t>Mercado externo: limite superior calculado automaticamente pela soma da oferta do produto no período.</t>
        </is>
      </c>
    </row>
    <row r="4214">
      <c r="A4214" s="6" t="inlineStr">
        <is>
          <t>Milho</t>
        </is>
      </c>
      <c r="B4214" s="6" t="inlineStr">
        <is>
          <t>Rio Grande - RS</t>
        </is>
      </c>
      <c r="C4214" s="6" t="n">
        <v>-32.0349</v>
      </c>
      <c r="D4214" s="6" t="n">
        <v>-52.1071</v>
      </c>
      <c r="E4214" s="6" t="inlineStr">
        <is>
          <t>2022-01</t>
        </is>
      </c>
      <c r="F4214" s="6" t="n"/>
      <c r="G4214" s="6" t="inlineStr">
        <is>
          <t>EXPORTACAO</t>
        </is>
      </c>
      <c r="H4214" s="6" t="inlineStr">
        <is>
          <t>AUTO_OFERTA_TOTAL_PRODUTO_PERIODO</t>
        </is>
      </c>
      <c r="I4214" s="11">
        <f>IF($H4214="AUTO_OFERTA_TOTAL_PRODUTO_PERIODO",SUMIFS(Oferta!$F:$F,Oferta!$A:$A,$A4214,Oferta!$E:$E,$E4214),$F4214)</f>
        <v/>
      </c>
      <c r="J4214" s="6" t="inlineStr">
        <is>
          <t>Derivado_da_Oferta</t>
        </is>
      </c>
      <c r="K4214" s="6" t="inlineStr">
        <is>
          <t>Mercado externo: limite superior calculado automaticamente pela soma da oferta do produto no período.</t>
        </is>
      </c>
    </row>
    <row r="4215">
      <c r="A4215" s="6" t="inlineStr">
        <is>
          <t>Milho</t>
        </is>
      </c>
      <c r="B4215" s="6" t="inlineStr">
        <is>
          <t>Rio Grande - RS</t>
        </is>
      </c>
      <c r="C4215" s="6" t="n">
        <v>-32.0349</v>
      </c>
      <c r="D4215" s="6" t="n">
        <v>-52.1071</v>
      </c>
      <c r="E4215" s="6" t="inlineStr">
        <is>
          <t>2022-02</t>
        </is>
      </c>
      <c r="F4215" s="6" t="n"/>
      <c r="G4215" s="6" t="inlineStr">
        <is>
          <t>EXPORTACAO</t>
        </is>
      </c>
      <c r="H4215" s="6" t="inlineStr">
        <is>
          <t>AUTO_OFERTA_TOTAL_PRODUTO_PERIODO</t>
        </is>
      </c>
      <c r="I4215" s="11">
        <f>IF($H4215="AUTO_OFERTA_TOTAL_PRODUTO_PERIODO",SUMIFS(Oferta!$F:$F,Oferta!$A:$A,$A4215,Oferta!$E:$E,$E4215),$F4215)</f>
        <v/>
      </c>
      <c r="J4215" s="6" t="inlineStr">
        <is>
          <t>Derivado_da_Oferta</t>
        </is>
      </c>
      <c r="K4215" s="6" t="inlineStr">
        <is>
          <t>Mercado externo: limite superior calculado automaticamente pela soma da oferta do produto no período.</t>
        </is>
      </c>
    </row>
    <row r="4216">
      <c r="A4216" s="6" t="inlineStr">
        <is>
          <t>Milho</t>
        </is>
      </c>
      <c r="B4216" s="6" t="inlineStr">
        <is>
          <t>Rio Grande - RS</t>
        </is>
      </c>
      <c r="C4216" s="6" t="n">
        <v>-32.0349</v>
      </c>
      <c r="D4216" s="6" t="n">
        <v>-52.1071</v>
      </c>
      <c r="E4216" s="6" t="inlineStr">
        <is>
          <t>2022-03</t>
        </is>
      </c>
      <c r="F4216" s="6" t="n"/>
      <c r="G4216" s="6" t="inlineStr">
        <is>
          <t>EXPORTACAO</t>
        </is>
      </c>
      <c r="H4216" s="6" t="inlineStr">
        <is>
          <t>AUTO_OFERTA_TOTAL_PRODUTO_PERIODO</t>
        </is>
      </c>
      <c r="I4216" s="11">
        <f>IF($H4216="AUTO_OFERTA_TOTAL_PRODUTO_PERIODO",SUMIFS(Oferta!$F:$F,Oferta!$A:$A,$A4216,Oferta!$E:$E,$E4216),$F4216)</f>
        <v/>
      </c>
      <c r="J4216" s="6" t="inlineStr">
        <is>
          <t>Derivado_da_Oferta</t>
        </is>
      </c>
      <c r="K4216" s="6" t="inlineStr">
        <is>
          <t>Mercado externo: limite superior calculado automaticamente pela soma da oferta do produto no período.</t>
        </is>
      </c>
    </row>
    <row r="4217">
      <c r="A4217" s="6" t="inlineStr">
        <is>
          <t>Milho</t>
        </is>
      </c>
      <c r="B4217" s="6" t="inlineStr">
        <is>
          <t>Rio Grande - RS</t>
        </is>
      </c>
      <c r="C4217" s="6" t="n">
        <v>-32.0349</v>
      </c>
      <c r="D4217" s="6" t="n">
        <v>-52.1071</v>
      </c>
      <c r="E4217" s="6" t="inlineStr">
        <is>
          <t>2022-04</t>
        </is>
      </c>
      <c r="F4217" s="6" t="n"/>
      <c r="G4217" s="6" t="inlineStr">
        <is>
          <t>EXPORTACAO</t>
        </is>
      </c>
      <c r="H4217" s="6" t="inlineStr">
        <is>
          <t>AUTO_OFERTA_TOTAL_PRODUTO_PERIODO</t>
        </is>
      </c>
      <c r="I4217" s="11">
        <f>IF($H4217="AUTO_OFERTA_TOTAL_PRODUTO_PERIODO",SUMIFS(Oferta!$F:$F,Oferta!$A:$A,$A4217,Oferta!$E:$E,$E4217),$F4217)</f>
        <v/>
      </c>
      <c r="J4217" s="6" t="inlineStr">
        <is>
          <t>Derivado_da_Oferta</t>
        </is>
      </c>
      <c r="K4217" s="6" t="inlineStr">
        <is>
          <t>Mercado externo: limite superior calculado automaticamente pela soma da oferta do produto no período.</t>
        </is>
      </c>
    </row>
    <row r="4218">
      <c r="A4218" s="6" t="inlineStr">
        <is>
          <t>Milho</t>
        </is>
      </c>
      <c r="B4218" s="6" t="inlineStr">
        <is>
          <t>Rio Grande - RS</t>
        </is>
      </c>
      <c r="C4218" s="6" t="n">
        <v>-32.0349</v>
      </c>
      <c r="D4218" s="6" t="n">
        <v>-52.1071</v>
      </c>
      <c r="E4218" s="6" t="inlineStr">
        <is>
          <t>2022-05</t>
        </is>
      </c>
      <c r="F4218" s="6" t="n"/>
      <c r="G4218" s="6" t="inlineStr">
        <is>
          <t>EXPORTACAO</t>
        </is>
      </c>
      <c r="H4218" s="6" t="inlineStr">
        <is>
          <t>AUTO_OFERTA_TOTAL_PRODUTO_PERIODO</t>
        </is>
      </c>
      <c r="I4218" s="11">
        <f>IF($H4218="AUTO_OFERTA_TOTAL_PRODUTO_PERIODO",SUMIFS(Oferta!$F:$F,Oferta!$A:$A,$A4218,Oferta!$E:$E,$E4218),$F4218)</f>
        <v/>
      </c>
      <c r="J4218" s="6" t="inlineStr">
        <is>
          <t>Derivado_da_Oferta</t>
        </is>
      </c>
      <c r="K4218" s="6" t="inlineStr">
        <is>
          <t>Mercado externo: limite superior calculado automaticamente pela soma da oferta do produto no período.</t>
        </is>
      </c>
    </row>
    <row r="4219">
      <c r="A4219" s="6" t="inlineStr">
        <is>
          <t>Milho</t>
        </is>
      </c>
      <c r="B4219" s="6" t="inlineStr">
        <is>
          <t>Rio Grande - RS</t>
        </is>
      </c>
      <c r="C4219" s="6" t="n">
        <v>-32.0349</v>
      </c>
      <c r="D4219" s="6" t="n">
        <v>-52.1071</v>
      </c>
      <c r="E4219" s="6" t="inlineStr">
        <is>
          <t>2022-06</t>
        </is>
      </c>
      <c r="F4219" s="6" t="n"/>
      <c r="G4219" s="6" t="inlineStr">
        <is>
          <t>EXPORTACAO</t>
        </is>
      </c>
      <c r="H4219" s="6" t="inlineStr">
        <is>
          <t>AUTO_OFERTA_TOTAL_PRODUTO_PERIODO</t>
        </is>
      </c>
      <c r="I4219" s="11">
        <f>IF($H4219="AUTO_OFERTA_TOTAL_PRODUTO_PERIODO",SUMIFS(Oferta!$F:$F,Oferta!$A:$A,$A4219,Oferta!$E:$E,$E4219),$F4219)</f>
        <v/>
      </c>
      <c r="J4219" s="6" t="inlineStr">
        <is>
          <t>Derivado_da_Oferta</t>
        </is>
      </c>
      <c r="K4219" s="6" t="inlineStr">
        <is>
          <t>Mercado externo: limite superior calculado automaticamente pela soma da oferta do produto no período.</t>
        </is>
      </c>
    </row>
    <row r="4220">
      <c r="A4220" s="6" t="inlineStr">
        <is>
          <t>Milho</t>
        </is>
      </c>
      <c r="B4220" s="6" t="inlineStr">
        <is>
          <t>Rio Grande - RS</t>
        </is>
      </c>
      <c r="C4220" s="6" t="n">
        <v>-32.0349</v>
      </c>
      <c r="D4220" s="6" t="n">
        <v>-52.1071</v>
      </c>
      <c r="E4220" s="6" t="inlineStr">
        <is>
          <t>2022-07</t>
        </is>
      </c>
      <c r="F4220" s="6" t="n"/>
      <c r="G4220" s="6" t="inlineStr">
        <is>
          <t>EXPORTACAO</t>
        </is>
      </c>
      <c r="H4220" s="6" t="inlineStr">
        <is>
          <t>AUTO_OFERTA_TOTAL_PRODUTO_PERIODO</t>
        </is>
      </c>
      <c r="I4220" s="11">
        <f>IF($H4220="AUTO_OFERTA_TOTAL_PRODUTO_PERIODO",SUMIFS(Oferta!$F:$F,Oferta!$A:$A,$A4220,Oferta!$E:$E,$E4220),$F4220)</f>
        <v/>
      </c>
      <c r="J4220" s="6" t="inlineStr">
        <is>
          <t>Derivado_da_Oferta</t>
        </is>
      </c>
      <c r="K4220" s="6" t="inlineStr">
        <is>
          <t>Mercado externo: limite superior calculado automaticamente pela soma da oferta do produto no período.</t>
        </is>
      </c>
    </row>
    <row r="4221">
      <c r="A4221" s="6" t="inlineStr">
        <is>
          <t>Milho</t>
        </is>
      </c>
      <c r="B4221" s="6" t="inlineStr">
        <is>
          <t>Rio Grande - RS</t>
        </is>
      </c>
      <c r="C4221" s="6" t="n">
        <v>-32.0349</v>
      </c>
      <c r="D4221" s="6" t="n">
        <v>-52.1071</v>
      </c>
      <c r="E4221" s="6" t="inlineStr">
        <is>
          <t>2022-08</t>
        </is>
      </c>
      <c r="F4221" s="6" t="n"/>
      <c r="G4221" s="6" t="inlineStr">
        <is>
          <t>EXPORTACAO</t>
        </is>
      </c>
      <c r="H4221" s="6" t="inlineStr">
        <is>
          <t>AUTO_OFERTA_TOTAL_PRODUTO_PERIODO</t>
        </is>
      </c>
      <c r="I4221" s="11">
        <f>IF($H4221="AUTO_OFERTA_TOTAL_PRODUTO_PERIODO",SUMIFS(Oferta!$F:$F,Oferta!$A:$A,$A4221,Oferta!$E:$E,$E4221),$F4221)</f>
        <v/>
      </c>
      <c r="J4221" s="6" t="inlineStr">
        <is>
          <t>Derivado_da_Oferta</t>
        </is>
      </c>
      <c r="K4221" s="6" t="inlineStr">
        <is>
          <t>Mercado externo: limite superior calculado automaticamente pela soma da oferta do produto no período.</t>
        </is>
      </c>
    </row>
    <row r="4222">
      <c r="A4222" s="6" t="inlineStr">
        <is>
          <t>Milho</t>
        </is>
      </c>
      <c r="B4222" s="6" t="inlineStr">
        <is>
          <t>Rio Grande - RS</t>
        </is>
      </c>
      <c r="C4222" s="6" t="n">
        <v>-32.0349</v>
      </c>
      <c r="D4222" s="6" t="n">
        <v>-52.1071</v>
      </c>
      <c r="E4222" s="6" t="inlineStr">
        <is>
          <t>2022-09</t>
        </is>
      </c>
      <c r="F4222" s="6" t="n"/>
      <c r="G4222" s="6" t="inlineStr">
        <is>
          <t>EXPORTACAO</t>
        </is>
      </c>
      <c r="H4222" s="6" t="inlineStr">
        <is>
          <t>AUTO_OFERTA_TOTAL_PRODUTO_PERIODO</t>
        </is>
      </c>
      <c r="I4222" s="11">
        <f>IF($H4222="AUTO_OFERTA_TOTAL_PRODUTO_PERIODO",SUMIFS(Oferta!$F:$F,Oferta!$A:$A,$A4222,Oferta!$E:$E,$E4222),$F4222)</f>
        <v/>
      </c>
      <c r="J4222" s="6" t="inlineStr">
        <is>
          <t>Derivado_da_Oferta</t>
        </is>
      </c>
      <c r="K4222" s="6" t="inlineStr">
        <is>
          <t>Mercado externo: limite superior calculado automaticamente pela soma da oferta do produto no período.</t>
        </is>
      </c>
    </row>
    <row r="4223">
      <c r="A4223" s="6" t="inlineStr">
        <is>
          <t>Milho</t>
        </is>
      </c>
      <c r="B4223" s="6" t="inlineStr">
        <is>
          <t>Rio Grande - RS</t>
        </is>
      </c>
      <c r="C4223" s="6" t="n">
        <v>-32.0349</v>
      </c>
      <c r="D4223" s="6" t="n">
        <v>-52.1071</v>
      </c>
      <c r="E4223" s="6" t="inlineStr">
        <is>
          <t>2022-10</t>
        </is>
      </c>
      <c r="F4223" s="6" t="n"/>
      <c r="G4223" s="6" t="inlineStr">
        <is>
          <t>EXPORTACAO</t>
        </is>
      </c>
      <c r="H4223" s="6" t="inlineStr">
        <is>
          <t>AUTO_OFERTA_TOTAL_PRODUTO_PERIODO</t>
        </is>
      </c>
      <c r="I4223" s="11">
        <f>IF($H4223="AUTO_OFERTA_TOTAL_PRODUTO_PERIODO",SUMIFS(Oferta!$F:$F,Oferta!$A:$A,$A4223,Oferta!$E:$E,$E4223),$F4223)</f>
        <v/>
      </c>
      <c r="J4223" s="6" t="inlineStr">
        <is>
          <t>Derivado_da_Oferta</t>
        </is>
      </c>
      <c r="K4223" s="6" t="inlineStr">
        <is>
          <t>Mercado externo: limite superior calculado automaticamente pela soma da oferta do produto no período.</t>
        </is>
      </c>
    </row>
    <row r="4224">
      <c r="A4224" s="6" t="inlineStr">
        <is>
          <t>Milho</t>
        </is>
      </c>
      <c r="B4224" s="6" t="inlineStr">
        <is>
          <t>Rio Grande - RS</t>
        </is>
      </c>
      <c r="C4224" s="6" t="n">
        <v>-32.0349</v>
      </c>
      <c r="D4224" s="6" t="n">
        <v>-52.1071</v>
      </c>
      <c r="E4224" s="6" t="inlineStr">
        <is>
          <t>2022-11</t>
        </is>
      </c>
      <c r="F4224" s="6" t="n"/>
      <c r="G4224" s="6" t="inlineStr">
        <is>
          <t>EXPORTACAO</t>
        </is>
      </c>
      <c r="H4224" s="6" t="inlineStr">
        <is>
          <t>AUTO_OFERTA_TOTAL_PRODUTO_PERIODO</t>
        </is>
      </c>
      <c r="I4224" s="11">
        <f>IF($H4224="AUTO_OFERTA_TOTAL_PRODUTO_PERIODO",SUMIFS(Oferta!$F:$F,Oferta!$A:$A,$A4224,Oferta!$E:$E,$E4224),$F4224)</f>
        <v/>
      </c>
      <c r="J4224" s="6" t="inlineStr">
        <is>
          <t>Derivado_da_Oferta</t>
        </is>
      </c>
      <c r="K4224" s="6" t="inlineStr">
        <is>
          <t>Mercado externo: limite superior calculado automaticamente pela soma da oferta do produto no período.</t>
        </is>
      </c>
    </row>
    <row r="4225">
      <c r="A4225" s="6" t="inlineStr">
        <is>
          <t>Milho</t>
        </is>
      </c>
      <c r="B4225" s="6" t="inlineStr">
        <is>
          <t>Rio Grande - RS</t>
        </is>
      </c>
      <c r="C4225" s="6" t="n">
        <v>-32.0349</v>
      </c>
      <c r="D4225" s="6" t="n">
        <v>-52.1071</v>
      </c>
      <c r="E4225" s="6" t="inlineStr">
        <is>
          <t>2022-12</t>
        </is>
      </c>
      <c r="F4225" s="6" t="n"/>
      <c r="G4225" s="6" t="inlineStr">
        <is>
          <t>EXPORTACAO</t>
        </is>
      </c>
      <c r="H4225" s="6" t="inlineStr">
        <is>
          <t>AUTO_OFERTA_TOTAL_PRODUTO_PERIODO</t>
        </is>
      </c>
      <c r="I4225" s="11">
        <f>IF($H4225="AUTO_OFERTA_TOTAL_PRODUTO_PERIODO",SUMIFS(Oferta!$F:$F,Oferta!$A:$A,$A4225,Oferta!$E:$E,$E4225),$F4225)</f>
        <v/>
      </c>
      <c r="J4225" s="6" t="inlineStr">
        <is>
          <t>Derivado_da_Oferta</t>
        </is>
      </c>
      <c r="K4225" s="6" t="inlineStr">
        <is>
          <t>Mercado externo: limite superior calculado automaticamente pela soma da oferta do produto no período.</t>
        </is>
      </c>
    </row>
    <row r="4226">
      <c r="A4226" s="6" t="inlineStr">
        <is>
          <t>Milho</t>
        </is>
      </c>
      <c r="B4226" s="6" t="inlineStr">
        <is>
          <t>Rio Grande - RS</t>
        </is>
      </c>
      <c r="C4226" s="6" t="n">
        <v>-32.0349</v>
      </c>
      <c r="D4226" s="6" t="n">
        <v>-52.1071</v>
      </c>
      <c r="E4226" s="6" t="inlineStr">
        <is>
          <t>2023-01</t>
        </is>
      </c>
      <c r="F4226" s="6" t="n"/>
      <c r="G4226" s="6" t="inlineStr">
        <is>
          <t>EXPORTACAO</t>
        </is>
      </c>
      <c r="H4226" s="6" t="inlineStr">
        <is>
          <t>AUTO_OFERTA_TOTAL_PRODUTO_PERIODO</t>
        </is>
      </c>
      <c r="I4226" s="11">
        <f>IF($H4226="AUTO_OFERTA_TOTAL_PRODUTO_PERIODO",SUMIFS(Oferta!$F:$F,Oferta!$A:$A,$A4226,Oferta!$E:$E,$E4226),$F4226)</f>
        <v/>
      </c>
      <c r="J4226" s="6" t="inlineStr">
        <is>
          <t>Derivado_da_Oferta</t>
        </is>
      </c>
      <c r="K4226" s="6" t="inlineStr">
        <is>
          <t>Mercado externo: limite superior calculado automaticamente pela soma da oferta do produto no período.</t>
        </is>
      </c>
    </row>
    <row r="4227">
      <c r="A4227" s="6" t="inlineStr">
        <is>
          <t>Milho</t>
        </is>
      </c>
      <c r="B4227" s="6" t="inlineStr">
        <is>
          <t>Rio Grande - RS</t>
        </is>
      </c>
      <c r="C4227" s="6" t="n">
        <v>-32.0349</v>
      </c>
      <c r="D4227" s="6" t="n">
        <v>-52.1071</v>
      </c>
      <c r="E4227" s="6" t="inlineStr">
        <is>
          <t>2023-02</t>
        </is>
      </c>
      <c r="F4227" s="6" t="n"/>
      <c r="G4227" s="6" t="inlineStr">
        <is>
          <t>EXPORTACAO</t>
        </is>
      </c>
      <c r="H4227" s="6" t="inlineStr">
        <is>
          <t>AUTO_OFERTA_TOTAL_PRODUTO_PERIODO</t>
        </is>
      </c>
      <c r="I4227" s="11">
        <f>IF($H4227="AUTO_OFERTA_TOTAL_PRODUTO_PERIODO",SUMIFS(Oferta!$F:$F,Oferta!$A:$A,$A4227,Oferta!$E:$E,$E4227),$F4227)</f>
        <v/>
      </c>
      <c r="J4227" s="6" t="inlineStr">
        <is>
          <t>Derivado_da_Oferta</t>
        </is>
      </c>
      <c r="K4227" s="6" t="inlineStr">
        <is>
          <t>Mercado externo: limite superior calculado automaticamente pela soma da oferta do produto no período.</t>
        </is>
      </c>
    </row>
    <row r="4228">
      <c r="A4228" s="6" t="inlineStr">
        <is>
          <t>Milho</t>
        </is>
      </c>
      <c r="B4228" s="6" t="inlineStr">
        <is>
          <t>Rio Grande - RS</t>
        </is>
      </c>
      <c r="C4228" s="6" t="n">
        <v>-32.0349</v>
      </c>
      <c r="D4228" s="6" t="n">
        <v>-52.1071</v>
      </c>
      <c r="E4228" s="6" t="inlineStr">
        <is>
          <t>2023-03</t>
        </is>
      </c>
      <c r="F4228" s="6" t="n"/>
      <c r="G4228" s="6" t="inlineStr">
        <is>
          <t>EXPORTACAO</t>
        </is>
      </c>
      <c r="H4228" s="6" t="inlineStr">
        <is>
          <t>AUTO_OFERTA_TOTAL_PRODUTO_PERIODO</t>
        </is>
      </c>
      <c r="I4228" s="11">
        <f>IF($H4228="AUTO_OFERTA_TOTAL_PRODUTO_PERIODO",SUMIFS(Oferta!$F:$F,Oferta!$A:$A,$A4228,Oferta!$E:$E,$E4228),$F4228)</f>
        <v/>
      </c>
      <c r="J4228" s="6" t="inlineStr">
        <is>
          <t>Derivado_da_Oferta</t>
        </is>
      </c>
      <c r="K4228" s="6" t="inlineStr">
        <is>
          <t>Mercado externo: limite superior calculado automaticamente pela soma da oferta do produto no período.</t>
        </is>
      </c>
    </row>
    <row r="4229">
      <c r="A4229" s="6" t="inlineStr">
        <is>
          <t>Milho</t>
        </is>
      </c>
      <c r="B4229" s="6" t="inlineStr">
        <is>
          <t>Rio Grande - RS</t>
        </is>
      </c>
      <c r="C4229" s="6" t="n">
        <v>-32.0349</v>
      </c>
      <c r="D4229" s="6" t="n">
        <v>-52.1071</v>
      </c>
      <c r="E4229" s="6" t="inlineStr">
        <is>
          <t>2023-04</t>
        </is>
      </c>
      <c r="F4229" s="6" t="n"/>
      <c r="G4229" s="6" t="inlineStr">
        <is>
          <t>EXPORTACAO</t>
        </is>
      </c>
      <c r="H4229" s="6" t="inlineStr">
        <is>
          <t>AUTO_OFERTA_TOTAL_PRODUTO_PERIODO</t>
        </is>
      </c>
      <c r="I4229" s="11">
        <f>IF($H4229="AUTO_OFERTA_TOTAL_PRODUTO_PERIODO",SUMIFS(Oferta!$F:$F,Oferta!$A:$A,$A4229,Oferta!$E:$E,$E4229),$F4229)</f>
        <v/>
      </c>
      <c r="J4229" s="6" t="inlineStr">
        <is>
          <t>Derivado_da_Oferta</t>
        </is>
      </c>
      <c r="K4229" s="6" t="inlineStr">
        <is>
          <t>Mercado externo: limite superior calculado automaticamente pela soma da oferta do produto no período.</t>
        </is>
      </c>
    </row>
    <row r="4230">
      <c r="A4230" s="6" t="inlineStr">
        <is>
          <t>Milho</t>
        </is>
      </c>
      <c r="B4230" s="6" t="inlineStr">
        <is>
          <t>Rio Grande - RS</t>
        </is>
      </c>
      <c r="C4230" s="6" t="n">
        <v>-32.0349</v>
      </c>
      <c r="D4230" s="6" t="n">
        <v>-52.1071</v>
      </c>
      <c r="E4230" s="6" t="inlineStr">
        <is>
          <t>2023-05</t>
        </is>
      </c>
      <c r="F4230" s="6" t="n"/>
      <c r="G4230" s="6" t="inlineStr">
        <is>
          <t>EXPORTACAO</t>
        </is>
      </c>
      <c r="H4230" s="6" t="inlineStr">
        <is>
          <t>AUTO_OFERTA_TOTAL_PRODUTO_PERIODO</t>
        </is>
      </c>
      <c r="I4230" s="11">
        <f>IF($H4230="AUTO_OFERTA_TOTAL_PRODUTO_PERIODO",SUMIFS(Oferta!$F:$F,Oferta!$A:$A,$A4230,Oferta!$E:$E,$E4230),$F4230)</f>
        <v/>
      </c>
      <c r="J4230" s="6" t="inlineStr">
        <is>
          <t>Derivado_da_Oferta</t>
        </is>
      </c>
      <c r="K4230" s="6" t="inlineStr">
        <is>
          <t>Mercado externo: limite superior calculado automaticamente pela soma da oferta do produto no período.</t>
        </is>
      </c>
    </row>
    <row r="4231">
      <c r="A4231" s="6" t="inlineStr">
        <is>
          <t>Milho</t>
        </is>
      </c>
      <c r="B4231" s="6" t="inlineStr">
        <is>
          <t>Rio Grande - RS</t>
        </is>
      </c>
      <c r="C4231" s="6" t="n">
        <v>-32.0349</v>
      </c>
      <c r="D4231" s="6" t="n">
        <v>-52.1071</v>
      </c>
      <c r="E4231" s="6" t="inlineStr">
        <is>
          <t>2023-06</t>
        </is>
      </c>
      <c r="F4231" s="6" t="n"/>
      <c r="G4231" s="6" t="inlineStr">
        <is>
          <t>EXPORTACAO</t>
        </is>
      </c>
      <c r="H4231" s="6" t="inlineStr">
        <is>
          <t>AUTO_OFERTA_TOTAL_PRODUTO_PERIODO</t>
        </is>
      </c>
      <c r="I4231" s="11">
        <f>IF($H4231="AUTO_OFERTA_TOTAL_PRODUTO_PERIODO",SUMIFS(Oferta!$F:$F,Oferta!$A:$A,$A4231,Oferta!$E:$E,$E4231),$F4231)</f>
        <v/>
      </c>
      <c r="J4231" s="6" t="inlineStr">
        <is>
          <t>Derivado_da_Oferta</t>
        </is>
      </c>
      <c r="K4231" s="6" t="inlineStr">
        <is>
          <t>Mercado externo: limite superior calculado automaticamente pela soma da oferta do produto no período.</t>
        </is>
      </c>
    </row>
    <row r="4232">
      <c r="A4232" s="6" t="inlineStr">
        <is>
          <t>Milho</t>
        </is>
      </c>
      <c r="B4232" s="6" t="inlineStr">
        <is>
          <t>Rio Grande - RS</t>
        </is>
      </c>
      <c r="C4232" s="6" t="n">
        <v>-32.0349</v>
      </c>
      <c r="D4232" s="6" t="n">
        <v>-52.1071</v>
      </c>
      <c r="E4232" s="6" t="inlineStr">
        <is>
          <t>2023-07</t>
        </is>
      </c>
      <c r="F4232" s="6" t="n"/>
      <c r="G4232" s="6" t="inlineStr">
        <is>
          <t>EXPORTACAO</t>
        </is>
      </c>
      <c r="H4232" s="6" t="inlineStr">
        <is>
          <t>AUTO_OFERTA_TOTAL_PRODUTO_PERIODO</t>
        </is>
      </c>
      <c r="I4232" s="11">
        <f>IF($H4232="AUTO_OFERTA_TOTAL_PRODUTO_PERIODO",SUMIFS(Oferta!$F:$F,Oferta!$A:$A,$A4232,Oferta!$E:$E,$E4232),$F4232)</f>
        <v/>
      </c>
      <c r="J4232" s="6" t="inlineStr">
        <is>
          <t>Derivado_da_Oferta</t>
        </is>
      </c>
      <c r="K4232" s="6" t="inlineStr">
        <is>
          <t>Mercado externo: limite superior calculado automaticamente pela soma da oferta do produto no período.</t>
        </is>
      </c>
    </row>
    <row r="4233">
      <c r="A4233" s="6" t="inlineStr">
        <is>
          <t>Milho</t>
        </is>
      </c>
      <c r="B4233" s="6" t="inlineStr">
        <is>
          <t>Rio Grande - RS</t>
        </is>
      </c>
      <c r="C4233" s="6" t="n">
        <v>-32.0349</v>
      </c>
      <c r="D4233" s="6" t="n">
        <v>-52.1071</v>
      </c>
      <c r="E4233" s="6" t="inlineStr">
        <is>
          <t>2023-08</t>
        </is>
      </c>
      <c r="F4233" s="6" t="n"/>
      <c r="G4233" s="6" t="inlineStr">
        <is>
          <t>EXPORTACAO</t>
        </is>
      </c>
      <c r="H4233" s="6" t="inlineStr">
        <is>
          <t>AUTO_OFERTA_TOTAL_PRODUTO_PERIODO</t>
        </is>
      </c>
      <c r="I4233" s="11">
        <f>IF($H4233="AUTO_OFERTA_TOTAL_PRODUTO_PERIODO",SUMIFS(Oferta!$F:$F,Oferta!$A:$A,$A4233,Oferta!$E:$E,$E4233),$F4233)</f>
        <v/>
      </c>
      <c r="J4233" s="6" t="inlineStr">
        <is>
          <t>Derivado_da_Oferta</t>
        </is>
      </c>
      <c r="K4233" s="6" t="inlineStr">
        <is>
          <t>Mercado externo: limite superior calculado automaticamente pela soma da oferta do produto no período.</t>
        </is>
      </c>
    </row>
    <row r="4234">
      <c r="A4234" s="6" t="inlineStr">
        <is>
          <t>Milho</t>
        </is>
      </c>
      <c r="B4234" s="6" t="inlineStr">
        <is>
          <t>Rio Grande - RS</t>
        </is>
      </c>
      <c r="C4234" s="6" t="n">
        <v>-32.0349</v>
      </c>
      <c r="D4234" s="6" t="n">
        <v>-52.1071</v>
      </c>
      <c r="E4234" s="6" t="inlineStr">
        <is>
          <t>2023-09</t>
        </is>
      </c>
      <c r="F4234" s="6" t="n"/>
      <c r="G4234" s="6" t="inlineStr">
        <is>
          <t>EXPORTACAO</t>
        </is>
      </c>
      <c r="H4234" s="6" t="inlineStr">
        <is>
          <t>AUTO_OFERTA_TOTAL_PRODUTO_PERIODO</t>
        </is>
      </c>
      <c r="I4234" s="11">
        <f>IF($H4234="AUTO_OFERTA_TOTAL_PRODUTO_PERIODO",SUMIFS(Oferta!$F:$F,Oferta!$A:$A,$A4234,Oferta!$E:$E,$E4234),$F4234)</f>
        <v/>
      </c>
      <c r="J4234" s="6" t="inlineStr">
        <is>
          <t>Derivado_da_Oferta</t>
        </is>
      </c>
      <c r="K4234" s="6" t="inlineStr">
        <is>
          <t>Mercado externo: limite superior calculado automaticamente pela soma da oferta do produto no período.</t>
        </is>
      </c>
    </row>
    <row r="4235">
      <c r="A4235" s="6" t="inlineStr">
        <is>
          <t>Milho</t>
        </is>
      </c>
      <c r="B4235" s="6" t="inlineStr">
        <is>
          <t>Rio Grande - RS</t>
        </is>
      </c>
      <c r="C4235" s="6" t="n">
        <v>-32.0349</v>
      </c>
      <c r="D4235" s="6" t="n">
        <v>-52.1071</v>
      </c>
      <c r="E4235" s="6" t="inlineStr">
        <is>
          <t>2023-10</t>
        </is>
      </c>
      <c r="F4235" s="6" t="n"/>
      <c r="G4235" s="6" t="inlineStr">
        <is>
          <t>EXPORTACAO</t>
        </is>
      </c>
      <c r="H4235" s="6" t="inlineStr">
        <is>
          <t>AUTO_OFERTA_TOTAL_PRODUTO_PERIODO</t>
        </is>
      </c>
      <c r="I4235" s="11">
        <f>IF($H4235="AUTO_OFERTA_TOTAL_PRODUTO_PERIODO",SUMIFS(Oferta!$F:$F,Oferta!$A:$A,$A4235,Oferta!$E:$E,$E4235),$F4235)</f>
        <v/>
      </c>
      <c r="J4235" s="6" t="inlineStr">
        <is>
          <t>Derivado_da_Oferta</t>
        </is>
      </c>
      <c r="K4235" s="6" t="inlineStr">
        <is>
          <t>Mercado externo: limite superior calculado automaticamente pela soma da oferta do produto no período.</t>
        </is>
      </c>
    </row>
    <row r="4236">
      <c r="A4236" s="6" t="inlineStr">
        <is>
          <t>Milho</t>
        </is>
      </c>
      <c r="B4236" s="6" t="inlineStr">
        <is>
          <t>Rio Grande - RS</t>
        </is>
      </c>
      <c r="C4236" s="6" t="n">
        <v>-32.0349</v>
      </c>
      <c r="D4236" s="6" t="n">
        <v>-52.1071</v>
      </c>
      <c r="E4236" s="6" t="inlineStr">
        <is>
          <t>2023-11</t>
        </is>
      </c>
      <c r="F4236" s="6" t="n"/>
      <c r="G4236" s="6" t="inlineStr">
        <is>
          <t>EXPORTACAO</t>
        </is>
      </c>
      <c r="H4236" s="6" t="inlineStr">
        <is>
          <t>AUTO_OFERTA_TOTAL_PRODUTO_PERIODO</t>
        </is>
      </c>
      <c r="I4236" s="11">
        <f>IF($H4236="AUTO_OFERTA_TOTAL_PRODUTO_PERIODO",SUMIFS(Oferta!$F:$F,Oferta!$A:$A,$A4236,Oferta!$E:$E,$E4236),$F4236)</f>
        <v/>
      </c>
      <c r="J4236" s="6" t="inlineStr">
        <is>
          <t>Derivado_da_Oferta</t>
        </is>
      </c>
      <c r="K4236" s="6" t="inlineStr">
        <is>
          <t>Mercado externo: limite superior calculado automaticamente pela soma da oferta do produto no período.</t>
        </is>
      </c>
    </row>
    <row r="4237">
      <c r="A4237" s="6" t="inlineStr">
        <is>
          <t>Milho</t>
        </is>
      </c>
      <c r="B4237" s="6" t="inlineStr">
        <is>
          <t>Rio Grande - RS</t>
        </is>
      </c>
      <c r="C4237" s="6" t="n">
        <v>-32.0349</v>
      </c>
      <c r="D4237" s="6" t="n">
        <v>-52.1071</v>
      </c>
      <c r="E4237" s="6" t="inlineStr">
        <is>
          <t>2023-12</t>
        </is>
      </c>
      <c r="F4237" s="6" t="n"/>
      <c r="G4237" s="6" t="inlineStr">
        <is>
          <t>EXPORTACAO</t>
        </is>
      </c>
      <c r="H4237" s="6" t="inlineStr">
        <is>
          <t>AUTO_OFERTA_TOTAL_PRODUTO_PERIODO</t>
        </is>
      </c>
      <c r="I4237" s="11">
        <f>IF($H4237="AUTO_OFERTA_TOTAL_PRODUTO_PERIODO",SUMIFS(Oferta!$F:$F,Oferta!$A:$A,$A4237,Oferta!$E:$E,$E4237),$F4237)</f>
        <v/>
      </c>
      <c r="J4237" s="6" t="inlineStr">
        <is>
          <t>Derivado_da_Oferta</t>
        </is>
      </c>
      <c r="K4237" s="6" t="inlineStr">
        <is>
          <t>Mercado externo: limite superior calculado automaticamente pela soma da oferta do produto no período.</t>
        </is>
      </c>
    </row>
    <row r="4238">
      <c r="A4238" s="6" t="inlineStr">
        <is>
          <t>Milho</t>
        </is>
      </c>
      <c r="B4238" s="6" t="inlineStr">
        <is>
          <t>Rio Grande - RS</t>
        </is>
      </c>
      <c r="C4238" s="6" t="n">
        <v>-32.0349</v>
      </c>
      <c r="D4238" s="6" t="n">
        <v>-52.1071</v>
      </c>
      <c r="E4238" s="6" t="inlineStr">
        <is>
          <t>2024-01</t>
        </is>
      </c>
      <c r="F4238" s="6" t="n"/>
      <c r="G4238" s="6" t="inlineStr">
        <is>
          <t>EXPORTACAO</t>
        </is>
      </c>
      <c r="H4238" s="6" t="inlineStr">
        <is>
          <t>AUTO_OFERTA_TOTAL_PRODUTO_PERIODO</t>
        </is>
      </c>
      <c r="I4238" s="11">
        <f>IF($H4238="AUTO_OFERTA_TOTAL_PRODUTO_PERIODO",SUMIFS(Oferta!$F:$F,Oferta!$A:$A,$A4238,Oferta!$E:$E,$E4238),$F4238)</f>
        <v/>
      </c>
      <c r="J4238" s="6" t="inlineStr">
        <is>
          <t>Derivado_da_Oferta</t>
        </is>
      </c>
      <c r="K4238" s="6" t="inlineStr">
        <is>
          <t>Mercado externo: limite superior calculado automaticamente pela soma da oferta do produto no período.</t>
        </is>
      </c>
    </row>
    <row r="4239">
      <c r="A4239" s="6" t="inlineStr">
        <is>
          <t>Milho</t>
        </is>
      </c>
      <c r="B4239" s="6" t="inlineStr">
        <is>
          <t>Rio Grande - RS</t>
        </is>
      </c>
      <c r="C4239" s="6" t="n">
        <v>-32.0349</v>
      </c>
      <c r="D4239" s="6" t="n">
        <v>-52.1071</v>
      </c>
      <c r="E4239" s="6" t="inlineStr">
        <is>
          <t>2024-02</t>
        </is>
      </c>
      <c r="F4239" s="6" t="n"/>
      <c r="G4239" s="6" t="inlineStr">
        <is>
          <t>EXPORTACAO</t>
        </is>
      </c>
      <c r="H4239" s="6" t="inlineStr">
        <is>
          <t>AUTO_OFERTA_TOTAL_PRODUTO_PERIODO</t>
        </is>
      </c>
      <c r="I4239" s="11">
        <f>IF($H4239="AUTO_OFERTA_TOTAL_PRODUTO_PERIODO",SUMIFS(Oferta!$F:$F,Oferta!$A:$A,$A4239,Oferta!$E:$E,$E4239),$F4239)</f>
        <v/>
      </c>
      <c r="J4239" s="6" t="inlineStr">
        <is>
          <t>Derivado_da_Oferta</t>
        </is>
      </c>
      <c r="K4239" s="6" t="inlineStr">
        <is>
          <t>Mercado externo: limite superior calculado automaticamente pela soma da oferta do produto no período.</t>
        </is>
      </c>
    </row>
    <row r="4240">
      <c r="A4240" s="6" t="inlineStr">
        <is>
          <t>Milho</t>
        </is>
      </c>
      <c r="B4240" s="6" t="inlineStr">
        <is>
          <t>Rio Grande - RS</t>
        </is>
      </c>
      <c r="C4240" s="6" t="n">
        <v>-32.0349</v>
      </c>
      <c r="D4240" s="6" t="n">
        <v>-52.1071</v>
      </c>
      <c r="E4240" s="6" t="inlineStr">
        <is>
          <t>2024-03</t>
        </is>
      </c>
      <c r="F4240" s="6" t="n"/>
      <c r="G4240" s="6" t="inlineStr">
        <is>
          <t>EXPORTACAO</t>
        </is>
      </c>
      <c r="H4240" s="6" t="inlineStr">
        <is>
          <t>AUTO_OFERTA_TOTAL_PRODUTO_PERIODO</t>
        </is>
      </c>
      <c r="I4240" s="11">
        <f>IF($H4240="AUTO_OFERTA_TOTAL_PRODUTO_PERIODO",SUMIFS(Oferta!$F:$F,Oferta!$A:$A,$A4240,Oferta!$E:$E,$E4240),$F4240)</f>
        <v/>
      </c>
      <c r="J4240" s="6" t="inlineStr">
        <is>
          <t>Derivado_da_Oferta</t>
        </is>
      </c>
      <c r="K4240" s="6" t="inlineStr">
        <is>
          <t>Mercado externo: limite superior calculado automaticamente pela soma da oferta do produto no período.</t>
        </is>
      </c>
    </row>
    <row r="4241">
      <c r="A4241" s="6" t="inlineStr">
        <is>
          <t>Milho</t>
        </is>
      </c>
      <c r="B4241" s="6" t="inlineStr">
        <is>
          <t>Rio Grande - RS</t>
        </is>
      </c>
      <c r="C4241" s="6" t="n">
        <v>-32.0349</v>
      </c>
      <c r="D4241" s="6" t="n">
        <v>-52.1071</v>
      </c>
      <c r="E4241" s="6" t="inlineStr">
        <is>
          <t>2024-04</t>
        </is>
      </c>
      <c r="F4241" s="6" t="n"/>
      <c r="G4241" s="6" t="inlineStr">
        <is>
          <t>EXPORTACAO</t>
        </is>
      </c>
      <c r="H4241" s="6" t="inlineStr">
        <is>
          <t>AUTO_OFERTA_TOTAL_PRODUTO_PERIODO</t>
        </is>
      </c>
      <c r="I4241" s="11">
        <f>IF($H4241="AUTO_OFERTA_TOTAL_PRODUTO_PERIODO",SUMIFS(Oferta!$F:$F,Oferta!$A:$A,$A4241,Oferta!$E:$E,$E4241),$F4241)</f>
        <v/>
      </c>
      <c r="J4241" s="6" t="inlineStr">
        <is>
          <t>Derivado_da_Oferta</t>
        </is>
      </c>
      <c r="K4241" s="6" t="inlineStr">
        <is>
          <t>Mercado externo: limite superior calculado automaticamente pela soma da oferta do produto no período.</t>
        </is>
      </c>
    </row>
    <row r="4242">
      <c r="A4242" s="6" t="inlineStr">
        <is>
          <t>Milho</t>
        </is>
      </c>
      <c r="B4242" s="6" t="inlineStr">
        <is>
          <t>Rio Grande - RS</t>
        </is>
      </c>
      <c r="C4242" s="6" t="n">
        <v>-32.0349</v>
      </c>
      <c r="D4242" s="6" t="n">
        <v>-52.1071</v>
      </c>
      <c r="E4242" s="6" t="inlineStr">
        <is>
          <t>2024-05</t>
        </is>
      </c>
      <c r="F4242" s="6" t="n"/>
      <c r="G4242" s="6" t="inlineStr">
        <is>
          <t>EXPORTACAO</t>
        </is>
      </c>
      <c r="H4242" s="6" t="inlineStr">
        <is>
          <t>AUTO_OFERTA_TOTAL_PRODUTO_PERIODO</t>
        </is>
      </c>
      <c r="I4242" s="11">
        <f>IF($H4242="AUTO_OFERTA_TOTAL_PRODUTO_PERIODO",SUMIFS(Oferta!$F:$F,Oferta!$A:$A,$A4242,Oferta!$E:$E,$E4242),$F4242)</f>
        <v/>
      </c>
      <c r="J4242" s="6" t="inlineStr">
        <is>
          <t>Derivado_da_Oferta</t>
        </is>
      </c>
      <c r="K4242" s="6" t="inlineStr">
        <is>
          <t>Mercado externo: limite superior calculado automaticamente pela soma da oferta do produto no período.</t>
        </is>
      </c>
    </row>
    <row r="4243">
      <c r="A4243" s="6" t="inlineStr">
        <is>
          <t>Milho</t>
        </is>
      </c>
      <c r="B4243" s="6" t="inlineStr">
        <is>
          <t>Rio Grande - RS</t>
        </is>
      </c>
      <c r="C4243" s="6" t="n">
        <v>-32.0349</v>
      </c>
      <c r="D4243" s="6" t="n">
        <v>-52.1071</v>
      </c>
      <c r="E4243" s="6" t="inlineStr">
        <is>
          <t>2024-06</t>
        </is>
      </c>
      <c r="F4243" s="6" t="n"/>
      <c r="G4243" s="6" t="inlineStr">
        <is>
          <t>EXPORTACAO</t>
        </is>
      </c>
      <c r="H4243" s="6" t="inlineStr">
        <is>
          <t>AUTO_OFERTA_TOTAL_PRODUTO_PERIODO</t>
        </is>
      </c>
      <c r="I4243" s="11">
        <f>IF($H4243="AUTO_OFERTA_TOTAL_PRODUTO_PERIODO",SUMIFS(Oferta!$F:$F,Oferta!$A:$A,$A4243,Oferta!$E:$E,$E4243),$F4243)</f>
        <v/>
      </c>
      <c r="J4243" s="6" t="inlineStr">
        <is>
          <t>Derivado_da_Oferta</t>
        </is>
      </c>
      <c r="K4243" s="6" t="inlineStr">
        <is>
          <t>Mercado externo: limite superior calculado automaticamente pela soma da oferta do produto no período.</t>
        </is>
      </c>
    </row>
    <row r="4244">
      <c r="A4244" s="6" t="inlineStr">
        <is>
          <t>Milho</t>
        </is>
      </c>
      <c r="B4244" s="6" t="inlineStr">
        <is>
          <t>Rio Grande - RS</t>
        </is>
      </c>
      <c r="C4244" s="6" t="n">
        <v>-32.0349</v>
      </c>
      <c r="D4244" s="6" t="n">
        <v>-52.1071</v>
      </c>
      <c r="E4244" s="6" t="inlineStr">
        <is>
          <t>2024-07</t>
        </is>
      </c>
      <c r="F4244" s="6" t="n"/>
      <c r="G4244" s="6" t="inlineStr">
        <is>
          <t>EXPORTACAO</t>
        </is>
      </c>
      <c r="H4244" s="6" t="inlineStr">
        <is>
          <t>AUTO_OFERTA_TOTAL_PRODUTO_PERIODO</t>
        </is>
      </c>
      <c r="I4244" s="11">
        <f>IF($H4244="AUTO_OFERTA_TOTAL_PRODUTO_PERIODO",SUMIFS(Oferta!$F:$F,Oferta!$A:$A,$A4244,Oferta!$E:$E,$E4244),$F4244)</f>
        <v/>
      </c>
      <c r="J4244" s="6" t="inlineStr">
        <is>
          <t>Derivado_da_Oferta</t>
        </is>
      </c>
      <c r="K4244" s="6" t="inlineStr">
        <is>
          <t>Mercado externo: limite superior calculado automaticamente pela soma da oferta do produto no período.</t>
        </is>
      </c>
    </row>
    <row r="4245">
      <c r="A4245" s="6" t="inlineStr">
        <is>
          <t>Milho</t>
        </is>
      </c>
      <c r="B4245" s="6" t="inlineStr">
        <is>
          <t>Rio Grande - RS</t>
        </is>
      </c>
      <c r="C4245" s="6" t="n">
        <v>-32.0349</v>
      </c>
      <c r="D4245" s="6" t="n">
        <v>-52.1071</v>
      </c>
      <c r="E4245" s="6" t="inlineStr">
        <is>
          <t>2024-08</t>
        </is>
      </c>
      <c r="F4245" s="6" t="n"/>
      <c r="G4245" s="6" t="inlineStr">
        <is>
          <t>EXPORTACAO</t>
        </is>
      </c>
      <c r="H4245" s="6" t="inlineStr">
        <is>
          <t>AUTO_OFERTA_TOTAL_PRODUTO_PERIODO</t>
        </is>
      </c>
      <c r="I4245" s="11">
        <f>IF($H4245="AUTO_OFERTA_TOTAL_PRODUTO_PERIODO",SUMIFS(Oferta!$F:$F,Oferta!$A:$A,$A4245,Oferta!$E:$E,$E4245),$F4245)</f>
        <v/>
      </c>
      <c r="J4245" s="6" t="inlineStr">
        <is>
          <t>Derivado_da_Oferta</t>
        </is>
      </c>
      <c r="K4245" s="6" t="inlineStr">
        <is>
          <t>Mercado externo: limite superior calculado automaticamente pela soma da oferta do produto no período.</t>
        </is>
      </c>
    </row>
    <row r="4246">
      <c r="A4246" s="6" t="inlineStr">
        <is>
          <t>Milho</t>
        </is>
      </c>
      <c r="B4246" s="6" t="inlineStr">
        <is>
          <t>Rio Grande - RS</t>
        </is>
      </c>
      <c r="C4246" s="6" t="n">
        <v>-32.0349</v>
      </c>
      <c r="D4246" s="6" t="n">
        <v>-52.1071</v>
      </c>
      <c r="E4246" s="6" t="inlineStr">
        <is>
          <t>2024-09</t>
        </is>
      </c>
      <c r="F4246" s="6" t="n"/>
      <c r="G4246" s="6" t="inlineStr">
        <is>
          <t>EXPORTACAO</t>
        </is>
      </c>
      <c r="H4246" s="6" t="inlineStr">
        <is>
          <t>AUTO_OFERTA_TOTAL_PRODUTO_PERIODO</t>
        </is>
      </c>
      <c r="I4246" s="11">
        <f>IF($H4246="AUTO_OFERTA_TOTAL_PRODUTO_PERIODO",SUMIFS(Oferta!$F:$F,Oferta!$A:$A,$A4246,Oferta!$E:$E,$E4246),$F4246)</f>
        <v/>
      </c>
      <c r="J4246" s="6" t="inlineStr">
        <is>
          <t>Derivado_da_Oferta</t>
        </is>
      </c>
      <c r="K4246" s="6" t="inlineStr">
        <is>
          <t>Mercado externo: limite superior calculado automaticamente pela soma da oferta do produto no período.</t>
        </is>
      </c>
    </row>
    <row r="4247">
      <c r="A4247" s="6" t="inlineStr">
        <is>
          <t>Milho</t>
        </is>
      </c>
      <c r="B4247" s="6" t="inlineStr">
        <is>
          <t>Rio Grande - RS</t>
        </is>
      </c>
      <c r="C4247" s="6" t="n">
        <v>-32.0349</v>
      </c>
      <c r="D4247" s="6" t="n">
        <v>-52.1071</v>
      </c>
      <c r="E4247" s="6" t="inlineStr">
        <is>
          <t>2024-10</t>
        </is>
      </c>
      <c r="F4247" s="6" t="n"/>
      <c r="G4247" s="6" t="inlineStr">
        <is>
          <t>EXPORTACAO</t>
        </is>
      </c>
      <c r="H4247" s="6" t="inlineStr">
        <is>
          <t>AUTO_OFERTA_TOTAL_PRODUTO_PERIODO</t>
        </is>
      </c>
      <c r="I4247" s="11">
        <f>IF($H4247="AUTO_OFERTA_TOTAL_PRODUTO_PERIODO",SUMIFS(Oferta!$F:$F,Oferta!$A:$A,$A4247,Oferta!$E:$E,$E4247),$F4247)</f>
        <v/>
      </c>
      <c r="J4247" s="6" t="inlineStr">
        <is>
          <t>Derivado_da_Oferta</t>
        </is>
      </c>
      <c r="K4247" s="6" t="inlineStr">
        <is>
          <t>Mercado externo: limite superior calculado automaticamente pela soma da oferta do produto no período.</t>
        </is>
      </c>
    </row>
    <row r="4248">
      <c r="A4248" s="6" t="inlineStr">
        <is>
          <t>Milho</t>
        </is>
      </c>
      <c r="B4248" s="6" t="inlineStr">
        <is>
          <t>Rio Grande - RS</t>
        </is>
      </c>
      <c r="C4248" s="6" t="n">
        <v>-32.0349</v>
      </c>
      <c r="D4248" s="6" t="n">
        <v>-52.1071</v>
      </c>
      <c r="E4248" s="6" t="inlineStr">
        <is>
          <t>2024-11</t>
        </is>
      </c>
      <c r="F4248" s="6" t="n"/>
      <c r="G4248" s="6" t="inlineStr">
        <is>
          <t>EXPORTACAO</t>
        </is>
      </c>
      <c r="H4248" s="6" t="inlineStr">
        <is>
          <t>AUTO_OFERTA_TOTAL_PRODUTO_PERIODO</t>
        </is>
      </c>
      <c r="I4248" s="11">
        <f>IF($H4248="AUTO_OFERTA_TOTAL_PRODUTO_PERIODO",SUMIFS(Oferta!$F:$F,Oferta!$A:$A,$A4248,Oferta!$E:$E,$E4248),$F4248)</f>
        <v/>
      </c>
      <c r="J4248" s="6" t="inlineStr">
        <is>
          <t>Derivado_da_Oferta</t>
        </is>
      </c>
      <c r="K4248" s="6" t="inlineStr">
        <is>
          <t>Mercado externo: limite superior calculado automaticamente pela soma da oferta do produto no período.</t>
        </is>
      </c>
    </row>
    <row r="4249">
      <c r="A4249" s="6" t="inlineStr">
        <is>
          <t>Milho</t>
        </is>
      </c>
      <c r="B4249" s="6" t="inlineStr">
        <is>
          <t>Rio Grande - RS</t>
        </is>
      </c>
      <c r="C4249" s="6" t="n">
        <v>-32.0349</v>
      </c>
      <c r="D4249" s="6" t="n">
        <v>-52.1071</v>
      </c>
      <c r="E4249" s="6" t="inlineStr">
        <is>
          <t>2024-12</t>
        </is>
      </c>
      <c r="F4249" s="6" t="n"/>
      <c r="G4249" s="6" t="inlineStr">
        <is>
          <t>EXPORTACAO</t>
        </is>
      </c>
      <c r="H4249" s="6" t="inlineStr">
        <is>
          <t>AUTO_OFERTA_TOTAL_PRODUTO_PERIODO</t>
        </is>
      </c>
      <c r="I4249" s="11">
        <f>IF($H4249="AUTO_OFERTA_TOTAL_PRODUTO_PERIODO",SUMIFS(Oferta!$F:$F,Oferta!$A:$A,$A4249,Oferta!$E:$E,$E4249),$F4249)</f>
        <v/>
      </c>
      <c r="J4249" s="6" t="inlineStr">
        <is>
          <t>Derivado_da_Oferta</t>
        </is>
      </c>
      <c r="K4249" s="6" t="inlineStr">
        <is>
          <t>Mercado externo: limite superior calculado automaticamente pela soma da oferta do produto no período.</t>
        </is>
      </c>
    </row>
    <row r="4250">
      <c r="A4250" s="6" t="inlineStr">
        <is>
          <t>Milho</t>
        </is>
      </c>
      <c r="B4250" s="6" t="inlineStr">
        <is>
          <t>Rio Grande - RS</t>
        </is>
      </c>
      <c r="C4250" s="6" t="n">
        <v>-32.0349</v>
      </c>
      <c r="D4250" s="6" t="n">
        <v>-52.1071</v>
      </c>
      <c r="E4250" s="6" t="inlineStr">
        <is>
          <t>2025-01</t>
        </is>
      </c>
      <c r="F4250" s="6" t="n"/>
      <c r="G4250" s="6" t="inlineStr">
        <is>
          <t>EXPORTACAO</t>
        </is>
      </c>
      <c r="H4250" s="6" t="inlineStr">
        <is>
          <t>AUTO_OFERTA_TOTAL_PRODUTO_PERIODO</t>
        </is>
      </c>
      <c r="I4250" s="11">
        <f>IF($H4250="AUTO_OFERTA_TOTAL_PRODUTO_PERIODO",SUMIFS(Oferta!$F:$F,Oferta!$A:$A,$A4250,Oferta!$E:$E,$E4250),$F4250)</f>
        <v/>
      </c>
      <c r="J4250" s="6" t="inlineStr">
        <is>
          <t>Derivado_da_Oferta</t>
        </is>
      </c>
      <c r="K4250" s="6" t="inlineStr">
        <is>
          <t>Mercado externo: limite superior calculado automaticamente pela soma da oferta do produto no período.</t>
        </is>
      </c>
    </row>
    <row r="4251">
      <c r="A4251" s="6" t="inlineStr">
        <is>
          <t>Milho</t>
        </is>
      </c>
      <c r="B4251" s="6" t="inlineStr">
        <is>
          <t>Rio Grande - RS</t>
        </is>
      </c>
      <c r="C4251" s="6" t="n">
        <v>-32.0349</v>
      </c>
      <c r="D4251" s="6" t="n">
        <v>-52.1071</v>
      </c>
      <c r="E4251" s="6" t="inlineStr">
        <is>
          <t>2025-02</t>
        </is>
      </c>
      <c r="F4251" s="6" t="n"/>
      <c r="G4251" s="6" t="inlineStr">
        <is>
          <t>EXPORTACAO</t>
        </is>
      </c>
      <c r="H4251" s="6" t="inlineStr">
        <is>
          <t>AUTO_OFERTA_TOTAL_PRODUTO_PERIODO</t>
        </is>
      </c>
      <c r="I4251" s="11">
        <f>IF($H4251="AUTO_OFERTA_TOTAL_PRODUTO_PERIODO",SUMIFS(Oferta!$F:$F,Oferta!$A:$A,$A4251,Oferta!$E:$E,$E4251),$F4251)</f>
        <v/>
      </c>
      <c r="J4251" s="6" t="inlineStr">
        <is>
          <t>Derivado_da_Oferta</t>
        </is>
      </c>
      <c r="K4251" s="6" t="inlineStr">
        <is>
          <t>Mercado externo: limite superior calculado automaticamente pela soma da oferta do produto no período.</t>
        </is>
      </c>
    </row>
    <row r="4252">
      <c r="A4252" s="6" t="inlineStr">
        <is>
          <t>Milho</t>
        </is>
      </c>
      <c r="B4252" s="6" t="inlineStr">
        <is>
          <t>Rio Grande - RS</t>
        </is>
      </c>
      <c r="C4252" s="6" t="n">
        <v>-32.0349</v>
      </c>
      <c r="D4252" s="6" t="n">
        <v>-52.1071</v>
      </c>
      <c r="E4252" s="6" t="inlineStr">
        <is>
          <t>2025-03</t>
        </is>
      </c>
      <c r="F4252" s="6" t="n"/>
      <c r="G4252" s="6" t="inlineStr">
        <is>
          <t>EXPORTACAO</t>
        </is>
      </c>
      <c r="H4252" s="6" t="inlineStr">
        <is>
          <t>AUTO_OFERTA_TOTAL_PRODUTO_PERIODO</t>
        </is>
      </c>
      <c r="I4252" s="11">
        <f>IF($H4252="AUTO_OFERTA_TOTAL_PRODUTO_PERIODO",SUMIFS(Oferta!$F:$F,Oferta!$A:$A,$A4252,Oferta!$E:$E,$E4252),$F4252)</f>
        <v/>
      </c>
      <c r="J4252" s="6" t="inlineStr">
        <is>
          <t>Derivado_da_Oferta</t>
        </is>
      </c>
      <c r="K4252" s="6" t="inlineStr">
        <is>
          <t>Mercado externo: limite superior calculado automaticamente pela soma da oferta do produto no período.</t>
        </is>
      </c>
    </row>
    <row r="4253">
      <c r="A4253" s="6" t="inlineStr">
        <is>
          <t>Milho</t>
        </is>
      </c>
      <c r="B4253" s="6" t="inlineStr">
        <is>
          <t>Rio Grande - RS</t>
        </is>
      </c>
      <c r="C4253" s="6" t="n">
        <v>-32.0349</v>
      </c>
      <c r="D4253" s="6" t="n">
        <v>-52.1071</v>
      </c>
      <c r="E4253" s="6" t="inlineStr">
        <is>
          <t>2025-04</t>
        </is>
      </c>
      <c r="F4253" s="6" t="n"/>
      <c r="G4253" s="6" t="inlineStr">
        <is>
          <t>EXPORTACAO</t>
        </is>
      </c>
      <c r="H4253" s="6" t="inlineStr">
        <is>
          <t>AUTO_OFERTA_TOTAL_PRODUTO_PERIODO</t>
        </is>
      </c>
      <c r="I4253" s="11">
        <f>IF($H4253="AUTO_OFERTA_TOTAL_PRODUTO_PERIODO",SUMIFS(Oferta!$F:$F,Oferta!$A:$A,$A4253,Oferta!$E:$E,$E4253),$F4253)</f>
        <v/>
      </c>
      <c r="J4253" s="6" t="inlineStr">
        <is>
          <t>Derivado_da_Oferta</t>
        </is>
      </c>
      <c r="K4253" s="6" t="inlineStr">
        <is>
          <t>Mercado externo: limite superior calculado automaticamente pela soma da oferta do produto no período.</t>
        </is>
      </c>
    </row>
    <row r="4254">
      <c r="A4254" s="6" t="inlineStr">
        <is>
          <t>Milho</t>
        </is>
      </c>
      <c r="B4254" s="6" t="inlineStr">
        <is>
          <t>Rio Grande - RS</t>
        </is>
      </c>
      <c r="C4254" s="6" t="n">
        <v>-32.0349</v>
      </c>
      <c r="D4254" s="6" t="n">
        <v>-52.1071</v>
      </c>
      <c r="E4254" s="6" t="inlineStr">
        <is>
          <t>2025-05</t>
        </is>
      </c>
      <c r="F4254" s="6" t="n"/>
      <c r="G4254" s="6" t="inlineStr">
        <is>
          <t>EXPORTACAO</t>
        </is>
      </c>
      <c r="H4254" s="6" t="inlineStr">
        <is>
          <t>AUTO_OFERTA_TOTAL_PRODUTO_PERIODO</t>
        </is>
      </c>
      <c r="I4254" s="11">
        <f>IF($H4254="AUTO_OFERTA_TOTAL_PRODUTO_PERIODO",SUMIFS(Oferta!$F:$F,Oferta!$A:$A,$A4254,Oferta!$E:$E,$E4254),$F4254)</f>
        <v/>
      </c>
      <c r="J4254" s="6" t="inlineStr">
        <is>
          <t>Derivado_da_Oferta</t>
        </is>
      </c>
      <c r="K4254" s="6" t="inlineStr">
        <is>
          <t>Mercado externo: limite superior calculado automaticamente pela soma da oferta do produto no período.</t>
        </is>
      </c>
    </row>
    <row r="4255">
      <c r="A4255" s="6" t="inlineStr">
        <is>
          <t>Milho</t>
        </is>
      </c>
      <c r="B4255" s="6" t="inlineStr">
        <is>
          <t>Rio Grande - RS</t>
        </is>
      </c>
      <c r="C4255" s="6" t="n">
        <v>-32.0349</v>
      </c>
      <c r="D4255" s="6" t="n">
        <v>-52.1071</v>
      </c>
      <c r="E4255" s="6" t="inlineStr">
        <is>
          <t>2025-06</t>
        </is>
      </c>
      <c r="F4255" s="6" t="n"/>
      <c r="G4255" s="6" t="inlineStr">
        <is>
          <t>EXPORTACAO</t>
        </is>
      </c>
      <c r="H4255" s="6" t="inlineStr">
        <is>
          <t>AUTO_OFERTA_TOTAL_PRODUTO_PERIODO</t>
        </is>
      </c>
      <c r="I4255" s="11">
        <f>IF($H4255="AUTO_OFERTA_TOTAL_PRODUTO_PERIODO",SUMIFS(Oferta!$F:$F,Oferta!$A:$A,$A4255,Oferta!$E:$E,$E4255),$F4255)</f>
        <v/>
      </c>
      <c r="J4255" s="6" t="inlineStr">
        <is>
          <t>Derivado_da_Oferta</t>
        </is>
      </c>
      <c r="K4255" s="6" t="inlineStr">
        <is>
          <t>Mercado externo: limite superior calculado automaticamente pela soma da oferta do produto no período.</t>
        </is>
      </c>
    </row>
    <row r="4256">
      <c r="A4256" s="6" t="inlineStr">
        <is>
          <t>Milho</t>
        </is>
      </c>
      <c r="B4256" s="6" t="inlineStr">
        <is>
          <t>Rio Grande - RS</t>
        </is>
      </c>
      <c r="C4256" s="6" t="n">
        <v>-32.0349</v>
      </c>
      <c r="D4256" s="6" t="n">
        <v>-52.1071</v>
      </c>
      <c r="E4256" s="6" t="inlineStr">
        <is>
          <t>2025-07</t>
        </is>
      </c>
      <c r="F4256" s="6" t="n"/>
      <c r="G4256" s="6" t="inlineStr">
        <is>
          <t>EXPORTACAO</t>
        </is>
      </c>
      <c r="H4256" s="6" t="inlineStr">
        <is>
          <t>AUTO_OFERTA_TOTAL_PRODUTO_PERIODO</t>
        </is>
      </c>
      <c r="I4256" s="11">
        <f>IF($H4256="AUTO_OFERTA_TOTAL_PRODUTO_PERIODO",SUMIFS(Oferta!$F:$F,Oferta!$A:$A,$A4256,Oferta!$E:$E,$E4256),$F4256)</f>
        <v/>
      </c>
      <c r="J4256" s="6" t="inlineStr">
        <is>
          <t>Derivado_da_Oferta</t>
        </is>
      </c>
      <c r="K4256" s="6" t="inlineStr">
        <is>
          <t>Mercado externo: limite superior calculado automaticamente pela soma da oferta do produto no período.</t>
        </is>
      </c>
    </row>
    <row r="4257">
      <c r="A4257" s="6" t="inlineStr">
        <is>
          <t>Milho</t>
        </is>
      </c>
      <c r="B4257" s="6" t="inlineStr">
        <is>
          <t>Rio Grande - RS</t>
        </is>
      </c>
      <c r="C4257" s="6" t="n">
        <v>-32.0349</v>
      </c>
      <c r="D4257" s="6" t="n">
        <v>-52.1071</v>
      </c>
      <c r="E4257" s="6" t="inlineStr">
        <is>
          <t>2025-08</t>
        </is>
      </c>
      <c r="F4257" s="6" t="n"/>
      <c r="G4257" s="6" t="inlineStr">
        <is>
          <t>EXPORTACAO</t>
        </is>
      </c>
      <c r="H4257" s="6" t="inlineStr">
        <is>
          <t>AUTO_OFERTA_TOTAL_PRODUTO_PERIODO</t>
        </is>
      </c>
      <c r="I4257" s="11">
        <f>IF($H4257="AUTO_OFERTA_TOTAL_PRODUTO_PERIODO",SUMIFS(Oferta!$F:$F,Oferta!$A:$A,$A4257,Oferta!$E:$E,$E4257),$F4257)</f>
        <v/>
      </c>
      <c r="J4257" s="6" t="inlineStr">
        <is>
          <t>Derivado_da_Oferta</t>
        </is>
      </c>
      <c r="K4257" s="6" t="inlineStr">
        <is>
          <t>Mercado externo: limite superior calculado automaticamente pela soma da oferta do produto no período.</t>
        </is>
      </c>
    </row>
    <row r="4258">
      <c r="A4258" s="6" t="inlineStr">
        <is>
          <t>Milho</t>
        </is>
      </c>
      <c r="B4258" s="6" t="inlineStr">
        <is>
          <t>Rio Grande - RS</t>
        </is>
      </c>
      <c r="C4258" s="6" t="n">
        <v>-32.0349</v>
      </c>
      <c r="D4258" s="6" t="n">
        <v>-52.1071</v>
      </c>
      <c r="E4258" s="6" t="inlineStr">
        <is>
          <t>2025-09</t>
        </is>
      </c>
      <c r="F4258" s="6" t="n"/>
      <c r="G4258" s="6" t="inlineStr">
        <is>
          <t>EXPORTACAO</t>
        </is>
      </c>
      <c r="H4258" s="6" t="inlineStr">
        <is>
          <t>AUTO_OFERTA_TOTAL_PRODUTO_PERIODO</t>
        </is>
      </c>
      <c r="I4258" s="11">
        <f>IF($H4258="AUTO_OFERTA_TOTAL_PRODUTO_PERIODO",SUMIFS(Oferta!$F:$F,Oferta!$A:$A,$A4258,Oferta!$E:$E,$E4258),$F4258)</f>
        <v/>
      </c>
      <c r="J4258" s="6" t="inlineStr">
        <is>
          <t>Derivado_da_Oferta</t>
        </is>
      </c>
      <c r="K4258" s="6" t="inlineStr">
        <is>
          <t>Mercado externo: limite superior calculado automaticamente pela soma da oferta do produto no período.</t>
        </is>
      </c>
    </row>
    <row r="4259">
      <c r="A4259" s="6" t="inlineStr">
        <is>
          <t>Milho</t>
        </is>
      </c>
      <c r="B4259" s="6" t="inlineStr">
        <is>
          <t>Rio Grande - RS</t>
        </is>
      </c>
      <c r="C4259" s="6" t="n">
        <v>-32.0349</v>
      </c>
      <c r="D4259" s="6" t="n">
        <v>-52.1071</v>
      </c>
      <c r="E4259" s="6" t="inlineStr">
        <is>
          <t>2025-10</t>
        </is>
      </c>
      <c r="F4259" s="6" t="n"/>
      <c r="G4259" s="6" t="inlineStr">
        <is>
          <t>EXPORTACAO</t>
        </is>
      </c>
      <c r="H4259" s="6" t="inlineStr">
        <is>
          <t>AUTO_OFERTA_TOTAL_PRODUTO_PERIODO</t>
        </is>
      </c>
      <c r="I4259" s="11">
        <f>IF($H4259="AUTO_OFERTA_TOTAL_PRODUTO_PERIODO",SUMIFS(Oferta!$F:$F,Oferta!$A:$A,$A4259,Oferta!$E:$E,$E4259),$F4259)</f>
        <v/>
      </c>
      <c r="J4259" s="6" t="inlineStr">
        <is>
          <t>Derivado_da_Oferta</t>
        </is>
      </c>
      <c r="K4259" s="6" t="inlineStr">
        <is>
          <t>Mercado externo: limite superior calculado automaticamente pela soma da oferta do produto no período.</t>
        </is>
      </c>
    </row>
    <row r="4260">
      <c r="A4260" s="6" t="inlineStr">
        <is>
          <t>Milho</t>
        </is>
      </c>
      <c r="B4260" s="6" t="inlineStr">
        <is>
          <t>Rio Grande - RS</t>
        </is>
      </c>
      <c r="C4260" s="6" t="n">
        <v>-32.0349</v>
      </c>
      <c r="D4260" s="6" t="n">
        <v>-52.1071</v>
      </c>
      <c r="E4260" s="6" t="inlineStr">
        <is>
          <t>2025-11</t>
        </is>
      </c>
      <c r="F4260" s="6" t="n"/>
      <c r="G4260" s="6" t="inlineStr">
        <is>
          <t>EXPORTACAO</t>
        </is>
      </c>
      <c r="H4260" s="6" t="inlineStr">
        <is>
          <t>AUTO_OFERTA_TOTAL_PRODUTO_PERIODO</t>
        </is>
      </c>
      <c r="I4260" s="11">
        <f>IF($H4260="AUTO_OFERTA_TOTAL_PRODUTO_PERIODO",SUMIFS(Oferta!$F:$F,Oferta!$A:$A,$A4260,Oferta!$E:$E,$E4260),$F4260)</f>
        <v/>
      </c>
      <c r="J4260" s="6" t="inlineStr">
        <is>
          <t>Derivado_da_Oferta</t>
        </is>
      </c>
      <c r="K4260" s="6" t="inlineStr">
        <is>
          <t>Mercado externo: limite superior calculado automaticamente pela soma da oferta do produto no período.</t>
        </is>
      </c>
    </row>
    <row r="4261">
      <c r="A4261" s="6" t="inlineStr">
        <is>
          <t>Milho</t>
        </is>
      </c>
      <c r="B4261" s="6" t="inlineStr">
        <is>
          <t>Rio Grande - RS</t>
        </is>
      </c>
      <c r="C4261" s="6" t="n">
        <v>-32.0349</v>
      </c>
      <c r="D4261" s="6" t="n">
        <v>-52.1071</v>
      </c>
      <c r="E4261" s="6" t="inlineStr">
        <is>
          <t>2025-12</t>
        </is>
      </c>
      <c r="F4261" s="6" t="n"/>
      <c r="G4261" s="6" t="inlineStr">
        <is>
          <t>EXPORTACAO</t>
        </is>
      </c>
      <c r="H4261" s="6" t="inlineStr">
        <is>
          <t>AUTO_OFERTA_TOTAL_PRODUTO_PERIODO</t>
        </is>
      </c>
      <c r="I4261" s="11">
        <f>IF($H4261="AUTO_OFERTA_TOTAL_PRODUTO_PERIODO",SUMIFS(Oferta!$F:$F,Oferta!$A:$A,$A4261,Oferta!$E:$E,$E4261),$F4261)</f>
        <v/>
      </c>
      <c r="J4261" s="6" t="inlineStr">
        <is>
          <t>Derivado_da_Oferta</t>
        </is>
      </c>
      <c r="K4261" s="6" t="inlineStr">
        <is>
          <t>Mercado externo: limite superior calculado automaticamente pela soma da oferta do produto no período.</t>
        </is>
      </c>
    </row>
    <row r="4262">
      <c r="A4262" s="6" t="inlineStr">
        <is>
          <t>Soja</t>
        </is>
      </c>
      <c r="B4262" s="6" t="inlineStr">
        <is>
          <t>Rio Grande - RS</t>
        </is>
      </c>
      <c r="C4262" s="6" t="n">
        <v>-32.0349</v>
      </c>
      <c r="D4262" s="6" t="n">
        <v>-52.1071</v>
      </c>
      <c r="E4262" s="6" t="inlineStr">
        <is>
          <t>2021-01</t>
        </is>
      </c>
      <c r="F4262" s="6" t="n"/>
      <c r="G4262" s="6" t="inlineStr">
        <is>
          <t>EXPORTACAO</t>
        </is>
      </c>
      <c r="H4262" s="6" t="inlineStr">
        <is>
          <t>AUTO_OFERTA_TOTAL_PRODUTO_PERIODO</t>
        </is>
      </c>
      <c r="I4262" s="11">
        <f>IF($H4262="AUTO_OFERTA_TOTAL_PRODUTO_PERIODO",SUMIFS(Oferta!$F:$F,Oferta!$A:$A,$A4262,Oferta!$E:$E,$E4262),$F4262)</f>
        <v/>
      </c>
      <c r="J4262" s="6" t="inlineStr">
        <is>
          <t>Derivado_da_Oferta</t>
        </is>
      </c>
      <c r="K4262" s="6" t="inlineStr">
        <is>
          <t>Mercado externo: limite superior calculado automaticamente pela soma da oferta do produto no período.</t>
        </is>
      </c>
    </row>
    <row r="4263">
      <c r="A4263" s="6" t="inlineStr">
        <is>
          <t>Soja</t>
        </is>
      </c>
      <c r="B4263" s="6" t="inlineStr">
        <is>
          <t>Rio Grande - RS</t>
        </is>
      </c>
      <c r="C4263" s="6" t="n">
        <v>-32.0349</v>
      </c>
      <c r="D4263" s="6" t="n">
        <v>-52.1071</v>
      </c>
      <c r="E4263" s="6" t="inlineStr">
        <is>
          <t>2021-02</t>
        </is>
      </c>
      <c r="F4263" s="6" t="n"/>
      <c r="G4263" s="6" t="inlineStr">
        <is>
          <t>EXPORTACAO</t>
        </is>
      </c>
      <c r="H4263" s="6" t="inlineStr">
        <is>
          <t>AUTO_OFERTA_TOTAL_PRODUTO_PERIODO</t>
        </is>
      </c>
      <c r="I4263" s="11">
        <f>IF($H4263="AUTO_OFERTA_TOTAL_PRODUTO_PERIODO",SUMIFS(Oferta!$F:$F,Oferta!$A:$A,$A4263,Oferta!$E:$E,$E4263),$F4263)</f>
        <v/>
      </c>
      <c r="J4263" s="6" t="inlineStr">
        <is>
          <t>Derivado_da_Oferta</t>
        </is>
      </c>
      <c r="K4263" s="6" t="inlineStr">
        <is>
          <t>Mercado externo: limite superior calculado automaticamente pela soma da oferta do produto no período.</t>
        </is>
      </c>
    </row>
    <row r="4264">
      <c r="A4264" s="6" t="inlineStr">
        <is>
          <t>Soja</t>
        </is>
      </c>
      <c r="B4264" s="6" t="inlineStr">
        <is>
          <t>Rio Grande - RS</t>
        </is>
      </c>
      <c r="C4264" s="6" t="n">
        <v>-32.0349</v>
      </c>
      <c r="D4264" s="6" t="n">
        <v>-52.1071</v>
      </c>
      <c r="E4264" s="6" t="inlineStr">
        <is>
          <t>2021-03</t>
        </is>
      </c>
      <c r="F4264" s="6" t="n"/>
      <c r="G4264" s="6" t="inlineStr">
        <is>
          <t>EXPORTACAO</t>
        </is>
      </c>
      <c r="H4264" s="6" t="inlineStr">
        <is>
          <t>AUTO_OFERTA_TOTAL_PRODUTO_PERIODO</t>
        </is>
      </c>
      <c r="I4264" s="11">
        <f>IF($H4264="AUTO_OFERTA_TOTAL_PRODUTO_PERIODO",SUMIFS(Oferta!$F:$F,Oferta!$A:$A,$A4264,Oferta!$E:$E,$E4264),$F4264)</f>
        <v/>
      </c>
      <c r="J4264" s="6" t="inlineStr">
        <is>
          <t>Derivado_da_Oferta</t>
        </is>
      </c>
      <c r="K4264" s="6" t="inlineStr">
        <is>
          <t>Mercado externo: limite superior calculado automaticamente pela soma da oferta do produto no período.</t>
        </is>
      </c>
    </row>
    <row r="4265">
      <c r="A4265" s="6" t="inlineStr">
        <is>
          <t>Soja</t>
        </is>
      </c>
      <c r="B4265" s="6" t="inlineStr">
        <is>
          <t>Rio Grande - RS</t>
        </is>
      </c>
      <c r="C4265" s="6" t="n">
        <v>-32.0349</v>
      </c>
      <c r="D4265" s="6" t="n">
        <v>-52.1071</v>
      </c>
      <c r="E4265" s="6" t="inlineStr">
        <is>
          <t>2021-04</t>
        </is>
      </c>
      <c r="F4265" s="6" t="n"/>
      <c r="G4265" s="6" t="inlineStr">
        <is>
          <t>EXPORTACAO</t>
        </is>
      </c>
      <c r="H4265" s="6" t="inlineStr">
        <is>
          <t>AUTO_OFERTA_TOTAL_PRODUTO_PERIODO</t>
        </is>
      </c>
      <c r="I4265" s="11">
        <f>IF($H4265="AUTO_OFERTA_TOTAL_PRODUTO_PERIODO",SUMIFS(Oferta!$F:$F,Oferta!$A:$A,$A4265,Oferta!$E:$E,$E4265),$F4265)</f>
        <v/>
      </c>
      <c r="J4265" s="6" t="inlineStr">
        <is>
          <t>Derivado_da_Oferta</t>
        </is>
      </c>
      <c r="K4265" s="6" t="inlineStr">
        <is>
          <t>Mercado externo: limite superior calculado automaticamente pela soma da oferta do produto no período.</t>
        </is>
      </c>
    </row>
    <row r="4266">
      <c r="A4266" s="6" t="inlineStr">
        <is>
          <t>Soja</t>
        </is>
      </c>
      <c r="B4266" s="6" t="inlineStr">
        <is>
          <t>Rio Grande - RS</t>
        </is>
      </c>
      <c r="C4266" s="6" t="n">
        <v>-32.0349</v>
      </c>
      <c r="D4266" s="6" t="n">
        <v>-52.1071</v>
      </c>
      <c r="E4266" s="6" t="inlineStr">
        <is>
          <t>2021-05</t>
        </is>
      </c>
      <c r="F4266" s="6" t="n"/>
      <c r="G4266" s="6" t="inlineStr">
        <is>
          <t>EXPORTACAO</t>
        </is>
      </c>
      <c r="H4266" s="6" t="inlineStr">
        <is>
          <t>AUTO_OFERTA_TOTAL_PRODUTO_PERIODO</t>
        </is>
      </c>
      <c r="I4266" s="11">
        <f>IF($H4266="AUTO_OFERTA_TOTAL_PRODUTO_PERIODO",SUMIFS(Oferta!$F:$F,Oferta!$A:$A,$A4266,Oferta!$E:$E,$E4266),$F4266)</f>
        <v/>
      </c>
      <c r="J4266" s="6" t="inlineStr">
        <is>
          <t>Derivado_da_Oferta</t>
        </is>
      </c>
      <c r="K4266" s="6" t="inlineStr">
        <is>
          <t>Mercado externo: limite superior calculado automaticamente pela soma da oferta do produto no período.</t>
        </is>
      </c>
    </row>
    <row r="4267">
      <c r="A4267" s="6" t="inlineStr">
        <is>
          <t>Soja</t>
        </is>
      </c>
      <c r="B4267" s="6" t="inlineStr">
        <is>
          <t>Rio Grande - RS</t>
        </is>
      </c>
      <c r="C4267" s="6" t="n">
        <v>-32.0349</v>
      </c>
      <c r="D4267" s="6" t="n">
        <v>-52.1071</v>
      </c>
      <c r="E4267" s="6" t="inlineStr">
        <is>
          <t>2021-06</t>
        </is>
      </c>
      <c r="F4267" s="6" t="n"/>
      <c r="G4267" s="6" t="inlineStr">
        <is>
          <t>EXPORTACAO</t>
        </is>
      </c>
      <c r="H4267" s="6" t="inlineStr">
        <is>
          <t>AUTO_OFERTA_TOTAL_PRODUTO_PERIODO</t>
        </is>
      </c>
      <c r="I4267" s="11">
        <f>IF($H4267="AUTO_OFERTA_TOTAL_PRODUTO_PERIODO",SUMIFS(Oferta!$F:$F,Oferta!$A:$A,$A4267,Oferta!$E:$E,$E4267),$F4267)</f>
        <v/>
      </c>
      <c r="J4267" s="6" t="inlineStr">
        <is>
          <t>Derivado_da_Oferta</t>
        </is>
      </c>
      <c r="K4267" s="6" t="inlineStr">
        <is>
          <t>Mercado externo: limite superior calculado automaticamente pela soma da oferta do produto no período.</t>
        </is>
      </c>
    </row>
    <row r="4268">
      <c r="A4268" s="6" t="inlineStr">
        <is>
          <t>Soja</t>
        </is>
      </c>
      <c r="B4268" s="6" t="inlineStr">
        <is>
          <t>Rio Grande - RS</t>
        </is>
      </c>
      <c r="C4268" s="6" t="n">
        <v>-32.0349</v>
      </c>
      <c r="D4268" s="6" t="n">
        <v>-52.1071</v>
      </c>
      <c r="E4268" s="6" t="inlineStr">
        <is>
          <t>2021-07</t>
        </is>
      </c>
      <c r="F4268" s="6" t="n"/>
      <c r="G4268" s="6" t="inlineStr">
        <is>
          <t>EXPORTACAO</t>
        </is>
      </c>
      <c r="H4268" s="6" t="inlineStr">
        <is>
          <t>AUTO_OFERTA_TOTAL_PRODUTO_PERIODO</t>
        </is>
      </c>
      <c r="I4268" s="11">
        <f>IF($H4268="AUTO_OFERTA_TOTAL_PRODUTO_PERIODO",SUMIFS(Oferta!$F:$F,Oferta!$A:$A,$A4268,Oferta!$E:$E,$E4268),$F4268)</f>
        <v/>
      </c>
      <c r="J4268" s="6" t="inlineStr">
        <is>
          <t>Derivado_da_Oferta</t>
        </is>
      </c>
      <c r="K4268" s="6" t="inlineStr">
        <is>
          <t>Mercado externo: limite superior calculado automaticamente pela soma da oferta do produto no período.</t>
        </is>
      </c>
    </row>
    <row r="4269">
      <c r="A4269" s="6" t="inlineStr">
        <is>
          <t>Soja</t>
        </is>
      </c>
      <c r="B4269" s="6" t="inlineStr">
        <is>
          <t>Rio Grande - RS</t>
        </is>
      </c>
      <c r="C4269" s="6" t="n">
        <v>-32.0349</v>
      </c>
      <c r="D4269" s="6" t="n">
        <v>-52.1071</v>
      </c>
      <c r="E4269" s="6" t="inlineStr">
        <is>
          <t>2021-08</t>
        </is>
      </c>
      <c r="F4269" s="6" t="n"/>
      <c r="G4269" s="6" t="inlineStr">
        <is>
          <t>EXPORTACAO</t>
        </is>
      </c>
      <c r="H4269" s="6" t="inlineStr">
        <is>
          <t>AUTO_OFERTA_TOTAL_PRODUTO_PERIODO</t>
        </is>
      </c>
      <c r="I4269" s="11">
        <f>IF($H4269="AUTO_OFERTA_TOTAL_PRODUTO_PERIODO",SUMIFS(Oferta!$F:$F,Oferta!$A:$A,$A4269,Oferta!$E:$E,$E4269),$F4269)</f>
        <v/>
      </c>
      <c r="J4269" s="6" t="inlineStr">
        <is>
          <t>Derivado_da_Oferta</t>
        </is>
      </c>
      <c r="K4269" s="6" t="inlineStr">
        <is>
          <t>Mercado externo: limite superior calculado automaticamente pela soma da oferta do produto no período.</t>
        </is>
      </c>
    </row>
    <row r="4270">
      <c r="A4270" s="6" t="inlineStr">
        <is>
          <t>Soja</t>
        </is>
      </c>
      <c r="B4270" s="6" t="inlineStr">
        <is>
          <t>Rio Grande - RS</t>
        </is>
      </c>
      <c r="C4270" s="6" t="n">
        <v>-32.0349</v>
      </c>
      <c r="D4270" s="6" t="n">
        <v>-52.1071</v>
      </c>
      <c r="E4270" s="6" t="inlineStr">
        <is>
          <t>2021-09</t>
        </is>
      </c>
      <c r="F4270" s="6" t="n"/>
      <c r="G4270" s="6" t="inlineStr">
        <is>
          <t>EXPORTACAO</t>
        </is>
      </c>
      <c r="H4270" s="6" t="inlineStr">
        <is>
          <t>AUTO_OFERTA_TOTAL_PRODUTO_PERIODO</t>
        </is>
      </c>
      <c r="I4270" s="11">
        <f>IF($H4270="AUTO_OFERTA_TOTAL_PRODUTO_PERIODO",SUMIFS(Oferta!$F:$F,Oferta!$A:$A,$A4270,Oferta!$E:$E,$E4270),$F4270)</f>
        <v/>
      </c>
      <c r="J4270" s="6" t="inlineStr">
        <is>
          <t>Derivado_da_Oferta</t>
        </is>
      </c>
      <c r="K4270" s="6" t="inlineStr">
        <is>
          <t>Mercado externo: limite superior calculado automaticamente pela soma da oferta do produto no período.</t>
        </is>
      </c>
    </row>
    <row r="4271">
      <c r="A4271" s="6" t="inlineStr">
        <is>
          <t>Soja</t>
        </is>
      </c>
      <c r="B4271" s="6" t="inlineStr">
        <is>
          <t>Rio Grande - RS</t>
        </is>
      </c>
      <c r="C4271" s="6" t="n">
        <v>-32.0349</v>
      </c>
      <c r="D4271" s="6" t="n">
        <v>-52.1071</v>
      </c>
      <c r="E4271" s="6" t="inlineStr">
        <is>
          <t>2021-10</t>
        </is>
      </c>
      <c r="F4271" s="6" t="n"/>
      <c r="G4271" s="6" t="inlineStr">
        <is>
          <t>EXPORTACAO</t>
        </is>
      </c>
      <c r="H4271" s="6" t="inlineStr">
        <is>
          <t>AUTO_OFERTA_TOTAL_PRODUTO_PERIODO</t>
        </is>
      </c>
      <c r="I4271" s="11">
        <f>IF($H4271="AUTO_OFERTA_TOTAL_PRODUTO_PERIODO",SUMIFS(Oferta!$F:$F,Oferta!$A:$A,$A4271,Oferta!$E:$E,$E4271),$F4271)</f>
        <v/>
      </c>
      <c r="J4271" s="6" t="inlineStr">
        <is>
          <t>Derivado_da_Oferta</t>
        </is>
      </c>
      <c r="K4271" s="6" t="inlineStr">
        <is>
          <t>Mercado externo: limite superior calculado automaticamente pela soma da oferta do produto no período.</t>
        </is>
      </c>
    </row>
    <row r="4272">
      <c r="A4272" s="6" t="inlineStr">
        <is>
          <t>Soja</t>
        </is>
      </c>
      <c r="B4272" s="6" t="inlineStr">
        <is>
          <t>Rio Grande - RS</t>
        </is>
      </c>
      <c r="C4272" s="6" t="n">
        <v>-32.0349</v>
      </c>
      <c r="D4272" s="6" t="n">
        <v>-52.1071</v>
      </c>
      <c r="E4272" s="6" t="inlineStr">
        <is>
          <t>2021-11</t>
        </is>
      </c>
      <c r="F4272" s="6" t="n"/>
      <c r="G4272" s="6" t="inlineStr">
        <is>
          <t>EXPORTACAO</t>
        </is>
      </c>
      <c r="H4272" s="6" t="inlineStr">
        <is>
          <t>AUTO_OFERTA_TOTAL_PRODUTO_PERIODO</t>
        </is>
      </c>
      <c r="I4272" s="11">
        <f>IF($H4272="AUTO_OFERTA_TOTAL_PRODUTO_PERIODO",SUMIFS(Oferta!$F:$F,Oferta!$A:$A,$A4272,Oferta!$E:$E,$E4272),$F4272)</f>
        <v/>
      </c>
      <c r="J4272" s="6" t="inlineStr">
        <is>
          <t>Derivado_da_Oferta</t>
        </is>
      </c>
      <c r="K4272" s="6" t="inlineStr">
        <is>
          <t>Mercado externo: limite superior calculado automaticamente pela soma da oferta do produto no período.</t>
        </is>
      </c>
    </row>
    <row r="4273">
      <c r="A4273" s="6" t="inlineStr">
        <is>
          <t>Soja</t>
        </is>
      </c>
      <c r="B4273" s="6" t="inlineStr">
        <is>
          <t>Rio Grande - RS</t>
        </is>
      </c>
      <c r="C4273" s="6" t="n">
        <v>-32.0349</v>
      </c>
      <c r="D4273" s="6" t="n">
        <v>-52.1071</v>
      </c>
      <c r="E4273" s="6" t="inlineStr">
        <is>
          <t>2021-12</t>
        </is>
      </c>
      <c r="F4273" s="6" t="n"/>
      <c r="G4273" s="6" t="inlineStr">
        <is>
          <t>EXPORTACAO</t>
        </is>
      </c>
      <c r="H4273" s="6" t="inlineStr">
        <is>
          <t>AUTO_OFERTA_TOTAL_PRODUTO_PERIODO</t>
        </is>
      </c>
      <c r="I4273" s="11">
        <f>IF($H4273="AUTO_OFERTA_TOTAL_PRODUTO_PERIODO",SUMIFS(Oferta!$F:$F,Oferta!$A:$A,$A4273,Oferta!$E:$E,$E4273),$F4273)</f>
        <v/>
      </c>
      <c r="J4273" s="6" t="inlineStr">
        <is>
          <t>Derivado_da_Oferta</t>
        </is>
      </c>
      <c r="K4273" s="6" t="inlineStr">
        <is>
          <t>Mercado externo: limite superior calculado automaticamente pela soma da oferta do produto no período.</t>
        </is>
      </c>
    </row>
    <row r="4274">
      <c r="A4274" s="6" t="inlineStr">
        <is>
          <t>Soja</t>
        </is>
      </c>
      <c r="B4274" s="6" t="inlineStr">
        <is>
          <t>Rio Grande - RS</t>
        </is>
      </c>
      <c r="C4274" s="6" t="n">
        <v>-32.0349</v>
      </c>
      <c r="D4274" s="6" t="n">
        <v>-52.1071</v>
      </c>
      <c r="E4274" s="6" t="inlineStr">
        <is>
          <t>2022-01</t>
        </is>
      </c>
      <c r="F4274" s="6" t="n"/>
      <c r="G4274" s="6" t="inlineStr">
        <is>
          <t>EXPORTACAO</t>
        </is>
      </c>
      <c r="H4274" s="6" t="inlineStr">
        <is>
          <t>AUTO_OFERTA_TOTAL_PRODUTO_PERIODO</t>
        </is>
      </c>
      <c r="I4274" s="11">
        <f>IF($H4274="AUTO_OFERTA_TOTAL_PRODUTO_PERIODO",SUMIFS(Oferta!$F:$F,Oferta!$A:$A,$A4274,Oferta!$E:$E,$E4274),$F4274)</f>
        <v/>
      </c>
      <c r="J4274" s="6" t="inlineStr">
        <is>
          <t>Derivado_da_Oferta</t>
        </is>
      </c>
      <c r="K4274" s="6" t="inlineStr">
        <is>
          <t>Mercado externo: limite superior calculado automaticamente pela soma da oferta do produto no período.</t>
        </is>
      </c>
    </row>
    <row r="4275">
      <c r="A4275" s="6" t="inlineStr">
        <is>
          <t>Soja</t>
        </is>
      </c>
      <c r="B4275" s="6" t="inlineStr">
        <is>
          <t>Rio Grande - RS</t>
        </is>
      </c>
      <c r="C4275" s="6" t="n">
        <v>-32.0349</v>
      </c>
      <c r="D4275" s="6" t="n">
        <v>-52.1071</v>
      </c>
      <c r="E4275" s="6" t="inlineStr">
        <is>
          <t>2022-02</t>
        </is>
      </c>
      <c r="F4275" s="6" t="n"/>
      <c r="G4275" s="6" t="inlineStr">
        <is>
          <t>EXPORTACAO</t>
        </is>
      </c>
      <c r="H4275" s="6" t="inlineStr">
        <is>
          <t>AUTO_OFERTA_TOTAL_PRODUTO_PERIODO</t>
        </is>
      </c>
      <c r="I4275" s="11">
        <f>IF($H4275="AUTO_OFERTA_TOTAL_PRODUTO_PERIODO",SUMIFS(Oferta!$F:$F,Oferta!$A:$A,$A4275,Oferta!$E:$E,$E4275),$F4275)</f>
        <v/>
      </c>
      <c r="J4275" s="6" t="inlineStr">
        <is>
          <t>Derivado_da_Oferta</t>
        </is>
      </c>
      <c r="K4275" s="6" t="inlineStr">
        <is>
          <t>Mercado externo: limite superior calculado automaticamente pela soma da oferta do produto no período.</t>
        </is>
      </c>
    </row>
    <row r="4276">
      <c r="A4276" s="6" t="inlineStr">
        <is>
          <t>Soja</t>
        </is>
      </c>
      <c r="B4276" s="6" t="inlineStr">
        <is>
          <t>Rio Grande - RS</t>
        </is>
      </c>
      <c r="C4276" s="6" t="n">
        <v>-32.0349</v>
      </c>
      <c r="D4276" s="6" t="n">
        <v>-52.1071</v>
      </c>
      <c r="E4276" s="6" t="inlineStr">
        <is>
          <t>2022-03</t>
        </is>
      </c>
      <c r="F4276" s="6" t="n"/>
      <c r="G4276" s="6" t="inlineStr">
        <is>
          <t>EXPORTACAO</t>
        </is>
      </c>
      <c r="H4276" s="6" t="inlineStr">
        <is>
          <t>AUTO_OFERTA_TOTAL_PRODUTO_PERIODO</t>
        </is>
      </c>
      <c r="I4276" s="11">
        <f>IF($H4276="AUTO_OFERTA_TOTAL_PRODUTO_PERIODO",SUMIFS(Oferta!$F:$F,Oferta!$A:$A,$A4276,Oferta!$E:$E,$E4276),$F4276)</f>
        <v/>
      </c>
      <c r="J4276" s="6" t="inlineStr">
        <is>
          <t>Derivado_da_Oferta</t>
        </is>
      </c>
      <c r="K4276" s="6" t="inlineStr">
        <is>
          <t>Mercado externo: limite superior calculado automaticamente pela soma da oferta do produto no período.</t>
        </is>
      </c>
    </row>
    <row r="4277">
      <c r="A4277" s="6" t="inlineStr">
        <is>
          <t>Soja</t>
        </is>
      </c>
      <c r="B4277" s="6" t="inlineStr">
        <is>
          <t>Rio Grande - RS</t>
        </is>
      </c>
      <c r="C4277" s="6" t="n">
        <v>-32.0349</v>
      </c>
      <c r="D4277" s="6" t="n">
        <v>-52.1071</v>
      </c>
      <c r="E4277" s="6" t="inlineStr">
        <is>
          <t>2022-04</t>
        </is>
      </c>
      <c r="F4277" s="6" t="n"/>
      <c r="G4277" s="6" t="inlineStr">
        <is>
          <t>EXPORTACAO</t>
        </is>
      </c>
      <c r="H4277" s="6" t="inlineStr">
        <is>
          <t>AUTO_OFERTA_TOTAL_PRODUTO_PERIODO</t>
        </is>
      </c>
      <c r="I4277" s="11">
        <f>IF($H4277="AUTO_OFERTA_TOTAL_PRODUTO_PERIODO",SUMIFS(Oferta!$F:$F,Oferta!$A:$A,$A4277,Oferta!$E:$E,$E4277),$F4277)</f>
        <v/>
      </c>
      <c r="J4277" s="6" t="inlineStr">
        <is>
          <t>Derivado_da_Oferta</t>
        </is>
      </c>
      <c r="K4277" s="6" t="inlineStr">
        <is>
          <t>Mercado externo: limite superior calculado automaticamente pela soma da oferta do produto no período.</t>
        </is>
      </c>
    </row>
    <row r="4278">
      <c r="A4278" s="6" t="inlineStr">
        <is>
          <t>Soja</t>
        </is>
      </c>
      <c r="B4278" s="6" t="inlineStr">
        <is>
          <t>Rio Grande - RS</t>
        </is>
      </c>
      <c r="C4278" s="6" t="n">
        <v>-32.0349</v>
      </c>
      <c r="D4278" s="6" t="n">
        <v>-52.1071</v>
      </c>
      <c r="E4278" s="6" t="inlineStr">
        <is>
          <t>2022-05</t>
        </is>
      </c>
      <c r="F4278" s="6" t="n"/>
      <c r="G4278" s="6" t="inlineStr">
        <is>
          <t>EXPORTACAO</t>
        </is>
      </c>
      <c r="H4278" s="6" t="inlineStr">
        <is>
          <t>AUTO_OFERTA_TOTAL_PRODUTO_PERIODO</t>
        </is>
      </c>
      <c r="I4278" s="11">
        <f>IF($H4278="AUTO_OFERTA_TOTAL_PRODUTO_PERIODO",SUMIFS(Oferta!$F:$F,Oferta!$A:$A,$A4278,Oferta!$E:$E,$E4278),$F4278)</f>
        <v/>
      </c>
      <c r="J4278" s="6" t="inlineStr">
        <is>
          <t>Derivado_da_Oferta</t>
        </is>
      </c>
      <c r="K4278" s="6" t="inlineStr">
        <is>
          <t>Mercado externo: limite superior calculado automaticamente pela soma da oferta do produto no período.</t>
        </is>
      </c>
    </row>
    <row r="4279">
      <c r="A4279" s="6" t="inlineStr">
        <is>
          <t>Soja</t>
        </is>
      </c>
      <c r="B4279" s="6" t="inlineStr">
        <is>
          <t>Rio Grande - RS</t>
        </is>
      </c>
      <c r="C4279" s="6" t="n">
        <v>-32.0349</v>
      </c>
      <c r="D4279" s="6" t="n">
        <v>-52.1071</v>
      </c>
      <c r="E4279" s="6" t="inlineStr">
        <is>
          <t>2022-06</t>
        </is>
      </c>
      <c r="F4279" s="6" t="n"/>
      <c r="G4279" s="6" t="inlineStr">
        <is>
          <t>EXPORTACAO</t>
        </is>
      </c>
      <c r="H4279" s="6" t="inlineStr">
        <is>
          <t>AUTO_OFERTA_TOTAL_PRODUTO_PERIODO</t>
        </is>
      </c>
      <c r="I4279" s="11">
        <f>IF($H4279="AUTO_OFERTA_TOTAL_PRODUTO_PERIODO",SUMIFS(Oferta!$F:$F,Oferta!$A:$A,$A4279,Oferta!$E:$E,$E4279),$F4279)</f>
        <v/>
      </c>
      <c r="J4279" s="6" t="inlineStr">
        <is>
          <t>Derivado_da_Oferta</t>
        </is>
      </c>
      <c r="K4279" s="6" t="inlineStr">
        <is>
          <t>Mercado externo: limite superior calculado automaticamente pela soma da oferta do produto no período.</t>
        </is>
      </c>
    </row>
    <row r="4280">
      <c r="A4280" s="6" t="inlineStr">
        <is>
          <t>Soja</t>
        </is>
      </c>
      <c r="B4280" s="6" t="inlineStr">
        <is>
          <t>Rio Grande - RS</t>
        </is>
      </c>
      <c r="C4280" s="6" t="n">
        <v>-32.0349</v>
      </c>
      <c r="D4280" s="6" t="n">
        <v>-52.1071</v>
      </c>
      <c r="E4280" s="6" t="inlineStr">
        <is>
          <t>2022-07</t>
        </is>
      </c>
      <c r="F4280" s="6" t="n"/>
      <c r="G4280" s="6" t="inlineStr">
        <is>
          <t>EXPORTACAO</t>
        </is>
      </c>
      <c r="H4280" s="6" t="inlineStr">
        <is>
          <t>AUTO_OFERTA_TOTAL_PRODUTO_PERIODO</t>
        </is>
      </c>
      <c r="I4280" s="11">
        <f>IF($H4280="AUTO_OFERTA_TOTAL_PRODUTO_PERIODO",SUMIFS(Oferta!$F:$F,Oferta!$A:$A,$A4280,Oferta!$E:$E,$E4280),$F4280)</f>
        <v/>
      </c>
      <c r="J4280" s="6" t="inlineStr">
        <is>
          <t>Derivado_da_Oferta</t>
        </is>
      </c>
      <c r="K4280" s="6" t="inlineStr">
        <is>
          <t>Mercado externo: limite superior calculado automaticamente pela soma da oferta do produto no período.</t>
        </is>
      </c>
    </row>
    <row r="4281">
      <c r="A4281" s="6" t="inlineStr">
        <is>
          <t>Soja</t>
        </is>
      </c>
      <c r="B4281" s="6" t="inlineStr">
        <is>
          <t>Rio Grande - RS</t>
        </is>
      </c>
      <c r="C4281" s="6" t="n">
        <v>-32.0349</v>
      </c>
      <c r="D4281" s="6" t="n">
        <v>-52.1071</v>
      </c>
      <c r="E4281" s="6" t="inlineStr">
        <is>
          <t>2022-08</t>
        </is>
      </c>
      <c r="F4281" s="6" t="n"/>
      <c r="G4281" s="6" t="inlineStr">
        <is>
          <t>EXPORTACAO</t>
        </is>
      </c>
      <c r="H4281" s="6" t="inlineStr">
        <is>
          <t>AUTO_OFERTA_TOTAL_PRODUTO_PERIODO</t>
        </is>
      </c>
      <c r="I4281" s="11">
        <f>IF($H4281="AUTO_OFERTA_TOTAL_PRODUTO_PERIODO",SUMIFS(Oferta!$F:$F,Oferta!$A:$A,$A4281,Oferta!$E:$E,$E4281),$F4281)</f>
        <v/>
      </c>
      <c r="J4281" s="6" t="inlineStr">
        <is>
          <t>Derivado_da_Oferta</t>
        </is>
      </c>
      <c r="K4281" s="6" t="inlineStr">
        <is>
          <t>Mercado externo: limite superior calculado automaticamente pela soma da oferta do produto no período.</t>
        </is>
      </c>
    </row>
    <row r="4282">
      <c r="A4282" s="6" t="inlineStr">
        <is>
          <t>Soja</t>
        </is>
      </c>
      <c r="B4282" s="6" t="inlineStr">
        <is>
          <t>Rio Grande - RS</t>
        </is>
      </c>
      <c r="C4282" s="6" t="n">
        <v>-32.0349</v>
      </c>
      <c r="D4282" s="6" t="n">
        <v>-52.1071</v>
      </c>
      <c r="E4282" s="6" t="inlineStr">
        <is>
          <t>2022-09</t>
        </is>
      </c>
      <c r="F4282" s="6" t="n"/>
      <c r="G4282" s="6" t="inlineStr">
        <is>
          <t>EXPORTACAO</t>
        </is>
      </c>
      <c r="H4282" s="6" t="inlineStr">
        <is>
          <t>AUTO_OFERTA_TOTAL_PRODUTO_PERIODO</t>
        </is>
      </c>
      <c r="I4282" s="11">
        <f>IF($H4282="AUTO_OFERTA_TOTAL_PRODUTO_PERIODO",SUMIFS(Oferta!$F:$F,Oferta!$A:$A,$A4282,Oferta!$E:$E,$E4282),$F4282)</f>
        <v/>
      </c>
      <c r="J4282" s="6" t="inlineStr">
        <is>
          <t>Derivado_da_Oferta</t>
        </is>
      </c>
      <c r="K4282" s="6" t="inlineStr">
        <is>
          <t>Mercado externo: limite superior calculado automaticamente pela soma da oferta do produto no período.</t>
        </is>
      </c>
    </row>
    <row r="4283">
      <c r="A4283" s="6" t="inlineStr">
        <is>
          <t>Soja</t>
        </is>
      </c>
      <c r="B4283" s="6" t="inlineStr">
        <is>
          <t>Rio Grande - RS</t>
        </is>
      </c>
      <c r="C4283" s="6" t="n">
        <v>-32.0349</v>
      </c>
      <c r="D4283" s="6" t="n">
        <v>-52.1071</v>
      </c>
      <c r="E4283" s="6" t="inlineStr">
        <is>
          <t>2022-10</t>
        </is>
      </c>
      <c r="F4283" s="6" t="n"/>
      <c r="G4283" s="6" t="inlineStr">
        <is>
          <t>EXPORTACAO</t>
        </is>
      </c>
      <c r="H4283" s="6" t="inlineStr">
        <is>
          <t>AUTO_OFERTA_TOTAL_PRODUTO_PERIODO</t>
        </is>
      </c>
      <c r="I4283" s="11">
        <f>IF($H4283="AUTO_OFERTA_TOTAL_PRODUTO_PERIODO",SUMIFS(Oferta!$F:$F,Oferta!$A:$A,$A4283,Oferta!$E:$E,$E4283),$F4283)</f>
        <v/>
      </c>
      <c r="J4283" s="6" t="inlineStr">
        <is>
          <t>Derivado_da_Oferta</t>
        </is>
      </c>
      <c r="K4283" s="6" t="inlineStr">
        <is>
          <t>Mercado externo: limite superior calculado automaticamente pela soma da oferta do produto no período.</t>
        </is>
      </c>
    </row>
    <row r="4284">
      <c r="A4284" s="6" t="inlineStr">
        <is>
          <t>Soja</t>
        </is>
      </c>
      <c r="B4284" s="6" t="inlineStr">
        <is>
          <t>Rio Grande - RS</t>
        </is>
      </c>
      <c r="C4284" s="6" t="n">
        <v>-32.0349</v>
      </c>
      <c r="D4284" s="6" t="n">
        <v>-52.1071</v>
      </c>
      <c r="E4284" s="6" t="inlineStr">
        <is>
          <t>2022-11</t>
        </is>
      </c>
      <c r="F4284" s="6" t="n"/>
      <c r="G4284" s="6" t="inlineStr">
        <is>
          <t>EXPORTACAO</t>
        </is>
      </c>
      <c r="H4284" s="6" t="inlineStr">
        <is>
          <t>AUTO_OFERTA_TOTAL_PRODUTO_PERIODO</t>
        </is>
      </c>
      <c r="I4284" s="11">
        <f>IF($H4284="AUTO_OFERTA_TOTAL_PRODUTO_PERIODO",SUMIFS(Oferta!$F:$F,Oferta!$A:$A,$A4284,Oferta!$E:$E,$E4284),$F4284)</f>
        <v/>
      </c>
      <c r="J4284" s="6" t="inlineStr">
        <is>
          <t>Derivado_da_Oferta</t>
        </is>
      </c>
      <c r="K4284" s="6" t="inlineStr">
        <is>
          <t>Mercado externo: limite superior calculado automaticamente pela soma da oferta do produto no período.</t>
        </is>
      </c>
    </row>
    <row r="4285">
      <c r="A4285" s="6" t="inlineStr">
        <is>
          <t>Soja</t>
        </is>
      </c>
      <c r="B4285" s="6" t="inlineStr">
        <is>
          <t>Rio Grande - RS</t>
        </is>
      </c>
      <c r="C4285" s="6" t="n">
        <v>-32.0349</v>
      </c>
      <c r="D4285" s="6" t="n">
        <v>-52.1071</v>
      </c>
      <c r="E4285" s="6" t="inlineStr">
        <is>
          <t>2022-12</t>
        </is>
      </c>
      <c r="F4285" s="6" t="n"/>
      <c r="G4285" s="6" t="inlineStr">
        <is>
          <t>EXPORTACAO</t>
        </is>
      </c>
      <c r="H4285" s="6" t="inlineStr">
        <is>
          <t>AUTO_OFERTA_TOTAL_PRODUTO_PERIODO</t>
        </is>
      </c>
      <c r="I4285" s="11">
        <f>IF($H4285="AUTO_OFERTA_TOTAL_PRODUTO_PERIODO",SUMIFS(Oferta!$F:$F,Oferta!$A:$A,$A4285,Oferta!$E:$E,$E4285),$F4285)</f>
        <v/>
      </c>
      <c r="J4285" s="6" t="inlineStr">
        <is>
          <t>Derivado_da_Oferta</t>
        </is>
      </c>
      <c r="K4285" s="6" t="inlineStr">
        <is>
          <t>Mercado externo: limite superior calculado automaticamente pela soma da oferta do produto no período.</t>
        </is>
      </c>
    </row>
    <row r="4286">
      <c r="A4286" s="6" t="inlineStr">
        <is>
          <t>Soja</t>
        </is>
      </c>
      <c r="B4286" s="6" t="inlineStr">
        <is>
          <t>Rio Grande - RS</t>
        </is>
      </c>
      <c r="C4286" s="6" t="n">
        <v>-32.0349</v>
      </c>
      <c r="D4286" s="6" t="n">
        <v>-52.1071</v>
      </c>
      <c r="E4286" s="6" t="inlineStr">
        <is>
          <t>2023-01</t>
        </is>
      </c>
      <c r="F4286" s="6" t="n"/>
      <c r="G4286" s="6" t="inlineStr">
        <is>
          <t>EXPORTACAO</t>
        </is>
      </c>
      <c r="H4286" s="6" t="inlineStr">
        <is>
          <t>AUTO_OFERTA_TOTAL_PRODUTO_PERIODO</t>
        </is>
      </c>
      <c r="I4286" s="11">
        <f>IF($H4286="AUTO_OFERTA_TOTAL_PRODUTO_PERIODO",SUMIFS(Oferta!$F:$F,Oferta!$A:$A,$A4286,Oferta!$E:$E,$E4286),$F4286)</f>
        <v/>
      </c>
      <c r="J4286" s="6" t="inlineStr">
        <is>
          <t>Derivado_da_Oferta</t>
        </is>
      </c>
      <c r="K4286" s="6" t="inlineStr">
        <is>
          <t>Mercado externo: limite superior calculado automaticamente pela soma da oferta do produto no período.</t>
        </is>
      </c>
    </row>
    <row r="4287">
      <c r="A4287" s="6" t="inlineStr">
        <is>
          <t>Soja</t>
        </is>
      </c>
      <c r="B4287" s="6" t="inlineStr">
        <is>
          <t>Rio Grande - RS</t>
        </is>
      </c>
      <c r="C4287" s="6" t="n">
        <v>-32.0349</v>
      </c>
      <c r="D4287" s="6" t="n">
        <v>-52.1071</v>
      </c>
      <c r="E4287" s="6" t="inlineStr">
        <is>
          <t>2023-02</t>
        </is>
      </c>
      <c r="F4287" s="6" t="n"/>
      <c r="G4287" s="6" t="inlineStr">
        <is>
          <t>EXPORTACAO</t>
        </is>
      </c>
      <c r="H4287" s="6" t="inlineStr">
        <is>
          <t>AUTO_OFERTA_TOTAL_PRODUTO_PERIODO</t>
        </is>
      </c>
      <c r="I4287" s="11">
        <f>IF($H4287="AUTO_OFERTA_TOTAL_PRODUTO_PERIODO",SUMIFS(Oferta!$F:$F,Oferta!$A:$A,$A4287,Oferta!$E:$E,$E4287),$F4287)</f>
        <v/>
      </c>
      <c r="J4287" s="6" t="inlineStr">
        <is>
          <t>Derivado_da_Oferta</t>
        </is>
      </c>
      <c r="K4287" s="6" t="inlineStr">
        <is>
          <t>Mercado externo: limite superior calculado automaticamente pela soma da oferta do produto no período.</t>
        </is>
      </c>
    </row>
    <row r="4288">
      <c r="A4288" s="6" t="inlineStr">
        <is>
          <t>Soja</t>
        </is>
      </c>
      <c r="B4288" s="6" t="inlineStr">
        <is>
          <t>Rio Grande - RS</t>
        </is>
      </c>
      <c r="C4288" s="6" t="n">
        <v>-32.0349</v>
      </c>
      <c r="D4288" s="6" t="n">
        <v>-52.1071</v>
      </c>
      <c r="E4288" s="6" t="inlineStr">
        <is>
          <t>2023-03</t>
        </is>
      </c>
      <c r="F4288" s="6" t="n"/>
      <c r="G4288" s="6" t="inlineStr">
        <is>
          <t>EXPORTACAO</t>
        </is>
      </c>
      <c r="H4288" s="6" t="inlineStr">
        <is>
          <t>AUTO_OFERTA_TOTAL_PRODUTO_PERIODO</t>
        </is>
      </c>
      <c r="I4288" s="11">
        <f>IF($H4288="AUTO_OFERTA_TOTAL_PRODUTO_PERIODO",SUMIFS(Oferta!$F:$F,Oferta!$A:$A,$A4288,Oferta!$E:$E,$E4288),$F4288)</f>
        <v/>
      </c>
      <c r="J4288" s="6" t="inlineStr">
        <is>
          <t>Derivado_da_Oferta</t>
        </is>
      </c>
      <c r="K4288" s="6" t="inlineStr">
        <is>
          <t>Mercado externo: limite superior calculado automaticamente pela soma da oferta do produto no período.</t>
        </is>
      </c>
    </row>
    <row r="4289">
      <c r="A4289" s="6" t="inlineStr">
        <is>
          <t>Soja</t>
        </is>
      </c>
      <c r="B4289" s="6" t="inlineStr">
        <is>
          <t>Rio Grande - RS</t>
        </is>
      </c>
      <c r="C4289" s="6" t="n">
        <v>-32.0349</v>
      </c>
      <c r="D4289" s="6" t="n">
        <v>-52.1071</v>
      </c>
      <c r="E4289" s="6" t="inlineStr">
        <is>
          <t>2023-04</t>
        </is>
      </c>
      <c r="F4289" s="6" t="n"/>
      <c r="G4289" s="6" t="inlineStr">
        <is>
          <t>EXPORTACAO</t>
        </is>
      </c>
      <c r="H4289" s="6" t="inlineStr">
        <is>
          <t>AUTO_OFERTA_TOTAL_PRODUTO_PERIODO</t>
        </is>
      </c>
      <c r="I4289" s="11">
        <f>IF($H4289="AUTO_OFERTA_TOTAL_PRODUTO_PERIODO",SUMIFS(Oferta!$F:$F,Oferta!$A:$A,$A4289,Oferta!$E:$E,$E4289),$F4289)</f>
        <v/>
      </c>
      <c r="J4289" s="6" t="inlineStr">
        <is>
          <t>Derivado_da_Oferta</t>
        </is>
      </c>
      <c r="K4289" s="6" t="inlineStr">
        <is>
          <t>Mercado externo: limite superior calculado automaticamente pela soma da oferta do produto no período.</t>
        </is>
      </c>
    </row>
    <row r="4290">
      <c r="A4290" s="6" t="inlineStr">
        <is>
          <t>Soja</t>
        </is>
      </c>
      <c r="B4290" s="6" t="inlineStr">
        <is>
          <t>Rio Grande - RS</t>
        </is>
      </c>
      <c r="C4290" s="6" t="n">
        <v>-32.0349</v>
      </c>
      <c r="D4290" s="6" t="n">
        <v>-52.1071</v>
      </c>
      <c r="E4290" s="6" t="inlineStr">
        <is>
          <t>2023-05</t>
        </is>
      </c>
      <c r="F4290" s="6" t="n"/>
      <c r="G4290" s="6" t="inlineStr">
        <is>
          <t>EXPORTACAO</t>
        </is>
      </c>
      <c r="H4290" s="6" t="inlineStr">
        <is>
          <t>AUTO_OFERTA_TOTAL_PRODUTO_PERIODO</t>
        </is>
      </c>
      <c r="I4290" s="11">
        <f>IF($H4290="AUTO_OFERTA_TOTAL_PRODUTO_PERIODO",SUMIFS(Oferta!$F:$F,Oferta!$A:$A,$A4290,Oferta!$E:$E,$E4290),$F4290)</f>
        <v/>
      </c>
      <c r="J4290" s="6" t="inlineStr">
        <is>
          <t>Derivado_da_Oferta</t>
        </is>
      </c>
      <c r="K4290" s="6" t="inlineStr">
        <is>
          <t>Mercado externo: limite superior calculado automaticamente pela soma da oferta do produto no período.</t>
        </is>
      </c>
    </row>
    <row r="4291">
      <c r="A4291" s="6" t="inlineStr">
        <is>
          <t>Soja</t>
        </is>
      </c>
      <c r="B4291" s="6" t="inlineStr">
        <is>
          <t>Rio Grande - RS</t>
        </is>
      </c>
      <c r="C4291" s="6" t="n">
        <v>-32.0349</v>
      </c>
      <c r="D4291" s="6" t="n">
        <v>-52.1071</v>
      </c>
      <c r="E4291" s="6" t="inlineStr">
        <is>
          <t>2023-06</t>
        </is>
      </c>
      <c r="F4291" s="6" t="n"/>
      <c r="G4291" s="6" t="inlineStr">
        <is>
          <t>EXPORTACAO</t>
        </is>
      </c>
      <c r="H4291" s="6" t="inlineStr">
        <is>
          <t>AUTO_OFERTA_TOTAL_PRODUTO_PERIODO</t>
        </is>
      </c>
      <c r="I4291" s="11">
        <f>IF($H4291="AUTO_OFERTA_TOTAL_PRODUTO_PERIODO",SUMIFS(Oferta!$F:$F,Oferta!$A:$A,$A4291,Oferta!$E:$E,$E4291),$F4291)</f>
        <v/>
      </c>
      <c r="J4291" s="6" t="inlineStr">
        <is>
          <t>Derivado_da_Oferta</t>
        </is>
      </c>
      <c r="K4291" s="6" t="inlineStr">
        <is>
          <t>Mercado externo: limite superior calculado automaticamente pela soma da oferta do produto no período.</t>
        </is>
      </c>
    </row>
    <row r="4292">
      <c r="A4292" s="6" t="inlineStr">
        <is>
          <t>Soja</t>
        </is>
      </c>
      <c r="B4292" s="6" t="inlineStr">
        <is>
          <t>Rio Grande - RS</t>
        </is>
      </c>
      <c r="C4292" s="6" t="n">
        <v>-32.0349</v>
      </c>
      <c r="D4292" s="6" t="n">
        <v>-52.1071</v>
      </c>
      <c r="E4292" s="6" t="inlineStr">
        <is>
          <t>2023-07</t>
        </is>
      </c>
      <c r="F4292" s="6" t="n"/>
      <c r="G4292" s="6" t="inlineStr">
        <is>
          <t>EXPORTACAO</t>
        </is>
      </c>
      <c r="H4292" s="6" t="inlineStr">
        <is>
          <t>AUTO_OFERTA_TOTAL_PRODUTO_PERIODO</t>
        </is>
      </c>
      <c r="I4292" s="11">
        <f>IF($H4292="AUTO_OFERTA_TOTAL_PRODUTO_PERIODO",SUMIFS(Oferta!$F:$F,Oferta!$A:$A,$A4292,Oferta!$E:$E,$E4292),$F4292)</f>
        <v/>
      </c>
      <c r="J4292" s="6" t="inlineStr">
        <is>
          <t>Derivado_da_Oferta</t>
        </is>
      </c>
      <c r="K4292" s="6" t="inlineStr">
        <is>
          <t>Mercado externo: limite superior calculado automaticamente pela soma da oferta do produto no período.</t>
        </is>
      </c>
    </row>
    <row r="4293">
      <c r="A4293" s="6" t="inlineStr">
        <is>
          <t>Soja</t>
        </is>
      </c>
      <c r="B4293" s="6" t="inlineStr">
        <is>
          <t>Rio Grande - RS</t>
        </is>
      </c>
      <c r="C4293" s="6" t="n">
        <v>-32.0349</v>
      </c>
      <c r="D4293" s="6" t="n">
        <v>-52.1071</v>
      </c>
      <c r="E4293" s="6" t="inlineStr">
        <is>
          <t>2023-08</t>
        </is>
      </c>
      <c r="F4293" s="6" t="n"/>
      <c r="G4293" s="6" t="inlineStr">
        <is>
          <t>EXPORTACAO</t>
        </is>
      </c>
      <c r="H4293" s="6" t="inlineStr">
        <is>
          <t>AUTO_OFERTA_TOTAL_PRODUTO_PERIODO</t>
        </is>
      </c>
      <c r="I4293" s="11">
        <f>IF($H4293="AUTO_OFERTA_TOTAL_PRODUTO_PERIODO",SUMIFS(Oferta!$F:$F,Oferta!$A:$A,$A4293,Oferta!$E:$E,$E4293),$F4293)</f>
        <v/>
      </c>
      <c r="J4293" s="6" t="inlineStr">
        <is>
          <t>Derivado_da_Oferta</t>
        </is>
      </c>
      <c r="K4293" s="6" t="inlineStr">
        <is>
          <t>Mercado externo: limite superior calculado automaticamente pela soma da oferta do produto no período.</t>
        </is>
      </c>
    </row>
    <row r="4294">
      <c r="A4294" s="6" t="inlineStr">
        <is>
          <t>Soja</t>
        </is>
      </c>
      <c r="B4294" s="6" t="inlineStr">
        <is>
          <t>Rio Grande - RS</t>
        </is>
      </c>
      <c r="C4294" s="6" t="n">
        <v>-32.0349</v>
      </c>
      <c r="D4294" s="6" t="n">
        <v>-52.1071</v>
      </c>
      <c r="E4294" s="6" t="inlineStr">
        <is>
          <t>2023-09</t>
        </is>
      </c>
      <c r="F4294" s="6" t="n"/>
      <c r="G4294" s="6" t="inlineStr">
        <is>
          <t>EXPORTACAO</t>
        </is>
      </c>
      <c r="H4294" s="6" t="inlineStr">
        <is>
          <t>AUTO_OFERTA_TOTAL_PRODUTO_PERIODO</t>
        </is>
      </c>
      <c r="I4294" s="11">
        <f>IF($H4294="AUTO_OFERTA_TOTAL_PRODUTO_PERIODO",SUMIFS(Oferta!$F:$F,Oferta!$A:$A,$A4294,Oferta!$E:$E,$E4294),$F4294)</f>
        <v/>
      </c>
      <c r="J4294" s="6" t="inlineStr">
        <is>
          <t>Derivado_da_Oferta</t>
        </is>
      </c>
      <c r="K4294" s="6" t="inlineStr">
        <is>
          <t>Mercado externo: limite superior calculado automaticamente pela soma da oferta do produto no período.</t>
        </is>
      </c>
    </row>
    <row r="4295">
      <c r="A4295" s="6" t="inlineStr">
        <is>
          <t>Soja</t>
        </is>
      </c>
      <c r="B4295" s="6" t="inlineStr">
        <is>
          <t>Rio Grande - RS</t>
        </is>
      </c>
      <c r="C4295" s="6" t="n">
        <v>-32.0349</v>
      </c>
      <c r="D4295" s="6" t="n">
        <v>-52.1071</v>
      </c>
      <c r="E4295" s="6" t="inlineStr">
        <is>
          <t>2023-10</t>
        </is>
      </c>
      <c r="F4295" s="6" t="n"/>
      <c r="G4295" s="6" t="inlineStr">
        <is>
          <t>EXPORTACAO</t>
        </is>
      </c>
      <c r="H4295" s="6" t="inlineStr">
        <is>
          <t>AUTO_OFERTA_TOTAL_PRODUTO_PERIODO</t>
        </is>
      </c>
      <c r="I4295" s="11">
        <f>IF($H4295="AUTO_OFERTA_TOTAL_PRODUTO_PERIODO",SUMIFS(Oferta!$F:$F,Oferta!$A:$A,$A4295,Oferta!$E:$E,$E4295),$F4295)</f>
        <v/>
      </c>
      <c r="J4295" s="6" t="inlineStr">
        <is>
          <t>Derivado_da_Oferta</t>
        </is>
      </c>
      <c r="K4295" s="6" t="inlineStr">
        <is>
          <t>Mercado externo: limite superior calculado automaticamente pela soma da oferta do produto no período.</t>
        </is>
      </c>
    </row>
    <row r="4296">
      <c r="A4296" s="6" t="inlineStr">
        <is>
          <t>Soja</t>
        </is>
      </c>
      <c r="B4296" s="6" t="inlineStr">
        <is>
          <t>Rio Grande - RS</t>
        </is>
      </c>
      <c r="C4296" s="6" t="n">
        <v>-32.0349</v>
      </c>
      <c r="D4296" s="6" t="n">
        <v>-52.1071</v>
      </c>
      <c r="E4296" s="6" t="inlineStr">
        <is>
          <t>2023-11</t>
        </is>
      </c>
      <c r="F4296" s="6" t="n"/>
      <c r="G4296" s="6" t="inlineStr">
        <is>
          <t>EXPORTACAO</t>
        </is>
      </c>
      <c r="H4296" s="6" t="inlineStr">
        <is>
          <t>AUTO_OFERTA_TOTAL_PRODUTO_PERIODO</t>
        </is>
      </c>
      <c r="I4296" s="11">
        <f>IF($H4296="AUTO_OFERTA_TOTAL_PRODUTO_PERIODO",SUMIFS(Oferta!$F:$F,Oferta!$A:$A,$A4296,Oferta!$E:$E,$E4296),$F4296)</f>
        <v/>
      </c>
      <c r="J4296" s="6" t="inlineStr">
        <is>
          <t>Derivado_da_Oferta</t>
        </is>
      </c>
      <c r="K4296" s="6" t="inlineStr">
        <is>
          <t>Mercado externo: limite superior calculado automaticamente pela soma da oferta do produto no período.</t>
        </is>
      </c>
    </row>
    <row r="4297">
      <c r="A4297" s="6" t="inlineStr">
        <is>
          <t>Soja</t>
        </is>
      </c>
      <c r="B4297" s="6" t="inlineStr">
        <is>
          <t>Rio Grande - RS</t>
        </is>
      </c>
      <c r="C4297" s="6" t="n">
        <v>-32.0349</v>
      </c>
      <c r="D4297" s="6" t="n">
        <v>-52.1071</v>
      </c>
      <c r="E4297" s="6" t="inlineStr">
        <is>
          <t>2023-12</t>
        </is>
      </c>
      <c r="F4297" s="6" t="n"/>
      <c r="G4297" s="6" t="inlineStr">
        <is>
          <t>EXPORTACAO</t>
        </is>
      </c>
      <c r="H4297" s="6" t="inlineStr">
        <is>
          <t>AUTO_OFERTA_TOTAL_PRODUTO_PERIODO</t>
        </is>
      </c>
      <c r="I4297" s="11">
        <f>IF($H4297="AUTO_OFERTA_TOTAL_PRODUTO_PERIODO",SUMIFS(Oferta!$F:$F,Oferta!$A:$A,$A4297,Oferta!$E:$E,$E4297),$F4297)</f>
        <v/>
      </c>
      <c r="J4297" s="6" t="inlineStr">
        <is>
          <t>Derivado_da_Oferta</t>
        </is>
      </c>
      <c r="K4297" s="6" t="inlineStr">
        <is>
          <t>Mercado externo: limite superior calculado automaticamente pela soma da oferta do produto no período.</t>
        </is>
      </c>
    </row>
    <row r="4298">
      <c r="A4298" s="6" t="inlineStr">
        <is>
          <t>Soja</t>
        </is>
      </c>
      <c r="B4298" s="6" t="inlineStr">
        <is>
          <t>Rio Grande - RS</t>
        </is>
      </c>
      <c r="C4298" s="6" t="n">
        <v>-32.0349</v>
      </c>
      <c r="D4298" s="6" t="n">
        <v>-52.1071</v>
      </c>
      <c r="E4298" s="6" t="inlineStr">
        <is>
          <t>2024-01</t>
        </is>
      </c>
      <c r="F4298" s="6" t="n"/>
      <c r="G4298" s="6" t="inlineStr">
        <is>
          <t>EXPORTACAO</t>
        </is>
      </c>
      <c r="H4298" s="6" t="inlineStr">
        <is>
          <t>AUTO_OFERTA_TOTAL_PRODUTO_PERIODO</t>
        </is>
      </c>
      <c r="I4298" s="11">
        <f>IF($H4298="AUTO_OFERTA_TOTAL_PRODUTO_PERIODO",SUMIFS(Oferta!$F:$F,Oferta!$A:$A,$A4298,Oferta!$E:$E,$E4298),$F4298)</f>
        <v/>
      </c>
      <c r="J4298" s="6" t="inlineStr">
        <is>
          <t>Derivado_da_Oferta</t>
        </is>
      </c>
      <c r="K4298" s="6" t="inlineStr">
        <is>
          <t>Mercado externo: limite superior calculado automaticamente pela soma da oferta do produto no período.</t>
        </is>
      </c>
    </row>
    <row r="4299">
      <c r="A4299" s="6" t="inlineStr">
        <is>
          <t>Soja</t>
        </is>
      </c>
      <c r="B4299" s="6" t="inlineStr">
        <is>
          <t>Rio Grande - RS</t>
        </is>
      </c>
      <c r="C4299" s="6" t="n">
        <v>-32.0349</v>
      </c>
      <c r="D4299" s="6" t="n">
        <v>-52.1071</v>
      </c>
      <c r="E4299" s="6" t="inlineStr">
        <is>
          <t>2024-02</t>
        </is>
      </c>
      <c r="F4299" s="6" t="n"/>
      <c r="G4299" s="6" t="inlineStr">
        <is>
          <t>EXPORTACAO</t>
        </is>
      </c>
      <c r="H4299" s="6" t="inlineStr">
        <is>
          <t>AUTO_OFERTA_TOTAL_PRODUTO_PERIODO</t>
        </is>
      </c>
      <c r="I4299" s="11">
        <f>IF($H4299="AUTO_OFERTA_TOTAL_PRODUTO_PERIODO",SUMIFS(Oferta!$F:$F,Oferta!$A:$A,$A4299,Oferta!$E:$E,$E4299),$F4299)</f>
        <v/>
      </c>
      <c r="J4299" s="6" t="inlineStr">
        <is>
          <t>Derivado_da_Oferta</t>
        </is>
      </c>
      <c r="K4299" s="6" t="inlineStr">
        <is>
          <t>Mercado externo: limite superior calculado automaticamente pela soma da oferta do produto no período.</t>
        </is>
      </c>
    </row>
    <row r="4300">
      <c r="A4300" s="6" t="inlineStr">
        <is>
          <t>Soja</t>
        </is>
      </c>
      <c r="B4300" s="6" t="inlineStr">
        <is>
          <t>Rio Grande - RS</t>
        </is>
      </c>
      <c r="C4300" s="6" t="n">
        <v>-32.0349</v>
      </c>
      <c r="D4300" s="6" t="n">
        <v>-52.1071</v>
      </c>
      <c r="E4300" s="6" t="inlineStr">
        <is>
          <t>2024-03</t>
        </is>
      </c>
      <c r="F4300" s="6" t="n"/>
      <c r="G4300" s="6" t="inlineStr">
        <is>
          <t>EXPORTACAO</t>
        </is>
      </c>
      <c r="H4300" s="6" t="inlineStr">
        <is>
          <t>AUTO_OFERTA_TOTAL_PRODUTO_PERIODO</t>
        </is>
      </c>
      <c r="I4300" s="11">
        <f>IF($H4300="AUTO_OFERTA_TOTAL_PRODUTO_PERIODO",SUMIFS(Oferta!$F:$F,Oferta!$A:$A,$A4300,Oferta!$E:$E,$E4300),$F4300)</f>
        <v/>
      </c>
      <c r="J4300" s="6" t="inlineStr">
        <is>
          <t>Derivado_da_Oferta</t>
        </is>
      </c>
      <c r="K4300" s="6" t="inlineStr">
        <is>
          <t>Mercado externo: limite superior calculado automaticamente pela soma da oferta do produto no período.</t>
        </is>
      </c>
    </row>
    <row r="4301">
      <c r="A4301" s="6" t="inlineStr">
        <is>
          <t>Soja</t>
        </is>
      </c>
      <c r="B4301" s="6" t="inlineStr">
        <is>
          <t>Rio Grande - RS</t>
        </is>
      </c>
      <c r="C4301" s="6" t="n">
        <v>-32.0349</v>
      </c>
      <c r="D4301" s="6" t="n">
        <v>-52.1071</v>
      </c>
      <c r="E4301" s="6" t="inlineStr">
        <is>
          <t>2024-04</t>
        </is>
      </c>
      <c r="F4301" s="6" t="n"/>
      <c r="G4301" s="6" t="inlineStr">
        <is>
          <t>EXPORTACAO</t>
        </is>
      </c>
      <c r="H4301" s="6" t="inlineStr">
        <is>
          <t>AUTO_OFERTA_TOTAL_PRODUTO_PERIODO</t>
        </is>
      </c>
      <c r="I4301" s="11">
        <f>IF($H4301="AUTO_OFERTA_TOTAL_PRODUTO_PERIODO",SUMIFS(Oferta!$F:$F,Oferta!$A:$A,$A4301,Oferta!$E:$E,$E4301),$F4301)</f>
        <v/>
      </c>
      <c r="J4301" s="6" t="inlineStr">
        <is>
          <t>Derivado_da_Oferta</t>
        </is>
      </c>
      <c r="K4301" s="6" t="inlineStr">
        <is>
          <t>Mercado externo: limite superior calculado automaticamente pela soma da oferta do produto no período.</t>
        </is>
      </c>
    </row>
    <row r="4302">
      <c r="A4302" s="6" t="inlineStr">
        <is>
          <t>Soja</t>
        </is>
      </c>
      <c r="B4302" s="6" t="inlineStr">
        <is>
          <t>Rio Grande - RS</t>
        </is>
      </c>
      <c r="C4302" s="6" t="n">
        <v>-32.0349</v>
      </c>
      <c r="D4302" s="6" t="n">
        <v>-52.1071</v>
      </c>
      <c r="E4302" s="6" t="inlineStr">
        <is>
          <t>2024-05</t>
        </is>
      </c>
      <c r="F4302" s="6" t="n"/>
      <c r="G4302" s="6" t="inlineStr">
        <is>
          <t>EXPORTACAO</t>
        </is>
      </c>
      <c r="H4302" s="6" t="inlineStr">
        <is>
          <t>AUTO_OFERTA_TOTAL_PRODUTO_PERIODO</t>
        </is>
      </c>
      <c r="I4302" s="11">
        <f>IF($H4302="AUTO_OFERTA_TOTAL_PRODUTO_PERIODO",SUMIFS(Oferta!$F:$F,Oferta!$A:$A,$A4302,Oferta!$E:$E,$E4302),$F4302)</f>
        <v/>
      </c>
      <c r="J4302" s="6" t="inlineStr">
        <is>
          <t>Derivado_da_Oferta</t>
        </is>
      </c>
      <c r="K4302" s="6" t="inlineStr">
        <is>
          <t>Mercado externo: limite superior calculado automaticamente pela soma da oferta do produto no período.</t>
        </is>
      </c>
    </row>
    <row r="4303">
      <c r="A4303" s="6" t="inlineStr">
        <is>
          <t>Soja</t>
        </is>
      </c>
      <c r="B4303" s="6" t="inlineStr">
        <is>
          <t>Rio Grande - RS</t>
        </is>
      </c>
      <c r="C4303" s="6" t="n">
        <v>-32.0349</v>
      </c>
      <c r="D4303" s="6" t="n">
        <v>-52.1071</v>
      </c>
      <c r="E4303" s="6" t="inlineStr">
        <is>
          <t>2024-06</t>
        </is>
      </c>
      <c r="F4303" s="6" t="n"/>
      <c r="G4303" s="6" t="inlineStr">
        <is>
          <t>EXPORTACAO</t>
        </is>
      </c>
      <c r="H4303" s="6" t="inlineStr">
        <is>
          <t>AUTO_OFERTA_TOTAL_PRODUTO_PERIODO</t>
        </is>
      </c>
      <c r="I4303" s="11">
        <f>IF($H4303="AUTO_OFERTA_TOTAL_PRODUTO_PERIODO",SUMIFS(Oferta!$F:$F,Oferta!$A:$A,$A4303,Oferta!$E:$E,$E4303),$F4303)</f>
        <v/>
      </c>
      <c r="J4303" s="6" t="inlineStr">
        <is>
          <t>Derivado_da_Oferta</t>
        </is>
      </c>
      <c r="K4303" s="6" t="inlineStr">
        <is>
          <t>Mercado externo: limite superior calculado automaticamente pela soma da oferta do produto no período.</t>
        </is>
      </c>
    </row>
    <row r="4304">
      <c r="A4304" s="6" t="inlineStr">
        <is>
          <t>Soja</t>
        </is>
      </c>
      <c r="B4304" s="6" t="inlineStr">
        <is>
          <t>Rio Grande - RS</t>
        </is>
      </c>
      <c r="C4304" s="6" t="n">
        <v>-32.0349</v>
      </c>
      <c r="D4304" s="6" t="n">
        <v>-52.1071</v>
      </c>
      <c r="E4304" s="6" t="inlineStr">
        <is>
          <t>2024-07</t>
        </is>
      </c>
      <c r="F4304" s="6" t="n"/>
      <c r="G4304" s="6" t="inlineStr">
        <is>
          <t>EXPORTACAO</t>
        </is>
      </c>
      <c r="H4304" s="6" t="inlineStr">
        <is>
          <t>AUTO_OFERTA_TOTAL_PRODUTO_PERIODO</t>
        </is>
      </c>
      <c r="I4304" s="11">
        <f>IF($H4304="AUTO_OFERTA_TOTAL_PRODUTO_PERIODO",SUMIFS(Oferta!$F:$F,Oferta!$A:$A,$A4304,Oferta!$E:$E,$E4304),$F4304)</f>
        <v/>
      </c>
      <c r="J4304" s="6" t="inlineStr">
        <is>
          <t>Derivado_da_Oferta</t>
        </is>
      </c>
      <c r="K4304" s="6" t="inlineStr">
        <is>
          <t>Mercado externo: limite superior calculado automaticamente pela soma da oferta do produto no período.</t>
        </is>
      </c>
    </row>
    <row r="4305">
      <c r="A4305" s="6" t="inlineStr">
        <is>
          <t>Soja</t>
        </is>
      </c>
      <c r="B4305" s="6" t="inlineStr">
        <is>
          <t>Rio Grande - RS</t>
        </is>
      </c>
      <c r="C4305" s="6" t="n">
        <v>-32.0349</v>
      </c>
      <c r="D4305" s="6" t="n">
        <v>-52.1071</v>
      </c>
      <c r="E4305" s="6" t="inlineStr">
        <is>
          <t>2024-08</t>
        </is>
      </c>
      <c r="F4305" s="6" t="n"/>
      <c r="G4305" s="6" t="inlineStr">
        <is>
          <t>EXPORTACAO</t>
        </is>
      </c>
      <c r="H4305" s="6" t="inlineStr">
        <is>
          <t>AUTO_OFERTA_TOTAL_PRODUTO_PERIODO</t>
        </is>
      </c>
      <c r="I4305" s="11">
        <f>IF($H4305="AUTO_OFERTA_TOTAL_PRODUTO_PERIODO",SUMIFS(Oferta!$F:$F,Oferta!$A:$A,$A4305,Oferta!$E:$E,$E4305),$F4305)</f>
        <v/>
      </c>
      <c r="J4305" s="6" t="inlineStr">
        <is>
          <t>Derivado_da_Oferta</t>
        </is>
      </c>
      <c r="K4305" s="6" t="inlineStr">
        <is>
          <t>Mercado externo: limite superior calculado automaticamente pela soma da oferta do produto no período.</t>
        </is>
      </c>
    </row>
    <row r="4306">
      <c r="A4306" s="6" t="inlineStr">
        <is>
          <t>Soja</t>
        </is>
      </c>
      <c r="B4306" s="6" t="inlineStr">
        <is>
          <t>Rio Grande - RS</t>
        </is>
      </c>
      <c r="C4306" s="6" t="n">
        <v>-32.0349</v>
      </c>
      <c r="D4306" s="6" t="n">
        <v>-52.1071</v>
      </c>
      <c r="E4306" s="6" t="inlineStr">
        <is>
          <t>2024-09</t>
        </is>
      </c>
      <c r="F4306" s="6" t="n"/>
      <c r="G4306" s="6" t="inlineStr">
        <is>
          <t>EXPORTACAO</t>
        </is>
      </c>
      <c r="H4306" s="6" t="inlineStr">
        <is>
          <t>AUTO_OFERTA_TOTAL_PRODUTO_PERIODO</t>
        </is>
      </c>
      <c r="I4306" s="11">
        <f>IF($H4306="AUTO_OFERTA_TOTAL_PRODUTO_PERIODO",SUMIFS(Oferta!$F:$F,Oferta!$A:$A,$A4306,Oferta!$E:$E,$E4306),$F4306)</f>
        <v/>
      </c>
      <c r="J4306" s="6" t="inlineStr">
        <is>
          <t>Derivado_da_Oferta</t>
        </is>
      </c>
      <c r="K4306" s="6" t="inlineStr">
        <is>
          <t>Mercado externo: limite superior calculado automaticamente pela soma da oferta do produto no período.</t>
        </is>
      </c>
    </row>
    <row r="4307">
      <c r="A4307" s="6" t="inlineStr">
        <is>
          <t>Soja</t>
        </is>
      </c>
      <c r="B4307" s="6" t="inlineStr">
        <is>
          <t>Rio Grande - RS</t>
        </is>
      </c>
      <c r="C4307" s="6" t="n">
        <v>-32.0349</v>
      </c>
      <c r="D4307" s="6" t="n">
        <v>-52.1071</v>
      </c>
      <c r="E4307" s="6" t="inlineStr">
        <is>
          <t>2024-10</t>
        </is>
      </c>
      <c r="F4307" s="6" t="n"/>
      <c r="G4307" s="6" t="inlineStr">
        <is>
          <t>EXPORTACAO</t>
        </is>
      </c>
      <c r="H4307" s="6" t="inlineStr">
        <is>
          <t>AUTO_OFERTA_TOTAL_PRODUTO_PERIODO</t>
        </is>
      </c>
      <c r="I4307" s="11">
        <f>IF($H4307="AUTO_OFERTA_TOTAL_PRODUTO_PERIODO",SUMIFS(Oferta!$F:$F,Oferta!$A:$A,$A4307,Oferta!$E:$E,$E4307),$F4307)</f>
        <v/>
      </c>
      <c r="J4307" s="6" t="inlineStr">
        <is>
          <t>Derivado_da_Oferta</t>
        </is>
      </c>
      <c r="K4307" s="6" t="inlineStr">
        <is>
          <t>Mercado externo: limite superior calculado automaticamente pela soma da oferta do produto no período.</t>
        </is>
      </c>
    </row>
    <row r="4308">
      <c r="A4308" s="6" t="inlineStr">
        <is>
          <t>Soja</t>
        </is>
      </c>
      <c r="B4308" s="6" t="inlineStr">
        <is>
          <t>Rio Grande - RS</t>
        </is>
      </c>
      <c r="C4308" s="6" t="n">
        <v>-32.0349</v>
      </c>
      <c r="D4308" s="6" t="n">
        <v>-52.1071</v>
      </c>
      <c r="E4308" s="6" t="inlineStr">
        <is>
          <t>2024-11</t>
        </is>
      </c>
      <c r="F4308" s="6" t="n"/>
      <c r="G4308" s="6" t="inlineStr">
        <is>
          <t>EXPORTACAO</t>
        </is>
      </c>
      <c r="H4308" s="6" t="inlineStr">
        <is>
          <t>AUTO_OFERTA_TOTAL_PRODUTO_PERIODO</t>
        </is>
      </c>
      <c r="I4308" s="11">
        <f>IF($H4308="AUTO_OFERTA_TOTAL_PRODUTO_PERIODO",SUMIFS(Oferta!$F:$F,Oferta!$A:$A,$A4308,Oferta!$E:$E,$E4308),$F4308)</f>
        <v/>
      </c>
      <c r="J4308" s="6" t="inlineStr">
        <is>
          <t>Derivado_da_Oferta</t>
        </is>
      </c>
      <c r="K4308" s="6" t="inlineStr">
        <is>
          <t>Mercado externo: limite superior calculado automaticamente pela soma da oferta do produto no período.</t>
        </is>
      </c>
    </row>
    <row r="4309">
      <c r="A4309" s="6" t="inlineStr">
        <is>
          <t>Soja</t>
        </is>
      </c>
      <c r="B4309" s="6" t="inlineStr">
        <is>
          <t>Rio Grande - RS</t>
        </is>
      </c>
      <c r="C4309" s="6" t="n">
        <v>-32.0349</v>
      </c>
      <c r="D4309" s="6" t="n">
        <v>-52.1071</v>
      </c>
      <c r="E4309" s="6" t="inlineStr">
        <is>
          <t>2024-12</t>
        </is>
      </c>
      <c r="F4309" s="6" t="n"/>
      <c r="G4309" s="6" t="inlineStr">
        <is>
          <t>EXPORTACAO</t>
        </is>
      </c>
      <c r="H4309" s="6" t="inlineStr">
        <is>
          <t>AUTO_OFERTA_TOTAL_PRODUTO_PERIODO</t>
        </is>
      </c>
      <c r="I4309" s="11">
        <f>IF($H4309="AUTO_OFERTA_TOTAL_PRODUTO_PERIODO",SUMIFS(Oferta!$F:$F,Oferta!$A:$A,$A4309,Oferta!$E:$E,$E4309),$F4309)</f>
        <v/>
      </c>
      <c r="J4309" s="6" t="inlineStr">
        <is>
          <t>Derivado_da_Oferta</t>
        </is>
      </c>
      <c r="K4309" s="6" t="inlineStr">
        <is>
          <t>Mercado externo: limite superior calculado automaticamente pela soma da oferta do produto no período.</t>
        </is>
      </c>
    </row>
    <row r="4310">
      <c r="A4310" s="6" t="inlineStr">
        <is>
          <t>Soja</t>
        </is>
      </c>
      <c r="B4310" s="6" t="inlineStr">
        <is>
          <t>Rio Grande - RS</t>
        </is>
      </c>
      <c r="C4310" s="6" t="n">
        <v>-32.0349</v>
      </c>
      <c r="D4310" s="6" t="n">
        <v>-52.1071</v>
      </c>
      <c r="E4310" s="6" t="inlineStr">
        <is>
          <t>2025-01</t>
        </is>
      </c>
      <c r="F4310" s="6" t="n"/>
      <c r="G4310" s="6" t="inlineStr">
        <is>
          <t>EXPORTACAO</t>
        </is>
      </c>
      <c r="H4310" s="6" t="inlineStr">
        <is>
          <t>AUTO_OFERTA_TOTAL_PRODUTO_PERIODO</t>
        </is>
      </c>
      <c r="I4310" s="11">
        <f>IF($H4310="AUTO_OFERTA_TOTAL_PRODUTO_PERIODO",SUMIFS(Oferta!$F:$F,Oferta!$A:$A,$A4310,Oferta!$E:$E,$E4310),$F4310)</f>
        <v/>
      </c>
      <c r="J4310" s="6" t="inlineStr">
        <is>
          <t>Derivado_da_Oferta</t>
        </is>
      </c>
      <c r="K4310" s="6" t="inlineStr">
        <is>
          <t>Mercado externo: limite superior calculado automaticamente pela soma da oferta do produto no período.</t>
        </is>
      </c>
    </row>
    <row r="4311">
      <c r="A4311" s="6" t="inlineStr">
        <is>
          <t>Soja</t>
        </is>
      </c>
      <c r="B4311" s="6" t="inlineStr">
        <is>
          <t>Rio Grande - RS</t>
        </is>
      </c>
      <c r="C4311" s="6" t="n">
        <v>-32.0349</v>
      </c>
      <c r="D4311" s="6" t="n">
        <v>-52.1071</v>
      </c>
      <c r="E4311" s="6" t="inlineStr">
        <is>
          <t>2025-02</t>
        </is>
      </c>
      <c r="F4311" s="6" t="n"/>
      <c r="G4311" s="6" t="inlineStr">
        <is>
          <t>EXPORTACAO</t>
        </is>
      </c>
      <c r="H4311" s="6" t="inlineStr">
        <is>
          <t>AUTO_OFERTA_TOTAL_PRODUTO_PERIODO</t>
        </is>
      </c>
      <c r="I4311" s="11">
        <f>IF($H4311="AUTO_OFERTA_TOTAL_PRODUTO_PERIODO",SUMIFS(Oferta!$F:$F,Oferta!$A:$A,$A4311,Oferta!$E:$E,$E4311),$F4311)</f>
        <v/>
      </c>
      <c r="J4311" s="6" t="inlineStr">
        <is>
          <t>Derivado_da_Oferta</t>
        </is>
      </c>
      <c r="K4311" s="6" t="inlineStr">
        <is>
          <t>Mercado externo: limite superior calculado automaticamente pela soma da oferta do produto no período.</t>
        </is>
      </c>
    </row>
    <row r="4312">
      <c r="A4312" s="6" t="inlineStr">
        <is>
          <t>Soja</t>
        </is>
      </c>
      <c r="B4312" s="6" t="inlineStr">
        <is>
          <t>Rio Grande - RS</t>
        </is>
      </c>
      <c r="C4312" s="6" t="n">
        <v>-32.0349</v>
      </c>
      <c r="D4312" s="6" t="n">
        <v>-52.1071</v>
      </c>
      <c r="E4312" s="6" t="inlineStr">
        <is>
          <t>2025-03</t>
        </is>
      </c>
      <c r="F4312" s="6" t="n"/>
      <c r="G4312" s="6" t="inlineStr">
        <is>
          <t>EXPORTACAO</t>
        </is>
      </c>
      <c r="H4312" s="6" t="inlineStr">
        <is>
          <t>AUTO_OFERTA_TOTAL_PRODUTO_PERIODO</t>
        </is>
      </c>
      <c r="I4312" s="11">
        <f>IF($H4312="AUTO_OFERTA_TOTAL_PRODUTO_PERIODO",SUMIFS(Oferta!$F:$F,Oferta!$A:$A,$A4312,Oferta!$E:$E,$E4312),$F4312)</f>
        <v/>
      </c>
      <c r="J4312" s="6" t="inlineStr">
        <is>
          <t>Derivado_da_Oferta</t>
        </is>
      </c>
      <c r="K4312" s="6" t="inlineStr">
        <is>
          <t>Mercado externo: limite superior calculado automaticamente pela soma da oferta do produto no período.</t>
        </is>
      </c>
    </row>
    <row r="4313">
      <c r="A4313" s="6" t="inlineStr">
        <is>
          <t>Soja</t>
        </is>
      </c>
      <c r="B4313" s="6" t="inlineStr">
        <is>
          <t>Rio Grande - RS</t>
        </is>
      </c>
      <c r="C4313" s="6" t="n">
        <v>-32.0349</v>
      </c>
      <c r="D4313" s="6" t="n">
        <v>-52.1071</v>
      </c>
      <c r="E4313" s="6" t="inlineStr">
        <is>
          <t>2025-04</t>
        </is>
      </c>
      <c r="F4313" s="6" t="n"/>
      <c r="G4313" s="6" t="inlineStr">
        <is>
          <t>EXPORTACAO</t>
        </is>
      </c>
      <c r="H4313" s="6" t="inlineStr">
        <is>
          <t>AUTO_OFERTA_TOTAL_PRODUTO_PERIODO</t>
        </is>
      </c>
      <c r="I4313" s="11">
        <f>IF($H4313="AUTO_OFERTA_TOTAL_PRODUTO_PERIODO",SUMIFS(Oferta!$F:$F,Oferta!$A:$A,$A4313,Oferta!$E:$E,$E4313),$F4313)</f>
        <v/>
      </c>
      <c r="J4313" s="6" t="inlineStr">
        <is>
          <t>Derivado_da_Oferta</t>
        </is>
      </c>
      <c r="K4313" s="6" t="inlineStr">
        <is>
          <t>Mercado externo: limite superior calculado automaticamente pela soma da oferta do produto no período.</t>
        </is>
      </c>
    </row>
    <row r="4314">
      <c r="A4314" s="6" t="inlineStr">
        <is>
          <t>Soja</t>
        </is>
      </c>
      <c r="B4314" s="6" t="inlineStr">
        <is>
          <t>Rio Grande - RS</t>
        </is>
      </c>
      <c r="C4314" s="6" t="n">
        <v>-32.0349</v>
      </c>
      <c r="D4314" s="6" t="n">
        <v>-52.1071</v>
      </c>
      <c r="E4314" s="6" t="inlineStr">
        <is>
          <t>2025-05</t>
        </is>
      </c>
      <c r="F4314" s="6" t="n"/>
      <c r="G4314" s="6" t="inlineStr">
        <is>
          <t>EXPORTACAO</t>
        </is>
      </c>
      <c r="H4314" s="6" t="inlineStr">
        <is>
          <t>AUTO_OFERTA_TOTAL_PRODUTO_PERIODO</t>
        </is>
      </c>
      <c r="I4314" s="11">
        <f>IF($H4314="AUTO_OFERTA_TOTAL_PRODUTO_PERIODO",SUMIFS(Oferta!$F:$F,Oferta!$A:$A,$A4314,Oferta!$E:$E,$E4314),$F4314)</f>
        <v/>
      </c>
      <c r="J4314" s="6" t="inlineStr">
        <is>
          <t>Derivado_da_Oferta</t>
        </is>
      </c>
      <c r="K4314" s="6" t="inlineStr">
        <is>
          <t>Mercado externo: limite superior calculado automaticamente pela soma da oferta do produto no período.</t>
        </is>
      </c>
    </row>
    <row r="4315">
      <c r="A4315" s="6" t="inlineStr">
        <is>
          <t>Soja</t>
        </is>
      </c>
      <c r="B4315" s="6" t="inlineStr">
        <is>
          <t>Rio Grande - RS</t>
        </is>
      </c>
      <c r="C4315" s="6" t="n">
        <v>-32.0349</v>
      </c>
      <c r="D4315" s="6" t="n">
        <v>-52.1071</v>
      </c>
      <c r="E4315" s="6" t="inlineStr">
        <is>
          <t>2025-06</t>
        </is>
      </c>
      <c r="F4315" s="6" t="n"/>
      <c r="G4315" s="6" t="inlineStr">
        <is>
          <t>EXPORTACAO</t>
        </is>
      </c>
      <c r="H4315" s="6" t="inlineStr">
        <is>
          <t>AUTO_OFERTA_TOTAL_PRODUTO_PERIODO</t>
        </is>
      </c>
      <c r="I4315" s="11">
        <f>IF($H4315="AUTO_OFERTA_TOTAL_PRODUTO_PERIODO",SUMIFS(Oferta!$F:$F,Oferta!$A:$A,$A4315,Oferta!$E:$E,$E4315),$F4315)</f>
        <v/>
      </c>
      <c r="J4315" s="6" t="inlineStr">
        <is>
          <t>Derivado_da_Oferta</t>
        </is>
      </c>
      <c r="K4315" s="6" t="inlineStr">
        <is>
          <t>Mercado externo: limite superior calculado automaticamente pela soma da oferta do produto no período.</t>
        </is>
      </c>
    </row>
    <row r="4316">
      <c r="A4316" s="6" t="inlineStr">
        <is>
          <t>Soja</t>
        </is>
      </c>
      <c r="B4316" s="6" t="inlineStr">
        <is>
          <t>Rio Grande - RS</t>
        </is>
      </c>
      <c r="C4316" s="6" t="n">
        <v>-32.0349</v>
      </c>
      <c r="D4316" s="6" t="n">
        <v>-52.1071</v>
      </c>
      <c r="E4316" s="6" t="inlineStr">
        <is>
          <t>2025-07</t>
        </is>
      </c>
      <c r="F4316" s="6" t="n"/>
      <c r="G4316" s="6" t="inlineStr">
        <is>
          <t>EXPORTACAO</t>
        </is>
      </c>
      <c r="H4316" s="6" t="inlineStr">
        <is>
          <t>AUTO_OFERTA_TOTAL_PRODUTO_PERIODO</t>
        </is>
      </c>
      <c r="I4316" s="11">
        <f>IF($H4316="AUTO_OFERTA_TOTAL_PRODUTO_PERIODO",SUMIFS(Oferta!$F:$F,Oferta!$A:$A,$A4316,Oferta!$E:$E,$E4316),$F4316)</f>
        <v/>
      </c>
      <c r="J4316" s="6" t="inlineStr">
        <is>
          <t>Derivado_da_Oferta</t>
        </is>
      </c>
      <c r="K4316" s="6" t="inlineStr">
        <is>
          <t>Mercado externo: limite superior calculado automaticamente pela soma da oferta do produto no período.</t>
        </is>
      </c>
    </row>
    <row r="4317">
      <c r="A4317" s="6" t="inlineStr">
        <is>
          <t>Soja</t>
        </is>
      </c>
      <c r="B4317" s="6" t="inlineStr">
        <is>
          <t>Rio Grande - RS</t>
        </is>
      </c>
      <c r="C4317" s="6" t="n">
        <v>-32.0349</v>
      </c>
      <c r="D4317" s="6" t="n">
        <v>-52.1071</v>
      </c>
      <c r="E4317" s="6" t="inlineStr">
        <is>
          <t>2025-08</t>
        </is>
      </c>
      <c r="F4317" s="6" t="n"/>
      <c r="G4317" s="6" t="inlineStr">
        <is>
          <t>EXPORTACAO</t>
        </is>
      </c>
      <c r="H4317" s="6" t="inlineStr">
        <is>
          <t>AUTO_OFERTA_TOTAL_PRODUTO_PERIODO</t>
        </is>
      </c>
      <c r="I4317" s="11">
        <f>IF($H4317="AUTO_OFERTA_TOTAL_PRODUTO_PERIODO",SUMIFS(Oferta!$F:$F,Oferta!$A:$A,$A4317,Oferta!$E:$E,$E4317),$F4317)</f>
        <v/>
      </c>
      <c r="J4317" s="6" t="inlineStr">
        <is>
          <t>Derivado_da_Oferta</t>
        </is>
      </c>
      <c r="K4317" s="6" t="inlineStr">
        <is>
          <t>Mercado externo: limite superior calculado automaticamente pela soma da oferta do produto no período.</t>
        </is>
      </c>
    </row>
    <row r="4318">
      <c r="A4318" s="6" t="inlineStr">
        <is>
          <t>Soja</t>
        </is>
      </c>
      <c r="B4318" s="6" t="inlineStr">
        <is>
          <t>Rio Grande - RS</t>
        </is>
      </c>
      <c r="C4318" s="6" t="n">
        <v>-32.0349</v>
      </c>
      <c r="D4318" s="6" t="n">
        <v>-52.1071</v>
      </c>
      <c r="E4318" s="6" t="inlineStr">
        <is>
          <t>2025-09</t>
        </is>
      </c>
      <c r="F4318" s="6" t="n"/>
      <c r="G4318" s="6" t="inlineStr">
        <is>
          <t>EXPORTACAO</t>
        </is>
      </c>
      <c r="H4318" s="6" t="inlineStr">
        <is>
          <t>AUTO_OFERTA_TOTAL_PRODUTO_PERIODO</t>
        </is>
      </c>
      <c r="I4318" s="11">
        <f>IF($H4318="AUTO_OFERTA_TOTAL_PRODUTO_PERIODO",SUMIFS(Oferta!$F:$F,Oferta!$A:$A,$A4318,Oferta!$E:$E,$E4318),$F4318)</f>
        <v/>
      </c>
      <c r="J4318" s="6" t="inlineStr">
        <is>
          <t>Derivado_da_Oferta</t>
        </is>
      </c>
      <c r="K4318" s="6" t="inlineStr">
        <is>
          <t>Mercado externo: limite superior calculado automaticamente pela soma da oferta do produto no período.</t>
        </is>
      </c>
    </row>
    <row r="4319">
      <c r="A4319" s="6" t="inlineStr">
        <is>
          <t>Soja</t>
        </is>
      </c>
      <c r="B4319" s="6" t="inlineStr">
        <is>
          <t>Rio Grande - RS</t>
        </is>
      </c>
      <c r="C4319" s="6" t="n">
        <v>-32.0349</v>
      </c>
      <c r="D4319" s="6" t="n">
        <v>-52.1071</v>
      </c>
      <c r="E4319" s="6" t="inlineStr">
        <is>
          <t>2025-10</t>
        </is>
      </c>
      <c r="F4319" s="6" t="n"/>
      <c r="G4319" s="6" t="inlineStr">
        <is>
          <t>EXPORTACAO</t>
        </is>
      </c>
      <c r="H4319" s="6" t="inlineStr">
        <is>
          <t>AUTO_OFERTA_TOTAL_PRODUTO_PERIODO</t>
        </is>
      </c>
      <c r="I4319" s="11">
        <f>IF($H4319="AUTO_OFERTA_TOTAL_PRODUTO_PERIODO",SUMIFS(Oferta!$F:$F,Oferta!$A:$A,$A4319,Oferta!$E:$E,$E4319),$F4319)</f>
        <v/>
      </c>
      <c r="J4319" s="6" t="inlineStr">
        <is>
          <t>Derivado_da_Oferta</t>
        </is>
      </c>
      <c r="K4319" s="6" t="inlineStr">
        <is>
          <t>Mercado externo: limite superior calculado automaticamente pela soma da oferta do produto no período.</t>
        </is>
      </c>
    </row>
    <row r="4320">
      <c r="A4320" s="6" t="inlineStr">
        <is>
          <t>Soja</t>
        </is>
      </c>
      <c r="B4320" s="6" t="inlineStr">
        <is>
          <t>Rio Grande - RS</t>
        </is>
      </c>
      <c r="C4320" s="6" t="n">
        <v>-32.0349</v>
      </c>
      <c r="D4320" s="6" t="n">
        <v>-52.1071</v>
      </c>
      <c r="E4320" s="6" t="inlineStr">
        <is>
          <t>2025-11</t>
        </is>
      </c>
      <c r="F4320" s="6" t="n"/>
      <c r="G4320" s="6" t="inlineStr">
        <is>
          <t>EXPORTACAO</t>
        </is>
      </c>
      <c r="H4320" s="6" t="inlineStr">
        <is>
          <t>AUTO_OFERTA_TOTAL_PRODUTO_PERIODO</t>
        </is>
      </c>
      <c r="I4320" s="11">
        <f>IF($H4320="AUTO_OFERTA_TOTAL_PRODUTO_PERIODO",SUMIFS(Oferta!$F:$F,Oferta!$A:$A,$A4320,Oferta!$E:$E,$E4320),$F4320)</f>
        <v/>
      </c>
      <c r="J4320" s="6" t="inlineStr">
        <is>
          <t>Derivado_da_Oferta</t>
        </is>
      </c>
      <c r="K4320" s="6" t="inlineStr">
        <is>
          <t>Mercado externo: limite superior calculado automaticamente pela soma da oferta do produto no período.</t>
        </is>
      </c>
    </row>
    <row r="4321">
      <c r="A4321" s="6" t="inlineStr">
        <is>
          <t>Soja</t>
        </is>
      </c>
      <c r="B4321" s="6" t="inlineStr">
        <is>
          <t>Rio Grande - RS</t>
        </is>
      </c>
      <c r="C4321" s="6" t="n">
        <v>-32.0349</v>
      </c>
      <c r="D4321" s="6" t="n">
        <v>-52.1071</v>
      </c>
      <c r="E4321" s="6" t="inlineStr">
        <is>
          <t>2025-12</t>
        </is>
      </c>
      <c r="F4321" s="6" t="n"/>
      <c r="G4321" s="6" t="inlineStr">
        <is>
          <t>EXPORTACAO</t>
        </is>
      </c>
      <c r="H4321" s="6" t="inlineStr">
        <is>
          <t>AUTO_OFERTA_TOTAL_PRODUTO_PERIODO</t>
        </is>
      </c>
      <c r="I4321" s="11">
        <f>IF($H4321="AUTO_OFERTA_TOTAL_PRODUTO_PERIODO",SUMIFS(Oferta!$F:$F,Oferta!$A:$A,$A4321,Oferta!$E:$E,$E4321),$F4321)</f>
        <v/>
      </c>
      <c r="J4321" s="6" t="inlineStr">
        <is>
          <t>Derivado_da_Oferta</t>
        </is>
      </c>
      <c r="K4321" s="6" t="inlineStr">
        <is>
          <t>Mercado externo: limite superior calculado automaticamente pela soma da oferta do produto no período.</t>
        </is>
      </c>
    </row>
    <row r="4322">
      <c r="A4322" s="6" t="inlineStr">
        <is>
          <t>Milho</t>
        </is>
      </c>
      <c r="B4322" s="6" t="inlineStr">
        <is>
          <t>Vitória - ES</t>
        </is>
      </c>
      <c r="C4322" s="6" t="n">
        <v>-20.3155</v>
      </c>
      <c r="D4322" s="6" t="n">
        <v>-40.3128</v>
      </c>
      <c r="E4322" s="6" t="inlineStr">
        <is>
          <t>2021-01</t>
        </is>
      </c>
      <c r="F4322" s="6" t="n"/>
      <c r="G4322" s="6" t="inlineStr">
        <is>
          <t>EXPORTACAO</t>
        </is>
      </c>
      <c r="H4322" s="6" t="inlineStr">
        <is>
          <t>AUTO_OFERTA_TOTAL_PRODUTO_PERIODO</t>
        </is>
      </c>
      <c r="I4322" s="11">
        <f>IF($H4322="AUTO_OFERTA_TOTAL_PRODUTO_PERIODO",SUMIFS(Oferta!$F:$F,Oferta!$A:$A,$A4322,Oferta!$E:$E,$E4322),$F4322)</f>
        <v/>
      </c>
      <c r="J4322" s="6" t="inlineStr">
        <is>
          <t>Derivado_da_Oferta</t>
        </is>
      </c>
      <c r="K4322" s="6" t="inlineStr">
        <is>
          <t>Mercado externo: limite superior calculado automaticamente pela soma da oferta do produto no período.</t>
        </is>
      </c>
    </row>
    <row r="4323">
      <c r="A4323" s="6" t="inlineStr">
        <is>
          <t>Milho</t>
        </is>
      </c>
      <c r="B4323" s="6" t="inlineStr">
        <is>
          <t>Vitória - ES</t>
        </is>
      </c>
      <c r="C4323" s="6" t="n">
        <v>-20.3155</v>
      </c>
      <c r="D4323" s="6" t="n">
        <v>-40.3128</v>
      </c>
      <c r="E4323" s="6" t="inlineStr">
        <is>
          <t>2021-02</t>
        </is>
      </c>
      <c r="F4323" s="6" t="n"/>
      <c r="G4323" s="6" t="inlineStr">
        <is>
          <t>EXPORTACAO</t>
        </is>
      </c>
      <c r="H4323" s="6" t="inlineStr">
        <is>
          <t>AUTO_OFERTA_TOTAL_PRODUTO_PERIODO</t>
        </is>
      </c>
      <c r="I4323" s="11">
        <f>IF($H4323="AUTO_OFERTA_TOTAL_PRODUTO_PERIODO",SUMIFS(Oferta!$F:$F,Oferta!$A:$A,$A4323,Oferta!$E:$E,$E4323),$F4323)</f>
        <v/>
      </c>
      <c r="J4323" s="6" t="inlineStr">
        <is>
          <t>Derivado_da_Oferta</t>
        </is>
      </c>
      <c r="K4323" s="6" t="inlineStr">
        <is>
          <t>Mercado externo: limite superior calculado automaticamente pela soma da oferta do produto no período.</t>
        </is>
      </c>
    </row>
    <row r="4324">
      <c r="A4324" s="6" t="inlineStr">
        <is>
          <t>Milho</t>
        </is>
      </c>
      <c r="B4324" s="6" t="inlineStr">
        <is>
          <t>Vitória - ES</t>
        </is>
      </c>
      <c r="C4324" s="6" t="n">
        <v>-20.3155</v>
      </c>
      <c r="D4324" s="6" t="n">
        <v>-40.3128</v>
      </c>
      <c r="E4324" s="6" t="inlineStr">
        <is>
          <t>2021-03</t>
        </is>
      </c>
      <c r="F4324" s="6" t="n"/>
      <c r="G4324" s="6" t="inlineStr">
        <is>
          <t>EXPORTACAO</t>
        </is>
      </c>
      <c r="H4324" s="6" t="inlineStr">
        <is>
          <t>AUTO_OFERTA_TOTAL_PRODUTO_PERIODO</t>
        </is>
      </c>
      <c r="I4324" s="11">
        <f>IF($H4324="AUTO_OFERTA_TOTAL_PRODUTO_PERIODO",SUMIFS(Oferta!$F:$F,Oferta!$A:$A,$A4324,Oferta!$E:$E,$E4324),$F4324)</f>
        <v/>
      </c>
      <c r="J4324" s="6" t="inlineStr">
        <is>
          <t>Derivado_da_Oferta</t>
        </is>
      </c>
      <c r="K4324" s="6" t="inlineStr">
        <is>
          <t>Mercado externo: limite superior calculado automaticamente pela soma da oferta do produto no período.</t>
        </is>
      </c>
    </row>
    <row r="4325">
      <c r="A4325" s="6" t="inlineStr">
        <is>
          <t>Milho</t>
        </is>
      </c>
      <c r="B4325" s="6" t="inlineStr">
        <is>
          <t>Vitória - ES</t>
        </is>
      </c>
      <c r="C4325" s="6" t="n">
        <v>-20.3155</v>
      </c>
      <c r="D4325" s="6" t="n">
        <v>-40.3128</v>
      </c>
      <c r="E4325" s="6" t="inlineStr">
        <is>
          <t>2021-04</t>
        </is>
      </c>
      <c r="F4325" s="6" t="n"/>
      <c r="G4325" s="6" t="inlineStr">
        <is>
          <t>EXPORTACAO</t>
        </is>
      </c>
      <c r="H4325" s="6" t="inlineStr">
        <is>
          <t>AUTO_OFERTA_TOTAL_PRODUTO_PERIODO</t>
        </is>
      </c>
      <c r="I4325" s="11">
        <f>IF($H4325="AUTO_OFERTA_TOTAL_PRODUTO_PERIODO",SUMIFS(Oferta!$F:$F,Oferta!$A:$A,$A4325,Oferta!$E:$E,$E4325),$F4325)</f>
        <v/>
      </c>
      <c r="J4325" s="6" t="inlineStr">
        <is>
          <t>Derivado_da_Oferta</t>
        </is>
      </c>
      <c r="K4325" s="6" t="inlineStr">
        <is>
          <t>Mercado externo: limite superior calculado automaticamente pela soma da oferta do produto no período.</t>
        </is>
      </c>
    </row>
    <row r="4326">
      <c r="A4326" s="6" t="inlineStr">
        <is>
          <t>Milho</t>
        </is>
      </c>
      <c r="B4326" s="6" t="inlineStr">
        <is>
          <t>Vitória - ES</t>
        </is>
      </c>
      <c r="C4326" s="6" t="n">
        <v>-20.3155</v>
      </c>
      <c r="D4326" s="6" t="n">
        <v>-40.3128</v>
      </c>
      <c r="E4326" s="6" t="inlineStr">
        <is>
          <t>2021-05</t>
        </is>
      </c>
      <c r="F4326" s="6" t="n"/>
      <c r="G4326" s="6" t="inlineStr">
        <is>
          <t>EXPORTACAO</t>
        </is>
      </c>
      <c r="H4326" s="6" t="inlineStr">
        <is>
          <t>AUTO_OFERTA_TOTAL_PRODUTO_PERIODO</t>
        </is>
      </c>
      <c r="I4326" s="11">
        <f>IF($H4326="AUTO_OFERTA_TOTAL_PRODUTO_PERIODO",SUMIFS(Oferta!$F:$F,Oferta!$A:$A,$A4326,Oferta!$E:$E,$E4326),$F4326)</f>
        <v/>
      </c>
      <c r="J4326" s="6" t="inlineStr">
        <is>
          <t>Derivado_da_Oferta</t>
        </is>
      </c>
      <c r="K4326" s="6" t="inlineStr">
        <is>
          <t>Mercado externo: limite superior calculado automaticamente pela soma da oferta do produto no período.</t>
        </is>
      </c>
    </row>
    <row r="4327">
      <c r="A4327" s="6" t="inlineStr">
        <is>
          <t>Milho</t>
        </is>
      </c>
      <c r="B4327" s="6" t="inlineStr">
        <is>
          <t>Vitória - ES</t>
        </is>
      </c>
      <c r="C4327" s="6" t="n">
        <v>-20.3155</v>
      </c>
      <c r="D4327" s="6" t="n">
        <v>-40.3128</v>
      </c>
      <c r="E4327" s="6" t="inlineStr">
        <is>
          <t>2021-06</t>
        </is>
      </c>
      <c r="F4327" s="6" t="n"/>
      <c r="G4327" s="6" t="inlineStr">
        <is>
          <t>EXPORTACAO</t>
        </is>
      </c>
      <c r="H4327" s="6" t="inlineStr">
        <is>
          <t>AUTO_OFERTA_TOTAL_PRODUTO_PERIODO</t>
        </is>
      </c>
      <c r="I4327" s="11">
        <f>IF($H4327="AUTO_OFERTA_TOTAL_PRODUTO_PERIODO",SUMIFS(Oferta!$F:$F,Oferta!$A:$A,$A4327,Oferta!$E:$E,$E4327),$F4327)</f>
        <v/>
      </c>
      <c r="J4327" s="6" t="inlineStr">
        <is>
          <t>Derivado_da_Oferta</t>
        </is>
      </c>
      <c r="K4327" s="6" t="inlineStr">
        <is>
          <t>Mercado externo: limite superior calculado automaticamente pela soma da oferta do produto no período.</t>
        </is>
      </c>
    </row>
    <row r="4328">
      <c r="A4328" s="6" t="inlineStr">
        <is>
          <t>Milho</t>
        </is>
      </c>
      <c r="B4328" s="6" t="inlineStr">
        <is>
          <t>Vitória - ES</t>
        </is>
      </c>
      <c r="C4328" s="6" t="n">
        <v>-20.3155</v>
      </c>
      <c r="D4328" s="6" t="n">
        <v>-40.3128</v>
      </c>
      <c r="E4328" s="6" t="inlineStr">
        <is>
          <t>2021-07</t>
        </is>
      </c>
      <c r="F4328" s="6" t="n"/>
      <c r="G4328" s="6" t="inlineStr">
        <is>
          <t>EXPORTACAO</t>
        </is>
      </c>
      <c r="H4328" s="6" t="inlineStr">
        <is>
          <t>AUTO_OFERTA_TOTAL_PRODUTO_PERIODO</t>
        </is>
      </c>
      <c r="I4328" s="11">
        <f>IF($H4328="AUTO_OFERTA_TOTAL_PRODUTO_PERIODO",SUMIFS(Oferta!$F:$F,Oferta!$A:$A,$A4328,Oferta!$E:$E,$E4328),$F4328)</f>
        <v/>
      </c>
      <c r="J4328" s="6" t="inlineStr">
        <is>
          <t>Derivado_da_Oferta</t>
        </is>
      </c>
      <c r="K4328" s="6" t="inlineStr">
        <is>
          <t>Mercado externo: limite superior calculado automaticamente pela soma da oferta do produto no período.</t>
        </is>
      </c>
    </row>
    <row r="4329">
      <c r="A4329" s="6" t="inlineStr">
        <is>
          <t>Milho</t>
        </is>
      </c>
      <c r="B4329" s="6" t="inlineStr">
        <is>
          <t>Vitória - ES</t>
        </is>
      </c>
      <c r="C4329" s="6" t="n">
        <v>-20.3155</v>
      </c>
      <c r="D4329" s="6" t="n">
        <v>-40.3128</v>
      </c>
      <c r="E4329" s="6" t="inlineStr">
        <is>
          <t>2021-08</t>
        </is>
      </c>
      <c r="F4329" s="6" t="n"/>
      <c r="G4329" s="6" t="inlineStr">
        <is>
          <t>EXPORTACAO</t>
        </is>
      </c>
      <c r="H4329" s="6" t="inlineStr">
        <is>
          <t>AUTO_OFERTA_TOTAL_PRODUTO_PERIODO</t>
        </is>
      </c>
      <c r="I4329" s="11">
        <f>IF($H4329="AUTO_OFERTA_TOTAL_PRODUTO_PERIODO",SUMIFS(Oferta!$F:$F,Oferta!$A:$A,$A4329,Oferta!$E:$E,$E4329),$F4329)</f>
        <v/>
      </c>
      <c r="J4329" s="6" t="inlineStr">
        <is>
          <t>Derivado_da_Oferta</t>
        </is>
      </c>
      <c r="K4329" s="6" t="inlineStr">
        <is>
          <t>Mercado externo: limite superior calculado automaticamente pela soma da oferta do produto no período.</t>
        </is>
      </c>
    </row>
    <row r="4330">
      <c r="A4330" s="6" t="inlineStr">
        <is>
          <t>Milho</t>
        </is>
      </c>
      <c r="B4330" s="6" t="inlineStr">
        <is>
          <t>Vitória - ES</t>
        </is>
      </c>
      <c r="C4330" s="6" t="n">
        <v>-20.3155</v>
      </c>
      <c r="D4330" s="6" t="n">
        <v>-40.3128</v>
      </c>
      <c r="E4330" s="6" t="inlineStr">
        <is>
          <t>2021-09</t>
        </is>
      </c>
      <c r="F4330" s="6" t="n"/>
      <c r="G4330" s="6" t="inlineStr">
        <is>
          <t>EXPORTACAO</t>
        </is>
      </c>
      <c r="H4330" s="6" t="inlineStr">
        <is>
          <t>AUTO_OFERTA_TOTAL_PRODUTO_PERIODO</t>
        </is>
      </c>
      <c r="I4330" s="11">
        <f>IF($H4330="AUTO_OFERTA_TOTAL_PRODUTO_PERIODO",SUMIFS(Oferta!$F:$F,Oferta!$A:$A,$A4330,Oferta!$E:$E,$E4330),$F4330)</f>
        <v/>
      </c>
      <c r="J4330" s="6" t="inlineStr">
        <is>
          <t>Derivado_da_Oferta</t>
        </is>
      </c>
      <c r="K4330" s="6" t="inlineStr">
        <is>
          <t>Mercado externo: limite superior calculado automaticamente pela soma da oferta do produto no período.</t>
        </is>
      </c>
    </row>
    <row r="4331">
      <c r="A4331" s="6" t="inlineStr">
        <is>
          <t>Milho</t>
        </is>
      </c>
      <c r="B4331" s="6" t="inlineStr">
        <is>
          <t>Vitória - ES</t>
        </is>
      </c>
      <c r="C4331" s="6" t="n">
        <v>-20.3155</v>
      </c>
      <c r="D4331" s="6" t="n">
        <v>-40.3128</v>
      </c>
      <c r="E4331" s="6" t="inlineStr">
        <is>
          <t>2021-10</t>
        </is>
      </c>
      <c r="F4331" s="6" t="n"/>
      <c r="G4331" s="6" t="inlineStr">
        <is>
          <t>EXPORTACAO</t>
        </is>
      </c>
      <c r="H4331" s="6" t="inlineStr">
        <is>
          <t>AUTO_OFERTA_TOTAL_PRODUTO_PERIODO</t>
        </is>
      </c>
      <c r="I4331" s="11">
        <f>IF($H4331="AUTO_OFERTA_TOTAL_PRODUTO_PERIODO",SUMIFS(Oferta!$F:$F,Oferta!$A:$A,$A4331,Oferta!$E:$E,$E4331),$F4331)</f>
        <v/>
      </c>
      <c r="J4331" s="6" t="inlineStr">
        <is>
          <t>Derivado_da_Oferta</t>
        </is>
      </c>
      <c r="K4331" s="6" t="inlineStr">
        <is>
          <t>Mercado externo: limite superior calculado automaticamente pela soma da oferta do produto no período.</t>
        </is>
      </c>
    </row>
    <row r="4332">
      <c r="A4332" s="6" t="inlineStr">
        <is>
          <t>Milho</t>
        </is>
      </c>
      <c r="B4332" s="6" t="inlineStr">
        <is>
          <t>Vitória - ES</t>
        </is>
      </c>
      <c r="C4332" s="6" t="n">
        <v>-20.3155</v>
      </c>
      <c r="D4332" s="6" t="n">
        <v>-40.3128</v>
      </c>
      <c r="E4332" s="6" t="inlineStr">
        <is>
          <t>2021-11</t>
        </is>
      </c>
      <c r="F4332" s="6" t="n"/>
      <c r="G4332" s="6" t="inlineStr">
        <is>
          <t>EXPORTACAO</t>
        </is>
      </c>
      <c r="H4332" s="6" t="inlineStr">
        <is>
          <t>AUTO_OFERTA_TOTAL_PRODUTO_PERIODO</t>
        </is>
      </c>
      <c r="I4332" s="11">
        <f>IF($H4332="AUTO_OFERTA_TOTAL_PRODUTO_PERIODO",SUMIFS(Oferta!$F:$F,Oferta!$A:$A,$A4332,Oferta!$E:$E,$E4332),$F4332)</f>
        <v/>
      </c>
      <c r="J4332" s="6" t="inlineStr">
        <is>
          <t>Derivado_da_Oferta</t>
        </is>
      </c>
      <c r="K4332" s="6" t="inlineStr">
        <is>
          <t>Mercado externo: limite superior calculado automaticamente pela soma da oferta do produto no período.</t>
        </is>
      </c>
    </row>
    <row r="4333">
      <c r="A4333" s="6" t="inlineStr">
        <is>
          <t>Milho</t>
        </is>
      </c>
      <c r="B4333" s="6" t="inlineStr">
        <is>
          <t>Vitória - ES</t>
        </is>
      </c>
      <c r="C4333" s="6" t="n">
        <v>-20.3155</v>
      </c>
      <c r="D4333" s="6" t="n">
        <v>-40.3128</v>
      </c>
      <c r="E4333" s="6" t="inlineStr">
        <is>
          <t>2021-12</t>
        </is>
      </c>
      <c r="F4333" s="6" t="n"/>
      <c r="G4333" s="6" t="inlineStr">
        <is>
          <t>EXPORTACAO</t>
        </is>
      </c>
      <c r="H4333" s="6" t="inlineStr">
        <is>
          <t>AUTO_OFERTA_TOTAL_PRODUTO_PERIODO</t>
        </is>
      </c>
      <c r="I4333" s="11">
        <f>IF($H4333="AUTO_OFERTA_TOTAL_PRODUTO_PERIODO",SUMIFS(Oferta!$F:$F,Oferta!$A:$A,$A4333,Oferta!$E:$E,$E4333),$F4333)</f>
        <v/>
      </c>
      <c r="J4333" s="6" t="inlineStr">
        <is>
          <t>Derivado_da_Oferta</t>
        </is>
      </c>
      <c r="K4333" s="6" t="inlineStr">
        <is>
          <t>Mercado externo: limite superior calculado automaticamente pela soma da oferta do produto no período.</t>
        </is>
      </c>
    </row>
    <row r="4334">
      <c r="A4334" s="6" t="inlineStr">
        <is>
          <t>Milho</t>
        </is>
      </c>
      <c r="B4334" s="6" t="inlineStr">
        <is>
          <t>Vitória - ES</t>
        </is>
      </c>
      <c r="C4334" s="6" t="n">
        <v>-20.3155</v>
      </c>
      <c r="D4334" s="6" t="n">
        <v>-40.3128</v>
      </c>
      <c r="E4334" s="6" t="inlineStr">
        <is>
          <t>2022-01</t>
        </is>
      </c>
      <c r="F4334" s="6" t="n"/>
      <c r="G4334" s="6" t="inlineStr">
        <is>
          <t>EXPORTACAO</t>
        </is>
      </c>
      <c r="H4334" s="6" t="inlineStr">
        <is>
          <t>AUTO_OFERTA_TOTAL_PRODUTO_PERIODO</t>
        </is>
      </c>
      <c r="I4334" s="11">
        <f>IF($H4334="AUTO_OFERTA_TOTAL_PRODUTO_PERIODO",SUMIFS(Oferta!$F:$F,Oferta!$A:$A,$A4334,Oferta!$E:$E,$E4334),$F4334)</f>
        <v/>
      </c>
      <c r="J4334" s="6" t="inlineStr">
        <is>
          <t>Derivado_da_Oferta</t>
        </is>
      </c>
      <c r="K4334" s="6" t="inlineStr">
        <is>
          <t>Mercado externo: limite superior calculado automaticamente pela soma da oferta do produto no período.</t>
        </is>
      </c>
    </row>
    <row r="4335">
      <c r="A4335" s="6" t="inlineStr">
        <is>
          <t>Milho</t>
        </is>
      </c>
      <c r="B4335" s="6" t="inlineStr">
        <is>
          <t>Vitória - ES</t>
        </is>
      </c>
      <c r="C4335" s="6" t="n">
        <v>-20.3155</v>
      </c>
      <c r="D4335" s="6" t="n">
        <v>-40.3128</v>
      </c>
      <c r="E4335" s="6" t="inlineStr">
        <is>
          <t>2022-02</t>
        </is>
      </c>
      <c r="F4335" s="6" t="n"/>
      <c r="G4335" s="6" t="inlineStr">
        <is>
          <t>EXPORTACAO</t>
        </is>
      </c>
      <c r="H4335" s="6" t="inlineStr">
        <is>
          <t>AUTO_OFERTA_TOTAL_PRODUTO_PERIODO</t>
        </is>
      </c>
      <c r="I4335" s="11">
        <f>IF($H4335="AUTO_OFERTA_TOTAL_PRODUTO_PERIODO",SUMIFS(Oferta!$F:$F,Oferta!$A:$A,$A4335,Oferta!$E:$E,$E4335),$F4335)</f>
        <v/>
      </c>
      <c r="J4335" s="6" t="inlineStr">
        <is>
          <t>Derivado_da_Oferta</t>
        </is>
      </c>
      <c r="K4335" s="6" t="inlineStr">
        <is>
          <t>Mercado externo: limite superior calculado automaticamente pela soma da oferta do produto no período.</t>
        </is>
      </c>
    </row>
    <row r="4336">
      <c r="A4336" s="6" t="inlineStr">
        <is>
          <t>Milho</t>
        </is>
      </c>
      <c r="B4336" s="6" t="inlineStr">
        <is>
          <t>Vitória - ES</t>
        </is>
      </c>
      <c r="C4336" s="6" t="n">
        <v>-20.3155</v>
      </c>
      <c r="D4336" s="6" t="n">
        <v>-40.3128</v>
      </c>
      <c r="E4336" s="6" t="inlineStr">
        <is>
          <t>2022-03</t>
        </is>
      </c>
      <c r="F4336" s="6" t="n"/>
      <c r="G4336" s="6" t="inlineStr">
        <is>
          <t>EXPORTACAO</t>
        </is>
      </c>
      <c r="H4336" s="6" t="inlineStr">
        <is>
          <t>AUTO_OFERTA_TOTAL_PRODUTO_PERIODO</t>
        </is>
      </c>
      <c r="I4336" s="11">
        <f>IF($H4336="AUTO_OFERTA_TOTAL_PRODUTO_PERIODO",SUMIFS(Oferta!$F:$F,Oferta!$A:$A,$A4336,Oferta!$E:$E,$E4336),$F4336)</f>
        <v/>
      </c>
      <c r="J4336" s="6" t="inlineStr">
        <is>
          <t>Derivado_da_Oferta</t>
        </is>
      </c>
      <c r="K4336" s="6" t="inlineStr">
        <is>
          <t>Mercado externo: limite superior calculado automaticamente pela soma da oferta do produto no período.</t>
        </is>
      </c>
    </row>
    <row r="4337">
      <c r="A4337" s="6" t="inlineStr">
        <is>
          <t>Milho</t>
        </is>
      </c>
      <c r="B4337" s="6" t="inlineStr">
        <is>
          <t>Vitória - ES</t>
        </is>
      </c>
      <c r="C4337" s="6" t="n">
        <v>-20.3155</v>
      </c>
      <c r="D4337" s="6" t="n">
        <v>-40.3128</v>
      </c>
      <c r="E4337" s="6" t="inlineStr">
        <is>
          <t>2022-04</t>
        </is>
      </c>
      <c r="F4337" s="6" t="n"/>
      <c r="G4337" s="6" t="inlineStr">
        <is>
          <t>EXPORTACAO</t>
        </is>
      </c>
      <c r="H4337" s="6" t="inlineStr">
        <is>
          <t>AUTO_OFERTA_TOTAL_PRODUTO_PERIODO</t>
        </is>
      </c>
      <c r="I4337" s="11">
        <f>IF($H4337="AUTO_OFERTA_TOTAL_PRODUTO_PERIODO",SUMIFS(Oferta!$F:$F,Oferta!$A:$A,$A4337,Oferta!$E:$E,$E4337),$F4337)</f>
        <v/>
      </c>
      <c r="J4337" s="6" t="inlineStr">
        <is>
          <t>Derivado_da_Oferta</t>
        </is>
      </c>
      <c r="K4337" s="6" t="inlineStr">
        <is>
          <t>Mercado externo: limite superior calculado automaticamente pela soma da oferta do produto no período.</t>
        </is>
      </c>
    </row>
    <row r="4338">
      <c r="A4338" s="6" t="inlineStr">
        <is>
          <t>Milho</t>
        </is>
      </c>
      <c r="B4338" s="6" t="inlineStr">
        <is>
          <t>Vitória - ES</t>
        </is>
      </c>
      <c r="C4338" s="6" t="n">
        <v>-20.3155</v>
      </c>
      <c r="D4338" s="6" t="n">
        <v>-40.3128</v>
      </c>
      <c r="E4338" s="6" t="inlineStr">
        <is>
          <t>2022-05</t>
        </is>
      </c>
      <c r="F4338" s="6" t="n"/>
      <c r="G4338" s="6" t="inlineStr">
        <is>
          <t>EXPORTACAO</t>
        </is>
      </c>
      <c r="H4338" s="6" t="inlineStr">
        <is>
          <t>AUTO_OFERTA_TOTAL_PRODUTO_PERIODO</t>
        </is>
      </c>
      <c r="I4338" s="11">
        <f>IF($H4338="AUTO_OFERTA_TOTAL_PRODUTO_PERIODO",SUMIFS(Oferta!$F:$F,Oferta!$A:$A,$A4338,Oferta!$E:$E,$E4338),$F4338)</f>
        <v/>
      </c>
      <c r="J4338" s="6" t="inlineStr">
        <is>
          <t>Derivado_da_Oferta</t>
        </is>
      </c>
      <c r="K4338" s="6" t="inlineStr">
        <is>
          <t>Mercado externo: limite superior calculado automaticamente pela soma da oferta do produto no período.</t>
        </is>
      </c>
    </row>
    <row r="4339">
      <c r="A4339" s="6" t="inlineStr">
        <is>
          <t>Milho</t>
        </is>
      </c>
      <c r="B4339" s="6" t="inlineStr">
        <is>
          <t>Vitória - ES</t>
        </is>
      </c>
      <c r="C4339" s="6" t="n">
        <v>-20.3155</v>
      </c>
      <c r="D4339" s="6" t="n">
        <v>-40.3128</v>
      </c>
      <c r="E4339" s="6" t="inlineStr">
        <is>
          <t>2022-06</t>
        </is>
      </c>
      <c r="F4339" s="6" t="n"/>
      <c r="G4339" s="6" t="inlineStr">
        <is>
          <t>EXPORTACAO</t>
        </is>
      </c>
      <c r="H4339" s="6" t="inlineStr">
        <is>
          <t>AUTO_OFERTA_TOTAL_PRODUTO_PERIODO</t>
        </is>
      </c>
      <c r="I4339" s="11">
        <f>IF($H4339="AUTO_OFERTA_TOTAL_PRODUTO_PERIODO",SUMIFS(Oferta!$F:$F,Oferta!$A:$A,$A4339,Oferta!$E:$E,$E4339),$F4339)</f>
        <v/>
      </c>
      <c r="J4339" s="6" t="inlineStr">
        <is>
          <t>Derivado_da_Oferta</t>
        </is>
      </c>
      <c r="K4339" s="6" t="inlineStr">
        <is>
          <t>Mercado externo: limite superior calculado automaticamente pela soma da oferta do produto no período.</t>
        </is>
      </c>
    </row>
    <row r="4340">
      <c r="A4340" s="6" t="inlineStr">
        <is>
          <t>Milho</t>
        </is>
      </c>
      <c r="B4340" s="6" t="inlineStr">
        <is>
          <t>Vitória - ES</t>
        </is>
      </c>
      <c r="C4340" s="6" t="n">
        <v>-20.3155</v>
      </c>
      <c r="D4340" s="6" t="n">
        <v>-40.3128</v>
      </c>
      <c r="E4340" s="6" t="inlineStr">
        <is>
          <t>2022-07</t>
        </is>
      </c>
      <c r="F4340" s="6" t="n"/>
      <c r="G4340" s="6" t="inlineStr">
        <is>
          <t>EXPORTACAO</t>
        </is>
      </c>
      <c r="H4340" s="6" t="inlineStr">
        <is>
          <t>AUTO_OFERTA_TOTAL_PRODUTO_PERIODO</t>
        </is>
      </c>
      <c r="I4340" s="11">
        <f>IF($H4340="AUTO_OFERTA_TOTAL_PRODUTO_PERIODO",SUMIFS(Oferta!$F:$F,Oferta!$A:$A,$A4340,Oferta!$E:$E,$E4340),$F4340)</f>
        <v/>
      </c>
      <c r="J4340" s="6" t="inlineStr">
        <is>
          <t>Derivado_da_Oferta</t>
        </is>
      </c>
      <c r="K4340" s="6" t="inlineStr">
        <is>
          <t>Mercado externo: limite superior calculado automaticamente pela soma da oferta do produto no período.</t>
        </is>
      </c>
    </row>
    <row r="4341">
      <c r="A4341" s="6" t="inlineStr">
        <is>
          <t>Milho</t>
        </is>
      </c>
      <c r="B4341" s="6" t="inlineStr">
        <is>
          <t>Vitória - ES</t>
        </is>
      </c>
      <c r="C4341" s="6" t="n">
        <v>-20.3155</v>
      </c>
      <c r="D4341" s="6" t="n">
        <v>-40.3128</v>
      </c>
      <c r="E4341" s="6" t="inlineStr">
        <is>
          <t>2022-08</t>
        </is>
      </c>
      <c r="F4341" s="6" t="n"/>
      <c r="G4341" s="6" t="inlineStr">
        <is>
          <t>EXPORTACAO</t>
        </is>
      </c>
      <c r="H4341" s="6" t="inlineStr">
        <is>
          <t>AUTO_OFERTA_TOTAL_PRODUTO_PERIODO</t>
        </is>
      </c>
      <c r="I4341" s="11">
        <f>IF($H4341="AUTO_OFERTA_TOTAL_PRODUTO_PERIODO",SUMIFS(Oferta!$F:$F,Oferta!$A:$A,$A4341,Oferta!$E:$E,$E4341),$F4341)</f>
        <v/>
      </c>
      <c r="J4341" s="6" t="inlineStr">
        <is>
          <t>Derivado_da_Oferta</t>
        </is>
      </c>
      <c r="K4341" s="6" t="inlineStr">
        <is>
          <t>Mercado externo: limite superior calculado automaticamente pela soma da oferta do produto no período.</t>
        </is>
      </c>
    </row>
    <row r="4342">
      <c r="A4342" s="6" t="inlineStr">
        <is>
          <t>Milho</t>
        </is>
      </c>
      <c r="B4342" s="6" t="inlineStr">
        <is>
          <t>Vitória - ES</t>
        </is>
      </c>
      <c r="C4342" s="6" t="n">
        <v>-20.3155</v>
      </c>
      <c r="D4342" s="6" t="n">
        <v>-40.3128</v>
      </c>
      <c r="E4342" s="6" t="inlineStr">
        <is>
          <t>2022-09</t>
        </is>
      </c>
      <c r="F4342" s="6" t="n"/>
      <c r="G4342" s="6" t="inlineStr">
        <is>
          <t>EXPORTACAO</t>
        </is>
      </c>
      <c r="H4342" s="6" t="inlineStr">
        <is>
          <t>AUTO_OFERTA_TOTAL_PRODUTO_PERIODO</t>
        </is>
      </c>
      <c r="I4342" s="11">
        <f>IF($H4342="AUTO_OFERTA_TOTAL_PRODUTO_PERIODO",SUMIFS(Oferta!$F:$F,Oferta!$A:$A,$A4342,Oferta!$E:$E,$E4342),$F4342)</f>
        <v/>
      </c>
      <c r="J4342" s="6" t="inlineStr">
        <is>
          <t>Derivado_da_Oferta</t>
        </is>
      </c>
      <c r="K4342" s="6" t="inlineStr">
        <is>
          <t>Mercado externo: limite superior calculado automaticamente pela soma da oferta do produto no período.</t>
        </is>
      </c>
    </row>
    <row r="4343">
      <c r="A4343" s="6" t="inlineStr">
        <is>
          <t>Milho</t>
        </is>
      </c>
      <c r="B4343" s="6" t="inlineStr">
        <is>
          <t>Vitória - ES</t>
        </is>
      </c>
      <c r="C4343" s="6" t="n">
        <v>-20.3155</v>
      </c>
      <c r="D4343" s="6" t="n">
        <v>-40.3128</v>
      </c>
      <c r="E4343" s="6" t="inlineStr">
        <is>
          <t>2022-10</t>
        </is>
      </c>
      <c r="F4343" s="6" t="n"/>
      <c r="G4343" s="6" t="inlineStr">
        <is>
          <t>EXPORTACAO</t>
        </is>
      </c>
      <c r="H4343" s="6" t="inlineStr">
        <is>
          <t>AUTO_OFERTA_TOTAL_PRODUTO_PERIODO</t>
        </is>
      </c>
      <c r="I4343" s="11">
        <f>IF($H4343="AUTO_OFERTA_TOTAL_PRODUTO_PERIODO",SUMIFS(Oferta!$F:$F,Oferta!$A:$A,$A4343,Oferta!$E:$E,$E4343),$F4343)</f>
        <v/>
      </c>
      <c r="J4343" s="6" t="inlineStr">
        <is>
          <t>Derivado_da_Oferta</t>
        </is>
      </c>
      <c r="K4343" s="6" t="inlineStr">
        <is>
          <t>Mercado externo: limite superior calculado automaticamente pela soma da oferta do produto no período.</t>
        </is>
      </c>
    </row>
    <row r="4344">
      <c r="A4344" s="6" t="inlineStr">
        <is>
          <t>Milho</t>
        </is>
      </c>
      <c r="B4344" s="6" t="inlineStr">
        <is>
          <t>Vitória - ES</t>
        </is>
      </c>
      <c r="C4344" s="6" t="n">
        <v>-20.3155</v>
      </c>
      <c r="D4344" s="6" t="n">
        <v>-40.3128</v>
      </c>
      <c r="E4344" s="6" t="inlineStr">
        <is>
          <t>2022-11</t>
        </is>
      </c>
      <c r="F4344" s="6" t="n"/>
      <c r="G4344" s="6" t="inlineStr">
        <is>
          <t>EXPORTACAO</t>
        </is>
      </c>
      <c r="H4344" s="6" t="inlineStr">
        <is>
          <t>AUTO_OFERTA_TOTAL_PRODUTO_PERIODO</t>
        </is>
      </c>
      <c r="I4344" s="11">
        <f>IF($H4344="AUTO_OFERTA_TOTAL_PRODUTO_PERIODO",SUMIFS(Oferta!$F:$F,Oferta!$A:$A,$A4344,Oferta!$E:$E,$E4344),$F4344)</f>
        <v/>
      </c>
      <c r="J4344" s="6" t="inlineStr">
        <is>
          <t>Derivado_da_Oferta</t>
        </is>
      </c>
      <c r="K4344" s="6" t="inlineStr">
        <is>
          <t>Mercado externo: limite superior calculado automaticamente pela soma da oferta do produto no período.</t>
        </is>
      </c>
    </row>
    <row r="4345">
      <c r="A4345" s="6" t="inlineStr">
        <is>
          <t>Milho</t>
        </is>
      </c>
      <c r="B4345" s="6" t="inlineStr">
        <is>
          <t>Vitória - ES</t>
        </is>
      </c>
      <c r="C4345" s="6" t="n">
        <v>-20.3155</v>
      </c>
      <c r="D4345" s="6" t="n">
        <v>-40.3128</v>
      </c>
      <c r="E4345" s="6" t="inlineStr">
        <is>
          <t>2022-12</t>
        </is>
      </c>
      <c r="F4345" s="6" t="n"/>
      <c r="G4345" s="6" t="inlineStr">
        <is>
          <t>EXPORTACAO</t>
        </is>
      </c>
      <c r="H4345" s="6" t="inlineStr">
        <is>
          <t>AUTO_OFERTA_TOTAL_PRODUTO_PERIODO</t>
        </is>
      </c>
      <c r="I4345" s="11">
        <f>IF($H4345="AUTO_OFERTA_TOTAL_PRODUTO_PERIODO",SUMIFS(Oferta!$F:$F,Oferta!$A:$A,$A4345,Oferta!$E:$E,$E4345),$F4345)</f>
        <v/>
      </c>
      <c r="J4345" s="6" t="inlineStr">
        <is>
          <t>Derivado_da_Oferta</t>
        </is>
      </c>
      <c r="K4345" s="6" t="inlineStr">
        <is>
          <t>Mercado externo: limite superior calculado automaticamente pela soma da oferta do produto no período.</t>
        </is>
      </c>
    </row>
    <row r="4346">
      <c r="A4346" s="6" t="inlineStr">
        <is>
          <t>Milho</t>
        </is>
      </c>
      <c r="B4346" s="6" t="inlineStr">
        <is>
          <t>Vitória - ES</t>
        </is>
      </c>
      <c r="C4346" s="6" t="n">
        <v>-20.3155</v>
      </c>
      <c r="D4346" s="6" t="n">
        <v>-40.3128</v>
      </c>
      <c r="E4346" s="6" t="inlineStr">
        <is>
          <t>2023-01</t>
        </is>
      </c>
      <c r="F4346" s="6" t="n"/>
      <c r="G4346" s="6" t="inlineStr">
        <is>
          <t>EXPORTACAO</t>
        </is>
      </c>
      <c r="H4346" s="6" t="inlineStr">
        <is>
          <t>AUTO_OFERTA_TOTAL_PRODUTO_PERIODO</t>
        </is>
      </c>
      <c r="I4346" s="11">
        <f>IF($H4346="AUTO_OFERTA_TOTAL_PRODUTO_PERIODO",SUMIFS(Oferta!$F:$F,Oferta!$A:$A,$A4346,Oferta!$E:$E,$E4346),$F4346)</f>
        <v/>
      </c>
      <c r="J4346" s="6" t="inlineStr">
        <is>
          <t>Derivado_da_Oferta</t>
        </is>
      </c>
      <c r="K4346" s="6" t="inlineStr">
        <is>
          <t>Mercado externo: limite superior calculado automaticamente pela soma da oferta do produto no período.</t>
        </is>
      </c>
    </row>
    <row r="4347">
      <c r="A4347" s="6" t="inlineStr">
        <is>
          <t>Milho</t>
        </is>
      </c>
      <c r="B4347" s="6" t="inlineStr">
        <is>
          <t>Vitória - ES</t>
        </is>
      </c>
      <c r="C4347" s="6" t="n">
        <v>-20.3155</v>
      </c>
      <c r="D4347" s="6" t="n">
        <v>-40.3128</v>
      </c>
      <c r="E4347" s="6" t="inlineStr">
        <is>
          <t>2023-02</t>
        </is>
      </c>
      <c r="F4347" s="6" t="n"/>
      <c r="G4347" s="6" t="inlineStr">
        <is>
          <t>EXPORTACAO</t>
        </is>
      </c>
      <c r="H4347" s="6" t="inlineStr">
        <is>
          <t>AUTO_OFERTA_TOTAL_PRODUTO_PERIODO</t>
        </is>
      </c>
      <c r="I4347" s="11">
        <f>IF($H4347="AUTO_OFERTA_TOTAL_PRODUTO_PERIODO",SUMIFS(Oferta!$F:$F,Oferta!$A:$A,$A4347,Oferta!$E:$E,$E4347),$F4347)</f>
        <v/>
      </c>
      <c r="J4347" s="6" t="inlineStr">
        <is>
          <t>Derivado_da_Oferta</t>
        </is>
      </c>
      <c r="K4347" s="6" t="inlineStr">
        <is>
          <t>Mercado externo: limite superior calculado automaticamente pela soma da oferta do produto no período.</t>
        </is>
      </c>
    </row>
    <row r="4348">
      <c r="A4348" s="6" t="inlineStr">
        <is>
          <t>Milho</t>
        </is>
      </c>
      <c r="B4348" s="6" t="inlineStr">
        <is>
          <t>Vitória - ES</t>
        </is>
      </c>
      <c r="C4348" s="6" t="n">
        <v>-20.3155</v>
      </c>
      <c r="D4348" s="6" t="n">
        <v>-40.3128</v>
      </c>
      <c r="E4348" s="6" t="inlineStr">
        <is>
          <t>2023-03</t>
        </is>
      </c>
      <c r="F4348" s="6" t="n"/>
      <c r="G4348" s="6" t="inlineStr">
        <is>
          <t>EXPORTACAO</t>
        </is>
      </c>
      <c r="H4348" s="6" t="inlineStr">
        <is>
          <t>AUTO_OFERTA_TOTAL_PRODUTO_PERIODO</t>
        </is>
      </c>
      <c r="I4348" s="11">
        <f>IF($H4348="AUTO_OFERTA_TOTAL_PRODUTO_PERIODO",SUMIFS(Oferta!$F:$F,Oferta!$A:$A,$A4348,Oferta!$E:$E,$E4348),$F4348)</f>
        <v/>
      </c>
      <c r="J4348" s="6" t="inlineStr">
        <is>
          <t>Derivado_da_Oferta</t>
        </is>
      </c>
      <c r="K4348" s="6" t="inlineStr">
        <is>
          <t>Mercado externo: limite superior calculado automaticamente pela soma da oferta do produto no período.</t>
        </is>
      </c>
    </row>
    <row r="4349">
      <c r="A4349" s="6" t="inlineStr">
        <is>
          <t>Milho</t>
        </is>
      </c>
      <c r="B4349" s="6" t="inlineStr">
        <is>
          <t>Vitória - ES</t>
        </is>
      </c>
      <c r="C4349" s="6" t="n">
        <v>-20.3155</v>
      </c>
      <c r="D4349" s="6" t="n">
        <v>-40.3128</v>
      </c>
      <c r="E4349" s="6" t="inlineStr">
        <is>
          <t>2023-04</t>
        </is>
      </c>
      <c r="F4349" s="6" t="n"/>
      <c r="G4349" s="6" t="inlineStr">
        <is>
          <t>EXPORTACAO</t>
        </is>
      </c>
      <c r="H4349" s="6" t="inlineStr">
        <is>
          <t>AUTO_OFERTA_TOTAL_PRODUTO_PERIODO</t>
        </is>
      </c>
      <c r="I4349" s="11">
        <f>IF($H4349="AUTO_OFERTA_TOTAL_PRODUTO_PERIODO",SUMIFS(Oferta!$F:$F,Oferta!$A:$A,$A4349,Oferta!$E:$E,$E4349),$F4349)</f>
        <v/>
      </c>
      <c r="J4349" s="6" t="inlineStr">
        <is>
          <t>Derivado_da_Oferta</t>
        </is>
      </c>
      <c r="K4349" s="6" t="inlineStr">
        <is>
          <t>Mercado externo: limite superior calculado automaticamente pela soma da oferta do produto no período.</t>
        </is>
      </c>
    </row>
    <row r="4350">
      <c r="A4350" s="6" t="inlineStr">
        <is>
          <t>Milho</t>
        </is>
      </c>
      <c r="B4350" s="6" t="inlineStr">
        <is>
          <t>Vitória - ES</t>
        </is>
      </c>
      <c r="C4350" s="6" t="n">
        <v>-20.3155</v>
      </c>
      <c r="D4350" s="6" t="n">
        <v>-40.3128</v>
      </c>
      <c r="E4350" s="6" t="inlineStr">
        <is>
          <t>2023-05</t>
        </is>
      </c>
      <c r="F4350" s="6" t="n"/>
      <c r="G4350" s="6" t="inlineStr">
        <is>
          <t>EXPORTACAO</t>
        </is>
      </c>
      <c r="H4350" s="6" t="inlineStr">
        <is>
          <t>AUTO_OFERTA_TOTAL_PRODUTO_PERIODO</t>
        </is>
      </c>
      <c r="I4350" s="11">
        <f>IF($H4350="AUTO_OFERTA_TOTAL_PRODUTO_PERIODO",SUMIFS(Oferta!$F:$F,Oferta!$A:$A,$A4350,Oferta!$E:$E,$E4350),$F4350)</f>
        <v/>
      </c>
      <c r="J4350" s="6" t="inlineStr">
        <is>
          <t>Derivado_da_Oferta</t>
        </is>
      </c>
      <c r="K4350" s="6" t="inlineStr">
        <is>
          <t>Mercado externo: limite superior calculado automaticamente pela soma da oferta do produto no período.</t>
        </is>
      </c>
    </row>
    <row r="4351">
      <c r="A4351" s="6" t="inlineStr">
        <is>
          <t>Milho</t>
        </is>
      </c>
      <c r="B4351" s="6" t="inlineStr">
        <is>
          <t>Vitória - ES</t>
        </is>
      </c>
      <c r="C4351" s="6" t="n">
        <v>-20.3155</v>
      </c>
      <c r="D4351" s="6" t="n">
        <v>-40.3128</v>
      </c>
      <c r="E4351" s="6" t="inlineStr">
        <is>
          <t>2023-06</t>
        </is>
      </c>
      <c r="F4351" s="6" t="n"/>
      <c r="G4351" s="6" t="inlineStr">
        <is>
          <t>EXPORTACAO</t>
        </is>
      </c>
      <c r="H4351" s="6" t="inlineStr">
        <is>
          <t>AUTO_OFERTA_TOTAL_PRODUTO_PERIODO</t>
        </is>
      </c>
      <c r="I4351" s="11">
        <f>IF($H4351="AUTO_OFERTA_TOTAL_PRODUTO_PERIODO",SUMIFS(Oferta!$F:$F,Oferta!$A:$A,$A4351,Oferta!$E:$E,$E4351),$F4351)</f>
        <v/>
      </c>
      <c r="J4351" s="6" t="inlineStr">
        <is>
          <t>Derivado_da_Oferta</t>
        </is>
      </c>
      <c r="K4351" s="6" t="inlineStr">
        <is>
          <t>Mercado externo: limite superior calculado automaticamente pela soma da oferta do produto no período.</t>
        </is>
      </c>
    </row>
    <row r="4352">
      <c r="A4352" s="6" t="inlineStr">
        <is>
          <t>Milho</t>
        </is>
      </c>
      <c r="B4352" s="6" t="inlineStr">
        <is>
          <t>Vitória - ES</t>
        </is>
      </c>
      <c r="C4352" s="6" t="n">
        <v>-20.3155</v>
      </c>
      <c r="D4352" s="6" t="n">
        <v>-40.3128</v>
      </c>
      <c r="E4352" s="6" t="inlineStr">
        <is>
          <t>2023-07</t>
        </is>
      </c>
      <c r="F4352" s="6" t="n"/>
      <c r="G4352" s="6" t="inlineStr">
        <is>
          <t>EXPORTACAO</t>
        </is>
      </c>
      <c r="H4352" s="6" t="inlineStr">
        <is>
          <t>AUTO_OFERTA_TOTAL_PRODUTO_PERIODO</t>
        </is>
      </c>
      <c r="I4352" s="11">
        <f>IF($H4352="AUTO_OFERTA_TOTAL_PRODUTO_PERIODO",SUMIFS(Oferta!$F:$F,Oferta!$A:$A,$A4352,Oferta!$E:$E,$E4352),$F4352)</f>
        <v/>
      </c>
      <c r="J4352" s="6" t="inlineStr">
        <is>
          <t>Derivado_da_Oferta</t>
        </is>
      </c>
      <c r="K4352" s="6" t="inlineStr">
        <is>
          <t>Mercado externo: limite superior calculado automaticamente pela soma da oferta do produto no período.</t>
        </is>
      </c>
    </row>
    <row r="4353">
      <c r="A4353" s="6" t="inlineStr">
        <is>
          <t>Milho</t>
        </is>
      </c>
      <c r="B4353" s="6" t="inlineStr">
        <is>
          <t>Vitória - ES</t>
        </is>
      </c>
      <c r="C4353" s="6" t="n">
        <v>-20.3155</v>
      </c>
      <c r="D4353" s="6" t="n">
        <v>-40.3128</v>
      </c>
      <c r="E4353" s="6" t="inlineStr">
        <is>
          <t>2023-08</t>
        </is>
      </c>
      <c r="F4353" s="6" t="n"/>
      <c r="G4353" s="6" t="inlineStr">
        <is>
          <t>EXPORTACAO</t>
        </is>
      </c>
      <c r="H4353" s="6" t="inlineStr">
        <is>
          <t>AUTO_OFERTA_TOTAL_PRODUTO_PERIODO</t>
        </is>
      </c>
      <c r="I4353" s="11">
        <f>IF($H4353="AUTO_OFERTA_TOTAL_PRODUTO_PERIODO",SUMIFS(Oferta!$F:$F,Oferta!$A:$A,$A4353,Oferta!$E:$E,$E4353),$F4353)</f>
        <v/>
      </c>
      <c r="J4353" s="6" t="inlineStr">
        <is>
          <t>Derivado_da_Oferta</t>
        </is>
      </c>
      <c r="K4353" s="6" t="inlineStr">
        <is>
          <t>Mercado externo: limite superior calculado automaticamente pela soma da oferta do produto no período.</t>
        </is>
      </c>
    </row>
    <row r="4354">
      <c r="A4354" s="6" t="inlineStr">
        <is>
          <t>Milho</t>
        </is>
      </c>
      <c r="B4354" s="6" t="inlineStr">
        <is>
          <t>Vitória - ES</t>
        </is>
      </c>
      <c r="C4354" s="6" t="n">
        <v>-20.3155</v>
      </c>
      <c r="D4354" s="6" t="n">
        <v>-40.3128</v>
      </c>
      <c r="E4354" s="6" t="inlineStr">
        <is>
          <t>2023-09</t>
        </is>
      </c>
      <c r="F4354" s="6" t="n"/>
      <c r="G4354" s="6" t="inlineStr">
        <is>
          <t>EXPORTACAO</t>
        </is>
      </c>
      <c r="H4354" s="6" t="inlineStr">
        <is>
          <t>AUTO_OFERTA_TOTAL_PRODUTO_PERIODO</t>
        </is>
      </c>
      <c r="I4354" s="11">
        <f>IF($H4354="AUTO_OFERTA_TOTAL_PRODUTO_PERIODO",SUMIFS(Oferta!$F:$F,Oferta!$A:$A,$A4354,Oferta!$E:$E,$E4354),$F4354)</f>
        <v/>
      </c>
      <c r="J4354" s="6" t="inlineStr">
        <is>
          <t>Derivado_da_Oferta</t>
        </is>
      </c>
      <c r="K4354" s="6" t="inlineStr">
        <is>
          <t>Mercado externo: limite superior calculado automaticamente pela soma da oferta do produto no período.</t>
        </is>
      </c>
    </row>
    <row r="4355">
      <c r="A4355" s="6" t="inlineStr">
        <is>
          <t>Milho</t>
        </is>
      </c>
      <c r="B4355" s="6" t="inlineStr">
        <is>
          <t>Vitória - ES</t>
        </is>
      </c>
      <c r="C4355" s="6" t="n">
        <v>-20.3155</v>
      </c>
      <c r="D4355" s="6" t="n">
        <v>-40.3128</v>
      </c>
      <c r="E4355" s="6" t="inlineStr">
        <is>
          <t>2023-10</t>
        </is>
      </c>
      <c r="F4355" s="6" t="n"/>
      <c r="G4355" s="6" t="inlineStr">
        <is>
          <t>EXPORTACAO</t>
        </is>
      </c>
      <c r="H4355" s="6" t="inlineStr">
        <is>
          <t>AUTO_OFERTA_TOTAL_PRODUTO_PERIODO</t>
        </is>
      </c>
      <c r="I4355" s="11">
        <f>IF($H4355="AUTO_OFERTA_TOTAL_PRODUTO_PERIODO",SUMIFS(Oferta!$F:$F,Oferta!$A:$A,$A4355,Oferta!$E:$E,$E4355),$F4355)</f>
        <v/>
      </c>
      <c r="J4355" s="6" t="inlineStr">
        <is>
          <t>Derivado_da_Oferta</t>
        </is>
      </c>
      <c r="K4355" s="6" t="inlineStr">
        <is>
          <t>Mercado externo: limite superior calculado automaticamente pela soma da oferta do produto no período.</t>
        </is>
      </c>
    </row>
    <row r="4356">
      <c r="A4356" s="6" t="inlineStr">
        <is>
          <t>Milho</t>
        </is>
      </c>
      <c r="B4356" s="6" t="inlineStr">
        <is>
          <t>Vitória - ES</t>
        </is>
      </c>
      <c r="C4356" s="6" t="n">
        <v>-20.3155</v>
      </c>
      <c r="D4356" s="6" t="n">
        <v>-40.3128</v>
      </c>
      <c r="E4356" s="6" t="inlineStr">
        <is>
          <t>2023-11</t>
        </is>
      </c>
      <c r="F4356" s="6" t="n"/>
      <c r="G4356" s="6" t="inlineStr">
        <is>
          <t>EXPORTACAO</t>
        </is>
      </c>
      <c r="H4356" s="6" t="inlineStr">
        <is>
          <t>AUTO_OFERTA_TOTAL_PRODUTO_PERIODO</t>
        </is>
      </c>
      <c r="I4356" s="11">
        <f>IF($H4356="AUTO_OFERTA_TOTAL_PRODUTO_PERIODO",SUMIFS(Oferta!$F:$F,Oferta!$A:$A,$A4356,Oferta!$E:$E,$E4356),$F4356)</f>
        <v/>
      </c>
      <c r="J4356" s="6" t="inlineStr">
        <is>
          <t>Derivado_da_Oferta</t>
        </is>
      </c>
      <c r="K4356" s="6" t="inlineStr">
        <is>
          <t>Mercado externo: limite superior calculado automaticamente pela soma da oferta do produto no período.</t>
        </is>
      </c>
    </row>
    <row r="4357">
      <c r="A4357" s="6" t="inlineStr">
        <is>
          <t>Milho</t>
        </is>
      </c>
      <c r="B4357" s="6" t="inlineStr">
        <is>
          <t>Vitória - ES</t>
        </is>
      </c>
      <c r="C4357" s="6" t="n">
        <v>-20.3155</v>
      </c>
      <c r="D4357" s="6" t="n">
        <v>-40.3128</v>
      </c>
      <c r="E4357" s="6" t="inlineStr">
        <is>
          <t>2023-12</t>
        </is>
      </c>
      <c r="F4357" s="6" t="n"/>
      <c r="G4357" s="6" t="inlineStr">
        <is>
          <t>EXPORTACAO</t>
        </is>
      </c>
      <c r="H4357" s="6" t="inlineStr">
        <is>
          <t>AUTO_OFERTA_TOTAL_PRODUTO_PERIODO</t>
        </is>
      </c>
      <c r="I4357" s="11">
        <f>IF($H4357="AUTO_OFERTA_TOTAL_PRODUTO_PERIODO",SUMIFS(Oferta!$F:$F,Oferta!$A:$A,$A4357,Oferta!$E:$E,$E4357),$F4357)</f>
        <v/>
      </c>
      <c r="J4357" s="6" t="inlineStr">
        <is>
          <t>Derivado_da_Oferta</t>
        </is>
      </c>
      <c r="K4357" s="6" t="inlineStr">
        <is>
          <t>Mercado externo: limite superior calculado automaticamente pela soma da oferta do produto no período.</t>
        </is>
      </c>
    </row>
    <row r="4358">
      <c r="A4358" s="6" t="inlineStr">
        <is>
          <t>Milho</t>
        </is>
      </c>
      <c r="B4358" s="6" t="inlineStr">
        <is>
          <t>Vitória - ES</t>
        </is>
      </c>
      <c r="C4358" s="6" t="n">
        <v>-20.3155</v>
      </c>
      <c r="D4358" s="6" t="n">
        <v>-40.3128</v>
      </c>
      <c r="E4358" s="6" t="inlineStr">
        <is>
          <t>2024-01</t>
        </is>
      </c>
      <c r="F4358" s="6" t="n"/>
      <c r="G4358" s="6" t="inlineStr">
        <is>
          <t>EXPORTACAO</t>
        </is>
      </c>
      <c r="H4358" s="6" t="inlineStr">
        <is>
          <t>AUTO_OFERTA_TOTAL_PRODUTO_PERIODO</t>
        </is>
      </c>
      <c r="I4358" s="11">
        <f>IF($H4358="AUTO_OFERTA_TOTAL_PRODUTO_PERIODO",SUMIFS(Oferta!$F:$F,Oferta!$A:$A,$A4358,Oferta!$E:$E,$E4358),$F4358)</f>
        <v/>
      </c>
      <c r="J4358" s="6" t="inlineStr">
        <is>
          <t>Derivado_da_Oferta</t>
        </is>
      </c>
      <c r="K4358" s="6" t="inlineStr">
        <is>
          <t>Mercado externo: limite superior calculado automaticamente pela soma da oferta do produto no período.</t>
        </is>
      </c>
    </row>
    <row r="4359">
      <c r="A4359" s="6" t="inlineStr">
        <is>
          <t>Milho</t>
        </is>
      </c>
      <c r="B4359" s="6" t="inlineStr">
        <is>
          <t>Vitória - ES</t>
        </is>
      </c>
      <c r="C4359" s="6" t="n">
        <v>-20.3155</v>
      </c>
      <c r="D4359" s="6" t="n">
        <v>-40.3128</v>
      </c>
      <c r="E4359" s="6" t="inlineStr">
        <is>
          <t>2024-02</t>
        </is>
      </c>
      <c r="F4359" s="6" t="n"/>
      <c r="G4359" s="6" t="inlineStr">
        <is>
          <t>EXPORTACAO</t>
        </is>
      </c>
      <c r="H4359" s="6" t="inlineStr">
        <is>
          <t>AUTO_OFERTA_TOTAL_PRODUTO_PERIODO</t>
        </is>
      </c>
      <c r="I4359" s="11">
        <f>IF($H4359="AUTO_OFERTA_TOTAL_PRODUTO_PERIODO",SUMIFS(Oferta!$F:$F,Oferta!$A:$A,$A4359,Oferta!$E:$E,$E4359),$F4359)</f>
        <v/>
      </c>
      <c r="J4359" s="6" t="inlineStr">
        <is>
          <t>Derivado_da_Oferta</t>
        </is>
      </c>
      <c r="K4359" s="6" t="inlineStr">
        <is>
          <t>Mercado externo: limite superior calculado automaticamente pela soma da oferta do produto no período.</t>
        </is>
      </c>
    </row>
    <row r="4360">
      <c r="A4360" s="6" t="inlineStr">
        <is>
          <t>Milho</t>
        </is>
      </c>
      <c r="B4360" s="6" t="inlineStr">
        <is>
          <t>Vitória - ES</t>
        </is>
      </c>
      <c r="C4360" s="6" t="n">
        <v>-20.3155</v>
      </c>
      <c r="D4360" s="6" t="n">
        <v>-40.3128</v>
      </c>
      <c r="E4360" s="6" t="inlineStr">
        <is>
          <t>2024-03</t>
        </is>
      </c>
      <c r="F4360" s="6" t="n"/>
      <c r="G4360" s="6" t="inlineStr">
        <is>
          <t>EXPORTACAO</t>
        </is>
      </c>
      <c r="H4360" s="6" t="inlineStr">
        <is>
          <t>AUTO_OFERTA_TOTAL_PRODUTO_PERIODO</t>
        </is>
      </c>
      <c r="I4360" s="11">
        <f>IF($H4360="AUTO_OFERTA_TOTAL_PRODUTO_PERIODO",SUMIFS(Oferta!$F:$F,Oferta!$A:$A,$A4360,Oferta!$E:$E,$E4360),$F4360)</f>
        <v/>
      </c>
      <c r="J4360" s="6" t="inlineStr">
        <is>
          <t>Derivado_da_Oferta</t>
        </is>
      </c>
      <c r="K4360" s="6" t="inlineStr">
        <is>
          <t>Mercado externo: limite superior calculado automaticamente pela soma da oferta do produto no período.</t>
        </is>
      </c>
    </row>
    <row r="4361">
      <c r="A4361" s="6" t="inlineStr">
        <is>
          <t>Milho</t>
        </is>
      </c>
      <c r="B4361" s="6" t="inlineStr">
        <is>
          <t>Vitória - ES</t>
        </is>
      </c>
      <c r="C4361" s="6" t="n">
        <v>-20.3155</v>
      </c>
      <c r="D4361" s="6" t="n">
        <v>-40.3128</v>
      </c>
      <c r="E4361" s="6" t="inlineStr">
        <is>
          <t>2024-04</t>
        </is>
      </c>
      <c r="F4361" s="6" t="n"/>
      <c r="G4361" s="6" t="inlineStr">
        <is>
          <t>EXPORTACAO</t>
        </is>
      </c>
      <c r="H4361" s="6" t="inlineStr">
        <is>
          <t>AUTO_OFERTA_TOTAL_PRODUTO_PERIODO</t>
        </is>
      </c>
      <c r="I4361" s="11">
        <f>IF($H4361="AUTO_OFERTA_TOTAL_PRODUTO_PERIODO",SUMIFS(Oferta!$F:$F,Oferta!$A:$A,$A4361,Oferta!$E:$E,$E4361),$F4361)</f>
        <v/>
      </c>
      <c r="J4361" s="6" t="inlineStr">
        <is>
          <t>Derivado_da_Oferta</t>
        </is>
      </c>
      <c r="K4361" s="6" t="inlineStr">
        <is>
          <t>Mercado externo: limite superior calculado automaticamente pela soma da oferta do produto no período.</t>
        </is>
      </c>
    </row>
    <row r="4362">
      <c r="A4362" s="6" t="inlineStr">
        <is>
          <t>Milho</t>
        </is>
      </c>
      <c r="B4362" s="6" t="inlineStr">
        <is>
          <t>Vitória - ES</t>
        </is>
      </c>
      <c r="C4362" s="6" t="n">
        <v>-20.3155</v>
      </c>
      <c r="D4362" s="6" t="n">
        <v>-40.3128</v>
      </c>
      <c r="E4362" s="6" t="inlineStr">
        <is>
          <t>2024-05</t>
        </is>
      </c>
      <c r="F4362" s="6" t="n"/>
      <c r="G4362" s="6" t="inlineStr">
        <is>
          <t>EXPORTACAO</t>
        </is>
      </c>
      <c r="H4362" s="6" t="inlineStr">
        <is>
          <t>AUTO_OFERTA_TOTAL_PRODUTO_PERIODO</t>
        </is>
      </c>
      <c r="I4362" s="11">
        <f>IF($H4362="AUTO_OFERTA_TOTAL_PRODUTO_PERIODO",SUMIFS(Oferta!$F:$F,Oferta!$A:$A,$A4362,Oferta!$E:$E,$E4362),$F4362)</f>
        <v/>
      </c>
      <c r="J4362" s="6" t="inlineStr">
        <is>
          <t>Derivado_da_Oferta</t>
        </is>
      </c>
      <c r="K4362" s="6" t="inlineStr">
        <is>
          <t>Mercado externo: limite superior calculado automaticamente pela soma da oferta do produto no período.</t>
        </is>
      </c>
    </row>
    <row r="4363">
      <c r="A4363" s="6" t="inlineStr">
        <is>
          <t>Milho</t>
        </is>
      </c>
      <c r="B4363" s="6" t="inlineStr">
        <is>
          <t>Vitória - ES</t>
        </is>
      </c>
      <c r="C4363" s="6" t="n">
        <v>-20.3155</v>
      </c>
      <c r="D4363" s="6" t="n">
        <v>-40.3128</v>
      </c>
      <c r="E4363" s="6" t="inlineStr">
        <is>
          <t>2024-06</t>
        </is>
      </c>
      <c r="F4363" s="6" t="n"/>
      <c r="G4363" s="6" t="inlineStr">
        <is>
          <t>EXPORTACAO</t>
        </is>
      </c>
      <c r="H4363" s="6" t="inlineStr">
        <is>
          <t>AUTO_OFERTA_TOTAL_PRODUTO_PERIODO</t>
        </is>
      </c>
      <c r="I4363" s="11">
        <f>IF($H4363="AUTO_OFERTA_TOTAL_PRODUTO_PERIODO",SUMIFS(Oferta!$F:$F,Oferta!$A:$A,$A4363,Oferta!$E:$E,$E4363),$F4363)</f>
        <v/>
      </c>
      <c r="J4363" s="6" t="inlineStr">
        <is>
          <t>Derivado_da_Oferta</t>
        </is>
      </c>
      <c r="K4363" s="6" t="inlineStr">
        <is>
          <t>Mercado externo: limite superior calculado automaticamente pela soma da oferta do produto no período.</t>
        </is>
      </c>
    </row>
    <row r="4364">
      <c r="A4364" s="6" t="inlineStr">
        <is>
          <t>Milho</t>
        </is>
      </c>
      <c r="B4364" s="6" t="inlineStr">
        <is>
          <t>Vitória - ES</t>
        </is>
      </c>
      <c r="C4364" s="6" t="n">
        <v>-20.3155</v>
      </c>
      <c r="D4364" s="6" t="n">
        <v>-40.3128</v>
      </c>
      <c r="E4364" s="6" t="inlineStr">
        <is>
          <t>2024-07</t>
        </is>
      </c>
      <c r="F4364" s="6" t="n"/>
      <c r="G4364" s="6" t="inlineStr">
        <is>
          <t>EXPORTACAO</t>
        </is>
      </c>
      <c r="H4364" s="6" t="inlineStr">
        <is>
          <t>AUTO_OFERTA_TOTAL_PRODUTO_PERIODO</t>
        </is>
      </c>
      <c r="I4364" s="11">
        <f>IF($H4364="AUTO_OFERTA_TOTAL_PRODUTO_PERIODO",SUMIFS(Oferta!$F:$F,Oferta!$A:$A,$A4364,Oferta!$E:$E,$E4364),$F4364)</f>
        <v/>
      </c>
      <c r="J4364" s="6" t="inlineStr">
        <is>
          <t>Derivado_da_Oferta</t>
        </is>
      </c>
      <c r="K4364" s="6" t="inlineStr">
        <is>
          <t>Mercado externo: limite superior calculado automaticamente pela soma da oferta do produto no período.</t>
        </is>
      </c>
    </row>
    <row r="4365">
      <c r="A4365" s="6" t="inlineStr">
        <is>
          <t>Milho</t>
        </is>
      </c>
      <c r="B4365" s="6" t="inlineStr">
        <is>
          <t>Vitória - ES</t>
        </is>
      </c>
      <c r="C4365" s="6" t="n">
        <v>-20.3155</v>
      </c>
      <c r="D4365" s="6" t="n">
        <v>-40.3128</v>
      </c>
      <c r="E4365" s="6" t="inlineStr">
        <is>
          <t>2024-08</t>
        </is>
      </c>
      <c r="F4365" s="6" t="n"/>
      <c r="G4365" s="6" t="inlineStr">
        <is>
          <t>EXPORTACAO</t>
        </is>
      </c>
      <c r="H4365" s="6" t="inlineStr">
        <is>
          <t>AUTO_OFERTA_TOTAL_PRODUTO_PERIODO</t>
        </is>
      </c>
      <c r="I4365" s="11">
        <f>IF($H4365="AUTO_OFERTA_TOTAL_PRODUTO_PERIODO",SUMIFS(Oferta!$F:$F,Oferta!$A:$A,$A4365,Oferta!$E:$E,$E4365),$F4365)</f>
        <v/>
      </c>
      <c r="J4365" s="6" t="inlineStr">
        <is>
          <t>Derivado_da_Oferta</t>
        </is>
      </c>
      <c r="K4365" s="6" t="inlineStr">
        <is>
          <t>Mercado externo: limite superior calculado automaticamente pela soma da oferta do produto no período.</t>
        </is>
      </c>
    </row>
    <row r="4366">
      <c r="A4366" s="6" t="inlineStr">
        <is>
          <t>Milho</t>
        </is>
      </c>
      <c r="B4366" s="6" t="inlineStr">
        <is>
          <t>Vitória - ES</t>
        </is>
      </c>
      <c r="C4366" s="6" t="n">
        <v>-20.3155</v>
      </c>
      <c r="D4366" s="6" t="n">
        <v>-40.3128</v>
      </c>
      <c r="E4366" s="6" t="inlineStr">
        <is>
          <t>2024-09</t>
        </is>
      </c>
      <c r="F4366" s="6" t="n"/>
      <c r="G4366" s="6" t="inlineStr">
        <is>
          <t>EXPORTACAO</t>
        </is>
      </c>
      <c r="H4366" s="6" t="inlineStr">
        <is>
          <t>AUTO_OFERTA_TOTAL_PRODUTO_PERIODO</t>
        </is>
      </c>
      <c r="I4366" s="11">
        <f>IF($H4366="AUTO_OFERTA_TOTAL_PRODUTO_PERIODO",SUMIFS(Oferta!$F:$F,Oferta!$A:$A,$A4366,Oferta!$E:$E,$E4366),$F4366)</f>
        <v/>
      </c>
      <c r="J4366" s="6" t="inlineStr">
        <is>
          <t>Derivado_da_Oferta</t>
        </is>
      </c>
      <c r="K4366" s="6" t="inlineStr">
        <is>
          <t>Mercado externo: limite superior calculado automaticamente pela soma da oferta do produto no período.</t>
        </is>
      </c>
    </row>
    <row r="4367">
      <c r="A4367" s="6" t="inlineStr">
        <is>
          <t>Milho</t>
        </is>
      </c>
      <c r="B4367" s="6" t="inlineStr">
        <is>
          <t>Vitória - ES</t>
        </is>
      </c>
      <c r="C4367" s="6" t="n">
        <v>-20.3155</v>
      </c>
      <c r="D4367" s="6" t="n">
        <v>-40.3128</v>
      </c>
      <c r="E4367" s="6" t="inlineStr">
        <is>
          <t>2024-10</t>
        </is>
      </c>
      <c r="F4367" s="6" t="n"/>
      <c r="G4367" s="6" t="inlineStr">
        <is>
          <t>EXPORTACAO</t>
        </is>
      </c>
      <c r="H4367" s="6" t="inlineStr">
        <is>
          <t>AUTO_OFERTA_TOTAL_PRODUTO_PERIODO</t>
        </is>
      </c>
      <c r="I4367" s="11">
        <f>IF($H4367="AUTO_OFERTA_TOTAL_PRODUTO_PERIODO",SUMIFS(Oferta!$F:$F,Oferta!$A:$A,$A4367,Oferta!$E:$E,$E4367),$F4367)</f>
        <v/>
      </c>
      <c r="J4367" s="6" t="inlineStr">
        <is>
          <t>Derivado_da_Oferta</t>
        </is>
      </c>
      <c r="K4367" s="6" t="inlineStr">
        <is>
          <t>Mercado externo: limite superior calculado automaticamente pela soma da oferta do produto no período.</t>
        </is>
      </c>
    </row>
    <row r="4368">
      <c r="A4368" s="6" t="inlineStr">
        <is>
          <t>Milho</t>
        </is>
      </c>
      <c r="B4368" s="6" t="inlineStr">
        <is>
          <t>Vitória - ES</t>
        </is>
      </c>
      <c r="C4368" s="6" t="n">
        <v>-20.3155</v>
      </c>
      <c r="D4368" s="6" t="n">
        <v>-40.3128</v>
      </c>
      <c r="E4368" s="6" t="inlineStr">
        <is>
          <t>2024-11</t>
        </is>
      </c>
      <c r="F4368" s="6" t="n"/>
      <c r="G4368" s="6" t="inlineStr">
        <is>
          <t>EXPORTACAO</t>
        </is>
      </c>
      <c r="H4368" s="6" t="inlineStr">
        <is>
          <t>AUTO_OFERTA_TOTAL_PRODUTO_PERIODO</t>
        </is>
      </c>
      <c r="I4368" s="11">
        <f>IF($H4368="AUTO_OFERTA_TOTAL_PRODUTO_PERIODO",SUMIFS(Oferta!$F:$F,Oferta!$A:$A,$A4368,Oferta!$E:$E,$E4368),$F4368)</f>
        <v/>
      </c>
      <c r="J4368" s="6" t="inlineStr">
        <is>
          <t>Derivado_da_Oferta</t>
        </is>
      </c>
      <c r="K4368" s="6" t="inlineStr">
        <is>
          <t>Mercado externo: limite superior calculado automaticamente pela soma da oferta do produto no período.</t>
        </is>
      </c>
    </row>
    <row r="4369">
      <c r="A4369" s="6" t="inlineStr">
        <is>
          <t>Milho</t>
        </is>
      </c>
      <c r="B4369" s="6" t="inlineStr">
        <is>
          <t>Vitória - ES</t>
        </is>
      </c>
      <c r="C4369" s="6" t="n">
        <v>-20.3155</v>
      </c>
      <c r="D4369" s="6" t="n">
        <v>-40.3128</v>
      </c>
      <c r="E4369" s="6" t="inlineStr">
        <is>
          <t>2024-12</t>
        </is>
      </c>
      <c r="F4369" s="6" t="n"/>
      <c r="G4369" s="6" t="inlineStr">
        <is>
          <t>EXPORTACAO</t>
        </is>
      </c>
      <c r="H4369" s="6" t="inlineStr">
        <is>
          <t>AUTO_OFERTA_TOTAL_PRODUTO_PERIODO</t>
        </is>
      </c>
      <c r="I4369" s="11">
        <f>IF($H4369="AUTO_OFERTA_TOTAL_PRODUTO_PERIODO",SUMIFS(Oferta!$F:$F,Oferta!$A:$A,$A4369,Oferta!$E:$E,$E4369),$F4369)</f>
        <v/>
      </c>
      <c r="J4369" s="6" t="inlineStr">
        <is>
          <t>Derivado_da_Oferta</t>
        </is>
      </c>
      <c r="K4369" s="6" t="inlineStr">
        <is>
          <t>Mercado externo: limite superior calculado automaticamente pela soma da oferta do produto no período.</t>
        </is>
      </c>
    </row>
    <row r="4370">
      <c r="A4370" s="6" t="inlineStr">
        <is>
          <t>Milho</t>
        </is>
      </c>
      <c r="B4370" s="6" t="inlineStr">
        <is>
          <t>Vitória - ES</t>
        </is>
      </c>
      <c r="C4370" s="6" t="n">
        <v>-20.3155</v>
      </c>
      <c r="D4370" s="6" t="n">
        <v>-40.3128</v>
      </c>
      <c r="E4370" s="6" t="inlineStr">
        <is>
          <t>2025-01</t>
        </is>
      </c>
      <c r="F4370" s="6" t="n"/>
      <c r="G4370" s="6" t="inlineStr">
        <is>
          <t>EXPORTACAO</t>
        </is>
      </c>
      <c r="H4370" s="6" t="inlineStr">
        <is>
          <t>AUTO_OFERTA_TOTAL_PRODUTO_PERIODO</t>
        </is>
      </c>
      <c r="I4370" s="11">
        <f>IF($H4370="AUTO_OFERTA_TOTAL_PRODUTO_PERIODO",SUMIFS(Oferta!$F:$F,Oferta!$A:$A,$A4370,Oferta!$E:$E,$E4370),$F4370)</f>
        <v/>
      </c>
      <c r="J4370" s="6" t="inlineStr">
        <is>
          <t>Derivado_da_Oferta</t>
        </is>
      </c>
      <c r="K4370" s="6" t="inlineStr">
        <is>
          <t>Mercado externo: limite superior calculado automaticamente pela soma da oferta do produto no período.</t>
        </is>
      </c>
    </row>
    <row r="4371">
      <c r="A4371" s="6" t="inlineStr">
        <is>
          <t>Milho</t>
        </is>
      </c>
      <c r="B4371" s="6" t="inlineStr">
        <is>
          <t>Vitória - ES</t>
        </is>
      </c>
      <c r="C4371" s="6" t="n">
        <v>-20.3155</v>
      </c>
      <c r="D4371" s="6" t="n">
        <v>-40.3128</v>
      </c>
      <c r="E4371" s="6" t="inlineStr">
        <is>
          <t>2025-02</t>
        </is>
      </c>
      <c r="F4371" s="6" t="n"/>
      <c r="G4371" s="6" t="inlineStr">
        <is>
          <t>EXPORTACAO</t>
        </is>
      </c>
      <c r="H4371" s="6" t="inlineStr">
        <is>
          <t>AUTO_OFERTA_TOTAL_PRODUTO_PERIODO</t>
        </is>
      </c>
      <c r="I4371" s="11">
        <f>IF($H4371="AUTO_OFERTA_TOTAL_PRODUTO_PERIODO",SUMIFS(Oferta!$F:$F,Oferta!$A:$A,$A4371,Oferta!$E:$E,$E4371),$F4371)</f>
        <v/>
      </c>
      <c r="J4371" s="6" t="inlineStr">
        <is>
          <t>Derivado_da_Oferta</t>
        </is>
      </c>
      <c r="K4371" s="6" t="inlineStr">
        <is>
          <t>Mercado externo: limite superior calculado automaticamente pela soma da oferta do produto no período.</t>
        </is>
      </c>
    </row>
    <row r="4372">
      <c r="A4372" s="6" t="inlineStr">
        <is>
          <t>Milho</t>
        </is>
      </c>
      <c r="B4372" s="6" t="inlineStr">
        <is>
          <t>Vitória - ES</t>
        </is>
      </c>
      <c r="C4372" s="6" t="n">
        <v>-20.3155</v>
      </c>
      <c r="D4372" s="6" t="n">
        <v>-40.3128</v>
      </c>
      <c r="E4372" s="6" t="inlineStr">
        <is>
          <t>2025-03</t>
        </is>
      </c>
      <c r="F4372" s="6" t="n"/>
      <c r="G4372" s="6" t="inlineStr">
        <is>
          <t>EXPORTACAO</t>
        </is>
      </c>
      <c r="H4372" s="6" t="inlineStr">
        <is>
          <t>AUTO_OFERTA_TOTAL_PRODUTO_PERIODO</t>
        </is>
      </c>
      <c r="I4372" s="11">
        <f>IF($H4372="AUTO_OFERTA_TOTAL_PRODUTO_PERIODO",SUMIFS(Oferta!$F:$F,Oferta!$A:$A,$A4372,Oferta!$E:$E,$E4372),$F4372)</f>
        <v/>
      </c>
      <c r="J4372" s="6" t="inlineStr">
        <is>
          <t>Derivado_da_Oferta</t>
        </is>
      </c>
      <c r="K4372" s="6" t="inlineStr">
        <is>
          <t>Mercado externo: limite superior calculado automaticamente pela soma da oferta do produto no período.</t>
        </is>
      </c>
    </row>
    <row r="4373">
      <c r="A4373" s="6" t="inlineStr">
        <is>
          <t>Milho</t>
        </is>
      </c>
      <c r="B4373" s="6" t="inlineStr">
        <is>
          <t>Vitória - ES</t>
        </is>
      </c>
      <c r="C4373" s="6" t="n">
        <v>-20.3155</v>
      </c>
      <c r="D4373" s="6" t="n">
        <v>-40.3128</v>
      </c>
      <c r="E4373" s="6" t="inlineStr">
        <is>
          <t>2025-04</t>
        </is>
      </c>
      <c r="F4373" s="6" t="n"/>
      <c r="G4373" s="6" t="inlineStr">
        <is>
          <t>EXPORTACAO</t>
        </is>
      </c>
      <c r="H4373" s="6" t="inlineStr">
        <is>
          <t>AUTO_OFERTA_TOTAL_PRODUTO_PERIODO</t>
        </is>
      </c>
      <c r="I4373" s="11">
        <f>IF($H4373="AUTO_OFERTA_TOTAL_PRODUTO_PERIODO",SUMIFS(Oferta!$F:$F,Oferta!$A:$A,$A4373,Oferta!$E:$E,$E4373),$F4373)</f>
        <v/>
      </c>
      <c r="J4373" s="6" t="inlineStr">
        <is>
          <t>Derivado_da_Oferta</t>
        </is>
      </c>
      <c r="K4373" s="6" t="inlineStr">
        <is>
          <t>Mercado externo: limite superior calculado automaticamente pela soma da oferta do produto no período.</t>
        </is>
      </c>
    </row>
    <row r="4374">
      <c r="A4374" s="6" t="inlineStr">
        <is>
          <t>Milho</t>
        </is>
      </c>
      <c r="B4374" s="6" t="inlineStr">
        <is>
          <t>Vitória - ES</t>
        </is>
      </c>
      <c r="C4374" s="6" t="n">
        <v>-20.3155</v>
      </c>
      <c r="D4374" s="6" t="n">
        <v>-40.3128</v>
      </c>
      <c r="E4374" s="6" t="inlineStr">
        <is>
          <t>2025-05</t>
        </is>
      </c>
      <c r="F4374" s="6" t="n"/>
      <c r="G4374" s="6" t="inlineStr">
        <is>
          <t>EXPORTACAO</t>
        </is>
      </c>
      <c r="H4374" s="6" t="inlineStr">
        <is>
          <t>AUTO_OFERTA_TOTAL_PRODUTO_PERIODO</t>
        </is>
      </c>
      <c r="I4374" s="11">
        <f>IF($H4374="AUTO_OFERTA_TOTAL_PRODUTO_PERIODO",SUMIFS(Oferta!$F:$F,Oferta!$A:$A,$A4374,Oferta!$E:$E,$E4374),$F4374)</f>
        <v/>
      </c>
      <c r="J4374" s="6" t="inlineStr">
        <is>
          <t>Derivado_da_Oferta</t>
        </is>
      </c>
      <c r="K4374" s="6" t="inlineStr">
        <is>
          <t>Mercado externo: limite superior calculado automaticamente pela soma da oferta do produto no período.</t>
        </is>
      </c>
    </row>
    <row r="4375">
      <c r="A4375" s="6" t="inlineStr">
        <is>
          <t>Milho</t>
        </is>
      </c>
      <c r="B4375" s="6" t="inlineStr">
        <is>
          <t>Vitória - ES</t>
        </is>
      </c>
      <c r="C4375" s="6" t="n">
        <v>-20.3155</v>
      </c>
      <c r="D4375" s="6" t="n">
        <v>-40.3128</v>
      </c>
      <c r="E4375" s="6" t="inlineStr">
        <is>
          <t>2025-06</t>
        </is>
      </c>
      <c r="F4375" s="6" t="n"/>
      <c r="G4375" s="6" t="inlineStr">
        <is>
          <t>EXPORTACAO</t>
        </is>
      </c>
      <c r="H4375" s="6" t="inlineStr">
        <is>
          <t>AUTO_OFERTA_TOTAL_PRODUTO_PERIODO</t>
        </is>
      </c>
      <c r="I4375" s="11">
        <f>IF($H4375="AUTO_OFERTA_TOTAL_PRODUTO_PERIODO",SUMIFS(Oferta!$F:$F,Oferta!$A:$A,$A4375,Oferta!$E:$E,$E4375),$F4375)</f>
        <v/>
      </c>
      <c r="J4375" s="6" t="inlineStr">
        <is>
          <t>Derivado_da_Oferta</t>
        </is>
      </c>
      <c r="K4375" s="6" t="inlineStr">
        <is>
          <t>Mercado externo: limite superior calculado automaticamente pela soma da oferta do produto no período.</t>
        </is>
      </c>
    </row>
    <row r="4376">
      <c r="A4376" s="6" t="inlineStr">
        <is>
          <t>Milho</t>
        </is>
      </c>
      <c r="B4376" s="6" t="inlineStr">
        <is>
          <t>Vitória - ES</t>
        </is>
      </c>
      <c r="C4376" s="6" t="n">
        <v>-20.3155</v>
      </c>
      <c r="D4376" s="6" t="n">
        <v>-40.3128</v>
      </c>
      <c r="E4376" s="6" t="inlineStr">
        <is>
          <t>2025-07</t>
        </is>
      </c>
      <c r="F4376" s="6" t="n"/>
      <c r="G4376" s="6" t="inlineStr">
        <is>
          <t>EXPORTACAO</t>
        </is>
      </c>
      <c r="H4376" s="6" t="inlineStr">
        <is>
          <t>AUTO_OFERTA_TOTAL_PRODUTO_PERIODO</t>
        </is>
      </c>
      <c r="I4376" s="11">
        <f>IF($H4376="AUTO_OFERTA_TOTAL_PRODUTO_PERIODO",SUMIFS(Oferta!$F:$F,Oferta!$A:$A,$A4376,Oferta!$E:$E,$E4376),$F4376)</f>
        <v/>
      </c>
      <c r="J4376" s="6" t="inlineStr">
        <is>
          <t>Derivado_da_Oferta</t>
        </is>
      </c>
      <c r="K4376" s="6" t="inlineStr">
        <is>
          <t>Mercado externo: limite superior calculado automaticamente pela soma da oferta do produto no período.</t>
        </is>
      </c>
    </row>
    <row r="4377">
      <c r="A4377" s="6" t="inlineStr">
        <is>
          <t>Milho</t>
        </is>
      </c>
      <c r="B4377" s="6" t="inlineStr">
        <is>
          <t>Vitória - ES</t>
        </is>
      </c>
      <c r="C4377" s="6" t="n">
        <v>-20.3155</v>
      </c>
      <c r="D4377" s="6" t="n">
        <v>-40.3128</v>
      </c>
      <c r="E4377" s="6" t="inlineStr">
        <is>
          <t>2025-08</t>
        </is>
      </c>
      <c r="F4377" s="6" t="n"/>
      <c r="G4377" s="6" t="inlineStr">
        <is>
          <t>EXPORTACAO</t>
        </is>
      </c>
      <c r="H4377" s="6" t="inlineStr">
        <is>
          <t>AUTO_OFERTA_TOTAL_PRODUTO_PERIODO</t>
        </is>
      </c>
      <c r="I4377" s="11">
        <f>IF($H4377="AUTO_OFERTA_TOTAL_PRODUTO_PERIODO",SUMIFS(Oferta!$F:$F,Oferta!$A:$A,$A4377,Oferta!$E:$E,$E4377),$F4377)</f>
        <v/>
      </c>
      <c r="J4377" s="6" t="inlineStr">
        <is>
          <t>Derivado_da_Oferta</t>
        </is>
      </c>
      <c r="K4377" s="6" t="inlineStr">
        <is>
          <t>Mercado externo: limite superior calculado automaticamente pela soma da oferta do produto no período.</t>
        </is>
      </c>
    </row>
    <row r="4378">
      <c r="A4378" s="6" t="inlineStr">
        <is>
          <t>Milho</t>
        </is>
      </c>
      <c r="B4378" s="6" t="inlineStr">
        <is>
          <t>Vitória - ES</t>
        </is>
      </c>
      <c r="C4378" s="6" t="n">
        <v>-20.3155</v>
      </c>
      <c r="D4378" s="6" t="n">
        <v>-40.3128</v>
      </c>
      <c r="E4378" s="6" t="inlineStr">
        <is>
          <t>2025-09</t>
        </is>
      </c>
      <c r="F4378" s="6" t="n"/>
      <c r="G4378" s="6" t="inlineStr">
        <is>
          <t>EXPORTACAO</t>
        </is>
      </c>
      <c r="H4378" s="6" t="inlineStr">
        <is>
          <t>AUTO_OFERTA_TOTAL_PRODUTO_PERIODO</t>
        </is>
      </c>
      <c r="I4378" s="11">
        <f>IF($H4378="AUTO_OFERTA_TOTAL_PRODUTO_PERIODO",SUMIFS(Oferta!$F:$F,Oferta!$A:$A,$A4378,Oferta!$E:$E,$E4378),$F4378)</f>
        <v/>
      </c>
      <c r="J4378" s="6" t="inlineStr">
        <is>
          <t>Derivado_da_Oferta</t>
        </is>
      </c>
      <c r="K4378" s="6" t="inlineStr">
        <is>
          <t>Mercado externo: limite superior calculado automaticamente pela soma da oferta do produto no período.</t>
        </is>
      </c>
    </row>
    <row r="4379">
      <c r="A4379" s="6" t="inlineStr">
        <is>
          <t>Milho</t>
        </is>
      </c>
      <c r="B4379" s="6" t="inlineStr">
        <is>
          <t>Vitória - ES</t>
        </is>
      </c>
      <c r="C4379" s="6" t="n">
        <v>-20.3155</v>
      </c>
      <c r="D4379" s="6" t="n">
        <v>-40.3128</v>
      </c>
      <c r="E4379" s="6" t="inlineStr">
        <is>
          <t>2025-10</t>
        </is>
      </c>
      <c r="F4379" s="6" t="n"/>
      <c r="G4379" s="6" t="inlineStr">
        <is>
          <t>EXPORTACAO</t>
        </is>
      </c>
      <c r="H4379" s="6" t="inlineStr">
        <is>
          <t>AUTO_OFERTA_TOTAL_PRODUTO_PERIODO</t>
        </is>
      </c>
      <c r="I4379" s="11">
        <f>IF($H4379="AUTO_OFERTA_TOTAL_PRODUTO_PERIODO",SUMIFS(Oferta!$F:$F,Oferta!$A:$A,$A4379,Oferta!$E:$E,$E4379),$F4379)</f>
        <v/>
      </c>
      <c r="J4379" s="6" t="inlineStr">
        <is>
          <t>Derivado_da_Oferta</t>
        </is>
      </c>
      <c r="K4379" s="6" t="inlineStr">
        <is>
          <t>Mercado externo: limite superior calculado automaticamente pela soma da oferta do produto no período.</t>
        </is>
      </c>
    </row>
    <row r="4380">
      <c r="A4380" s="6" t="inlineStr">
        <is>
          <t>Milho</t>
        </is>
      </c>
      <c r="B4380" s="6" t="inlineStr">
        <is>
          <t>Vitória - ES</t>
        </is>
      </c>
      <c r="C4380" s="6" t="n">
        <v>-20.3155</v>
      </c>
      <c r="D4380" s="6" t="n">
        <v>-40.3128</v>
      </c>
      <c r="E4380" s="6" t="inlineStr">
        <is>
          <t>2025-11</t>
        </is>
      </c>
      <c r="F4380" s="6" t="n"/>
      <c r="G4380" s="6" t="inlineStr">
        <is>
          <t>EXPORTACAO</t>
        </is>
      </c>
      <c r="H4380" s="6" t="inlineStr">
        <is>
          <t>AUTO_OFERTA_TOTAL_PRODUTO_PERIODO</t>
        </is>
      </c>
      <c r="I4380" s="11">
        <f>IF($H4380="AUTO_OFERTA_TOTAL_PRODUTO_PERIODO",SUMIFS(Oferta!$F:$F,Oferta!$A:$A,$A4380,Oferta!$E:$E,$E4380),$F4380)</f>
        <v/>
      </c>
      <c r="J4380" s="6" t="inlineStr">
        <is>
          <t>Derivado_da_Oferta</t>
        </is>
      </c>
      <c r="K4380" s="6" t="inlineStr">
        <is>
          <t>Mercado externo: limite superior calculado automaticamente pela soma da oferta do produto no período.</t>
        </is>
      </c>
    </row>
    <row r="4381">
      <c r="A4381" s="6" t="inlineStr">
        <is>
          <t>Milho</t>
        </is>
      </c>
      <c r="B4381" s="6" t="inlineStr">
        <is>
          <t>Vitória - ES</t>
        </is>
      </c>
      <c r="C4381" s="6" t="n">
        <v>-20.3155</v>
      </c>
      <c r="D4381" s="6" t="n">
        <v>-40.3128</v>
      </c>
      <c r="E4381" s="6" t="inlineStr">
        <is>
          <t>2025-12</t>
        </is>
      </c>
      <c r="F4381" s="6" t="n"/>
      <c r="G4381" s="6" t="inlineStr">
        <is>
          <t>EXPORTACAO</t>
        </is>
      </c>
      <c r="H4381" s="6" t="inlineStr">
        <is>
          <t>AUTO_OFERTA_TOTAL_PRODUTO_PERIODO</t>
        </is>
      </c>
      <c r="I4381" s="11">
        <f>IF($H4381="AUTO_OFERTA_TOTAL_PRODUTO_PERIODO",SUMIFS(Oferta!$F:$F,Oferta!$A:$A,$A4381,Oferta!$E:$E,$E4381),$F4381)</f>
        <v/>
      </c>
      <c r="J4381" s="6" t="inlineStr">
        <is>
          <t>Derivado_da_Oferta</t>
        </is>
      </c>
      <c r="K4381" s="6" t="inlineStr">
        <is>
          <t>Mercado externo: limite superior calculado automaticamente pela soma da oferta do produto no período.</t>
        </is>
      </c>
    </row>
    <row r="4382">
      <c r="A4382" s="6" t="inlineStr">
        <is>
          <t>Soja</t>
        </is>
      </c>
      <c r="B4382" s="6" t="inlineStr">
        <is>
          <t>Vitória - ES</t>
        </is>
      </c>
      <c r="C4382" s="6" t="n">
        <v>-20.3155</v>
      </c>
      <c r="D4382" s="6" t="n">
        <v>-40.3128</v>
      </c>
      <c r="E4382" s="6" t="inlineStr">
        <is>
          <t>2021-01</t>
        </is>
      </c>
      <c r="F4382" s="6" t="n"/>
      <c r="G4382" s="6" t="inlineStr">
        <is>
          <t>EXPORTACAO</t>
        </is>
      </c>
      <c r="H4382" s="6" t="inlineStr">
        <is>
          <t>AUTO_OFERTA_TOTAL_PRODUTO_PERIODO</t>
        </is>
      </c>
      <c r="I4382" s="11">
        <f>IF($H4382="AUTO_OFERTA_TOTAL_PRODUTO_PERIODO",SUMIFS(Oferta!$F:$F,Oferta!$A:$A,$A4382,Oferta!$E:$E,$E4382),$F4382)</f>
        <v/>
      </c>
      <c r="J4382" s="6" t="inlineStr">
        <is>
          <t>Derivado_da_Oferta</t>
        </is>
      </c>
      <c r="K4382" s="6" t="inlineStr">
        <is>
          <t>Mercado externo: limite superior calculado automaticamente pela soma da oferta do produto no período.</t>
        </is>
      </c>
    </row>
    <row r="4383">
      <c r="A4383" s="6" t="inlineStr">
        <is>
          <t>Soja</t>
        </is>
      </c>
      <c r="B4383" s="6" t="inlineStr">
        <is>
          <t>Vitória - ES</t>
        </is>
      </c>
      <c r="C4383" s="6" t="n">
        <v>-20.3155</v>
      </c>
      <c r="D4383" s="6" t="n">
        <v>-40.3128</v>
      </c>
      <c r="E4383" s="6" t="inlineStr">
        <is>
          <t>2021-02</t>
        </is>
      </c>
      <c r="F4383" s="6" t="n"/>
      <c r="G4383" s="6" t="inlineStr">
        <is>
          <t>EXPORTACAO</t>
        </is>
      </c>
      <c r="H4383" s="6" t="inlineStr">
        <is>
          <t>AUTO_OFERTA_TOTAL_PRODUTO_PERIODO</t>
        </is>
      </c>
      <c r="I4383" s="11">
        <f>IF($H4383="AUTO_OFERTA_TOTAL_PRODUTO_PERIODO",SUMIFS(Oferta!$F:$F,Oferta!$A:$A,$A4383,Oferta!$E:$E,$E4383),$F4383)</f>
        <v/>
      </c>
      <c r="J4383" s="6" t="inlineStr">
        <is>
          <t>Derivado_da_Oferta</t>
        </is>
      </c>
      <c r="K4383" s="6" t="inlineStr">
        <is>
          <t>Mercado externo: limite superior calculado automaticamente pela soma da oferta do produto no período.</t>
        </is>
      </c>
    </row>
    <row r="4384">
      <c r="A4384" s="6" t="inlineStr">
        <is>
          <t>Soja</t>
        </is>
      </c>
      <c r="B4384" s="6" t="inlineStr">
        <is>
          <t>Vitória - ES</t>
        </is>
      </c>
      <c r="C4384" s="6" t="n">
        <v>-20.3155</v>
      </c>
      <c r="D4384" s="6" t="n">
        <v>-40.3128</v>
      </c>
      <c r="E4384" s="6" t="inlineStr">
        <is>
          <t>2021-03</t>
        </is>
      </c>
      <c r="F4384" s="6" t="n"/>
      <c r="G4384" s="6" t="inlineStr">
        <is>
          <t>EXPORTACAO</t>
        </is>
      </c>
      <c r="H4384" s="6" t="inlineStr">
        <is>
          <t>AUTO_OFERTA_TOTAL_PRODUTO_PERIODO</t>
        </is>
      </c>
      <c r="I4384" s="11">
        <f>IF($H4384="AUTO_OFERTA_TOTAL_PRODUTO_PERIODO",SUMIFS(Oferta!$F:$F,Oferta!$A:$A,$A4384,Oferta!$E:$E,$E4384),$F4384)</f>
        <v/>
      </c>
      <c r="J4384" s="6" t="inlineStr">
        <is>
          <t>Derivado_da_Oferta</t>
        </is>
      </c>
      <c r="K4384" s="6" t="inlineStr">
        <is>
          <t>Mercado externo: limite superior calculado automaticamente pela soma da oferta do produto no período.</t>
        </is>
      </c>
    </row>
    <row r="4385">
      <c r="A4385" s="6" t="inlineStr">
        <is>
          <t>Soja</t>
        </is>
      </c>
      <c r="B4385" s="6" t="inlineStr">
        <is>
          <t>Vitória - ES</t>
        </is>
      </c>
      <c r="C4385" s="6" t="n">
        <v>-20.3155</v>
      </c>
      <c r="D4385" s="6" t="n">
        <v>-40.3128</v>
      </c>
      <c r="E4385" s="6" t="inlineStr">
        <is>
          <t>2021-04</t>
        </is>
      </c>
      <c r="F4385" s="6" t="n"/>
      <c r="G4385" s="6" t="inlineStr">
        <is>
          <t>EXPORTACAO</t>
        </is>
      </c>
      <c r="H4385" s="6" t="inlineStr">
        <is>
          <t>AUTO_OFERTA_TOTAL_PRODUTO_PERIODO</t>
        </is>
      </c>
      <c r="I4385" s="11">
        <f>IF($H4385="AUTO_OFERTA_TOTAL_PRODUTO_PERIODO",SUMIFS(Oferta!$F:$F,Oferta!$A:$A,$A4385,Oferta!$E:$E,$E4385),$F4385)</f>
        <v/>
      </c>
      <c r="J4385" s="6" t="inlineStr">
        <is>
          <t>Derivado_da_Oferta</t>
        </is>
      </c>
      <c r="K4385" s="6" t="inlineStr">
        <is>
          <t>Mercado externo: limite superior calculado automaticamente pela soma da oferta do produto no período.</t>
        </is>
      </c>
    </row>
    <row r="4386">
      <c r="A4386" s="6" t="inlineStr">
        <is>
          <t>Soja</t>
        </is>
      </c>
      <c r="B4386" s="6" t="inlineStr">
        <is>
          <t>Vitória - ES</t>
        </is>
      </c>
      <c r="C4386" s="6" t="n">
        <v>-20.3155</v>
      </c>
      <c r="D4386" s="6" t="n">
        <v>-40.3128</v>
      </c>
      <c r="E4386" s="6" t="inlineStr">
        <is>
          <t>2021-05</t>
        </is>
      </c>
      <c r="F4386" s="6" t="n"/>
      <c r="G4386" s="6" t="inlineStr">
        <is>
          <t>EXPORTACAO</t>
        </is>
      </c>
      <c r="H4386" s="6" t="inlineStr">
        <is>
          <t>AUTO_OFERTA_TOTAL_PRODUTO_PERIODO</t>
        </is>
      </c>
      <c r="I4386" s="11">
        <f>IF($H4386="AUTO_OFERTA_TOTAL_PRODUTO_PERIODO",SUMIFS(Oferta!$F:$F,Oferta!$A:$A,$A4386,Oferta!$E:$E,$E4386),$F4386)</f>
        <v/>
      </c>
      <c r="J4386" s="6" t="inlineStr">
        <is>
          <t>Derivado_da_Oferta</t>
        </is>
      </c>
      <c r="K4386" s="6" t="inlineStr">
        <is>
          <t>Mercado externo: limite superior calculado automaticamente pela soma da oferta do produto no período.</t>
        </is>
      </c>
    </row>
    <row r="4387">
      <c r="A4387" s="6" t="inlineStr">
        <is>
          <t>Soja</t>
        </is>
      </c>
      <c r="B4387" s="6" t="inlineStr">
        <is>
          <t>Vitória - ES</t>
        </is>
      </c>
      <c r="C4387" s="6" t="n">
        <v>-20.3155</v>
      </c>
      <c r="D4387" s="6" t="n">
        <v>-40.3128</v>
      </c>
      <c r="E4387" s="6" t="inlineStr">
        <is>
          <t>2021-06</t>
        </is>
      </c>
      <c r="F4387" s="6" t="n"/>
      <c r="G4387" s="6" t="inlineStr">
        <is>
          <t>EXPORTACAO</t>
        </is>
      </c>
      <c r="H4387" s="6" t="inlineStr">
        <is>
          <t>AUTO_OFERTA_TOTAL_PRODUTO_PERIODO</t>
        </is>
      </c>
      <c r="I4387" s="11">
        <f>IF($H4387="AUTO_OFERTA_TOTAL_PRODUTO_PERIODO",SUMIFS(Oferta!$F:$F,Oferta!$A:$A,$A4387,Oferta!$E:$E,$E4387),$F4387)</f>
        <v/>
      </c>
      <c r="J4387" s="6" t="inlineStr">
        <is>
          <t>Derivado_da_Oferta</t>
        </is>
      </c>
      <c r="K4387" s="6" t="inlineStr">
        <is>
          <t>Mercado externo: limite superior calculado automaticamente pela soma da oferta do produto no período.</t>
        </is>
      </c>
    </row>
    <row r="4388">
      <c r="A4388" s="6" t="inlineStr">
        <is>
          <t>Soja</t>
        </is>
      </c>
      <c r="B4388" s="6" t="inlineStr">
        <is>
          <t>Vitória - ES</t>
        </is>
      </c>
      <c r="C4388" s="6" t="n">
        <v>-20.3155</v>
      </c>
      <c r="D4388" s="6" t="n">
        <v>-40.3128</v>
      </c>
      <c r="E4388" s="6" t="inlineStr">
        <is>
          <t>2021-07</t>
        </is>
      </c>
      <c r="F4388" s="6" t="n"/>
      <c r="G4388" s="6" t="inlineStr">
        <is>
          <t>EXPORTACAO</t>
        </is>
      </c>
      <c r="H4388" s="6" t="inlineStr">
        <is>
          <t>AUTO_OFERTA_TOTAL_PRODUTO_PERIODO</t>
        </is>
      </c>
      <c r="I4388" s="11">
        <f>IF($H4388="AUTO_OFERTA_TOTAL_PRODUTO_PERIODO",SUMIFS(Oferta!$F:$F,Oferta!$A:$A,$A4388,Oferta!$E:$E,$E4388),$F4388)</f>
        <v/>
      </c>
      <c r="J4388" s="6" t="inlineStr">
        <is>
          <t>Derivado_da_Oferta</t>
        </is>
      </c>
      <c r="K4388" s="6" t="inlineStr">
        <is>
          <t>Mercado externo: limite superior calculado automaticamente pela soma da oferta do produto no período.</t>
        </is>
      </c>
    </row>
    <row r="4389">
      <c r="A4389" s="6" t="inlineStr">
        <is>
          <t>Soja</t>
        </is>
      </c>
      <c r="B4389" s="6" t="inlineStr">
        <is>
          <t>Vitória - ES</t>
        </is>
      </c>
      <c r="C4389" s="6" t="n">
        <v>-20.3155</v>
      </c>
      <c r="D4389" s="6" t="n">
        <v>-40.3128</v>
      </c>
      <c r="E4389" s="6" t="inlineStr">
        <is>
          <t>2021-08</t>
        </is>
      </c>
      <c r="F4389" s="6" t="n"/>
      <c r="G4389" s="6" t="inlineStr">
        <is>
          <t>EXPORTACAO</t>
        </is>
      </c>
      <c r="H4389" s="6" t="inlineStr">
        <is>
          <t>AUTO_OFERTA_TOTAL_PRODUTO_PERIODO</t>
        </is>
      </c>
      <c r="I4389" s="11">
        <f>IF($H4389="AUTO_OFERTA_TOTAL_PRODUTO_PERIODO",SUMIFS(Oferta!$F:$F,Oferta!$A:$A,$A4389,Oferta!$E:$E,$E4389),$F4389)</f>
        <v/>
      </c>
      <c r="J4389" s="6" t="inlineStr">
        <is>
          <t>Derivado_da_Oferta</t>
        </is>
      </c>
      <c r="K4389" s="6" t="inlineStr">
        <is>
          <t>Mercado externo: limite superior calculado automaticamente pela soma da oferta do produto no período.</t>
        </is>
      </c>
    </row>
    <row r="4390">
      <c r="A4390" s="6" t="inlineStr">
        <is>
          <t>Soja</t>
        </is>
      </c>
      <c r="B4390" s="6" t="inlineStr">
        <is>
          <t>Vitória - ES</t>
        </is>
      </c>
      <c r="C4390" s="6" t="n">
        <v>-20.3155</v>
      </c>
      <c r="D4390" s="6" t="n">
        <v>-40.3128</v>
      </c>
      <c r="E4390" s="6" t="inlineStr">
        <is>
          <t>2021-09</t>
        </is>
      </c>
      <c r="F4390" s="6" t="n"/>
      <c r="G4390" s="6" t="inlineStr">
        <is>
          <t>EXPORTACAO</t>
        </is>
      </c>
      <c r="H4390" s="6" t="inlineStr">
        <is>
          <t>AUTO_OFERTA_TOTAL_PRODUTO_PERIODO</t>
        </is>
      </c>
      <c r="I4390" s="11">
        <f>IF($H4390="AUTO_OFERTA_TOTAL_PRODUTO_PERIODO",SUMIFS(Oferta!$F:$F,Oferta!$A:$A,$A4390,Oferta!$E:$E,$E4390),$F4390)</f>
        <v/>
      </c>
      <c r="J4390" s="6" t="inlineStr">
        <is>
          <t>Derivado_da_Oferta</t>
        </is>
      </c>
      <c r="K4390" s="6" t="inlineStr">
        <is>
          <t>Mercado externo: limite superior calculado automaticamente pela soma da oferta do produto no período.</t>
        </is>
      </c>
    </row>
    <row r="4391">
      <c r="A4391" s="6" t="inlineStr">
        <is>
          <t>Soja</t>
        </is>
      </c>
      <c r="B4391" s="6" t="inlineStr">
        <is>
          <t>Vitória - ES</t>
        </is>
      </c>
      <c r="C4391" s="6" t="n">
        <v>-20.3155</v>
      </c>
      <c r="D4391" s="6" t="n">
        <v>-40.3128</v>
      </c>
      <c r="E4391" s="6" t="inlineStr">
        <is>
          <t>2021-10</t>
        </is>
      </c>
      <c r="F4391" s="6" t="n"/>
      <c r="G4391" s="6" t="inlineStr">
        <is>
          <t>EXPORTACAO</t>
        </is>
      </c>
      <c r="H4391" s="6" t="inlineStr">
        <is>
          <t>AUTO_OFERTA_TOTAL_PRODUTO_PERIODO</t>
        </is>
      </c>
      <c r="I4391" s="11">
        <f>IF($H4391="AUTO_OFERTA_TOTAL_PRODUTO_PERIODO",SUMIFS(Oferta!$F:$F,Oferta!$A:$A,$A4391,Oferta!$E:$E,$E4391),$F4391)</f>
        <v/>
      </c>
      <c r="J4391" s="6" t="inlineStr">
        <is>
          <t>Derivado_da_Oferta</t>
        </is>
      </c>
      <c r="K4391" s="6" t="inlineStr">
        <is>
          <t>Mercado externo: limite superior calculado automaticamente pela soma da oferta do produto no período.</t>
        </is>
      </c>
    </row>
    <row r="4392">
      <c r="A4392" s="6" t="inlineStr">
        <is>
          <t>Soja</t>
        </is>
      </c>
      <c r="B4392" s="6" t="inlineStr">
        <is>
          <t>Vitória - ES</t>
        </is>
      </c>
      <c r="C4392" s="6" t="n">
        <v>-20.3155</v>
      </c>
      <c r="D4392" s="6" t="n">
        <v>-40.3128</v>
      </c>
      <c r="E4392" s="6" t="inlineStr">
        <is>
          <t>2021-11</t>
        </is>
      </c>
      <c r="F4392" s="6" t="n"/>
      <c r="G4392" s="6" t="inlineStr">
        <is>
          <t>EXPORTACAO</t>
        </is>
      </c>
      <c r="H4392" s="6" t="inlineStr">
        <is>
          <t>AUTO_OFERTA_TOTAL_PRODUTO_PERIODO</t>
        </is>
      </c>
      <c r="I4392" s="11">
        <f>IF($H4392="AUTO_OFERTA_TOTAL_PRODUTO_PERIODO",SUMIFS(Oferta!$F:$F,Oferta!$A:$A,$A4392,Oferta!$E:$E,$E4392),$F4392)</f>
        <v/>
      </c>
      <c r="J4392" s="6" t="inlineStr">
        <is>
          <t>Derivado_da_Oferta</t>
        </is>
      </c>
      <c r="K4392" s="6" t="inlineStr">
        <is>
          <t>Mercado externo: limite superior calculado automaticamente pela soma da oferta do produto no período.</t>
        </is>
      </c>
    </row>
    <row r="4393">
      <c r="A4393" s="6" t="inlineStr">
        <is>
          <t>Soja</t>
        </is>
      </c>
      <c r="B4393" s="6" t="inlineStr">
        <is>
          <t>Vitória - ES</t>
        </is>
      </c>
      <c r="C4393" s="6" t="n">
        <v>-20.3155</v>
      </c>
      <c r="D4393" s="6" t="n">
        <v>-40.3128</v>
      </c>
      <c r="E4393" s="6" t="inlineStr">
        <is>
          <t>2021-12</t>
        </is>
      </c>
      <c r="F4393" s="6" t="n"/>
      <c r="G4393" s="6" t="inlineStr">
        <is>
          <t>EXPORTACAO</t>
        </is>
      </c>
      <c r="H4393" s="6" t="inlineStr">
        <is>
          <t>AUTO_OFERTA_TOTAL_PRODUTO_PERIODO</t>
        </is>
      </c>
      <c r="I4393" s="11">
        <f>IF($H4393="AUTO_OFERTA_TOTAL_PRODUTO_PERIODO",SUMIFS(Oferta!$F:$F,Oferta!$A:$A,$A4393,Oferta!$E:$E,$E4393),$F4393)</f>
        <v/>
      </c>
      <c r="J4393" s="6" t="inlineStr">
        <is>
          <t>Derivado_da_Oferta</t>
        </is>
      </c>
      <c r="K4393" s="6" t="inlineStr">
        <is>
          <t>Mercado externo: limite superior calculado automaticamente pela soma da oferta do produto no período.</t>
        </is>
      </c>
    </row>
    <row r="4394">
      <c r="A4394" s="6" t="inlineStr">
        <is>
          <t>Soja</t>
        </is>
      </c>
      <c r="B4394" s="6" t="inlineStr">
        <is>
          <t>Vitória - ES</t>
        </is>
      </c>
      <c r="C4394" s="6" t="n">
        <v>-20.3155</v>
      </c>
      <c r="D4394" s="6" t="n">
        <v>-40.3128</v>
      </c>
      <c r="E4394" s="6" t="inlineStr">
        <is>
          <t>2022-01</t>
        </is>
      </c>
      <c r="F4394" s="6" t="n"/>
      <c r="G4394" s="6" t="inlineStr">
        <is>
          <t>EXPORTACAO</t>
        </is>
      </c>
      <c r="H4394" s="6" t="inlineStr">
        <is>
          <t>AUTO_OFERTA_TOTAL_PRODUTO_PERIODO</t>
        </is>
      </c>
      <c r="I4394" s="11">
        <f>IF($H4394="AUTO_OFERTA_TOTAL_PRODUTO_PERIODO",SUMIFS(Oferta!$F:$F,Oferta!$A:$A,$A4394,Oferta!$E:$E,$E4394),$F4394)</f>
        <v/>
      </c>
      <c r="J4394" s="6" t="inlineStr">
        <is>
          <t>Derivado_da_Oferta</t>
        </is>
      </c>
      <c r="K4394" s="6" t="inlineStr">
        <is>
          <t>Mercado externo: limite superior calculado automaticamente pela soma da oferta do produto no período.</t>
        </is>
      </c>
    </row>
    <row r="4395">
      <c r="A4395" s="6" t="inlineStr">
        <is>
          <t>Soja</t>
        </is>
      </c>
      <c r="B4395" s="6" t="inlineStr">
        <is>
          <t>Vitória - ES</t>
        </is>
      </c>
      <c r="C4395" s="6" t="n">
        <v>-20.3155</v>
      </c>
      <c r="D4395" s="6" t="n">
        <v>-40.3128</v>
      </c>
      <c r="E4395" s="6" t="inlineStr">
        <is>
          <t>2022-02</t>
        </is>
      </c>
      <c r="F4395" s="6" t="n"/>
      <c r="G4395" s="6" t="inlineStr">
        <is>
          <t>EXPORTACAO</t>
        </is>
      </c>
      <c r="H4395" s="6" t="inlineStr">
        <is>
          <t>AUTO_OFERTA_TOTAL_PRODUTO_PERIODO</t>
        </is>
      </c>
      <c r="I4395" s="11">
        <f>IF($H4395="AUTO_OFERTA_TOTAL_PRODUTO_PERIODO",SUMIFS(Oferta!$F:$F,Oferta!$A:$A,$A4395,Oferta!$E:$E,$E4395),$F4395)</f>
        <v/>
      </c>
      <c r="J4395" s="6" t="inlineStr">
        <is>
          <t>Derivado_da_Oferta</t>
        </is>
      </c>
      <c r="K4395" s="6" t="inlineStr">
        <is>
          <t>Mercado externo: limite superior calculado automaticamente pela soma da oferta do produto no período.</t>
        </is>
      </c>
    </row>
    <row r="4396">
      <c r="A4396" s="6" t="inlineStr">
        <is>
          <t>Soja</t>
        </is>
      </c>
      <c r="B4396" s="6" t="inlineStr">
        <is>
          <t>Vitória - ES</t>
        </is>
      </c>
      <c r="C4396" s="6" t="n">
        <v>-20.3155</v>
      </c>
      <c r="D4396" s="6" t="n">
        <v>-40.3128</v>
      </c>
      <c r="E4396" s="6" t="inlineStr">
        <is>
          <t>2022-03</t>
        </is>
      </c>
      <c r="F4396" s="6" t="n"/>
      <c r="G4396" s="6" t="inlineStr">
        <is>
          <t>EXPORTACAO</t>
        </is>
      </c>
      <c r="H4396" s="6" t="inlineStr">
        <is>
          <t>AUTO_OFERTA_TOTAL_PRODUTO_PERIODO</t>
        </is>
      </c>
      <c r="I4396" s="11">
        <f>IF($H4396="AUTO_OFERTA_TOTAL_PRODUTO_PERIODO",SUMIFS(Oferta!$F:$F,Oferta!$A:$A,$A4396,Oferta!$E:$E,$E4396),$F4396)</f>
        <v/>
      </c>
      <c r="J4396" s="6" t="inlineStr">
        <is>
          <t>Derivado_da_Oferta</t>
        </is>
      </c>
      <c r="K4396" s="6" t="inlineStr">
        <is>
          <t>Mercado externo: limite superior calculado automaticamente pela soma da oferta do produto no período.</t>
        </is>
      </c>
    </row>
    <row r="4397">
      <c r="A4397" s="6" t="inlineStr">
        <is>
          <t>Soja</t>
        </is>
      </c>
      <c r="B4397" s="6" t="inlineStr">
        <is>
          <t>Vitória - ES</t>
        </is>
      </c>
      <c r="C4397" s="6" t="n">
        <v>-20.3155</v>
      </c>
      <c r="D4397" s="6" t="n">
        <v>-40.3128</v>
      </c>
      <c r="E4397" s="6" t="inlineStr">
        <is>
          <t>2022-04</t>
        </is>
      </c>
      <c r="F4397" s="6" t="n"/>
      <c r="G4397" s="6" t="inlineStr">
        <is>
          <t>EXPORTACAO</t>
        </is>
      </c>
      <c r="H4397" s="6" t="inlineStr">
        <is>
          <t>AUTO_OFERTA_TOTAL_PRODUTO_PERIODO</t>
        </is>
      </c>
      <c r="I4397" s="11">
        <f>IF($H4397="AUTO_OFERTA_TOTAL_PRODUTO_PERIODO",SUMIFS(Oferta!$F:$F,Oferta!$A:$A,$A4397,Oferta!$E:$E,$E4397),$F4397)</f>
        <v/>
      </c>
      <c r="J4397" s="6" t="inlineStr">
        <is>
          <t>Derivado_da_Oferta</t>
        </is>
      </c>
      <c r="K4397" s="6" t="inlineStr">
        <is>
          <t>Mercado externo: limite superior calculado automaticamente pela soma da oferta do produto no período.</t>
        </is>
      </c>
    </row>
    <row r="4398">
      <c r="A4398" s="6" t="inlineStr">
        <is>
          <t>Soja</t>
        </is>
      </c>
      <c r="B4398" s="6" t="inlineStr">
        <is>
          <t>Vitória - ES</t>
        </is>
      </c>
      <c r="C4398" s="6" t="n">
        <v>-20.3155</v>
      </c>
      <c r="D4398" s="6" t="n">
        <v>-40.3128</v>
      </c>
      <c r="E4398" s="6" t="inlineStr">
        <is>
          <t>2022-05</t>
        </is>
      </c>
      <c r="F4398" s="6" t="n"/>
      <c r="G4398" s="6" t="inlineStr">
        <is>
          <t>EXPORTACAO</t>
        </is>
      </c>
      <c r="H4398" s="6" t="inlineStr">
        <is>
          <t>AUTO_OFERTA_TOTAL_PRODUTO_PERIODO</t>
        </is>
      </c>
      <c r="I4398" s="11">
        <f>IF($H4398="AUTO_OFERTA_TOTAL_PRODUTO_PERIODO",SUMIFS(Oferta!$F:$F,Oferta!$A:$A,$A4398,Oferta!$E:$E,$E4398),$F4398)</f>
        <v/>
      </c>
      <c r="J4398" s="6" t="inlineStr">
        <is>
          <t>Derivado_da_Oferta</t>
        </is>
      </c>
      <c r="K4398" s="6" t="inlineStr">
        <is>
          <t>Mercado externo: limite superior calculado automaticamente pela soma da oferta do produto no período.</t>
        </is>
      </c>
    </row>
    <row r="4399">
      <c r="A4399" s="6" t="inlineStr">
        <is>
          <t>Soja</t>
        </is>
      </c>
      <c r="B4399" s="6" t="inlineStr">
        <is>
          <t>Vitória - ES</t>
        </is>
      </c>
      <c r="C4399" s="6" t="n">
        <v>-20.3155</v>
      </c>
      <c r="D4399" s="6" t="n">
        <v>-40.3128</v>
      </c>
      <c r="E4399" s="6" t="inlineStr">
        <is>
          <t>2022-06</t>
        </is>
      </c>
      <c r="F4399" s="6" t="n"/>
      <c r="G4399" s="6" t="inlineStr">
        <is>
          <t>EXPORTACAO</t>
        </is>
      </c>
      <c r="H4399" s="6" t="inlineStr">
        <is>
          <t>AUTO_OFERTA_TOTAL_PRODUTO_PERIODO</t>
        </is>
      </c>
      <c r="I4399" s="11">
        <f>IF($H4399="AUTO_OFERTA_TOTAL_PRODUTO_PERIODO",SUMIFS(Oferta!$F:$F,Oferta!$A:$A,$A4399,Oferta!$E:$E,$E4399),$F4399)</f>
        <v/>
      </c>
      <c r="J4399" s="6" t="inlineStr">
        <is>
          <t>Derivado_da_Oferta</t>
        </is>
      </c>
      <c r="K4399" s="6" t="inlineStr">
        <is>
          <t>Mercado externo: limite superior calculado automaticamente pela soma da oferta do produto no período.</t>
        </is>
      </c>
    </row>
    <row r="4400">
      <c r="A4400" s="6" t="inlineStr">
        <is>
          <t>Soja</t>
        </is>
      </c>
      <c r="B4400" s="6" t="inlineStr">
        <is>
          <t>Vitória - ES</t>
        </is>
      </c>
      <c r="C4400" s="6" t="n">
        <v>-20.3155</v>
      </c>
      <c r="D4400" s="6" t="n">
        <v>-40.3128</v>
      </c>
      <c r="E4400" s="6" t="inlineStr">
        <is>
          <t>2022-07</t>
        </is>
      </c>
      <c r="F4400" s="6" t="n"/>
      <c r="G4400" s="6" t="inlineStr">
        <is>
          <t>EXPORTACAO</t>
        </is>
      </c>
      <c r="H4400" s="6" t="inlineStr">
        <is>
          <t>AUTO_OFERTA_TOTAL_PRODUTO_PERIODO</t>
        </is>
      </c>
      <c r="I4400" s="11">
        <f>IF($H4400="AUTO_OFERTA_TOTAL_PRODUTO_PERIODO",SUMIFS(Oferta!$F:$F,Oferta!$A:$A,$A4400,Oferta!$E:$E,$E4400),$F4400)</f>
        <v/>
      </c>
      <c r="J4400" s="6" t="inlineStr">
        <is>
          <t>Derivado_da_Oferta</t>
        </is>
      </c>
      <c r="K4400" s="6" t="inlineStr">
        <is>
          <t>Mercado externo: limite superior calculado automaticamente pela soma da oferta do produto no período.</t>
        </is>
      </c>
    </row>
    <row r="4401">
      <c r="A4401" s="6" t="inlineStr">
        <is>
          <t>Soja</t>
        </is>
      </c>
      <c r="B4401" s="6" t="inlineStr">
        <is>
          <t>Vitória - ES</t>
        </is>
      </c>
      <c r="C4401" s="6" t="n">
        <v>-20.3155</v>
      </c>
      <c r="D4401" s="6" t="n">
        <v>-40.3128</v>
      </c>
      <c r="E4401" s="6" t="inlineStr">
        <is>
          <t>2022-08</t>
        </is>
      </c>
      <c r="F4401" s="6" t="n"/>
      <c r="G4401" s="6" t="inlineStr">
        <is>
          <t>EXPORTACAO</t>
        </is>
      </c>
      <c r="H4401" s="6" t="inlineStr">
        <is>
          <t>AUTO_OFERTA_TOTAL_PRODUTO_PERIODO</t>
        </is>
      </c>
      <c r="I4401" s="11">
        <f>IF($H4401="AUTO_OFERTA_TOTAL_PRODUTO_PERIODO",SUMIFS(Oferta!$F:$F,Oferta!$A:$A,$A4401,Oferta!$E:$E,$E4401),$F4401)</f>
        <v/>
      </c>
      <c r="J4401" s="6" t="inlineStr">
        <is>
          <t>Derivado_da_Oferta</t>
        </is>
      </c>
      <c r="K4401" s="6" t="inlineStr">
        <is>
          <t>Mercado externo: limite superior calculado automaticamente pela soma da oferta do produto no período.</t>
        </is>
      </c>
    </row>
    <row r="4402">
      <c r="A4402" s="6" t="inlineStr">
        <is>
          <t>Soja</t>
        </is>
      </c>
      <c r="B4402" s="6" t="inlineStr">
        <is>
          <t>Vitória - ES</t>
        </is>
      </c>
      <c r="C4402" s="6" t="n">
        <v>-20.3155</v>
      </c>
      <c r="D4402" s="6" t="n">
        <v>-40.3128</v>
      </c>
      <c r="E4402" s="6" t="inlineStr">
        <is>
          <t>2022-09</t>
        </is>
      </c>
      <c r="F4402" s="6" t="n"/>
      <c r="G4402" s="6" t="inlineStr">
        <is>
          <t>EXPORTACAO</t>
        </is>
      </c>
      <c r="H4402" s="6" t="inlineStr">
        <is>
          <t>AUTO_OFERTA_TOTAL_PRODUTO_PERIODO</t>
        </is>
      </c>
      <c r="I4402" s="11">
        <f>IF($H4402="AUTO_OFERTA_TOTAL_PRODUTO_PERIODO",SUMIFS(Oferta!$F:$F,Oferta!$A:$A,$A4402,Oferta!$E:$E,$E4402),$F4402)</f>
        <v/>
      </c>
      <c r="J4402" s="6" t="inlineStr">
        <is>
          <t>Derivado_da_Oferta</t>
        </is>
      </c>
      <c r="K4402" s="6" t="inlineStr">
        <is>
          <t>Mercado externo: limite superior calculado automaticamente pela soma da oferta do produto no período.</t>
        </is>
      </c>
    </row>
    <row r="4403">
      <c r="A4403" s="6" t="inlineStr">
        <is>
          <t>Soja</t>
        </is>
      </c>
      <c r="B4403" s="6" t="inlineStr">
        <is>
          <t>Vitória - ES</t>
        </is>
      </c>
      <c r="C4403" s="6" t="n">
        <v>-20.3155</v>
      </c>
      <c r="D4403" s="6" t="n">
        <v>-40.3128</v>
      </c>
      <c r="E4403" s="6" t="inlineStr">
        <is>
          <t>2022-10</t>
        </is>
      </c>
      <c r="F4403" s="6" t="n"/>
      <c r="G4403" s="6" t="inlineStr">
        <is>
          <t>EXPORTACAO</t>
        </is>
      </c>
      <c r="H4403" s="6" t="inlineStr">
        <is>
          <t>AUTO_OFERTA_TOTAL_PRODUTO_PERIODO</t>
        </is>
      </c>
      <c r="I4403" s="11">
        <f>IF($H4403="AUTO_OFERTA_TOTAL_PRODUTO_PERIODO",SUMIFS(Oferta!$F:$F,Oferta!$A:$A,$A4403,Oferta!$E:$E,$E4403),$F4403)</f>
        <v/>
      </c>
      <c r="J4403" s="6" t="inlineStr">
        <is>
          <t>Derivado_da_Oferta</t>
        </is>
      </c>
      <c r="K4403" s="6" t="inlineStr">
        <is>
          <t>Mercado externo: limite superior calculado automaticamente pela soma da oferta do produto no período.</t>
        </is>
      </c>
    </row>
    <row r="4404">
      <c r="A4404" s="6" t="inlineStr">
        <is>
          <t>Soja</t>
        </is>
      </c>
      <c r="B4404" s="6" t="inlineStr">
        <is>
          <t>Vitória - ES</t>
        </is>
      </c>
      <c r="C4404" s="6" t="n">
        <v>-20.3155</v>
      </c>
      <c r="D4404" s="6" t="n">
        <v>-40.3128</v>
      </c>
      <c r="E4404" s="6" t="inlineStr">
        <is>
          <t>2022-11</t>
        </is>
      </c>
      <c r="F4404" s="6" t="n"/>
      <c r="G4404" s="6" t="inlineStr">
        <is>
          <t>EXPORTACAO</t>
        </is>
      </c>
      <c r="H4404" s="6" t="inlineStr">
        <is>
          <t>AUTO_OFERTA_TOTAL_PRODUTO_PERIODO</t>
        </is>
      </c>
      <c r="I4404" s="11">
        <f>IF($H4404="AUTO_OFERTA_TOTAL_PRODUTO_PERIODO",SUMIFS(Oferta!$F:$F,Oferta!$A:$A,$A4404,Oferta!$E:$E,$E4404),$F4404)</f>
        <v/>
      </c>
      <c r="J4404" s="6" t="inlineStr">
        <is>
          <t>Derivado_da_Oferta</t>
        </is>
      </c>
      <c r="K4404" s="6" t="inlineStr">
        <is>
          <t>Mercado externo: limite superior calculado automaticamente pela soma da oferta do produto no período.</t>
        </is>
      </c>
    </row>
    <row r="4405">
      <c r="A4405" s="6" t="inlineStr">
        <is>
          <t>Soja</t>
        </is>
      </c>
      <c r="B4405" s="6" t="inlineStr">
        <is>
          <t>Vitória - ES</t>
        </is>
      </c>
      <c r="C4405" s="6" t="n">
        <v>-20.3155</v>
      </c>
      <c r="D4405" s="6" t="n">
        <v>-40.3128</v>
      </c>
      <c r="E4405" s="6" t="inlineStr">
        <is>
          <t>2022-12</t>
        </is>
      </c>
      <c r="F4405" s="6" t="n"/>
      <c r="G4405" s="6" t="inlineStr">
        <is>
          <t>EXPORTACAO</t>
        </is>
      </c>
      <c r="H4405" s="6" t="inlineStr">
        <is>
          <t>AUTO_OFERTA_TOTAL_PRODUTO_PERIODO</t>
        </is>
      </c>
      <c r="I4405" s="11">
        <f>IF($H4405="AUTO_OFERTA_TOTAL_PRODUTO_PERIODO",SUMIFS(Oferta!$F:$F,Oferta!$A:$A,$A4405,Oferta!$E:$E,$E4405),$F4405)</f>
        <v/>
      </c>
      <c r="J4405" s="6" t="inlineStr">
        <is>
          <t>Derivado_da_Oferta</t>
        </is>
      </c>
      <c r="K4405" s="6" t="inlineStr">
        <is>
          <t>Mercado externo: limite superior calculado automaticamente pela soma da oferta do produto no período.</t>
        </is>
      </c>
    </row>
    <row r="4406">
      <c r="A4406" s="6" t="inlineStr">
        <is>
          <t>Soja</t>
        </is>
      </c>
      <c r="B4406" s="6" t="inlineStr">
        <is>
          <t>Vitória - ES</t>
        </is>
      </c>
      <c r="C4406" s="6" t="n">
        <v>-20.3155</v>
      </c>
      <c r="D4406" s="6" t="n">
        <v>-40.3128</v>
      </c>
      <c r="E4406" s="6" t="inlineStr">
        <is>
          <t>2023-01</t>
        </is>
      </c>
      <c r="F4406" s="6" t="n"/>
      <c r="G4406" s="6" t="inlineStr">
        <is>
          <t>EXPORTACAO</t>
        </is>
      </c>
      <c r="H4406" s="6" t="inlineStr">
        <is>
          <t>AUTO_OFERTA_TOTAL_PRODUTO_PERIODO</t>
        </is>
      </c>
      <c r="I4406" s="11">
        <f>IF($H4406="AUTO_OFERTA_TOTAL_PRODUTO_PERIODO",SUMIFS(Oferta!$F:$F,Oferta!$A:$A,$A4406,Oferta!$E:$E,$E4406),$F4406)</f>
        <v/>
      </c>
      <c r="J4406" s="6" t="inlineStr">
        <is>
          <t>Derivado_da_Oferta</t>
        </is>
      </c>
      <c r="K4406" s="6" t="inlineStr">
        <is>
          <t>Mercado externo: limite superior calculado automaticamente pela soma da oferta do produto no período.</t>
        </is>
      </c>
    </row>
    <row r="4407">
      <c r="A4407" s="6" t="inlineStr">
        <is>
          <t>Soja</t>
        </is>
      </c>
      <c r="B4407" s="6" t="inlineStr">
        <is>
          <t>Vitória - ES</t>
        </is>
      </c>
      <c r="C4407" s="6" t="n">
        <v>-20.3155</v>
      </c>
      <c r="D4407" s="6" t="n">
        <v>-40.3128</v>
      </c>
      <c r="E4407" s="6" t="inlineStr">
        <is>
          <t>2023-02</t>
        </is>
      </c>
      <c r="F4407" s="6" t="n"/>
      <c r="G4407" s="6" t="inlineStr">
        <is>
          <t>EXPORTACAO</t>
        </is>
      </c>
      <c r="H4407" s="6" t="inlineStr">
        <is>
          <t>AUTO_OFERTA_TOTAL_PRODUTO_PERIODO</t>
        </is>
      </c>
      <c r="I4407" s="11">
        <f>IF($H4407="AUTO_OFERTA_TOTAL_PRODUTO_PERIODO",SUMIFS(Oferta!$F:$F,Oferta!$A:$A,$A4407,Oferta!$E:$E,$E4407),$F4407)</f>
        <v/>
      </c>
      <c r="J4407" s="6" t="inlineStr">
        <is>
          <t>Derivado_da_Oferta</t>
        </is>
      </c>
      <c r="K4407" s="6" t="inlineStr">
        <is>
          <t>Mercado externo: limite superior calculado automaticamente pela soma da oferta do produto no período.</t>
        </is>
      </c>
    </row>
    <row r="4408">
      <c r="A4408" s="6" t="inlineStr">
        <is>
          <t>Soja</t>
        </is>
      </c>
      <c r="B4408" s="6" t="inlineStr">
        <is>
          <t>Vitória - ES</t>
        </is>
      </c>
      <c r="C4408" s="6" t="n">
        <v>-20.3155</v>
      </c>
      <c r="D4408" s="6" t="n">
        <v>-40.3128</v>
      </c>
      <c r="E4408" s="6" t="inlineStr">
        <is>
          <t>2023-03</t>
        </is>
      </c>
      <c r="F4408" s="6" t="n"/>
      <c r="G4408" s="6" t="inlineStr">
        <is>
          <t>EXPORTACAO</t>
        </is>
      </c>
      <c r="H4408" s="6" t="inlineStr">
        <is>
          <t>AUTO_OFERTA_TOTAL_PRODUTO_PERIODO</t>
        </is>
      </c>
      <c r="I4408" s="11">
        <f>IF($H4408="AUTO_OFERTA_TOTAL_PRODUTO_PERIODO",SUMIFS(Oferta!$F:$F,Oferta!$A:$A,$A4408,Oferta!$E:$E,$E4408),$F4408)</f>
        <v/>
      </c>
      <c r="J4408" s="6" t="inlineStr">
        <is>
          <t>Derivado_da_Oferta</t>
        </is>
      </c>
      <c r="K4408" s="6" t="inlineStr">
        <is>
          <t>Mercado externo: limite superior calculado automaticamente pela soma da oferta do produto no período.</t>
        </is>
      </c>
    </row>
    <row r="4409">
      <c r="A4409" s="6" t="inlineStr">
        <is>
          <t>Soja</t>
        </is>
      </c>
      <c r="B4409" s="6" t="inlineStr">
        <is>
          <t>Vitória - ES</t>
        </is>
      </c>
      <c r="C4409" s="6" t="n">
        <v>-20.3155</v>
      </c>
      <c r="D4409" s="6" t="n">
        <v>-40.3128</v>
      </c>
      <c r="E4409" s="6" t="inlineStr">
        <is>
          <t>2023-04</t>
        </is>
      </c>
      <c r="F4409" s="6" t="n"/>
      <c r="G4409" s="6" t="inlineStr">
        <is>
          <t>EXPORTACAO</t>
        </is>
      </c>
      <c r="H4409" s="6" t="inlineStr">
        <is>
          <t>AUTO_OFERTA_TOTAL_PRODUTO_PERIODO</t>
        </is>
      </c>
      <c r="I4409" s="11">
        <f>IF($H4409="AUTO_OFERTA_TOTAL_PRODUTO_PERIODO",SUMIFS(Oferta!$F:$F,Oferta!$A:$A,$A4409,Oferta!$E:$E,$E4409),$F4409)</f>
        <v/>
      </c>
      <c r="J4409" s="6" t="inlineStr">
        <is>
          <t>Derivado_da_Oferta</t>
        </is>
      </c>
      <c r="K4409" s="6" t="inlineStr">
        <is>
          <t>Mercado externo: limite superior calculado automaticamente pela soma da oferta do produto no período.</t>
        </is>
      </c>
    </row>
    <row r="4410">
      <c r="A4410" s="6" t="inlineStr">
        <is>
          <t>Soja</t>
        </is>
      </c>
      <c r="B4410" s="6" t="inlineStr">
        <is>
          <t>Vitória - ES</t>
        </is>
      </c>
      <c r="C4410" s="6" t="n">
        <v>-20.3155</v>
      </c>
      <c r="D4410" s="6" t="n">
        <v>-40.3128</v>
      </c>
      <c r="E4410" s="6" t="inlineStr">
        <is>
          <t>2023-05</t>
        </is>
      </c>
      <c r="F4410" s="6" t="n"/>
      <c r="G4410" s="6" t="inlineStr">
        <is>
          <t>EXPORTACAO</t>
        </is>
      </c>
      <c r="H4410" s="6" t="inlineStr">
        <is>
          <t>AUTO_OFERTA_TOTAL_PRODUTO_PERIODO</t>
        </is>
      </c>
      <c r="I4410" s="11">
        <f>IF($H4410="AUTO_OFERTA_TOTAL_PRODUTO_PERIODO",SUMIFS(Oferta!$F:$F,Oferta!$A:$A,$A4410,Oferta!$E:$E,$E4410),$F4410)</f>
        <v/>
      </c>
      <c r="J4410" s="6" t="inlineStr">
        <is>
          <t>Derivado_da_Oferta</t>
        </is>
      </c>
      <c r="K4410" s="6" t="inlineStr">
        <is>
          <t>Mercado externo: limite superior calculado automaticamente pela soma da oferta do produto no período.</t>
        </is>
      </c>
    </row>
    <row r="4411">
      <c r="A4411" s="6" t="inlineStr">
        <is>
          <t>Soja</t>
        </is>
      </c>
      <c r="B4411" s="6" t="inlineStr">
        <is>
          <t>Vitória - ES</t>
        </is>
      </c>
      <c r="C4411" s="6" t="n">
        <v>-20.3155</v>
      </c>
      <c r="D4411" s="6" t="n">
        <v>-40.3128</v>
      </c>
      <c r="E4411" s="6" t="inlineStr">
        <is>
          <t>2023-06</t>
        </is>
      </c>
      <c r="F4411" s="6" t="n"/>
      <c r="G4411" s="6" t="inlineStr">
        <is>
          <t>EXPORTACAO</t>
        </is>
      </c>
      <c r="H4411" s="6" t="inlineStr">
        <is>
          <t>AUTO_OFERTA_TOTAL_PRODUTO_PERIODO</t>
        </is>
      </c>
      <c r="I4411" s="11">
        <f>IF($H4411="AUTO_OFERTA_TOTAL_PRODUTO_PERIODO",SUMIFS(Oferta!$F:$F,Oferta!$A:$A,$A4411,Oferta!$E:$E,$E4411),$F4411)</f>
        <v/>
      </c>
      <c r="J4411" s="6" t="inlineStr">
        <is>
          <t>Derivado_da_Oferta</t>
        </is>
      </c>
      <c r="K4411" s="6" t="inlineStr">
        <is>
          <t>Mercado externo: limite superior calculado automaticamente pela soma da oferta do produto no período.</t>
        </is>
      </c>
    </row>
    <row r="4412">
      <c r="A4412" s="6" t="inlineStr">
        <is>
          <t>Soja</t>
        </is>
      </c>
      <c r="B4412" s="6" t="inlineStr">
        <is>
          <t>Vitória - ES</t>
        </is>
      </c>
      <c r="C4412" s="6" t="n">
        <v>-20.3155</v>
      </c>
      <c r="D4412" s="6" t="n">
        <v>-40.3128</v>
      </c>
      <c r="E4412" s="6" t="inlineStr">
        <is>
          <t>2023-07</t>
        </is>
      </c>
      <c r="F4412" s="6" t="n"/>
      <c r="G4412" s="6" t="inlineStr">
        <is>
          <t>EXPORTACAO</t>
        </is>
      </c>
      <c r="H4412" s="6" t="inlineStr">
        <is>
          <t>AUTO_OFERTA_TOTAL_PRODUTO_PERIODO</t>
        </is>
      </c>
      <c r="I4412" s="11">
        <f>IF($H4412="AUTO_OFERTA_TOTAL_PRODUTO_PERIODO",SUMIFS(Oferta!$F:$F,Oferta!$A:$A,$A4412,Oferta!$E:$E,$E4412),$F4412)</f>
        <v/>
      </c>
      <c r="J4412" s="6" t="inlineStr">
        <is>
          <t>Derivado_da_Oferta</t>
        </is>
      </c>
      <c r="K4412" s="6" t="inlineStr">
        <is>
          <t>Mercado externo: limite superior calculado automaticamente pela soma da oferta do produto no período.</t>
        </is>
      </c>
    </row>
    <row r="4413">
      <c r="A4413" s="6" t="inlineStr">
        <is>
          <t>Soja</t>
        </is>
      </c>
      <c r="B4413" s="6" t="inlineStr">
        <is>
          <t>Vitória - ES</t>
        </is>
      </c>
      <c r="C4413" s="6" t="n">
        <v>-20.3155</v>
      </c>
      <c r="D4413" s="6" t="n">
        <v>-40.3128</v>
      </c>
      <c r="E4413" s="6" t="inlineStr">
        <is>
          <t>2023-08</t>
        </is>
      </c>
      <c r="F4413" s="6" t="n"/>
      <c r="G4413" s="6" t="inlineStr">
        <is>
          <t>EXPORTACAO</t>
        </is>
      </c>
      <c r="H4413" s="6" t="inlineStr">
        <is>
          <t>AUTO_OFERTA_TOTAL_PRODUTO_PERIODO</t>
        </is>
      </c>
      <c r="I4413" s="11">
        <f>IF($H4413="AUTO_OFERTA_TOTAL_PRODUTO_PERIODO",SUMIFS(Oferta!$F:$F,Oferta!$A:$A,$A4413,Oferta!$E:$E,$E4413),$F4413)</f>
        <v/>
      </c>
      <c r="J4413" s="6" t="inlineStr">
        <is>
          <t>Derivado_da_Oferta</t>
        </is>
      </c>
      <c r="K4413" s="6" t="inlineStr">
        <is>
          <t>Mercado externo: limite superior calculado automaticamente pela soma da oferta do produto no período.</t>
        </is>
      </c>
    </row>
    <row r="4414">
      <c r="A4414" s="6" t="inlineStr">
        <is>
          <t>Soja</t>
        </is>
      </c>
      <c r="B4414" s="6" t="inlineStr">
        <is>
          <t>Vitória - ES</t>
        </is>
      </c>
      <c r="C4414" s="6" t="n">
        <v>-20.3155</v>
      </c>
      <c r="D4414" s="6" t="n">
        <v>-40.3128</v>
      </c>
      <c r="E4414" s="6" t="inlineStr">
        <is>
          <t>2023-09</t>
        </is>
      </c>
      <c r="F4414" s="6" t="n"/>
      <c r="G4414" s="6" t="inlineStr">
        <is>
          <t>EXPORTACAO</t>
        </is>
      </c>
      <c r="H4414" s="6" t="inlineStr">
        <is>
          <t>AUTO_OFERTA_TOTAL_PRODUTO_PERIODO</t>
        </is>
      </c>
      <c r="I4414" s="11">
        <f>IF($H4414="AUTO_OFERTA_TOTAL_PRODUTO_PERIODO",SUMIFS(Oferta!$F:$F,Oferta!$A:$A,$A4414,Oferta!$E:$E,$E4414),$F4414)</f>
        <v/>
      </c>
      <c r="J4414" s="6" t="inlineStr">
        <is>
          <t>Derivado_da_Oferta</t>
        </is>
      </c>
      <c r="K4414" s="6" t="inlineStr">
        <is>
          <t>Mercado externo: limite superior calculado automaticamente pela soma da oferta do produto no período.</t>
        </is>
      </c>
    </row>
    <row r="4415">
      <c r="A4415" s="6" t="inlineStr">
        <is>
          <t>Soja</t>
        </is>
      </c>
      <c r="B4415" s="6" t="inlineStr">
        <is>
          <t>Vitória - ES</t>
        </is>
      </c>
      <c r="C4415" s="6" t="n">
        <v>-20.3155</v>
      </c>
      <c r="D4415" s="6" t="n">
        <v>-40.3128</v>
      </c>
      <c r="E4415" s="6" t="inlineStr">
        <is>
          <t>2023-10</t>
        </is>
      </c>
      <c r="F4415" s="6" t="n"/>
      <c r="G4415" s="6" t="inlineStr">
        <is>
          <t>EXPORTACAO</t>
        </is>
      </c>
      <c r="H4415" s="6" t="inlineStr">
        <is>
          <t>AUTO_OFERTA_TOTAL_PRODUTO_PERIODO</t>
        </is>
      </c>
      <c r="I4415" s="11">
        <f>IF($H4415="AUTO_OFERTA_TOTAL_PRODUTO_PERIODO",SUMIFS(Oferta!$F:$F,Oferta!$A:$A,$A4415,Oferta!$E:$E,$E4415),$F4415)</f>
        <v/>
      </c>
      <c r="J4415" s="6" t="inlineStr">
        <is>
          <t>Derivado_da_Oferta</t>
        </is>
      </c>
      <c r="K4415" s="6" t="inlineStr">
        <is>
          <t>Mercado externo: limite superior calculado automaticamente pela soma da oferta do produto no período.</t>
        </is>
      </c>
    </row>
    <row r="4416">
      <c r="A4416" s="6" t="inlineStr">
        <is>
          <t>Soja</t>
        </is>
      </c>
      <c r="B4416" s="6" t="inlineStr">
        <is>
          <t>Vitória - ES</t>
        </is>
      </c>
      <c r="C4416" s="6" t="n">
        <v>-20.3155</v>
      </c>
      <c r="D4416" s="6" t="n">
        <v>-40.3128</v>
      </c>
      <c r="E4416" s="6" t="inlineStr">
        <is>
          <t>2023-11</t>
        </is>
      </c>
      <c r="F4416" s="6" t="n"/>
      <c r="G4416" s="6" t="inlineStr">
        <is>
          <t>EXPORTACAO</t>
        </is>
      </c>
      <c r="H4416" s="6" t="inlineStr">
        <is>
          <t>AUTO_OFERTA_TOTAL_PRODUTO_PERIODO</t>
        </is>
      </c>
      <c r="I4416" s="11">
        <f>IF($H4416="AUTO_OFERTA_TOTAL_PRODUTO_PERIODO",SUMIFS(Oferta!$F:$F,Oferta!$A:$A,$A4416,Oferta!$E:$E,$E4416),$F4416)</f>
        <v/>
      </c>
      <c r="J4416" s="6" t="inlineStr">
        <is>
          <t>Derivado_da_Oferta</t>
        </is>
      </c>
      <c r="K4416" s="6" t="inlineStr">
        <is>
          <t>Mercado externo: limite superior calculado automaticamente pela soma da oferta do produto no período.</t>
        </is>
      </c>
    </row>
    <row r="4417">
      <c r="A4417" s="6" t="inlineStr">
        <is>
          <t>Soja</t>
        </is>
      </c>
      <c r="B4417" s="6" t="inlineStr">
        <is>
          <t>Vitória - ES</t>
        </is>
      </c>
      <c r="C4417" s="6" t="n">
        <v>-20.3155</v>
      </c>
      <c r="D4417" s="6" t="n">
        <v>-40.3128</v>
      </c>
      <c r="E4417" s="6" t="inlineStr">
        <is>
          <t>2023-12</t>
        </is>
      </c>
      <c r="F4417" s="6" t="n"/>
      <c r="G4417" s="6" t="inlineStr">
        <is>
          <t>EXPORTACAO</t>
        </is>
      </c>
      <c r="H4417" s="6" t="inlineStr">
        <is>
          <t>AUTO_OFERTA_TOTAL_PRODUTO_PERIODO</t>
        </is>
      </c>
      <c r="I4417" s="11">
        <f>IF($H4417="AUTO_OFERTA_TOTAL_PRODUTO_PERIODO",SUMIFS(Oferta!$F:$F,Oferta!$A:$A,$A4417,Oferta!$E:$E,$E4417),$F4417)</f>
        <v/>
      </c>
      <c r="J4417" s="6" t="inlineStr">
        <is>
          <t>Derivado_da_Oferta</t>
        </is>
      </c>
      <c r="K4417" s="6" t="inlineStr">
        <is>
          <t>Mercado externo: limite superior calculado automaticamente pela soma da oferta do produto no período.</t>
        </is>
      </c>
    </row>
    <row r="4418">
      <c r="A4418" s="6" t="inlineStr">
        <is>
          <t>Soja</t>
        </is>
      </c>
      <c r="B4418" s="6" t="inlineStr">
        <is>
          <t>Vitória - ES</t>
        </is>
      </c>
      <c r="C4418" s="6" t="n">
        <v>-20.3155</v>
      </c>
      <c r="D4418" s="6" t="n">
        <v>-40.3128</v>
      </c>
      <c r="E4418" s="6" t="inlineStr">
        <is>
          <t>2024-01</t>
        </is>
      </c>
      <c r="F4418" s="6" t="n"/>
      <c r="G4418" s="6" t="inlineStr">
        <is>
          <t>EXPORTACAO</t>
        </is>
      </c>
      <c r="H4418" s="6" t="inlineStr">
        <is>
          <t>AUTO_OFERTA_TOTAL_PRODUTO_PERIODO</t>
        </is>
      </c>
      <c r="I4418" s="11">
        <f>IF($H4418="AUTO_OFERTA_TOTAL_PRODUTO_PERIODO",SUMIFS(Oferta!$F:$F,Oferta!$A:$A,$A4418,Oferta!$E:$E,$E4418),$F4418)</f>
        <v/>
      </c>
      <c r="J4418" s="6" t="inlineStr">
        <is>
          <t>Derivado_da_Oferta</t>
        </is>
      </c>
      <c r="K4418" s="6" t="inlineStr">
        <is>
          <t>Mercado externo: limite superior calculado automaticamente pela soma da oferta do produto no período.</t>
        </is>
      </c>
    </row>
    <row r="4419">
      <c r="A4419" s="6" t="inlineStr">
        <is>
          <t>Soja</t>
        </is>
      </c>
      <c r="B4419" s="6" t="inlineStr">
        <is>
          <t>Vitória - ES</t>
        </is>
      </c>
      <c r="C4419" s="6" t="n">
        <v>-20.3155</v>
      </c>
      <c r="D4419" s="6" t="n">
        <v>-40.3128</v>
      </c>
      <c r="E4419" s="6" t="inlineStr">
        <is>
          <t>2024-02</t>
        </is>
      </c>
      <c r="F4419" s="6" t="n"/>
      <c r="G4419" s="6" t="inlineStr">
        <is>
          <t>EXPORTACAO</t>
        </is>
      </c>
      <c r="H4419" s="6" t="inlineStr">
        <is>
          <t>AUTO_OFERTA_TOTAL_PRODUTO_PERIODO</t>
        </is>
      </c>
      <c r="I4419" s="11">
        <f>IF($H4419="AUTO_OFERTA_TOTAL_PRODUTO_PERIODO",SUMIFS(Oferta!$F:$F,Oferta!$A:$A,$A4419,Oferta!$E:$E,$E4419),$F4419)</f>
        <v/>
      </c>
      <c r="J4419" s="6" t="inlineStr">
        <is>
          <t>Derivado_da_Oferta</t>
        </is>
      </c>
      <c r="K4419" s="6" t="inlineStr">
        <is>
          <t>Mercado externo: limite superior calculado automaticamente pela soma da oferta do produto no período.</t>
        </is>
      </c>
    </row>
    <row r="4420">
      <c r="A4420" s="6" t="inlineStr">
        <is>
          <t>Soja</t>
        </is>
      </c>
      <c r="B4420" s="6" t="inlineStr">
        <is>
          <t>Vitória - ES</t>
        </is>
      </c>
      <c r="C4420" s="6" t="n">
        <v>-20.3155</v>
      </c>
      <c r="D4420" s="6" t="n">
        <v>-40.3128</v>
      </c>
      <c r="E4420" s="6" t="inlineStr">
        <is>
          <t>2024-03</t>
        </is>
      </c>
      <c r="F4420" s="6" t="n"/>
      <c r="G4420" s="6" t="inlineStr">
        <is>
          <t>EXPORTACAO</t>
        </is>
      </c>
      <c r="H4420" s="6" t="inlineStr">
        <is>
          <t>AUTO_OFERTA_TOTAL_PRODUTO_PERIODO</t>
        </is>
      </c>
      <c r="I4420" s="11">
        <f>IF($H4420="AUTO_OFERTA_TOTAL_PRODUTO_PERIODO",SUMIFS(Oferta!$F:$F,Oferta!$A:$A,$A4420,Oferta!$E:$E,$E4420),$F4420)</f>
        <v/>
      </c>
      <c r="J4420" s="6" t="inlineStr">
        <is>
          <t>Derivado_da_Oferta</t>
        </is>
      </c>
      <c r="K4420" s="6" t="inlineStr">
        <is>
          <t>Mercado externo: limite superior calculado automaticamente pela soma da oferta do produto no período.</t>
        </is>
      </c>
    </row>
    <row r="4421">
      <c r="A4421" s="6" t="inlineStr">
        <is>
          <t>Soja</t>
        </is>
      </c>
      <c r="B4421" s="6" t="inlineStr">
        <is>
          <t>Vitória - ES</t>
        </is>
      </c>
      <c r="C4421" s="6" t="n">
        <v>-20.3155</v>
      </c>
      <c r="D4421" s="6" t="n">
        <v>-40.3128</v>
      </c>
      <c r="E4421" s="6" t="inlineStr">
        <is>
          <t>2024-04</t>
        </is>
      </c>
      <c r="F4421" s="6" t="n"/>
      <c r="G4421" s="6" t="inlineStr">
        <is>
          <t>EXPORTACAO</t>
        </is>
      </c>
      <c r="H4421" s="6" t="inlineStr">
        <is>
          <t>AUTO_OFERTA_TOTAL_PRODUTO_PERIODO</t>
        </is>
      </c>
      <c r="I4421" s="11">
        <f>IF($H4421="AUTO_OFERTA_TOTAL_PRODUTO_PERIODO",SUMIFS(Oferta!$F:$F,Oferta!$A:$A,$A4421,Oferta!$E:$E,$E4421),$F4421)</f>
        <v/>
      </c>
      <c r="J4421" s="6" t="inlineStr">
        <is>
          <t>Derivado_da_Oferta</t>
        </is>
      </c>
      <c r="K4421" s="6" t="inlineStr">
        <is>
          <t>Mercado externo: limite superior calculado automaticamente pela soma da oferta do produto no período.</t>
        </is>
      </c>
    </row>
    <row r="4422">
      <c r="A4422" s="6" t="inlineStr">
        <is>
          <t>Soja</t>
        </is>
      </c>
      <c r="B4422" s="6" t="inlineStr">
        <is>
          <t>Vitória - ES</t>
        </is>
      </c>
      <c r="C4422" s="6" t="n">
        <v>-20.3155</v>
      </c>
      <c r="D4422" s="6" t="n">
        <v>-40.3128</v>
      </c>
      <c r="E4422" s="6" t="inlineStr">
        <is>
          <t>2024-05</t>
        </is>
      </c>
      <c r="F4422" s="6" t="n"/>
      <c r="G4422" s="6" t="inlineStr">
        <is>
          <t>EXPORTACAO</t>
        </is>
      </c>
      <c r="H4422" s="6" t="inlineStr">
        <is>
          <t>AUTO_OFERTA_TOTAL_PRODUTO_PERIODO</t>
        </is>
      </c>
      <c r="I4422" s="11">
        <f>IF($H4422="AUTO_OFERTA_TOTAL_PRODUTO_PERIODO",SUMIFS(Oferta!$F:$F,Oferta!$A:$A,$A4422,Oferta!$E:$E,$E4422),$F4422)</f>
        <v/>
      </c>
      <c r="J4422" s="6" t="inlineStr">
        <is>
          <t>Derivado_da_Oferta</t>
        </is>
      </c>
      <c r="K4422" s="6" t="inlineStr">
        <is>
          <t>Mercado externo: limite superior calculado automaticamente pela soma da oferta do produto no período.</t>
        </is>
      </c>
    </row>
    <row r="4423">
      <c r="A4423" s="6" t="inlineStr">
        <is>
          <t>Soja</t>
        </is>
      </c>
      <c r="B4423" s="6" t="inlineStr">
        <is>
          <t>Vitória - ES</t>
        </is>
      </c>
      <c r="C4423" s="6" t="n">
        <v>-20.3155</v>
      </c>
      <c r="D4423" s="6" t="n">
        <v>-40.3128</v>
      </c>
      <c r="E4423" s="6" t="inlineStr">
        <is>
          <t>2024-06</t>
        </is>
      </c>
      <c r="F4423" s="6" t="n"/>
      <c r="G4423" s="6" t="inlineStr">
        <is>
          <t>EXPORTACAO</t>
        </is>
      </c>
      <c r="H4423" s="6" t="inlineStr">
        <is>
          <t>AUTO_OFERTA_TOTAL_PRODUTO_PERIODO</t>
        </is>
      </c>
      <c r="I4423" s="11">
        <f>IF($H4423="AUTO_OFERTA_TOTAL_PRODUTO_PERIODO",SUMIFS(Oferta!$F:$F,Oferta!$A:$A,$A4423,Oferta!$E:$E,$E4423),$F4423)</f>
        <v/>
      </c>
      <c r="J4423" s="6" t="inlineStr">
        <is>
          <t>Derivado_da_Oferta</t>
        </is>
      </c>
      <c r="K4423" s="6" t="inlineStr">
        <is>
          <t>Mercado externo: limite superior calculado automaticamente pela soma da oferta do produto no período.</t>
        </is>
      </c>
    </row>
    <row r="4424">
      <c r="A4424" s="6" t="inlineStr">
        <is>
          <t>Soja</t>
        </is>
      </c>
      <c r="B4424" s="6" t="inlineStr">
        <is>
          <t>Vitória - ES</t>
        </is>
      </c>
      <c r="C4424" s="6" t="n">
        <v>-20.3155</v>
      </c>
      <c r="D4424" s="6" t="n">
        <v>-40.3128</v>
      </c>
      <c r="E4424" s="6" t="inlineStr">
        <is>
          <t>2024-07</t>
        </is>
      </c>
      <c r="F4424" s="6" t="n"/>
      <c r="G4424" s="6" t="inlineStr">
        <is>
          <t>EXPORTACAO</t>
        </is>
      </c>
      <c r="H4424" s="6" t="inlineStr">
        <is>
          <t>AUTO_OFERTA_TOTAL_PRODUTO_PERIODO</t>
        </is>
      </c>
      <c r="I4424" s="11">
        <f>IF($H4424="AUTO_OFERTA_TOTAL_PRODUTO_PERIODO",SUMIFS(Oferta!$F:$F,Oferta!$A:$A,$A4424,Oferta!$E:$E,$E4424),$F4424)</f>
        <v/>
      </c>
      <c r="J4424" s="6" t="inlineStr">
        <is>
          <t>Derivado_da_Oferta</t>
        </is>
      </c>
      <c r="K4424" s="6" t="inlineStr">
        <is>
          <t>Mercado externo: limite superior calculado automaticamente pela soma da oferta do produto no período.</t>
        </is>
      </c>
    </row>
    <row r="4425">
      <c r="A4425" s="6" t="inlineStr">
        <is>
          <t>Soja</t>
        </is>
      </c>
      <c r="B4425" s="6" t="inlineStr">
        <is>
          <t>Vitória - ES</t>
        </is>
      </c>
      <c r="C4425" s="6" t="n">
        <v>-20.3155</v>
      </c>
      <c r="D4425" s="6" t="n">
        <v>-40.3128</v>
      </c>
      <c r="E4425" s="6" t="inlineStr">
        <is>
          <t>2024-08</t>
        </is>
      </c>
      <c r="F4425" s="6" t="n"/>
      <c r="G4425" s="6" t="inlineStr">
        <is>
          <t>EXPORTACAO</t>
        </is>
      </c>
      <c r="H4425" s="6" t="inlineStr">
        <is>
          <t>AUTO_OFERTA_TOTAL_PRODUTO_PERIODO</t>
        </is>
      </c>
      <c r="I4425" s="11">
        <f>IF($H4425="AUTO_OFERTA_TOTAL_PRODUTO_PERIODO",SUMIFS(Oferta!$F:$F,Oferta!$A:$A,$A4425,Oferta!$E:$E,$E4425),$F4425)</f>
        <v/>
      </c>
      <c r="J4425" s="6" t="inlineStr">
        <is>
          <t>Derivado_da_Oferta</t>
        </is>
      </c>
      <c r="K4425" s="6" t="inlineStr">
        <is>
          <t>Mercado externo: limite superior calculado automaticamente pela soma da oferta do produto no período.</t>
        </is>
      </c>
    </row>
    <row r="4426">
      <c r="A4426" s="6" t="inlineStr">
        <is>
          <t>Soja</t>
        </is>
      </c>
      <c r="B4426" s="6" t="inlineStr">
        <is>
          <t>Vitória - ES</t>
        </is>
      </c>
      <c r="C4426" s="6" t="n">
        <v>-20.3155</v>
      </c>
      <c r="D4426" s="6" t="n">
        <v>-40.3128</v>
      </c>
      <c r="E4426" s="6" t="inlineStr">
        <is>
          <t>2024-09</t>
        </is>
      </c>
      <c r="F4426" s="6" t="n"/>
      <c r="G4426" s="6" t="inlineStr">
        <is>
          <t>EXPORTACAO</t>
        </is>
      </c>
      <c r="H4426" s="6" t="inlineStr">
        <is>
          <t>AUTO_OFERTA_TOTAL_PRODUTO_PERIODO</t>
        </is>
      </c>
      <c r="I4426" s="11">
        <f>IF($H4426="AUTO_OFERTA_TOTAL_PRODUTO_PERIODO",SUMIFS(Oferta!$F:$F,Oferta!$A:$A,$A4426,Oferta!$E:$E,$E4426),$F4426)</f>
        <v/>
      </c>
      <c r="J4426" s="6" t="inlineStr">
        <is>
          <t>Derivado_da_Oferta</t>
        </is>
      </c>
      <c r="K4426" s="6" t="inlineStr">
        <is>
          <t>Mercado externo: limite superior calculado automaticamente pela soma da oferta do produto no período.</t>
        </is>
      </c>
    </row>
    <row r="4427">
      <c r="A4427" s="6" t="inlineStr">
        <is>
          <t>Soja</t>
        </is>
      </c>
      <c r="B4427" s="6" t="inlineStr">
        <is>
          <t>Vitória - ES</t>
        </is>
      </c>
      <c r="C4427" s="6" t="n">
        <v>-20.3155</v>
      </c>
      <c r="D4427" s="6" t="n">
        <v>-40.3128</v>
      </c>
      <c r="E4427" s="6" t="inlineStr">
        <is>
          <t>2024-10</t>
        </is>
      </c>
      <c r="F4427" s="6" t="n"/>
      <c r="G4427" s="6" t="inlineStr">
        <is>
          <t>EXPORTACAO</t>
        </is>
      </c>
      <c r="H4427" s="6" t="inlineStr">
        <is>
          <t>AUTO_OFERTA_TOTAL_PRODUTO_PERIODO</t>
        </is>
      </c>
      <c r="I4427" s="11">
        <f>IF($H4427="AUTO_OFERTA_TOTAL_PRODUTO_PERIODO",SUMIFS(Oferta!$F:$F,Oferta!$A:$A,$A4427,Oferta!$E:$E,$E4427),$F4427)</f>
        <v/>
      </c>
      <c r="J4427" s="6" t="inlineStr">
        <is>
          <t>Derivado_da_Oferta</t>
        </is>
      </c>
      <c r="K4427" s="6" t="inlineStr">
        <is>
          <t>Mercado externo: limite superior calculado automaticamente pela soma da oferta do produto no período.</t>
        </is>
      </c>
    </row>
    <row r="4428">
      <c r="A4428" s="6" t="inlineStr">
        <is>
          <t>Soja</t>
        </is>
      </c>
      <c r="B4428" s="6" t="inlineStr">
        <is>
          <t>Vitória - ES</t>
        </is>
      </c>
      <c r="C4428" s="6" t="n">
        <v>-20.3155</v>
      </c>
      <c r="D4428" s="6" t="n">
        <v>-40.3128</v>
      </c>
      <c r="E4428" s="6" t="inlineStr">
        <is>
          <t>2024-11</t>
        </is>
      </c>
      <c r="F4428" s="6" t="n"/>
      <c r="G4428" s="6" t="inlineStr">
        <is>
          <t>EXPORTACAO</t>
        </is>
      </c>
      <c r="H4428" s="6" t="inlineStr">
        <is>
          <t>AUTO_OFERTA_TOTAL_PRODUTO_PERIODO</t>
        </is>
      </c>
      <c r="I4428" s="11">
        <f>IF($H4428="AUTO_OFERTA_TOTAL_PRODUTO_PERIODO",SUMIFS(Oferta!$F:$F,Oferta!$A:$A,$A4428,Oferta!$E:$E,$E4428),$F4428)</f>
        <v/>
      </c>
      <c r="J4428" s="6" t="inlineStr">
        <is>
          <t>Derivado_da_Oferta</t>
        </is>
      </c>
      <c r="K4428" s="6" t="inlineStr">
        <is>
          <t>Mercado externo: limite superior calculado automaticamente pela soma da oferta do produto no período.</t>
        </is>
      </c>
    </row>
    <row r="4429">
      <c r="A4429" s="6" t="inlineStr">
        <is>
          <t>Soja</t>
        </is>
      </c>
      <c r="B4429" s="6" t="inlineStr">
        <is>
          <t>Vitória - ES</t>
        </is>
      </c>
      <c r="C4429" s="6" t="n">
        <v>-20.3155</v>
      </c>
      <c r="D4429" s="6" t="n">
        <v>-40.3128</v>
      </c>
      <c r="E4429" s="6" t="inlineStr">
        <is>
          <t>2024-12</t>
        </is>
      </c>
      <c r="F4429" s="6" t="n"/>
      <c r="G4429" s="6" t="inlineStr">
        <is>
          <t>EXPORTACAO</t>
        </is>
      </c>
      <c r="H4429" s="6" t="inlineStr">
        <is>
          <t>AUTO_OFERTA_TOTAL_PRODUTO_PERIODO</t>
        </is>
      </c>
      <c r="I4429" s="11">
        <f>IF($H4429="AUTO_OFERTA_TOTAL_PRODUTO_PERIODO",SUMIFS(Oferta!$F:$F,Oferta!$A:$A,$A4429,Oferta!$E:$E,$E4429),$F4429)</f>
        <v/>
      </c>
      <c r="J4429" s="6" t="inlineStr">
        <is>
          <t>Derivado_da_Oferta</t>
        </is>
      </c>
      <c r="K4429" s="6" t="inlineStr">
        <is>
          <t>Mercado externo: limite superior calculado automaticamente pela soma da oferta do produto no período.</t>
        </is>
      </c>
    </row>
    <row r="4430">
      <c r="A4430" s="6" t="inlineStr">
        <is>
          <t>Soja</t>
        </is>
      </c>
      <c r="B4430" s="6" t="inlineStr">
        <is>
          <t>Vitória - ES</t>
        </is>
      </c>
      <c r="C4430" s="6" t="n">
        <v>-20.3155</v>
      </c>
      <c r="D4430" s="6" t="n">
        <v>-40.3128</v>
      </c>
      <c r="E4430" s="6" t="inlineStr">
        <is>
          <t>2025-01</t>
        </is>
      </c>
      <c r="F4430" s="6" t="n"/>
      <c r="G4430" s="6" t="inlineStr">
        <is>
          <t>EXPORTACAO</t>
        </is>
      </c>
      <c r="H4430" s="6" t="inlineStr">
        <is>
          <t>AUTO_OFERTA_TOTAL_PRODUTO_PERIODO</t>
        </is>
      </c>
      <c r="I4430" s="11">
        <f>IF($H4430="AUTO_OFERTA_TOTAL_PRODUTO_PERIODO",SUMIFS(Oferta!$F:$F,Oferta!$A:$A,$A4430,Oferta!$E:$E,$E4430),$F4430)</f>
        <v/>
      </c>
      <c r="J4430" s="6" t="inlineStr">
        <is>
          <t>Derivado_da_Oferta</t>
        </is>
      </c>
      <c r="K4430" s="6" t="inlineStr">
        <is>
          <t>Mercado externo: limite superior calculado automaticamente pela soma da oferta do produto no período.</t>
        </is>
      </c>
    </row>
    <row r="4431">
      <c r="A4431" s="6" t="inlineStr">
        <is>
          <t>Soja</t>
        </is>
      </c>
      <c r="B4431" s="6" t="inlineStr">
        <is>
          <t>Vitória - ES</t>
        </is>
      </c>
      <c r="C4431" s="6" t="n">
        <v>-20.3155</v>
      </c>
      <c r="D4431" s="6" t="n">
        <v>-40.3128</v>
      </c>
      <c r="E4431" s="6" t="inlineStr">
        <is>
          <t>2025-02</t>
        </is>
      </c>
      <c r="F4431" s="6" t="n"/>
      <c r="G4431" s="6" t="inlineStr">
        <is>
          <t>EXPORTACAO</t>
        </is>
      </c>
      <c r="H4431" s="6" t="inlineStr">
        <is>
          <t>AUTO_OFERTA_TOTAL_PRODUTO_PERIODO</t>
        </is>
      </c>
      <c r="I4431" s="11">
        <f>IF($H4431="AUTO_OFERTA_TOTAL_PRODUTO_PERIODO",SUMIFS(Oferta!$F:$F,Oferta!$A:$A,$A4431,Oferta!$E:$E,$E4431),$F4431)</f>
        <v/>
      </c>
      <c r="J4431" s="6" t="inlineStr">
        <is>
          <t>Derivado_da_Oferta</t>
        </is>
      </c>
      <c r="K4431" s="6" t="inlineStr">
        <is>
          <t>Mercado externo: limite superior calculado automaticamente pela soma da oferta do produto no período.</t>
        </is>
      </c>
    </row>
    <row r="4432">
      <c r="A4432" s="6" t="inlineStr">
        <is>
          <t>Soja</t>
        </is>
      </c>
      <c r="B4432" s="6" t="inlineStr">
        <is>
          <t>Vitória - ES</t>
        </is>
      </c>
      <c r="C4432" s="6" t="n">
        <v>-20.3155</v>
      </c>
      <c r="D4432" s="6" t="n">
        <v>-40.3128</v>
      </c>
      <c r="E4432" s="6" t="inlineStr">
        <is>
          <t>2025-03</t>
        </is>
      </c>
      <c r="F4432" s="6" t="n"/>
      <c r="G4432" s="6" t="inlineStr">
        <is>
          <t>EXPORTACAO</t>
        </is>
      </c>
      <c r="H4432" s="6" t="inlineStr">
        <is>
          <t>AUTO_OFERTA_TOTAL_PRODUTO_PERIODO</t>
        </is>
      </c>
      <c r="I4432" s="11">
        <f>IF($H4432="AUTO_OFERTA_TOTAL_PRODUTO_PERIODO",SUMIFS(Oferta!$F:$F,Oferta!$A:$A,$A4432,Oferta!$E:$E,$E4432),$F4432)</f>
        <v/>
      </c>
      <c r="J4432" s="6" t="inlineStr">
        <is>
          <t>Derivado_da_Oferta</t>
        </is>
      </c>
      <c r="K4432" s="6" t="inlineStr">
        <is>
          <t>Mercado externo: limite superior calculado automaticamente pela soma da oferta do produto no período.</t>
        </is>
      </c>
    </row>
    <row r="4433">
      <c r="A4433" s="6" t="inlineStr">
        <is>
          <t>Soja</t>
        </is>
      </c>
      <c r="B4433" s="6" t="inlineStr">
        <is>
          <t>Vitória - ES</t>
        </is>
      </c>
      <c r="C4433" s="6" t="n">
        <v>-20.3155</v>
      </c>
      <c r="D4433" s="6" t="n">
        <v>-40.3128</v>
      </c>
      <c r="E4433" s="6" t="inlineStr">
        <is>
          <t>2025-04</t>
        </is>
      </c>
      <c r="F4433" s="6" t="n"/>
      <c r="G4433" s="6" t="inlineStr">
        <is>
          <t>EXPORTACAO</t>
        </is>
      </c>
      <c r="H4433" s="6" t="inlineStr">
        <is>
          <t>AUTO_OFERTA_TOTAL_PRODUTO_PERIODO</t>
        </is>
      </c>
      <c r="I4433" s="11">
        <f>IF($H4433="AUTO_OFERTA_TOTAL_PRODUTO_PERIODO",SUMIFS(Oferta!$F:$F,Oferta!$A:$A,$A4433,Oferta!$E:$E,$E4433),$F4433)</f>
        <v/>
      </c>
      <c r="J4433" s="6" t="inlineStr">
        <is>
          <t>Derivado_da_Oferta</t>
        </is>
      </c>
      <c r="K4433" s="6" t="inlineStr">
        <is>
          <t>Mercado externo: limite superior calculado automaticamente pela soma da oferta do produto no período.</t>
        </is>
      </c>
    </row>
    <row r="4434">
      <c r="A4434" s="6" t="inlineStr">
        <is>
          <t>Soja</t>
        </is>
      </c>
      <c r="B4434" s="6" t="inlineStr">
        <is>
          <t>Vitória - ES</t>
        </is>
      </c>
      <c r="C4434" s="6" t="n">
        <v>-20.3155</v>
      </c>
      <c r="D4434" s="6" t="n">
        <v>-40.3128</v>
      </c>
      <c r="E4434" s="6" t="inlineStr">
        <is>
          <t>2025-05</t>
        </is>
      </c>
      <c r="F4434" s="6" t="n"/>
      <c r="G4434" s="6" t="inlineStr">
        <is>
          <t>EXPORTACAO</t>
        </is>
      </c>
      <c r="H4434" s="6" t="inlineStr">
        <is>
          <t>AUTO_OFERTA_TOTAL_PRODUTO_PERIODO</t>
        </is>
      </c>
      <c r="I4434" s="11">
        <f>IF($H4434="AUTO_OFERTA_TOTAL_PRODUTO_PERIODO",SUMIFS(Oferta!$F:$F,Oferta!$A:$A,$A4434,Oferta!$E:$E,$E4434),$F4434)</f>
        <v/>
      </c>
      <c r="J4434" s="6" t="inlineStr">
        <is>
          <t>Derivado_da_Oferta</t>
        </is>
      </c>
      <c r="K4434" s="6" t="inlineStr">
        <is>
          <t>Mercado externo: limite superior calculado automaticamente pela soma da oferta do produto no período.</t>
        </is>
      </c>
    </row>
    <row r="4435">
      <c r="A4435" s="6" t="inlineStr">
        <is>
          <t>Soja</t>
        </is>
      </c>
      <c r="B4435" s="6" t="inlineStr">
        <is>
          <t>Vitória - ES</t>
        </is>
      </c>
      <c r="C4435" s="6" t="n">
        <v>-20.3155</v>
      </c>
      <c r="D4435" s="6" t="n">
        <v>-40.3128</v>
      </c>
      <c r="E4435" s="6" t="inlineStr">
        <is>
          <t>2025-06</t>
        </is>
      </c>
      <c r="F4435" s="6" t="n"/>
      <c r="G4435" s="6" t="inlineStr">
        <is>
          <t>EXPORTACAO</t>
        </is>
      </c>
      <c r="H4435" s="6" t="inlineStr">
        <is>
          <t>AUTO_OFERTA_TOTAL_PRODUTO_PERIODO</t>
        </is>
      </c>
      <c r="I4435" s="11">
        <f>IF($H4435="AUTO_OFERTA_TOTAL_PRODUTO_PERIODO",SUMIFS(Oferta!$F:$F,Oferta!$A:$A,$A4435,Oferta!$E:$E,$E4435),$F4435)</f>
        <v/>
      </c>
      <c r="J4435" s="6" t="inlineStr">
        <is>
          <t>Derivado_da_Oferta</t>
        </is>
      </c>
      <c r="K4435" s="6" t="inlineStr">
        <is>
          <t>Mercado externo: limite superior calculado automaticamente pela soma da oferta do produto no período.</t>
        </is>
      </c>
    </row>
    <row r="4436">
      <c r="A4436" s="6" t="inlineStr">
        <is>
          <t>Soja</t>
        </is>
      </c>
      <c r="B4436" s="6" t="inlineStr">
        <is>
          <t>Vitória - ES</t>
        </is>
      </c>
      <c r="C4436" s="6" t="n">
        <v>-20.3155</v>
      </c>
      <c r="D4436" s="6" t="n">
        <v>-40.3128</v>
      </c>
      <c r="E4436" s="6" t="inlineStr">
        <is>
          <t>2025-07</t>
        </is>
      </c>
      <c r="F4436" s="6" t="n"/>
      <c r="G4436" s="6" t="inlineStr">
        <is>
          <t>EXPORTACAO</t>
        </is>
      </c>
      <c r="H4436" s="6" t="inlineStr">
        <is>
          <t>AUTO_OFERTA_TOTAL_PRODUTO_PERIODO</t>
        </is>
      </c>
      <c r="I4436" s="11">
        <f>IF($H4436="AUTO_OFERTA_TOTAL_PRODUTO_PERIODO",SUMIFS(Oferta!$F:$F,Oferta!$A:$A,$A4436,Oferta!$E:$E,$E4436),$F4436)</f>
        <v/>
      </c>
      <c r="J4436" s="6" t="inlineStr">
        <is>
          <t>Derivado_da_Oferta</t>
        </is>
      </c>
      <c r="K4436" s="6" t="inlineStr">
        <is>
          <t>Mercado externo: limite superior calculado automaticamente pela soma da oferta do produto no período.</t>
        </is>
      </c>
    </row>
    <row r="4437">
      <c r="A4437" s="6" t="inlineStr">
        <is>
          <t>Soja</t>
        </is>
      </c>
      <c r="B4437" s="6" t="inlineStr">
        <is>
          <t>Vitória - ES</t>
        </is>
      </c>
      <c r="C4437" s="6" t="n">
        <v>-20.3155</v>
      </c>
      <c r="D4437" s="6" t="n">
        <v>-40.3128</v>
      </c>
      <c r="E4437" s="6" t="inlineStr">
        <is>
          <t>2025-08</t>
        </is>
      </c>
      <c r="F4437" s="6" t="n"/>
      <c r="G4437" s="6" t="inlineStr">
        <is>
          <t>EXPORTACAO</t>
        </is>
      </c>
      <c r="H4437" s="6" t="inlineStr">
        <is>
          <t>AUTO_OFERTA_TOTAL_PRODUTO_PERIODO</t>
        </is>
      </c>
      <c r="I4437" s="11">
        <f>IF($H4437="AUTO_OFERTA_TOTAL_PRODUTO_PERIODO",SUMIFS(Oferta!$F:$F,Oferta!$A:$A,$A4437,Oferta!$E:$E,$E4437),$F4437)</f>
        <v/>
      </c>
      <c r="J4437" s="6" t="inlineStr">
        <is>
          <t>Derivado_da_Oferta</t>
        </is>
      </c>
      <c r="K4437" s="6" t="inlineStr">
        <is>
          <t>Mercado externo: limite superior calculado automaticamente pela soma da oferta do produto no período.</t>
        </is>
      </c>
    </row>
    <row r="4438">
      <c r="A4438" s="6" t="inlineStr">
        <is>
          <t>Soja</t>
        </is>
      </c>
      <c r="B4438" s="6" t="inlineStr">
        <is>
          <t>Vitória - ES</t>
        </is>
      </c>
      <c r="C4438" s="6" t="n">
        <v>-20.3155</v>
      </c>
      <c r="D4438" s="6" t="n">
        <v>-40.3128</v>
      </c>
      <c r="E4438" s="6" t="inlineStr">
        <is>
          <t>2025-09</t>
        </is>
      </c>
      <c r="F4438" s="6" t="n"/>
      <c r="G4438" s="6" t="inlineStr">
        <is>
          <t>EXPORTACAO</t>
        </is>
      </c>
      <c r="H4438" s="6" t="inlineStr">
        <is>
          <t>AUTO_OFERTA_TOTAL_PRODUTO_PERIODO</t>
        </is>
      </c>
      <c r="I4438" s="11">
        <f>IF($H4438="AUTO_OFERTA_TOTAL_PRODUTO_PERIODO",SUMIFS(Oferta!$F:$F,Oferta!$A:$A,$A4438,Oferta!$E:$E,$E4438),$F4438)</f>
        <v/>
      </c>
      <c r="J4438" s="6" t="inlineStr">
        <is>
          <t>Derivado_da_Oferta</t>
        </is>
      </c>
      <c r="K4438" s="6" t="inlineStr">
        <is>
          <t>Mercado externo: limite superior calculado automaticamente pela soma da oferta do produto no período.</t>
        </is>
      </c>
    </row>
    <row r="4439">
      <c r="A4439" s="6" t="inlineStr">
        <is>
          <t>Soja</t>
        </is>
      </c>
      <c r="B4439" s="6" t="inlineStr">
        <is>
          <t>Vitória - ES</t>
        </is>
      </c>
      <c r="C4439" s="6" t="n">
        <v>-20.3155</v>
      </c>
      <c r="D4439" s="6" t="n">
        <v>-40.3128</v>
      </c>
      <c r="E4439" s="6" t="inlineStr">
        <is>
          <t>2025-10</t>
        </is>
      </c>
      <c r="F4439" s="6" t="n"/>
      <c r="G4439" s="6" t="inlineStr">
        <is>
          <t>EXPORTACAO</t>
        </is>
      </c>
      <c r="H4439" s="6" t="inlineStr">
        <is>
          <t>AUTO_OFERTA_TOTAL_PRODUTO_PERIODO</t>
        </is>
      </c>
      <c r="I4439" s="11">
        <f>IF($H4439="AUTO_OFERTA_TOTAL_PRODUTO_PERIODO",SUMIFS(Oferta!$F:$F,Oferta!$A:$A,$A4439,Oferta!$E:$E,$E4439),$F4439)</f>
        <v/>
      </c>
      <c r="J4439" s="6" t="inlineStr">
        <is>
          <t>Derivado_da_Oferta</t>
        </is>
      </c>
      <c r="K4439" s="6" t="inlineStr">
        <is>
          <t>Mercado externo: limite superior calculado automaticamente pela soma da oferta do produto no período.</t>
        </is>
      </c>
    </row>
    <row r="4440">
      <c r="A4440" s="6" t="inlineStr">
        <is>
          <t>Soja</t>
        </is>
      </c>
      <c r="B4440" s="6" t="inlineStr">
        <is>
          <t>Vitória - ES</t>
        </is>
      </c>
      <c r="C4440" s="6" t="n">
        <v>-20.3155</v>
      </c>
      <c r="D4440" s="6" t="n">
        <v>-40.3128</v>
      </c>
      <c r="E4440" s="6" t="inlineStr">
        <is>
          <t>2025-11</t>
        </is>
      </c>
      <c r="F4440" s="6" t="n"/>
      <c r="G4440" s="6" t="inlineStr">
        <is>
          <t>EXPORTACAO</t>
        </is>
      </c>
      <c r="H4440" s="6" t="inlineStr">
        <is>
          <t>AUTO_OFERTA_TOTAL_PRODUTO_PERIODO</t>
        </is>
      </c>
      <c r="I4440" s="11">
        <f>IF($H4440="AUTO_OFERTA_TOTAL_PRODUTO_PERIODO",SUMIFS(Oferta!$F:$F,Oferta!$A:$A,$A4440,Oferta!$E:$E,$E4440),$F4440)</f>
        <v/>
      </c>
      <c r="J4440" s="6" t="inlineStr">
        <is>
          <t>Derivado_da_Oferta</t>
        </is>
      </c>
      <c r="K4440" s="6" t="inlineStr">
        <is>
          <t>Mercado externo: limite superior calculado automaticamente pela soma da oferta do produto no período.</t>
        </is>
      </c>
    </row>
    <row r="4441">
      <c r="A4441" s="6" t="inlineStr">
        <is>
          <t>Soja</t>
        </is>
      </c>
      <c r="B4441" s="6" t="inlineStr">
        <is>
          <t>Vitória - ES</t>
        </is>
      </c>
      <c r="C4441" s="6" t="n">
        <v>-20.3155</v>
      </c>
      <c r="D4441" s="6" t="n">
        <v>-40.3128</v>
      </c>
      <c r="E4441" s="6" t="inlineStr">
        <is>
          <t>2025-12</t>
        </is>
      </c>
      <c r="F4441" s="6" t="n"/>
      <c r="G4441" s="6" t="inlineStr">
        <is>
          <t>EXPORTACAO</t>
        </is>
      </c>
      <c r="H4441" s="6" t="inlineStr">
        <is>
          <t>AUTO_OFERTA_TOTAL_PRODUTO_PERIODO</t>
        </is>
      </c>
      <c r="I4441" s="11">
        <f>IF($H4441="AUTO_OFERTA_TOTAL_PRODUTO_PERIODO",SUMIFS(Oferta!$F:$F,Oferta!$A:$A,$A4441,Oferta!$E:$E,$E4441),$F4441)</f>
        <v/>
      </c>
      <c r="J4441" s="6" t="inlineStr">
        <is>
          <t>Derivado_da_Oferta</t>
        </is>
      </c>
      <c r="K4441" s="6" t="inlineStr">
        <is>
          <t>Mercado externo: limite superior calculado automaticamente pela soma da oferta do produto no período.</t>
        </is>
      </c>
    </row>
  </sheetData>
  <autoFilter ref="A1:K4441"/>
  <dataValidations count="2">
    <dataValidation sqref="G2:G4441" showDropDown="0" showInputMessage="0" showErrorMessage="0" allowBlank="0" type="list">
      <formula1>=Listas!$A$2:$A$3</formula1>
    </dataValidation>
    <dataValidation sqref="H2:H4441" showDropDown="0" showInputMessage="0" showErrorMessage="0" allowBlank="0" type="list">
      <formula1>=Listas!$B$2:$B$3</formula1>
    </dataValidation>
  </dataValidations>
  <pageMargins left="0.511811024" right="0.511811024" top="0.787401575" bottom="0.787401575" header="0.31496062" footer="0.31496062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Y216"/>
  <sheetViews>
    <sheetView showGridLines="1" topLeftCell="A85" workbookViewId="0">
      <pane ySplit="1" topLeftCell="A2" activePane="bottomLeft" state="frozen"/>
      <selection pane="bottomLeft" activeCell="O8" sqref="O8"/>
    </sheetView>
  </sheetViews>
  <sheetFormatPr baseColWidth="8" defaultRowHeight="15"/>
  <cols>
    <col width="18" customWidth="1" min="1" max="1"/>
    <col width="13" customWidth="1" min="2" max="2"/>
    <col width="22" customWidth="1" min="3" max="3"/>
    <col width="8" customWidth="1" min="4" max="4"/>
    <col width="12" customWidth="1" min="5" max="5"/>
    <col width="12" customWidth="1" min="6" max="6"/>
    <col width="42" customWidth="1" min="7" max="7"/>
    <col width="18" customWidth="1" min="8" max="8"/>
    <col width="14" customWidth="1" min="9" max="9"/>
    <col width="14" customWidth="1" min="10" max="10"/>
    <col width="14" customWidth="1" min="11" max="11"/>
    <col width="18" bestFit="1" customWidth="1" min="12" max="12"/>
    <col width="18" bestFit="1" customWidth="1" min="13" max="13"/>
    <col width="20" customWidth="1" min="14" max="14"/>
    <col width="24" customWidth="1" min="15" max="15"/>
    <col width="16" customWidth="1" min="16" max="16"/>
    <col width="22" customWidth="1" min="17" max="17"/>
    <col width="20" customWidth="1" min="18" max="18"/>
    <col width="18" customWidth="1" min="19" max="19"/>
    <col width="22" customWidth="1" min="20" max="20"/>
    <col width="24" customWidth="1" min="21" max="21"/>
    <col width="24" customWidth="1" min="22" max="22"/>
    <col width="44" customWidth="1" min="23" max="23"/>
    <col width="60" customWidth="1" min="24" max="24"/>
    <col width="60" customWidth="1" min="25" max="25"/>
  </cols>
  <sheetData>
    <row r="1" ht="28" customHeight="1">
      <c r="A1" s="5" t="inlineStr">
        <is>
          <t>CDA</t>
        </is>
      </c>
      <c r="B1" s="5" t="inlineStr">
        <is>
          <t>Status</t>
        </is>
      </c>
      <c r="C1" s="5" t="inlineStr">
        <is>
          <t>Município</t>
        </is>
      </c>
      <c r="D1" s="5" t="inlineStr">
        <is>
          <t>UF</t>
        </is>
      </c>
      <c r="E1" s="5" t="inlineStr">
        <is>
          <t>Latitude</t>
        </is>
      </c>
      <c r="F1" s="5" t="inlineStr">
        <is>
          <t>Longitude</t>
        </is>
      </c>
      <c r="G1" s="5" t="inlineStr">
        <is>
          <t>Armazenador</t>
        </is>
      </c>
      <c r="H1" s="5" t="inlineStr">
        <is>
          <t>Tipo</t>
        </is>
      </c>
      <c r="I1" s="5" t="inlineStr">
        <is>
          <t>Cap. Estática (t)</t>
        </is>
      </c>
      <c r="J1" s="5" t="inlineStr">
        <is>
          <t>Cap. Recepção (t)</t>
        </is>
      </c>
      <c r="K1" s="5" t="inlineStr">
        <is>
          <t>Cap. Expedição (t)</t>
        </is>
      </c>
      <c r="L1" s="5" t="inlineStr">
        <is>
          <t>Cap. Estática Máxima (t)</t>
        </is>
      </c>
      <c r="M1" s="5" t="inlineStr">
        <is>
          <t>Custo de Abertura ($)</t>
        </is>
      </c>
      <c r="N1" s="5" t="inlineStr">
        <is>
          <t>Custo_Fixo_Abertura_Modelo ($)</t>
        </is>
      </c>
      <c r="O1" s="5" t="inlineStr">
        <is>
          <t>Custo_Capacidade_Candidata_Modelo ($/t)</t>
        </is>
      </c>
      <c r="P1" s="5" t="inlineStr">
        <is>
          <t>Permite_Expansao</t>
        </is>
      </c>
      <c r="Q1" s="5" t="inlineStr">
        <is>
          <t>Cap_Expansao_Maxima_Modelo (t)</t>
        </is>
      </c>
      <c r="R1" s="5" t="inlineStr">
        <is>
          <t>Custo_Expansao_Modelo ($/t)</t>
        </is>
      </c>
      <c r="S1" s="5" t="inlineStr">
        <is>
          <t>Permite_Granelizacao</t>
        </is>
      </c>
      <c r="T1" s="5" t="inlineStr">
        <is>
          <t>Custo_Granelizacao_Modelo ($/t)</t>
        </is>
      </c>
      <c r="U1" s="5" t="inlineStr">
        <is>
          <t>Penalidade_Cap_Estatica_Emerg_Modelo ($/t)</t>
        </is>
      </c>
      <c r="V1" s="5" t="inlineStr">
        <is>
          <t>Penalidade_Cap_Recepcao_Emerg_Modelo ($/t)</t>
        </is>
      </c>
      <c r="W1" s="5" t="inlineStr">
        <is>
          <t>Fonte_Parametro</t>
        </is>
      </c>
      <c r="X1" s="5" t="inlineStr">
        <is>
          <t>Observacao</t>
        </is>
      </c>
      <c r="Y1" s="5" t="inlineStr">
        <is>
          <t>Alteracao_Excel_Modelo</t>
        </is>
      </c>
    </row>
    <row r="2">
      <c r="A2" s="4" t="inlineStr">
        <is>
          <t>35.0287.0002-6</t>
        </is>
      </c>
      <c r="B2" s="4" t="inlineStr">
        <is>
          <t>Existente</t>
        </is>
      </c>
      <c r="C2" s="4" t="inlineStr">
        <is>
          <t>Rio Branco</t>
        </is>
      </c>
      <c r="D2" s="4" t="inlineStr">
        <is>
          <t>AC</t>
        </is>
      </c>
      <c r="E2" s="4" t="n">
        <v>-9.96491</v>
      </c>
      <c r="F2" s="4" t="n">
        <v>-67.83002</v>
      </c>
      <c r="G2" s="4" t="inlineStr">
        <is>
          <t>COMPANHIA NACIONAL DE ABASTECIMENTO</t>
        </is>
      </c>
      <c r="H2" s="4" t="inlineStr">
        <is>
          <t>Convencional</t>
        </is>
      </c>
      <c r="I2" s="10" t="n">
        <v>890</v>
      </c>
      <c r="J2" s="10" t="n">
        <v>5</v>
      </c>
      <c r="K2" s="10" t="n">
        <v>6</v>
      </c>
      <c r="L2" s="10" t="n">
        <v>0</v>
      </c>
      <c r="M2" s="10" t="n">
        <v>0</v>
      </c>
      <c r="N2" s="10" t="n">
        <v>0</v>
      </c>
      <c r="O2" s="10">
        <f>IF($B2="Candidato",IF($L2&gt;0,$M2/$L2,0),0)</f>
        <v/>
      </c>
      <c r="P2" s="10" t="inlineStr">
        <is>
          <t>SIM</t>
        </is>
      </c>
      <c r="Q2" s="10">
        <f>IF($P2="SIM",$I2*Parametros_Modelo!$B$9,0)</f>
        <v/>
      </c>
      <c r="R2" s="10">
        <f>IF($P2="SIM",Parametros_Modelo!$B$10,0)</f>
        <v/>
      </c>
      <c r="S2" s="10" t="inlineStr">
        <is>
          <t>SIM</t>
        </is>
      </c>
      <c r="T2" s="10">
        <f>IF($S2="SIM",Parametros_Modelo!$B$11,0)</f>
        <v/>
      </c>
      <c r="U2" s="10">
        <f>Parametros_Modelo!$B$5</f>
        <v/>
      </c>
      <c r="V2" s="10">
        <f>Parametros_Modelo!$B$6</f>
        <v/>
      </c>
      <c r="W2" s="4" t="inlineStr">
        <is>
          <t>Sintético/Derivado_de_Custo_Invest para expansão, granelização e penalidades</t>
        </is>
      </c>
      <c r="X2" s="4" t="inlineStr">
        <is>
          <t>Colunas adicionadas para separar parâmetros do modelo matemático dos dados originais do CDA.</t>
        </is>
      </c>
      <c r="Y2" s="4" t="inlineStr">
        <is>
          <t>Opcional agora; necessária se ativar expansão, granelização ou custos candidatos explícitos.</t>
        </is>
      </c>
    </row>
    <row r="3">
      <c r="A3" s="6" t="inlineStr">
        <is>
          <t>36.0287.0002-4</t>
        </is>
      </c>
      <c r="B3" s="6" t="inlineStr">
        <is>
          <t>Existente</t>
        </is>
      </c>
      <c r="C3" s="6" t="inlineStr">
        <is>
          <t>Maceió</t>
        </is>
      </c>
      <c r="D3" s="6" t="inlineStr">
        <is>
          <t>AL</t>
        </is>
      </c>
      <c r="E3" s="6" t="n">
        <v>-9.624593000000001</v>
      </c>
      <c r="F3" s="6" t="n">
        <v>-35.75397</v>
      </c>
      <c r="G3" s="6" t="inlineStr">
        <is>
          <t>COMPANHIA NACIONAL DE ABASTECIMENTO</t>
        </is>
      </c>
      <c r="H3" s="6" t="inlineStr">
        <is>
          <t>Convencional</t>
        </is>
      </c>
      <c r="I3" s="11" t="n">
        <v>6430</v>
      </c>
      <c r="J3" s="11" t="n">
        <v>9</v>
      </c>
      <c r="K3" s="11" t="n">
        <v>12</v>
      </c>
      <c r="L3" s="11" t="n">
        <v>0</v>
      </c>
      <c r="M3" s="11" t="n">
        <v>0</v>
      </c>
      <c r="N3" s="11" t="n">
        <v>0</v>
      </c>
      <c r="O3" s="11">
        <f>IF($B3="Candidato",IF($L3&gt;0,$M3/$L3,0),0)</f>
        <v/>
      </c>
      <c r="P3" s="11" t="inlineStr">
        <is>
          <t>SIM</t>
        </is>
      </c>
      <c r="Q3" s="11">
        <f>IF($P3="SIM",$I3*Parametros_Modelo!$B$9,0)</f>
        <v/>
      </c>
      <c r="R3" s="11">
        <f>IF($P3="SIM",Parametros_Modelo!$B$10,0)</f>
        <v/>
      </c>
      <c r="S3" s="11" t="inlineStr">
        <is>
          <t>SIM</t>
        </is>
      </c>
      <c r="T3" s="11">
        <f>IF($S3="SIM",Parametros_Modelo!$B$11,0)</f>
        <v/>
      </c>
      <c r="U3" s="11">
        <f>Parametros_Modelo!$B$5</f>
        <v/>
      </c>
      <c r="V3" s="11">
        <f>Parametros_Modelo!$B$6</f>
        <v/>
      </c>
      <c r="W3" s="6" t="inlineStr">
        <is>
          <t>Sintético/Derivado_de_Custo_Invest para expansão, granelização e penalidades</t>
        </is>
      </c>
      <c r="X3" s="6" t="inlineStr">
        <is>
          <t>Colunas adicionadas para separar parâmetros do modelo matemático dos dados originais do CDA.</t>
        </is>
      </c>
      <c r="Y3" s="6" t="inlineStr">
        <is>
          <t>Opcional agora; necessária se ativar expansão, granelização ou custos candidatos explícitos.</t>
        </is>
      </c>
    </row>
    <row r="4">
      <c r="A4" s="6" t="inlineStr">
        <is>
          <t>36.0287.0016-4</t>
        </is>
      </c>
      <c r="B4" s="6" t="inlineStr">
        <is>
          <t>Existente</t>
        </is>
      </c>
      <c r="C4" s="6" t="inlineStr">
        <is>
          <t>Palmeira dos Índios</t>
        </is>
      </c>
      <c r="D4" s="6" t="inlineStr">
        <is>
          <t>AL</t>
        </is>
      </c>
      <c r="E4" s="6" t="n">
        <v>-9.409169</v>
      </c>
      <c r="F4" s="6" t="n">
        <v>-36.626944</v>
      </c>
      <c r="G4" s="6" t="inlineStr">
        <is>
          <t>COMPANHIA NACIONAL DE ABASTECIMENTO</t>
        </is>
      </c>
      <c r="H4" s="6" t="inlineStr">
        <is>
          <t>Convencional</t>
        </is>
      </c>
      <c r="I4" s="11" t="n">
        <v>3200</v>
      </c>
      <c r="J4" s="11" t="n">
        <v>12</v>
      </c>
      <c r="K4" s="11" t="n">
        <v>10</v>
      </c>
      <c r="L4" s="11" t="n">
        <v>0</v>
      </c>
      <c r="M4" s="11" t="n">
        <v>0</v>
      </c>
      <c r="N4" s="11" t="n">
        <v>0</v>
      </c>
      <c r="O4" s="11">
        <f>IF($B4="Candidato",IF($L4&gt;0,$M4/$L4,0),0)</f>
        <v/>
      </c>
      <c r="P4" s="11" t="inlineStr">
        <is>
          <t>SIM</t>
        </is>
      </c>
      <c r="Q4" s="11">
        <f>IF($P4="SIM",$I4*Parametros_Modelo!$B$9,0)</f>
        <v/>
      </c>
      <c r="R4" s="11">
        <f>IF($P4="SIM",Parametros_Modelo!$B$10,0)</f>
        <v/>
      </c>
      <c r="S4" s="11" t="inlineStr">
        <is>
          <t>SIM</t>
        </is>
      </c>
      <c r="T4" s="11">
        <f>IF($S4="SIM",Parametros_Modelo!$B$11,0)</f>
        <v/>
      </c>
      <c r="U4" s="11">
        <f>Parametros_Modelo!$B$5</f>
        <v/>
      </c>
      <c r="V4" s="11">
        <f>Parametros_Modelo!$B$6</f>
        <v/>
      </c>
      <c r="W4" s="6" t="inlineStr">
        <is>
          <t>Sintético/Derivado_de_Custo_Invest para expansão, granelização e penalidades</t>
        </is>
      </c>
      <c r="X4" s="6" t="inlineStr">
        <is>
          <t>Colunas adicionadas para separar parâmetros do modelo matemático dos dados originais do CDA.</t>
        </is>
      </c>
      <c r="Y4" s="6" t="inlineStr">
        <is>
          <t>Opcional agora; necessária se ativar expansão, granelização ou custos candidatos explícitos.</t>
        </is>
      </c>
    </row>
    <row r="5">
      <c r="A5" s="6" t="inlineStr">
        <is>
          <t>37.0287.0022-7</t>
        </is>
      </c>
      <c r="B5" s="6" t="inlineStr">
        <is>
          <t>Existente</t>
        </is>
      </c>
      <c r="C5" s="6" t="inlineStr">
        <is>
          <t>Manaus</t>
        </is>
      </c>
      <c r="D5" s="6" t="inlineStr">
        <is>
          <t>AM</t>
        </is>
      </c>
      <c r="E5" s="6" t="n">
        <v>-3.109954</v>
      </c>
      <c r="F5" s="6" t="n">
        <v>-59.966265</v>
      </c>
      <c r="G5" s="6" t="inlineStr">
        <is>
          <t>COMPANHIA NACIONAL DE ABASTECIMENTO</t>
        </is>
      </c>
      <c r="H5" s="6" t="inlineStr">
        <is>
          <t>Convencional</t>
        </is>
      </c>
      <c r="I5" s="11" t="n">
        <v>2700</v>
      </c>
      <c r="J5" s="11" t="n">
        <v>60</v>
      </c>
      <c r="K5" s="11" t="n">
        <v>60</v>
      </c>
      <c r="L5" s="11" t="n">
        <v>0</v>
      </c>
      <c r="M5" s="11" t="n">
        <v>0</v>
      </c>
      <c r="N5" s="11" t="n">
        <v>0</v>
      </c>
      <c r="O5" s="11">
        <f>IF($B5="Candidato",IF($L5&gt;0,$M5/$L5,0),0)</f>
        <v/>
      </c>
      <c r="P5" s="11" t="inlineStr">
        <is>
          <t>SIM</t>
        </is>
      </c>
      <c r="Q5" s="11">
        <f>IF($P5="SIM",$I5*Parametros_Modelo!$B$9,0)</f>
        <v/>
      </c>
      <c r="R5" s="11">
        <f>IF($P5="SIM",Parametros_Modelo!$B$10,0)</f>
        <v/>
      </c>
      <c r="S5" s="11" t="inlineStr">
        <is>
          <t>SIM</t>
        </is>
      </c>
      <c r="T5" s="11">
        <f>IF($S5="SIM",Parametros_Modelo!$B$11,0)</f>
        <v/>
      </c>
      <c r="U5" s="11">
        <f>Parametros_Modelo!$B$5</f>
        <v/>
      </c>
      <c r="V5" s="11">
        <f>Parametros_Modelo!$B$6</f>
        <v/>
      </c>
      <c r="W5" s="6" t="inlineStr">
        <is>
          <t>Sintético/Derivado_de_Custo_Invest para expansão, granelização e penalidades</t>
        </is>
      </c>
      <c r="X5" s="6" t="inlineStr">
        <is>
          <t>Colunas adicionadas para separar parâmetros do modelo matemático dos dados originais do CDA.</t>
        </is>
      </c>
      <c r="Y5" s="6" t="inlineStr">
        <is>
          <t>Opcional agora; necessária se ativar expansão, granelização ou custos candidatos explícitos.</t>
        </is>
      </c>
    </row>
    <row r="6">
      <c r="A6" s="6" t="inlineStr">
        <is>
          <t>37.0287.0023-5</t>
        </is>
      </c>
      <c r="B6" s="6" t="inlineStr">
        <is>
          <t>Existente</t>
        </is>
      </c>
      <c r="C6" s="6" t="inlineStr">
        <is>
          <t>Manaus</t>
        </is>
      </c>
      <c r="D6" s="6" t="inlineStr">
        <is>
          <t>AM</t>
        </is>
      </c>
      <c r="E6" s="6" t="n">
        <v>-3.109954</v>
      </c>
      <c r="F6" s="6" t="n">
        <v>-59.966265</v>
      </c>
      <c r="G6" s="6" t="inlineStr">
        <is>
          <t>COMPANHIA NACIONAL DE ABASTECIMENTO</t>
        </is>
      </c>
      <c r="H6" s="6" t="inlineStr">
        <is>
          <t>Convencional</t>
        </is>
      </c>
      <c r="I6" s="11" t="n">
        <v>2100</v>
      </c>
      <c r="J6" s="11" t="n">
        <v>60</v>
      </c>
      <c r="K6" s="11" t="n">
        <v>40</v>
      </c>
      <c r="L6" s="11" t="n">
        <v>0</v>
      </c>
      <c r="M6" s="11" t="n">
        <v>0</v>
      </c>
      <c r="N6" s="11" t="n">
        <v>0</v>
      </c>
      <c r="O6" s="11">
        <f>IF($B6="Candidato",IF($L6&gt;0,$M6/$L6,0),0)</f>
        <v/>
      </c>
      <c r="P6" s="11" t="inlineStr">
        <is>
          <t>SIM</t>
        </is>
      </c>
      <c r="Q6" s="11">
        <f>IF($P6="SIM",$I6*Parametros_Modelo!$B$9,0)</f>
        <v/>
      </c>
      <c r="R6" s="11">
        <f>IF($P6="SIM",Parametros_Modelo!$B$10,0)</f>
        <v/>
      </c>
      <c r="S6" s="11" t="inlineStr">
        <is>
          <t>SIM</t>
        </is>
      </c>
      <c r="T6" s="11">
        <f>IF($S6="SIM",Parametros_Modelo!$B$11,0)</f>
        <v/>
      </c>
      <c r="U6" s="11">
        <f>Parametros_Modelo!$B$5</f>
        <v/>
      </c>
      <c r="V6" s="11">
        <f>Parametros_Modelo!$B$6</f>
        <v/>
      </c>
      <c r="W6" s="6" t="inlineStr">
        <is>
          <t>Sintético/Derivado_de_Custo_Invest para expansão, granelização e penalidades</t>
        </is>
      </c>
      <c r="X6" s="6" t="inlineStr">
        <is>
          <t>Colunas adicionadas para separar parâmetros do modelo matemático dos dados originais do CDA.</t>
        </is>
      </c>
      <c r="Y6" s="6" t="inlineStr">
        <is>
          <t>Opcional agora; necessária se ativar expansão, granelização ou custos candidatos explícitos.</t>
        </is>
      </c>
    </row>
    <row r="7">
      <c r="A7" s="6" t="inlineStr">
        <is>
          <t>39.0287.0002-9</t>
        </is>
      </c>
      <c r="B7" s="6" t="inlineStr">
        <is>
          <t>Existente</t>
        </is>
      </c>
      <c r="C7" s="6" t="inlineStr">
        <is>
          <t>Irecê</t>
        </is>
      </c>
      <c r="D7" s="6" t="inlineStr">
        <is>
          <t>BA</t>
        </is>
      </c>
      <c r="E7" s="6" t="n">
        <v>-11.328675</v>
      </c>
      <c r="F7" s="6" t="n">
        <v>-41.865421</v>
      </c>
      <c r="G7" s="6" t="inlineStr">
        <is>
          <t>COMPANHIA NACIONAL DE ABASTECIMENTO</t>
        </is>
      </c>
      <c r="H7" s="6" t="inlineStr">
        <is>
          <t>Convencional</t>
        </is>
      </c>
      <c r="I7" s="11" t="n">
        <v>2670</v>
      </c>
      <c r="J7" s="11" t="n">
        <v>9</v>
      </c>
      <c r="K7" s="11" t="n">
        <v>12</v>
      </c>
      <c r="L7" s="11" t="n">
        <v>0</v>
      </c>
      <c r="M7" s="11" t="n">
        <v>0</v>
      </c>
      <c r="N7" s="11" t="n">
        <v>0</v>
      </c>
      <c r="O7" s="11">
        <f>IF($B7="Candidato",IF($L7&gt;0,$M7/$L7,0),0)</f>
        <v/>
      </c>
      <c r="P7" s="11" t="inlineStr">
        <is>
          <t>SIM</t>
        </is>
      </c>
      <c r="Q7" s="11">
        <f>IF($P7="SIM",$I7*Parametros_Modelo!$B$9,0)</f>
        <v/>
      </c>
      <c r="R7" s="11">
        <f>IF($P7="SIM",Parametros_Modelo!$B$10,0)</f>
        <v/>
      </c>
      <c r="S7" s="11" t="inlineStr">
        <is>
          <t>SIM</t>
        </is>
      </c>
      <c r="T7" s="11">
        <f>IF($S7="SIM",Parametros_Modelo!$B$11,0)</f>
        <v/>
      </c>
      <c r="U7" s="11">
        <f>Parametros_Modelo!$B$5</f>
        <v/>
      </c>
      <c r="V7" s="11">
        <f>Parametros_Modelo!$B$6</f>
        <v/>
      </c>
      <c r="W7" s="6" t="inlineStr">
        <is>
          <t>Sintético/Derivado_de_Custo_Invest para expansão, granelização e penalidades</t>
        </is>
      </c>
      <c r="X7" s="6" t="inlineStr">
        <is>
          <t>Colunas adicionadas para separar parâmetros do modelo matemático dos dados originais do CDA.</t>
        </is>
      </c>
      <c r="Y7" s="6" t="inlineStr">
        <is>
          <t>Opcional agora; necessária se ativar expansão, granelização ou custos candidatos explícitos.</t>
        </is>
      </c>
    </row>
    <row r="8">
      <c r="A8" s="6" t="inlineStr">
        <is>
          <t>39.0287.0003-7</t>
        </is>
      </c>
      <c r="B8" s="6" t="inlineStr">
        <is>
          <t>Existente</t>
        </is>
      </c>
      <c r="C8" s="6" t="inlineStr">
        <is>
          <t>Irecê</t>
        </is>
      </c>
      <c r="D8" s="6" t="inlineStr">
        <is>
          <t>BA</t>
        </is>
      </c>
      <c r="E8" s="6" t="n">
        <v>-11.328675</v>
      </c>
      <c r="F8" s="6" t="n">
        <v>-41.865421</v>
      </c>
      <c r="G8" s="6" t="inlineStr">
        <is>
          <t>COMPANHIA NACIONAL DE ABASTECIMENTO</t>
        </is>
      </c>
      <c r="H8" s="6" t="inlineStr">
        <is>
          <t>Convencional</t>
        </is>
      </c>
      <c r="I8" s="11" t="n">
        <v>2670</v>
      </c>
      <c r="J8" s="11" t="n">
        <v>9</v>
      </c>
      <c r="K8" s="11" t="n">
        <v>12</v>
      </c>
      <c r="L8" s="11" t="n">
        <v>0</v>
      </c>
      <c r="M8" s="11" t="n">
        <v>0</v>
      </c>
      <c r="N8" s="11" t="n">
        <v>0</v>
      </c>
      <c r="O8" s="11">
        <f>IF($B8="Candidato",IF($L8&gt;0,$M8/$L8,0),0)</f>
        <v/>
      </c>
      <c r="P8" s="11" t="inlineStr">
        <is>
          <t>SIM</t>
        </is>
      </c>
      <c r="Q8" s="11">
        <f>IF($P8="SIM",$I8*Parametros_Modelo!$B$9,0)</f>
        <v/>
      </c>
      <c r="R8" s="11">
        <f>IF($P8="SIM",Parametros_Modelo!$B$10,0)</f>
        <v/>
      </c>
      <c r="S8" s="11" t="inlineStr">
        <is>
          <t>SIM</t>
        </is>
      </c>
      <c r="T8" s="11">
        <f>IF($S8="SIM",Parametros_Modelo!$B$11,0)</f>
        <v/>
      </c>
      <c r="U8" s="11">
        <f>Parametros_Modelo!$B$5</f>
        <v/>
      </c>
      <c r="V8" s="11">
        <f>Parametros_Modelo!$B$6</f>
        <v/>
      </c>
      <c r="W8" s="6" t="inlineStr">
        <is>
          <t>Sintético/Derivado_de_Custo_Invest para expansão, granelização e penalidades</t>
        </is>
      </c>
      <c r="X8" s="6" t="inlineStr">
        <is>
          <t>Colunas adicionadas para separar parâmetros do modelo matemático dos dados originais do CDA.</t>
        </is>
      </c>
      <c r="Y8" s="6" t="inlineStr">
        <is>
          <t>Opcional agora; necessária se ativar expansão, granelização ou custos candidatos explícitos.</t>
        </is>
      </c>
    </row>
    <row r="9">
      <c r="A9" s="6" t="inlineStr">
        <is>
          <t>39.0287.0004-5</t>
        </is>
      </c>
      <c r="B9" s="6" t="inlineStr">
        <is>
          <t>Existente</t>
        </is>
      </c>
      <c r="C9" s="6" t="inlineStr">
        <is>
          <t>Irecê</t>
        </is>
      </c>
      <c r="D9" s="6" t="inlineStr">
        <is>
          <t>BA</t>
        </is>
      </c>
      <c r="E9" s="6" t="n">
        <v>-11.328675</v>
      </c>
      <c r="F9" s="6" t="n">
        <v>-41.865421</v>
      </c>
      <c r="G9" s="6" t="inlineStr">
        <is>
          <t>COMPANHIA NACIONAL DE ABASTECIMENTO</t>
        </is>
      </c>
      <c r="H9" s="6" t="inlineStr">
        <is>
          <t>Convencional</t>
        </is>
      </c>
      <c r="I9" s="11" t="n">
        <v>2670</v>
      </c>
      <c r="J9" s="11" t="n">
        <v>9</v>
      </c>
      <c r="K9" s="11" t="n">
        <v>12</v>
      </c>
      <c r="L9" s="11" t="n">
        <v>0</v>
      </c>
      <c r="M9" s="11" t="n">
        <v>0</v>
      </c>
      <c r="N9" s="11" t="n">
        <v>0</v>
      </c>
      <c r="O9" s="11">
        <f>IF($B9="Candidato",IF($L9&gt;0,$M9/$L9,0),0)</f>
        <v/>
      </c>
      <c r="P9" s="11" t="inlineStr">
        <is>
          <t>SIM</t>
        </is>
      </c>
      <c r="Q9" s="11">
        <f>IF($P9="SIM",$I9*Parametros_Modelo!$B$9,0)</f>
        <v/>
      </c>
      <c r="R9" s="11">
        <f>IF($P9="SIM",Parametros_Modelo!$B$10,0)</f>
        <v/>
      </c>
      <c r="S9" s="11" t="inlineStr">
        <is>
          <t>SIM</t>
        </is>
      </c>
      <c r="T9" s="11">
        <f>IF($S9="SIM",Parametros_Modelo!$B$11,0)</f>
        <v/>
      </c>
      <c r="U9" s="11">
        <f>Parametros_Modelo!$B$5</f>
        <v/>
      </c>
      <c r="V9" s="11">
        <f>Parametros_Modelo!$B$6</f>
        <v/>
      </c>
      <c r="W9" s="6" t="inlineStr">
        <is>
          <t>Sintético/Derivado_de_Custo_Invest para expansão, granelização e penalidades</t>
        </is>
      </c>
      <c r="X9" s="6" t="inlineStr">
        <is>
          <t>Colunas adicionadas para separar parâmetros do modelo matemático dos dados originais do CDA.</t>
        </is>
      </c>
      <c r="Y9" s="6" t="inlineStr">
        <is>
          <t>Opcional agora; necessária se ativar expansão, granelização ou custos candidatos explícitos.</t>
        </is>
      </c>
    </row>
    <row r="10">
      <c r="A10" s="6" t="inlineStr">
        <is>
          <t>39.0287.0005-3</t>
        </is>
      </c>
      <c r="B10" s="6" t="inlineStr">
        <is>
          <t>Existente</t>
        </is>
      </c>
      <c r="C10" s="6" t="inlineStr">
        <is>
          <t>Irecê</t>
        </is>
      </c>
      <c r="D10" s="6" t="inlineStr">
        <is>
          <t>BA</t>
        </is>
      </c>
      <c r="E10" s="6" t="n">
        <v>-11.328675</v>
      </c>
      <c r="F10" s="6" t="n">
        <v>-41.865421</v>
      </c>
      <c r="G10" s="6" t="inlineStr">
        <is>
          <t>COMPANHIA NACIONAL DE ABASTECIMENTO</t>
        </is>
      </c>
      <c r="H10" s="6" t="inlineStr">
        <is>
          <t>Convencional</t>
        </is>
      </c>
      <c r="I10" s="11" t="n">
        <v>2670</v>
      </c>
      <c r="J10" s="11" t="n">
        <v>9</v>
      </c>
      <c r="K10" s="11" t="n">
        <v>12</v>
      </c>
      <c r="L10" s="11" t="n">
        <v>0</v>
      </c>
      <c r="M10" s="11" t="n">
        <v>0</v>
      </c>
      <c r="N10" s="11" t="n">
        <v>0</v>
      </c>
      <c r="O10" s="11">
        <f>IF($B10="Candidato",IF($L10&gt;0,$M10/$L10,0),0)</f>
        <v/>
      </c>
      <c r="P10" s="11" t="inlineStr">
        <is>
          <t>SIM</t>
        </is>
      </c>
      <c r="Q10" s="11">
        <f>IF($P10="SIM",$I10*Parametros_Modelo!$B$9,0)</f>
        <v/>
      </c>
      <c r="R10" s="11">
        <f>IF($P10="SIM",Parametros_Modelo!$B$10,0)</f>
        <v/>
      </c>
      <c r="S10" s="11" t="inlineStr">
        <is>
          <t>SIM</t>
        </is>
      </c>
      <c r="T10" s="11">
        <f>IF($S10="SIM",Parametros_Modelo!$B$11,0)</f>
        <v/>
      </c>
      <c r="U10" s="11">
        <f>Parametros_Modelo!$B$5</f>
        <v/>
      </c>
      <c r="V10" s="11">
        <f>Parametros_Modelo!$B$6</f>
        <v/>
      </c>
      <c r="W10" s="6" t="inlineStr">
        <is>
          <t>Sintético/Derivado_de_Custo_Invest para expansão, granelização e penalidades</t>
        </is>
      </c>
      <c r="X10" s="6" t="inlineStr">
        <is>
          <t>Colunas adicionadas para separar parâmetros do modelo matemático dos dados originais do CDA.</t>
        </is>
      </c>
      <c r="Y10" s="6" t="inlineStr">
        <is>
          <t>Opcional agora; necessária se ativar expansão, granelização ou custos candidatos explícitos.</t>
        </is>
      </c>
    </row>
    <row r="11">
      <c r="A11" s="6" t="inlineStr">
        <is>
          <t>39.0287.0014-2</t>
        </is>
      </c>
      <c r="B11" s="6" t="inlineStr">
        <is>
          <t>Existente</t>
        </is>
      </c>
      <c r="C11" s="6" t="inlineStr">
        <is>
          <t>Irecê</t>
        </is>
      </c>
      <c r="D11" s="6" t="inlineStr">
        <is>
          <t>BA</t>
        </is>
      </c>
      <c r="E11" s="6" t="n">
        <v>-11.328675</v>
      </c>
      <c r="F11" s="6" t="n">
        <v>-41.865421</v>
      </c>
      <c r="G11" s="6" t="inlineStr">
        <is>
          <t>COMPANHIA NACIONAL DE ABASTECIMENTO</t>
        </is>
      </c>
      <c r="H11" s="6" t="inlineStr">
        <is>
          <t>Convencional</t>
        </is>
      </c>
      <c r="I11" s="11" t="n">
        <v>6090</v>
      </c>
      <c r="J11" s="11" t="n">
        <v>9</v>
      </c>
      <c r="K11" s="11" t="n">
        <v>12</v>
      </c>
      <c r="L11" s="11" t="n">
        <v>0</v>
      </c>
      <c r="M11" s="11" t="n">
        <v>0</v>
      </c>
      <c r="N11" s="11" t="n">
        <v>0</v>
      </c>
      <c r="O11" s="11">
        <f>IF($B11="Candidato",IF($L11&gt;0,$M11/$L11,0),0)</f>
        <v/>
      </c>
      <c r="P11" s="11" t="inlineStr">
        <is>
          <t>SIM</t>
        </is>
      </c>
      <c r="Q11" s="11">
        <f>IF($P11="SIM",$I11*Parametros_Modelo!$B$9,0)</f>
        <v/>
      </c>
      <c r="R11" s="11">
        <f>IF($P11="SIM",Parametros_Modelo!$B$10,0)</f>
        <v/>
      </c>
      <c r="S11" s="11" t="inlineStr">
        <is>
          <t>SIM</t>
        </is>
      </c>
      <c r="T11" s="11">
        <f>IF($S11="SIM",Parametros_Modelo!$B$11,0)</f>
        <v/>
      </c>
      <c r="U11" s="11">
        <f>Parametros_Modelo!$B$5</f>
        <v/>
      </c>
      <c r="V11" s="11">
        <f>Parametros_Modelo!$B$6</f>
        <v/>
      </c>
      <c r="W11" s="6" t="inlineStr">
        <is>
          <t>Sintético/Derivado_de_Custo_Invest para expansão, granelização e penalidades</t>
        </is>
      </c>
      <c r="X11" s="6" t="inlineStr">
        <is>
          <t>Colunas adicionadas para separar parâmetros do modelo matemático dos dados originais do CDA.</t>
        </is>
      </c>
      <c r="Y11" s="6" t="inlineStr">
        <is>
          <t>Opcional agora; necessária se ativar expansão, granelização ou custos candidatos explícitos.</t>
        </is>
      </c>
    </row>
    <row r="12">
      <c r="A12" s="6" t="inlineStr">
        <is>
          <t>39.0287.0015-0</t>
        </is>
      </c>
      <c r="B12" s="6" t="inlineStr">
        <is>
          <t>Existente</t>
        </is>
      </c>
      <c r="C12" s="6" t="inlineStr">
        <is>
          <t>Irecê</t>
        </is>
      </c>
      <c r="D12" s="6" t="inlineStr">
        <is>
          <t>BA</t>
        </is>
      </c>
      <c r="E12" s="6" t="n">
        <v>-11.328675</v>
      </c>
      <c r="F12" s="6" t="n">
        <v>-41.865421</v>
      </c>
      <c r="G12" s="6" t="inlineStr">
        <is>
          <t>COMPANHIA NACIONAL DE ABASTECIMENTO</t>
        </is>
      </c>
      <c r="H12" s="6" t="inlineStr">
        <is>
          <t>Convencional</t>
        </is>
      </c>
      <c r="I12" s="11" t="n">
        <v>6320</v>
      </c>
      <c r="J12" s="11" t="n">
        <v>9</v>
      </c>
      <c r="K12" s="11" t="n">
        <v>12</v>
      </c>
      <c r="L12" s="11" t="n">
        <v>0</v>
      </c>
      <c r="M12" s="11" t="n">
        <v>0</v>
      </c>
      <c r="N12" s="11" t="n">
        <v>0</v>
      </c>
      <c r="O12" s="11">
        <f>IF($B12="Candidato",IF($L12&gt;0,$M12/$L12,0),0)</f>
        <v/>
      </c>
      <c r="P12" s="11" t="inlineStr">
        <is>
          <t>SIM</t>
        </is>
      </c>
      <c r="Q12" s="11">
        <f>IF($P12="SIM",$I12*Parametros_Modelo!$B$9,0)</f>
        <v/>
      </c>
      <c r="R12" s="11">
        <f>IF($P12="SIM",Parametros_Modelo!$B$10,0)</f>
        <v/>
      </c>
      <c r="S12" s="11" t="inlineStr">
        <is>
          <t>SIM</t>
        </is>
      </c>
      <c r="T12" s="11">
        <f>IF($S12="SIM",Parametros_Modelo!$B$11,0)</f>
        <v/>
      </c>
      <c r="U12" s="11">
        <f>Parametros_Modelo!$B$5</f>
        <v/>
      </c>
      <c r="V12" s="11">
        <f>Parametros_Modelo!$B$6</f>
        <v/>
      </c>
      <c r="W12" s="6" t="inlineStr">
        <is>
          <t>Sintético/Derivado_de_Custo_Invest para expansão, granelização e penalidades</t>
        </is>
      </c>
      <c r="X12" s="6" t="inlineStr">
        <is>
          <t>Colunas adicionadas para separar parâmetros do modelo matemático dos dados originais do CDA.</t>
        </is>
      </c>
      <c r="Y12" s="6" t="inlineStr">
        <is>
          <t>Opcional agora; necessária se ativar expansão, granelização ou custos candidatos explícitos.</t>
        </is>
      </c>
    </row>
    <row r="13">
      <c r="A13" s="6" t="inlineStr">
        <is>
          <t>39.0287.0032-0</t>
        </is>
      </c>
      <c r="B13" s="6" t="inlineStr">
        <is>
          <t>Existente</t>
        </is>
      </c>
      <c r="C13" s="6" t="inlineStr">
        <is>
          <t>Itaberaba</t>
        </is>
      </c>
      <c r="D13" s="6" t="inlineStr">
        <is>
          <t>BA</t>
        </is>
      </c>
      <c r="E13" s="6" t="n">
        <v>-12.50933</v>
      </c>
      <c r="F13" s="6" t="n">
        <v>-40.31043</v>
      </c>
      <c r="G13" s="6" t="inlineStr">
        <is>
          <t>COMPANHIA NACIONAL DE ABASTECIMENTO</t>
        </is>
      </c>
      <c r="H13" s="6" t="inlineStr">
        <is>
          <t>Convencional</t>
        </is>
      </c>
      <c r="I13" s="11" t="n">
        <v>2030</v>
      </c>
      <c r="J13" s="11" t="n">
        <v>6</v>
      </c>
      <c r="K13" s="11" t="n">
        <v>6</v>
      </c>
      <c r="L13" s="11" t="n">
        <v>0</v>
      </c>
      <c r="M13" s="11" t="n">
        <v>0</v>
      </c>
      <c r="N13" s="11" t="n">
        <v>0</v>
      </c>
      <c r="O13" s="11">
        <f>IF($B13="Candidato",IF($L13&gt;0,$M13/$L13,0),0)</f>
        <v/>
      </c>
      <c r="P13" s="11" t="inlineStr">
        <is>
          <t>SIM</t>
        </is>
      </c>
      <c r="Q13" s="11">
        <f>IF($P13="SIM",$I13*Parametros_Modelo!$B$9,0)</f>
        <v/>
      </c>
      <c r="R13" s="11">
        <f>IF($P13="SIM",Parametros_Modelo!$B$10,0)</f>
        <v/>
      </c>
      <c r="S13" s="11" t="inlineStr">
        <is>
          <t>SIM</t>
        </is>
      </c>
      <c r="T13" s="11">
        <f>IF($S13="SIM",Parametros_Modelo!$B$11,0)</f>
        <v/>
      </c>
      <c r="U13" s="11">
        <f>Parametros_Modelo!$B$5</f>
        <v/>
      </c>
      <c r="V13" s="11">
        <f>Parametros_Modelo!$B$6</f>
        <v/>
      </c>
      <c r="W13" s="6" t="inlineStr">
        <is>
          <t>Sintético/Derivado_de_Custo_Invest para expansão, granelização e penalidades</t>
        </is>
      </c>
      <c r="X13" s="6" t="inlineStr">
        <is>
          <t>Colunas adicionadas para separar parâmetros do modelo matemático dos dados originais do CDA.</t>
        </is>
      </c>
      <c r="Y13" s="6" t="inlineStr">
        <is>
          <t>Opcional agora; necessária se ativar expansão, granelização ou custos candidatos explícitos.</t>
        </is>
      </c>
    </row>
    <row r="14">
      <c r="A14" s="6" t="inlineStr">
        <is>
          <t>39.0287.0028-2</t>
        </is>
      </c>
      <c r="B14" s="6" t="inlineStr">
        <is>
          <t>Existente</t>
        </is>
      </c>
      <c r="C14" s="6" t="inlineStr">
        <is>
          <t>Ribeira do Pombal</t>
        </is>
      </c>
      <c r="D14" s="6" t="inlineStr">
        <is>
          <t>BA</t>
        </is>
      </c>
      <c r="E14" s="6" t="n">
        <v>-10.825376</v>
      </c>
      <c r="F14" s="6" t="n">
        <v>-38.547588</v>
      </c>
      <c r="G14" s="6" t="inlineStr">
        <is>
          <t>COMPANHIA NACIONAL DE ABASTECIMENTO</t>
        </is>
      </c>
      <c r="H14" s="6" t="inlineStr">
        <is>
          <t>Convencional</t>
        </is>
      </c>
      <c r="I14" s="11" t="n">
        <v>3540</v>
      </c>
      <c r="J14" s="11" t="n">
        <v>7</v>
      </c>
      <c r="K14" s="11" t="n">
        <v>7</v>
      </c>
      <c r="L14" s="11" t="n">
        <v>0</v>
      </c>
      <c r="M14" s="11" t="n">
        <v>0</v>
      </c>
      <c r="N14" s="11" t="n">
        <v>0</v>
      </c>
      <c r="O14" s="11">
        <f>IF($B14="Candidato",IF($L14&gt;0,$M14/$L14,0),0)</f>
        <v/>
      </c>
      <c r="P14" s="11" t="inlineStr">
        <is>
          <t>SIM</t>
        </is>
      </c>
      <c r="Q14" s="11">
        <f>IF($P14="SIM",$I14*Parametros_Modelo!$B$9,0)</f>
        <v/>
      </c>
      <c r="R14" s="11">
        <f>IF($P14="SIM",Parametros_Modelo!$B$10,0)</f>
        <v/>
      </c>
      <c r="S14" s="11" t="inlineStr">
        <is>
          <t>SIM</t>
        </is>
      </c>
      <c r="T14" s="11">
        <f>IF($S14="SIM",Parametros_Modelo!$B$11,0)</f>
        <v/>
      </c>
      <c r="U14" s="11">
        <f>Parametros_Modelo!$B$5</f>
        <v/>
      </c>
      <c r="V14" s="11">
        <f>Parametros_Modelo!$B$6</f>
        <v/>
      </c>
      <c r="W14" s="6" t="inlineStr">
        <is>
          <t>Sintético/Derivado_de_Custo_Invest para expansão, granelização e penalidades</t>
        </is>
      </c>
      <c r="X14" s="6" t="inlineStr">
        <is>
          <t>Colunas adicionadas para separar parâmetros do modelo matemático dos dados originais do CDA.</t>
        </is>
      </c>
      <c r="Y14" s="6" t="inlineStr">
        <is>
          <t>Opcional agora; necessária se ativar expansão, granelização ou custos candidatos explícitos.</t>
        </is>
      </c>
    </row>
    <row r="15">
      <c r="A15" s="6" t="inlineStr">
        <is>
          <t>45.0287.0009-0</t>
        </is>
      </c>
      <c r="B15" s="6" t="inlineStr">
        <is>
          <t>Existente</t>
        </is>
      </c>
      <c r="C15" s="6" t="inlineStr">
        <is>
          <t>Crateús</t>
        </is>
      </c>
      <c r="D15" s="6" t="inlineStr">
        <is>
          <t>CE</t>
        </is>
      </c>
      <c r="E15" s="6" t="n">
        <v>-5.184696</v>
      </c>
      <c r="F15" s="6" t="n">
        <v>-40.661787</v>
      </c>
      <c r="G15" s="6" t="inlineStr">
        <is>
          <t>COMPANHIA NACIONAL DE ABASTECIMENTO</t>
        </is>
      </c>
      <c r="H15" s="6" t="inlineStr">
        <is>
          <t>Convencional</t>
        </is>
      </c>
      <c r="I15" s="11" t="n">
        <v>3300</v>
      </c>
      <c r="J15" s="11" t="n">
        <v>15</v>
      </c>
      <c r="K15" s="11" t="n">
        <v>15</v>
      </c>
      <c r="L15" s="11" t="n">
        <v>0</v>
      </c>
      <c r="M15" s="11" t="n">
        <v>0</v>
      </c>
      <c r="N15" s="11" t="n">
        <v>0</v>
      </c>
      <c r="O15" s="11">
        <f>IF($B15="Candidato",IF($L15&gt;0,$M15/$L15,0),0)</f>
        <v/>
      </c>
      <c r="P15" s="11" t="inlineStr">
        <is>
          <t>SIM</t>
        </is>
      </c>
      <c r="Q15" s="11">
        <f>IF($P15="SIM",$I15*Parametros_Modelo!$B$9,0)</f>
        <v/>
      </c>
      <c r="R15" s="11">
        <f>IF($P15="SIM",Parametros_Modelo!$B$10,0)</f>
        <v/>
      </c>
      <c r="S15" s="11" t="inlineStr">
        <is>
          <t>SIM</t>
        </is>
      </c>
      <c r="T15" s="11">
        <f>IF($S15="SIM",Parametros_Modelo!$B$11,0)</f>
        <v/>
      </c>
      <c r="U15" s="11">
        <f>Parametros_Modelo!$B$5</f>
        <v/>
      </c>
      <c r="V15" s="11">
        <f>Parametros_Modelo!$B$6</f>
        <v/>
      </c>
      <c r="W15" s="6" t="inlineStr">
        <is>
          <t>Sintético/Derivado_de_Custo_Invest para expansão, granelização e penalidades</t>
        </is>
      </c>
      <c r="X15" s="6" t="inlineStr">
        <is>
          <t>Colunas adicionadas para separar parâmetros do modelo matemático dos dados originais do CDA.</t>
        </is>
      </c>
      <c r="Y15" s="6" t="inlineStr">
        <is>
          <t>Opcional agora; necessária se ativar expansão, granelização ou custos candidatos explícitos.</t>
        </is>
      </c>
    </row>
    <row r="16">
      <c r="A16" s="6" t="inlineStr">
        <is>
          <t>45.0287.0156-9</t>
        </is>
      </c>
      <c r="B16" s="6" t="inlineStr">
        <is>
          <t>Existente</t>
        </is>
      </c>
      <c r="C16" s="6" t="inlineStr">
        <is>
          <t>Icó</t>
        </is>
      </c>
      <c r="D16" s="6" t="inlineStr">
        <is>
          <t>CE</t>
        </is>
      </c>
      <c r="E16" s="6" t="n">
        <v>-6.40425</v>
      </c>
      <c r="F16" s="6" t="n">
        <v>-38.86194</v>
      </c>
      <c r="G16" s="6" t="inlineStr">
        <is>
          <t>COMPANHIA NACIONAL DE ABASTECIMENTO</t>
        </is>
      </c>
      <c r="H16" s="6" t="inlineStr">
        <is>
          <t>Convencional</t>
        </is>
      </c>
      <c r="I16" s="11" t="n">
        <v>3000</v>
      </c>
      <c r="J16" s="11" t="n">
        <v>15</v>
      </c>
      <c r="K16" s="11" t="n">
        <v>15</v>
      </c>
      <c r="L16" s="11" t="n">
        <v>0</v>
      </c>
      <c r="M16" s="11" t="n">
        <v>0</v>
      </c>
      <c r="N16" s="11" t="n">
        <v>0</v>
      </c>
      <c r="O16" s="11">
        <f>IF($B16="Candidato",IF($L16&gt;0,$M16/$L16,0),0)</f>
        <v/>
      </c>
      <c r="P16" s="11" t="inlineStr">
        <is>
          <t>SIM</t>
        </is>
      </c>
      <c r="Q16" s="11">
        <f>IF($P16="SIM",$I16*Parametros_Modelo!$B$9,0)</f>
        <v/>
      </c>
      <c r="R16" s="11">
        <f>IF($P16="SIM",Parametros_Modelo!$B$10,0)</f>
        <v/>
      </c>
      <c r="S16" s="11" t="inlineStr">
        <is>
          <t>SIM</t>
        </is>
      </c>
      <c r="T16" s="11">
        <f>IF($S16="SIM",Parametros_Modelo!$B$11,0)</f>
        <v/>
      </c>
      <c r="U16" s="11">
        <f>Parametros_Modelo!$B$5</f>
        <v/>
      </c>
      <c r="V16" s="11">
        <f>Parametros_Modelo!$B$6</f>
        <v/>
      </c>
      <c r="W16" s="6" t="inlineStr">
        <is>
          <t>Sintético/Derivado_de_Custo_Invest para expansão, granelização e penalidades</t>
        </is>
      </c>
      <c r="X16" s="6" t="inlineStr">
        <is>
          <t>Colunas adicionadas para separar parâmetros do modelo matemático dos dados originais do CDA.</t>
        </is>
      </c>
      <c r="Y16" s="6" t="inlineStr">
        <is>
          <t>Opcional agora; necessária se ativar expansão, granelização ou custos candidatos explícitos.</t>
        </is>
      </c>
    </row>
    <row r="17">
      <c r="A17" s="6" t="inlineStr">
        <is>
          <t>45.0287.0031-7</t>
        </is>
      </c>
      <c r="B17" s="6" t="inlineStr">
        <is>
          <t>Existente</t>
        </is>
      </c>
      <c r="C17" s="6" t="inlineStr">
        <is>
          <t>Iguatu</t>
        </is>
      </c>
      <c r="D17" s="6" t="inlineStr">
        <is>
          <t>CE</t>
        </is>
      </c>
      <c r="E17" s="6" t="n">
        <v>-6.377199</v>
      </c>
      <c r="F17" s="6" t="n">
        <v>-39.307481</v>
      </c>
      <c r="G17" s="6" t="inlineStr">
        <is>
          <t>COMPANHIA NACIONAL DE ABASTECIMENTO</t>
        </is>
      </c>
      <c r="H17" s="6" t="inlineStr">
        <is>
          <t>Convencional</t>
        </is>
      </c>
      <c r="I17" s="11" t="n">
        <v>3500</v>
      </c>
      <c r="J17" s="11" t="n">
        <v>15</v>
      </c>
      <c r="K17" s="11" t="n">
        <v>15</v>
      </c>
      <c r="L17" s="11" t="n">
        <v>0</v>
      </c>
      <c r="M17" s="11" t="n">
        <v>0</v>
      </c>
      <c r="N17" s="11" t="n">
        <v>0</v>
      </c>
      <c r="O17" s="11">
        <f>IF($B17="Candidato",IF($L17&gt;0,$M17/$L17,0),0)</f>
        <v/>
      </c>
      <c r="P17" s="11" t="inlineStr">
        <is>
          <t>SIM</t>
        </is>
      </c>
      <c r="Q17" s="11">
        <f>IF($P17="SIM",$I17*Parametros_Modelo!$B$9,0)</f>
        <v/>
      </c>
      <c r="R17" s="11">
        <f>IF($P17="SIM",Parametros_Modelo!$B$10,0)</f>
        <v/>
      </c>
      <c r="S17" s="11" t="inlineStr">
        <is>
          <t>SIM</t>
        </is>
      </c>
      <c r="T17" s="11">
        <f>IF($S17="SIM",Parametros_Modelo!$B$11,0)</f>
        <v/>
      </c>
      <c r="U17" s="11">
        <f>Parametros_Modelo!$B$5</f>
        <v/>
      </c>
      <c r="V17" s="11">
        <f>Parametros_Modelo!$B$6</f>
        <v/>
      </c>
      <c r="W17" s="6" t="inlineStr">
        <is>
          <t>Sintético/Derivado_de_Custo_Invest para expansão, granelização e penalidades</t>
        </is>
      </c>
      <c r="X17" s="6" t="inlineStr">
        <is>
          <t>Colunas adicionadas para separar parâmetros do modelo matemático dos dados originais do CDA.</t>
        </is>
      </c>
      <c r="Y17" s="6" t="inlineStr">
        <is>
          <t>Opcional agora; necessária se ativar expansão, granelização ou custos candidatos explícitos.</t>
        </is>
      </c>
    </row>
    <row r="18">
      <c r="A18" s="6" t="inlineStr">
        <is>
          <t>45.0287.0038-4</t>
        </is>
      </c>
      <c r="B18" s="6" t="inlineStr">
        <is>
          <t>Existente</t>
        </is>
      </c>
      <c r="C18" s="6" t="inlineStr">
        <is>
          <t>Juazeiro do Norte</t>
        </is>
      </c>
      <c r="D18" s="6" t="inlineStr">
        <is>
          <t>CE</t>
        </is>
      </c>
      <c r="E18" s="6" t="n">
        <v>-7.22602</v>
      </c>
      <c r="F18" s="6" t="n">
        <v>-39.34347</v>
      </c>
      <c r="G18" s="6" t="inlineStr">
        <is>
          <t>COMPANHIA NACIONAL DE ABASTECIMENTO</t>
        </is>
      </c>
      <c r="H18" s="6" t="inlineStr">
        <is>
          <t>Convencional</t>
        </is>
      </c>
      <c r="I18" s="11" t="n">
        <v>4900</v>
      </c>
      <c r="J18" s="11" t="n">
        <v>15</v>
      </c>
      <c r="K18" s="11" t="n">
        <v>15</v>
      </c>
      <c r="L18" s="11" t="n">
        <v>0</v>
      </c>
      <c r="M18" s="11" t="n">
        <v>0</v>
      </c>
      <c r="N18" s="11" t="n">
        <v>0</v>
      </c>
      <c r="O18" s="11">
        <f>IF($B18="Candidato",IF($L18&gt;0,$M18/$L18,0),0)</f>
        <v/>
      </c>
      <c r="P18" s="11" t="inlineStr">
        <is>
          <t>SIM</t>
        </is>
      </c>
      <c r="Q18" s="11">
        <f>IF($P18="SIM",$I18*Parametros_Modelo!$B$9,0)</f>
        <v/>
      </c>
      <c r="R18" s="11">
        <f>IF($P18="SIM",Parametros_Modelo!$B$10,0)</f>
        <v/>
      </c>
      <c r="S18" s="11" t="inlineStr">
        <is>
          <t>SIM</t>
        </is>
      </c>
      <c r="T18" s="11">
        <f>IF($S18="SIM",Parametros_Modelo!$B$11,0)</f>
        <v/>
      </c>
      <c r="U18" s="11">
        <f>Parametros_Modelo!$B$5</f>
        <v/>
      </c>
      <c r="V18" s="11">
        <f>Parametros_Modelo!$B$6</f>
        <v/>
      </c>
      <c r="W18" s="6" t="inlineStr">
        <is>
          <t>Sintético/Derivado_de_Custo_Invest para expansão, granelização e penalidades</t>
        </is>
      </c>
      <c r="X18" s="6" t="inlineStr">
        <is>
          <t>Colunas adicionadas para separar parâmetros do modelo matemático dos dados originais do CDA.</t>
        </is>
      </c>
      <c r="Y18" s="6" t="inlineStr">
        <is>
          <t>Opcional agora; necessária se ativar expansão, granelização ou custos candidatos explícitos.</t>
        </is>
      </c>
    </row>
    <row r="19">
      <c r="A19" s="6" t="inlineStr">
        <is>
          <t>45.0287.0109-7</t>
        </is>
      </c>
      <c r="B19" s="6" t="inlineStr">
        <is>
          <t>Existente</t>
        </is>
      </c>
      <c r="C19" s="6" t="inlineStr">
        <is>
          <t>Maracanaú</t>
        </is>
      </c>
      <c r="D19" s="6" t="inlineStr">
        <is>
          <t>CE</t>
        </is>
      </c>
      <c r="E19" s="6" t="n">
        <v>-3.84305</v>
      </c>
      <c r="F19" s="6" t="n">
        <v>-38.60161</v>
      </c>
      <c r="G19" s="6" t="inlineStr">
        <is>
          <t>COMPANHIA NACIONAL DE ABASTECIMENTO</t>
        </is>
      </c>
      <c r="H19" s="6" t="inlineStr">
        <is>
          <t>Convencional</t>
        </is>
      </c>
      <c r="I19" s="11" t="n">
        <v>6300</v>
      </c>
      <c r="J19" s="11" t="n">
        <v>18</v>
      </c>
      <c r="K19" s="11" t="n">
        <v>18</v>
      </c>
      <c r="L19" s="11" t="n">
        <v>0</v>
      </c>
      <c r="M19" s="11" t="n">
        <v>0</v>
      </c>
      <c r="N19" s="11" t="n">
        <v>0</v>
      </c>
      <c r="O19" s="11">
        <f>IF($B19="Candidato",IF($L19&gt;0,$M19/$L19,0),0)</f>
        <v/>
      </c>
      <c r="P19" s="11" t="inlineStr">
        <is>
          <t>SIM</t>
        </is>
      </c>
      <c r="Q19" s="11">
        <f>IF($P19="SIM",$I19*Parametros_Modelo!$B$9,0)</f>
        <v/>
      </c>
      <c r="R19" s="11">
        <f>IF($P19="SIM",Parametros_Modelo!$B$10,0)</f>
        <v/>
      </c>
      <c r="S19" s="11" t="inlineStr">
        <is>
          <t>SIM</t>
        </is>
      </c>
      <c r="T19" s="11">
        <f>IF($S19="SIM",Parametros_Modelo!$B$11,0)</f>
        <v/>
      </c>
      <c r="U19" s="11">
        <f>Parametros_Modelo!$B$5</f>
        <v/>
      </c>
      <c r="V19" s="11">
        <f>Parametros_Modelo!$B$6</f>
        <v/>
      </c>
      <c r="W19" s="6" t="inlineStr">
        <is>
          <t>Sintético/Derivado_de_Custo_Invest para expansão, granelização e penalidades</t>
        </is>
      </c>
      <c r="X19" s="6" t="inlineStr">
        <is>
          <t>Colunas adicionadas para separar parâmetros do modelo matemático dos dados originais do CDA.</t>
        </is>
      </c>
      <c r="Y19" s="6" t="inlineStr">
        <is>
          <t>Opcional agora; necessária se ativar expansão, granelização ou custos candidatos explícitos.</t>
        </is>
      </c>
    </row>
    <row r="20">
      <c r="A20" s="6" t="inlineStr">
        <is>
          <t>45.0287.0129-1</t>
        </is>
      </c>
      <c r="B20" s="6" t="inlineStr">
        <is>
          <t>Existente</t>
        </is>
      </c>
      <c r="C20" s="6" t="inlineStr">
        <is>
          <t>Maracanaú</t>
        </is>
      </c>
      <c r="D20" s="6" t="inlineStr">
        <is>
          <t>CE</t>
        </is>
      </c>
      <c r="E20" s="6" t="n">
        <v>-3.84305</v>
      </c>
      <c r="F20" s="6" t="n">
        <v>-38.60161</v>
      </c>
      <c r="G20" s="6" t="inlineStr">
        <is>
          <t>COMPANHIA NACIONAL DE ABASTECIMENTO</t>
        </is>
      </c>
      <c r="H20" s="6" t="inlineStr">
        <is>
          <t>Convencional</t>
        </is>
      </c>
      <c r="I20" s="11" t="n">
        <v>8800</v>
      </c>
      <c r="J20" s="11" t="n">
        <v>15</v>
      </c>
      <c r="K20" s="11" t="n">
        <v>15</v>
      </c>
      <c r="L20" s="11" t="n">
        <v>0</v>
      </c>
      <c r="M20" s="11" t="n">
        <v>0</v>
      </c>
      <c r="N20" s="11" t="n">
        <v>0</v>
      </c>
      <c r="O20" s="11">
        <f>IF($B20="Candidato",IF($L20&gt;0,$M20/$L20,0),0)</f>
        <v/>
      </c>
      <c r="P20" s="11" t="inlineStr">
        <is>
          <t>SIM</t>
        </is>
      </c>
      <c r="Q20" s="11">
        <f>IF($P20="SIM",$I20*Parametros_Modelo!$B$9,0)</f>
        <v/>
      </c>
      <c r="R20" s="11">
        <f>IF($P20="SIM",Parametros_Modelo!$B$10,0)</f>
        <v/>
      </c>
      <c r="S20" s="11" t="inlineStr">
        <is>
          <t>SIM</t>
        </is>
      </c>
      <c r="T20" s="11">
        <f>IF($S20="SIM",Parametros_Modelo!$B$11,0)</f>
        <v/>
      </c>
      <c r="U20" s="11">
        <f>Parametros_Modelo!$B$5</f>
        <v/>
      </c>
      <c r="V20" s="11">
        <f>Parametros_Modelo!$B$6</f>
        <v/>
      </c>
      <c r="W20" s="6" t="inlineStr">
        <is>
          <t>Sintético/Derivado_de_Custo_Invest para expansão, granelização e penalidades</t>
        </is>
      </c>
      <c r="X20" s="6" t="inlineStr">
        <is>
          <t>Colunas adicionadas para separar parâmetros do modelo matemático dos dados originais do CDA.</t>
        </is>
      </c>
      <c r="Y20" s="6" t="inlineStr">
        <is>
          <t>Opcional agora; necessária se ativar expansão, granelização ou custos candidatos explícitos.</t>
        </is>
      </c>
    </row>
    <row r="21">
      <c r="A21" s="6" t="inlineStr">
        <is>
          <t>45.0287.0132-1</t>
        </is>
      </c>
      <c r="B21" s="6" t="inlineStr">
        <is>
          <t>Existente</t>
        </is>
      </c>
      <c r="C21" s="6" t="inlineStr">
        <is>
          <t>Maracanaú</t>
        </is>
      </c>
      <c r="D21" s="6" t="inlineStr">
        <is>
          <t>CE</t>
        </is>
      </c>
      <c r="E21" s="6" t="n">
        <v>-3.84305</v>
      </c>
      <c r="F21" s="6" t="n">
        <v>-38.60161</v>
      </c>
      <c r="G21" s="6" t="inlineStr">
        <is>
          <t>COMPANHIA NACIONAL DE ABASTECIMENTO</t>
        </is>
      </c>
      <c r="H21" s="6" t="inlineStr">
        <is>
          <t>Convencional</t>
        </is>
      </c>
      <c r="I21" s="11" t="n">
        <v>6300</v>
      </c>
      <c r="J21" s="11" t="n">
        <v>18</v>
      </c>
      <c r="K21" s="11" t="n">
        <v>18</v>
      </c>
      <c r="L21" s="11" t="n">
        <v>0</v>
      </c>
      <c r="M21" s="11" t="n">
        <v>0</v>
      </c>
      <c r="N21" s="11" t="n">
        <v>0</v>
      </c>
      <c r="O21" s="11">
        <f>IF($B21="Candidato",IF($L21&gt;0,$M21/$L21,0),0)</f>
        <v/>
      </c>
      <c r="P21" s="11" t="inlineStr">
        <is>
          <t>SIM</t>
        </is>
      </c>
      <c r="Q21" s="11">
        <f>IF($P21="SIM",$I21*Parametros_Modelo!$B$9,0)</f>
        <v/>
      </c>
      <c r="R21" s="11">
        <f>IF($P21="SIM",Parametros_Modelo!$B$10,0)</f>
        <v/>
      </c>
      <c r="S21" s="11" t="inlineStr">
        <is>
          <t>SIM</t>
        </is>
      </c>
      <c r="T21" s="11">
        <f>IF($S21="SIM",Parametros_Modelo!$B$11,0)</f>
        <v/>
      </c>
      <c r="U21" s="11">
        <f>Parametros_Modelo!$B$5</f>
        <v/>
      </c>
      <c r="V21" s="11">
        <f>Parametros_Modelo!$B$6</f>
        <v/>
      </c>
      <c r="W21" s="6" t="inlineStr">
        <is>
          <t>Sintético/Derivado_de_Custo_Invest para expansão, granelização e penalidades</t>
        </is>
      </c>
      <c r="X21" s="6" t="inlineStr">
        <is>
          <t>Colunas adicionadas para separar parâmetros do modelo matemático dos dados originais do CDA.</t>
        </is>
      </c>
      <c r="Y21" s="6" t="inlineStr">
        <is>
          <t>Opcional agora; necessária se ativar expansão, granelização ou custos candidatos explícitos.</t>
        </is>
      </c>
    </row>
    <row r="22">
      <c r="A22" s="6" t="inlineStr">
        <is>
          <t>45.0287.0141-0</t>
        </is>
      </c>
      <c r="B22" s="6" t="inlineStr">
        <is>
          <t>Existente</t>
        </is>
      </c>
      <c r="C22" s="6" t="inlineStr">
        <is>
          <t>Maracanaú</t>
        </is>
      </c>
      <c r="D22" s="6" t="inlineStr">
        <is>
          <t>CE</t>
        </is>
      </c>
      <c r="E22" s="6" t="n">
        <v>-3.84305</v>
      </c>
      <c r="F22" s="6" t="n">
        <v>-38.60161</v>
      </c>
      <c r="G22" s="6" t="inlineStr">
        <is>
          <t>COMPANHIA NACIONAL DE ABASTECIMENTO</t>
        </is>
      </c>
      <c r="H22" s="6" t="inlineStr">
        <is>
          <t>Convencional</t>
        </is>
      </c>
      <c r="I22" s="11" t="n">
        <v>8800</v>
      </c>
      <c r="J22" s="11" t="n">
        <v>15</v>
      </c>
      <c r="K22" s="11" t="n">
        <v>15</v>
      </c>
      <c r="L22" s="11" t="n">
        <v>0</v>
      </c>
      <c r="M22" s="11" t="n">
        <v>0</v>
      </c>
      <c r="N22" s="11" t="n">
        <v>0</v>
      </c>
      <c r="O22" s="11">
        <f>IF($B22="Candidato",IF($L22&gt;0,$M22/$L22,0),0)</f>
        <v/>
      </c>
      <c r="P22" s="11" t="inlineStr">
        <is>
          <t>SIM</t>
        </is>
      </c>
      <c r="Q22" s="11">
        <f>IF($P22="SIM",$I22*Parametros_Modelo!$B$9,0)</f>
        <v/>
      </c>
      <c r="R22" s="11">
        <f>IF($P22="SIM",Parametros_Modelo!$B$10,0)</f>
        <v/>
      </c>
      <c r="S22" s="11" t="inlineStr">
        <is>
          <t>SIM</t>
        </is>
      </c>
      <c r="T22" s="11">
        <f>IF($S22="SIM",Parametros_Modelo!$B$11,0)</f>
        <v/>
      </c>
      <c r="U22" s="11">
        <f>Parametros_Modelo!$B$5</f>
        <v/>
      </c>
      <c r="V22" s="11">
        <f>Parametros_Modelo!$B$6</f>
        <v/>
      </c>
      <c r="W22" s="6" t="inlineStr">
        <is>
          <t>Sintético/Derivado_de_Custo_Invest para expansão, granelização e penalidades</t>
        </is>
      </c>
      <c r="X22" s="6" t="inlineStr">
        <is>
          <t>Colunas adicionadas para separar parâmetros do modelo matemático dos dados originais do CDA.</t>
        </is>
      </c>
      <c r="Y22" s="6" t="inlineStr">
        <is>
          <t>Opcional agora; necessária se ativar expansão, granelização ou custos candidatos explícitos.</t>
        </is>
      </c>
    </row>
    <row r="23">
      <c r="A23" s="6" t="inlineStr">
        <is>
          <t>45.0287.0093-7</t>
        </is>
      </c>
      <c r="B23" s="6" t="inlineStr">
        <is>
          <t>Existente</t>
        </is>
      </c>
      <c r="C23" s="6" t="inlineStr">
        <is>
          <t>Russas</t>
        </is>
      </c>
      <c r="D23" s="6" t="inlineStr">
        <is>
          <t>CE</t>
        </is>
      </c>
      <c r="E23" s="6" t="n">
        <v>-4.927</v>
      </c>
      <c r="F23" s="6" t="n">
        <v>-37.97711</v>
      </c>
      <c r="G23" s="6" t="inlineStr">
        <is>
          <t>COMPANHIA NACIONAL DE ABASTECIMENTO</t>
        </is>
      </c>
      <c r="H23" s="6" t="inlineStr">
        <is>
          <t>Convencional</t>
        </is>
      </c>
      <c r="I23" s="11" t="n">
        <v>3500</v>
      </c>
      <c r="J23" s="11" t="n">
        <v>15</v>
      </c>
      <c r="K23" s="11" t="n">
        <v>15</v>
      </c>
      <c r="L23" s="11" t="n">
        <v>0</v>
      </c>
      <c r="M23" s="11" t="n">
        <v>0</v>
      </c>
      <c r="N23" s="11" t="n">
        <v>0</v>
      </c>
      <c r="O23" s="11">
        <f>IF($B23="Candidato",IF($L23&gt;0,$M23/$L23,0),0)</f>
        <v/>
      </c>
      <c r="P23" s="11" t="inlineStr">
        <is>
          <t>SIM</t>
        </is>
      </c>
      <c r="Q23" s="11">
        <f>IF($P23="SIM",$I23*Parametros_Modelo!$B$9,0)</f>
        <v/>
      </c>
      <c r="R23" s="11">
        <f>IF($P23="SIM",Parametros_Modelo!$B$10,0)</f>
        <v/>
      </c>
      <c r="S23" s="11" t="inlineStr">
        <is>
          <t>SIM</t>
        </is>
      </c>
      <c r="T23" s="11">
        <f>IF($S23="SIM",Parametros_Modelo!$B$11,0)</f>
        <v/>
      </c>
      <c r="U23" s="11">
        <f>Parametros_Modelo!$B$5</f>
        <v/>
      </c>
      <c r="V23" s="11">
        <f>Parametros_Modelo!$B$6</f>
        <v/>
      </c>
      <c r="W23" s="6" t="inlineStr">
        <is>
          <t>Sintético/Derivado_de_Custo_Invest para expansão, granelização e penalidades</t>
        </is>
      </c>
      <c r="X23" s="6" t="inlineStr">
        <is>
          <t>Colunas adicionadas para separar parâmetros do modelo matemático dos dados originais do CDA.</t>
        </is>
      </c>
      <c r="Y23" s="6" t="inlineStr">
        <is>
          <t>Opcional agora; necessária se ativar expansão, granelização ou custos candidatos explícitos.</t>
        </is>
      </c>
    </row>
    <row r="24">
      <c r="A24" s="6" t="inlineStr">
        <is>
          <t>45.0287.0061-9</t>
        </is>
      </c>
      <c r="B24" s="6" t="inlineStr">
        <is>
          <t>Existente</t>
        </is>
      </c>
      <c r="C24" s="6" t="inlineStr">
        <is>
          <t>Senador Pompeu</t>
        </is>
      </c>
      <c r="D24" s="6" t="inlineStr">
        <is>
          <t>CE</t>
        </is>
      </c>
      <c r="E24" s="6" t="n">
        <v>-5.59316</v>
      </c>
      <c r="F24" s="6" t="n">
        <v>-39.37777</v>
      </c>
      <c r="G24" s="6" t="inlineStr">
        <is>
          <t>COMPANHIA NACIONAL DE ABASTECIMENTO</t>
        </is>
      </c>
      <c r="H24" s="6" t="inlineStr">
        <is>
          <t>Convencional</t>
        </is>
      </c>
      <c r="I24" s="11" t="n">
        <v>3200</v>
      </c>
      <c r="J24" s="11" t="n">
        <v>9</v>
      </c>
      <c r="K24" s="11" t="n">
        <v>9</v>
      </c>
      <c r="L24" s="11" t="n">
        <v>0</v>
      </c>
      <c r="M24" s="11" t="n">
        <v>0</v>
      </c>
      <c r="N24" s="11" t="n">
        <v>0</v>
      </c>
      <c r="O24" s="11">
        <f>IF($B24="Candidato",IF($L24&gt;0,$M24/$L24,0),0)</f>
        <v/>
      </c>
      <c r="P24" s="11" t="inlineStr">
        <is>
          <t>SIM</t>
        </is>
      </c>
      <c r="Q24" s="11">
        <f>IF($P24="SIM",$I24*Parametros_Modelo!$B$9,0)</f>
        <v/>
      </c>
      <c r="R24" s="11">
        <f>IF($P24="SIM",Parametros_Modelo!$B$10,0)</f>
        <v/>
      </c>
      <c r="S24" s="11" t="inlineStr">
        <is>
          <t>SIM</t>
        </is>
      </c>
      <c r="T24" s="11">
        <f>IF($S24="SIM",Parametros_Modelo!$B$11,0)</f>
        <v/>
      </c>
      <c r="U24" s="11">
        <f>Parametros_Modelo!$B$5</f>
        <v/>
      </c>
      <c r="V24" s="11">
        <f>Parametros_Modelo!$B$6</f>
        <v/>
      </c>
      <c r="W24" s="6" t="inlineStr">
        <is>
          <t>Sintético/Derivado_de_Custo_Invest para expansão, granelização e penalidades</t>
        </is>
      </c>
      <c r="X24" s="6" t="inlineStr">
        <is>
          <t>Colunas adicionadas para separar parâmetros do modelo matemático dos dados originais do CDA.</t>
        </is>
      </c>
      <c r="Y24" s="6" t="inlineStr">
        <is>
          <t>Opcional agora; necessária se ativar expansão, granelização ou custos candidatos explícitos.</t>
        </is>
      </c>
    </row>
    <row r="25">
      <c r="A25" s="6" t="inlineStr">
        <is>
          <t>45.0287.0062-7</t>
        </is>
      </c>
      <c r="B25" s="6" t="inlineStr">
        <is>
          <t>Existente</t>
        </is>
      </c>
      <c r="C25" s="6" t="inlineStr">
        <is>
          <t>Sobral</t>
        </is>
      </c>
      <c r="D25" s="6" t="inlineStr">
        <is>
          <t>CE</t>
        </is>
      </c>
      <c r="E25" s="6" t="n">
        <v>-3.683626</v>
      </c>
      <c r="F25" s="6" t="n">
        <v>-40.35902</v>
      </c>
      <c r="G25" s="6" t="inlineStr">
        <is>
          <t>COMPANHIA NACIONAL DE ABASTECIMENTO</t>
        </is>
      </c>
      <c r="H25" s="6" t="inlineStr">
        <is>
          <t>Convencional</t>
        </is>
      </c>
      <c r="I25" s="11" t="n">
        <v>4800</v>
      </c>
      <c r="J25" s="11" t="n">
        <v>15</v>
      </c>
      <c r="K25" s="11" t="n">
        <v>15</v>
      </c>
      <c r="L25" s="11" t="n">
        <v>0</v>
      </c>
      <c r="M25" s="11" t="n">
        <v>0</v>
      </c>
      <c r="N25" s="11" t="n">
        <v>0</v>
      </c>
      <c r="O25" s="11">
        <f>IF($B25="Candidato",IF($L25&gt;0,$M25/$L25,0),0)</f>
        <v/>
      </c>
      <c r="P25" s="11" t="inlineStr">
        <is>
          <t>SIM</t>
        </is>
      </c>
      <c r="Q25" s="11">
        <f>IF($P25="SIM",$I25*Parametros_Modelo!$B$9,0)</f>
        <v/>
      </c>
      <c r="R25" s="11">
        <f>IF($P25="SIM",Parametros_Modelo!$B$10,0)</f>
        <v/>
      </c>
      <c r="S25" s="11" t="inlineStr">
        <is>
          <t>SIM</t>
        </is>
      </c>
      <c r="T25" s="11">
        <f>IF($S25="SIM",Parametros_Modelo!$B$11,0)</f>
        <v/>
      </c>
      <c r="U25" s="11">
        <f>Parametros_Modelo!$B$5</f>
        <v/>
      </c>
      <c r="V25" s="11">
        <f>Parametros_Modelo!$B$6</f>
        <v/>
      </c>
      <c r="W25" s="6" t="inlineStr">
        <is>
          <t>Sintético/Derivado_de_Custo_Invest para expansão, granelização e penalidades</t>
        </is>
      </c>
      <c r="X25" s="6" t="inlineStr">
        <is>
          <t>Colunas adicionadas para separar parâmetros do modelo matemático dos dados originais do CDA.</t>
        </is>
      </c>
      <c r="Y25" s="6" t="inlineStr">
        <is>
          <t>Opcional agora; necessária se ativar expansão, granelização ou custos candidatos explícitos.</t>
        </is>
      </c>
    </row>
    <row r="26">
      <c r="A26" s="6" t="inlineStr">
        <is>
          <t>46.0287.0001-3</t>
        </is>
      </c>
      <c r="B26" s="6" t="inlineStr">
        <is>
          <t>Existente</t>
        </is>
      </c>
      <c r="C26" s="6" t="inlineStr">
        <is>
          <t>Brasília</t>
        </is>
      </c>
      <c r="D26" s="6" t="inlineStr">
        <is>
          <t>DF</t>
        </is>
      </c>
      <c r="E26" s="6" t="n">
        <v>-15.79561</v>
      </c>
      <c r="F26" s="6" t="n">
        <v>-47.95275</v>
      </c>
      <c r="G26" s="6" t="inlineStr">
        <is>
          <t>COMPANHIA NACIONAL DE ABASTECIMENTO</t>
        </is>
      </c>
      <c r="H26" s="6" t="inlineStr">
        <is>
          <t>Convencional</t>
        </is>
      </c>
      <c r="I26" s="11" t="n">
        <v>8350</v>
      </c>
      <c r="J26" s="11" t="n">
        <v>60</v>
      </c>
      <c r="K26" s="11" t="n">
        <v>60</v>
      </c>
      <c r="L26" s="11" t="n">
        <v>0</v>
      </c>
      <c r="M26" s="11" t="n">
        <v>0</v>
      </c>
      <c r="N26" s="11" t="n">
        <v>0</v>
      </c>
      <c r="O26" s="11">
        <f>IF($B26="Candidato",IF($L26&gt;0,$M26/$L26,0),0)</f>
        <v/>
      </c>
      <c r="P26" s="11" t="inlineStr">
        <is>
          <t>SIM</t>
        </is>
      </c>
      <c r="Q26" s="11">
        <f>IF($P26="SIM",$I26*Parametros_Modelo!$B$9,0)</f>
        <v/>
      </c>
      <c r="R26" s="11">
        <f>IF($P26="SIM",Parametros_Modelo!$B$10,0)</f>
        <v/>
      </c>
      <c r="S26" s="11" t="inlineStr">
        <is>
          <t>SIM</t>
        </is>
      </c>
      <c r="T26" s="11">
        <f>IF($S26="SIM",Parametros_Modelo!$B$11,0)</f>
        <v/>
      </c>
      <c r="U26" s="11">
        <f>Parametros_Modelo!$B$5</f>
        <v/>
      </c>
      <c r="V26" s="11">
        <f>Parametros_Modelo!$B$6</f>
        <v/>
      </c>
      <c r="W26" s="6" t="inlineStr">
        <is>
          <t>Sintético/Derivado_de_Custo_Invest para expansão, granelização e penalidades</t>
        </is>
      </c>
      <c r="X26" s="6" t="inlineStr">
        <is>
          <t>Colunas adicionadas para separar parâmetros do modelo matemático dos dados originais do CDA.</t>
        </is>
      </c>
      <c r="Y26" s="6" t="inlineStr">
        <is>
          <t>Opcional agora; necessária se ativar expansão, granelização ou custos candidatos explícitos.</t>
        </is>
      </c>
    </row>
    <row r="27">
      <c r="A27" s="6" t="inlineStr">
        <is>
          <t>46.0287.0004-8</t>
        </is>
      </c>
      <c r="B27" s="6" t="inlineStr">
        <is>
          <t>Existente</t>
        </is>
      </c>
      <c r="C27" s="6" t="inlineStr">
        <is>
          <t>Brasília</t>
        </is>
      </c>
      <c r="D27" s="6" t="inlineStr">
        <is>
          <t>DF</t>
        </is>
      </c>
      <c r="E27" s="6" t="n">
        <v>-15.7968</v>
      </c>
      <c r="F27" s="6" t="n">
        <v>-47.95188</v>
      </c>
      <c r="G27" s="6" t="inlineStr">
        <is>
          <t>COMPANHIA NACIONAL DE ABASTECIMENTO</t>
        </is>
      </c>
      <c r="H27" s="6" t="inlineStr">
        <is>
          <t>Bateria de Silos</t>
        </is>
      </c>
      <c r="I27" s="11" t="n">
        <v>25800</v>
      </c>
      <c r="J27" s="11" t="n">
        <v>120</v>
      </c>
      <c r="K27" s="11" t="n">
        <v>240</v>
      </c>
      <c r="L27" s="11" t="n">
        <v>0</v>
      </c>
      <c r="M27" s="11" t="n">
        <v>0</v>
      </c>
      <c r="N27" s="11" t="n">
        <v>0</v>
      </c>
      <c r="O27" s="11">
        <f>IF($B27="Candidato",IF($L27&gt;0,$M27/$L27,0),0)</f>
        <v/>
      </c>
      <c r="P27" s="11" t="inlineStr">
        <is>
          <t>SIM</t>
        </is>
      </c>
      <c r="Q27" s="11">
        <f>IF($P27="SIM",$I27*Parametros_Modelo!$B$9,0)</f>
        <v/>
      </c>
      <c r="R27" s="11">
        <f>IF($P27="SIM",Parametros_Modelo!$B$10,0)</f>
        <v/>
      </c>
      <c r="S27" s="11" t="inlineStr">
        <is>
          <t>NAO</t>
        </is>
      </c>
      <c r="T27" s="11">
        <f>IF($S27="SIM",Parametros_Modelo!$B$11,0)</f>
        <v/>
      </c>
      <c r="U27" s="11">
        <f>Parametros_Modelo!$B$5</f>
        <v/>
      </c>
      <c r="V27" s="11">
        <f>Parametros_Modelo!$B$6</f>
        <v/>
      </c>
      <c r="W27" s="6" t="inlineStr">
        <is>
          <t>Sintético/Derivado_de_Custo_Invest para expansão, granelização e penalidades</t>
        </is>
      </c>
      <c r="X27" s="6" t="inlineStr">
        <is>
          <t>Colunas adicionadas para separar parâmetros do modelo matemático dos dados originais do CDA.</t>
        </is>
      </c>
      <c r="Y27" s="6" t="inlineStr">
        <is>
          <t>Opcional agora; necessária se ativar expansão, granelização ou custos candidatos explícitos.</t>
        </is>
      </c>
    </row>
    <row r="28">
      <c r="A28" s="6" t="inlineStr">
        <is>
          <t>46.0287.0005-6</t>
        </is>
      </c>
      <c r="B28" s="6" t="inlineStr">
        <is>
          <t>Existente</t>
        </is>
      </c>
      <c r="C28" s="6" t="inlineStr">
        <is>
          <t>Brasília</t>
        </is>
      </c>
      <c r="D28" s="6" t="inlineStr">
        <is>
          <t>DF</t>
        </is>
      </c>
      <c r="E28" s="6" t="n">
        <v>-15.79681</v>
      </c>
      <c r="F28" s="6" t="n">
        <v>-47.95315</v>
      </c>
      <c r="G28" s="6" t="inlineStr">
        <is>
          <t>COMPANHIA NACIONAL DE ABASTECIMENTO</t>
        </is>
      </c>
      <c r="H28" s="6" t="inlineStr">
        <is>
          <t>Convencional</t>
        </is>
      </c>
      <c r="I28" s="11" t="n">
        <v>7800</v>
      </c>
      <c r="J28" s="11" t="n">
        <v>120</v>
      </c>
      <c r="K28" s="11" t="n">
        <v>60</v>
      </c>
      <c r="L28" s="11" t="n">
        <v>0</v>
      </c>
      <c r="M28" s="11" t="n">
        <v>0</v>
      </c>
      <c r="N28" s="11" t="n">
        <v>0</v>
      </c>
      <c r="O28" s="11">
        <f>IF($B28="Candidato",IF($L28&gt;0,$M28/$L28,0),0)</f>
        <v/>
      </c>
      <c r="P28" s="11" t="inlineStr">
        <is>
          <t>SIM</t>
        </is>
      </c>
      <c r="Q28" s="11">
        <f>IF($P28="SIM",$I28*Parametros_Modelo!$B$9,0)</f>
        <v/>
      </c>
      <c r="R28" s="11">
        <f>IF($P28="SIM",Parametros_Modelo!$B$10,0)</f>
        <v/>
      </c>
      <c r="S28" s="11" t="inlineStr">
        <is>
          <t>SIM</t>
        </is>
      </c>
      <c r="T28" s="11">
        <f>IF($S28="SIM",Parametros_Modelo!$B$11,0)</f>
        <v/>
      </c>
      <c r="U28" s="11">
        <f>Parametros_Modelo!$B$5</f>
        <v/>
      </c>
      <c r="V28" s="11">
        <f>Parametros_Modelo!$B$6</f>
        <v/>
      </c>
      <c r="W28" s="6" t="inlineStr">
        <is>
          <t>Sintético/Derivado_de_Custo_Invest para expansão, granelização e penalidades</t>
        </is>
      </c>
      <c r="X28" s="6" t="inlineStr">
        <is>
          <t>Colunas adicionadas para separar parâmetros do modelo matemático dos dados originais do CDA.</t>
        </is>
      </c>
      <c r="Y28" s="6" t="inlineStr">
        <is>
          <t>Opcional agora; necessária se ativar expansão, granelização ou custos candidatos explícitos.</t>
        </is>
      </c>
    </row>
    <row r="29">
      <c r="A29" s="6" t="inlineStr">
        <is>
          <t>46.0287.0007-2</t>
        </is>
      </c>
      <c r="B29" s="6" t="inlineStr">
        <is>
          <t>Existente</t>
        </is>
      </c>
      <c r="C29" s="6" t="inlineStr">
        <is>
          <t>Brasília</t>
        </is>
      </c>
      <c r="D29" s="6" t="inlineStr">
        <is>
          <t>DF</t>
        </is>
      </c>
      <c r="E29" s="6" t="n">
        <v>-15.79782</v>
      </c>
      <c r="F29" s="6" t="n">
        <v>-47.95354</v>
      </c>
      <c r="G29" s="6" t="inlineStr">
        <is>
          <t>COMPANHIA NACIONAL DE ABASTECIMENTO</t>
        </is>
      </c>
      <c r="H29" s="6" t="inlineStr">
        <is>
          <t>Convencional</t>
        </is>
      </c>
      <c r="I29" s="11" t="n">
        <v>6200</v>
      </c>
      <c r="J29" s="11" t="n">
        <v>60</v>
      </c>
      <c r="K29" s="11" t="n">
        <v>60</v>
      </c>
      <c r="L29" s="11" t="n">
        <v>0</v>
      </c>
      <c r="M29" s="11" t="n">
        <v>0</v>
      </c>
      <c r="N29" s="11" t="n">
        <v>0</v>
      </c>
      <c r="O29" s="11">
        <f>IF($B29="Candidato",IF($L29&gt;0,$M29/$L29,0),0)</f>
        <v/>
      </c>
      <c r="P29" s="11" t="inlineStr">
        <is>
          <t>SIM</t>
        </is>
      </c>
      <c r="Q29" s="11">
        <f>IF($P29="SIM",$I29*Parametros_Modelo!$B$9,0)</f>
        <v/>
      </c>
      <c r="R29" s="11">
        <f>IF($P29="SIM",Parametros_Modelo!$B$10,0)</f>
        <v/>
      </c>
      <c r="S29" s="11" t="inlineStr">
        <is>
          <t>SIM</t>
        </is>
      </c>
      <c r="T29" s="11">
        <f>IF($S29="SIM",Parametros_Modelo!$B$11,0)</f>
        <v/>
      </c>
      <c r="U29" s="11">
        <f>Parametros_Modelo!$B$5</f>
        <v/>
      </c>
      <c r="V29" s="11">
        <f>Parametros_Modelo!$B$6</f>
        <v/>
      </c>
      <c r="W29" s="6" t="inlineStr">
        <is>
          <t>Sintético/Derivado_de_Custo_Invest para expansão, granelização e penalidades</t>
        </is>
      </c>
      <c r="X29" s="6" t="inlineStr">
        <is>
          <t>Colunas adicionadas para separar parâmetros do modelo matemático dos dados originais do CDA.</t>
        </is>
      </c>
      <c r="Y29" s="6" t="inlineStr">
        <is>
          <t>Opcional agora; necessária se ativar expansão, granelização ou custos candidatos explícitos.</t>
        </is>
      </c>
    </row>
    <row r="30">
      <c r="A30" s="6" t="inlineStr">
        <is>
          <t>46.0287.0009-9</t>
        </is>
      </c>
      <c r="B30" s="6" t="inlineStr">
        <is>
          <t>Existente</t>
        </is>
      </c>
      <c r="C30" s="6" t="inlineStr">
        <is>
          <t>Brasília</t>
        </is>
      </c>
      <c r="D30" s="6" t="inlineStr">
        <is>
          <t>DF</t>
        </is>
      </c>
      <c r="E30" s="6" t="n">
        <v>-15.79707</v>
      </c>
      <c r="F30" s="6" t="n">
        <v>-47.95393</v>
      </c>
      <c r="G30" s="6" t="inlineStr">
        <is>
          <t>COMPANHIA NACIONAL DE ABASTECIMENTO</t>
        </is>
      </c>
      <c r="H30" s="6" t="inlineStr">
        <is>
          <t>Convencional</t>
        </is>
      </c>
      <c r="I30" s="11" t="n">
        <v>14900</v>
      </c>
      <c r="J30" s="11" t="n">
        <v>60</v>
      </c>
      <c r="K30" s="11" t="n">
        <v>60</v>
      </c>
      <c r="L30" s="11" t="n">
        <v>0</v>
      </c>
      <c r="M30" s="11" t="n">
        <v>0</v>
      </c>
      <c r="N30" s="11" t="n">
        <v>0</v>
      </c>
      <c r="O30" s="11">
        <f>IF($B30="Candidato",IF($L30&gt;0,$M30/$L30,0),0)</f>
        <v/>
      </c>
      <c r="P30" s="11" t="inlineStr">
        <is>
          <t>SIM</t>
        </is>
      </c>
      <c r="Q30" s="11">
        <f>IF($P30="SIM",$I30*Parametros_Modelo!$B$9,0)</f>
        <v/>
      </c>
      <c r="R30" s="11">
        <f>IF($P30="SIM",Parametros_Modelo!$B$10,0)</f>
        <v/>
      </c>
      <c r="S30" s="11" t="inlineStr">
        <is>
          <t>SIM</t>
        </is>
      </c>
      <c r="T30" s="11">
        <f>IF($S30="SIM",Parametros_Modelo!$B$11,0)</f>
        <v/>
      </c>
      <c r="U30" s="11">
        <f>Parametros_Modelo!$B$5</f>
        <v/>
      </c>
      <c r="V30" s="11">
        <f>Parametros_Modelo!$B$6</f>
        <v/>
      </c>
      <c r="W30" s="6" t="inlineStr">
        <is>
          <t>Sintético/Derivado_de_Custo_Invest para expansão, granelização e penalidades</t>
        </is>
      </c>
      <c r="X30" s="6" t="inlineStr">
        <is>
          <t>Colunas adicionadas para separar parâmetros do modelo matemático dos dados originais do CDA.</t>
        </is>
      </c>
      <c r="Y30" s="6" t="inlineStr">
        <is>
          <t>Opcional agora; necessária se ativar expansão, granelização ou custos candidatos explícitos.</t>
        </is>
      </c>
    </row>
    <row r="31">
      <c r="A31" s="6" t="inlineStr">
        <is>
          <t>47.0287.0015-1</t>
        </is>
      </c>
      <c r="B31" s="6" t="inlineStr">
        <is>
          <t>Existente</t>
        </is>
      </c>
      <c r="C31" s="6" t="inlineStr">
        <is>
          <t>Cachoeiro de Itapemirim</t>
        </is>
      </c>
      <c r="D31" s="6" t="inlineStr">
        <is>
          <t>ES</t>
        </is>
      </c>
      <c r="E31" s="6" t="n">
        <v>-20.856506</v>
      </c>
      <c r="F31" s="6" t="n">
        <v>-41.14888</v>
      </c>
      <c r="G31" s="6" t="inlineStr">
        <is>
          <t>COMPANHIA NACIONAL DE ABASTECIMENTO</t>
        </is>
      </c>
      <c r="H31" s="6" t="inlineStr">
        <is>
          <t>Convencional</t>
        </is>
      </c>
      <c r="I31" s="11" t="n">
        <v>27500</v>
      </c>
      <c r="J31" s="11" t="n">
        <v>13</v>
      </c>
      <c r="K31" s="11" t="n">
        <v>4</v>
      </c>
      <c r="L31" s="11" t="n">
        <v>0</v>
      </c>
      <c r="M31" s="11" t="n">
        <v>0</v>
      </c>
      <c r="N31" s="11" t="n">
        <v>0</v>
      </c>
      <c r="O31" s="11">
        <f>IF($B31="Candidato",IF($L31&gt;0,$M31/$L31,0),0)</f>
        <v/>
      </c>
      <c r="P31" s="11" t="inlineStr">
        <is>
          <t>SIM</t>
        </is>
      </c>
      <c r="Q31" s="11">
        <f>IF($P31="SIM",$I31*Parametros_Modelo!$B$9,0)</f>
        <v/>
      </c>
      <c r="R31" s="11">
        <f>IF($P31="SIM",Parametros_Modelo!$B$10,0)</f>
        <v/>
      </c>
      <c r="S31" s="11" t="inlineStr">
        <is>
          <t>SIM</t>
        </is>
      </c>
      <c r="T31" s="11">
        <f>IF($S31="SIM",Parametros_Modelo!$B$11,0)</f>
        <v/>
      </c>
      <c r="U31" s="11">
        <f>Parametros_Modelo!$B$5</f>
        <v/>
      </c>
      <c r="V31" s="11">
        <f>Parametros_Modelo!$B$6</f>
        <v/>
      </c>
      <c r="W31" s="6" t="inlineStr">
        <is>
          <t>Sintético/Derivado_de_Custo_Invest para expansão, granelização e penalidades</t>
        </is>
      </c>
      <c r="X31" s="6" t="inlineStr">
        <is>
          <t>Colunas adicionadas para separar parâmetros do modelo matemático dos dados originais do CDA.</t>
        </is>
      </c>
      <c r="Y31" s="6" t="inlineStr">
        <is>
          <t>Opcional agora; necessária se ativar expansão, granelização ou custos candidatos explícitos.</t>
        </is>
      </c>
    </row>
    <row r="32">
      <c r="A32" s="6" t="inlineStr">
        <is>
          <t>47.0287.0007-0</t>
        </is>
      </c>
      <c r="B32" s="6" t="inlineStr">
        <is>
          <t>Existente</t>
        </is>
      </c>
      <c r="C32" s="6" t="inlineStr">
        <is>
          <t>Colatina</t>
        </is>
      </c>
      <c r="D32" s="6" t="inlineStr">
        <is>
          <t>ES</t>
        </is>
      </c>
      <c r="E32" s="6" t="n">
        <v>-19.517929</v>
      </c>
      <c r="F32" s="6" t="n">
        <v>-40.610616</v>
      </c>
      <c r="G32" s="6" t="inlineStr">
        <is>
          <t>COMPANHIA NACIONAL DE ABASTECIMENTO</t>
        </is>
      </c>
      <c r="H32" s="6" t="inlineStr">
        <is>
          <t>Convencional</t>
        </is>
      </c>
      <c r="I32" s="11" t="n">
        <v>2920</v>
      </c>
      <c r="J32" s="11" t="n">
        <v>0</v>
      </c>
      <c r="K32" s="11" t="n">
        <v>0</v>
      </c>
      <c r="L32" s="11" t="n">
        <v>0</v>
      </c>
      <c r="M32" s="11" t="n">
        <v>0</v>
      </c>
      <c r="N32" s="11" t="n">
        <v>0</v>
      </c>
      <c r="O32" s="11">
        <f>IF($B32="Candidato",IF($L32&gt;0,$M32/$L32,0),0)</f>
        <v/>
      </c>
      <c r="P32" s="11" t="inlineStr">
        <is>
          <t>SIM</t>
        </is>
      </c>
      <c r="Q32" s="11">
        <f>IF($P32="SIM",$I32*Parametros_Modelo!$B$9,0)</f>
        <v/>
      </c>
      <c r="R32" s="11">
        <f>IF($P32="SIM",Parametros_Modelo!$B$10,0)</f>
        <v/>
      </c>
      <c r="S32" s="11" t="inlineStr">
        <is>
          <t>SIM</t>
        </is>
      </c>
      <c r="T32" s="11">
        <f>IF($S32="SIM",Parametros_Modelo!$B$11,0)</f>
        <v/>
      </c>
      <c r="U32" s="11">
        <f>Parametros_Modelo!$B$5</f>
        <v/>
      </c>
      <c r="V32" s="11">
        <f>Parametros_Modelo!$B$6</f>
        <v/>
      </c>
      <c r="W32" s="6" t="inlineStr">
        <is>
          <t>Sintético/Derivado_de_Custo_Invest para expansão, granelização e penalidades</t>
        </is>
      </c>
      <c r="X32" s="6" t="inlineStr">
        <is>
          <t>Colunas adicionadas para separar parâmetros do modelo matemático dos dados originais do CDA.</t>
        </is>
      </c>
      <c r="Y32" s="6" t="inlineStr">
        <is>
          <t>Opcional agora; necessária se ativar expansão, granelização ou custos candidatos explícitos.</t>
        </is>
      </c>
    </row>
    <row r="33">
      <c r="A33" s="6" t="inlineStr">
        <is>
          <t>47.0287.0011-9</t>
        </is>
      </c>
      <c r="B33" s="6" t="inlineStr">
        <is>
          <t>Existente</t>
        </is>
      </c>
      <c r="C33" s="6" t="inlineStr">
        <is>
          <t>Colatina</t>
        </is>
      </c>
      <c r="D33" s="6" t="inlineStr">
        <is>
          <t>ES</t>
        </is>
      </c>
      <c r="E33" s="6" t="n">
        <v>-19.51792</v>
      </c>
      <c r="F33" s="6" t="n">
        <v>-40.61061</v>
      </c>
      <c r="G33" s="6" t="inlineStr">
        <is>
          <t>COMPANHIA NACIONAL DE ABASTECIMENTO</t>
        </is>
      </c>
      <c r="H33" s="6" t="inlineStr">
        <is>
          <t>Convencional</t>
        </is>
      </c>
      <c r="I33" s="11" t="n">
        <v>40820</v>
      </c>
      <c r="J33" s="11" t="n">
        <v>15</v>
      </c>
      <c r="K33" s="11" t="n">
        <v>15</v>
      </c>
      <c r="L33" s="11" t="n">
        <v>0</v>
      </c>
      <c r="M33" s="11" t="n">
        <v>0</v>
      </c>
      <c r="N33" s="11" t="n">
        <v>0</v>
      </c>
      <c r="O33" s="11">
        <f>IF($B33="Candidato",IF($L33&gt;0,$M33/$L33,0),0)</f>
        <v/>
      </c>
      <c r="P33" s="11" t="inlineStr">
        <is>
          <t>SIM</t>
        </is>
      </c>
      <c r="Q33" s="11">
        <f>IF($P33="SIM",$I33*Parametros_Modelo!$B$9,0)</f>
        <v/>
      </c>
      <c r="R33" s="11">
        <f>IF($P33="SIM",Parametros_Modelo!$B$10,0)</f>
        <v/>
      </c>
      <c r="S33" s="11" t="inlineStr">
        <is>
          <t>SIM</t>
        </is>
      </c>
      <c r="T33" s="11">
        <f>IF($S33="SIM",Parametros_Modelo!$B$11,0)</f>
        <v/>
      </c>
      <c r="U33" s="11">
        <f>Parametros_Modelo!$B$5</f>
        <v/>
      </c>
      <c r="V33" s="11">
        <f>Parametros_Modelo!$B$6</f>
        <v/>
      </c>
      <c r="W33" s="6" t="inlineStr">
        <is>
          <t>Sintético/Derivado_de_Custo_Invest para expansão, granelização e penalidades</t>
        </is>
      </c>
      <c r="X33" s="6" t="inlineStr">
        <is>
          <t>Colunas adicionadas para separar parâmetros do modelo matemático dos dados originais do CDA.</t>
        </is>
      </c>
      <c r="Y33" s="6" t="inlineStr">
        <is>
          <t>Opcional agora; necessária se ativar expansão, granelização ou custos candidatos explícitos.</t>
        </is>
      </c>
    </row>
    <row r="34">
      <c r="A34" s="6" t="inlineStr">
        <is>
          <t>47.0287.0017-8</t>
        </is>
      </c>
      <c r="B34" s="6" t="inlineStr">
        <is>
          <t>Existente</t>
        </is>
      </c>
      <c r="C34" s="6" t="inlineStr">
        <is>
          <t>Colatina</t>
        </is>
      </c>
      <c r="D34" s="6" t="inlineStr">
        <is>
          <t>ES</t>
        </is>
      </c>
      <c r="E34" s="6" t="n">
        <v>-19.517929</v>
      </c>
      <c r="F34" s="6" t="n">
        <v>-40.610616</v>
      </c>
      <c r="G34" s="6" t="inlineStr">
        <is>
          <t>COMPANHIA NACIONAL DE ABASTECIMENTO</t>
        </is>
      </c>
      <c r="H34" s="6" t="inlineStr">
        <is>
          <t>Convencional</t>
        </is>
      </c>
      <c r="I34" s="11" t="n">
        <v>30860</v>
      </c>
      <c r="J34" s="11" t="n">
        <v>0</v>
      </c>
      <c r="K34" s="11" t="n">
        <v>0</v>
      </c>
      <c r="L34" s="11" t="n">
        <v>0</v>
      </c>
      <c r="M34" s="11" t="n">
        <v>0</v>
      </c>
      <c r="N34" s="11" t="n">
        <v>0</v>
      </c>
      <c r="O34" s="11">
        <f>IF($B34="Candidato",IF($L34&gt;0,$M34/$L34,0),0)</f>
        <v/>
      </c>
      <c r="P34" s="11" t="inlineStr">
        <is>
          <t>SIM</t>
        </is>
      </c>
      <c r="Q34" s="11">
        <f>IF($P34="SIM",$I34*Parametros_Modelo!$B$9,0)</f>
        <v/>
      </c>
      <c r="R34" s="11">
        <f>IF($P34="SIM",Parametros_Modelo!$B$10,0)</f>
        <v/>
      </c>
      <c r="S34" s="11" t="inlineStr">
        <is>
          <t>SIM</t>
        </is>
      </c>
      <c r="T34" s="11">
        <f>IF($S34="SIM",Parametros_Modelo!$B$11,0)</f>
        <v/>
      </c>
      <c r="U34" s="11">
        <f>Parametros_Modelo!$B$5</f>
        <v/>
      </c>
      <c r="V34" s="11">
        <f>Parametros_Modelo!$B$6</f>
        <v/>
      </c>
      <c r="W34" s="6" t="inlineStr">
        <is>
          <t>Sintético/Derivado_de_Custo_Invest para expansão, granelização e penalidades</t>
        </is>
      </c>
      <c r="X34" s="6" t="inlineStr">
        <is>
          <t>Colunas adicionadas para separar parâmetros do modelo matemático dos dados originais do CDA.</t>
        </is>
      </c>
      <c r="Y34" s="6" t="inlineStr">
        <is>
          <t>Opcional agora; necessária se ativar expansão, granelização ou custos candidatos explícitos.</t>
        </is>
      </c>
    </row>
    <row r="35">
      <c r="A35" s="6" t="inlineStr">
        <is>
          <t>48.0287.0279-9</t>
        </is>
      </c>
      <c r="B35" s="6" t="inlineStr">
        <is>
          <t>Existente</t>
        </is>
      </c>
      <c r="C35" s="6" t="inlineStr">
        <is>
          <t>Goiânia</t>
        </is>
      </c>
      <c r="D35" s="6" t="inlineStr">
        <is>
          <t>GO</t>
        </is>
      </c>
      <c r="E35" s="6" t="n">
        <v>-16.64659</v>
      </c>
      <c r="F35" s="6" t="n">
        <v>-49.24028</v>
      </c>
      <c r="G35" s="6" t="inlineStr">
        <is>
          <t>COMPANHIA NACIONAL DE ABASTECIMENTO</t>
        </is>
      </c>
      <c r="H35" s="6" t="inlineStr">
        <is>
          <t>Convencional</t>
        </is>
      </c>
      <c r="I35" s="11" t="n">
        <v>6700</v>
      </c>
      <c r="J35" s="11" t="n">
        <v>10</v>
      </c>
      <c r="K35" s="11" t="n">
        <v>10</v>
      </c>
      <c r="L35" s="11" t="n">
        <v>0</v>
      </c>
      <c r="M35" s="11" t="n">
        <v>0</v>
      </c>
      <c r="N35" s="11" t="n">
        <v>0</v>
      </c>
      <c r="O35" s="11">
        <f>IF($B35="Candidato",IF($L35&gt;0,$M35/$L35,0),0)</f>
        <v/>
      </c>
      <c r="P35" s="11" t="inlineStr">
        <is>
          <t>SIM</t>
        </is>
      </c>
      <c r="Q35" s="11">
        <f>IF($P35="SIM",$I35*Parametros_Modelo!$B$9,0)</f>
        <v/>
      </c>
      <c r="R35" s="11">
        <f>IF($P35="SIM",Parametros_Modelo!$B$10,0)</f>
        <v/>
      </c>
      <c r="S35" s="11" t="inlineStr">
        <is>
          <t>SIM</t>
        </is>
      </c>
      <c r="T35" s="11">
        <f>IF($S35="SIM",Parametros_Modelo!$B$11,0)</f>
        <v/>
      </c>
      <c r="U35" s="11">
        <f>Parametros_Modelo!$B$5</f>
        <v/>
      </c>
      <c r="V35" s="11">
        <f>Parametros_Modelo!$B$6</f>
        <v/>
      </c>
      <c r="W35" s="6" t="inlineStr">
        <is>
          <t>Sintético/Derivado_de_Custo_Invest para expansão, granelização e penalidades</t>
        </is>
      </c>
      <c r="X35" s="6" t="inlineStr">
        <is>
          <t>Colunas adicionadas para separar parâmetros do modelo matemático dos dados originais do CDA.</t>
        </is>
      </c>
      <c r="Y35" s="6" t="inlineStr">
        <is>
          <t>Opcional agora; necessária se ativar expansão, granelização ou custos candidatos explícitos.</t>
        </is>
      </c>
    </row>
    <row r="36">
      <c r="A36" s="6" t="inlineStr">
        <is>
          <t>48.0287.0056-7</t>
        </is>
      </c>
      <c r="B36" s="6" t="inlineStr">
        <is>
          <t>Existente</t>
        </is>
      </c>
      <c r="C36" s="6" t="inlineStr">
        <is>
          <t>Pontalina</t>
        </is>
      </c>
      <c r="D36" s="6" t="inlineStr">
        <is>
          <t>GO</t>
        </is>
      </c>
      <c r="E36" s="6" t="n">
        <v>-17.519292</v>
      </c>
      <c r="F36" s="6" t="n">
        <v>-49.456498</v>
      </c>
      <c r="G36" s="6" t="inlineStr">
        <is>
          <t>COMPANHIA NACIONAL DE ABASTECIMENTO</t>
        </is>
      </c>
      <c r="H36" s="6" t="inlineStr">
        <is>
          <t>Bateria de Silos</t>
        </is>
      </c>
      <c r="I36" s="11" t="n">
        <v>14000</v>
      </c>
      <c r="J36" s="11" t="n">
        <v>30</v>
      </c>
      <c r="K36" s="11" t="n">
        <v>40</v>
      </c>
      <c r="L36" s="11" t="n">
        <v>0</v>
      </c>
      <c r="M36" s="11" t="n">
        <v>0</v>
      </c>
      <c r="N36" s="11" t="n">
        <v>0</v>
      </c>
      <c r="O36" s="11">
        <f>IF($B36="Candidato",IF($L36&gt;0,$M36/$L36,0),0)</f>
        <v/>
      </c>
      <c r="P36" s="11" t="inlineStr">
        <is>
          <t>SIM</t>
        </is>
      </c>
      <c r="Q36" s="11">
        <f>IF($P36="SIM",$I36*Parametros_Modelo!$B$9,0)</f>
        <v/>
      </c>
      <c r="R36" s="11">
        <f>IF($P36="SIM",Parametros_Modelo!$B$10,0)</f>
        <v/>
      </c>
      <c r="S36" s="11" t="inlineStr">
        <is>
          <t>NAO</t>
        </is>
      </c>
      <c r="T36" s="11">
        <f>IF($S36="SIM",Parametros_Modelo!$B$11,0)</f>
        <v/>
      </c>
      <c r="U36" s="11">
        <f>Parametros_Modelo!$B$5</f>
        <v/>
      </c>
      <c r="V36" s="11">
        <f>Parametros_Modelo!$B$6</f>
        <v/>
      </c>
      <c r="W36" s="6" t="inlineStr">
        <is>
          <t>Sintético/Derivado_de_Custo_Invest para expansão, granelização e penalidades</t>
        </is>
      </c>
      <c r="X36" s="6" t="inlineStr">
        <is>
          <t>Colunas adicionadas para separar parâmetros do modelo matemático dos dados originais do CDA.</t>
        </is>
      </c>
      <c r="Y36" s="6" t="inlineStr">
        <is>
          <t>Opcional agora; necessária se ativar expansão, granelização ou custos candidatos explícitos.</t>
        </is>
      </c>
    </row>
    <row r="37">
      <c r="A37" s="6" t="inlineStr">
        <is>
          <t>48.0287.0064-8</t>
        </is>
      </c>
      <c r="B37" s="6" t="inlineStr">
        <is>
          <t>Existente</t>
        </is>
      </c>
      <c r="C37" s="6" t="inlineStr">
        <is>
          <t>Rio Verde</t>
        </is>
      </c>
      <c r="D37" s="6" t="inlineStr">
        <is>
          <t>GO</t>
        </is>
      </c>
      <c r="E37" s="6" t="n">
        <v>-17.787996</v>
      </c>
      <c r="F37" s="6" t="n">
        <v>-50.901354</v>
      </c>
      <c r="G37" s="6" t="inlineStr">
        <is>
          <t>COMPANHIA NACIONAL DE ABASTECIMENTO</t>
        </is>
      </c>
      <c r="H37" s="6" t="inlineStr">
        <is>
          <t>Bateria de Silos</t>
        </is>
      </c>
      <c r="I37" s="11" t="n">
        <v>41060</v>
      </c>
      <c r="J37" s="11" t="n">
        <v>16</v>
      </c>
      <c r="K37" s="11" t="n">
        <v>16</v>
      </c>
      <c r="L37" s="11" t="n">
        <v>0</v>
      </c>
      <c r="M37" s="11" t="n">
        <v>0</v>
      </c>
      <c r="N37" s="11" t="n">
        <v>0</v>
      </c>
      <c r="O37" s="11">
        <f>IF($B37="Candidato",IF($L37&gt;0,$M37/$L37,0),0)</f>
        <v/>
      </c>
      <c r="P37" s="11" t="inlineStr">
        <is>
          <t>SIM</t>
        </is>
      </c>
      <c r="Q37" s="11">
        <f>IF($P37="SIM",$I37*Parametros_Modelo!$B$9,0)</f>
        <v/>
      </c>
      <c r="R37" s="11">
        <f>IF($P37="SIM",Parametros_Modelo!$B$10,0)</f>
        <v/>
      </c>
      <c r="S37" s="11" t="inlineStr">
        <is>
          <t>NAO</t>
        </is>
      </c>
      <c r="T37" s="11">
        <f>IF($S37="SIM",Parametros_Modelo!$B$11,0)</f>
        <v/>
      </c>
      <c r="U37" s="11">
        <f>Parametros_Modelo!$B$5</f>
        <v/>
      </c>
      <c r="V37" s="11">
        <f>Parametros_Modelo!$B$6</f>
        <v/>
      </c>
      <c r="W37" s="6" t="inlineStr">
        <is>
          <t>Sintético/Derivado_de_Custo_Invest para expansão, granelização e penalidades</t>
        </is>
      </c>
      <c r="X37" s="6" t="inlineStr">
        <is>
          <t>Colunas adicionadas para separar parâmetros do modelo matemático dos dados originais do CDA.</t>
        </is>
      </c>
      <c r="Y37" s="6" t="inlineStr">
        <is>
          <t>Opcional agora; necessária se ativar expansão, granelização ou custos candidatos explícitos.</t>
        </is>
      </c>
    </row>
    <row r="38">
      <c r="A38" s="6" t="inlineStr">
        <is>
          <t>48.0287.0068-0</t>
        </is>
      </c>
      <c r="B38" s="6" t="inlineStr">
        <is>
          <t>Existente</t>
        </is>
      </c>
      <c r="C38" s="6" t="inlineStr">
        <is>
          <t>Rio Verde</t>
        </is>
      </c>
      <c r="D38" s="6" t="inlineStr">
        <is>
          <t>GO</t>
        </is>
      </c>
      <c r="E38" s="6" t="n">
        <v>-17.789011</v>
      </c>
      <c r="F38" s="6" t="n">
        <v>-50.89913</v>
      </c>
      <c r="G38" s="6" t="inlineStr">
        <is>
          <t>COMPANHIA NACIONAL DE ABASTECIMENTO</t>
        </is>
      </c>
      <c r="H38" s="6" t="inlineStr">
        <is>
          <t>Convencional</t>
        </is>
      </c>
      <c r="I38" s="11" t="n">
        <v>7750</v>
      </c>
      <c r="J38" s="11" t="n">
        <v>50</v>
      </c>
      <c r="K38" s="11" t="n">
        <v>50</v>
      </c>
      <c r="L38" s="11" t="n">
        <v>0</v>
      </c>
      <c r="M38" s="11" t="n">
        <v>0</v>
      </c>
      <c r="N38" s="11" t="n">
        <v>0</v>
      </c>
      <c r="O38" s="11">
        <f>IF($B38="Candidato",IF($L38&gt;0,$M38/$L38,0),0)</f>
        <v/>
      </c>
      <c r="P38" s="11" t="inlineStr">
        <is>
          <t>SIM</t>
        </is>
      </c>
      <c r="Q38" s="11">
        <f>IF($P38="SIM",$I38*Parametros_Modelo!$B$9,0)</f>
        <v/>
      </c>
      <c r="R38" s="11">
        <f>IF($P38="SIM",Parametros_Modelo!$B$10,0)</f>
        <v/>
      </c>
      <c r="S38" s="11" t="inlineStr">
        <is>
          <t>SIM</t>
        </is>
      </c>
      <c r="T38" s="11">
        <f>IF($S38="SIM",Parametros_Modelo!$B$11,0)</f>
        <v/>
      </c>
      <c r="U38" s="11">
        <f>Parametros_Modelo!$B$5</f>
        <v/>
      </c>
      <c r="V38" s="11">
        <f>Parametros_Modelo!$B$6</f>
        <v/>
      </c>
      <c r="W38" s="6" t="inlineStr">
        <is>
          <t>Sintético/Derivado_de_Custo_Invest para expansão, granelização e penalidades</t>
        </is>
      </c>
      <c r="X38" s="6" t="inlineStr">
        <is>
          <t>Colunas adicionadas para separar parâmetros do modelo matemático dos dados originais do CDA.</t>
        </is>
      </c>
      <c r="Y38" s="6" t="inlineStr">
        <is>
          <t>Opcional agora; necessária se ativar expansão, granelização ou custos candidatos explícitos.</t>
        </is>
      </c>
    </row>
    <row r="39">
      <c r="A39" s="6" t="inlineStr">
        <is>
          <t>48.0287.0245-4</t>
        </is>
      </c>
      <c r="B39" s="6" t="inlineStr">
        <is>
          <t>Existente</t>
        </is>
      </c>
      <c r="C39" s="6" t="inlineStr">
        <is>
          <t>São Luís de Montes Belos</t>
        </is>
      </c>
      <c r="D39" s="6" t="inlineStr">
        <is>
          <t>GO</t>
        </is>
      </c>
      <c r="E39" s="6" t="n">
        <v>-16.507781</v>
      </c>
      <c r="F39" s="6" t="n">
        <v>-50.36851</v>
      </c>
      <c r="G39" s="6" t="inlineStr">
        <is>
          <t>COMPANHIA NACIONAL DE ABASTECIMENTO</t>
        </is>
      </c>
      <c r="H39" s="6" t="inlineStr">
        <is>
          <t>Bateria de Silos</t>
        </is>
      </c>
      <c r="I39" s="11" t="n">
        <v>14000</v>
      </c>
      <c r="J39" s="11" t="n">
        <v>15</v>
      </c>
      <c r="K39" s="11" t="n">
        <v>15</v>
      </c>
      <c r="L39" s="11" t="n">
        <v>0</v>
      </c>
      <c r="M39" s="11" t="n">
        <v>0</v>
      </c>
      <c r="N39" s="11" t="n">
        <v>0</v>
      </c>
      <c r="O39" s="11">
        <f>IF($B39="Candidato",IF($L39&gt;0,$M39/$L39,0),0)</f>
        <v/>
      </c>
      <c r="P39" s="11" t="inlineStr">
        <is>
          <t>SIM</t>
        </is>
      </c>
      <c r="Q39" s="11">
        <f>IF($P39="SIM",$I39*Parametros_Modelo!$B$9,0)</f>
        <v/>
      </c>
      <c r="R39" s="11">
        <f>IF($P39="SIM",Parametros_Modelo!$B$10,0)</f>
        <v/>
      </c>
      <c r="S39" s="11" t="inlineStr">
        <is>
          <t>NAO</t>
        </is>
      </c>
      <c r="T39" s="11">
        <f>IF($S39="SIM",Parametros_Modelo!$B$11,0)</f>
        <v/>
      </c>
      <c r="U39" s="11">
        <f>Parametros_Modelo!$B$5</f>
        <v/>
      </c>
      <c r="V39" s="11">
        <f>Parametros_Modelo!$B$6</f>
        <v/>
      </c>
      <c r="W39" s="6" t="inlineStr">
        <is>
          <t>Sintético/Derivado_de_Custo_Invest para expansão, granelização e penalidades</t>
        </is>
      </c>
      <c r="X39" s="6" t="inlineStr">
        <is>
          <t>Colunas adicionadas para separar parâmetros do modelo matemático dos dados originais do CDA.</t>
        </is>
      </c>
      <c r="Y39" s="6" t="inlineStr">
        <is>
          <t>Opcional agora; necessária se ativar expansão, granelização ou custos candidatos explícitos.</t>
        </is>
      </c>
    </row>
    <row r="40">
      <c r="A40" s="6" t="inlineStr">
        <is>
          <t>49.0287.0212-6</t>
        </is>
      </c>
      <c r="B40" s="6" t="inlineStr">
        <is>
          <t>Existente</t>
        </is>
      </c>
      <c r="C40" s="6" t="inlineStr">
        <is>
          <t>Imperatriz</t>
        </is>
      </c>
      <c r="D40" s="6" t="inlineStr">
        <is>
          <t>MA</t>
        </is>
      </c>
      <c r="E40" s="6" t="n">
        <v>-5.58527</v>
      </c>
      <c r="F40" s="6" t="n">
        <v>-47.4378</v>
      </c>
      <c r="G40" s="6" t="inlineStr">
        <is>
          <t>COMPANHIA NACIONAL DE ABASTECIMENTO</t>
        </is>
      </c>
      <c r="H40" s="6" t="inlineStr">
        <is>
          <t>Graneleiro</t>
        </is>
      </c>
      <c r="I40" s="11" t="n">
        <v>8500</v>
      </c>
      <c r="J40" s="11" t="n">
        <v>120</v>
      </c>
      <c r="K40" s="11" t="n">
        <v>120</v>
      </c>
      <c r="L40" s="11" t="n">
        <v>0</v>
      </c>
      <c r="M40" s="11" t="n">
        <v>0</v>
      </c>
      <c r="N40" s="11" t="n">
        <v>0</v>
      </c>
      <c r="O40" s="11">
        <f>IF($B40="Candidato",IF($L40&gt;0,$M40/$L40,0),0)</f>
        <v/>
      </c>
      <c r="P40" s="11" t="inlineStr">
        <is>
          <t>SIM</t>
        </is>
      </c>
      <c r="Q40" s="11">
        <f>IF($P40="SIM",$I40*Parametros_Modelo!$B$9,0)</f>
        <v/>
      </c>
      <c r="R40" s="11">
        <f>IF($P40="SIM",Parametros_Modelo!$B$10,0)</f>
        <v/>
      </c>
      <c r="S40" s="11" t="inlineStr">
        <is>
          <t>NAO</t>
        </is>
      </c>
      <c r="T40" s="11">
        <f>IF($S40="SIM",Parametros_Modelo!$B$11,0)</f>
        <v/>
      </c>
      <c r="U40" s="11">
        <f>Parametros_Modelo!$B$5</f>
        <v/>
      </c>
      <c r="V40" s="11">
        <f>Parametros_Modelo!$B$6</f>
        <v/>
      </c>
      <c r="W40" s="6" t="inlineStr">
        <is>
          <t>Sintético/Derivado_de_Custo_Invest para expansão, granelização e penalidades</t>
        </is>
      </c>
      <c r="X40" s="6" t="inlineStr">
        <is>
          <t>Colunas adicionadas para separar parâmetros do modelo matemático dos dados originais do CDA.</t>
        </is>
      </c>
      <c r="Y40" s="6" t="inlineStr">
        <is>
          <t>Opcional agora; necessária se ativar expansão, granelização ou custos candidatos explícitos.</t>
        </is>
      </c>
    </row>
    <row r="41">
      <c r="A41" s="6" t="inlineStr">
        <is>
          <t>49.0287.0213-4</t>
        </is>
      </c>
      <c r="B41" s="6" t="inlineStr">
        <is>
          <t>Existente</t>
        </is>
      </c>
      <c r="C41" s="6" t="inlineStr">
        <is>
          <t>Imperatriz</t>
        </is>
      </c>
      <c r="D41" s="6" t="inlineStr">
        <is>
          <t>MA</t>
        </is>
      </c>
      <c r="E41" s="6" t="n">
        <v>-5.58527</v>
      </c>
      <c r="F41" s="6" t="n">
        <v>-47.4378</v>
      </c>
      <c r="G41" s="6" t="inlineStr">
        <is>
          <t>COMPANHIA NACIONAL DE ABASTECIMENTO</t>
        </is>
      </c>
      <c r="H41" s="6" t="inlineStr">
        <is>
          <t>Graneleiro</t>
        </is>
      </c>
      <c r="I41" s="11" t="n">
        <v>8500</v>
      </c>
      <c r="J41" s="11" t="n">
        <v>120</v>
      </c>
      <c r="K41" s="11" t="n">
        <v>120</v>
      </c>
      <c r="L41" s="11" t="n">
        <v>0</v>
      </c>
      <c r="M41" s="11" t="n">
        <v>0</v>
      </c>
      <c r="N41" s="11" t="n">
        <v>0</v>
      </c>
      <c r="O41" s="11">
        <f>IF($B41="Candidato",IF($L41&gt;0,$M41/$L41,0),0)</f>
        <v/>
      </c>
      <c r="P41" s="11" t="inlineStr">
        <is>
          <t>SIM</t>
        </is>
      </c>
      <c r="Q41" s="11">
        <f>IF($P41="SIM",$I41*Parametros_Modelo!$B$9,0)</f>
        <v/>
      </c>
      <c r="R41" s="11">
        <f>IF($P41="SIM",Parametros_Modelo!$B$10,0)</f>
        <v/>
      </c>
      <c r="S41" s="11" t="inlineStr">
        <is>
          <t>NAO</t>
        </is>
      </c>
      <c r="T41" s="11">
        <f>IF($S41="SIM",Parametros_Modelo!$B$11,0)</f>
        <v/>
      </c>
      <c r="U41" s="11">
        <f>Parametros_Modelo!$B$5</f>
        <v/>
      </c>
      <c r="V41" s="11">
        <f>Parametros_Modelo!$B$6</f>
        <v/>
      </c>
      <c r="W41" s="6" t="inlineStr">
        <is>
          <t>Sintético/Derivado_de_Custo_Invest para expansão, granelização e penalidades</t>
        </is>
      </c>
      <c r="X41" s="6" t="inlineStr">
        <is>
          <t>Colunas adicionadas para separar parâmetros do modelo matemático dos dados originais do CDA.</t>
        </is>
      </c>
      <c r="Y41" s="6" t="inlineStr">
        <is>
          <t>Opcional agora; necessária se ativar expansão, granelização ou custos candidatos explícitos.</t>
        </is>
      </c>
    </row>
    <row r="42">
      <c r="A42" s="6" t="inlineStr">
        <is>
          <t>49.0287.0214-2</t>
        </is>
      </c>
      <c r="B42" s="6" t="inlineStr">
        <is>
          <t>Existente</t>
        </is>
      </c>
      <c r="C42" s="6" t="inlineStr">
        <is>
          <t>Imperatriz</t>
        </is>
      </c>
      <c r="D42" s="6" t="inlineStr">
        <is>
          <t>MA</t>
        </is>
      </c>
      <c r="E42" s="6" t="n">
        <v>-5.58527</v>
      </c>
      <c r="F42" s="6" t="n">
        <v>-47.4378</v>
      </c>
      <c r="G42" s="6" t="inlineStr">
        <is>
          <t>COMPANHIA NACIONAL DE ABASTECIMENTO</t>
        </is>
      </c>
      <c r="H42" s="6" t="inlineStr">
        <is>
          <t>Graneleiro</t>
        </is>
      </c>
      <c r="I42" s="11" t="n">
        <v>8500</v>
      </c>
      <c r="J42" s="11" t="n">
        <v>120</v>
      </c>
      <c r="K42" s="11" t="n">
        <v>120</v>
      </c>
      <c r="L42" s="11" t="n">
        <v>0</v>
      </c>
      <c r="M42" s="11" t="n">
        <v>0</v>
      </c>
      <c r="N42" s="11" t="n">
        <v>0</v>
      </c>
      <c r="O42" s="11">
        <f>IF($B42="Candidato",IF($L42&gt;0,$M42/$L42,0),0)</f>
        <v/>
      </c>
      <c r="P42" s="11" t="inlineStr">
        <is>
          <t>SIM</t>
        </is>
      </c>
      <c r="Q42" s="11">
        <f>IF($P42="SIM",$I42*Parametros_Modelo!$B$9,0)</f>
        <v/>
      </c>
      <c r="R42" s="11">
        <f>IF($P42="SIM",Parametros_Modelo!$B$10,0)</f>
        <v/>
      </c>
      <c r="S42" s="11" t="inlineStr">
        <is>
          <t>NAO</t>
        </is>
      </c>
      <c r="T42" s="11">
        <f>IF($S42="SIM",Parametros_Modelo!$B$11,0)</f>
        <v/>
      </c>
      <c r="U42" s="11">
        <f>Parametros_Modelo!$B$5</f>
        <v/>
      </c>
      <c r="V42" s="11">
        <f>Parametros_Modelo!$B$6</f>
        <v/>
      </c>
      <c r="W42" s="6" t="inlineStr">
        <is>
          <t>Sintético/Derivado_de_Custo_Invest para expansão, granelização e penalidades</t>
        </is>
      </c>
      <c r="X42" s="6" t="inlineStr">
        <is>
          <t>Colunas adicionadas para separar parâmetros do modelo matemático dos dados originais do CDA.</t>
        </is>
      </c>
      <c r="Y42" s="6" t="inlineStr">
        <is>
          <t>Opcional agora; necessária se ativar expansão, granelização ou custos candidatos explícitos.</t>
        </is>
      </c>
    </row>
    <row r="43">
      <c r="A43" s="6" t="inlineStr">
        <is>
          <t>49.0287.0215-0</t>
        </is>
      </c>
      <c r="B43" s="6" t="inlineStr">
        <is>
          <t>Existente</t>
        </is>
      </c>
      <c r="C43" s="6" t="inlineStr">
        <is>
          <t>Imperatriz</t>
        </is>
      </c>
      <c r="D43" s="6" t="inlineStr">
        <is>
          <t>MA</t>
        </is>
      </c>
      <c r="E43" s="6" t="n">
        <v>-5.58527</v>
      </c>
      <c r="F43" s="6" t="n">
        <v>-47.4378</v>
      </c>
      <c r="G43" s="6" t="inlineStr">
        <is>
          <t>COMPANHIA NACIONAL DE ABASTECIMENTO</t>
        </is>
      </c>
      <c r="H43" s="6" t="inlineStr">
        <is>
          <t>Graneleiro</t>
        </is>
      </c>
      <c r="I43" s="11" t="n">
        <v>8500</v>
      </c>
      <c r="J43" s="11" t="n">
        <v>120</v>
      </c>
      <c r="K43" s="11" t="n">
        <v>120</v>
      </c>
      <c r="L43" s="11" t="n">
        <v>0</v>
      </c>
      <c r="M43" s="11" t="n">
        <v>0</v>
      </c>
      <c r="N43" s="11" t="n">
        <v>0</v>
      </c>
      <c r="O43" s="11">
        <f>IF($B43="Candidato",IF($L43&gt;0,$M43/$L43,0),0)</f>
        <v/>
      </c>
      <c r="P43" s="11" t="inlineStr">
        <is>
          <t>SIM</t>
        </is>
      </c>
      <c r="Q43" s="11">
        <f>IF($P43="SIM",$I43*Parametros_Modelo!$B$9,0)</f>
        <v/>
      </c>
      <c r="R43" s="11">
        <f>IF($P43="SIM",Parametros_Modelo!$B$10,0)</f>
        <v/>
      </c>
      <c r="S43" s="11" t="inlineStr">
        <is>
          <t>NAO</t>
        </is>
      </c>
      <c r="T43" s="11">
        <f>IF($S43="SIM",Parametros_Modelo!$B$11,0)</f>
        <v/>
      </c>
      <c r="U43" s="11">
        <f>Parametros_Modelo!$B$5</f>
        <v/>
      </c>
      <c r="V43" s="11">
        <f>Parametros_Modelo!$B$6</f>
        <v/>
      </c>
      <c r="W43" s="6" t="inlineStr">
        <is>
          <t>Sintético/Derivado_de_Custo_Invest para expansão, granelização e penalidades</t>
        </is>
      </c>
      <c r="X43" s="6" t="inlineStr">
        <is>
          <t>Colunas adicionadas para separar parâmetros do modelo matemático dos dados originais do CDA.</t>
        </is>
      </c>
      <c r="Y43" s="6" t="inlineStr">
        <is>
          <t>Opcional agora; necessária se ativar expansão, granelização ou custos candidatos explícitos.</t>
        </is>
      </c>
    </row>
    <row r="44">
      <c r="A44" s="6" t="inlineStr">
        <is>
          <t>49.0287.0221-5</t>
        </is>
      </c>
      <c r="B44" s="6" t="inlineStr">
        <is>
          <t>Existente</t>
        </is>
      </c>
      <c r="C44" s="6" t="inlineStr">
        <is>
          <t>Imperatriz</t>
        </is>
      </c>
      <c r="D44" s="6" t="inlineStr">
        <is>
          <t>MA</t>
        </is>
      </c>
      <c r="E44" s="6" t="n">
        <v>-5.58527</v>
      </c>
      <c r="F44" s="6" t="n">
        <v>-47.4378</v>
      </c>
      <c r="G44" s="6" t="inlineStr">
        <is>
          <t>COMPANHIA NACIONAL DE ABASTECIMENTO</t>
        </is>
      </c>
      <c r="H44" s="6" t="inlineStr">
        <is>
          <t>Convencional</t>
        </is>
      </c>
      <c r="I44" s="11" t="n">
        <v>7000</v>
      </c>
      <c r="J44" s="11" t="n">
        <v>120</v>
      </c>
      <c r="K44" s="11" t="n">
        <v>120</v>
      </c>
      <c r="L44" s="11" t="n">
        <v>0</v>
      </c>
      <c r="M44" s="11" t="n">
        <v>0</v>
      </c>
      <c r="N44" s="11" t="n">
        <v>0</v>
      </c>
      <c r="O44" s="11">
        <f>IF($B44="Candidato",IF($L44&gt;0,$M44/$L44,0),0)</f>
        <v/>
      </c>
      <c r="P44" s="11" t="inlineStr">
        <is>
          <t>SIM</t>
        </is>
      </c>
      <c r="Q44" s="11">
        <f>IF($P44="SIM",$I44*Parametros_Modelo!$B$9,0)</f>
        <v/>
      </c>
      <c r="R44" s="11">
        <f>IF($P44="SIM",Parametros_Modelo!$B$10,0)</f>
        <v/>
      </c>
      <c r="S44" s="11" t="inlineStr">
        <is>
          <t>SIM</t>
        </is>
      </c>
      <c r="T44" s="11">
        <f>IF($S44="SIM",Parametros_Modelo!$B$11,0)</f>
        <v/>
      </c>
      <c r="U44" s="11">
        <f>Parametros_Modelo!$B$5</f>
        <v/>
      </c>
      <c r="V44" s="11">
        <f>Parametros_Modelo!$B$6</f>
        <v/>
      </c>
      <c r="W44" s="6" t="inlineStr">
        <is>
          <t>Sintético/Derivado_de_Custo_Invest para expansão, granelização e penalidades</t>
        </is>
      </c>
      <c r="X44" s="6" t="inlineStr">
        <is>
          <t>Colunas adicionadas para separar parâmetros do modelo matemático dos dados originais do CDA.</t>
        </is>
      </c>
      <c r="Y44" s="6" t="inlineStr">
        <is>
          <t>Opcional agora; necessária se ativar expansão, granelização ou custos candidatos explícitos.</t>
        </is>
      </c>
    </row>
    <row r="45">
      <c r="A45" s="6" t="inlineStr">
        <is>
          <t>49.0287.0224-0</t>
        </is>
      </c>
      <c r="B45" s="6" t="inlineStr">
        <is>
          <t>Existente</t>
        </is>
      </c>
      <c r="C45" s="6" t="inlineStr">
        <is>
          <t>São Luís</t>
        </is>
      </c>
      <c r="D45" s="6" t="inlineStr">
        <is>
          <t>MA</t>
        </is>
      </c>
      <c r="E45" s="6" t="n">
        <v>-2.587674</v>
      </c>
      <c r="F45" s="6" t="n">
        <v>-44.245507</v>
      </c>
      <c r="G45" s="6" t="inlineStr">
        <is>
          <t>COMPANHIA NACIONAL DE ABASTECIMENTO</t>
        </is>
      </c>
      <c r="H45" s="6" t="inlineStr">
        <is>
          <t>Convencional</t>
        </is>
      </c>
      <c r="I45" s="11" t="n">
        <v>4500</v>
      </c>
      <c r="J45" s="11" t="n">
        <v>30</v>
      </c>
      <c r="K45" s="11" t="n">
        <v>30</v>
      </c>
      <c r="L45" s="11" t="n">
        <v>0</v>
      </c>
      <c r="M45" s="11" t="n">
        <v>0</v>
      </c>
      <c r="N45" s="11" t="n">
        <v>0</v>
      </c>
      <c r="O45" s="11">
        <f>IF($B45="Candidato",IF($L45&gt;0,$M45/$L45,0),0)</f>
        <v/>
      </c>
      <c r="P45" s="11" t="inlineStr">
        <is>
          <t>SIM</t>
        </is>
      </c>
      <c r="Q45" s="11">
        <f>IF($P45="SIM",$I45*Parametros_Modelo!$B$9,0)</f>
        <v/>
      </c>
      <c r="R45" s="11">
        <f>IF($P45="SIM",Parametros_Modelo!$B$10,0)</f>
        <v/>
      </c>
      <c r="S45" s="11" t="inlineStr">
        <is>
          <t>SIM</t>
        </is>
      </c>
      <c r="T45" s="11">
        <f>IF($S45="SIM",Parametros_Modelo!$B$11,0)</f>
        <v/>
      </c>
      <c r="U45" s="11">
        <f>Parametros_Modelo!$B$5</f>
        <v/>
      </c>
      <c r="V45" s="11">
        <f>Parametros_Modelo!$B$6</f>
        <v/>
      </c>
      <c r="W45" s="6" t="inlineStr">
        <is>
          <t>Sintético/Derivado_de_Custo_Invest para expansão, granelização e penalidades</t>
        </is>
      </c>
      <c r="X45" s="6" t="inlineStr">
        <is>
          <t>Colunas adicionadas para separar parâmetros do modelo matemático dos dados originais do CDA.</t>
        </is>
      </c>
      <c r="Y45" s="6" t="inlineStr">
        <is>
          <t>Opcional agora; necessária se ativar expansão, granelização ou custos candidatos explícitos.</t>
        </is>
      </c>
    </row>
    <row r="46">
      <c r="A46" s="6" t="inlineStr">
        <is>
          <t>54.0287.0021-9</t>
        </is>
      </c>
      <c r="B46" s="6" t="inlineStr">
        <is>
          <t>Existente</t>
        </is>
      </c>
      <c r="C46" s="6" t="inlineStr">
        <is>
          <t>Campos Altos</t>
        </is>
      </c>
      <c r="D46" s="6" t="inlineStr">
        <is>
          <t>MG</t>
        </is>
      </c>
      <c r="E46" s="6" t="n">
        <v>-19.695857</v>
      </c>
      <c r="F46" s="6" t="n">
        <v>-46.174678</v>
      </c>
      <c r="G46" s="6" t="inlineStr">
        <is>
          <t>COMPANHIA NACIONAL DE ABASTECIMENTO</t>
        </is>
      </c>
      <c r="H46" s="6" t="inlineStr">
        <is>
          <t>Convencional</t>
        </is>
      </c>
      <c r="I46" s="11" t="n">
        <v>10000</v>
      </c>
      <c r="J46" s="11" t="n">
        <v>10</v>
      </c>
      <c r="K46" s="11" t="n">
        <v>10</v>
      </c>
      <c r="L46" s="11" t="n">
        <v>0</v>
      </c>
      <c r="M46" s="11" t="n">
        <v>0</v>
      </c>
      <c r="N46" s="11" t="n">
        <v>0</v>
      </c>
      <c r="O46" s="11">
        <f>IF($B46="Candidato",IF($L46&gt;0,$M46/$L46,0),0)</f>
        <v/>
      </c>
      <c r="P46" s="11" t="inlineStr">
        <is>
          <t>SIM</t>
        </is>
      </c>
      <c r="Q46" s="11">
        <f>IF($P46="SIM",$I46*Parametros_Modelo!$B$9,0)</f>
        <v/>
      </c>
      <c r="R46" s="11">
        <f>IF($P46="SIM",Parametros_Modelo!$B$10,0)</f>
        <v/>
      </c>
      <c r="S46" s="11" t="inlineStr">
        <is>
          <t>SIM</t>
        </is>
      </c>
      <c r="T46" s="11">
        <f>IF($S46="SIM",Parametros_Modelo!$B$11,0)</f>
        <v/>
      </c>
      <c r="U46" s="11">
        <f>Parametros_Modelo!$B$5</f>
        <v/>
      </c>
      <c r="V46" s="11">
        <f>Parametros_Modelo!$B$6</f>
        <v/>
      </c>
      <c r="W46" s="6" t="inlineStr">
        <is>
          <t>Sintético/Derivado_de_Custo_Invest para expansão, granelização e penalidades</t>
        </is>
      </c>
      <c r="X46" s="6" t="inlineStr">
        <is>
          <t>Colunas adicionadas para separar parâmetros do modelo matemático dos dados originais do CDA.</t>
        </is>
      </c>
      <c r="Y46" s="6" t="inlineStr">
        <is>
          <t>Opcional agora; necessária se ativar expansão, granelização ou custos candidatos explícitos.</t>
        </is>
      </c>
    </row>
    <row r="47">
      <c r="A47" s="6" t="inlineStr">
        <is>
          <t>54.0287.0012-0</t>
        </is>
      </c>
      <c r="B47" s="6" t="inlineStr">
        <is>
          <t>Existente</t>
        </is>
      </c>
      <c r="C47" s="6" t="inlineStr">
        <is>
          <t>Montes Claros</t>
        </is>
      </c>
      <c r="D47" s="6" t="inlineStr">
        <is>
          <t>MG</t>
        </is>
      </c>
      <c r="E47" s="6" t="n">
        <v>-16.706488</v>
      </c>
      <c r="F47" s="6" t="n">
        <v>-43.849844</v>
      </c>
      <c r="G47" s="6" t="inlineStr">
        <is>
          <t>COMPANHIA NACIONAL DE ABASTECIMENTO</t>
        </is>
      </c>
      <c r="H47" s="6" t="inlineStr">
        <is>
          <t>Convencional</t>
        </is>
      </c>
      <c r="I47" s="11" t="n">
        <v>2200</v>
      </c>
      <c r="J47" s="11" t="n">
        <v>15</v>
      </c>
      <c r="K47" s="11" t="n">
        <v>15</v>
      </c>
      <c r="L47" s="11" t="n">
        <v>0</v>
      </c>
      <c r="M47" s="11" t="n">
        <v>0</v>
      </c>
      <c r="N47" s="11" t="n">
        <v>0</v>
      </c>
      <c r="O47" s="11">
        <f>IF($B47="Candidato",IF($L47&gt;0,$M47/$L47,0),0)</f>
        <v/>
      </c>
      <c r="P47" s="11" t="inlineStr">
        <is>
          <t>SIM</t>
        </is>
      </c>
      <c r="Q47" s="11">
        <f>IF($P47="SIM",$I47*Parametros_Modelo!$B$9,0)</f>
        <v/>
      </c>
      <c r="R47" s="11">
        <f>IF($P47="SIM",Parametros_Modelo!$B$10,0)</f>
        <v/>
      </c>
      <c r="S47" s="11" t="inlineStr">
        <is>
          <t>SIM</t>
        </is>
      </c>
      <c r="T47" s="11">
        <f>IF($S47="SIM",Parametros_Modelo!$B$11,0)</f>
        <v/>
      </c>
      <c r="U47" s="11">
        <f>Parametros_Modelo!$B$5</f>
        <v/>
      </c>
      <c r="V47" s="11">
        <f>Parametros_Modelo!$B$6</f>
        <v/>
      </c>
      <c r="W47" s="6" t="inlineStr">
        <is>
          <t>Sintético/Derivado_de_Custo_Invest para expansão, granelização e penalidades</t>
        </is>
      </c>
      <c r="X47" s="6" t="inlineStr">
        <is>
          <t>Colunas adicionadas para separar parâmetros do modelo matemático dos dados originais do CDA.</t>
        </is>
      </c>
      <c r="Y47" s="6" t="inlineStr">
        <is>
          <t>Opcional agora; necessária se ativar expansão, granelização ou custos candidatos explícitos.</t>
        </is>
      </c>
    </row>
    <row r="48">
      <c r="A48" s="6" t="inlineStr">
        <is>
          <t>54.0287.0024-3</t>
        </is>
      </c>
      <c r="B48" s="6" t="inlineStr">
        <is>
          <t>Existente</t>
        </is>
      </c>
      <c r="C48" s="6" t="inlineStr">
        <is>
          <t>Montes Claros</t>
        </is>
      </c>
      <c r="D48" s="6" t="inlineStr">
        <is>
          <t>MG</t>
        </is>
      </c>
      <c r="E48" s="6" t="n">
        <v>-16.706488</v>
      </c>
      <c r="F48" s="6" t="n">
        <v>-43.849844</v>
      </c>
      <c r="G48" s="6" t="inlineStr">
        <is>
          <t>COMPANHIA NACIONAL DE ABASTECIMENTO</t>
        </is>
      </c>
      <c r="H48" s="6" t="inlineStr">
        <is>
          <t>Convencional</t>
        </is>
      </c>
      <c r="I48" s="11" t="n">
        <v>3600</v>
      </c>
      <c r="J48" s="11" t="n">
        <v>15</v>
      </c>
      <c r="K48" s="11" t="n">
        <v>15</v>
      </c>
      <c r="L48" s="11" t="n">
        <v>0</v>
      </c>
      <c r="M48" s="11" t="n">
        <v>0</v>
      </c>
      <c r="N48" s="11" t="n">
        <v>0</v>
      </c>
      <c r="O48" s="11">
        <f>IF($B48="Candidato",IF($L48&gt;0,$M48/$L48,0),0)</f>
        <v/>
      </c>
      <c r="P48" s="11" t="inlineStr">
        <is>
          <t>SIM</t>
        </is>
      </c>
      <c r="Q48" s="11">
        <f>IF($P48="SIM",$I48*Parametros_Modelo!$B$9,0)</f>
        <v/>
      </c>
      <c r="R48" s="11">
        <f>IF($P48="SIM",Parametros_Modelo!$B$10,0)</f>
        <v/>
      </c>
      <c r="S48" s="11" t="inlineStr">
        <is>
          <t>SIM</t>
        </is>
      </c>
      <c r="T48" s="11">
        <f>IF($S48="SIM",Parametros_Modelo!$B$11,0)</f>
        <v/>
      </c>
      <c r="U48" s="11">
        <f>Parametros_Modelo!$B$5</f>
        <v/>
      </c>
      <c r="V48" s="11">
        <f>Parametros_Modelo!$B$6</f>
        <v/>
      </c>
      <c r="W48" s="6" t="inlineStr">
        <is>
          <t>Sintético/Derivado_de_Custo_Invest para expansão, granelização e penalidades</t>
        </is>
      </c>
      <c r="X48" s="6" t="inlineStr">
        <is>
          <t>Colunas adicionadas para separar parâmetros do modelo matemático dos dados originais do CDA.</t>
        </is>
      </c>
      <c r="Y48" s="6" t="inlineStr">
        <is>
          <t>Opcional agora; necessária se ativar expansão, granelização ou custos candidatos explícitos.</t>
        </is>
      </c>
    </row>
    <row r="49">
      <c r="A49" s="6" t="inlineStr">
        <is>
          <t>54.0287.0025-1</t>
        </is>
      </c>
      <c r="B49" s="6" t="inlineStr">
        <is>
          <t>Existente</t>
        </is>
      </c>
      <c r="C49" s="6" t="inlineStr">
        <is>
          <t>Montes Claros</t>
        </is>
      </c>
      <c r="D49" s="6" t="inlineStr">
        <is>
          <t>MG</t>
        </is>
      </c>
      <c r="E49" s="6" t="n">
        <v>-16.706488</v>
      </c>
      <c r="F49" s="6" t="n">
        <v>-43.849844</v>
      </c>
      <c r="G49" s="6" t="inlineStr">
        <is>
          <t>COMPANHIA NACIONAL DE ABASTECIMENTO</t>
        </is>
      </c>
      <c r="H49" s="6" t="inlineStr">
        <is>
          <t>Convencional</t>
        </is>
      </c>
      <c r="I49" s="11" t="n">
        <v>4100</v>
      </c>
      <c r="J49" s="11" t="n">
        <v>20</v>
      </c>
      <c r="K49" s="11" t="n">
        <v>20</v>
      </c>
      <c r="L49" s="11" t="n">
        <v>0</v>
      </c>
      <c r="M49" s="11" t="n">
        <v>0</v>
      </c>
      <c r="N49" s="11" t="n">
        <v>0</v>
      </c>
      <c r="O49" s="11">
        <f>IF($B49="Candidato",IF($L49&gt;0,$M49/$L49,0),0)</f>
        <v/>
      </c>
      <c r="P49" s="11" t="inlineStr">
        <is>
          <t>SIM</t>
        </is>
      </c>
      <c r="Q49" s="11">
        <f>IF($P49="SIM",$I49*Parametros_Modelo!$B$9,0)</f>
        <v/>
      </c>
      <c r="R49" s="11">
        <f>IF($P49="SIM",Parametros_Modelo!$B$10,0)</f>
        <v/>
      </c>
      <c r="S49" s="11" t="inlineStr">
        <is>
          <t>SIM</t>
        </is>
      </c>
      <c r="T49" s="11">
        <f>IF($S49="SIM",Parametros_Modelo!$B$11,0)</f>
        <v/>
      </c>
      <c r="U49" s="11">
        <f>Parametros_Modelo!$B$5</f>
        <v/>
      </c>
      <c r="V49" s="11">
        <f>Parametros_Modelo!$B$6</f>
        <v/>
      </c>
      <c r="W49" s="6" t="inlineStr">
        <is>
          <t>Sintético/Derivado_de_Custo_Invest para expansão, granelização e penalidades</t>
        </is>
      </c>
      <c r="X49" s="6" t="inlineStr">
        <is>
          <t>Colunas adicionadas para separar parâmetros do modelo matemático dos dados originais do CDA.</t>
        </is>
      </c>
      <c r="Y49" s="6" t="inlineStr">
        <is>
          <t>Opcional agora; necessária se ativar expansão, granelização ou custos candidatos explícitos.</t>
        </is>
      </c>
    </row>
    <row r="50">
      <c r="A50" s="6" t="inlineStr">
        <is>
          <t>54.0287.0022-7</t>
        </is>
      </c>
      <c r="B50" s="6" t="inlineStr">
        <is>
          <t>Existente</t>
        </is>
      </c>
      <c r="C50" s="6" t="inlineStr">
        <is>
          <t>Perdões</t>
        </is>
      </c>
      <c r="D50" s="6" t="inlineStr">
        <is>
          <t>MG</t>
        </is>
      </c>
      <c r="E50" s="6" t="n">
        <v>-21.092061</v>
      </c>
      <c r="F50" s="6" t="n">
        <v>-45.07269</v>
      </c>
      <c r="G50" s="6" t="inlineStr">
        <is>
          <t>COMPANHIA NACIONAL DE ABASTECIMENTO</t>
        </is>
      </c>
      <c r="H50" s="6" t="inlineStr">
        <is>
          <t>Convencional</t>
        </is>
      </c>
      <c r="I50" s="11" t="n">
        <v>10000</v>
      </c>
      <c r="J50" s="11" t="n">
        <v>30</v>
      </c>
      <c r="K50" s="11" t="n">
        <v>30</v>
      </c>
      <c r="L50" s="11" t="n">
        <v>0</v>
      </c>
      <c r="M50" s="11" t="n">
        <v>0</v>
      </c>
      <c r="N50" s="11" t="n">
        <v>0</v>
      </c>
      <c r="O50" s="11">
        <f>IF($B50="Candidato",IF($L50&gt;0,$M50/$L50,0),0)</f>
        <v/>
      </c>
      <c r="P50" s="11" t="inlineStr">
        <is>
          <t>SIM</t>
        </is>
      </c>
      <c r="Q50" s="11">
        <f>IF($P50="SIM",$I50*Parametros_Modelo!$B$9,0)</f>
        <v/>
      </c>
      <c r="R50" s="11">
        <f>IF($P50="SIM",Parametros_Modelo!$B$10,0)</f>
        <v/>
      </c>
      <c r="S50" s="11" t="inlineStr">
        <is>
          <t>SIM</t>
        </is>
      </c>
      <c r="T50" s="11">
        <f>IF($S50="SIM",Parametros_Modelo!$B$11,0)</f>
        <v/>
      </c>
      <c r="U50" s="11">
        <f>Parametros_Modelo!$B$5</f>
        <v/>
      </c>
      <c r="V50" s="11">
        <f>Parametros_Modelo!$B$6</f>
        <v/>
      </c>
      <c r="W50" s="6" t="inlineStr">
        <is>
          <t>Sintético/Derivado_de_Custo_Invest para expansão, granelização e penalidades</t>
        </is>
      </c>
      <c r="X50" s="6" t="inlineStr">
        <is>
          <t>Colunas adicionadas para separar parâmetros do modelo matemático dos dados originais do CDA.</t>
        </is>
      </c>
      <c r="Y50" s="6" t="inlineStr">
        <is>
          <t>Opcional agora; necessária se ativar expansão, granelização ou custos candidatos explícitos.</t>
        </is>
      </c>
    </row>
    <row r="51">
      <c r="A51" s="6" t="inlineStr">
        <is>
          <t>54.0287.0018-9</t>
        </is>
      </c>
      <c r="B51" s="6" t="inlineStr">
        <is>
          <t>Existente</t>
        </is>
      </c>
      <c r="C51" s="6" t="inlineStr">
        <is>
          <t>São Sebastião do Paraíso</t>
        </is>
      </c>
      <c r="D51" s="6" t="inlineStr">
        <is>
          <t>MG</t>
        </is>
      </c>
      <c r="E51" s="6" t="n">
        <v>-20.908504</v>
      </c>
      <c r="F51" s="6" t="n">
        <v>-46.997702</v>
      </c>
      <c r="G51" s="6" t="inlineStr">
        <is>
          <t>COMPANHIA NACIONAL DE ABASTECIMENTO</t>
        </is>
      </c>
      <c r="H51" s="6" t="inlineStr">
        <is>
          <t>Convencional</t>
        </is>
      </c>
      <c r="I51" s="11" t="n">
        <v>10300</v>
      </c>
      <c r="J51" s="11" t="n">
        <v>15</v>
      </c>
      <c r="K51" s="11" t="n">
        <v>15</v>
      </c>
      <c r="L51" s="11" t="n">
        <v>0</v>
      </c>
      <c r="M51" s="11" t="n">
        <v>0</v>
      </c>
      <c r="N51" s="11" t="n">
        <v>0</v>
      </c>
      <c r="O51" s="11">
        <f>IF($B51="Candidato",IF($L51&gt;0,$M51/$L51,0),0)</f>
        <v/>
      </c>
      <c r="P51" s="11" t="inlineStr">
        <is>
          <t>SIM</t>
        </is>
      </c>
      <c r="Q51" s="11">
        <f>IF($P51="SIM",$I51*Parametros_Modelo!$B$9,0)</f>
        <v/>
      </c>
      <c r="R51" s="11">
        <f>IF($P51="SIM",Parametros_Modelo!$B$10,0)</f>
        <v/>
      </c>
      <c r="S51" s="11" t="inlineStr">
        <is>
          <t>SIM</t>
        </is>
      </c>
      <c r="T51" s="11">
        <f>IF($S51="SIM",Parametros_Modelo!$B$11,0)</f>
        <v/>
      </c>
      <c r="U51" s="11">
        <f>Parametros_Modelo!$B$5</f>
        <v/>
      </c>
      <c r="V51" s="11">
        <f>Parametros_Modelo!$B$6</f>
        <v/>
      </c>
      <c r="W51" s="6" t="inlineStr">
        <is>
          <t>Sintético/Derivado_de_Custo_Invest para expansão, granelização e penalidades</t>
        </is>
      </c>
      <c r="X51" s="6" t="inlineStr">
        <is>
          <t>Colunas adicionadas para separar parâmetros do modelo matemático dos dados originais do CDA.</t>
        </is>
      </c>
      <c r="Y51" s="6" t="inlineStr">
        <is>
          <t>Opcional agora; necessária se ativar expansão, granelização ou custos candidatos explícitos.</t>
        </is>
      </c>
    </row>
    <row r="52">
      <c r="A52" s="6" t="inlineStr">
        <is>
          <t>54.0287.0006-5</t>
        </is>
      </c>
      <c r="B52" s="6" t="inlineStr">
        <is>
          <t>Existente</t>
        </is>
      </c>
      <c r="C52" s="6" t="inlineStr">
        <is>
          <t>Uberaba</t>
        </is>
      </c>
      <c r="D52" s="6" t="inlineStr">
        <is>
          <t>MG</t>
        </is>
      </c>
      <c r="E52" s="6" t="n">
        <v>-19.703423</v>
      </c>
      <c r="F52" s="6" t="n">
        <v>-47.981866</v>
      </c>
      <c r="G52" s="6" t="inlineStr">
        <is>
          <t>COMPANHIA NACIONAL DE ABASTECIMENTO</t>
        </is>
      </c>
      <c r="H52" s="6" t="inlineStr">
        <is>
          <t>Silo</t>
        </is>
      </c>
      <c r="I52" s="11" t="n">
        <v>25800</v>
      </c>
      <c r="J52" s="11" t="n">
        <v>180</v>
      </c>
      <c r="K52" s="11" t="n">
        <v>240</v>
      </c>
      <c r="L52" s="11" t="n">
        <v>0</v>
      </c>
      <c r="M52" s="11" t="n">
        <v>0</v>
      </c>
      <c r="N52" s="11" t="n">
        <v>0</v>
      </c>
      <c r="O52" s="11">
        <f>IF($B52="Candidato",IF($L52&gt;0,$M52/$L52,0),0)</f>
        <v/>
      </c>
      <c r="P52" s="11" t="inlineStr">
        <is>
          <t>SIM</t>
        </is>
      </c>
      <c r="Q52" s="11">
        <f>IF($P52="SIM",$I52*Parametros_Modelo!$B$9,0)</f>
        <v/>
      </c>
      <c r="R52" s="11">
        <f>IF($P52="SIM",Parametros_Modelo!$B$10,0)</f>
        <v/>
      </c>
      <c r="S52" s="11" t="inlineStr">
        <is>
          <t>NAO</t>
        </is>
      </c>
      <c r="T52" s="11">
        <f>IF($S52="SIM",Parametros_Modelo!$B$11,0)</f>
        <v/>
      </c>
      <c r="U52" s="11">
        <f>Parametros_Modelo!$B$5</f>
        <v/>
      </c>
      <c r="V52" s="11">
        <f>Parametros_Modelo!$B$6</f>
        <v/>
      </c>
      <c r="W52" s="6" t="inlineStr">
        <is>
          <t>Sintético/Derivado_de_Custo_Invest para expansão, granelização e penalidades</t>
        </is>
      </c>
      <c r="X52" s="6" t="inlineStr">
        <is>
          <t>Colunas adicionadas para separar parâmetros do modelo matemático dos dados originais do CDA.</t>
        </is>
      </c>
      <c r="Y52" s="6" t="inlineStr">
        <is>
          <t>Opcional agora; necessária se ativar expansão, granelização ou custos candidatos explícitos.</t>
        </is>
      </c>
    </row>
    <row r="53">
      <c r="A53" s="6" t="inlineStr">
        <is>
          <t>54.0287.0001-4</t>
        </is>
      </c>
      <c r="B53" s="6" t="inlineStr">
        <is>
          <t>Existente</t>
        </is>
      </c>
      <c r="C53" s="6" t="inlineStr">
        <is>
          <t>Uberlândia</t>
        </is>
      </c>
      <c r="D53" s="6" t="inlineStr">
        <is>
          <t>MG</t>
        </is>
      </c>
      <c r="E53" s="6" t="n">
        <v>-18.844092</v>
      </c>
      <c r="F53" s="6" t="n">
        <v>-48.293121</v>
      </c>
      <c r="G53" s="6" t="inlineStr">
        <is>
          <t>COMPANHIA NACIONAL DE ABASTECIMENTO</t>
        </is>
      </c>
      <c r="H53" s="6" t="inlineStr">
        <is>
          <t>Convencional</t>
        </is>
      </c>
      <c r="I53" s="11" t="n">
        <v>6000</v>
      </c>
      <c r="J53" s="11" t="n">
        <v>30</v>
      </c>
      <c r="K53" s="11" t="n">
        <v>30</v>
      </c>
      <c r="L53" s="11" t="n">
        <v>0</v>
      </c>
      <c r="M53" s="11" t="n">
        <v>0</v>
      </c>
      <c r="N53" s="11" t="n">
        <v>0</v>
      </c>
      <c r="O53" s="11">
        <f>IF($B53="Candidato",IF($L53&gt;0,$M53/$L53,0),0)</f>
        <v/>
      </c>
      <c r="P53" s="11" t="inlineStr">
        <is>
          <t>SIM</t>
        </is>
      </c>
      <c r="Q53" s="11">
        <f>IF($P53="SIM",$I53*Parametros_Modelo!$B$9,0)</f>
        <v/>
      </c>
      <c r="R53" s="11">
        <f>IF($P53="SIM",Parametros_Modelo!$B$10,0)</f>
        <v/>
      </c>
      <c r="S53" s="11" t="inlineStr">
        <is>
          <t>SIM</t>
        </is>
      </c>
      <c r="T53" s="11">
        <f>IF($S53="SIM",Parametros_Modelo!$B$11,0)</f>
        <v/>
      </c>
      <c r="U53" s="11">
        <f>Parametros_Modelo!$B$5</f>
        <v/>
      </c>
      <c r="V53" s="11">
        <f>Parametros_Modelo!$B$6</f>
        <v/>
      </c>
      <c r="W53" s="6" t="inlineStr">
        <is>
          <t>Sintético/Derivado_de_Custo_Invest para expansão, granelização e penalidades</t>
        </is>
      </c>
      <c r="X53" s="6" t="inlineStr">
        <is>
          <t>Colunas adicionadas para separar parâmetros do modelo matemático dos dados originais do CDA.</t>
        </is>
      </c>
      <c r="Y53" s="6" t="inlineStr">
        <is>
          <t>Opcional agora; necessária se ativar expansão, granelização ou custos candidatos explícitos.</t>
        </is>
      </c>
    </row>
    <row r="54">
      <c r="A54" s="6" t="inlineStr">
        <is>
          <t>54.0287.0002-2</t>
        </is>
      </c>
      <c r="B54" s="6" t="inlineStr">
        <is>
          <t>Existente</t>
        </is>
      </c>
      <c r="C54" s="6" t="inlineStr">
        <is>
          <t>Uberlândia</t>
        </is>
      </c>
      <c r="D54" s="6" t="inlineStr">
        <is>
          <t>MG</t>
        </is>
      </c>
      <c r="E54" s="6" t="n">
        <v>-18.844092</v>
      </c>
      <c r="F54" s="6" t="n">
        <v>-48.293121</v>
      </c>
      <c r="G54" s="6" t="inlineStr">
        <is>
          <t>COMPANHIA NACIONAL DE ABASTECIMENTO</t>
        </is>
      </c>
      <c r="H54" s="6" t="inlineStr">
        <is>
          <t>Graneleiro</t>
        </is>
      </c>
      <c r="I54" s="11" t="n">
        <v>18000</v>
      </c>
      <c r="J54" s="11" t="n">
        <v>90</v>
      </c>
      <c r="K54" s="11" t="n">
        <v>210</v>
      </c>
      <c r="L54" s="11" t="n">
        <v>0</v>
      </c>
      <c r="M54" s="11" t="n">
        <v>0</v>
      </c>
      <c r="N54" s="11" t="n">
        <v>0</v>
      </c>
      <c r="O54" s="11">
        <f>IF($B54="Candidato",IF($L54&gt;0,$M54/$L54,0),0)</f>
        <v/>
      </c>
      <c r="P54" s="11" t="inlineStr">
        <is>
          <t>SIM</t>
        </is>
      </c>
      <c r="Q54" s="11">
        <f>IF($P54="SIM",$I54*Parametros_Modelo!$B$9,0)</f>
        <v/>
      </c>
      <c r="R54" s="11">
        <f>IF($P54="SIM",Parametros_Modelo!$B$10,0)</f>
        <v/>
      </c>
      <c r="S54" s="11" t="inlineStr">
        <is>
          <t>NAO</t>
        </is>
      </c>
      <c r="T54" s="11">
        <f>IF($S54="SIM",Parametros_Modelo!$B$11,0)</f>
        <v/>
      </c>
      <c r="U54" s="11">
        <f>Parametros_Modelo!$B$5</f>
        <v/>
      </c>
      <c r="V54" s="11">
        <f>Parametros_Modelo!$B$6</f>
        <v/>
      </c>
      <c r="W54" s="6" t="inlineStr">
        <is>
          <t>Sintético/Derivado_de_Custo_Invest para expansão, granelização e penalidades</t>
        </is>
      </c>
      <c r="X54" s="6" t="inlineStr">
        <is>
          <t>Colunas adicionadas para separar parâmetros do modelo matemático dos dados originais do CDA.</t>
        </is>
      </c>
      <c r="Y54" s="6" t="inlineStr">
        <is>
          <t>Opcional agora; necessária se ativar expansão, granelização ou custos candidatos explícitos.</t>
        </is>
      </c>
    </row>
    <row r="55">
      <c r="A55" s="6" t="inlineStr">
        <is>
          <t>54.0287.0003-0</t>
        </is>
      </c>
      <c r="B55" s="6" t="inlineStr">
        <is>
          <t>Existente</t>
        </is>
      </c>
      <c r="C55" s="6" t="inlineStr">
        <is>
          <t>Uberlândia</t>
        </is>
      </c>
      <c r="D55" s="6" t="inlineStr">
        <is>
          <t>MG</t>
        </is>
      </c>
      <c r="E55" s="6" t="n">
        <v>-18.844092</v>
      </c>
      <c r="F55" s="6" t="n">
        <v>-48.293121</v>
      </c>
      <c r="G55" s="6" t="inlineStr">
        <is>
          <t>COMPANHIA NACIONAL DE ABASTECIMENTO</t>
        </is>
      </c>
      <c r="H55" s="6" t="inlineStr">
        <is>
          <t>Convencional</t>
        </is>
      </c>
      <c r="I55" s="11" t="n">
        <v>12000</v>
      </c>
      <c r="J55" s="11" t="n">
        <v>30</v>
      </c>
      <c r="K55" s="11" t="n">
        <v>30</v>
      </c>
      <c r="L55" s="11" t="n">
        <v>0</v>
      </c>
      <c r="M55" s="11" t="n">
        <v>0</v>
      </c>
      <c r="N55" s="11" t="n">
        <v>0</v>
      </c>
      <c r="O55" s="11">
        <f>IF($B55="Candidato",IF($L55&gt;0,$M55/$L55,0),0)</f>
        <v/>
      </c>
      <c r="P55" s="11" t="inlineStr">
        <is>
          <t>SIM</t>
        </is>
      </c>
      <c r="Q55" s="11">
        <f>IF($P55="SIM",$I55*Parametros_Modelo!$B$9,0)</f>
        <v/>
      </c>
      <c r="R55" s="11">
        <f>IF($P55="SIM",Parametros_Modelo!$B$10,0)</f>
        <v/>
      </c>
      <c r="S55" s="11" t="inlineStr">
        <is>
          <t>SIM</t>
        </is>
      </c>
      <c r="T55" s="11">
        <f>IF($S55="SIM",Parametros_Modelo!$B$11,0)</f>
        <v/>
      </c>
      <c r="U55" s="11">
        <f>Parametros_Modelo!$B$5</f>
        <v/>
      </c>
      <c r="V55" s="11">
        <f>Parametros_Modelo!$B$6</f>
        <v/>
      </c>
      <c r="W55" s="6" t="inlineStr">
        <is>
          <t>Sintético/Derivado_de_Custo_Invest para expansão, granelização e penalidades</t>
        </is>
      </c>
      <c r="X55" s="6" t="inlineStr">
        <is>
          <t>Colunas adicionadas para separar parâmetros do modelo matemático dos dados originais do CDA.</t>
        </is>
      </c>
      <c r="Y55" s="6" t="inlineStr">
        <is>
          <t>Opcional agora; necessária se ativar expansão, granelização ou custos candidatos explícitos.</t>
        </is>
      </c>
    </row>
    <row r="56">
      <c r="A56" s="6" t="inlineStr">
        <is>
          <t>54.0287.0004-9</t>
        </is>
      </c>
      <c r="B56" s="6" t="inlineStr">
        <is>
          <t>Existente</t>
        </is>
      </c>
      <c r="C56" s="6" t="inlineStr">
        <is>
          <t>Uberlândia</t>
        </is>
      </c>
      <c r="D56" s="6" t="inlineStr">
        <is>
          <t>MG</t>
        </is>
      </c>
      <c r="E56" s="6" t="n">
        <v>-18.844092</v>
      </c>
      <c r="F56" s="6" t="n">
        <v>-48.293121</v>
      </c>
      <c r="G56" s="6" t="inlineStr">
        <is>
          <t>COMPANHIA NACIONAL DE ABASTECIMENTO</t>
        </is>
      </c>
      <c r="H56" s="6" t="inlineStr">
        <is>
          <t>Convencional</t>
        </is>
      </c>
      <c r="I56" s="11" t="n">
        <v>6000</v>
      </c>
      <c r="J56" s="11" t="n">
        <v>30</v>
      </c>
      <c r="K56" s="11" t="n">
        <v>30</v>
      </c>
      <c r="L56" s="11" t="n">
        <v>0</v>
      </c>
      <c r="M56" s="11" t="n">
        <v>0</v>
      </c>
      <c r="N56" s="11" t="n">
        <v>0</v>
      </c>
      <c r="O56" s="11">
        <f>IF($B56="Candidato",IF($L56&gt;0,$M56/$L56,0),0)</f>
        <v/>
      </c>
      <c r="P56" s="11" t="inlineStr">
        <is>
          <t>SIM</t>
        </is>
      </c>
      <c r="Q56" s="11">
        <f>IF($P56="SIM",$I56*Parametros_Modelo!$B$9,0)</f>
        <v/>
      </c>
      <c r="R56" s="11">
        <f>IF($P56="SIM",Parametros_Modelo!$B$10,0)</f>
        <v/>
      </c>
      <c r="S56" s="11" t="inlineStr">
        <is>
          <t>SIM</t>
        </is>
      </c>
      <c r="T56" s="11">
        <f>IF($S56="SIM",Parametros_Modelo!$B$11,0)</f>
        <v/>
      </c>
      <c r="U56" s="11">
        <f>Parametros_Modelo!$B$5</f>
        <v/>
      </c>
      <c r="V56" s="11">
        <f>Parametros_Modelo!$B$6</f>
        <v/>
      </c>
      <c r="W56" s="6" t="inlineStr">
        <is>
          <t>Sintético/Derivado_de_Custo_Invest para expansão, granelização e penalidades</t>
        </is>
      </c>
      <c r="X56" s="6" t="inlineStr">
        <is>
          <t>Colunas adicionadas para separar parâmetros do modelo matemático dos dados originais do CDA.</t>
        </is>
      </c>
      <c r="Y56" s="6" t="inlineStr">
        <is>
          <t>Opcional agora; necessária se ativar expansão, granelização ou custos candidatos explícitos.</t>
        </is>
      </c>
    </row>
    <row r="57">
      <c r="A57" s="6" t="inlineStr">
        <is>
          <t>54.0287.0005-7</t>
        </is>
      </c>
      <c r="B57" s="6" t="inlineStr">
        <is>
          <t>Existente</t>
        </is>
      </c>
      <c r="C57" s="6" t="inlineStr">
        <is>
          <t>Uberlândia</t>
        </is>
      </c>
      <c r="D57" s="6" t="inlineStr">
        <is>
          <t>MG</t>
        </is>
      </c>
      <c r="E57" s="6" t="n">
        <v>-18.844092</v>
      </c>
      <c r="F57" s="6" t="n">
        <v>-48.293121</v>
      </c>
      <c r="G57" s="6" t="inlineStr">
        <is>
          <t>COMPANHIA NACIONAL DE ABASTECIMENTO</t>
        </is>
      </c>
      <c r="H57" s="6" t="inlineStr">
        <is>
          <t>Silo</t>
        </is>
      </c>
      <c r="I57" s="11" t="n">
        <v>97800</v>
      </c>
      <c r="J57" s="11" t="n">
        <v>720</v>
      </c>
      <c r="K57" s="11" t="n">
        <v>480</v>
      </c>
      <c r="L57" s="11" t="n">
        <v>0</v>
      </c>
      <c r="M57" s="11" t="n">
        <v>0</v>
      </c>
      <c r="N57" s="11" t="n">
        <v>0</v>
      </c>
      <c r="O57" s="11">
        <f>IF($B57="Candidato",IF($L57&gt;0,$M57/$L57,0),0)</f>
        <v/>
      </c>
      <c r="P57" s="11" t="inlineStr">
        <is>
          <t>SIM</t>
        </is>
      </c>
      <c r="Q57" s="11">
        <f>IF($P57="SIM",$I57*Parametros_Modelo!$B$9,0)</f>
        <v/>
      </c>
      <c r="R57" s="11">
        <f>IF($P57="SIM",Parametros_Modelo!$B$10,0)</f>
        <v/>
      </c>
      <c r="S57" s="11" t="inlineStr">
        <is>
          <t>NAO</t>
        </is>
      </c>
      <c r="T57" s="11">
        <f>IF($S57="SIM",Parametros_Modelo!$B$11,0)</f>
        <v/>
      </c>
      <c r="U57" s="11">
        <f>Parametros_Modelo!$B$5</f>
        <v/>
      </c>
      <c r="V57" s="11">
        <f>Parametros_Modelo!$B$6</f>
        <v/>
      </c>
      <c r="W57" s="6" t="inlineStr">
        <is>
          <t>Sintético/Derivado_de_Custo_Invest para expansão, granelização e penalidades</t>
        </is>
      </c>
      <c r="X57" s="6" t="inlineStr">
        <is>
          <t>Colunas adicionadas para separar parâmetros do modelo matemático dos dados originais do CDA.</t>
        </is>
      </c>
      <c r="Y57" s="6" t="inlineStr">
        <is>
          <t>Opcional agora; necessária se ativar expansão, granelização ou custos candidatos explícitos.</t>
        </is>
      </c>
    </row>
    <row r="58">
      <c r="A58" s="6" t="inlineStr">
        <is>
          <t>54.0287.0038-3</t>
        </is>
      </c>
      <c r="B58" s="6" t="inlineStr">
        <is>
          <t>Existente</t>
        </is>
      </c>
      <c r="C58" s="6" t="inlineStr">
        <is>
          <t>Uberlândia</t>
        </is>
      </c>
      <c r="D58" s="6" t="inlineStr">
        <is>
          <t>MG</t>
        </is>
      </c>
      <c r="E58" s="6" t="n">
        <v>-18.844092</v>
      </c>
      <c r="F58" s="6" t="n">
        <v>-48.293121</v>
      </c>
      <c r="G58" s="6" t="inlineStr">
        <is>
          <t>COMPANHIA NACIONAL DE ABASTECIMENTO</t>
        </is>
      </c>
      <c r="H58" s="6" t="inlineStr">
        <is>
          <t>Graneleiro</t>
        </is>
      </c>
      <c r="I58" s="11" t="n">
        <v>100000</v>
      </c>
      <c r="J58" s="11" t="n">
        <v>400</v>
      </c>
      <c r="K58" s="11" t="n">
        <v>800</v>
      </c>
      <c r="L58" s="11" t="n">
        <v>0</v>
      </c>
      <c r="M58" s="11" t="n">
        <v>0</v>
      </c>
      <c r="N58" s="11" t="n">
        <v>0</v>
      </c>
      <c r="O58" s="11">
        <f>IF($B58="Candidato",IF($L58&gt;0,$M58/$L58,0),0)</f>
        <v/>
      </c>
      <c r="P58" s="11" t="inlineStr">
        <is>
          <t>SIM</t>
        </is>
      </c>
      <c r="Q58" s="11">
        <f>IF($P58="SIM",$I58*Parametros_Modelo!$B$9,0)</f>
        <v/>
      </c>
      <c r="R58" s="11">
        <f>IF($P58="SIM",Parametros_Modelo!$B$10,0)</f>
        <v/>
      </c>
      <c r="S58" s="11" t="inlineStr">
        <is>
          <t>NAO</t>
        </is>
      </c>
      <c r="T58" s="11">
        <f>IF($S58="SIM",Parametros_Modelo!$B$11,0)</f>
        <v/>
      </c>
      <c r="U58" s="11">
        <f>Parametros_Modelo!$B$5</f>
        <v/>
      </c>
      <c r="V58" s="11">
        <f>Parametros_Modelo!$B$6</f>
        <v/>
      </c>
      <c r="W58" s="6" t="inlineStr">
        <is>
          <t>Sintético/Derivado_de_Custo_Invest para expansão, granelização e penalidades</t>
        </is>
      </c>
      <c r="X58" s="6" t="inlineStr">
        <is>
          <t>Colunas adicionadas para separar parâmetros do modelo matemático dos dados originais do CDA.</t>
        </is>
      </c>
      <c r="Y58" s="6" t="inlineStr">
        <is>
          <t>Opcional agora; necessária se ativar expansão, granelização ou custos candidatos explícitos.</t>
        </is>
      </c>
    </row>
    <row r="59">
      <c r="A59" s="6" t="inlineStr">
        <is>
          <t>54.0287.0019-7</t>
        </is>
      </c>
      <c r="B59" s="6" t="inlineStr">
        <is>
          <t>Existente</t>
        </is>
      </c>
      <c r="C59" s="6" t="inlineStr">
        <is>
          <t>Varginha</t>
        </is>
      </c>
      <c r="D59" s="6" t="inlineStr">
        <is>
          <t>MG</t>
        </is>
      </c>
      <c r="E59" s="6" t="n">
        <v>-21.576321</v>
      </c>
      <c r="F59" s="6" t="n">
        <v>-45.431222</v>
      </c>
      <c r="G59" s="6" t="inlineStr">
        <is>
          <t>COMPANHIA NACIONAL DE ABASTECIMENTO</t>
        </is>
      </c>
      <c r="H59" s="6" t="inlineStr">
        <is>
          <t>Convencional</t>
        </is>
      </c>
      <c r="I59" s="11" t="n">
        <v>24600</v>
      </c>
      <c r="J59" s="11" t="n">
        <v>30</v>
      </c>
      <c r="K59" s="11" t="n">
        <v>30</v>
      </c>
      <c r="L59" s="11" t="n">
        <v>0</v>
      </c>
      <c r="M59" s="11" t="n">
        <v>0</v>
      </c>
      <c r="N59" s="11" t="n">
        <v>0</v>
      </c>
      <c r="O59" s="11">
        <f>IF($B59="Candidato",IF($L59&gt;0,$M59/$L59,0),0)</f>
        <v/>
      </c>
      <c r="P59" s="11" t="inlineStr">
        <is>
          <t>SIM</t>
        </is>
      </c>
      <c r="Q59" s="11">
        <f>IF($P59="SIM",$I59*Parametros_Modelo!$B$9,0)</f>
        <v/>
      </c>
      <c r="R59" s="11">
        <f>IF($P59="SIM",Parametros_Modelo!$B$10,0)</f>
        <v/>
      </c>
      <c r="S59" s="11" t="inlineStr">
        <is>
          <t>SIM</t>
        </is>
      </c>
      <c r="T59" s="11">
        <f>IF($S59="SIM",Parametros_Modelo!$B$11,0)</f>
        <v/>
      </c>
      <c r="U59" s="11">
        <f>Parametros_Modelo!$B$5</f>
        <v/>
      </c>
      <c r="V59" s="11">
        <f>Parametros_Modelo!$B$6</f>
        <v/>
      </c>
      <c r="W59" s="6" t="inlineStr">
        <is>
          <t>Sintético/Derivado_de_Custo_Invest para expansão, granelização e penalidades</t>
        </is>
      </c>
      <c r="X59" s="6" t="inlineStr">
        <is>
          <t>Colunas adicionadas para separar parâmetros do modelo matemático dos dados originais do CDA.</t>
        </is>
      </c>
      <c r="Y59" s="6" t="inlineStr">
        <is>
          <t>Opcional agora; necessária se ativar expansão, granelização ou custos candidatos explícitos.</t>
        </is>
      </c>
    </row>
    <row r="60">
      <c r="A60" s="6" t="inlineStr">
        <is>
          <t>55.0287.0010-1</t>
        </is>
      </c>
      <c r="B60" s="6" t="inlineStr">
        <is>
          <t>Existente</t>
        </is>
      </c>
      <c r="C60" s="6" t="inlineStr">
        <is>
          <t>Campo Grande</t>
        </is>
      </c>
      <c r="D60" s="6" t="inlineStr">
        <is>
          <t>MS</t>
        </is>
      </c>
      <c r="E60" s="6" t="n">
        <v>-20.494501</v>
      </c>
      <c r="F60" s="6" t="n">
        <v>-54.74</v>
      </c>
      <c r="G60" s="6" t="inlineStr">
        <is>
          <t>COMPANHIA NACIONAL DE ABASTECIMENTO</t>
        </is>
      </c>
      <c r="H60" s="6" t="inlineStr">
        <is>
          <t>Convencional</t>
        </is>
      </c>
      <c r="I60" s="11" t="n">
        <v>3500</v>
      </c>
      <c r="J60" s="11" t="n">
        <v>60</v>
      </c>
      <c r="K60" s="11" t="n">
        <v>60</v>
      </c>
      <c r="L60" s="11" t="n">
        <v>0</v>
      </c>
      <c r="M60" s="11" t="n">
        <v>0</v>
      </c>
      <c r="N60" s="11" t="n">
        <v>0</v>
      </c>
      <c r="O60" s="11">
        <f>IF($B60="Candidato",IF($L60&gt;0,$M60/$L60,0),0)</f>
        <v/>
      </c>
      <c r="P60" s="11" t="inlineStr">
        <is>
          <t>SIM</t>
        </is>
      </c>
      <c r="Q60" s="11">
        <f>IF($P60="SIM",$I60*Parametros_Modelo!$B$9,0)</f>
        <v/>
      </c>
      <c r="R60" s="11">
        <f>IF($P60="SIM",Parametros_Modelo!$B$10,0)</f>
        <v/>
      </c>
      <c r="S60" s="11" t="inlineStr">
        <is>
          <t>SIM</t>
        </is>
      </c>
      <c r="T60" s="11">
        <f>IF($S60="SIM",Parametros_Modelo!$B$11,0)</f>
        <v/>
      </c>
      <c r="U60" s="11">
        <f>Parametros_Modelo!$B$5</f>
        <v/>
      </c>
      <c r="V60" s="11">
        <f>Parametros_Modelo!$B$6</f>
        <v/>
      </c>
      <c r="W60" s="6" t="inlineStr">
        <is>
          <t>Sintético/Derivado_de_Custo_Invest para expansão, granelização e penalidades</t>
        </is>
      </c>
      <c r="X60" s="6" t="inlineStr">
        <is>
          <t>Colunas adicionadas para separar parâmetros do modelo matemático dos dados originais do CDA.</t>
        </is>
      </c>
      <c r="Y60" s="6" t="inlineStr">
        <is>
          <t>Opcional agora; necessária se ativar expansão, granelização ou custos candidatos explícitos.</t>
        </is>
      </c>
    </row>
    <row r="61">
      <c r="A61" s="6" t="inlineStr">
        <is>
          <t>55.0287.0011-0</t>
        </is>
      </c>
      <c r="B61" s="6" t="inlineStr">
        <is>
          <t>Existente</t>
        </is>
      </c>
      <c r="C61" s="6" t="inlineStr">
        <is>
          <t>Campo Grande</t>
        </is>
      </c>
      <c r="D61" s="6" t="inlineStr">
        <is>
          <t>MS</t>
        </is>
      </c>
      <c r="E61" s="6" t="n">
        <v>-20.494501</v>
      </c>
      <c r="F61" s="6" t="n">
        <v>-54.74</v>
      </c>
      <c r="G61" s="6" t="inlineStr">
        <is>
          <t>COMPANHIA NACIONAL DE ABASTECIMENTO</t>
        </is>
      </c>
      <c r="H61" s="6" t="inlineStr">
        <is>
          <t>Bateria de Silos</t>
        </is>
      </c>
      <c r="I61" s="11" t="n">
        <v>16000</v>
      </c>
      <c r="J61" s="11" t="n">
        <v>350</v>
      </c>
      <c r="K61" s="11" t="n">
        <v>350</v>
      </c>
      <c r="L61" s="11" t="n">
        <v>0</v>
      </c>
      <c r="M61" s="11" t="n">
        <v>0</v>
      </c>
      <c r="N61" s="11" t="n">
        <v>0</v>
      </c>
      <c r="O61" s="11">
        <f>IF($B61="Candidato",IF($L61&gt;0,$M61/$L61,0),0)</f>
        <v/>
      </c>
      <c r="P61" s="11" t="inlineStr">
        <is>
          <t>SIM</t>
        </is>
      </c>
      <c r="Q61" s="11">
        <f>IF($P61="SIM",$I61*Parametros_Modelo!$B$9,0)</f>
        <v/>
      </c>
      <c r="R61" s="11">
        <f>IF($P61="SIM",Parametros_Modelo!$B$10,0)</f>
        <v/>
      </c>
      <c r="S61" s="11" t="inlineStr">
        <is>
          <t>NAO</t>
        </is>
      </c>
      <c r="T61" s="11">
        <f>IF($S61="SIM",Parametros_Modelo!$B$11,0)</f>
        <v/>
      </c>
      <c r="U61" s="11">
        <f>Parametros_Modelo!$B$5</f>
        <v/>
      </c>
      <c r="V61" s="11">
        <f>Parametros_Modelo!$B$6</f>
        <v/>
      </c>
      <c r="W61" s="6" t="inlineStr">
        <is>
          <t>Sintético/Derivado_de_Custo_Invest para expansão, granelização e penalidades</t>
        </is>
      </c>
      <c r="X61" s="6" t="inlineStr">
        <is>
          <t>Colunas adicionadas para separar parâmetros do modelo matemático dos dados originais do CDA.</t>
        </is>
      </c>
      <c r="Y61" s="6" t="inlineStr">
        <is>
          <t>Opcional agora; necessária se ativar expansão, granelização ou custos candidatos explícitos.</t>
        </is>
      </c>
    </row>
    <row r="62">
      <c r="A62" s="6" t="inlineStr">
        <is>
          <t>55.0287.0040-3</t>
        </is>
      </c>
      <c r="B62" s="6" t="inlineStr">
        <is>
          <t>Existente</t>
        </is>
      </c>
      <c r="C62" s="6" t="inlineStr">
        <is>
          <t>Campo Grande</t>
        </is>
      </c>
      <c r="D62" s="6" t="inlineStr">
        <is>
          <t>MS</t>
        </is>
      </c>
      <c r="E62" s="6" t="n">
        <v>-20.494501</v>
      </c>
      <c r="F62" s="6" t="n">
        <v>-54.74</v>
      </c>
      <c r="G62" s="6" t="inlineStr">
        <is>
          <t>COMPANHIA NACIONAL DE ABASTECIMENTO</t>
        </is>
      </c>
      <c r="H62" s="6" t="inlineStr">
        <is>
          <t>Silo</t>
        </is>
      </c>
      <c r="I62" s="11" t="n">
        <v>25800</v>
      </c>
      <c r="J62" s="11" t="n">
        <v>350</v>
      </c>
      <c r="K62" s="11" t="n">
        <v>350</v>
      </c>
      <c r="L62" s="11" t="n">
        <v>0</v>
      </c>
      <c r="M62" s="11" t="n">
        <v>0</v>
      </c>
      <c r="N62" s="11" t="n">
        <v>0</v>
      </c>
      <c r="O62" s="11">
        <f>IF($B62="Candidato",IF($L62&gt;0,$M62/$L62,0),0)</f>
        <v/>
      </c>
      <c r="P62" s="11" t="inlineStr">
        <is>
          <t>SIM</t>
        </is>
      </c>
      <c r="Q62" s="11">
        <f>IF($P62="SIM",$I62*Parametros_Modelo!$B$9,0)</f>
        <v/>
      </c>
      <c r="R62" s="11">
        <f>IF($P62="SIM",Parametros_Modelo!$B$10,0)</f>
        <v/>
      </c>
      <c r="S62" s="11" t="inlineStr">
        <is>
          <t>NAO</t>
        </is>
      </c>
      <c r="T62" s="11">
        <f>IF($S62="SIM",Parametros_Modelo!$B$11,0)</f>
        <v/>
      </c>
      <c r="U62" s="11">
        <f>Parametros_Modelo!$B$5</f>
        <v/>
      </c>
      <c r="V62" s="11">
        <f>Parametros_Modelo!$B$6</f>
        <v/>
      </c>
      <c r="W62" s="6" t="inlineStr">
        <is>
          <t>Sintético/Derivado_de_Custo_Invest para expansão, granelização e penalidades</t>
        </is>
      </c>
      <c r="X62" s="6" t="inlineStr">
        <is>
          <t>Colunas adicionadas para separar parâmetros do modelo matemático dos dados originais do CDA.</t>
        </is>
      </c>
      <c r="Y62" s="6" t="inlineStr">
        <is>
          <t>Opcional agora; necessária se ativar expansão, granelização ou custos candidatos explícitos.</t>
        </is>
      </c>
    </row>
    <row r="63">
      <c r="A63" s="6" t="inlineStr">
        <is>
          <t>55.0287.0196-5</t>
        </is>
      </c>
      <c r="B63" s="6" t="inlineStr">
        <is>
          <t>Existente</t>
        </is>
      </c>
      <c r="C63" s="6" t="inlineStr">
        <is>
          <t>Campo Grande</t>
        </is>
      </c>
      <c r="D63" s="6" t="inlineStr">
        <is>
          <t>MS</t>
        </is>
      </c>
      <c r="E63" s="6" t="n">
        <v>-20.494501</v>
      </c>
      <c r="F63" s="6" t="n">
        <v>-54.74</v>
      </c>
      <c r="G63" s="6" t="inlineStr">
        <is>
          <t>COMPANHIA NACIONAL DE ABASTECIMENTO</t>
        </is>
      </c>
      <c r="H63" s="6" t="inlineStr">
        <is>
          <t>Convencional</t>
        </is>
      </c>
      <c r="I63" s="11" t="n">
        <v>2600</v>
      </c>
      <c r="J63" s="11" t="n">
        <v>60</v>
      </c>
      <c r="K63" s="11" t="n">
        <v>60</v>
      </c>
      <c r="L63" s="11" t="n">
        <v>0</v>
      </c>
      <c r="M63" s="11" t="n">
        <v>0</v>
      </c>
      <c r="N63" s="11" t="n">
        <v>0</v>
      </c>
      <c r="O63" s="11">
        <f>IF($B63="Candidato",IF($L63&gt;0,$M63/$L63,0),0)</f>
        <v/>
      </c>
      <c r="P63" s="11" t="inlineStr">
        <is>
          <t>SIM</t>
        </is>
      </c>
      <c r="Q63" s="11">
        <f>IF($P63="SIM",$I63*Parametros_Modelo!$B$9,0)</f>
        <v/>
      </c>
      <c r="R63" s="11">
        <f>IF($P63="SIM",Parametros_Modelo!$B$10,0)</f>
        <v/>
      </c>
      <c r="S63" s="11" t="inlineStr">
        <is>
          <t>SIM</t>
        </is>
      </c>
      <c r="T63" s="11">
        <f>IF($S63="SIM",Parametros_Modelo!$B$11,0)</f>
        <v/>
      </c>
      <c r="U63" s="11">
        <f>Parametros_Modelo!$B$5</f>
        <v/>
      </c>
      <c r="V63" s="11">
        <f>Parametros_Modelo!$B$6</f>
        <v/>
      </c>
      <c r="W63" s="6" t="inlineStr">
        <is>
          <t>Sintético/Derivado_de_Custo_Invest para expansão, granelização e penalidades</t>
        </is>
      </c>
      <c r="X63" s="6" t="inlineStr">
        <is>
          <t>Colunas adicionadas para separar parâmetros do modelo matemático dos dados originais do CDA.</t>
        </is>
      </c>
      <c r="Y63" s="6" t="inlineStr">
        <is>
          <t>Opcional agora; necessária se ativar expansão, granelização ou custos candidatos explícitos.</t>
        </is>
      </c>
    </row>
    <row r="64">
      <c r="A64" s="6" t="inlineStr">
        <is>
          <t>56.0287.0045-2</t>
        </is>
      </c>
      <c r="B64" s="6" t="inlineStr">
        <is>
          <t>Existente</t>
        </is>
      </c>
      <c r="C64" s="6" t="inlineStr">
        <is>
          <t>Rondonópolis</t>
        </is>
      </c>
      <c r="D64" s="6" t="inlineStr">
        <is>
          <t>MT</t>
        </is>
      </c>
      <c r="E64" s="6" t="n">
        <v>-16.501768</v>
      </c>
      <c r="F64" s="6" t="n">
        <v>-54.631977</v>
      </c>
      <c r="G64" s="6" t="inlineStr">
        <is>
          <t>COMPANHIA NACIONAL DE ABASTECIMENTO</t>
        </is>
      </c>
      <c r="H64" s="6" t="inlineStr">
        <is>
          <t>Bateria de Silos</t>
        </is>
      </c>
      <c r="I64" s="11" t="n">
        <v>10000</v>
      </c>
      <c r="J64" s="11" t="n">
        <v>80</v>
      </c>
      <c r="K64" s="11" t="n">
        <v>120</v>
      </c>
      <c r="L64" s="11" t="n">
        <v>0</v>
      </c>
      <c r="M64" s="11" t="n">
        <v>0</v>
      </c>
      <c r="N64" s="11" t="n">
        <v>0</v>
      </c>
      <c r="O64" s="11">
        <f>IF($B64="Candidato",IF($L64&gt;0,$M64/$L64,0),0)</f>
        <v/>
      </c>
      <c r="P64" s="11" t="inlineStr">
        <is>
          <t>SIM</t>
        </is>
      </c>
      <c r="Q64" s="11">
        <f>IF($P64="SIM",$I64*Parametros_Modelo!$B$9,0)</f>
        <v/>
      </c>
      <c r="R64" s="11">
        <f>IF($P64="SIM",Parametros_Modelo!$B$10,0)</f>
        <v/>
      </c>
      <c r="S64" s="11" t="inlineStr">
        <is>
          <t>NAO</t>
        </is>
      </c>
      <c r="T64" s="11">
        <f>IF($S64="SIM",Parametros_Modelo!$B$11,0)</f>
        <v/>
      </c>
      <c r="U64" s="11">
        <f>Parametros_Modelo!$B$5</f>
        <v/>
      </c>
      <c r="V64" s="11">
        <f>Parametros_Modelo!$B$6</f>
        <v/>
      </c>
      <c r="W64" s="6" t="inlineStr">
        <is>
          <t>Sintético/Derivado_de_Custo_Invest para expansão, granelização e penalidades</t>
        </is>
      </c>
      <c r="X64" s="6" t="inlineStr">
        <is>
          <t>Colunas adicionadas para separar parâmetros do modelo matemático dos dados originais do CDA.</t>
        </is>
      </c>
      <c r="Y64" s="6" t="inlineStr">
        <is>
          <t>Opcional agora; necessária se ativar expansão, granelização ou custos candidatos explícitos.</t>
        </is>
      </c>
    </row>
    <row r="65">
      <c r="A65" s="6" t="inlineStr">
        <is>
          <t>56.0287.0067-3</t>
        </is>
      </c>
      <c r="B65" s="6" t="inlineStr">
        <is>
          <t>Existente</t>
        </is>
      </c>
      <c r="C65" s="6" t="inlineStr">
        <is>
          <t>Rondonópolis</t>
        </is>
      </c>
      <c r="D65" s="6" t="inlineStr">
        <is>
          <t>MT</t>
        </is>
      </c>
      <c r="E65" s="6" t="n">
        <v>-16.501768</v>
      </c>
      <c r="F65" s="6" t="n">
        <v>-54.631977</v>
      </c>
      <c r="G65" s="6" t="inlineStr">
        <is>
          <t>COMPANHIA NACIONAL DE ABASTECIMENTO</t>
        </is>
      </c>
      <c r="H65" s="6" t="inlineStr">
        <is>
          <t>Convencional</t>
        </is>
      </c>
      <c r="I65" s="11" t="n">
        <v>2400</v>
      </c>
      <c r="J65" s="11" t="n">
        <v>80</v>
      </c>
      <c r="K65" s="11" t="n">
        <v>120</v>
      </c>
      <c r="L65" s="11" t="n">
        <v>0</v>
      </c>
      <c r="M65" s="11" t="n">
        <v>0</v>
      </c>
      <c r="N65" s="11" t="n">
        <v>0</v>
      </c>
      <c r="O65" s="11">
        <f>IF($B65="Candidato",IF($L65&gt;0,$M65/$L65,0),0)</f>
        <v/>
      </c>
      <c r="P65" s="11" t="inlineStr">
        <is>
          <t>SIM</t>
        </is>
      </c>
      <c r="Q65" s="11">
        <f>IF($P65="SIM",$I65*Parametros_Modelo!$B$9,0)</f>
        <v/>
      </c>
      <c r="R65" s="11">
        <f>IF($P65="SIM",Parametros_Modelo!$B$10,0)</f>
        <v/>
      </c>
      <c r="S65" s="11" t="inlineStr">
        <is>
          <t>SIM</t>
        </is>
      </c>
      <c r="T65" s="11">
        <f>IF($S65="SIM",Parametros_Modelo!$B$11,0)</f>
        <v/>
      </c>
      <c r="U65" s="11">
        <f>Parametros_Modelo!$B$5</f>
        <v/>
      </c>
      <c r="V65" s="11">
        <f>Parametros_Modelo!$B$6</f>
        <v/>
      </c>
      <c r="W65" s="6" t="inlineStr">
        <is>
          <t>Sintético/Derivado_de_Custo_Invest para expansão, granelização e penalidades</t>
        </is>
      </c>
      <c r="X65" s="6" t="inlineStr">
        <is>
          <t>Colunas adicionadas para separar parâmetros do modelo matemático dos dados originais do CDA.</t>
        </is>
      </c>
      <c r="Y65" s="6" t="inlineStr">
        <is>
          <t>Opcional agora; necessária se ativar expansão, granelização ou custos candidatos explícitos.</t>
        </is>
      </c>
    </row>
    <row r="66">
      <c r="A66" s="6" t="inlineStr">
        <is>
          <t>56.0287.0068-1</t>
        </is>
      </c>
      <c r="B66" s="6" t="inlineStr">
        <is>
          <t>Existente</t>
        </is>
      </c>
      <c r="C66" s="6" t="inlineStr">
        <is>
          <t>Rondonópolis</t>
        </is>
      </c>
      <c r="D66" s="6" t="inlineStr">
        <is>
          <t>MT</t>
        </is>
      </c>
      <c r="E66" s="6" t="n">
        <v>-16.501768</v>
      </c>
      <c r="F66" s="6" t="n">
        <v>-54.631977</v>
      </c>
      <c r="G66" s="6" t="inlineStr">
        <is>
          <t>COMPANHIA NACIONAL DE ABASTECIMENTO</t>
        </is>
      </c>
      <c r="H66" s="6" t="inlineStr">
        <is>
          <t>Convencional</t>
        </is>
      </c>
      <c r="I66" s="11" t="n">
        <v>2400</v>
      </c>
      <c r="J66" s="11" t="n">
        <v>80</v>
      </c>
      <c r="K66" s="11" t="n">
        <v>120</v>
      </c>
      <c r="L66" s="11" t="n">
        <v>0</v>
      </c>
      <c r="M66" s="11" t="n">
        <v>0</v>
      </c>
      <c r="N66" s="11" t="n">
        <v>0</v>
      </c>
      <c r="O66" s="11">
        <f>IF($B66="Candidato",IF($L66&gt;0,$M66/$L66,0),0)</f>
        <v/>
      </c>
      <c r="P66" s="11" t="inlineStr">
        <is>
          <t>SIM</t>
        </is>
      </c>
      <c r="Q66" s="11">
        <f>IF($P66="SIM",$I66*Parametros_Modelo!$B$9,0)</f>
        <v/>
      </c>
      <c r="R66" s="11">
        <f>IF($P66="SIM",Parametros_Modelo!$B$10,0)</f>
        <v/>
      </c>
      <c r="S66" s="11" t="inlineStr">
        <is>
          <t>SIM</t>
        </is>
      </c>
      <c r="T66" s="11">
        <f>IF($S66="SIM",Parametros_Modelo!$B$11,0)</f>
        <v/>
      </c>
      <c r="U66" s="11">
        <f>Parametros_Modelo!$B$5</f>
        <v/>
      </c>
      <c r="V66" s="11">
        <f>Parametros_Modelo!$B$6</f>
        <v/>
      </c>
      <c r="W66" s="6" t="inlineStr">
        <is>
          <t>Sintético/Derivado_de_Custo_Invest para expansão, granelização e penalidades</t>
        </is>
      </c>
      <c r="X66" s="6" t="inlineStr">
        <is>
          <t>Colunas adicionadas para separar parâmetros do modelo matemático dos dados originais do CDA.</t>
        </is>
      </c>
      <c r="Y66" s="6" t="inlineStr">
        <is>
          <t>Opcional agora; necessária se ativar expansão, granelização ou custos candidatos explícitos.</t>
        </is>
      </c>
    </row>
    <row r="67">
      <c r="A67" s="6" t="inlineStr">
        <is>
          <t>56.0287.0069-0</t>
        </is>
      </c>
      <c r="B67" s="6" t="inlineStr">
        <is>
          <t>Existente</t>
        </is>
      </c>
      <c r="C67" s="6" t="inlineStr">
        <is>
          <t>Rondonópolis</t>
        </is>
      </c>
      <c r="D67" s="6" t="inlineStr">
        <is>
          <t>MT</t>
        </is>
      </c>
      <c r="E67" s="6" t="n">
        <v>-16.501768</v>
      </c>
      <c r="F67" s="6" t="n">
        <v>-54.631977</v>
      </c>
      <c r="G67" s="6" t="inlineStr">
        <is>
          <t>COMPANHIA NACIONAL DE ABASTECIMENTO</t>
        </is>
      </c>
      <c r="H67" s="6" t="inlineStr">
        <is>
          <t>Convencional</t>
        </is>
      </c>
      <c r="I67" s="11" t="n">
        <v>2400</v>
      </c>
      <c r="J67" s="11" t="n">
        <v>80</v>
      </c>
      <c r="K67" s="11" t="n">
        <v>120</v>
      </c>
      <c r="L67" s="11" t="n">
        <v>0</v>
      </c>
      <c r="M67" s="11" t="n">
        <v>0</v>
      </c>
      <c r="N67" s="11" t="n">
        <v>0</v>
      </c>
      <c r="O67" s="11">
        <f>IF($B67="Candidato",IF($L67&gt;0,$M67/$L67,0),0)</f>
        <v/>
      </c>
      <c r="P67" s="11" t="inlineStr">
        <is>
          <t>SIM</t>
        </is>
      </c>
      <c r="Q67" s="11">
        <f>IF($P67="SIM",$I67*Parametros_Modelo!$B$9,0)</f>
        <v/>
      </c>
      <c r="R67" s="11">
        <f>IF($P67="SIM",Parametros_Modelo!$B$10,0)</f>
        <v/>
      </c>
      <c r="S67" s="11" t="inlineStr">
        <is>
          <t>SIM</t>
        </is>
      </c>
      <c r="T67" s="11">
        <f>IF($S67="SIM",Parametros_Modelo!$B$11,0)</f>
        <v/>
      </c>
      <c r="U67" s="11">
        <f>Parametros_Modelo!$B$5</f>
        <v/>
      </c>
      <c r="V67" s="11">
        <f>Parametros_Modelo!$B$6</f>
        <v/>
      </c>
      <c r="W67" s="6" t="inlineStr">
        <is>
          <t>Sintético/Derivado_de_Custo_Invest para expansão, granelização e penalidades</t>
        </is>
      </c>
      <c r="X67" s="6" t="inlineStr">
        <is>
          <t>Colunas adicionadas para separar parâmetros do modelo matemático dos dados originais do CDA.</t>
        </is>
      </c>
      <c r="Y67" s="6" t="inlineStr">
        <is>
          <t>Opcional agora; necessária se ativar expansão, granelização ou custos candidatos explícitos.</t>
        </is>
      </c>
    </row>
    <row r="68">
      <c r="A68" s="6" t="inlineStr">
        <is>
          <t>56.0287.0080-0</t>
        </is>
      </c>
      <c r="B68" s="6" t="inlineStr">
        <is>
          <t>Existente</t>
        </is>
      </c>
      <c r="C68" s="6" t="inlineStr">
        <is>
          <t>Rondonópolis</t>
        </is>
      </c>
      <c r="D68" s="6" t="inlineStr">
        <is>
          <t>MT</t>
        </is>
      </c>
      <c r="E68" s="6" t="n">
        <v>-16.501768</v>
      </c>
      <c r="F68" s="6" t="n">
        <v>-54.631977</v>
      </c>
      <c r="G68" s="6" t="inlineStr">
        <is>
          <t>COMPANHIA NACIONAL DE ABASTECIMENTO</t>
        </is>
      </c>
      <c r="H68" s="6" t="inlineStr">
        <is>
          <t>Graneleiro</t>
        </is>
      </c>
      <c r="I68" s="11" t="n">
        <v>13800</v>
      </c>
      <c r="J68" s="11" t="n">
        <v>80</v>
      </c>
      <c r="K68" s="11" t="n">
        <v>120</v>
      </c>
      <c r="L68" s="11" t="n">
        <v>0</v>
      </c>
      <c r="M68" s="11" t="n">
        <v>0</v>
      </c>
      <c r="N68" s="11" t="n">
        <v>0</v>
      </c>
      <c r="O68" s="11">
        <f>IF($B68="Candidato",IF($L68&gt;0,$M68/$L68,0),0)</f>
        <v/>
      </c>
      <c r="P68" s="11" t="inlineStr">
        <is>
          <t>SIM</t>
        </is>
      </c>
      <c r="Q68" s="11">
        <f>IF($P68="SIM",$I68*Parametros_Modelo!$B$9,0)</f>
        <v/>
      </c>
      <c r="R68" s="11">
        <f>IF($P68="SIM",Parametros_Modelo!$B$10,0)</f>
        <v/>
      </c>
      <c r="S68" s="11" t="inlineStr">
        <is>
          <t>NAO</t>
        </is>
      </c>
      <c r="T68" s="11">
        <f>IF($S68="SIM",Parametros_Modelo!$B$11,0)</f>
        <v/>
      </c>
      <c r="U68" s="11">
        <f>Parametros_Modelo!$B$5</f>
        <v/>
      </c>
      <c r="V68" s="11">
        <f>Parametros_Modelo!$B$6</f>
        <v/>
      </c>
      <c r="W68" s="6" t="inlineStr">
        <is>
          <t>Sintético/Derivado_de_Custo_Invest para expansão, granelização e penalidades</t>
        </is>
      </c>
      <c r="X68" s="6" t="inlineStr">
        <is>
          <t>Colunas adicionadas para separar parâmetros do modelo matemático dos dados originais do CDA.</t>
        </is>
      </c>
      <c r="Y68" s="6" t="inlineStr">
        <is>
          <t>Opcional agora; necessária se ativar expansão, granelização ou custos candidatos explícitos.</t>
        </is>
      </c>
    </row>
    <row r="69">
      <c r="A69" s="6" t="inlineStr">
        <is>
          <t>56.0287.0082-7</t>
        </is>
      </c>
      <c r="B69" s="6" t="inlineStr">
        <is>
          <t>Existente</t>
        </is>
      </c>
      <c r="C69" s="6" t="inlineStr">
        <is>
          <t>Rondonópolis</t>
        </is>
      </c>
      <c r="D69" s="6" t="inlineStr">
        <is>
          <t>MT</t>
        </is>
      </c>
      <c r="E69" s="6" t="n">
        <v>-16.501768</v>
      </c>
      <c r="F69" s="6" t="n">
        <v>-54.631977</v>
      </c>
      <c r="G69" s="6" t="inlineStr">
        <is>
          <t>COMPANHIA NACIONAL DE ABASTECIMENTO</t>
        </is>
      </c>
      <c r="H69" s="6" t="inlineStr">
        <is>
          <t>Graneleiro</t>
        </is>
      </c>
      <c r="I69" s="11" t="n">
        <v>13800</v>
      </c>
      <c r="J69" s="11" t="n">
        <v>80</v>
      </c>
      <c r="K69" s="11" t="n">
        <v>120</v>
      </c>
      <c r="L69" s="11" t="n">
        <v>0</v>
      </c>
      <c r="M69" s="11" t="n">
        <v>0</v>
      </c>
      <c r="N69" s="11" t="n">
        <v>0</v>
      </c>
      <c r="O69" s="11">
        <f>IF($B69="Candidato",IF($L69&gt;0,$M69/$L69,0),0)</f>
        <v/>
      </c>
      <c r="P69" s="11" t="inlineStr">
        <is>
          <t>SIM</t>
        </is>
      </c>
      <c r="Q69" s="11">
        <f>IF($P69="SIM",$I69*Parametros_Modelo!$B$9,0)</f>
        <v/>
      </c>
      <c r="R69" s="11">
        <f>IF($P69="SIM",Parametros_Modelo!$B$10,0)</f>
        <v/>
      </c>
      <c r="S69" s="11" t="inlineStr">
        <is>
          <t>NAO</t>
        </is>
      </c>
      <c r="T69" s="11">
        <f>IF($S69="SIM",Parametros_Modelo!$B$11,0)</f>
        <v/>
      </c>
      <c r="U69" s="11">
        <f>Parametros_Modelo!$B$5</f>
        <v/>
      </c>
      <c r="V69" s="11">
        <f>Parametros_Modelo!$B$6</f>
        <v/>
      </c>
      <c r="W69" s="6" t="inlineStr">
        <is>
          <t>Sintético/Derivado_de_Custo_Invest para expansão, granelização e penalidades</t>
        </is>
      </c>
      <c r="X69" s="6" t="inlineStr">
        <is>
          <t>Colunas adicionadas para separar parâmetros do modelo matemático dos dados originais do CDA.</t>
        </is>
      </c>
      <c r="Y69" s="6" t="inlineStr">
        <is>
          <t>Opcional agora; necessária se ativar expansão, granelização ou custos candidatos explícitos.</t>
        </is>
      </c>
    </row>
    <row r="70">
      <c r="A70" s="6" t="inlineStr">
        <is>
          <t>56.0287.0083-5</t>
        </is>
      </c>
      <c r="B70" s="6" t="inlineStr">
        <is>
          <t>Existente</t>
        </is>
      </c>
      <c r="C70" s="6" t="inlineStr">
        <is>
          <t>Rondonópolis</t>
        </is>
      </c>
      <c r="D70" s="6" t="inlineStr">
        <is>
          <t>MT</t>
        </is>
      </c>
      <c r="E70" s="6" t="n">
        <v>-16.501768</v>
      </c>
      <c r="F70" s="6" t="n">
        <v>-54.631977</v>
      </c>
      <c r="G70" s="6" t="inlineStr">
        <is>
          <t>COMPANHIA NACIONAL DE ABASTECIMENTO</t>
        </is>
      </c>
      <c r="H70" s="6" t="inlineStr">
        <is>
          <t>Graneleiro</t>
        </is>
      </c>
      <c r="I70" s="11" t="n">
        <v>13800</v>
      </c>
      <c r="J70" s="11" t="n">
        <v>80</v>
      </c>
      <c r="K70" s="11" t="n">
        <v>120</v>
      </c>
      <c r="L70" s="11" t="n">
        <v>0</v>
      </c>
      <c r="M70" s="11" t="n">
        <v>0</v>
      </c>
      <c r="N70" s="11" t="n">
        <v>0</v>
      </c>
      <c r="O70" s="11">
        <f>IF($B70="Candidato",IF($L70&gt;0,$M70/$L70,0),0)</f>
        <v/>
      </c>
      <c r="P70" s="11" t="inlineStr">
        <is>
          <t>SIM</t>
        </is>
      </c>
      <c r="Q70" s="11">
        <f>IF($P70="SIM",$I70*Parametros_Modelo!$B$9,0)</f>
        <v/>
      </c>
      <c r="R70" s="11">
        <f>IF($P70="SIM",Parametros_Modelo!$B$10,0)</f>
        <v/>
      </c>
      <c r="S70" s="11" t="inlineStr">
        <is>
          <t>NAO</t>
        </is>
      </c>
      <c r="T70" s="11">
        <f>IF($S70="SIM",Parametros_Modelo!$B$11,0)</f>
        <v/>
      </c>
      <c r="U70" s="11">
        <f>Parametros_Modelo!$B$5</f>
        <v/>
      </c>
      <c r="V70" s="11">
        <f>Parametros_Modelo!$B$6</f>
        <v/>
      </c>
      <c r="W70" s="6" t="inlineStr">
        <is>
          <t>Sintético/Derivado_de_Custo_Invest para expansão, granelização e penalidades</t>
        </is>
      </c>
      <c r="X70" s="6" t="inlineStr">
        <is>
          <t>Colunas adicionadas para separar parâmetros do modelo matemático dos dados originais do CDA.</t>
        </is>
      </c>
      <c r="Y70" s="6" t="inlineStr">
        <is>
          <t>Opcional agora; necessária se ativar expansão, granelização ou custos candidatos explícitos.</t>
        </is>
      </c>
    </row>
    <row r="71">
      <c r="A71" s="6" t="inlineStr">
        <is>
          <t>56.0287.0094-0</t>
        </is>
      </c>
      <c r="B71" s="6" t="inlineStr">
        <is>
          <t>Existente</t>
        </is>
      </c>
      <c r="C71" s="6" t="inlineStr">
        <is>
          <t>Rondonópolis</t>
        </is>
      </c>
      <c r="D71" s="6" t="inlineStr">
        <is>
          <t>MT</t>
        </is>
      </c>
      <c r="E71" s="6" t="n">
        <v>-16.501768</v>
      </c>
      <c r="F71" s="6" t="n">
        <v>-54.631977</v>
      </c>
      <c r="G71" s="6" t="inlineStr">
        <is>
          <t>COMPANHIA NACIONAL DE ABASTECIMENTO</t>
        </is>
      </c>
      <c r="H71" s="6" t="inlineStr">
        <is>
          <t>Graneleiro</t>
        </is>
      </c>
      <c r="I71" s="11" t="n">
        <v>13800</v>
      </c>
      <c r="J71" s="11" t="n">
        <v>80</v>
      </c>
      <c r="K71" s="11" t="n">
        <v>120</v>
      </c>
      <c r="L71" s="11" t="n">
        <v>0</v>
      </c>
      <c r="M71" s="11" t="n">
        <v>0</v>
      </c>
      <c r="N71" s="11" t="n">
        <v>0</v>
      </c>
      <c r="O71" s="11">
        <f>IF($B71="Candidato",IF($L71&gt;0,$M71/$L71,0),0)</f>
        <v/>
      </c>
      <c r="P71" s="11" t="inlineStr">
        <is>
          <t>SIM</t>
        </is>
      </c>
      <c r="Q71" s="11">
        <f>IF($P71="SIM",$I71*Parametros_Modelo!$B$9,0)</f>
        <v/>
      </c>
      <c r="R71" s="11">
        <f>IF($P71="SIM",Parametros_Modelo!$B$10,0)</f>
        <v/>
      </c>
      <c r="S71" s="11" t="inlineStr">
        <is>
          <t>NAO</t>
        </is>
      </c>
      <c r="T71" s="11">
        <f>IF($S71="SIM",Parametros_Modelo!$B$11,0)</f>
        <v/>
      </c>
      <c r="U71" s="11">
        <f>Parametros_Modelo!$B$5</f>
        <v/>
      </c>
      <c r="V71" s="11">
        <f>Parametros_Modelo!$B$6</f>
        <v/>
      </c>
      <c r="W71" s="6" t="inlineStr">
        <is>
          <t>Sintético/Derivado_de_Custo_Invest para expansão, granelização e penalidades</t>
        </is>
      </c>
      <c r="X71" s="6" t="inlineStr">
        <is>
          <t>Colunas adicionadas para separar parâmetros do modelo matemático dos dados originais do CDA.</t>
        </is>
      </c>
      <c r="Y71" s="6" t="inlineStr">
        <is>
          <t>Opcional agora; necessária se ativar expansão, granelização ou custos candidatos explícitos.</t>
        </is>
      </c>
    </row>
    <row r="72">
      <c r="A72" s="6" t="inlineStr">
        <is>
          <t>56.0287.0096-7</t>
        </is>
      </c>
      <c r="B72" s="6" t="inlineStr">
        <is>
          <t>Existente</t>
        </is>
      </c>
      <c r="C72" s="6" t="inlineStr">
        <is>
          <t>Rondonópolis</t>
        </is>
      </c>
      <c r="D72" s="6" t="inlineStr">
        <is>
          <t>MT</t>
        </is>
      </c>
      <c r="E72" s="6" t="n">
        <v>-16.501768</v>
      </c>
      <c r="F72" s="6" t="n">
        <v>-54.631977</v>
      </c>
      <c r="G72" s="6" t="inlineStr">
        <is>
          <t>COMPANHIA NACIONAL DE ABASTECIMENTO</t>
        </is>
      </c>
      <c r="H72" s="6" t="inlineStr">
        <is>
          <t>Graneleiro</t>
        </is>
      </c>
      <c r="I72" s="11" t="n">
        <v>13800</v>
      </c>
      <c r="J72" s="11" t="n">
        <v>80</v>
      </c>
      <c r="K72" s="11" t="n">
        <v>120</v>
      </c>
      <c r="L72" s="11" t="n">
        <v>0</v>
      </c>
      <c r="M72" s="11" t="n">
        <v>0</v>
      </c>
      <c r="N72" s="11" t="n">
        <v>0</v>
      </c>
      <c r="O72" s="11">
        <f>IF($B72="Candidato",IF($L72&gt;0,$M72/$L72,0),0)</f>
        <v/>
      </c>
      <c r="P72" s="11" t="inlineStr">
        <is>
          <t>SIM</t>
        </is>
      </c>
      <c r="Q72" s="11">
        <f>IF($P72="SIM",$I72*Parametros_Modelo!$B$9,0)</f>
        <v/>
      </c>
      <c r="R72" s="11">
        <f>IF($P72="SIM",Parametros_Modelo!$B$10,0)</f>
        <v/>
      </c>
      <c r="S72" s="11" t="inlineStr">
        <is>
          <t>NAO</t>
        </is>
      </c>
      <c r="T72" s="11">
        <f>IF($S72="SIM",Parametros_Modelo!$B$11,0)</f>
        <v/>
      </c>
      <c r="U72" s="11">
        <f>Parametros_Modelo!$B$5</f>
        <v/>
      </c>
      <c r="V72" s="11">
        <f>Parametros_Modelo!$B$6</f>
        <v/>
      </c>
      <c r="W72" s="6" t="inlineStr">
        <is>
          <t>Sintético/Derivado_de_Custo_Invest para expansão, granelização e penalidades</t>
        </is>
      </c>
      <c r="X72" s="6" t="inlineStr">
        <is>
          <t>Colunas adicionadas para separar parâmetros do modelo matemático dos dados originais do CDA.</t>
        </is>
      </c>
      <c r="Y72" s="6" t="inlineStr">
        <is>
          <t>Opcional agora; necessária se ativar expansão, granelização ou custos candidatos explícitos.</t>
        </is>
      </c>
    </row>
    <row r="73">
      <c r="A73" s="6" t="inlineStr">
        <is>
          <t>56.0287.0204-8</t>
        </is>
      </c>
      <c r="B73" s="6" t="inlineStr">
        <is>
          <t>Existente</t>
        </is>
      </c>
      <c r="C73" s="6" t="inlineStr">
        <is>
          <t>Rondonópolis</t>
        </is>
      </c>
      <c r="D73" s="6" t="inlineStr">
        <is>
          <t>MT</t>
        </is>
      </c>
      <c r="E73" s="6" t="n">
        <v>-16.501768</v>
      </c>
      <c r="F73" s="6" t="n">
        <v>-54.631977</v>
      </c>
      <c r="G73" s="6" t="inlineStr">
        <is>
          <t>COMPANHIA NACIONAL DE ABASTECIMENTO</t>
        </is>
      </c>
      <c r="H73" s="6" t="inlineStr">
        <is>
          <t>Convencional</t>
        </is>
      </c>
      <c r="I73" s="11" t="n">
        <v>3600</v>
      </c>
      <c r="J73" s="11" t="n">
        <v>120</v>
      </c>
      <c r="K73" s="11" t="n">
        <v>120</v>
      </c>
      <c r="L73" s="11" t="n">
        <v>0</v>
      </c>
      <c r="M73" s="11" t="n">
        <v>0</v>
      </c>
      <c r="N73" s="11" t="n">
        <v>0</v>
      </c>
      <c r="O73" s="11">
        <f>IF($B73="Candidato",IF($L73&gt;0,$M73/$L73,0),0)</f>
        <v/>
      </c>
      <c r="P73" s="11" t="inlineStr">
        <is>
          <t>SIM</t>
        </is>
      </c>
      <c r="Q73" s="11">
        <f>IF($P73="SIM",$I73*Parametros_Modelo!$B$9,0)</f>
        <v/>
      </c>
      <c r="R73" s="11">
        <f>IF($P73="SIM",Parametros_Modelo!$B$10,0)</f>
        <v/>
      </c>
      <c r="S73" s="11" t="inlineStr">
        <is>
          <t>SIM</t>
        </is>
      </c>
      <c r="T73" s="11">
        <f>IF($S73="SIM",Parametros_Modelo!$B$11,0)</f>
        <v/>
      </c>
      <c r="U73" s="11">
        <f>Parametros_Modelo!$B$5</f>
        <v/>
      </c>
      <c r="V73" s="11">
        <f>Parametros_Modelo!$B$6</f>
        <v/>
      </c>
      <c r="W73" s="6" t="inlineStr">
        <is>
          <t>Sintético/Derivado_de_Custo_Invest para expansão, granelização e penalidades</t>
        </is>
      </c>
      <c r="X73" s="6" t="inlineStr">
        <is>
          <t>Colunas adicionadas para separar parâmetros do modelo matemático dos dados originais do CDA.</t>
        </is>
      </c>
      <c r="Y73" s="6" t="inlineStr">
        <is>
          <t>Opcional agora; necessária se ativar expansão, granelização ou custos candidatos explícitos.</t>
        </is>
      </c>
    </row>
    <row r="74">
      <c r="A74" s="6" t="inlineStr">
        <is>
          <t>56.0287.0214-5</t>
        </is>
      </c>
      <c r="B74" s="6" t="inlineStr">
        <is>
          <t>Existente</t>
        </is>
      </c>
      <c r="C74" s="6" t="inlineStr">
        <is>
          <t>Rondonópolis</t>
        </is>
      </c>
      <c r="D74" s="6" t="inlineStr">
        <is>
          <t>MT</t>
        </is>
      </c>
      <c r="E74" s="6" t="n">
        <v>-16.501768</v>
      </c>
      <c r="F74" s="6" t="n">
        <v>-54.631977</v>
      </c>
      <c r="G74" s="6" t="inlineStr">
        <is>
          <t>COMPANHIA NACIONAL DE ABASTECIMENTO</t>
        </is>
      </c>
      <c r="H74" s="6" t="inlineStr">
        <is>
          <t>Convencional</t>
        </is>
      </c>
      <c r="I74" s="11" t="n">
        <v>2300</v>
      </c>
      <c r="J74" s="11" t="n">
        <v>80</v>
      </c>
      <c r="K74" s="11" t="n">
        <v>120</v>
      </c>
      <c r="L74" s="11" t="n">
        <v>0</v>
      </c>
      <c r="M74" s="11" t="n">
        <v>0</v>
      </c>
      <c r="N74" s="11" t="n">
        <v>0</v>
      </c>
      <c r="O74" s="11">
        <f>IF($B74="Candidato",IF($L74&gt;0,$M74/$L74,0),0)</f>
        <v/>
      </c>
      <c r="P74" s="11" t="inlineStr">
        <is>
          <t>SIM</t>
        </is>
      </c>
      <c r="Q74" s="11">
        <f>IF($P74="SIM",$I74*Parametros_Modelo!$B$9,0)</f>
        <v/>
      </c>
      <c r="R74" s="11">
        <f>IF($P74="SIM",Parametros_Modelo!$B$10,0)</f>
        <v/>
      </c>
      <c r="S74" s="11" t="inlineStr">
        <is>
          <t>SIM</t>
        </is>
      </c>
      <c r="T74" s="11">
        <f>IF($S74="SIM",Parametros_Modelo!$B$11,0)</f>
        <v/>
      </c>
      <c r="U74" s="11">
        <f>Parametros_Modelo!$B$5</f>
        <v/>
      </c>
      <c r="V74" s="11">
        <f>Parametros_Modelo!$B$6</f>
        <v/>
      </c>
      <c r="W74" s="6" t="inlineStr">
        <is>
          <t>Sintético/Derivado_de_Custo_Invest para expansão, granelização e penalidades</t>
        </is>
      </c>
      <c r="X74" s="6" t="inlineStr">
        <is>
          <t>Colunas adicionadas para separar parâmetros do modelo matemático dos dados originais do CDA.</t>
        </is>
      </c>
      <c r="Y74" s="6" t="inlineStr">
        <is>
          <t>Opcional agora; necessária se ativar expansão, granelização ou custos candidatos explícitos.</t>
        </is>
      </c>
    </row>
    <row r="75">
      <c r="A75" s="6" t="inlineStr">
        <is>
          <t>56.0287.0024-0</t>
        </is>
      </c>
      <c r="B75" s="6" t="inlineStr">
        <is>
          <t>Existente</t>
        </is>
      </c>
      <c r="C75" s="6" t="inlineStr">
        <is>
          <t>Sorriso</t>
        </is>
      </c>
      <c r="D75" s="6" t="inlineStr">
        <is>
          <t>MT</t>
        </is>
      </c>
      <c r="E75" s="6" t="n">
        <v>-12.553104</v>
      </c>
      <c r="F75" s="6" t="n">
        <v>-55.712987</v>
      </c>
      <c r="G75" s="6" t="inlineStr">
        <is>
          <t>COMPANHIA NACIONAL DE ABASTECIMENTO</t>
        </is>
      </c>
      <c r="H75" s="6" t="inlineStr">
        <is>
          <t>Graneleiro</t>
        </is>
      </c>
      <c r="I75" s="11" t="n">
        <v>4900</v>
      </c>
      <c r="J75" s="11" t="n">
        <v>60</v>
      </c>
      <c r="K75" s="11" t="n">
        <v>30</v>
      </c>
      <c r="L75" s="11" t="n">
        <v>0</v>
      </c>
      <c r="M75" s="11" t="n">
        <v>0</v>
      </c>
      <c r="N75" s="11" t="n">
        <v>0</v>
      </c>
      <c r="O75" s="11">
        <f>IF($B75="Candidato",IF($L75&gt;0,$M75/$L75,0),0)</f>
        <v/>
      </c>
      <c r="P75" s="11" t="inlineStr">
        <is>
          <t>SIM</t>
        </is>
      </c>
      <c r="Q75" s="11">
        <f>IF($P75="SIM",$I75*Parametros_Modelo!$B$9,0)</f>
        <v/>
      </c>
      <c r="R75" s="11">
        <f>IF($P75="SIM",Parametros_Modelo!$B$10,0)</f>
        <v/>
      </c>
      <c r="S75" s="11" t="inlineStr">
        <is>
          <t>NAO</t>
        </is>
      </c>
      <c r="T75" s="11">
        <f>IF($S75="SIM",Parametros_Modelo!$B$11,0)</f>
        <v/>
      </c>
      <c r="U75" s="11">
        <f>Parametros_Modelo!$B$5</f>
        <v/>
      </c>
      <c r="V75" s="11">
        <f>Parametros_Modelo!$B$6</f>
        <v/>
      </c>
      <c r="W75" s="6" t="inlineStr">
        <is>
          <t>Sintético/Derivado_de_Custo_Invest para expansão, granelização e penalidades</t>
        </is>
      </c>
      <c r="X75" s="6" t="inlineStr">
        <is>
          <t>Colunas adicionadas para separar parâmetros do modelo matemático dos dados originais do CDA.</t>
        </is>
      </c>
      <c r="Y75" s="6" t="inlineStr">
        <is>
          <t>Opcional agora; necessária se ativar expansão, granelização ou custos candidatos explícitos.</t>
        </is>
      </c>
    </row>
    <row r="76">
      <c r="A76" s="6" t="inlineStr">
        <is>
          <t>56.0287.0062-2</t>
        </is>
      </c>
      <c r="B76" s="6" t="inlineStr">
        <is>
          <t>Existente</t>
        </is>
      </c>
      <c r="C76" s="6" t="inlineStr">
        <is>
          <t>Sorriso</t>
        </is>
      </c>
      <c r="D76" s="6" t="inlineStr">
        <is>
          <t>MT</t>
        </is>
      </c>
      <c r="E76" s="6" t="n">
        <v>-12.553104</v>
      </c>
      <c r="F76" s="6" t="n">
        <v>-55.712987</v>
      </c>
      <c r="G76" s="6" t="inlineStr">
        <is>
          <t>COMPANHIA NACIONAL DE ABASTECIMENTO</t>
        </is>
      </c>
      <c r="H76" s="6" t="inlineStr">
        <is>
          <t>Graneleiro</t>
        </is>
      </c>
      <c r="I76" s="11" t="n">
        <v>4900</v>
      </c>
      <c r="J76" s="11" t="n">
        <v>60</v>
      </c>
      <c r="K76" s="11" t="n">
        <v>30</v>
      </c>
      <c r="L76" s="11" t="n">
        <v>0</v>
      </c>
      <c r="M76" s="11" t="n">
        <v>0</v>
      </c>
      <c r="N76" s="11" t="n">
        <v>0</v>
      </c>
      <c r="O76" s="11">
        <f>IF($B76="Candidato",IF($L76&gt;0,$M76/$L76,0),0)</f>
        <v/>
      </c>
      <c r="P76" s="11" t="inlineStr">
        <is>
          <t>SIM</t>
        </is>
      </c>
      <c r="Q76" s="11">
        <f>IF($P76="SIM",$I76*Parametros_Modelo!$B$9,0)</f>
        <v/>
      </c>
      <c r="R76" s="11">
        <f>IF($P76="SIM",Parametros_Modelo!$B$10,0)</f>
        <v/>
      </c>
      <c r="S76" s="11" t="inlineStr">
        <is>
          <t>NAO</t>
        </is>
      </c>
      <c r="T76" s="11">
        <f>IF($S76="SIM",Parametros_Modelo!$B$11,0)</f>
        <v/>
      </c>
      <c r="U76" s="11">
        <f>Parametros_Modelo!$B$5</f>
        <v/>
      </c>
      <c r="V76" s="11">
        <f>Parametros_Modelo!$B$6</f>
        <v/>
      </c>
      <c r="W76" s="6" t="inlineStr">
        <is>
          <t>Sintético/Derivado_de_Custo_Invest para expansão, granelização e penalidades</t>
        </is>
      </c>
      <c r="X76" s="6" t="inlineStr">
        <is>
          <t>Colunas adicionadas para separar parâmetros do modelo matemático dos dados originais do CDA.</t>
        </is>
      </c>
      <c r="Y76" s="6" t="inlineStr">
        <is>
          <t>Opcional agora; necessária se ativar expansão, granelização ou custos candidatos explícitos.</t>
        </is>
      </c>
    </row>
    <row r="77">
      <c r="A77" s="6" t="inlineStr">
        <is>
          <t>56.0287.0099-1</t>
        </is>
      </c>
      <c r="B77" s="6" t="inlineStr">
        <is>
          <t>Existente</t>
        </is>
      </c>
      <c r="C77" s="6" t="inlineStr">
        <is>
          <t>Sorriso</t>
        </is>
      </c>
      <c r="D77" s="6" t="inlineStr">
        <is>
          <t>MT</t>
        </is>
      </c>
      <c r="E77" s="6" t="n">
        <v>-12.553104</v>
      </c>
      <c r="F77" s="6" t="n">
        <v>-55.712987</v>
      </c>
      <c r="G77" s="6" t="inlineStr">
        <is>
          <t>COMPANHIA NACIONAL DE ABASTECIMENTO</t>
        </is>
      </c>
      <c r="H77" s="6" t="inlineStr">
        <is>
          <t>Graneleiro</t>
        </is>
      </c>
      <c r="I77" s="11" t="n">
        <v>13800</v>
      </c>
      <c r="J77" s="11" t="n">
        <v>60</v>
      </c>
      <c r="K77" s="11" t="n">
        <v>30</v>
      </c>
      <c r="L77" s="11" t="n">
        <v>0</v>
      </c>
      <c r="M77" s="11" t="n">
        <v>0</v>
      </c>
      <c r="N77" s="11" t="n">
        <v>0</v>
      </c>
      <c r="O77" s="11">
        <f>IF($B77="Candidato",IF($L77&gt;0,$M77/$L77,0),0)</f>
        <v/>
      </c>
      <c r="P77" s="11" t="inlineStr">
        <is>
          <t>SIM</t>
        </is>
      </c>
      <c r="Q77" s="11">
        <f>IF($P77="SIM",$I77*Parametros_Modelo!$B$9,0)</f>
        <v/>
      </c>
      <c r="R77" s="11">
        <f>IF($P77="SIM",Parametros_Modelo!$B$10,0)</f>
        <v/>
      </c>
      <c r="S77" s="11" t="inlineStr">
        <is>
          <t>NAO</t>
        </is>
      </c>
      <c r="T77" s="11">
        <f>IF($S77="SIM",Parametros_Modelo!$B$11,0)</f>
        <v/>
      </c>
      <c r="U77" s="11">
        <f>Parametros_Modelo!$B$5</f>
        <v/>
      </c>
      <c r="V77" s="11">
        <f>Parametros_Modelo!$B$6</f>
        <v/>
      </c>
      <c r="W77" s="6" t="inlineStr">
        <is>
          <t>Sintético/Derivado_de_Custo_Invest para expansão, granelização e penalidades</t>
        </is>
      </c>
      <c r="X77" s="6" t="inlineStr">
        <is>
          <t>Colunas adicionadas para separar parâmetros do modelo matemático dos dados originais do CDA.</t>
        </is>
      </c>
      <c r="Y77" s="6" t="inlineStr">
        <is>
          <t>Opcional agora; necessária se ativar expansão, granelização ou custos candidatos explícitos.</t>
        </is>
      </c>
    </row>
    <row r="78">
      <c r="A78" s="6" t="inlineStr">
        <is>
          <t>56.0287.0100-9</t>
        </is>
      </c>
      <c r="B78" s="6" t="inlineStr">
        <is>
          <t>Existente</t>
        </is>
      </c>
      <c r="C78" s="6" t="inlineStr">
        <is>
          <t>Sorriso</t>
        </is>
      </c>
      <c r="D78" s="6" t="inlineStr">
        <is>
          <t>MT</t>
        </is>
      </c>
      <c r="E78" s="6" t="n">
        <v>-12.553104</v>
      </c>
      <c r="F78" s="6" t="n">
        <v>-55.712987</v>
      </c>
      <c r="G78" s="6" t="inlineStr">
        <is>
          <t>COMPANHIA NACIONAL DE ABASTECIMENTO</t>
        </is>
      </c>
      <c r="H78" s="6" t="inlineStr">
        <is>
          <t>Graneleiro</t>
        </is>
      </c>
      <c r="I78" s="11" t="n">
        <v>13800</v>
      </c>
      <c r="J78" s="11" t="n">
        <v>60</v>
      </c>
      <c r="K78" s="11" t="n">
        <v>30</v>
      </c>
      <c r="L78" s="11" t="n">
        <v>0</v>
      </c>
      <c r="M78" s="11" t="n">
        <v>0</v>
      </c>
      <c r="N78" s="11" t="n">
        <v>0</v>
      </c>
      <c r="O78" s="11">
        <f>IF($B78="Candidato",IF($L78&gt;0,$M78/$L78,0),0)</f>
        <v/>
      </c>
      <c r="P78" s="11" t="inlineStr">
        <is>
          <t>SIM</t>
        </is>
      </c>
      <c r="Q78" s="11">
        <f>IF($P78="SIM",$I78*Parametros_Modelo!$B$9,0)</f>
        <v/>
      </c>
      <c r="R78" s="11">
        <f>IF($P78="SIM",Parametros_Modelo!$B$10,0)</f>
        <v/>
      </c>
      <c r="S78" s="11" t="inlineStr">
        <is>
          <t>NAO</t>
        </is>
      </c>
      <c r="T78" s="11">
        <f>IF($S78="SIM",Parametros_Modelo!$B$11,0)</f>
        <v/>
      </c>
      <c r="U78" s="11">
        <f>Parametros_Modelo!$B$5</f>
        <v/>
      </c>
      <c r="V78" s="11">
        <f>Parametros_Modelo!$B$6</f>
        <v/>
      </c>
      <c r="W78" s="6" t="inlineStr">
        <is>
          <t>Sintético/Derivado_de_Custo_Invest para expansão, granelização e penalidades</t>
        </is>
      </c>
      <c r="X78" s="6" t="inlineStr">
        <is>
          <t>Colunas adicionadas para separar parâmetros do modelo matemático dos dados originais do CDA.</t>
        </is>
      </c>
      <c r="Y78" s="6" t="inlineStr">
        <is>
          <t>Opcional agora; necessária se ativar expansão, granelização ou custos candidatos explícitos.</t>
        </is>
      </c>
    </row>
    <row r="79">
      <c r="A79" s="6" t="inlineStr">
        <is>
          <t>56.0287.0203-0</t>
        </is>
      </c>
      <c r="B79" s="6" t="inlineStr">
        <is>
          <t>Existente</t>
        </is>
      </c>
      <c r="C79" s="6" t="inlineStr">
        <is>
          <t>Sorriso</t>
        </is>
      </c>
      <c r="D79" s="6" t="inlineStr">
        <is>
          <t>MT</t>
        </is>
      </c>
      <c r="E79" s="6" t="n">
        <v>-12.553104</v>
      </c>
      <c r="F79" s="6" t="n">
        <v>-55.712987</v>
      </c>
      <c r="G79" s="6" t="inlineStr">
        <is>
          <t>COMPANHIA NACIONAL DE ABASTECIMENTO</t>
        </is>
      </c>
      <c r="H79" s="6" t="inlineStr">
        <is>
          <t>Graneleiro</t>
        </is>
      </c>
      <c r="I79" s="11" t="n">
        <v>8500</v>
      </c>
      <c r="J79" s="11" t="n">
        <v>60</v>
      </c>
      <c r="K79" s="11" t="n">
        <v>30</v>
      </c>
      <c r="L79" s="11" t="n">
        <v>0</v>
      </c>
      <c r="M79" s="11" t="n">
        <v>0</v>
      </c>
      <c r="N79" s="11" t="n">
        <v>0</v>
      </c>
      <c r="O79" s="11">
        <f>IF($B79="Candidato",IF($L79&gt;0,$M79/$L79,0),0)</f>
        <v/>
      </c>
      <c r="P79" s="11" t="inlineStr">
        <is>
          <t>SIM</t>
        </is>
      </c>
      <c r="Q79" s="11">
        <f>IF($P79="SIM",$I79*Parametros_Modelo!$B$9,0)</f>
        <v/>
      </c>
      <c r="R79" s="11">
        <f>IF($P79="SIM",Parametros_Modelo!$B$10,0)</f>
        <v/>
      </c>
      <c r="S79" s="11" t="inlineStr">
        <is>
          <t>NAO</t>
        </is>
      </c>
      <c r="T79" s="11">
        <f>IF($S79="SIM",Parametros_Modelo!$B$11,0)</f>
        <v/>
      </c>
      <c r="U79" s="11">
        <f>Parametros_Modelo!$B$5</f>
        <v/>
      </c>
      <c r="V79" s="11">
        <f>Parametros_Modelo!$B$6</f>
        <v/>
      </c>
      <c r="W79" s="6" t="inlineStr">
        <is>
          <t>Sintético/Derivado_de_Custo_Invest para expansão, granelização e penalidades</t>
        </is>
      </c>
      <c r="X79" s="6" t="inlineStr">
        <is>
          <t>Colunas adicionadas para separar parâmetros do modelo matemático dos dados originais do CDA.</t>
        </is>
      </c>
      <c r="Y79" s="6" t="inlineStr">
        <is>
          <t>Opcional agora; necessária se ativar expansão, granelização ou custos candidatos explícitos.</t>
        </is>
      </c>
    </row>
    <row r="80">
      <c r="A80" s="6" t="inlineStr">
        <is>
          <t>57.0287.0044-2</t>
        </is>
      </c>
      <c r="B80" s="6" t="inlineStr">
        <is>
          <t>Existente</t>
        </is>
      </c>
      <c r="C80" s="6" t="inlineStr">
        <is>
          <t>Ananindeua</t>
        </is>
      </c>
      <c r="D80" s="6" t="inlineStr">
        <is>
          <t>PA</t>
        </is>
      </c>
      <c r="E80" s="6" t="n">
        <v>-1.332048</v>
      </c>
      <c r="F80" s="6" t="n">
        <v>-48.35642</v>
      </c>
      <c r="G80" s="6" t="inlineStr">
        <is>
          <t>COMPANHIA NACIONAL DE ABASTECIMENTO</t>
        </is>
      </c>
      <c r="H80" s="6" t="inlineStr">
        <is>
          <t>Convencional</t>
        </is>
      </c>
      <c r="I80" s="11" t="n">
        <v>2800</v>
      </c>
      <c r="J80" s="11" t="n">
        <v>7</v>
      </c>
      <c r="K80" s="11" t="n">
        <v>7</v>
      </c>
      <c r="L80" s="11" t="n">
        <v>0</v>
      </c>
      <c r="M80" s="11" t="n">
        <v>0</v>
      </c>
      <c r="N80" s="11" t="n">
        <v>0</v>
      </c>
      <c r="O80" s="11">
        <f>IF($B80="Candidato",IF($L80&gt;0,$M80/$L80,0),0)</f>
        <v/>
      </c>
      <c r="P80" s="11" t="inlineStr">
        <is>
          <t>SIM</t>
        </is>
      </c>
      <c r="Q80" s="11">
        <f>IF($P80="SIM",$I80*Parametros_Modelo!$B$9,0)</f>
        <v/>
      </c>
      <c r="R80" s="11">
        <f>IF($P80="SIM",Parametros_Modelo!$B$10,0)</f>
        <v/>
      </c>
      <c r="S80" s="11" t="inlineStr">
        <is>
          <t>SIM</t>
        </is>
      </c>
      <c r="T80" s="11">
        <f>IF($S80="SIM",Parametros_Modelo!$B$11,0)</f>
        <v/>
      </c>
      <c r="U80" s="11">
        <f>Parametros_Modelo!$B$5</f>
        <v/>
      </c>
      <c r="V80" s="11">
        <f>Parametros_Modelo!$B$6</f>
        <v/>
      </c>
      <c r="W80" s="6" t="inlineStr">
        <is>
          <t>Sintético/Derivado_de_Custo_Invest para expansão, granelização e penalidades</t>
        </is>
      </c>
      <c r="X80" s="6" t="inlineStr">
        <is>
          <t>Colunas adicionadas para separar parâmetros do modelo matemático dos dados originais do CDA.</t>
        </is>
      </c>
      <c r="Y80" s="6" t="inlineStr">
        <is>
          <t>Opcional agora; necessária se ativar expansão, granelização ou custos candidatos explícitos.</t>
        </is>
      </c>
    </row>
    <row r="81">
      <c r="A81" s="6" t="inlineStr">
        <is>
          <t>57.0287.0063-9</t>
        </is>
      </c>
      <c r="B81" s="6" t="inlineStr">
        <is>
          <t>Existente</t>
        </is>
      </c>
      <c r="C81" s="6" t="inlineStr">
        <is>
          <t>Ananindeua</t>
        </is>
      </c>
      <c r="D81" s="6" t="inlineStr">
        <is>
          <t>PA</t>
        </is>
      </c>
      <c r="E81" s="6" t="n">
        <v>-1.332048</v>
      </c>
      <c r="F81" s="6" t="n">
        <v>-48.35646</v>
      </c>
      <c r="G81" s="6" t="inlineStr">
        <is>
          <t>COMPANHIA NACIONAL DE ABASTECIMENTO</t>
        </is>
      </c>
      <c r="H81" s="6" t="inlineStr">
        <is>
          <t>Convencional</t>
        </is>
      </c>
      <c r="I81" s="11" t="n">
        <v>8900</v>
      </c>
      <c r="J81" s="11" t="n">
        <v>60</v>
      </c>
      <c r="K81" s="11" t="n">
        <v>60</v>
      </c>
      <c r="L81" s="11" t="n">
        <v>0</v>
      </c>
      <c r="M81" s="11" t="n">
        <v>0</v>
      </c>
      <c r="N81" s="11" t="n">
        <v>0</v>
      </c>
      <c r="O81" s="11">
        <f>IF($B81="Candidato",IF($L81&gt;0,$M81/$L81,0),0)</f>
        <v/>
      </c>
      <c r="P81" s="11" t="inlineStr">
        <is>
          <t>SIM</t>
        </is>
      </c>
      <c r="Q81" s="11">
        <f>IF($P81="SIM",$I81*Parametros_Modelo!$B$9,0)</f>
        <v/>
      </c>
      <c r="R81" s="11">
        <f>IF($P81="SIM",Parametros_Modelo!$B$10,0)</f>
        <v/>
      </c>
      <c r="S81" s="11" t="inlineStr">
        <is>
          <t>SIM</t>
        </is>
      </c>
      <c r="T81" s="11">
        <f>IF($S81="SIM",Parametros_Modelo!$B$11,0)</f>
        <v/>
      </c>
      <c r="U81" s="11">
        <f>Parametros_Modelo!$B$5</f>
        <v/>
      </c>
      <c r="V81" s="11">
        <f>Parametros_Modelo!$B$6</f>
        <v/>
      </c>
      <c r="W81" s="6" t="inlineStr">
        <is>
          <t>Sintético/Derivado_de_Custo_Invest para expansão, granelização e penalidades</t>
        </is>
      </c>
      <c r="X81" s="6" t="inlineStr">
        <is>
          <t>Colunas adicionadas para separar parâmetros do modelo matemático dos dados originais do CDA.</t>
        </is>
      </c>
      <c r="Y81" s="6" t="inlineStr">
        <is>
          <t>Opcional agora; necessária se ativar expansão, granelização ou custos candidatos explícitos.</t>
        </is>
      </c>
    </row>
    <row r="82">
      <c r="A82" s="6" t="inlineStr">
        <is>
          <t>57.0287.0070-1</t>
        </is>
      </c>
      <c r="B82" s="6" t="inlineStr">
        <is>
          <t>Existente</t>
        </is>
      </c>
      <c r="C82" s="6" t="inlineStr">
        <is>
          <t>Ananindeua</t>
        </is>
      </c>
      <c r="D82" s="6" t="inlineStr">
        <is>
          <t>PA</t>
        </is>
      </c>
      <c r="E82" s="6" t="n">
        <v>-1.33204</v>
      </c>
      <c r="F82" s="6" t="n">
        <v>-48.35642</v>
      </c>
      <c r="G82" s="6" t="inlineStr">
        <is>
          <t>COMPANHIA NACIONAL DE ABASTECIMENTO</t>
        </is>
      </c>
      <c r="H82" s="6" t="inlineStr">
        <is>
          <t>Convencional</t>
        </is>
      </c>
      <c r="I82" s="11" t="n">
        <v>8900</v>
      </c>
      <c r="J82" s="11" t="n">
        <v>60</v>
      </c>
      <c r="K82" s="11" t="n">
        <v>60</v>
      </c>
      <c r="L82" s="11" t="n">
        <v>0</v>
      </c>
      <c r="M82" s="11" t="n">
        <v>0</v>
      </c>
      <c r="N82" s="11" t="n">
        <v>0</v>
      </c>
      <c r="O82" s="11">
        <f>IF($B82="Candidato",IF($L82&gt;0,$M82/$L82,0),0)</f>
        <v/>
      </c>
      <c r="P82" s="11" t="inlineStr">
        <is>
          <t>SIM</t>
        </is>
      </c>
      <c r="Q82" s="11">
        <f>IF($P82="SIM",$I82*Parametros_Modelo!$B$9,0)</f>
        <v/>
      </c>
      <c r="R82" s="11">
        <f>IF($P82="SIM",Parametros_Modelo!$B$10,0)</f>
        <v/>
      </c>
      <c r="S82" s="11" t="inlineStr">
        <is>
          <t>SIM</t>
        </is>
      </c>
      <c r="T82" s="11">
        <f>IF($S82="SIM",Parametros_Modelo!$B$11,0)</f>
        <v/>
      </c>
      <c r="U82" s="11">
        <f>Parametros_Modelo!$B$5</f>
        <v/>
      </c>
      <c r="V82" s="11">
        <f>Parametros_Modelo!$B$6</f>
        <v/>
      </c>
      <c r="W82" s="6" t="inlineStr">
        <is>
          <t>Sintético/Derivado_de_Custo_Invest para expansão, granelização e penalidades</t>
        </is>
      </c>
      <c r="X82" s="6" t="inlineStr">
        <is>
          <t>Colunas adicionadas para separar parâmetros do modelo matemático dos dados originais do CDA.</t>
        </is>
      </c>
      <c r="Y82" s="6" t="inlineStr">
        <is>
          <t>Opcional agora; necessária se ativar expansão, granelização ou custos candidatos explícitos.</t>
        </is>
      </c>
    </row>
    <row r="83">
      <c r="A83" s="6" t="inlineStr">
        <is>
          <t>58.0287.0005-0</t>
        </is>
      </c>
      <c r="B83" s="6" t="inlineStr">
        <is>
          <t>Existente</t>
        </is>
      </c>
      <c r="C83" s="6" t="inlineStr">
        <is>
          <t>Campina Grande</t>
        </is>
      </c>
      <c r="D83" s="6" t="inlineStr">
        <is>
          <t>PB</t>
        </is>
      </c>
      <c r="E83" s="6" t="n">
        <v>-7.272515</v>
      </c>
      <c r="F83" s="6" t="n">
        <v>-35.887636</v>
      </c>
      <c r="G83" s="6" t="inlineStr">
        <is>
          <t>COMPANHIA NACIONAL DE ABASTECIMENTO</t>
        </is>
      </c>
      <c r="H83" s="6" t="inlineStr">
        <is>
          <t>Convencional</t>
        </is>
      </c>
      <c r="I83" s="11" t="n">
        <v>7000</v>
      </c>
      <c r="J83" s="11" t="n">
        <v>19</v>
      </c>
      <c r="K83" s="11" t="n">
        <v>19</v>
      </c>
      <c r="L83" s="11" t="n">
        <v>0</v>
      </c>
      <c r="M83" s="11" t="n">
        <v>0</v>
      </c>
      <c r="N83" s="11" t="n">
        <v>0</v>
      </c>
      <c r="O83" s="11">
        <f>IF($B83="Candidato",IF($L83&gt;0,$M83/$L83,0),0)</f>
        <v/>
      </c>
      <c r="P83" s="11" t="inlineStr">
        <is>
          <t>SIM</t>
        </is>
      </c>
      <c r="Q83" s="11">
        <f>IF($P83="SIM",$I83*Parametros_Modelo!$B$9,0)</f>
        <v/>
      </c>
      <c r="R83" s="11">
        <f>IF($P83="SIM",Parametros_Modelo!$B$10,0)</f>
        <v/>
      </c>
      <c r="S83" s="11" t="inlineStr">
        <is>
          <t>SIM</t>
        </is>
      </c>
      <c r="T83" s="11">
        <f>IF($S83="SIM",Parametros_Modelo!$B$11,0)</f>
        <v/>
      </c>
      <c r="U83" s="11">
        <f>Parametros_Modelo!$B$5</f>
        <v/>
      </c>
      <c r="V83" s="11">
        <f>Parametros_Modelo!$B$6</f>
        <v/>
      </c>
      <c r="W83" s="6" t="inlineStr">
        <is>
          <t>Sintético/Derivado_de_Custo_Invest para expansão, granelização e penalidades</t>
        </is>
      </c>
      <c r="X83" s="6" t="inlineStr">
        <is>
          <t>Colunas adicionadas para separar parâmetros do modelo matemático dos dados originais do CDA.</t>
        </is>
      </c>
      <c r="Y83" s="6" t="inlineStr">
        <is>
          <t>Opcional agora; necessária se ativar expansão, granelização ou custos candidatos explícitos.</t>
        </is>
      </c>
    </row>
    <row r="84">
      <c r="A84" s="6" t="inlineStr">
        <is>
          <t>58.0287.0050-5</t>
        </is>
      </c>
      <c r="B84" s="6" t="inlineStr">
        <is>
          <t>Existente</t>
        </is>
      </c>
      <c r="C84" s="6" t="inlineStr">
        <is>
          <t>João Pessoa</t>
        </is>
      </c>
      <c r="D84" s="6" t="inlineStr">
        <is>
          <t>PB</t>
        </is>
      </c>
      <c r="E84" s="6" t="n">
        <v>-7.184094</v>
      </c>
      <c r="F84" s="6" t="n">
        <v>-34.918548</v>
      </c>
      <c r="G84" s="6" t="inlineStr">
        <is>
          <t>COMPANHIA NACIONAL DE ABASTECIMENTO</t>
        </is>
      </c>
      <c r="H84" s="6" t="inlineStr">
        <is>
          <t>Convencional</t>
        </is>
      </c>
      <c r="I84" s="11" t="n">
        <v>8900</v>
      </c>
      <c r="J84" s="11" t="n">
        <v>19</v>
      </c>
      <c r="K84" s="11" t="n">
        <v>19</v>
      </c>
      <c r="L84" s="11" t="n">
        <v>0</v>
      </c>
      <c r="M84" s="11" t="n">
        <v>0</v>
      </c>
      <c r="N84" s="11" t="n">
        <v>0</v>
      </c>
      <c r="O84" s="11">
        <f>IF($B84="Candidato",IF($L84&gt;0,$M84/$L84,0),0)</f>
        <v/>
      </c>
      <c r="P84" s="11" t="inlineStr">
        <is>
          <t>SIM</t>
        </is>
      </c>
      <c r="Q84" s="11">
        <f>IF($P84="SIM",$I84*Parametros_Modelo!$B$9,0)</f>
        <v/>
      </c>
      <c r="R84" s="11">
        <f>IF($P84="SIM",Parametros_Modelo!$B$10,0)</f>
        <v/>
      </c>
      <c r="S84" s="11" t="inlineStr">
        <is>
          <t>SIM</t>
        </is>
      </c>
      <c r="T84" s="11">
        <f>IF($S84="SIM",Parametros_Modelo!$B$11,0)</f>
        <v/>
      </c>
      <c r="U84" s="11">
        <f>Parametros_Modelo!$B$5</f>
        <v/>
      </c>
      <c r="V84" s="11">
        <f>Parametros_Modelo!$B$6</f>
        <v/>
      </c>
      <c r="W84" s="6" t="inlineStr">
        <is>
          <t>Sintético/Derivado_de_Custo_Invest para expansão, granelização e penalidades</t>
        </is>
      </c>
      <c r="X84" s="6" t="inlineStr">
        <is>
          <t>Colunas adicionadas para separar parâmetros do modelo matemático dos dados originais do CDA.</t>
        </is>
      </c>
      <c r="Y84" s="6" t="inlineStr">
        <is>
          <t>Opcional agora; necessária se ativar expansão, granelização ou custos candidatos explícitos.</t>
        </is>
      </c>
    </row>
    <row r="85">
      <c r="A85" s="6" t="inlineStr">
        <is>
          <t>58.0287.0021-1</t>
        </is>
      </c>
      <c r="B85" s="6" t="inlineStr">
        <is>
          <t>Existente</t>
        </is>
      </c>
      <c r="C85" s="6" t="inlineStr">
        <is>
          <t>Monteiro</t>
        </is>
      </c>
      <c r="D85" s="6" t="inlineStr">
        <is>
          <t>PB</t>
        </is>
      </c>
      <c r="E85" s="6" t="n">
        <v>-7.896426</v>
      </c>
      <c r="F85" s="6" t="n">
        <v>-37.129711</v>
      </c>
      <c r="G85" s="6" t="inlineStr">
        <is>
          <t>COMPANHIA NACIONAL DE ABASTECIMENTO</t>
        </is>
      </c>
      <c r="H85" s="6" t="inlineStr">
        <is>
          <t>Convencional</t>
        </is>
      </c>
      <c r="I85" s="11" t="n">
        <v>3500</v>
      </c>
      <c r="J85" s="11" t="n">
        <v>13</v>
      </c>
      <c r="K85" s="11" t="n">
        <v>13</v>
      </c>
      <c r="L85" s="11" t="n">
        <v>0</v>
      </c>
      <c r="M85" s="11" t="n">
        <v>0</v>
      </c>
      <c r="N85" s="11" t="n">
        <v>0</v>
      </c>
      <c r="O85" s="11">
        <f>IF($B85="Candidato",IF($L85&gt;0,$M85/$L85,0),0)</f>
        <v/>
      </c>
      <c r="P85" s="11" t="inlineStr">
        <is>
          <t>SIM</t>
        </is>
      </c>
      <c r="Q85" s="11">
        <f>IF($P85="SIM",$I85*Parametros_Modelo!$B$9,0)</f>
        <v/>
      </c>
      <c r="R85" s="11">
        <f>IF($P85="SIM",Parametros_Modelo!$B$10,0)</f>
        <v/>
      </c>
      <c r="S85" s="11" t="inlineStr">
        <is>
          <t>SIM</t>
        </is>
      </c>
      <c r="T85" s="11">
        <f>IF($S85="SIM",Parametros_Modelo!$B$11,0)</f>
        <v/>
      </c>
      <c r="U85" s="11">
        <f>Parametros_Modelo!$B$5</f>
        <v/>
      </c>
      <c r="V85" s="11">
        <f>Parametros_Modelo!$B$6</f>
        <v/>
      </c>
      <c r="W85" s="6" t="inlineStr">
        <is>
          <t>Sintético/Derivado_de_Custo_Invest para expansão, granelização e penalidades</t>
        </is>
      </c>
      <c r="X85" s="6" t="inlineStr">
        <is>
          <t>Colunas adicionadas para separar parâmetros do modelo matemático dos dados originais do CDA.</t>
        </is>
      </c>
      <c r="Y85" s="6" t="inlineStr">
        <is>
          <t>Opcional agora; necessária se ativar expansão, granelização ou custos candidatos explícitos.</t>
        </is>
      </c>
    </row>
    <row r="86">
      <c r="A86" s="6" t="inlineStr">
        <is>
          <t>58.0287.0049-1</t>
        </is>
      </c>
      <c r="B86" s="6" t="inlineStr">
        <is>
          <t>Existente</t>
        </is>
      </c>
      <c r="C86" s="6" t="inlineStr">
        <is>
          <t>Patos</t>
        </is>
      </c>
      <c r="D86" s="6" t="inlineStr">
        <is>
          <t>PB</t>
        </is>
      </c>
      <c r="E86" s="6" t="n">
        <v>-6.992245</v>
      </c>
      <c r="F86" s="6" t="n">
        <v>-37.320485</v>
      </c>
      <c r="G86" s="6" t="inlineStr">
        <is>
          <t>COMPANHIA NACIONAL DE ABASTECIMENTO</t>
        </is>
      </c>
      <c r="H86" s="6" t="inlineStr">
        <is>
          <t>Convencional</t>
        </is>
      </c>
      <c r="I86" s="11" t="n">
        <v>2800</v>
      </c>
      <c r="J86" s="11" t="n">
        <v>14</v>
      </c>
      <c r="K86" s="11" t="n">
        <v>14</v>
      </c>
      <c r="L86" s="11" t="n">
        <v>0</v>
      </c>
      <c r="M86" s="11" t="n">
        <v>0</v>
      </c>
      <c r="N86" s="11" t="n">
        <v>0</v>
      </c>
      <c r="O86" s="11">
        <f>IF($B86="Candidato",IF($L86&gt;0,$M86/$L86,0),0)</f>
        <v/>
      </c>
      <c r="P86" s="11" t="inlineStr">
        <is>
          <t>SIM</t>
        </is>
      </c>
      <c r="Q86" s="11">
        <f>IF($P86="SIM",$I86*Parametros_Modelo!$B$9,0)</f>
        <v/>
      </c>
      <c r="R86" s="11">
        <f>IF($P86="SIM",Parametros_Modelo!$B$10,0)</f>
        <v/>
      </c>
      <c r="S86" s="11" t="inlineStr">
        <is>
          <t>SIM</t>
        </is>
      </c>
      <c r="T86" s="11">
        <f>IF($S86="SIM",Parametros_Modelo!$B$11,0)</f>
        <v/>
      </c>
      <c r="U86" s="11">
        <f>Parametros_Modelo!$B$5</f>
        <v/>
      </c>
      <c r="V86" s="11">
        <f>Parametros_Modelo!$B$6</f>
        <v/>
      </c>
      <c r="W86" s="6" t="inlineStr">
        <is>
          <t>Sintético/Derivado_de_Custo_Invest para expansão, granelização e penalidades</t>
        </is>
      </c>
      <c r="X86" s="6" t="inlineStr">
        <is>
          <t>Colunas adicionadas para separar parâmetros do modelo matemático dos dados originais do CDA.</t>
        </is>
      </c>
      <c r="Y86" s="6" t="inlineStr">
        <is>
          <t>Opcional agora; necessária se ativar expansão, granelização ou custos candidatos explícitos.</t>
        </is>
      </c>
    </row>
    <row r="87">
      <c r="A87" s="6" t="inlineStr">
        <is>
          <t>59.0287.0044-9</t>
        </is>
      </c>
      <c r="B87" s="6" t="inlineStr">
        <is>
          <t>Existente</t>
        </is>
      </c>
      <c r="C87" s="6" t="inlineStr">
        <is>
          <t>Arcoverde</t>
        </is>
      </c>
      <c r="D87" s="6" t="inlineStr">
        <is>
          <t>PE</t>
        </is>
      </c>
      <c r="E87" s="6" t="n">
        <v>-8.414671999999999</v>
      </c>
      <c r="F87" s="6" t="n">
        <v>-37.070585</v>
      </c>
      <c r="G87" s="6" t="inlineStr">
        <is>
          <t>COMPANHIA NACIONAL DE ABASTECIMENTO</t>
        </is>
      </c>
      <c r="H87" s="6" t="inlineStr">
        <is>
          <t>Convencional</t>
        </is>
      </c>
      <c r="I87" s="11" t="n">
        <v>1800</v>
      </c>
      <c r="J87" s="11" t="n">
        <v>7</v>
      </c>
      <c r="K87" s="11" t="n">
        <v>7</v>
      </c>
      <c r="L87" s="11" t="n">
        <v>0</v>
      </c>
      <c r="M87" s="11" t="n">
        <v>0</v>
      </c>
      <c r="N87" s="11" t="n">
        <v>0</v>
      </c>
      <c r="O87" s="11">
        <f>IF($B87="Candidato",IF($L87&gt;0,$M87/$L87,0),0)</f>
        <v/>
      </c>
      <c r="P87" s="11" t="inlineStr">
        <is>
          <t>SIM</t>
        </is>
      </c>
      <c r="Q87" s="11">
        <f>IF($P87="SIM",$I87*Parametros_Modelo!$B$9,0)</f>
        <v/>
      </c>
      <c r="R87" s="11">
        <f>IF($P87="SIM",Parametros_Modelo!$B$10,0)</f>
        <v/>
      </c>
      <c r="S87" s="11" t="inlineStr">
        <is>
          <t>SIM</t>
        </is>
      </c>
      <c r="T87" s="11">
        <f>IF($S87="SIM",Parametros_Modelo!$B$11,0)</f>
        <v/>
      </c>
      <c r="U87" s="11">
        <f>Parametros_Modelo!$B$5</f>
        <v/>
      </c>
      <c r="V87" s="11">
        <f>Parametros_Modelo!$B$6</f>
        <v/>
      </c>
      <c r="W87" s="6" t="inlineStr">
        <is>
          <t>Sintético/Derivado_de_Custo_Invest para expansão, granelização e penalidades</t>
        </is>
      </c>
      <c r="X87" s="6" t="inlineStr">
        <is>
          <t>Colunas adicionadas para separar parâmetros do modelo matemático dos dados originais do CDA.</t>
        </is>
      </c>
      <c r="Y87" s="6" t="inlineStr">
        <is>
          <t>Opcional agora; necessária se ativar expansão, granelização ou custos candidatos explícitos.</t>
        </is>
      </c>
    </row>
    <row r="88">
      <c r="A88" s="6" t="inlineStr">
        <is>
          <t>59.0287.0018-0</t>
        </is>
      </c>
      <c r="B88" s="6" t="inlineStr">
        <is>
          <t>Existente</t>
        </is>
      </c>
      <c r="C88" s="6" t="inlineStr">
        <is>
          <t>Recife</t>
        </is>
      </c>
      <c r="D88" s="6" t="inlineStr">
        <is>
          <t>PE</t>
        </is>
      </c>
      <c r="E88" s="6" t="n">
        <v>-8.033068</v>
      </c>
      <c r="F88" s="6" t="n">
        <v>-34.939058</v>
      </c>
      <c r="G88" s="6" t="inlineStr">
        <is>
          <t>COMPANHIA NACIONAL DE ABASTECIMENTO</t>
        </is>
      </c>
      <c r="H88" s="6" t="inlineStr">
        <is>
          <t>Convencional</t>
        </is>
      </c>
      <c r="I88" s="11" t="n">
        <v>3600</v>
      </c>
      <c r="J88" s="11" t="n">
        <v>1</v>
      </c>
      <c r="K88" s="11" t="n">
        <v>1</v>
      </c>
      <c r="L88" s="11" t="n">
        <v>0</v>
      </c>
      <c r="M88" s="11" t="n">
        <v>0</v>
      </c>
      <c r="N88" s="11" t="n">
        <v>0</v>
      </c>
      <c r="O88" s="11">
        <f>IF($B88="Candidato",IF($L88&gt;0,$M88/$L88,0),0)</f>
        <v/>
      </c>
      <c r="P88" s="11" t="inlineStr">
        <is>
          <t>SIM</t>
        </is>
      </c>
      <c r="Q88" s="11">
        <f>IF($P88="SIM",$I88*Parametros_Modelo!$B$9,0)</f>
        <v/>
      </c>
      <c r="R88" s="11">
        <f>IF($P88="SIM",Parametros_Modelo!$B$10,0)</f>
        <v/>
      </c>
      <c r="S88" s="11" t="inlineStr">
        <is>
          <t>SIM</t>
        </is>
      </c>
      <c r="T88" s="11">
        <f>IF($S88="SIM",Parametros_Modelo!$B$11,0)</f>
        <v/>
      </c>
      <c r="U88" s="11">
        <f>Parametros_Modelo!$B$5</f>
        <v/>
      </c>
      <c r="V88" s="11">
        <f>Parametros_Modelo!$B$6</f>
        <v/>
      </c>
      <c r="W88" s="6" t="inlineStr">
        <is>
          <t>Sintético/Derivado_de_Custo_Invest para expansão, granelização e penalidades</t>
        </is>
      </c>
      <c r="X88" s="6" t="inlineStr">
        <is>
          <t>Colunas adicionadas para separar parâmetros do modelo matemático dos dados originais do CDA.</t>
        </is>
      </c>
      <c r="Y88" s="6" t="inlineStr">
        <is>
          <t>Opcional agora; necessária se ativar expansão, granelização ou custos candidatos explícitos.</t>
        </is>
      </c>
    </row>
    <row r="89">
      <c r="A89" s="6" t="inlineStr">
        <is>
          <t>59.0287.0041-4</t>
        </is>
      </c>
      <c r="B89" s="6" t="inlineStr">
        <is>
          <t>Existente</t>
        </is>
      </c>
      <c r="C89" s="6" t="inlineStr">
        <is>
          <t>Recife</t>
        </is>
      </c>
      <c r="D89" s="6" t="inlineStr">
        <is>
          <t>PE</t>
        </is>
      </c>
      <c r="E89" s="6" t="n">
        <v>-8.033068</v>
      </c>
      <c r="F89" s="6" t="n">
        <v>-34.939058</v>
      </c>
      <c r="G89" s="6" t="inlineStr">
        <is>
          <t>COMPANHIA NACIONAL DE ABASTECIMENTO</t>
        </is>
      </c>
      <c r="H89" s="6" t="inlineStr">
        <is>
          <t>Convencional</t>
        </is>
      </c>
      <c r="I89" s="11" t="n">
        <v>4900</v>
      </c>
      <c r="J89" s="11" t="n">
        <v>1</v>
      </c>
      <c r="K89" s="11" t="n">
        <v>1</v>
      </c>
      <c r="L89" s="11" t="n">
        <v>0</v>
      </c>
      <c r="M89" s="11" t="n">
        <v>0</v>
      </c>
      <c r="N89" s="11" t="n">
        <v>0</v>
      </c>
      <c r="O89" s="11">
        <f>IF($B89="Candidato",IF($L89&gt;0,$M89/$L89,0),0)</f>
        <v/>
      </c>
      <c r="P89" s="11" t="inlineStr">
        <is>
          <t>SIM</t>
        </is>
      </c>
      <c r="Q89" s="11">
        <f>IF($P89="SIM",$I89*Parametros_Modelo!$B$9,0)</f>
        <v/>
      </c>
      <c r="R89" s="11">
        <f>IF($P89="SIM",Parametros_Modelo!$B$10,0)</f>
        <v/>
      </c>
      <c r="S89" s="11" t="inlineStr">
        <is>
          <t>SIM</t>
        </is>
      </c>
      <c r="T89" s="11">
        <f>IF($S89="SIM",Parametros_Modelo!$B$11,0)</f>
        <v/>
      </c>
      <c r="U89" s="11">
        <f>Parametros_Modelo!$B$5</f>
        <v/>
      </c>
      <c r="V89" s="11">
        <f>Parametros_Modelo!$B$6</f>
        <v/>
      </c>
      <c r="W89" s="6" t="inlineStr">
        <is>
          <t>Sintético/Derivado_de_Custo_Invest para expansão, granelização e penalidades</t>
        </is>
      </c>
      <c r="X89" s="6" t="inlineStr">
        <is>
          <t>Colunas adicionadas para separar parâmetros do modelo matemático dos dados originais do CDA.</t>
        </is>
      </c>
      <c r="Y89" s="6" t="inlineStr">
        <is>
          <t>Opcional agora; necessária se ativar expansão, granelização ou custos candidatos explícitos.</t>
        </is>
      </c>
    </row>
    <row r="90">
      <c r="A90" s="6" t="inlineStr">
        <is>
          <t>59.0287.0042-2</t>
        </is>
      </c>
      <c r="B90" s="6" t="inlineStr">
        <is>
          <t>Existente</t>
        </is>
      </c>
      <c r="C90" s="6" t="inlineStr">
        <is>
          <t>Recife</t>
        </is>
      </c>
      <c r="D90" s="6" t="inlineStr">
        <is>
          <t>PE</t>
        </is>
      </c>
      <c r="E90" s="6" t="n">
        <v>-8.033068</v>
      </c>
      <c r="F90" s="6" t="n">
        <v>-34.939058</v>
      </c>
      <c r="G90" s="6" t="inlineStr">
        <is>
          <t>COMPANHIA NACIONAL DE ABASTECIMENTO</t>
        </is>
      </c>
      <c r="H90" s="6" t="inlineStr">
        <is>
          <t>Convencional</t>
        </is>
      </c>
      <c r="I90" s="11" t="n">
        <v>18100</v>
      </c>
      <c r="J90" s="11" t="n">
        <v>13</v>
      </c>
      <c r="K90" s="11" t="n">
        <v>13</v>
      </c>
      <c r="L90" s="11" t="n">
        <v>0</v>
      </c>
      <c r="M90" s="11" t="n">
        <v>0</v>
      </c>
      <c r="N90" s="11" t="n">
        <v>0</v>
      </c>
      <c r="O90" s="11">
        <f>IF($B90="Candidato",IF($L90&gt;0,$M90/$L90,0),0)</f>
        <v/>
      </c>
      <c r="P90" s="11" t="inlineStr">
        <is>
          <t>SIM</t>
        </is>
      </c>
      <c r="Q90" s="11">
        <f>IF($P90="SIM",$I90*Parametros_Modelo!$B$9,0)</f>
        <v/>
      </c>
      <c r="R90" s="11">
        <f>IF($P90="SIM",Parametros_Modelo!$B$10,0)</f>
        <v/>
      </c>
      <c r="S90" s="11" t="inlineStr">
        <is>
          <t>SIM</t>
        </is>
      </c>
      <c r="T90" s="11">
        <f>IF($S90="SIM",Parametros_Modelo!$B$11,0)</f>
        <v/>
      </c>
      <c r="U90" s="11">
        <f>Parametros_Modelo!$B$5</f>
        <v/>
      </c>
      <c r="V90" s="11">
        <f>Parametros_Modelo!$B$6</f>
        <v/>
      </c>
      <c r="W90" s="6" t="inlineStr">
        <is>
          <t>Sintético/Derivado_de_Custo_Invest para expansão, granelização e penalidades</t>
        </is>
      </c>
      <c r="X90" s="6" t="inlineStr">
        <is>
          <t>Colunas adicionadas para separar parâmetros do modelo matemático dos dados originais do CDA.</t>
        </is>
      </c>
      <c r="Y90" s="6" t="inlineStr">
        <is>
          <t>Opcional agora; necessária se ativar expansão, granelização ou custos candidatos explícitos.</t>
        </is>
      </c>
    </row>
    <row r="91">
      <c r="A91" s="6" t="inlineStr">
        <is>
          <t>65.0287.0054-0</t>
        </is>
      </c>
      <c r="B91" s="6" t="inlineStr">
        <is>
          <t>Existente</t>
        </is>
      </c>
      <c r="C91" s="6" t="inlineStr">
        <is>
          <t>Floriano</t>
        </is>
      </c>
      <c r="D91" s="6" t="inlineStr">
        <is>
          <t>PI</t>
        </is>
      </c>
      <c r="E91" s="6" t="n">
        <v>-6.78678</v>
      </c>
      <c r="F91" s="6" t="n">
        <v>-43.04399</v>
      </c>
      <c r="G91" s="6" t="inlineStr">
        <is>
          <t>COMPANHIA NACIONAL DE ABASTECIMENTO</t>
        </is>
      </c>
      <c r="H91" s="6" t="inlineStr">
        <is>
          <t>Convencional</t>
        </is>
      </c>
      <c r="I91" s="11" t="n">
        <v>4300</v>
      </c>
      <c r="J91" s="11" t="n">
        <v>10</v>
      </c>
      <c r="K91" s="11" t="n">
        <v>6</v>
      </c>
      <c r="L91" s="11" t="n">
        <v>0</v>
      </c>
      <c r="M91" s="11" t="n">
        <v>0</v>
      </c>
      <c r="N91" s="11" t="n">
        <v>0</v>
      </c>
      <c r="O91" s="11">
        <f>IF($B91="Candidato",IF($L91&gt;0,$M91/$L91,0),0)</f>
        <v/>
      </c>
      <c r="P91" s="11" t="inlineStr">
        <is>
          <t>SIM</t>
        </is>
      </c>
      <c r="Q91" s="11">
        <f>IF($P91="SIM",$I91*Parametros_Modelo!$B$9,0)</f>
        <v/>
      </c>
      <c r="R91" s="11">
        <f>IF($P91="SIM",Parametros_Modelo!$B$10,0)</f>
        <v/>
      </c>
      <c r="S91" s="11" t="inlineStr">
        <is>
          <t>SIM</t>
        </is>
      </c>
      <c r="T91" s="11">
        <f>IF($S91="SIM",Parametros_Modelo!$B$11,0)</f>
        <v/>
      </c>
      <c r="U91" s="11">
        <f>Parametros_Modelo!$B$5</f>
        <v/>
      </c>
      <c r="V91" s="11">
        <f>Parametros_Modelo!$B$6</f>
        <v/>
      </c>
      <c r="W91" s="6" t="inlineStr">
        <is>
          <t>Sintético/Derivado_de_Custo_Invest para expansão, granelização e penalidades</t>
        </is>
      </c>
      <c r="X91" s="6" t="inlineStr">
        <is>
          <t>Colunas adicionadas para separar parâmetros do modelo matemático dos dados originais do CDA.</t>
        </is>
      </c>
      <c r="Y91" s="6" t="inlineStr">
        <is>
          <t>Opcional agora; necessária se ativar expansão, granelização ou custos candidatos explícitos.</t>
        </is>
      </c>
    </row>
    <row r="92">
      <c r="A92" s="6" t="inlineStr">
        <is>
          <t>65.0287.0121-0</t>
        </is>
      </c>
      <c r="B92" s="6" t="inlineStr">
        <is>
          <t>Existente</t>
        </is>
      </c>
      <c r="C92" s="6" t="inlineStr">
        <is>
          <t>Parnaíba</t>
        </is>
      </c>
      <c r="D92" s="6" t="inlineStr">
        <is>
          <t>PI</t>
        </is>
      </c>
      <c r="E92" s="6" t="n">
        <v>-2.904117</v>
      </c>
      <c r="F92" s="6" t="n">
        <v>-41.757595</v>
      </c>
      <c r="G92" s="6" t="inlineStr">
        <is>
          <t>COMPANHIA NACIONAL DE ABASTECIMENTO</t>
        </is>
      </c>
      <c r="H92" s="6" t="inlineStr">
        <is>
          <t>Convencional</t>
        </is>
      </c>
      <c r="I92" s="11" t="n">
        <v>4100</v>
      </c>
      <c r="J92" s="11" t="n">
        <v>15</v>
      </c>
      <c r="K92" s="11" t="n">
        <v>10</v>
      </c>
      <c r="L92" s="11" t="n">
        <v>0</v>
      </c>
      <c r="M92" s="11" t="n">
        <v>0</v>
      </c>
      <c r="N92" s="11" t="n">
        <v>0</v>
      </c>
      <c r="O92" s="11">
        <f>IF($B92="Candidato",IF($L92&gt;0,$M92/$L92,0),0)</f>
        <v/>
      </c>
      <c r="P92" s="11" t="inlineStr">
        <is>
          <t>SIM</t>
        </is>
      </c>
      <c r="Q92" s="11">
        <f>IF($P92="SIM",$I92*Parametros_Modelo!$B$9,0)</f>
        <v/>
      </c>
      <c r="R92" s="11">
        <f>IF($P92="SIM",Parametros_Modelo!$B$10,0)</f>
        <v/>
      </c>
      <c r="S92" s="11" t="inlineStr">
        <is>
          <t>SIM</t>
        </is>
      </c>
      <c r="T92" s="11">
        <f>IF($S92="SIM",Parametros_Modelo!$B$11,0)</f>
        <v/>
      </c>
      <c r="U92" s="11">
        <f>Parametros_Modelo!$B$5</f>
        <v/>
      </c>
      <c r="V92" s="11">
        <f>Parametros_Modelo!$B$6</f>
        <v/>
      </c>
      <c r="W92" s="6" t="inlineStr">
        <is>
          <t>Sintético/Derivado_de_Custo_Invest para expansão, granelização e penalidades</t>
        </is>
      </c>
      <c r="X92" s="6" t="inlineStr">
        <is>
          <t>Colunas adicionadas para separar parâmetros do modelo matemático dos dados originais do CDA.</t>
        </is>
      </c>
      <c r="Y92" s="6" t="inlineStr">
        <is>
          <t>Opcional agora; necessária se ativar expansão, granelização ou custos candidatos explícitos.</t>
        </is>
      </c>
    </row>
    <row r="93">
      <c r="A93" s="6" t="inlineStr">
        <is>
          <t>65.0287.0034-6</t>
        </is>
      </c>
      <c r="B93" s="6" t="inlineStr">
        <is>
          <t>Existente</t>
        </is>
      </c>
      <c r="C93" s="6" t="inlineStr">
        <is>
          <t>Picos</t>
        </is>
      </c>
      <c r="D93" s="6" t="inlineStr">
        <is>
          <t>PI</t>
        </is>
      </c>
      <c r="E93" s="6" t="n">
        <v>-7.079008</v>
      </c>
      <c r="F93" s="6" t="n">
        <v>-41.437125</v>
      </c>
      <c r="G93" s="6" t="inlineStr">
        <is>
          <t>COMPANHIA NACIONAL DE ABASTECIMENTO</t>
        </is>
      </c>
      <c r="H93" s="6" t="inlineStr">
        <is>
          <t>Convencional</t>
        </is>
      </c>
      <c r="I93" s="11" t="n">
        <v>3200</v>
      </c>
      <c r="J93" s="11" t="n">
        <v>10</v>
      </c>
      <c r="K93" s="11" t="n">
        <v>6</v>
      </c>
      <c r="L93" s="11" t="n">
        <v>0</v>
      </c>
      <c r="M93" s="11" t="n">
        <v>0</v>
      </c>
      <c r="N93" s="11" t="n">
        <v>0</v>
      </c>
      <c r="O93" s="11">
        <f>IF($B93="Candidato",IF($L93&gt;0,$M93/$L93,0),0)</f>
        <v/>
      </c>
      <c r="P93" s="11" t="inlineStr">
        <is>
          <t>SIM</t>
        </is>
      </c>
      <c r="Q93" s="11">
        <f>IF($P93="SIM",$I93*Parametros_Modelo!$B$9,0)</f>
        <v/>
      </c>
      <c r="R93" s="11">
        <f>IF($P93="SIM",Parametros_Modelo!$B$10,0)</f>
        <v/>
      </c>
      <c r="S93" s="11" t="inlineStr">
        <is>
          <t>SIM</t>
        </is>
      </c>
      <c r="T93" s="11">
        <f>IF($S93="SIM",Parametros_Modelo!$B$11,0)</f>
        <v/>
      </c>
      <c r="U93" s="11">
        <f>Parametros_Modelo!$B$5</f>
        <v/>
      </c>
      <c r="V93" s="11">
        <f>Parametros_Modelo!$B$6</f>
        <v/>
      </c>
      <c r="W93" s="6" t="inlineStr">
        <is>
          <t>Sintético/Derivado_de_Custo_Invest para expansão, granelização e penalidades</t>
        </is>
      </c>
      <c r="X93" s="6" t="inlineStr">
        <is>
          <t>Colunas adicionadas para separar parâmetros do modelo matemático dos dados originais do CDA.</t>
        </is>
      </c>
      <c r="Y93" s="6" t="inlineStr">
        <is>
          <t>Opcional agora; necessária se ativar expansão, granelização ou custos candidatos explícitos.</t>
        </is>
      </c>
    </row>
    <row r="94">
      <c r="A94" s="6" t="inlineStr">
        <is>
          <t>65.0287.0042-7</t>
        </is>
      </c>
      <c r="B94" s="6" t="inlineStr">
        <is>
          <t>Existente</t>
        </is>
      </c>
      <c r="C94" s="6" t="inlineStr">
        <is>
          <t>Teresina</t>
        </is>
      </c>
      <c r="D94" s="6" t="inlineStr">
        <is>
          <t>PI</t>
        </is>
      </c>
      <c r="E94" s="6" t="n">
        <v>-5.14376</v>
      </c>
      <c r="F94" s="6" t="n">
        <v>-42.79656</v>
      </c>
      <c r="G94" s="6" t="inlineStr">
        <is>
          <t>COMPANHIA NACIONAL DE ABASTECIMENTO</t>
        </is>
      </c>
      <c r="H94" s="6" t="inlineStr">
        <is>
          <t>Convencional</t>
        </is>
      </c>
      <c r="I94" s="11" t="n">
        <v>4100</v>
      </c>
      <c r="J94" s="11" t="n">
        <v>15</v>
      </c>
      <c r="K94" s="11" t="n">
        <v>10</v>
      </c>
      <c r="L94" s="11" t="n">
        <v>0</v>
      </c>
      <c r="M94" s="11" t="n">
        <v>0</v>
      </c>
      <c r="N94" s="11" t="n">
        <v>0</v>
      </c>
      <c r="O94" s="11">
        <f>IF($B94="Candidato",IF($L94&gt;0,$M94/$L94,0),0)</f>
        <v/>
      </c>
      <c r="P94" s="11" t="inlineStr">
        <is>
          <t>SIM</t>
        </is>
      </c>
      <c r="Q94" s="11">
        <f>IF($P94="SIM",$I94*Parametros_Modelo!$B$9,0)</f>
        <v/>
      </c>
      <c r="R94" s="11">
        <f>IF($P94="SIM",Parametros_Modelo!$B$10,0)</f>
        <v/>
      </c>
      <c r="S94" s="11" t="inlineStr">
        <is>
          <t>SIM</t>
        </is>
      </c>
      <c r="T94" s="11">
        <f>IF($S94="SIM",Parametros_Modelo!$B$11,0)</f>
        <v/>
      </c>
      <c r="U94" s="11">
        <f>Parametros_Modelo!$B$5</f>
        <v/>
      </c>
      <c r="V94" s="11">
        <f>Parametros_Modelo!$B$6</f>
        <v/>
      </c>
      <c r="W94" s="6" t="inlineStr">
        <is>
          <t>Sintético/Derivado_de_Custo_Invest para expansão, granelização e penalidades</t>
        </is>
      </c>
      <c r="X94" s="6" t="inlineStr">
        <is>
          <t>Colunas adicionadas para separar parâmetros do modelo matemático dos dados originais do CDA.</t>
        </is>
      </c>
      <c r="Y94" s="6" t="inlineStr">
        <is>
          <t>Opcional agora; necessária se ativar expansão, granelização ou custos candidatos explícitos.</t>
        </is>
      </c>
    </row>
    <row r="95">
      <c r="A95" s="6" t="inlineStr">
        <is>
          <t>65.0287.0110-5</t>
        </is>
      </c>
      <c r="B95" s="6" t="inlineStr">
        <is>
          <t>Existente</t>
        </is>
      </c>
      <c r="C95" s="6" t="inlineStr">
        <is>
          <t>Teresina</t>
        </is>
      </c>
      <c r="D95" s="6" t="inlineStr">
        <is>
          <t>PI</t>
        </is>
      </c>
      <c r="E95" s="6" t="n">
        <v>-5.08998</v>
      </c>
      <c r="F95" s="6" t="n">
        <v>-42.8003</v>
      </c>
      <c r="G95" s="6" t="inlineStr">
        <is>
          <t>COMPANHIA NACIONAL DE ABASTECIMENTO</t>
        </is>
      </c>
      <c r="H95" s="6" t="inlineStr">
        <is>
          <t>Convencional</t>
        </is>
      </c>
      <c r="I95" s="11" t="n">
        <v>4200</v>
      </c>
      <c r="J95" s="11" t="n">
        <v>29</v>
      </c>
      <c r="K95" s="11" t="n">
        <v>20</v>
      </c>
      <c r="L95" s="11" t="n">
        <v>0</v>
      </c>
      <c r="M95" s="11" t="n">
        <v>0</v>
      </c>
      <c r="N95" s="11" t="n">
        <v>0</v>
      </c>
      <c r="O95" s="11">
        <f>IF($B95="Candidato",IF($L95&gt;0,$M95/$L95,0),0)</f>
        <v/>
      </c>
      <c r="P95" s="11" t="inlineStr">
        <is>
          <t>SIM</t>
        </is>
      </c>
      <c r="Q95" s="11">
        <f>IF($P95="SIM",$I95*Parametros_Modelo!$B$9,0)</f>
        <v/>
      </c>
      <c r="R95" s="11">
        <f>IF($P95="SIM",Parametros_Modelo!$B$10,0)</f>
        <v/>
      </c>
      <c r="S95" s="11" t="inlineStr">
        <is>
          <t>SIM</t>
        </is>
      </c>
      <c r="T95" s="11">
        <f>IF($S95="SIM",Parametros_Modelo!$B$11,0)</f>
        <v/>
      </c>
      <c r="U95" s="11">
        <f>Parametros_Modelo!$B$5</f>
        <v/>
      </c>
      <c r="V95" s="11">
        <f>Parametros_Modelo!$B$6</f>
        <v/>
      </c>
      <c r="W95" s="6" t="inlineStr">
        <is>
          <t>Sintético/Derivado_de_Custo_Invest para expansão, granelização e penalidades</t>
        </is>
      </c>
      <c r="X95" s="6" t="inlineStr">
        <is>
          <t>Colunas adicionadas para separar parâmetros do modelo matemático dos dados originais do CDA.</t>
        </is>
      </c>
      <c r="Y95" s="6" t="inlineStr">
        <is>
          <t>Opcional agora; necessária se ativar expansão, granelização ou custos candidatos explícitos.</t>
        </is>
      </c>
    </row>
    <row r="96">
      <c r="A96" s="6" t="inlineStr">
        <is>
          <t>66.0287.0061-1</t>
        </is>
      </c>
      <c r="B96" s="6" t="inlineStr">
        <is>
          <t>Existente</t>
        </is>
      </c>
      <c r="C96" s="6" t="inlineStr">
        <is>
          <t>Cambé</t>
        </is>
      </c>
      <c r="D96" s="6" t="inlineStr">
        <is>
          <t>PR</t>
        </is>
      </c>
      <c r="E96" s="6" t="n">
        <v>-23.27562</v>
      </c>
      <c r="F96" s="6" t="n">
        <v>-51.295575</v>
      </c>
      <c r="G96" s="6" t="inlineStr">
        <is>
          <t>COMPANHIA NACIONAL DE ABASTECIMENTO</t>
        </is>
      </c>
      <c r="H96" s="6" t="inlineStr">
        <is>
          <t>Silo</t>
        </is>
      </c>
      <c r="I96" s="11" t="n">
        <v>25800</v>
      </c>
      <c r="J96" s="11" t="n">
        <v>90</v>
      </c>
      <c r="K96" s="11" t="n">
        <v>570</v>
      </c>
      <c r="L96" s="11" t="n">
        <v>0</v>
      </c>
      <c r="M96" s="11" t="n">
        <v>0</v>
      </c>
      <c r="N96" s="11" t="n">
        <v>0</v>
      </c>
      <c r="O96" s="11">
        <f>IF($B96="Candidato",IF($L96&gt;0,$M96/$L96,0),0)</f>
        <v/>
      </c>
      <c r="P96" s="11" t="inlineStr">
        <is>
          <t>SIM</t>
        </is>
      </c>
      <c r="Q96" s="11">
        <f>IF($P96="SIM",$I96*Parametros_Modelo!$B$9,0)</f>
        <v/>
      </c>
      <c r="R96" s="11">
        <f>IF($P96="SIM",Parametros_Modelo!$B$10,0)</f>
        <v/>
      </c>
      <c r="S96" s="11" t="inlineStr">
        <is>
          <t>NAO</t>
        </is>
      </c>
      <c r="T96" s="11">
        <f>IF($S96="SIM",Parametros_Modelo!$B$11,0)</f>
        <v/>
      </c>
      <c r="U96" s="11">
        <f>Parametros_Modelo!$B$5</f>
        <v/>
      </c>
      <c r="V96" s="11">
        <f>Parametros_Modelo!$B$6</f>
        <v/>
      </c>
      <c r="W96" s="6" t="inlineStr">
        <is>
          <t>Sintético/Derivado_de_Custo_Invest para expansão, granelização e penalidades</t>
        </is>
      </c>
      <c r="X96" s="6" t="inlineStr">
        <is>
          <t>Colunas adicionadas para separar parâmetros do modelo matemático dos dados originais do CDA.</t>
        </is>
      </c>
      <c r="Y96" s="6" t="inlineStr">
        <is>
          <t>Opcional agora; necessária se ativar expansão, granelização ou custos candidatos explícitos.</t>
        </is>
      </c>
    </row>
    <row r="97">
      <c r="A97" s="6" t="inlineStr">
        <is>
          <t>66.0287.0030-1</t>
        </is>
      </c>
      <c r="B97" s="6" t="inlineStr">
        <is>
          <t>Existente</t>
        </is>
      </c>
      <c r="C97" s="6" t="inlineStr">
        <is>
          <t>Ponta Grossa</t>
        </is>
      </c>
      <c r="D97" s="6" t="inlineStr">
        <is>
          <t>PR</t>
        </is>
      </c>
      <c r="E97" s="6" t="n">
        <v>-25.22017</v>
      </c>
      <c r="F97" s="6" t="n">
        <v>-50.06403</v>
      </c>
      <c r="G97" s="6" t="inlineStr">
        <is>
          <t>COMPANHIA NACIONAL DE ABASTECIMENTO</t>
        </is>
      </c>
      <c r="H97" s="6" t="inlineStr">
        <is>
          <t>Graneleiro</t>
        </is>
      </c>
      <c r="I97" s="11" t="n">
        <v>50000</v>
      </c>
      <c r="J97" s="11" t="n">
        <v>520</v>
      </c>
      <c r="K97" s="11" t="n">
        <v>400</v>
      </c>
      <c r="L97" s="11" t="n">
        <v>0</v>
      </c>
      <c r="M97" s="11" t="n">
        <v>0</v>
      </c>
      <c r="N97" s="11" t="n">
        <v>0</v>
      </c>
      <c r="O97" s="11">
        <f>IF($B97="Candidato",IF($L97&gt;0,$M97/$L97,0),0)</f>
        <v/>
      </c>
      <c r="P97" s="11" t="inlineStr">
        <is>
          <t>SIM</t>
        </is>
      </c>
      <c r="Q97" s="11">
        <f>IF($P97="SIM",$I97*Parametros_Modelo!$B$9,0)</f>
        <v/>
      </c>
      <c r="R97" s="11">
        <f>IF($P97="SIM",Parametros_Modelo!$B$10,0)</f>
        <v/>
      </c>
      <c r="S97" s="11" t="inlineStr">
        <is>
          <t>NAO</t>
        </is>
      </c>
      <c r="T97" s="11">
        <f>IF($S97="SIM",Parametros_Modelo!$B$11,0)</f>
        <v/>
      </c>
      <c r="U97" s="11">
        <f>Parametros_Modelo!$B$5</f>
        <v/>
      </c>
      <c r="V97" s="11">
        <f>Parametros_Modelo!$B$6</f>
        <v/>
      </c>
      <c r="W97" s="6" t="inlineStr">
        <is>
          <t>Sintético/Derivado_de_Custo_Invest para expansão, granelização e penalidades</t>
        </is>
      </c>
      <c r="X97" s="6" t="inlineStr">
        <is>
          <t>Colunas adicionadas para separar parâmetros do modelo matemático dos dados originais do CDA.</t>
        </is>
      </c>
      <c r="Y97" s="6" t="inlineStr">
        <is>
          <t>Opcional agora; necessária se ativar expansão, granelização ou custos candidatos explícitos.</t>
        </is>
      </c>
    </row>
    <row r="98">
      <c r="A98" s="6" t="inlineStr">
        <is>
          <t>66.0287.0052-2</t>
        </is>
      </c>
      <c r="B98" s="6" t="inlineStr">
        <is>
          <t>Existente</t>
        </is>
      </c>
      <c r="C98" s="6" t="inlineStr">
        <is>
          <t>Ponta Grossa</t>
        </is>
      </c>
      <c r="D98" s="6" t="inlineStr">
        <is>
          <t>PR</t>
        </is>
      </c>
      <c r="E98" s="6" t="n">
        <v>-25.22139</v>
      </c>
      <c r="F98" s="6" t="n">
        <v>-50.06391</v>
      </c>
      <c r="G98" s="6" t="inlineStr">
        <is>
          <t>COMPANHIA NACIONAL DE ABASTECIMENTO</t>
        </is>
      </c>
      <c r="H98" s="6" t="inlineStr">
        <is>
          <t>Graneleiro</t>
        </is>
      </c>
      <c r="I98" s="11" t="n">
        <v>75000</v>
      </c>
      <c r="J98" s="11" t="n">
        <v>520</v>
      </c>
      <c r="K98" s="11" t="n">
        <v>400</v>
      </c>
      <c r="L98" s="11" t="n">
        <v>0</v>
      </c>
      <c r="M98" s="11" t="n">
        <v>0</v>
      </c>
      <c r="N98" s="11" t="n">
        <v>0</v>
      </c>
      <c r="O98" s="11">
        <f>IF($B98="Candidato",IF($L98&gt;0,$M98/$L98,0),0)</f>
        <v/>
      </c>
      <c r="P98" s="11" t="inlineStr">
        <is>
          <t>SIM</t>
        </is>
      </c>
      <c r="Q98" s="11">
        <f>IF($P98="SIM",$I98*Parametros_Modelo!$B$9,0)</f>
        <v/>
      </c>
      <c r="R98" s="11">
        <f>IF($P98="SIM",Parametros_Modelo!$B$10,0)</f>
        <v/>
      </c>
      <c r="S98" s="11" t="inlineStr">
        <is>
          <t>NAO</t>
        </is>
      </c>
      <c r="T98" s="11">
        <f>IF($S98="SIM",Parametros_Modelo!$B$11,0)</f>
        <v/>
      </c>
      <c r="U98" s="11">
        <f>Parametros_Modelo!$B$5</f>
        <v/>
      </c>
      <c r="V98" s="11">
        <f>Parametros_Modelo!$B$6</f>
        <v/>
      </c>
      <c r="W98" s="6" t="inlineStr">
        <is>
          <t>Sintético/Derivado_de_Custo_Invest para expansão, granelização e penalidades</t>
        </is>
      </c>
      <c r="X98" s="6" t="inlineStr">
        <is>
          <t>Colunas adicionadas para separar parâmetros do modelo matemático dos dados originais do CDA.</t>
        </is>
      </c>
      <c r="Y98" s="6" t="inlineStr">
        <is>
          <t>Opcional agora; necessária se ativar expansão, granelização ou custos candidatos explícitos.</t>
        </is>
      </c>
    </row>
    <row r="99">
      <c r="A99" s="6" t="inlineStr">
        <is>
          <t>66.0287.0056-5</t>
        </is>
      </c>
      <c r="B99" s="6" t="inlineStr">
        <is>
          <t>Existente</t>
        </is>
      </c>
      <c r="C99" s="6" t="inlineStr">
        <is>
          <t>Ponta Grossa</t>
        </is>
      </c>
      <c r="D99" s="6" t="inlineStr">
        <is>
          <t>PR</t>
        </is>
      </c>
      <c r="E99" s="6" t="n">
        <v>-25.22011</v>
      </c>
      <c r="F99" s="6" t="n">
        <v>-50.0624</v>
      </c>
      <c r="G99" s="6" t="inlineStr">
        <is>
          <t>COMPANHIA NACIONAL DE ABASTECIMENTO</t>
        </is>
      </c>
      <c r="H99" s="6" t="inlineStr">
        <is>
          <t>Graneleiro</t>
        </is>
      </c>
      <c r="I99" s="11" t="n">
        <v>50000</v>
      </c>
      <c r="J99" s="11" t="n">
        <v>520</v>
      </c>
      <c r="K99" s="11" t="n">
        <v>260</v>
      </c>
      <c r="L99" s="11" t="n">
        <v>0</v>
      </c>
      <c r="M99" s="11" t="n">
        <v>0</v>
      </c>
      <c r="N99" s="11" t="n">
        <v>0</v>
      </c>
      <c r="O99" s="11">
        <f>IF($B99="Candidato",IF($L99&gt;0,$M99/$L99,0),0)</f>
        <v/>
      </c>
      <c r="P99" s="11" t="inlineStr">
        <is>
          <t>SIM</t>
        </is>
      </c>
      <c r="Q99" s="11">
        <f>IF($P99="SIM",$I99*Parametros_Modelo!$B$9,0)</f>
        <v/>
      </c>
      <c r="R99" s="11">
        <f>IF($P99="SIM",Parametros_Modelo!$B$10,0)</f>
        <v/>
      </c>
      <c r="S99" s="11" t="inlineStr">
        <is>
          <t>NAO</t>
        </is>
      </c>
      <c r="T99" s="11">
        <f>IF($S99="SIM",Parametros_Modelo!$B$11,0)</f>
        <v/>
      </c>
      <c r="U99" s="11">
        <f>Parametros_Modelo!$B$5</f>
        <v/>
      </c>
      <c r="V99" s="11">
        <f>Parametros_Modelo!$B$6</f>
        <v/>
      </c>
      <c r="W99" s="6" t="inlineStr">
        <is>
          <t>Sintético/Derivado_de_Custo_Invest para expansão, granelização e penalidades</t>
        </is>
      </c>
      <c r="X99" s="6" t="inlineStr">
        <is>
          <t>Colunas adicionadas para separar parâmetros do modelo matemático dos dados originais do CDA.</t>
        </is>
      </c>
      <c r="Y99" s="6" t="inlineStr">
        <is>
          <t>Opcional agora; necessária se ativar expansão, granelização ou custos candidatos explícitos.</t>
        </is>
      </c>
    </row>
    <row r="100">
      <c r="A100" s="6" t="inlineStr">
        <is>
          <t>66.0287.0059-0</t>
        </is>
      </c>
      <c r="B100" s="6" t="inlineStr">
        <is>
          <t>Existente</t>
        </is>
      </c>
      <c r="C100" s="6" t="inlineStr">
        <is>
          <t>Ponta Grossa</t>
        </is>
      </c>
      <c r="D100" s="6" t="inlineStr">
        <is>
          <t>PR</t>
        </is>
      </c>
      <c r="E100" s="6" t="n">
        <v>-25.22082</v>
      </c>
      <c r="F100" s="6" t="n">
        <v>-50.06203</v>
      </c>
      <c r="G100" s="6" t="inlineStr">
        <is>
          <t>COMPANHIA NACIONAL DE ABASTECIMENTO</t>
        </is>
      </c>
      <c r="H100" s="6" t="inlineStr">
        <is>
          <t>Graneleiro</t>
        </is>
      </c>
      <c r="I100" s="11" t="n">
        <v>75000</v>
      </c>
      <c r="J100" s="11" t="n">
        <v>520</v>
      </c>
      <c r="K100" s="11" t="n">
        <v>400</v>
      </c>
      <c r="L100" s="11" t="n">
        <v>0</v>
      </c>
      <c r="M100" s="11" t="n">
        <v>0</v>
      </c>
      <c r="N100" s="11" t="n">
        <v>0</v>
      </c>
      <c r="O100" s="11">
        <f>IF($B100="Candidato",IF($L100&gt;0,$M100/$L100,0),0)</f>
        <v/>
      </c>
      <c r="P100" s="11" t="inlineStr">
        <is>
          <t>SIM</t>
        </is>
      </c>
      <c r="Q100" s="11">
        <f>IF($P100="SIM",$I100*Parametros_Modelo!$B$9,0)</f>
        <v/>
      </c>
      <c r="R100" s="11">
        <f>IF($P100="SIM",Parametros_Modelo!$B$10,0)</f>
        <v/>
      </c>
      <c r="S100" s="11" t="inlineStr">
        <is>
          <t>NAO</t>
        </is>
      </c>
      <c r="T100" s="11">
        <f>IF($S100="SIM",Parametros_Modelo!$B$11,0)</f>
        <v/>
      </c>
      <c r="U100" s="11">
        <f>Parametros_Modelo!$B$5</f>
        <v/>
      </c>
      <c r="V100" s="11">
        <f>Parametros_Modelo!$B$6</f>
        <v/>
      </c>
      <c r="W100" s="6" t="inlineStr">
        <is>
          <t>Sintético/Derivado_de_Custo_Invest para expansão, granelização e penalidades</t>
        </is>
      </c>
      <c r="X100" s="6" t="inlineStr">
        <is>
          <t>Colunas adicionadas para separar parâmetros do modelo matemático dos dados originais do CDA.</t>
        </is>
      </c>
      <c r="Y100" s="6" t="inlineStr">
        <is>
          <t>Opcional agora; necessária se ativar expansão, granelização ou custos candidatos explícitos.</t>
        </is>
      </c>
    </row>
    <row r="101">
      <c r="A101" s="6" t="inlineStr">
        <is>
          <t>66.0287.0064-6</t>
        </is>
      </c>
      <c r="B101" s="6" t="inlineStr">
        <is>
          <t>Existente</t>
        </is>
      </c>
      <c r="C101" s="6" t="inlineStr">
        <is>
          <t>Ponta Grossa</t>
        </is>
      </c>
      <c r="D101" s="6" t="inlineStr">
        <is>
          <t>PR</t>
        </is>
      </c>
      <c r="E101" s="6" t="n">
        <v>-25.22091</v>
      </c>
      <c r="F101" s="6" t="n">
        <v>-50.0639</v>
      </c>
      <c r="G101" s="6" t="inlineStr">
        <is>
          <t>COMPANHIA NACIONAL DE ABASTECIMENTO</t>
        </is>
      </c>
      <c r="H101" s="6" t="inlineStr">
        <is>
          <t>Graneleiro</t>
        </is>
      </c>
      <c r="I101" s="11" t="n">
        <v>75000</v>
      </c>
      <c r="J101" s="11" t="n">
        <v>520</v>
      </c>
      <c r="K101" s="11" t="n">
        <v>400</v>
      </c>
      <c r="L101" s="11" t="n">
        <v>0</v>
      </c>
      <c r="M101" s="11" t="n">
        <v>0</v>
      </c>
      <c r="N101" s="11" t="n">
        <v>0</v>
      </c>
      <c r="O101" s="11">
        <f>IF($B101="Candidato",IF($L101&gt;0,$M101/$L101,0),0)</f>
        <v/>
      </c>
      <c r="P101" s="11" t="inlineStr">
        <is>
          <t>SIM</t>
        </is>
      </c>
      <c r="Q101" s="11">
        <f>IF($P101="SIM",$I101*Parametros_Modelo!$B$9,0)</f>
        <v/>
      </c>
      <c r="R101" s="11">
        <f>IF($P101="SIM",Parametros_Modelo!$B$10,0)</f>
        <v/>
      </c>
      <c r="S101" s="11" t="inlineStr">
        <is>
          <t>NAO</t>
        </is>
      </c>
      <c r="T101" s="11">
        <f>IF($S101="SIM",Parametros_Modelo!$B$11,0)</f>
        <v/>
      </c>
      <c r="U101" s="11">
        <f>Parametros_Modelo!$B$5</f>
        <v/>
      </c>
      <c r="V101" s="11">
        <f>Parametros_Modelo!$B$6</f>
        <v/>
      </c>
      <c r="W101" s="6" t="inlineStr">
        <is>
          <t>Sintético/Derivado_de_Custo_Invest para expansão, granelização e penalidades</t>
        </is>
      </c>
      <c r="X101" s="6" t="inlineStr">
        <is>
          <t>Colunas adicionadas para separar parâmetros do modelo matemático dos dados originais do CDA.</t>
        </is>
      </c>
      <c r="Y101" s="6" t="inlineStr">
        <is>
          <t>Opcional agora; necessária se ativar expansão, granelização ou custos candidatos explícitos.</t>
        </is>
      </c>
    </row>
    <row r="102">
      <c r="A102" s="6" t="inlineStr">
        <is>
          <t>66.0287.0067-0</t>
        </is>
      </c>
      <c r="B102" s="6" t="inlineStr">
        <is>
          <t>Existente</t>
        </is>
      </c>
      <c r="C102" s="6" t="inlineStr">
        <is>
          <t>Ponta Grossa</t>
        </is>
      </c>
      <c r="D102" s="6" t="inlineStr">
        <is>
          <t>PR</t>
        </is>
      </c>
      <c r="E102" s="6" t="n">
        <v>-25.22128</v>
      </c>
      <c r="F102" s="6" t="n">
        <v>-50.062</v>
      </c>
      <c r="G102" s="6" t="inlineStr">
        <is>
          <t>COMPANHIA NACIONAL DE ABASTECIMENTO</t>
        </is>
      </c>
      <c r="H102" s="6" t="inlineStr">
        <is>
          <t>Graneleiro</t>
        </is>
      </c>
      <c r="I102" s="11" t="n">
        <v>75000</v>
      </c>
      <c r="J102" s="11" t="n">
        <v>520</v>
      </c>
      <c r="K102" s="11" t="n">
        <v>400</v>
      </c>
      <c r="L102" s="11" t="n">
        <v>0</v>
      </c>
      <c r="M102" s="11" t="n">
        <v>0</v>
      </c>
      <c r="N102" s="11" t="n">
        <v>0</v>
      </c>
      <c r="O102" s="11">
        <f>IF($B102="Candidato",IF($L102&gt;0,$M102/$L102,0),0)</f>
        <v/>
      </c>
      <c r="P102" s="11" t="inlineStr">
        <is>
          <t>SIM</t>
        </is>
      </c>
      <c r="Q102" s="11">
        <f>IF($P102="SIM",$I102*Parametros_Modelo!$B$9,0)</f>
        <v/>
      </c>
      <c r="R102" s="11">
        <f>IF($P102="SIM",Parametros_Modelo!$B$10,0)</f>
        <v/>
      </c>
      <c r="S102" s="11" t="inlineStr">
        <is>
          <t>NAO</t>
        </is>
      </c>
      <c r="T102" s="11">
        <f>IF($S102="SIM",Parametros_Modelo!$B$11,0)</f>
        <v/>
      </c>
      <c r="U102" s="11">
        <f>Parametros_Modelo!$B$5</f>
        <v/>
      </c>
      <c r="V102" s="11">
        <f>Parametros_Modelo!$B$6</f>
        <v/>
      </c>
      <c r="W102" s="6" t="inlineStr">
        <is>
          <t>Sintético/Derivado_de_Custo_Invest para expansão, granelização e penalidades</t>
        </is>
      </c>
      <c r="X102" s="6" t="inlineStr">
        <is>
          <t>Colunas adicionadas para separar parâmetros do modelo matemático dos dados originais do CDA.</t>
        </is>
      </c>
      <c r="Y102" s="6" t="inlineStr">
        <is>
          <t>Opcional agora; necessária se ativar expansão, granelização ou custos candidatos explícitos.</t>
        </is>
      </c>
    </row>
    <row r="103">
      <c r="A103" s="6" t="inlineStr">
        <is>
          <t>66.0287.0068-9</t>
        </is>
      </c>
      <c r="B103" s="6" t="inlineStr">
        <is>
          <t>Existente</t>
        </is>
      </c>
      <c r="C103" s="6" t="inlineStr">
        <is>
          <t>Ponta Grossa</t>
        </is>
      </c>
      <c r="D103" s="6" t="inlineStr">
        <is>
          <t>PR</t>
        </is>
      </c>
      <c r="E103" s="6" t="n">
        <v>-25.21919</v>
      </c>
      <c r="F103" s="6" t="n">
        <v>-50.06272</v>
      </c>
      <c r="G103" s="6" t="inlineStr">
        <is>
          <t>COMPANHIA NACIONAL DE ABASTECIMENTO</t>
        </is>
      </c>
      <c r="H103" s="6" t="inlineStr">
        <is>
          <t>Bateria de Silos</t>
        </is>
      </c>
      <c r="I103" s="11" t="n">
        <v>20000</v>
      </c>
      <c r="J103" s="11" t="n">
        <v>520</v>
      </c>
      <c r="K103" s="11" t="n">
        <v>400</v>
      </c>
      <c r="L103" s="11" t="n">
        <v>0</v>
      </c>
      <c r="M103" s="11" t="n">
        <v>0</v>
      </c>
      <c r="N103" s="11" t="n">
        <v>0</v>
      </c>
      <c r="O103" s="11">
        <f>IF($B103="Candidato",IF($L103&gt;0,$M103/$L103,0),0)</f>
        <v/>
      </c>
      <c r="P103" s="11" t="inlineStr">
        <is>
          <t>SIM</t>
        </is>
      </c>
      <c r="Q103" s="11">
        <f>IF($P103="SIM",$I103*Parametros_Modelo!$B$9,0)</f>
        <v/>
      </c>
      <c r="R103" s="11">
        <f>IF($P103="SIM",Parametros_Modelo!$B$10,0)</f>
        <v/>
      </c>
      <c r="S103" s="11" t="inlineStr">
        <is>
          <t>NAO</t>
        </is>
      </c>
      <c r="T103" s="11">
        <f>IF($S103="SIM",Parametros_Modelo!$B$11,0)</f>
        <v/>
      </c>
      <c r="U103" s="11">
        <f>Parametros_Modelo!$B$5</f>
        <v/>
      </c>
      <c r="V103" s="11">
        <f>Parametros_Modelo!$B$6</f>
        <v/>
      </c>
      <c r="W103" s="6" t="inlineStr">
        <is>
          <t>Sintético/Derivado_de_Custo_Invest para expansão, granelização e penalidades</t>
        </is>
      </c>
      <c r="X103" s="6" t="inlineStr">
        <is>
          <t>Colunas adicionadas para separar parâmetros do modelo matemático dos dados originais do CDA.</t>
        </is>
      </c>
      <c r="Y103" s="6" t="inlineStr">
        <is>
          <t>Opcional agora; necessária se ativar expansão, granelização ou custos candidatos explícitos.</t>
        </is>
      </c>
    </row>
    <row r="104">
      <c r="A104" s="6" t="inlineStr">
        <is>
          <t>66.0287.0077-8</t>
        </is>
      </c>
      <c r="B104" s="6" t="inlineStr">
        <is>
          <t>Existente</t>
        </is>
      </c>
      <c r="C104" s="6" t="inlineStr">
        <is>
          <t>Rolândia</t>
        </is>
      </c>
      <c r="D104" s="6" t="inlineStr">
        <is>
          <t>PR</t>
        </is>
      </c>
      <c r="E104" s="6" t="n">
        <v>-23.32535</v>
      </c>
      <c r="F104" s="6" t="n">
        <v>-51.3888</v>
      </c>
      <c r="G104" s="6" t="inlineStr">
        <is>
          <t>COMPANHIA NACIONAL DE ABASTECIMENTO</t>
        </is>
      </c>
      <c r="H104" s="6" t="inlineStr">
        <is>
          <t>Convencional</t>
        </is>
      </c>
      <c r="I104" s="11" t="n">
        <v>55300</v>
      </c>
      <c r="J104" s="11" t="n">
        <v>50</v>
      </c>
      <c r="K104" s="11" t="n">
        <v>50</v>
      </c>
      <c r="L104" s="11" t="n">
        <v>0</v>
      </c>
      <c r="M104" s="11" t="n">
        <v>0</v>
      </c>
      <c r="N104" s="11" t="n">
        <v>0</v>
      </c>
      <c r="O104" s="11">
        <f>IF($B104="Candidato",IF($L104&gt;0,$M104/$L104,0),0)</f>
        <v/>
      </c>
      <c r="P104" s="11" t="inlineStr">
        <is>
          <t>SIM</t>
        </is>
      </c>
      <c r="Q104" s="11">
        <f>IF($P104="SIM",$I104*Parametros_Modelo!$B$9,0)</f>
        <v/>
      </c>
      <c r="R104" s="11">
        <f>IF($P104="SIM",Parametros_Modelo!$B$10,0)</f>
        <v/>
      </c>
      <c r="S104" s="11" t="inlineStr">
        <is>
          <t>SIM</t>
        </is>
      </c>
      <c r="T104" s="11">
        <f>IF($S104="SIM",Parametros_Modelo!$B$11,0)</f>
        <v/>
      </c>
      <c r="U104" s="11">
        <f>Parametros_Modelo!$B$5</f>
        <v/>
      </c>
      <c r="V104" s="11">
        <f>Parametros_Modelo!$B$6</f>
        <v/>
      </c>
      <c r="W104" s="6" t="inlineStr">
        <is>
          <t>Sintético/Derivado_de_Custo_Invest para expansão, granelização e penalidades</t>
        </is>
      </c>
      <c r="X104" s="6" t="inlineStr">
        <is>
          <t>Colunas adicionadas para separar parâmetros do modelo matemático dos dados originais do CDA.</t>
        </is>
      </c>
      <c r="Y104" s="6" t="inlineStr">
        <is>
          <t>Opcional agora; necessária se ativar expansão, granelização ou custos candidatos explícitos.</t>
        </is>
      </c>
    </row>
    <row r="105">
      <c r="A105" s="6" t="inlineStr">
        <is>
          <t>68.0287.0001-4</t>
        </is>
      </c>
      <c r="B105" s="6" t="inlineStr">
        <is>
          <t>Existente</t>
        </is>
      </c>
      <c r="C105" s="6" t="inlineStr">
        <is>
          <t>Açu</t>
        </is>
      </c>
      <c r="D105" s="6" t="inlineStr">
        <is>
          <t>RN</t>
        </is>
      </c>
      <c r="E105" s="6" t="n">
        <v>-5.575583</v>
      </c>
      <c r="F105" s="6" t="n">
        <v>-36.912698</v>
      </c>
      <c r="G105" s="6" t="inlineStr">
        <is>
          <t>COMPANHIA NACIONAL DE ABASTECIMENTO</t>
        </is>
      </c>
      <c r="H105" s="6" t="inlineStr">
        <is>
          <t>Convencional</t>
        </is>
      </c>
      <c r="I105" s="11" t="n">
        <v>3200</v>
      </c>
      <c r="J105" s="11" t="n">
        <v>12</v>
      </c>
      <c r="K105" s="11" t="n">
        <v>12</v>
      </c>
      <c r="L105" s="11" t="n">
        <v>0</v>
      </c>
      <c r="M105" s="11" t="n">
        <v>0</v>
      </c>
      <c r="N105" s="11" t="n">
        <v>0</v>
      </c>
      <c r="O105" s="11">
        <f>IF($B105="Candidato",IF($L105&gt;0,$M105/$L105,0),0)</f>
        <v/>
      </c>
      <c r="P105" s="11" t="inlineStr">
        <is>
          <t>SIM</t>
        </is>
      </c>
      <c r="Q105" s="11">
        <f>IF($P105="SIM",$I105*Parametros_Modelo!$B$9,0)</f>
        <v/>
      </c>
      <c r="R105" s="11">
        <f>IF($P105="SIM",Parametros_Modelo!$B$10,0)</f>
        <v/>
      </c>
      <c r="S105" s="11" t="inlineStr">
        <is>
          <t>SIM</t>
        </is>
      </c>
      <c r="T105" s="11">
        <f>IF($S105="SIM",Parametros_Modelo!$B$11,0)</f>
        <v/>
      </c>
      <c r="U105" s="11">
        <f>Parametros_Modelo!$B$5</f>
        <v/>
      </c>
      <c r="V105" s="11">
        <f>Parametros_Modelo!$B$6</f>
        <v/>
      </c>
      <c r="W105" s="6" t="inlineStr">
        <is>
          <t>Sintético/Derivado_de_Custo_Invest para expansão, granelização e penalidades</t>
        </is>
      </c>
      <c r="X105" s="6" t="inlineStr">
        <is>
          <t>Colunas adicionadas para separar parâmetros do modelo matemático dos dados originais do CDA.</t>
        </is>
      </c>
      <c r="Y105" s="6" t="inlineStr">
        <is>
          <t>Opcional agora; necessária se ativar expansão, granelização ou custos candidatos explícitos.</t>
        </is>
      </c>
    </row>
    <row r="106">
      <c r="A106" s="6" t="inlineStr">
        <is>
          <t>68.0287.0057-0</t>
        </is>
      </c>
      <c r="B106" s="6" t="inlineStr">
        <is>
          <t>Existente</t>
        </is>
      </c>
      <c r="C106" s="6" t="inlineStr">
        <is>
          <t>Caicó</t>
        </is>
      </c>
      <c r="D106" s="6" t="inlineStr">
        <is>
          <t>RN</t>
        </is>
      </c>
      <c r="E106" s="6" t="n">
        <v>-6.447385</v>
      </c>
      <c r="F106" s="6" t="n">
        <v>-37.093154</v>
      </c>
      <c r="G106" s="6" t="inlineStr">
        <is>
          <t>COMPANHIA NACIONAL DE ABASTECIMENTO</t>
        </is>
      </c>
      <c r="H106" s="6" t="inlineStr">
        <is>
          <t>Convencional</t>
        </is>
      </c>
      <c r="I106" s="11" t="n">
        <v>3000</v>
      </c>
      <c r="J106" s="11" t="n">
        <v>12</v>
      </c>
      <c r="K106" s="11" t="n">
        <v>12</v>
      </c>
      <c r="L106" s="11" t="n">
        <v>0</v>
      </c>
      <c r="M106" s="11" t="n">
        <v>0</v>
      </c>
      <c r="N106" s="11" t="n">
        <v>0</v>
      </c>
      <c r="O106" s="11">
        <f>IF($B106="Candidato",IF($L106&gt;0,$M106/$L106,0),0)</f>
        <v/>
      </c>
      <c r="P106" s="11" t="inlineStr">
        <is>
          <t>SIM</t>
        </is>
      </c>
      <c r="Q106" s="11">
        <f>IF($P106="SIM",$I106*Parametros_Modelo!$B$9,0)</f>
        <v/>
      </c>
      <c r="R106" s="11">
        <f>IF($P106="SIM",Parametros_Modelo!$B$10,0)</f>
        <v/>
      </c>
      <c r="S106" s="11" t="inlineStr">
        <is>
          <t>SIM</t>
        </is>
      </c>
      <c r="T106" s="11">
        <f>IF($S106="SIM",Parametros_Modelo!$B$11,0)</f>
        <v/>
      </c>
      <c r="U106" s="11">
        <f>Parametros_Modelo!$B$5</f>
        <v/>
      </c>
      <c r="V106" s="11">
        <f>Parametros_Modelo!$B$6</f>
        <v/>
      </c>
      <c r="W106" s="6" t="inlineStr">
        <is>
          <t>Sintético/Derivado_de_Custo_Invest para expansão, granelização e penalidades</t>
        </is>
      </c>
      <c r="X106" s="6" t="inlineStr">
        <is>
          <t>Colunas adicionadas para separar parâmetros do modelo matemático dos dados originais do CDA.</t>
        </is>
      </c>
      <c r="Y106" s="6" t="inlineStr">
        <is>
          <t>Opcional agora; necessária se ativar expansão, granelização ou custos candidatos explícitos.</t>
        </is>
      </c>
    </row>
    <row r="107">
      <c r="A107" s="6" t="inlineStr">
        <is>
          <t>68.0287.0009-0</t>
        </is>
      </c>
      <c r="B107" s="6" t="inlineStr">
        <is>
          <t>Existente</t>
        </is>
      </c>
      <c r="C107" s="6" t="inlineStr">
        <is>
          <t>Currais Novos</t>
        </is>
      </c>
      <c r="D107" s="6" t="inlineStr">
        <is>
          <t>RN</t>
        </is>
      </c>
      <c r="E107" s="6" t="n">
        <v>-6.283266</v>
      </c>
      <c r="F107" s="6" t="n">
        <v>-36.520484</v>
      </c>
      <c r="G107" s="6" t="inlineStr">
        <is>
          <t>COMPANHIA NACIONAL DE ABASTECIMENTO</t>
        </is>
      </c>
      <c r="H107" s="6" t="inlineStr">
        <is>
          <t>Convencional</t>
        </is>
      </c>
      <c r="I107" s="11" t="n">
        <v>3500</v>
      </c>
      <c r="J107" s="11" t="n">
        <v>12</v>
      </c>
      <c r="K107" s="11" t="n">
        <v>12</v>
      </c>
      <c r="L107" s="11" t="n">
        <v>0</v>
      </c>
      <c r="M107" s="11" t="n">
        <v>0</v>
      </c>
      <c r="N107" s="11" t="n">
        <v>0</v>
      </c>
      <c r="O107" s="11">
        <f>IF($B107="Candidato",IF($L107&gt;0,$M107/$L107,0),0)</f>
        <v/>
      </c>
      <c r="P107" s="11" t="inlineStr">
        <is>
          <t>SIM</t>
        </is>
      </c>
      <c r="Q107" s="11">
        <f>IF($P107="SIM",$I107*Parametros_Modelo!$B$9,0)</f>
        <v/>
      </c>
      <c r="R107" s="11">
        <f>IF($P107="SIM",Parametros_Modelo!$B$10,0)</f>
        <v/>
      </c>
      <c r="S107" s="11" t="inlineStr">
        <is>
          <t>SIM</t>
        </is>
      </c>
      <c r="T107" s="11">
        <f>IF($S107="SIM",Parametros_Modelo!$B$11,0)</f>
        <v/>
      </c>
      <c r="U107" s="11">
        <f>Parametros_Modelo!$B$5</f>
        <v/>
      </c>
      <c r="V107" s="11">
        <f>Parametros_Modelo!$B$6</f>
        <v/>
      </c>
      <c r="W107" s="6" t="inlineStr">
        <is>
          <t>Sintético/Derivado_de_Custo_Invest para expansão, granelização e penalidades</t>
        </is>
      </c>
      <c r="X107" s="6" t="inlineStr">
        <is>
          <t>Colunas adicionadas para separar parâmetros do modelo matemático dos dados originais do CDA.</t>
        </is>
      </c>
      <c r="Y107" s="6" t="inlineStr">
        <is>
          <t>Opcional agora; necessária se ativar expansão, granelização ou custos candidatos explícitos.</t>
        </is>
      </c>
    </row>
    <row r="108">
      <c r="A108" s="6" t="inlineStr">
        <is>
          <t>68.0287.0016-2</t>
        </is>
      </c>
      <c r="B108" s="6" t="inlineStr">
        <is>
          <t>Existente</t>
        </is>
      </c>
      <c r="C108" s="6" t="inlineStr">
        <is>
          <t>Mossoró</t>
        </is>
      </c>
      <c r="D108" s="6" t="inlineStr">
        <is>
          <t>RN</t>
        </is>
      </c>
      <c r="E108" s="6" t="n">
        <v>-5.17652</v>
      </c>
      <c r="F108" s="6" t="n">
        <v>-37.342349</v>
      </c>
      <c r="G108" s="6" t="inlineStr">
        <is>
          <t>COMPANHIA NACIONAL DE ABASTECIMENTO</t>
        </is>
      </c>
      <c r="H108" s="6" t="inlineStr">
        <is>
          <t>Convencional</t>
        </is>
      </c>
      <c r="I108" s="11" t="n">
        <v>3200</v>
      </c>
      <c r="J108" s="11" t="n">
        <v>24</v>
      </c>
      <c r="K108" s="11" t="n">
        <v>240</v>
      </c>
      <c r="L108" s="11" t="n">
        <v>0</v>
      </c>
      <c r="M108" s="11" t="n">
        <v>0</v>
      </c>
      <c r="N108" s="11" t="n">
        <v>0</v>
      </c>
      <c r="O108" s="11">
        <f>IF($B108="Candidato",IF($L108&gt;0,$M108/$L108,0),0)</f>
        <v/>
      </c>
      <c r="P108" s="11" t="inlineStr">
        <is>
          <t>SIM</t>
        </is>
      </c>
      <c r="Q108" s="11">
        <f>IF($P108="SIM",$I108*Parametros_Modelo!$B$9,0)</f>
        <v/>
      </c>
      <c r="R108" s="11">
        <f>IF($P108="SIM",Parametros_Modelo!$B$10,0)</f>
        <v/>
      </c>
      <c r="S108" s="11" t="inlineStr">
        <is>
          <t>SIM</t>
        </is>
      </c>
      <c r="T108" s="11">
        <f>IF($S108="SIM",Parametros_Modelo!$B$11,0)</f>
        <v/>
      </c>
      <c r="U108" s="11">
        <f>Parametros_Modelo!$B$5</f>
        <v/>
      </c>
      <c r="V108" s="11">
        <f>Parametros_Modelo!$B$6</f>
        <v/>
      </c>
      <c r="W108" s="6" t="inlineStr">
        <is>
          <t>Sintético/Derivado_de_Custo_Invest para expansão, granelização e penalidades</t>
        </is>
      </c>
      <c r="X108" s="6" t="inlineStr">
        <is>
          <t>Colunas adicionadas para separar parâmetros do modelo matemático dos dados originais do CDA.</t>
        </is>
      </c>
      <c r="Y108" s="6" t="inlineStr">
        <is>
          <t>Opcional agora; necessária se ativar expansão, granelização ou custos candidatos explícitos.</t>
        </is>
      </c>
    </row>
    <row r="109">
      <c r="A109" s="6" t="inlineStr">
        <is>
          <t>68.0287.0053-7</t>
        </is>
      </c>
      <c r="B109" s="6" t="inlineStr">
        <is>
          <t>Existente</t>
        </is>
      </c>
      <c r="C109" s="6" t="inlineStr">
        <is>
          <t>Natal</t>
        </is>
      </c>
      <c r="D109" s="6" t="inlineStr">
        <is>
          <t>RN</t>
        </is>
      </c>
      <c r="E109" s="6" t="n">
        <v>-5.858972</v>
      </c>
      <c r="F109" s="6" t="n">
        <v>-35.248091</v>
      </c>
      <c r="G109" s="6" t="inlineStr">
        <is>
          <t>COMPANHIA NACIONAL DE ABASTECIMENTO</t>
        </is>
      </c>
      <c r="H109" s="6" t="inlineStr">
        <is>
          <t>Convencional</t>
        </is>
      </c>
      <c r="I109" s="11" t="n">
        <v>8800</v>
      </c>
      <c r="J109" s="11" t="n">
        <v>12</v>
      </c>
      <c r="K109" s="11" t="n">
        <v>6</v>
      </c>
      <c r="L109" s="11" t="n">
        <v>0</v>
      </c>
      <c r="M109" s="11" t="n">
        <v>0</v>
      </c>
      <c r="N109" s="11" t="n">
        <v>0</v>
      </c>
      <c r="O109" s="11">
        <f>IF($B109="Candidato",IF($L109&gt;0,$M109/$L109,0),0)</f>
        <v/>
      </c>
      <c r="P109" s="11" t="inlineStr">
        <is>
          <t>SIM</t>
        </is>
      </c>
      <c r="Q109" s="11">
        <f>IF($P109="SIM",$I109*Parametros_Modelo!$B$9,0)</f>
        <v/>
      </c>
      <c r="R109" s="11">
        <f>IF($P109="SIM",Parametros_Modelo!$B$10,0)</f>
        <v/>
      </c>
      <c r="S109" s="11" t="inlineStr">
        <is>
          <t>SIM</t>
        </is>
      </c>
      <c r="T109" s="11">
        <f>IF($S109="SIM",Parametros_Modelo!$B$11,0)</f>
        <v/>
      </c>
      <c r="U109" s="11">
        <f>Parametros_Modelo!$B$5</f>
        <v/>
      </c>
      <c r="V109" s="11">
        <f>Parametros_Modelo!$B$6</f>
        <v/>
      </c>
      <c r="W109" s="6" t="inlineStr">
        <is>
          <t>Sintético/Derivado_de_Custo_Invest para expansão, granelização e penalidades</t>
        </is>
      </c>
      <c r="X109" s="6" t="inlineStr">
        <is>
          <t>Colunas adicionadas para separar parâmetros do modelo matemático dos dados originais do CDA.</t>
        </is>
      </c>
      <c r="Y109" s="6" t="inlineStr">
        <is>
          <t>Opcional agora; necessária se ativar expansão, granelização ou custos candidatos explícitos.</t>
        </is>
      </c>
    </row>
    <row r="110">
      <c r="A110" s="6" t="inlineStr">
        <is>
          <t>68.0287.0054-5</t>
        </is>
      </c>
      <c r="B110" s="6" t="inlineStr">
        <is>
          <t>Existente</t>
        </is>
      </c>
      <c r="C110" s="6" t="inlineStr">
        <is>
          <t>Natal</t>
        </is>
      </c>
      <c r="D110" s="6" t="inlineStr">
        <is>
          <t>RN</t>
        </is>
      </c>
      <c r="E110" s="6" t="n">
        <v>-5.824165</v>
      </c>
      <c r="F110" s="6" t="n">
        <v>-35.220911</v>
      </c>
      <c r="G110" s="6" t="inlineStr">
        <is>
          <t>COMPANHIA NACIONAL DE ABASTECIMENTO</t>
        </is>
      </c>
      <c r="H110" s="6" t="inlineStr">
        <is>
          <t>Convencional</t>
        </is>
      </c>
      <c r="I110" s="11" t="n">
        <v>5000</v>
      </c>
      <c r="J110" s="11" t="n">
        <v>12</v>
      </c>
      <c r="K110" s="11" t="n">
        <v>6</v>
      </c>
      <c r="L110" s="11" t="n">
        <v>0</v>
      </c>
      <c r="M110" s="11" t="n">
        <v>0</v>
      </c>
      <c r="N110" s="11" t="n">
        <v>0</v>
      </c>
      <c r="O110" s="11">
        <f>IF($B110="Candidato",IF($L110&gt;0,$M110/$L110,0),0)</f>
        <v/>
      </c>
      <c r="P110" s="11" t="inlineStr">
        <is>
          <t>SIM</t>
        </is>
      </c>
      <c r="Q110" s="11">
        <f>IF($P110="SIM",$I110*Parametros_Modelo!$B$9,0)</f>
        <v/>
      </c>
      <c r="R110" s="11">
        <f>IF($P110="SIM",Parametros_Modelo!$B$10,0)</f>
        <v/>
      </c>
      <c r="S110" s="11" t="inlineStr">
        <is>
          <t>SIM</t>
        </is>
      </c>
      <c r="T110" s="11">
        <f>IF($S110="SIM",Parametros_Modelo!$B$11,0)</f>
        <v/>
      </c>
      <c r="U110" s="11">
        <f>Parametros_Modelo!$B$5</f>
        <v/>
      </c>
      <c r="V110" s="11">
        <f>Parametros_Modelo!$B$6</f>
        <v/>
      </c>
      <c r="W110" s="6" t="inlineStr">
        <is>
          <t>Sintético/Derivado_de_Custo_Invest para expansão, granelização e penalidades</t>
        </is>
      </c>
      <c r="X110" s="6" t="inlineStr">
        <is>
          <t>Colunas adicionadas para separar parâmetros do modelo matemático dos dados originais do CDA.</t>
        </is>
      </c>
      <c r="Y110" s="6" t="inlineStr">
        <is>
          <t>Opcional agora; necessária se ativar expansão, granelização ou custos candidatos explícitos.</t>
        </is>
      </c>
    </row>
    <row r="111">
      <c r="A111" s="6" t="inlineStr">
        <is>
          <t>68.0287.0086-3</t>
        </is>
      </c>
      <c r="B111" s="6" t="inlineStr">
        <is>
          <t>Existente</t>
        </is>
      </c>
      <c r="C111" s="6" t="inlineStr">
        <is>
          <t>Umarizal</t>
        </is>
      </c>
      <c r="D111" s="6" t="inlineStr">
        <is>
          <t>RN</t>
        </is>
      </c>
      <c r="E111" s="6" t="n">
        <v>-5.981463</v>
      </c>
      <c r="F111" s="6" t="n">
        <v>-37.822336</v>
      </c>
      <c r="G111" s="6" t="inlineStr">
        <is>
          <t>COMPANHIA NACIONAL DE ABASTECIMENTO</t>
        </is>
      </c>
      <c r="H111" s="6" t="inlineStr">
        <is>
          <t>Convencional</t>
        </is>
      </c>
      <c r="I111" s="11" t="n">
        <v>3500</v>
      </c>
      <c r="J111" s="11" t="n">
        <v>12</v>
      </c>
      <c r="K111" s="11" t="n">
        <v>12</v>
      </c>
      <c r="L111" s="11" t="n">
        <v>0</v>
      </c>
      <c r="M111" s="11" t="n">
        <v>0</v>
      </c>
      <c r="N111" s="11" t="n">
        <v>0</v>
      </c>
      <c r="O111" s="11">
        <f>IF($B111="Candidato",IF($L111&gt;0,$M111/$L111,0),0)</f>
        <v/>
      </c>
      <c r="P111" s="11" t="inlineStr">
        <is>
          <t>SIM</t>
        </is>
      </c>
      <c r="Q111" s="11">
        <f>IF($P111="SIM",$I111*Parametros_Modelo!$B$9,0)</f>
        <v/>
      </c>
      <c r="R111" s="11">
        <f>IF($P111="SIM",Parametros_Modelo!$B$10,0)</f>
        <v/>
      </c>
      <c r="S111" s="11" t="inlineStr">
        <is>
          <t>SIM</t>
        </is>
      </c>
      <c r="T111" s="11">
        <f>IF($S111="SIM",Parametros_Modelo!$B$11,0)</f>
        <v/>
      </c>
      <c r="U111" s="11">
        <f>Parametros_Modelo!$B$5</f>
        <v/>
      </c>
      <c r="V111" s="11">
        <f>Parametros_Modelo!$B$6</f>
        <v/>
      </c>
      <c r="W111" s="6" t="inlineStr">
        <is>
          <t>Sintético/Derivado_de_Custo_Invest para expansão, granelização e penalidades</t>
        </is>
      </c>
      <c r="X111" s="6" t="inlineStr">
        <is>
          <t>Colunas adicionadas para separar parâmetros do modelo matemático dos dados originais do CDA.</t>
        </is>
      </c>
      <c r="Y111" s="6" t="inlineStr">
        <is>
          <t>Opcional agora; necessária se ativar expansão, granelização ou custos candidatos explícitos.</t>
        </is>
      </c>
    </row>
    <row r="112">
      <c r="A112" s="6" t="inlineStr">
        <is>
          <t>69.0287.0131-0</t>
        </is>
      </c>
      <c r="B112" s="6" t="inlineStr">
        <is>
          <t>Existente</t>
        </is>
      </c>
      <c r="C112" s="6" t="inlineStr">
        <is>
          <t>Cacoal</t>
        </is>
      </c>
      <c r="D112" s="6" t="inlineStr">
        <is>
          <t>RO</t>
        </is>
      </c>
      <c r="E112" s="6" t="n">
        <v>-11.446188</v>
      </c>
      <c r="F112" s="6" t="n">
        <v>-61.434125</v>
      </c>
      <c r="G112" s="6" t="inlineStr">
        <is>
          <t>COMPANHIA NACIONAL DE ABASTECIMENTO</t>
        </is>
      </c>
      <c r="H112" s="6" t="inlineStr">
        <is>
          <t>Convencional</t>
        </is>
      </c>
      <c r="I112" s="11" t="n">
        <v>3500</v>
      </c>
      <c r="J112" s="11" t="n">
        <v>60</v>
      </c>
      <c r="K112" s="11" t="n">
        <v>60</v>
      </c>
      <c r="L112" s="11" t="n">
        <v>0</v>
      </c>
      <c r="M112" s="11" t="n">
        <v>0</v>
      </c>
      <c r="N112" s="11" t="n">
        <v>0</v>
      </c>
      <c r="O112" s="11">
        <f>IF($B112="Candidato",IF($L112&gt;0,$M112/$L112,0),0)</f>
        <v/>
      </c>
      <c r="P112" s="11" t="inlineStr">
        <is>
          <t>SIM</t>
        </is>
      </c>
      <c r="Q112" s="11">
        <f>IF($P112="SIM",$I112*Parametros_Modelo!$B$9,0)</f>
        <v/>
      </c>
      <c r="R112" s="11">
        <f>IF($P112="SIM",Parametros_Modelo!$B$10,0)</f>
        <v/>
      </c>
      <c r="S112" s="11" t="inlineStr">
        <is>
          <t>SIM</t>
        </is>
      </c>
      <c r="T112" s="11">
        <f>IF($S112="SIM",Parametros_Modelo!$B$11,0)</f>
        <v/>
      </c>
      <c r="U112" s="11">
        <f>Parametros_Modelo!$B$5</f>
        <v/>
      </c>
      <c r="V112" s="11">
        <f>Parametros_Modelo!$B$6</f>
        <v/>
      </c>
      <c r="W112" s="6" t="inlineStr">
        <is>
          <t>Sintético/Derivado_de_Custo_Invest para expansão, granelização e penalidades</t>
        </is>
      </c>
      <c r="X112" s="6" t="inlineStr">
        <is>
          <t>Colunas adicionadas para separar parâmetros do modelo matemático dos dados originais do CDA.</t>
        </is>
      </c>
      <c r="Y112" s="6" t="inlineStr">
        <is>
          <t>Opcional agora; necessária se ativar expansão, granelização ou custos candidatos explícitos.</t>
        </is>
      </c>
    </row>
    <row r="113">
      <c r="A113" s="6" t="inlineStr">
        <is>
          <t>69.0287.0132-9</t>
        </is>
      </c>
      <c r="B113" s="6" t="inlineStr">
        <is>
          <t>Existente</t>
        </is>
      </c>
      <c r="C113" s="6" t="inlineStr">
        <is>
          <t>Cacoal</t>
        </is>
      </c>
      <c r="D113" s="6" t="inlineStr">
        <is>
          <t>RO</t>
        </is>
      </c>
      <c r="E113" s="6" t="n">
        <v>-11.446188</v>
      </c>
      <c r="F113" s="6" t="n">
        <v>-61.434125</v>
      </c>
      <c r="G113" s="6" t="inlineStr">
        <is>
          <t>COMPANHIA NACIONAL DE ABASTECIMENTO</t>
        </is>
      </c>
      <c r="H113" s="6" t="inlineStr">
        <is>
          <t>Convencional</t>
        </is>
      </c>
      <c r="I113" s="11" t="n">
        <v>2200</v>
      </c>
      <c r="J113" s="11" t="n">
        <v>60</v>
      </c>
      <c r="K113" s="11" t="n">
        <v>60</v>
      </c>
      <c r="L113" s="11" t="n">
        <v>0</v>
      </c>
      <c r="M113" s="11" t="n">
        <v>0</v>
      </c>
      <c r="N113" s="11" t="n">
        <v>0</v>
      </c>
      <c r="O113" s="11">
        <f>IF($B113="Candidato",IF($L113&gt;0,$M113/$L113,0),0)</f>
        <v/>
      </c>
      <c r="P113" s="11" t="inlineStr">
        <is>
          <t>SIM</t>
        </is>
      </c>
      <c r="Q113" s="11">
        <f>IF($P113="SIM",$I113*Parametros_Modelo!$B$9,0)</f>
        <v/>
      </c>
      <c r="R113" s="11">
        <f>IF($P113="SIM",Parametros_Modelo!$B$10,0)</f>
        <v/>
      </c>
      <c r="S113" s="11" t="inlineStr">
        <is>
          <t>SIM</t>
        </is>
      </c>
      <c r="T113" s="11">
        <f>IF($S113="SIM",Parametros_Modelo!$B$11,0)</f>
        <v/>
      </c>
      <c r="U113" s="11">
        <f>Parametros_Modelo!$B$5</f>
        <v/>
      </c>
      <c r="V113" s="11">
        <f>Parametros_Modelo!$B$6</f>
        <v/>
      </c>
      <c r="W113" s="6" t="inlineStr">
        <is>
          <t>Sintético/Derivado_de_Custo_Invest para expansão, granelização e penalidades</t>
        </is>
      </c>
      <c r="X113" s="6" t="inlineStr">
        <is>
          <t>Colunas adicionadas para separar parâmetros do modelo matemático dos dados originais do CDA.</t>
        </is>
      </c>
      <c r="Y113" s="6" t="inlineStr">
        <is>
          <t>Opcional agora; necessária se ativar expansão, granelização ou custos candidatos explícitos.</t>
        </is>
      </c>
    </row>
    <row r="114">
      <c r="A114" s="6" t="inlineStr">
        <is>
          <t>69.0287.0033-0</t>
        </is>
      </c>
      <c r="B114" s="6" t="inlineStr">
        <is>
          <t>Existente</t>
        </is>
      </c>
      <c r="C114" s="6" t="inlineStr">
        <is>
          <t>Porto Velho</t>
        </is>
      </c>
      <c r="D114" s="6" t="inlineStr">
        <is>
          <t>RO</t>
        </is>
      </c>
      <c r="E114" s="6" t="n">
        <v>-8.444800000000001</v>
      </c>
      <c r="F114" s="6" t="n">
        <v>-63.54481</v>
      </c>
      <c r="G114" s="6" t="inlineStr">
        <is>
          <t>COMPANHIA NACIONAL DE ABASTECIMENTO</t>
        </is>
      </c>
      <c r="H114" s="6" t="inlineStr">
        <is>
          <t>Convencional</t>
        </is>
      </c>
      <c r="I114" s="11" t="n">
        <v>7110</v>
      </c>
      <c r="J114" s="11" t="n">
        <v>40</v>
      </c>
      <c r="K114" s="11" t="n">
        <v>40</v>
      </c>
      <c r="L114" s="11" t="n">
        <v>0</v>
      </c>
      <c r="M114" s="11" t="n">
        <v>0</v>
      </c>
      <c r="N114" s="11" t="n">
        <v>0</v>
      </c>
      <c r="O114" s="11">
        <f>IF($B114="Candidato",IF($L114&gt;0,$M114/$L114,0),0)</f>
        <v/>
      </c>
      <c r="P114" s="11" t="inlineStr">
        <is>
          <t>SIM</t>
        </is>
      </c>
      <c r="Q114" s="11">
        <f>IF($P114="SIM",$I114*Parametros_Modelo!$B$9,0)</f>
        <v/>
      </c>
      <c r="R114" s="11">
        <f>IF($P114="SIM",Parametros_Modelo!$B$10,0)</f>
        <v/>
      </c>
      <c r="S114" s="11" t="inlineStr">
        <is>
          <t>SIM</t>
        </is>
      </c>
      <c r="T114" s="11">
        <f>IF($S114="SIM",Parametros_Modelo!$B$11,0)</f>
        <v/>
      </c>
      <c r="U114" s="11">
        <f>Parametros_Modelo!$B$5</f>
        <v/>
      </c>
      <c r="V114" s="11">
        <f>Parametros_Modelo!$B$6</f>
        <v/>
      </c>
      <c r="W114" s="6" t="inlineStr">
        <is>
          <t>Sintético/Derivado_de_Custo_Invest para expansão, granelização e penalidades</t>
        </is>
      </c>
      <c r="X114" s="6" t="inlineStr">
        <is>
          <t>Colunas adicionadas para separar parâmetros do modelo matemático dos dados originais do CDA.</t>
        </is>
      </c>
      <c r="Y114" s="6" t="inlineStr">
        <is>
          <t>Opcional agora; necessária se ativar expansão, granelização ou custos candidatos explícitos.</t>
        </is>
      </c>
    </row>
    <row r="115">
      <c r="A115" s="6" t="inlineStr">
        <is>
          <t>75.0287.0003-3</t>
        </is>
      </c>
      <c r="B115" s="6" t="inlineStr">
        <is>
          <t>Existente</t>
        </is>
      </c>
      <c r="C115" s="6" t="inlineStr">
        <is>
          <t>Boa Vista</t>
        </is>
      </c>
      <c r="D115" s="6" t="inlineStr">
        <is>
          <t>RR</t>
        </is>
      </c>
      <c r="E115" s="6" t="n">
        <v>2.816595</v>
      </c>
      <c r="F115" s="6" t="n">
        <v>-60.692835</v>
      </c>
      <c r="G115" s="6" t="inlineStr">
        <is>
          <t>COMPANHIA NACIONAL DE ABASTECIMENTO</t>
        </is>
      </c>
      <c r="H115" s="6" t="inlineStr">
        <is>
          <t>Convencional</t>
        </is>
      </c>
      <c r="I115" s="11" t="n">
        <v>3500</v>
      </c>
      <c r="J115" s="11" t="n">
        <v>9</v>
      </c>
      <c r="K115" s="11" t="n">
        <v>9</v>
      </c>
      <c r="L115" s="11" t="n">
        <v>0</v>
      </c>
      <c r="M115" s="11" t="n">
        <v>0</v>
      </c>
      <c r="N115" s="11" t="n">
        <v>0</v>
      </c>
      <c r="O115" s="11">
        <f>IF($B115="Candidato",IF($L115&gt;0,$M115/$L115,0),0)</f>
        <v/>
      </c>
      <c r="P115" s="11" t="inlineStr">
        <is>
          <t>SIM</t>
        </is>
      </c>
      <c r="Q115" s="11">
        <f>IF($P115="SIM",$I115*Parametros_Modelo!$B$9,0)</f>
        <v/>
      </c>
      <c r="R115" s="11">
        <f>IF($P115="SIM",Parametros_Modelo!$B$10,0)</f>
        <v/>
      </c>
      <c r="S115" s="11" t="inlineStr">
        <is>
          <t>SIM</t>
        </is>
      </c>
      <c r="T115" s="11">
        <f>IF($S115="SIM",Parametros_Modelo!$B$11,0)</f>
        <v/>
      </c>
      <c r="U115" s="11">
        <f>Parametros_Modelo!$B$5</f>
        <v/>
      </c>
      <c r="V115" s="11">
        <f>Parametros_Modelo!$B$6</f>
        <v/>
      </c>
      <c r="W115" s="6" t="inlineStr">
        <is>
          <t>Sintético/Derivado_de_Custo_Invest para expansão, granelização e penalidades</t>
        </is>
      </c>
      <c r="X115" s="6" t="inlineStr">
        <is>
          <t>Colunas adicionadas para separar parâmetros do modelo matemático dos dados originais do CDA.</t>
        </is>
      </c>
      <c r="Y115" s="6" t="inlineStr">
        <is>
          <t>Opcional agora; necessária se ativar expansão, granelização ou custos candidatos explícitos.</t>
        </is>
      </c>
    </row>
    <row r="116">
      <c r="A116" s="6" t="inlineStr">
        <is>
          <t>75.0287.0013-0</t>
        </is>
      </c>
      <c r="B116" s="6" t="inlineStr">
        <is>
          <t>Existente</t>
        </is>
      </c>
      <c r="C116" s="6" t="inlineStr">
        <is>
          <t>Boa Vista</t>
        </is>
      </c>
      <c r="D116" s="6" t="inlineStr">
        <is>
          <t>RR</t>
        </is>
      </c>
      <c r="E116" s="6" t="n">
        <v>2.816595</v>
      </c>
      <c r="F116" s="6" t="n">
        <v>-60.692835</v>
      </c>
      <c r="G116" s="6" t="inlineStr">
        <is>
          <t>COMPANHIA NACIONAL DE ABASTECIMENTO</t>
        </is>
      </c>
      <c r="H116" s="6" t="inlineStr">
        <is>
          <t>Convencional</t>
        </is>
      </c>
      <c r="I116" s="11" t="n">
        <v>1600</v>
      </c>
      <c r="J116" s="11" t="n">
        <v>9</v>
      </c>
      <c r="K116" s="11" t="n">
        <v>9</v>
      </c>
      <c r="L116" s="11" t="n">
        <v>0</v>
      </c>
      <c r="M116" s="11" t="n">
        <v>0</v>
      </c>
      <c r="N116" s="11" t="n">
        <v>0</v>
      </c>
      <c r="O116" s="11">
        <f>IF($B116="Candidato",IF($L116&gt;0,$M116/$L116,0),0)</f>
        <v/>
      </c>
      <c r="P116" s="11" t="inlineStr">
        <is>
          <t>SIM</t>
        </is>
      </c>
      <c r="Q116" s="11">
        <f>IF($P116="SIM",$I116*Parametros_Modelo!$B$9,0)</f>
        <v/>
      </c>
      <c r="R116" s="11">
        <f>IF($P116="SIM",Parametros_Modelo!$B$10,0)</f>
        <v/>
      </c>
      <c r="S116" s="11" t="inlineStr">
        <is>
          <t>SIM</t>
        </is>
      </c>
      <c r="T116" s="11">
        <f>IF($S116="SIM",Parametros_Modelo!$B$11,0)</f>
        <v/>
      </c>
      <c r="U116" s="11">
        <f>Parametros_Modelo!$B$5</f>
        <v/>
      </c>
      <c r="V116" s="11">
        <f>Parametros_Modelo!$B$6</f>
        <v/>
      </c>
      <c r="W116" s="6" t="inlineStr">
        <is>
          <t>Sintético/Derivado_de_Custo_Invest para expansão, granelização e penalidades</t>
        </is>
      </c>
      <c r="X116" s="6" t="inlineStr">
        <is>
          <t>Colunas adicionadas para separar parâmetros do modelo matemático dos dados originais do CDA.</t>
        </is>
      </c>
      <c r="Y116" s="6" t="inlineStr">
        <is>
          <t>Opcional agora; necessária se ativar expansão, granelização ou custos candidatos explícitos.</t>
        </is>
      </c>
    </row>
    <row r="117">
      <c r="A117" s="6" t="inlineStr">
        <is>
          <t>75.0287.0014-9</t>
        </is>
      </c>
      <c r="B117" s="6" t="inlineStr">
        <is>
          <t>Existente</t>
        </is>
      </c>
      <c r="C117" s="6" t="inlineStr">
        <is>
          <t>Boa Vista</t>
        </is>
      </c>
      <c r="D117" s="6" t="inlineStr">
        <is>
          <t>RR</t>
        </is>
      </c>
      <c r="E117" s="6" t="n">
        <v>2.816595</v>
      </c>
      <c r="F117" s="6" t="n">
        <v>-60.692835</v>
      </c>
      <c r="G117" s="6" t="inlineStr">
        <is>
          <t>COMPANHIA NACIONAL DE ABASTECIMENTO</t>
        </is>
      </c>
      <c r="H117" s="6" t="inlineStr">
        <is>
          <t>Convencional</t>
        </is>
      </c>
      <c r="I117" s="11" t="n">
        <v>2000</v>
      </c>
      <c r="J117" s="11" t="n">
        <v>9</v>
      </c>
      <c r="K117" s="11" t="n">
        <v>9</v>
      </c>
      <c r="L117" s="11" t="n">
        <v>0</v>
      </c>
      <c r="M117" s="11" t="n">
        <v>0</v>
      </c>
      <c r="N117" s="11" t="n">
        <v>0</v>
      </c>
      <c r="O117" s="11">
        <f>IF($B117="Candidato",IF($L117&gt;0,$M117/$L117,0),0)</f>
        <v/>
      </c>
      <c r="P117" s="11" t="inlineStr">
        <is>
          <t>SIM</t>
        </is>
      </c>
      <c r="Q117" s="11">
        <f>IF($P117="SIM",$I117*Parametros_Modelo!$B$9,0)</f>
        <v/>
      </c>
      <c r="R117" s="11">
        <f>IF($P117="SIM",Parametros_Modelo!$B$10,0)</f>
        <v/>
      </c>
      <c r="S117" s="11" t="inlineStr">
        <is>
          <t>SIM</t>
        </is>
      </c>
      <c r="T117" s="11">
        <f>IF($S117="SIM",Parametros_Modelo!$B$11,0)</f>
        <v/>
      </c>
      <c r="U117" s="11">
        <f>Parametros_Modelo!$B$5</f>
        <v/>
      </c>
      <c r="V117" s="11">
        <f>Parametros_Modelo!$B$6</f>
        <v/>
      </c>
      <c r="W117" s="6" t="inlineStr">
        <is>
          <t>Sintético/Derivado_de_Custo_Invest para expansão, granelização e penalidades</t>
        </is>
      </c>
      <c r="X117" s="6" t="inlineStr">
        <is>
          <t>Colunas adicionadas para separar parâmetros do modelo matemático dos dados originais do CDA.</t>
        </is>
      </c>
      <c r="Y117" s="6" t="inlineStr">
        <is>
          <t>Opcional agora; necessária se ativar expansão, granelização ou custos candidatos explícitos.</t>
        </is>
      </c>
    </row>
    <row r="118">
      <c r="A118" s="6" t="inlineStr">
        <is>
          <t>75.0287.0018-1</t>
        </is>
      </c>
      <c r="B118" s="6" t="inlineStr">
        <is>
          <t>Existente</t>
        </is>
      </c>
      <c r="C118" s="6" t="inlineStr">
        <is>
          <t>Boa Vista</t>
        </is>
      </c>
      <c r="D118" s="6" t="inlineStr">
        <is>
          <t>RR</t>
        </is>
      </c>
      <c r="E118" s="6" t="n">
        <v>2.816595</v>
      </c>
      <c r="F118" s="6" t="n">
        <v>-60.692835</v>
      </c>
      <c r="G118" s="6" t="inlineStr">
        <is>
          <t>COMPANHIA NACIONAL DE ABASTECIMENTO</t>
        </is>
      </c>
      <c r="H118" s="6" t="inlineStr">
        <is>
          <t>Convencional</t>
        </is>
      </c>
      <c r="I118" s="11" t="n">
        <v>1600</v>
      </c>
      <c r="J118" s="11" t="n">
        <v>9</v>
      </c>
      <c r="K118" s="11" t="n">
        <v>9</v>
      </c>
      <c r="L118" s="11" t="n">
        <v>0</v>
      </c>
      <c r="M118" s="11" t="n">
        <v>0</v>
      </c>
      <c r="N118" s="11" t="n">
        <v>0</v>
      </c>
      <c r="O118" s="11">
        <f>IF($B118="Candidato",IF($L118&gt;0,$M118/$L118,0),0)</f>
        <v/>
      </c>
      <c r="P118" s="11" t="inlineStr">
        <is>
          <t>SIM</t>
        </is>
      </c>
      <c r="Q118" s="11">
        <f>IF($P118="SIM",$I118*Parametros_Modelo!$B$9,0)</f>
        <v/>
      </c>
      <c r="R118" s="11">
        <f>IF($P118="SIM",Parametros_Modelo!$B$10,0)</f>
        <v/>
      </c>
      <c r="S118" s="11" t="inlineStr">
        <is>
          <t>SIM</t>
        </is>
      </c>
      <c r="T118" s="11">
        <f>IF($S118="SIM",Parametros_Modelo!$B$11,0)</f>
        <v/>
      </c>
      <c r="U118" s="11">
        <f>Parametros_Modelo!$B$5</f>
        <v/>
      </c>
      <c r="V118" s="11">
        <f>Parametros_Modelo!$B$6</f>
        <v/>
      </c>
      <c r="W118" s="6" t="inlineStr">
        <is>
          <t>Sintético/Derivado_de_Custo_Invest para expansão, granelização e penalidades</t>
        </is>
      </c>
      <c r="X118" s="6" t="inlineStr">
        <is>
          <t>Colunas adicionadas para separar parâmetros do modelo matemático dos dados originais do CDA.</t>
        </is>
      </c>
      <c r="Y118" s="6" t="inlineStr">
        <is>
          <t>Opcional agora; necessária se ativar expansão, granelização ou custos candidatos explícitos.</t>
        </is>
      </c>
    </row>
    <row r="119">
      <c r="A119" s="6" t="inlineStr">
        <is>
          <t>76.8711.0002-9</t>
        </is>
      </c>
      <c r="B119" s="6" t="inlineStr">
        <is>
          <t>Existente</t>
        </is>
      </c>
      <c r="C119" s="6" t="inlineStr">
        <is>
          <t>Cacequi</t>
        </is>
      </c>
      <c r="D119" s="6" t="inlineStr">
        <is>
          <t>RS</t>
        </is>
      </c>
      <c r="E119" s="6" t="n">
        <v>-29.87116</v>
      </c>
      <c r="F119" s="6" t="n">
        <v>-54.83434</v>
      </c>
      <c r="G119" s="6" t="inlineStr">
        <is>
          <t>CEREALISTA SOL DE ABRIL LTDA</t>
        </is>
      </c>
      <c r="H119" s="6" t="inlineStr">
        <is>
          <t>Bateria de Silos</t>
        </is>
      </c>
      <c r="I119" s="11" t="n">
        <v>3630</v>
      </c>
      <c r="J119" s="11" t="n">
        <v>15</v>
      </c>
      <c r="K119" s="11" t="n">
        <v>15</v>
      </c>
      <c r="L119" s="11" t="n">
        <v>0</v>
      </c>
      <c r="M119" s="11" t="n">
        <v>0</v>
      </c>
      <c r="N119" s="11" t="n">
        <v>0</v>
      </c>
      <c r="O119" s="11">
        <f>IF($B119="Candidato",IF($L119&gt;0,$M119/$L119,0),0)</f>
        <v/>
      </c>
      <c r="P119" s="11" t="inlineStr">
        <is>
          <t>SIM</t>
        </is>
      </c>
      <c r="Q119" s="11">
        <f>IF($P119="SIM",$I119*Parametros_Modelo!$B$9,0)</f>
        <v/>
      </c>
      <c r="R119" s="11">
        <f>IF($P119="SIM",Parametros_Modelo!$B$10,0)</f>
        <v/>
      </c>
      <c r="S119" s="11" t="inlineStr">
        <is>
          <t>NAO</t>
        </is>
      </c>
      <c r="T119" s="11">
        <f>IF($S119="SIM",Parametros_Modelo!$B$11,0)</f>
        <v/>
      </c>
      <c r="U119" s="11">
        <f>Parametros_Modelo!$B$5</f>
        <v/>
      </c>
      <c r="V119" s="11">
        <f>Parametros_Modelo!$B$6</f>
        <v/>
      </c>
      <c r="W119" s="6" t="inlineStr">
        <is>
          <t>Sintético/Derivado_de_Custo_Invest para expansão, granelização e penalidades</t>
        </is>
      </c>
      <c r="X119" s="6" t="inlineStr">
        <is>
          <t>Colunas adicionadas para separar parâmetros do modelo matemático dos dados originais do CDA.</t>
        </is>
      </c>
      <c r="Y119" s="6" t="inlineStr">
        <is>
          <t>Opcional agora; necessária se ativar expansão, granelização ou custos candidatos explícitos.</t>
        </is>
      </c>
    </row>
    <row r="120">
      <c r="A120" s="6" t="inlineStr">
        <is>
          <t>76.0287.0237-9</t>
        </is>
      </c>
      <c r="B120" s="6" t="inlineStr">
        <is>
          <t>Existente</t>
        </is>
      </c>
      <c r="C120" s="6" t="inlineStr">
        <is>
          <t>Canoas</t>
        </is>
      </c>
      <c r="D120" s="6" t="inlineStr">
        <is>
          <t>RS</t>
        </is>
      </c>
      <c r="E120" s="6" t="n">
        <v>-29.925968</v>
      </c>
      <c r="F120" s="6" t="n">
        <v>-51.193639</v>
      </c>
      <c r="G120" s="6" t="inlineStr">
        <is>
          <t>Companhia Nacional de Abastecimento</t>
        </is>
      </c>
      <c r="H120" s="6" t="inlineStr">
        <is>
          <t>Convencional</t>
        </is>
      </c>
      <c r="I120" s="11" t="n">
        <v>16630</v>
      </c>
      <c r="J120" s="11" t="n">
        <v>30</v>
      </c>
      <c r="K120" s="11" t="n">
        <v>20</v>
      </c>
      <c r="L120" s="11" t="n">
        <v>0</v>
      </c>
      <c r="M120" s="11" t="n">
        <v>0</v>
      </c>
      <c r="N120" s="11" t="n">
        <v>0</v>
      </c>
      <c r="O120" s="11">
        <f>IF($B120="Candidato",IF($L120&gt;0,$M120/$L120,0),0)</f>
        <v/>
      </c>
      <c r="P120" s="11" t="inlineStr">
        <is>
          <t>SIM</t>
        </is>
      </c>
      <c r="Q120" s="11">
        <f>IF($P120="SIM",$I120*Parametros_Modelo!$B$9,0)</f>
        <v/>
      </c>
      <c r="R120" s="11">
        <f>IF($P120="SIM",Parametros_Modelo!$B$10,0)</f>
        <v/>
      </c>
      <c r="S120" s="11" t="inlineStr">
        <is>
          <t>SIM</t>
        </is>
      </c>
      <c r="T120" s="11">
        <f>IF($S120="SIM",Parametros_Modelo!$B$11,0)</f>
        <v/>
      </c>
      <c r="U120" s="11">
        <f>Parametros_Modelo!$B$5</f>
        <v/>
      </c>
      <c r="V120" s="11">
        <f>Parametros_Modelo!$B$6</f>
        <v/>
      </c>
      <c r="W120" s="6" t="inlineStr">
        <is>
          <t>Sintético/Derivado_de_Custo_Invest para expansão, granelização e penalidades</t>
        </is>
      </c>
      <c r="X120" s="6" t="inlineStr">
        <is>
          <t>Colunas adicionadas para separar parâmetros do modelo matemático dos dados originais do CDA.</t>
        </is>
      </c>
      <c r="Y120" s="6" t="inlineStr">
        <is>
          <t>Opcional agora; necessária se ativar expansão, granelização ou custos candidatos explícitos.</t>
        </is>
      </c>
    </row>
    <row r="121">
      <c r="A121" s="6" t="inlineStr">
        <is>
          <t>76.7556.0008-8</t>
        </is>
      </c>
      <c r="B121" s="6" t="inlineStr">
        <is>
          <t>Existente</t>
        </is>
      </c>
      <c r="C121" s="6" t="inlineStr">
        <is>
          <t>Caseiros</t>
        </is>
      </c>
      <c r="D121" s="6" t="inlineStr">
        <is>
          <t>RS</t>
        </is>
      </c>
      <c r="E121" s="6" t="n">
        <v>-28.24915</v>
      </c>
      <c r="F121" s="6" t="n">
        <v>-51.84023</v>
      </c>
      <c r="G121" s="6" t="inlineStr">
        <is>
          <t>Cooperativa Agrícola Água santa LTDA</t>
        </is>
      </c>
      <c r="H121" s="6" t="inlineStr">
        <is>
          <t>Graneleiro</t>
        </is>
      </c>
      <c r="I121" s="11" t="n">
        <v>2990</v>
      </c>
      <c r="J121" s="11" t="n">
        <v>60</v>
      </c>
      <c r="K121" s="11" t="n">
        <v>60</v>
      </c>
      <c r="L121" s="11" t="n">
        <v>0</v>
      </c>
      <c r="M121" s="11" t="n">
        <v>0</v>
      </c>
      <c r="N121" s="11" t="n">
        <v>0</v>
      </c>
      <c r="O121" s="11">
        <f>IF($B121="Candidato",IF($L121&gt;0,$M121/$L121,0),0)</f>
        <v/>
      </c>
      <c r="P121" s="11" t="inlineStr">
        <is>
          <t>SIM</t>
        </is>
      </c>
      <c r="Q121" s="11">
        <f>IF($P121="SIM",$I121*Parametros_Modelo!$B$9,0)</f>
        <v/>
      </c>
      <c r="R121" s="11">
        <f>IF($P121="SIM",Parametros_Modelo!$B$10,0)</f>
        <v/>
      </c>
      <c r="S121" s="11" t="inlineStr">
        <is>
          <t>NAO</t>
        </is>
      </c>
      <c r="T121" s="11">
        <f>IF($S121="SIM",Parametros_Modelo!$B$11,0)</f>
        <v/>
      </c>
      <c r="U121" s="11">
        <f>Parametros_Modelo!$B$5</f>
        <v/>
      </c>
      <c r="V121" s="11">
        <f>Parametros_Modelo!$B$6</f>
        <v/>
      </c>
      <c r="W121" s="6" t="inlineStr">
        <is>
          <t>Sintético/Derivado_de_Custo_Invest para expansão, granelização e penalidades</t>
        </is>
      </c>
      <c r="X121" s="6" t="inlineStr">
        <is>
          <t>Colunas adicionadas para separar parâmetros do modelo matemático dos dados originais do CDA.</t>
        </is>
      </c>
      <c r="Y121" s="6" t="inlineStr">
        <is>
          <t>Opcional agora; necessária se ativar expansão, granelização ou custos candidatos explícitos.</t>
        </is>
      </c>
    </row>
    <row r="122">
      <c r="A122" s="6" t="inlineStr">
        <is>
          <t>76.7556.0009-6</t>
        </is>
      </c>
      <c r="B122" s="6" t="inlineStr">
        <is>
          <t>Existente</t>
        </is>
      </c>
      <c r="C122" s="6" t="inlineStr">
        <is>
          <t>Caseiros</t>
        </is>
      </c>
      <c r="D122" s="6" t="inlineStr">
        <is>
          <t>RS</t>
        </is>
      </c>
      <c r="E122" s="6" t="n">
        <v>-28.24923</v>
      </c>
      <c r="F122" s="6" t="n">
        <v>-51.84005</v>
      </c>
      <c r="G122" s="6" t="inlineStr">
        <is>
          <t>Cooperativa Agrícola Água santa LTDA</t>
        </is>
      </c>
      <c r="H122" s="6" t="inlineStr">
        <is>
          <t>Bateria de Silos</t>
        </is>
      </c>
      <c r="I122" s="11" t="n">
        <v>11720</v>
      </c>
      <c r="J122" s="11" t="n">
        <v>60</v>
      </c>
      <c r="K122" s="11" t="n">
        <v>60</v>
      </c>
      <c r="L122" s="11" t="n">
        <v>0</v>
      </c>
      <c r="M122" s="11" t="n">
        <v>0</v>
      </c>
      <c r="N122" s="11" t="n">
        <v>0</v>
      </c>
      <c r="O122" s="11">
        <f>IF($B122="Candidato",IF($L122&gt;0,$M122/$L122,0),0)</f>
        <v/>
      </c>
      <c r="P122" s="11" t="inlineStr">
        <is>
          <t>SIM</t>
        </is>
      </c>
      <c r="Q122" s="11">
        <f>IF($P122="SIM",$I122*Parametros_Modelo!$B$9,0)</f>
        <v/>
      </c>
      <c r="R122" s="11">
        <f>IF($P122="SIM",Parametros_Modelo!$B$10,0)</f>
        <v/>
      </c>
      <c r="S122" s="11" t="inlineStr">
        <is>
          <t>NAO</t>
        </is>
      </c>
      <c r="T122" s="11">
        <f>IF($S122="SIM",Parametros_Modelo!$B$11,0)</f>
        <v/>
      </c>
      <c r="U122" s="11">
        <f>Parametros_Modelo!$B$5</f>
        <v/>
      </c>
      <c r="V122" s="11">
        <f>Parametros_Modelo!$B$6</f>
        <v/>
      </c>
      <c r="W122" s="6" t="inlineStr">
        <is>
          <t>Sintético/Derivado_de_Custo_Invest para expansão, granelização e penalidades</t>
        </is>
      </c>
      <c r="X122" s="6" t="inlineStr">
        <is>
          <t>Colunas adicionadas para separar parâmetros do modelo matemático dos dados originais do CDA.</t>
        </is>
      </c>
      <c r="Y122" s="6" t="inlineStr">
        <is>
          <t>Opcional agora; necessária se ativar expansão, granelização ou custos candidatos explícitos.</t>
        </is>
      </c>
    </row>
    <row r="123">
      <c r="A123" s="6" t="inlineStr">
        <is>
          <t>76.E585.0001-3</t>
        </is>
      </c>
      <c r="B123" s="6" t="inlineStr">
        <is>
          <t>Existente</t>
        </is>
      </c>
      <c r="C123" s="6" t="inlineStr">
        <is>
          <t>Cruzeiro do Sul</t>
        </is>
      </c>
      <c r="D123" s="6" t="inlineStr">
        <is>
          <t>RS</t>
        </is>
      </c>
      <c r="E123" s="6" t="n">
        <v>-29.482458</v>
      </c>
      <c r="F123" s="6" t="n">
        <v>-52.025158</v>
      </c>
      <c r="G123" s="6" t="inlineStr">
        <is>
          <t>ARLA COOPERATIVA LTDA</t>
        </is>
      </c>
      <c r="H123" s="6" t="inlineStr">
        <is>
          <t>Bateria de Silos</t>
        </is>
      </c>
      <c r="I123" s="11" t="n">
        <v>21920</v>
      </c>
      <c r="J123" s="11" t="n">
        <v>120</v>
      </c>
      <c r="K123" s="11" t="n">
        <v>90</v>
      </c>
      <c r="L123" s="11" t="n">
        <v>0</v>
      </c>
      <c r="M123" s="11" t="n">
        <v>0</v>
      </c>
      <c r="N123" s="11" t="n">
        <v>0</v>
      </c>
      <c r="O123" s="11">
        <f>IF($B123="Candidato",IF($L123&gt;0,$M123/$L123,0),0)</f>
        <v/>
      </c>
      <c r="P123" s="11" t="inlineStr">
        <is>
          <t>SIM</t>
        </is>
      </c>
      <c r="Q123" s="11">
        <f>IF($P123="SIM",$I123*Parametros_Modelo!$B$9,0)</f>
        <v/>
      </c>
      <c r="R123" s="11">
        <f>IF($P123="SIM",Parametros_Modelo!$B$10,0)</f>
        <v/>
      </c>
      <c r="S123" s="11" t="inlineStr">
        <is>
          <t>NAO</t>
        </is>
      </c>
      <c r="T123" s="11">
        <f>IF($S123="SIM",Parametros_Modelo!$B$11,0)</f>
        <v/>
      </c>
      <c r="U123" s="11">
        <f>Parametros_Modelo!$B$5</f>
        <v/>
      </c>
      <c r="V123" s="11">
        <f>Parametros_Modelo!$B$6</f>
        <v/>
      </c>
      <c r="W123" s="6" t="inlineStr">
        <is>
          <t>Sintético/Derivado_de_Custo_Invest para expansão, granelização e penalidades</t>
        </is>
      </c>
      <c r="X123" s="6" t="inlineStr">
        <is>
          <t>Colunas adicionadas para separar parâmetros do modelo matemático dos dados originais do CDA.</t>
        </is>
      </c>
      <c r="Y123" s="6" t="inlineStr">
        <is>
          <t>Opcional agora; necessária se ativar expansão, granelização ou custos candidatos explícitos.</t>
        </is>
      </c>
    </row>
    <row r="124">
      <c r="A124" s="6" t="inlineStr">
        <is>
          <t>76.5641.0003-0</t>
        </is>
      </c>
      <c r="B124" s="6" t="inlineStr">
        <is>
          <t>Existente</t>
        </is>
      </c>
      <c r="C124" s="6" t="inlineStr">
        <is>
          <t>Dom Pedrito</t>
        </is>
      </c>
      <c r="D124" s="6" t="inlineStr">
        <is>
          <t>RS</t>
        </is>
      </c>
      <c r="E124" s="6" t="n">
        <v>-30.99278</v>
      </c>
      <c r="F124" s="6" t="n">
        <v>-54.62943</v>
      </c>
      <c r="G124" s="6" t="inlineStr">
        <is>
          <t>COBRARROZ COMERCIAL BRASILEIRA DE ARROZ LTDA</t>
        </is>
      </c>
      <c r="H124" s="6" t="inlineStr">
        <is>
          <t>Bateria de Silos</t>
        </is>
      </c>
      <c r="I124" s="11" t="n">
        <v>12020</v>
      </c>
      <c r="J124" s="11" t="n">
        <v>100</v>
      </c>
      <c r="K124" s="11" t="n">
        <v>30</v>
      </c>
      <c r="L124" s="11" t="n">
        <v>0</v>
      </c>
      <c r="M124" s="11" t="n">
        <v>0</v>
      </c>
      <c r="N124" s="11" t="n">
        <v>0</v>
      </c>
      <c r="O124" s="11">
        <f>IF($B124="Candidato",IF($L124&gt;0,$M124/$L124,0),0)</f>
        <v/>
      </c>
      <c r="P124" s="11" t="inlineStr">
        <is>
          <t>SIM</t>
        </is>
      </c>
      <c r="Q124" s="11">
        <f>IF($P124="SIM",$I124*Parametros_Modelo!$B$9,0)</f>
        <v/>
      </c>
      <c r="R124" s="11">
        <f>IF($P124="SIM",Parametros_Modelo!$B$10,0)</f>
        <v/>
      </c>
      <c r="S124" s="11" t="inlineStr">
        <is>
          <t>NAO</t>
        </is>
      </c>
      <c r="T124" s="11">
        <f>IF($S124="SIM",Parametros_Modelo!$B$11,0)</f>
        <v/>
      </c>
      <c r="U124" s="11">
        <f>Parametros_Modelo!$B$5</f>
        <v/>
      </c>
      <c r="V124" s="11">
        <f>Parametros_Modelo!$B$6</f>
        <v/>
      </c>
      <c r="W124" s="6" t="inlineStr">
        <is>
          <t>Sintético/Derivado_de_Custo_Invest para expansão, granelização e penalidades</t>
        </is>
      </c>
      <c r="X124" s="6" t="inlineStr">
        <is>
          <t>Colunas adicionadas para separar parâmetros do modelo matemático dos dados originais do CDA.</t>
        </is>
      </c>
      <c r="Y124" s="6" t="inlineStr">
        <is>
          <t>Opcional agora; necessária se ativar expansão, granelização ou custos candidatos explícitos.</t>
        </is>
      </c>
    </row>
    <row r="125">
      <c r="A125" s="6" t="inlineStr">
        <is>
          <t>76.5641.0004-8</t>
        </is>
      </c>
      <c r="B125" s="6" t="inlineStr">
        <is>
          <t>Existente</t>
        </is>
      </c>
      <c r="C125" s="6" t="inlineStr">
        <is>
          <t>Dom Pedrito</t>
        </is>
      </c>
      <c r="D125" s="6" t="inlineStr">
        <is>
          <t>RS</t>
        </is>
      </c>
      <c r="E125" s="6" t="n">
        <v>-30.59557</v>
      </c>
      <c r="F125" s="6" t="n">
        <v>-54.37771</v>
      </c>
      <c r="G125" s="6" t="inlineStr">
        <is>
          <t>COBRARROZ COMERCIAL BRASILEIRA DE ARROZ LTDA</t>
        </is>
      </c>
      <c r="H125" s="6" t="inlineStr">
        <is>
          <t>Bateria de Silos</t>
        </is>
      </c>
      <c r="I125" s="11" t="n">
        <v>23890</v>
      </c>
      <c r="J125" s="11" t="n">
        <v>120</v>
      </c>
      <c r="K125" s="11" t="n">
        <v>60</v>
      </c>
      <c r="L125" s="11" t="n">
        <v>0</v>
      </c>
      <c r="M125" s="11" t="n">
        <v>0</v>
      </c>
      <c r="N125" s="11" t="n">
        <v>0</v>
      </c>
      <c r="O125" s="11">
        <f>IF($B125="Candidato",IF($L125&gt;0,$M125/$L125,0),0)</f>
        <v/>
      </c>
      <c r="P125" s="11" t="inlineStr">
        <is>
          <t>SIM</t>
        </is>
      </c>
      <c r="Q125" s="11">
        <f>IF($P125="SIM",$I125*Parametros_Modelo!$B$9,0)</f>
        <v/>
      </c>
      <c r="R125" s="11">
        <f>IF($P125="SIM",Parametros_Modelo!$B$10,0)</f>
        <v/>
      </c>
      <c r="S125" s="11" t="inlineStr">
        <is>
          <t>NAO</t>
        </is>
      </c>
      <c r="T125" s="11">
        <f>IF($S125="SIM",Parametros_Modelo!$B$11,0)</f>
        <v/>
      </c>
      <c r="U125" s="11">
        <f>Parametros_Modelo!$B$5</f>
        <v/>
      </c>
      <c r="V125" s="11">
        <f>Parametros_Modelo!$B$6</f>
        <v/>
      </c>
      <c r="W125" s="6" t="inlineStr">
        <is>
          <t>Sintético/Derivado_de_Custo_Invest para expansão, granelização e penalidades</t>
        </is>
      </c>
      <c r="X125" s="6" t="inlineStr">
        <is>
          <t>Colunas adicionadas para separar parâmetros do modelo matemático dos dados originais do CDA.</t>
        </is>
      </c>
      <c r="Y125" s="6" t="inlineStr">
        <is>
          <t>Opcional agora; necessária se ativar expansão, granelização ou custos candidatos explícitos.</t>
        </is>
      </c>
    </row>
    <row r="126">
      <c r="A126" s="6" t="inlineStr">
        <is>
          <t>76.F503.0002-5</t>
        </is>
      </c>
      <c r="B126" s="6" t="inlineStr">
        <is>
          <t>Existente</t>
        </is>
      </c>
      <c r="C126" s="6" t="inlineStr">
        <is>
          <t>Eldorado do Sul</t>
        </is>
      </c>
      <c r="D126" s="6" t="inlineStr">
        <is>
          <t>RS</t>
        </is>
      </c>
      <c r="E126" s="6" t="n">
        <v>-30.0625</v>
      </c>
      <c r="F126" s="6" t="n">
        <v>-51.43972</v>
      </c>
      <c r="G126" s="6" t="inlineStr">
        <is>
          <t>ASTRAL AGRONEGOCIO LTDA</t>
        </is>
      </c>
      <c r="H126" s="6" t="inlineStr">
        <is>
          <t>Bateria de Silos</t>
        </is>
      </c>
      <c r="I126" s="11" t="n">
        <v>28190</v>
      </c>
      <c r="J126" s="11" t="n">
        <v>200</v>
      </c>
      <c r="K126" s="11" t="n">
        <v>240</v>
      </c>
      <c r="L126" s="11" t="n">
        <v>0</v>
      </c>
      <c r="M126" s="11" t="n">
        <v>0</v>
      </c>
      <c r="N126" s="11" t="n">
        <v>0</v>
      </c>
      <c r="O126" s="11">
        <f>IF($B126="Candidato",IF($L126&gt;0,$M126/$L126,0),0)</f>
        <v/>
      </c>
      <c r="P126" s="11" t="inlineStr">
        <is>
          <t>SIM</t>
        </is>
      </c>
      <c r="Q126" s="11">
        <f>IF($P126="SIM",$I126*Parametros_Modelo!$B$9,0)</f>
        <v/>
      </c>
      <c r="R126" s="11">
        <f>IF($P126="SIM",Parametros_Modelo!$B$10,0)</f>
        <v/>
      </c>
      <c r="S126" s="11" t="inlineStr">
        <is>
          <t>NAO</t>
        </is>
      </c>
      <c r="T126" s="11">
        <f>IF($S126="SIM",Parametros_Modelo!$B$11,0)</f>
        <v/>
      </c>
      <c r="U126" s="11">
        <f>Parametros_Modelo!$B$5</f>
        <v/>
      </c>
      <c r="V126" s="11">
        <f>Parametros_Modelo!$B$6</f>
        <v/>
      </c>
      <c r="W126" s="6" t="inlineStr">
        <is>
          <t>Sintético/Derivado_de_Custo_Invest para expansão, granelização e penalidades</t>
        </is>
      </c>
      <c r="X126" s="6" t="inlineStr">
        <is>
          <t>Colunas adicionadas para separar parâmetros do modelo matemático dos dados originais do CDA.</t>
        </is>
      </c>
      <c r="Y126" s="6" t="inlineStr">
        <is>
          <t>Opcional agora; necessária se ativar expansão, granelização ou custos candidatos explícitos.</t>
        </is>
      </c>
    </row>
    <row r="127">
      <c r="A127" s="6" t="inlineStr">
        <is>
          <t>76.7556.0017-7</t>
        </is>
      </c>
      <c r="B127" s="6" t="inlineStr">
        <is>
          <t>Existente</t>
        </is>
      </c>
      <c r="C127" s="6" t="inlineStr">
        <is>
          <t>Lagoa Vermelha</t>
        </is>
      </c>
      <c r="D127" s="6" t="inlineStr">
        <is>
          <t>RS</t>
        </is>
      </c>
      <c r="E127" s="6" t="n">
        <v>-28.22562</v>
      </c>
      <c r="F127" s="6" t="n">
        <v>-51.61108</v>
      </c>
      <c r="G127" s="6" t="inlineStr">
        <is>
          <t>Cooperativa Agrícola Água santa LTDA</t>
        </is>
      </c>
      <c r="H127" s="6" t="inlineStr">
        <is>
          <t>Bateria de Silos</t>
        </is>
      </c>
      <c r="I127" s="11" t="n">
        <v>33940</v>
      </c>
      <c r="J127" s="11" t="n">
        <v>500</v>
      </c>
      <c r="K127" s="11" t="n">
        <v>150</v>
      </c>
      <c r="L127" s="11" t="n">
        <v>0</v>
      </c>
      <c r="M127" s="11" t="n">
        <v>0</v>
      </c>
      <c r="N127" s="11" t="n">
        <v>0</v>
      </c>
      <c r="O127" s="11">
        <f>IF($B127="Candidato",IF($L127&gt;0,$M127/$L127,0),0)</f>
        <v/>
      </c>
      <c r="P127" s="11" t="inlineStr">
        <is>
          <t>SIM</t>
        </is>
      </c>
      <c r="Q127" s="11">
        <f>IF($P127="SIM",$I127*Parametros_Modelo!$B$9,0)</f>
        <v/>
      </c>
      <c r="R127" s="11">
        <f>IF($P127="SIM",Parametros_Modelo!$B$10,0)</f>
        <v/>
      </c>
      <c r="S127" s="11" t="inlineStr">
        <is>
          <t>NAO</t>
        </is>
      </c>
      <c r="T127" s="11">
        <f>IF($S127="SIM",Parametros_Modelo!$B$11,0)</f>
        <v/>
      </c>
      <c r="U127" s="11">
        <f>Parametros_Modelo!$B$5</f>
        <v/>
      </c>
      <c r="V127" s="11">
        <f>Parametros_Modelo!$B$6</f>
        <v/>
      </c>
      <c r="W127" s="6" t="inlineStr">
        <is>
          <t>Sintético/Derivado_de_Custo_Invest para expansão, granelização e penalidades</t>
        </is>
      </c>
      <c r="X127" s="6" t="inlineStr">
        <is>
          <t>Colunas adicionadas para separar parâmetros do modelo matemático dos dados originais do CDA.</t>
        </is>
      </c>
      <c r="Y127" s="6" t="inlineStr">
        <is>
          <t>Opcional agora; necessária se ativar expansão, granelização ou custos candidatos explícitos.</t>
        </is>
      </c>
    </row>
    <row r="128">
      <c r="A128" s="6" t="inlineStr">
        <is>
          <t>76.8280.0003-4</t>
        </is>
      </c>
      <c r="B128" s="6" t="inlineStr">
        <is>
          <t>Existente</t>
        </is>
      </c>
      <c r="C128" s="6" t="inlineStr">
        <is>
          <t>Mata</t>
        </is>
      </c>
      <c r="D128" s="6" t="inlineStr">
        <is>
          <t>RS</t>
        </is>
      </c>
      <c r="E128" s="6" t="n">
        <v>-29.569944</v>
      </c>
      <c r="F128" s="6" t="n">
        <v>-54.478389</v>
      </c>
      <c r="G128" s="6" t="inlineStr">
        <is>
          <t>CEREAIS PEGER LTDA</t>
        </is>
      </c>
      <c r="H128" s="6" t="inlineStr">
        <is>
          <t>Bateria de Silos</t>
        </is>
      </c>
      <c r="I128" s="11" t="n">
        <v>18520</v>
      </c>
      <c r="J128" s="11" t="n">
        <v>60</v>
      </c>
      <c r="K128" s="11" t="n">
        <v>60</v>
      </c>
      <c r="L128" s="11" t="n">
        <v>0</v>
      </c>
      <c r="M128" s="11" t="n">
        <v>0</v>
      </c>
      <c r="N128" s="11" t="n">
        <v>0</v>
      </c>
      <c r="O128" s="11">
        <f>IF($B128="Candidato",IF($L128&gt;0,$M128/$L128,0),0)</f>
        <v/>
      </c>
      <c r="P128" s="11" t="inlineStr">
        <is>
          <t>SIM</t>
        </is>
      </c>
      <c r="Q128" s="11">
        <f>IF($P128="SIM",$I128*Parametros_Modelo!$B$9,0)</f>
        <v/>
      </c>
      <c r="R128" s="11">
        <f>IF($P128="SIM",Parametros_Modelo!$B$10,0)</f>
        <v/>
      </c>
      <c r="S128" s="11" t="inlineStr">
        <is>
          <t>NAO</t>
        </is>
      </c>
      <c r="T128" s="11">
        <f>IF($S128="SIM",Parametros_Modelo!$B$11,0)</f>
        <v/>
      </c>
      <c r="U128" s="11">
        <f>Parametros_Modelo!$B$5</f>
        <v/>
      </c>
      <c r="V128" s="11">
        <f>Parametros_Modelo!$B$6</f>
        <v/>
      </c>
      <c r="W128" s="6" t="inlineStr">
        <is>
          <t>Sintético/Derivado_de_Custo_Invest para expansão, granelização e penalidades</t>
        </is>
      </c>
      <c r="X128" s="6" t="inlineStr">
        <is>
          <t>Colunas adicionadas para separar parâmetros do modelo matemático dos dados originais do CDA.</t>
        </is>
      </c>
      <c r="Y128" s="6" t="inlineStr">
        <is>
          <t>Opcional agora; necessária se ativar expansão, granelização ou custos candidatos explícitos.</t>
        </is>
      </c>
    </row>
    <row r="129">
      <c r="A129" s="6" t="inlineStr">
        <is>
          <t>76.9370.0001-9</t>
        </is>
      </c>
      <c r="B129" s="6" t="inlineStr">
        <is>
          <t>Existente</t>
        </is>
      </c>
      <c r="C129" s="6" t="inlineStr">
        <is>
          <t>Rosário do Sul</t>
        </is>
      </c>
      <c r="D129" s="6" t="inlineStr">
        <is>
          <t>RS</t>
        </is>
      </c>
      <c r="E129" s="6" t="n">
        <v>-30.24168</v>
      </c>
      <c r="F129" s="6" t="n">
        <v>-54.95507</v>
      </c>
      <c r="G129" s="6" t="inlineStr">
        <is>
          <t>ARROZEIRA TARUMA LTDA</t>
        </is>
      </c>
      <c r="H129" s="6" t="inlineStr">
        <is>
          <t>Bateria de Silos</t>
        </is>
      </c>
      <c r="I129" s="11" t="n">
        <v>4260</v>
      </c>
      <c r="J129" s="11" t="n">
        <v>60</v>
      </c>
      <c r="K129" s="11" t="n">
        <v>60</v>
      </c>
      <c r="L129" s="11" t="n">
        <v>0</v>
      </c>
      <c r="M129" s="11" t="n">
        <v>0</v>
      </c>
      <c r="N129" s="11" t="n">
        <v>0</v>
      </c>
      <c r="O129" s="11">
        <f>IF($B129="Candidato",IF($L129&gt;0,$M129/$L129,0),0)</f>
        <v/>
      </c>
      <c r="P129" s="11" t="inlineStr">
        <is>
          <t>SIM</t>
        </is>
      </c>
      <c r="Q129" s="11">
        <f>IF($P129="SIM",$I129*Parametros_Modelo!$B$9,0)</f>
        <v/>
      </c>
      <c r="R129" s="11">
        <f>IF($P129="SIM",Parametros_Modelo!$B$10,0)</f>
        <v/>
      </c>
      <c r="S129" s="11" t="inlineStr">
        <is>
          <t>NAO</t>
        </is>
      </c>
      <c r="T129" s="11">
        <f>IF($S129="SIM",Parametros_Modelo!$B$11,0)</f>
        <v/>
      </c>
      <c r="U129" s="11">
        <f>Parametros_Modelo!$B$5</f>
        <v/>
      </c>
      <c r="V129" s="11">
        <f>Parametros_Modelo!$B$6</f>
        <v/>
      </c>
      <c r="W129" s="6" t="inlineStr">
        <is>
          <t>Sintético/Derivado_de_Custo_Invest para expansão, granelização e penalidades</t>
        </is>
      </c>
      <c r="X129" s="6" t="inlineStr">
        <is>
          <t>Colunas adicionadas para separar parâmetros do modelo matemático dos dados originais do CDA.</t>
        </is>
      </c>
      <c r="Y129" s="6" t="inlineStr">
        <is>
          <t>Opcional agora; necessária se ativar expansão, granelização ou custos candidatos explícitos.</t>
        </is>
      </c>
    </row>
    <row r="130">
      <c r="A130" s="6" t="inlineStr">
        <is>
          <t>76.9370.0002-7</t>
        </is>
      </c>
      <c r="B130" s="6" t="inlineStr">
        <is>
          <t>Existente</t>
        </is>
      </c>
      <c r="C130" s="6" t="inlineStr">
        <is>
          <t>Rosário do Sul</t>
        </is>
      </c>
      <c r="D130" s="6" t="inlineStr">
        <is>
          <t>RS</t>
        </is>
      </c>
      <c r="E130" s="6" t="n">
        <v>-30.24165</v>
      </c>
      <c r="F130" s="6" t="n">
        <v>-54.95597</v>
      </c>
      <c r="G130" s="6" t="inlineStr">
        <is>
          <t>ARROZEIRA TARUMA LTDA</t>
        </is>
      </c>
      <c r="H130" s="6" t="inlineStr">
        <is>
          <t>Bateria de Silos</t>
        </is>
      </c>
      <c r="I130" s="11" t="n">
        <v>9150</v>
      </c>
      <c r="J130" s="11" t="n">
        <v>60</v>
      </c>
      <c r="K130" s="11" t="n">
        <v>40</v>
      </c>
      <c r="L130" s="11" t="n">
        <v>0</v>
      </c>
      <c r="M130" s="11" t="n">
        <v>0</v>
      </c>
      <c r="N130" s="11" t="n">
        <v>0</v>
      </c>
      <c r="O130" s="11">
        <f>IF($B130="Candidato",IF($L130&gt;0,$M130/$L130,0),0)</f>
        <v/>
      </c>
      <c r="P130" s="11" t="inlineStr">
        <is>
          <t>SIM</t>
        </is>
      </c>
      <c r="Q130" s="11">
        <f>IF($P130="SIM",$I130*Parametros_Modelo!$B$9,0)</f>
        <v/>
      </c>
      <c r="R130" s="11">
        <f>IF($P130="SIM",Parametros_Modelo!$B$10,0)</f>
        <v/>
      </c>
      <c r="S130" s="11" t="inlineStr">
        <is>
          <t>NAO</t>
        </is>
      </c>
      <c r="T130" s="11">
        <f>IF($S130="SIM",Parametros_Modelo!$B$11,0)</f>
        <v/>
      </c>
      <c r="U130" s="11">
        <f>Parametros_Modelo!$B$5</f>
        <v/>
      </c>
      <c r="V130" s="11">
        <f>Parametros_Modelo!$B$6</f>
        <v/>
      </c>
      <c r="W130" s="6" t="inlineStr">
        <is>
          <t>Sintético/Derivado_de_Custo_Invest para expansão, granelização e penalidades</t>
        </is>
      </c>
      <c r="X130" s="6" t="inlineStr">
        <is>
          <t>Colunas adicionadas para separar parâmetros do modelo matemático dos dados originais do CDA.</t>
        </is>
      </c>
      <c r="Y130" s="6" t="inlineStr">
        <is>
          <t>Opcional agora; necessária se ativar expansão, granelização ou custos candidatos explícitos.</t>
        </is>
      </c>
    </row>
    <row r="131">
      <c r="A131" s="6" t="inlineStr">
        <is>
          <t>76.C543.0001-6</t>
        </is>
      </c>
      <c r="B131" s="6" t="inlineStr">
        <is>
          <t>Existente</t>
        </is>
      </c>
      <c r="C131" s="6" t="inlineStr">
        <is>
          <t>São Borja</t>
        </is>
      </c>
      <c r="D131" s="6" t="inlineStr">
        <is>
          <t>RS</t>
        </is>
      </c>
      <c r="E131" s="6" t="n">
        <v>-28.68465</v>
      </c>
      <c r="F131" s="6" t="n">
        <v>-55.99094</v>
      </c>
      <c r="G131" s="6" t="inlineStr">
        <is>
          <t>CIAGRO ALIMENTOS LTDA</t>
        </is>
      </c>
      <c r="H131" s="6" t="inlineStr">
        <is>
          <t>Bateria de Silos</t>
        </is>
      </c>
      <c r="I131" s="11" t="n">
        <v>18830</v>
      </c>
      <c r="J131" s="11" t="n">
        <v>120</v>
      </c>
      <c r="K131" s="11" t="n">
        <v>180</v>
      </c>
      <c r="L131" s="11" t="n">
        <v>0</v>
      </c>
      <c r="M131" s="11" t="n">
        <v>0</v>
      </c>
      <c r="N131" s="11" t="n">
        <v>0</v>
      </c>
      <c r="O131" s="11">
        <f>IF($B131="Candidato",IF($L131&gt;0,$M131/$L131,0),0)</f>
        <v/>
      </c>
      <c r="P131" s="11" t="inlineStr">
        <is>
          <t>SIM</t>
        </is>
      </c>
      <c r="Q131" s="11">
        <f>IF($P131="SIM",$I131*Parametros_Modelo!$B$9,0)</f>
        <v/>
      </c>
      <c r="R131" s="11">
        <f>IF($P131="SIM",Parametros_Modelo!$B$10,0)</f>
        <v/>
      </c>
      <c r="S131" s="11" t="inlineStr">
        <is>
          <t>NAO</t>
        </is>
      </c>
      <c r="T131" s="11">
        <f>IF($S131="SIM",Parametros_Modelo!$B$11,0)</f>
        <v/>
      </c>
      <c r="U131" s="11">
        <f>Parametros_Modelo!$B$5</f>
        <v/>
      </c>
      <c r="V131" s="11">
        <f>Parametros_Modelo!$B$6</f>
        <v/>
      </c>
      <c r="W131" s="6" t="inlineStr">
        <is>
          <t>Sintético/Derivado_de_Custo_Invest para expansão, granelização e penalidades</t>
        </is>
      </c>
      <c r="X131" s="6" t="inlineStr">
        <is>
          <t>Colunas adicionadas para separar parâmetros do modelo matemático dos dados originais do CDA.</t>
        </is>
      </c>
      <c r="Y131" s="6" t="inlineStr">
        <is>
          <t>Opcional agora; necessária se ativar expansão, granelização ou custos candidatos explícitos.</t>
        </is>
      </c>
    </row>
    <row r="132">
      <c r="A132" s="6" t="inlineStr">
        <is>
          <t>76.C543.0002-4</t>
        </is>
      </c>
      <c r="B132" s="6" t="inlineStr">
        <is>
          <t>Existente</t>
        </is>
      </c>
      <c r="C132" s="6" t="inlineStr">
        <is>
          <t>São Borja</t>
        </is>
      </c>
      <c r="D132" s="6" t="inlineStr">
        <is>
          <t>RS</t>
        </is>
      </c>
      <c r="E132" s="6" t="n">
        <v>-28.68471</v>
      </c>
      <c r="F132" s="6" t="n">
        <v>-55.98887</v>
      </c>
      <c r="G132" s="6" t="inlineStr">
        <is>
          <t>CIAGRO ALIMENTOS LTDA</t>
        </is>
      </c>
      <c r="H132" s="6" t="inlineStr">
        <is>
          <t>Bateria de Silos</t>
        </is>
      </c>
      <c r="I132" s="11" t="n">
        <v>36400</v>
      </c>
      <c r="J132" s="11" t="n">
        <v>480</v>
      </c>
      <c r="K132" s="11" t="n">
        <v>100</v>
      </c>
      <c r="L132" s="11" t="n">
        <v>0</v>
      </c>
      <c r="M132" s="11" t="n">
        <v>0</v>
      </c>
      <c r="N132" s="11" t="n">
        <v>0</v>
      </c>
      <c r="O132" s="11">
        <f>IF($B132="Candidato",IF($L132&gt;0,$M132/$L132,0),0)</f>
        <v/>
      </c>
      <c r="P132" s="11" t="inlineStr">
        <is>
          <t>SIM</t>
        </is>
      </c>
      <c r="Q132" s="11">
        <f>IF($P132="SIM",$I132*Parametros_Modelo!$B$9,0)</f>
        <v/>
      </c>
      <c r="R132" s="11">
        <f>IF($P132="SIM",Parametros_Modelo!$B$10,0)</f>
        <v/>
      </c>
      <c r="S132" s="11" t="inlineStr">
        <is>
          <t>NAO</t>
        </is>
      </c>
      <c r="T132" s="11">
        <f>IF($S132="SIM",Parametros_Modelo!$B$11,0)</f>
        <v/>
      </c>
      <c r="U132" s="11">
        <f>Parametros_Modelo!$B$5</f>
        <v/>
      </c>
      <c r="V132" s="11">
        <f>Parametros_Modelo!$B$6</f>
        <v/>
      </c>
      <c r="W132" s="6" t="inlineStr">
        <is>
          <t>Sintético/Derivado_de_Custo_Invest para expansão, granelização e penalidades</t>
        </is>
      </c>
      <c r="X132" s="6" t="inlineStr">
        <is>
          <t>Colunas adicionadas para separar parâmetros do modelo matemático dos dados originais do CDA.</t>
        </is>
      </c>
      <c r="Y132" s="6" t="inlineStr">
        <is>
          <t>Opcional agora; necessária se ativar expansão, granelização ou custos candidatos explícitos.</t>
        </is>
      </c>
    </row>
    <row r="133">
      <c r="A133" s="6" t="inlineStr">
        <is>
          <t>76.9862.0003-4</t>
        </is>
      </c>
      <c r="B133" s="6" t="inlineStr">
        <is>
          <t>Existente</t>
        </is>
      </c>
      <c r="C133" s="6" t="inlineStr">
        <is>
          <t>São Borja</t>
        </is>
      </c>
      <c r="D133" s="6" t="inlineStr">
        <is>
          <t>RS</t>
        </is>
      </c>
      <c r="E133" s="6" t="n">
        <v>-28.63844</v>
      </c>
      <c r="F133" s="6" t="n">
        <v>-55.84769</v>
      </c>
      <c r="G133" s="6" t="inlineStr">
        <is>
          <t>VASCONCELOS INDUSTRIA, COMERCIO, IMPORTACAO E EXPORTACAO LTDA.</t>
        </is>
      </c>
      <c r="H133" s="6" t="inlineStr">
        <is>
          <t>Bateria de Silos</t>
        </is>
      </c>
      <c r="I133" s="11" t="n">
        <v>36660</v>
      </c>
      <c r="J133" s="11" t="n">
        <v>60</v>
      </c>
      <c r="K133" s="11" t="n">
        <v>60</v>
      </c>
      <c r="L133" s="11" t="n">
        <v>0</v>
      </c>
      <c r="M133" s="11" t="n">
        <v>0</v>
      </c>
      <c r="N133" s="11" t="n">
        <v>0</v>
      </c>
      <c r="O133" s="11">
        <f>IF($B133="Candidato",IF($L133&gt;0,$M133/$L133,0),0)</f>
        <v/>
      </c>
      <c r="P133" s="11" t="inlineStr">
        <is>
          <t>SIM</t>
        </is>
      </c>
      <c r="Q133" s="11">
        <f>IF($P133="SIM",$I133*Parametros_Modelo!$B$9,0)</f>
        <v/>
      </c>
      <c r="R133" s="11">
        <f>IF($P133="SIM",Parametros_Modelo!$B$10,0)</f>
        <v/>
      </c>
      <c r="S133" s="11" t="inlineStr">
        <is>
          <t>NAO</t>
        </is>
      </c>
      <c r="T133" s="11">
        <f>IF($S133="SIM",Parametros_Modelo!$B$11,0)</f>
        <v/>
      </c>
      <c r="U133" s="11">
        <f>Parametros_Modelo!$B$5</f>
        <v/>
      </c>
      <c r="V133" s="11">
        <f>Parametros_Modelo!$B$6</f>
        <v/>
      </c>
      <c r="W133" s="6" t="inlineStr">
        <is>
          <t>Sintético/Derivado_de_Custo_Invest para expansão, granelização e penalidades</t>
        </is>
      </c>
      <c r="X133" s="6" t="inlineStr">
        <is>
          <t>Colunas adicionadas para separar parâmetros do modelo matemático dos dados originais do CDA.</t>
        </is>
      </c>
      <c r="Y133" s="6" t="inlineStr">
        <is>
          <t>Opcional agora; necessária se ativar expansão, granelização ou custos candidatos explícitos.</t>
        </is>
      </c>
    </row>
    <row r="134">
      <c r="A134" s="6" t="inlineStr">
        <is>
          <t>76.9862.0004-2</t>
        </is>
      </c>
      <c r="B134" s="6" t="inlineStr">
        <is>
          <t>Existente</t>
        </is>
      </c>
      <c r="C134" s="6" t="inlineStr">
        <is>
          <t>São Borja</t>
        </is>
      </c>
      <c r="D134" s="6" t="inlineStr">
        <is>
          <t>RS</t>
        </is>
      </c>
      <c r="E134" s="6" t="n">
        <v>-28.63843</v>
      </c>
      <c r="F134" s="6" t="n">
        <v>-55.84692</v>
      </c>
      <c r="G134" s="6" t="inlineStr">
        <is>
          <t>VASCONCELOS INDUSTRIA, COMERCIO, IMPORTACAO E EXPORTACAO LTDA.</t>
        </is>
      </c>
      <c r="H134" s="6" t="inlineStr">
        <is>
          <t>Bateria de Silos</t>
        </is>
      </c>
      <c r="I134" s="11" t="n">
        <v>14810</v>
      </c>
      <c r="J134" s="11" t="n">
        <v>40</v>
      </c>
      <c r="K134" s="11" t="n">
        <v>40</v>
      </c>
      <c r="L134" s="11" t="n">
        <v>0</v>
      </c>
      <c r="M134" s="11" t="n">
        <v>0</v>
      </c>
      <c r="N134" s="11" t="n">
        <v>0</v>
      </c>
      <c r="O134" s="11">
        <f>IF($B134="Candidato",IF($L134&gt;0,$M134/$L134,0),0)</f>
        <v/>
      </c>
      <c r="P134" s="11" t="inlineStr">
        <is>
          <t>SIM</t>
        </is>
      </c>
      <c r="Q134" s="11">
        <f>IF($P134="SIM",$I134*Parametros_Modelo!$B$9,0)</f>
        <v/>
      </c>
      <c r="R134" s="11">
        <f>IF($P134="SIM",Parametros_Modelo!$B$10,0)</f>
        <v/>
      </c>
      <c r="S134" s="11" t="inlineStr">
        <is>
          <t>NAO</t>
        </is>
      </c>
      <c r="T134" s="11">
        <f>IF($S134="SIM",Parametros_Modelo!$B$11,0)</f>
        <v/>
      </c>
      <c r="U134" s="11">
        <f>Parametros_Modelo!$B$5</f>
        <v/>
      </c>
      <c r="V134" s="11">
        <f>Parametros_Modelo!$B$6</f>
        <v/>
      </c>
      <c r="W134" s="6" t="inlineStr">
        <is>
          <t>Sintético/Derivado_de_Custo_Invest para expansão, granelização e penalidades</t>
        </is>
      </c>
      <c r="X134" s="6" t="inlineStr">
        <is>
          <t>Colunas adicionadas para separar parâmetros do modelo matemático dos dados originais do CDA.</t>
        </is>
      </c>
      <c r="Y134" s="6" t="inlineStr">
        <is>
          <t>Opcional agora; necessária se ativar expansão, granelização ou custos candidatos explícitos.</t>
        </is>
      </c>
    </row>
    <row r="135">
      <c r="A135" s="6" t="inlineStr">
        <is>
          <t>76.1276.0003-5</t>
        </is>
      </c>
      <c r="B135" s="6" t="inlineStr">
        <is>
          <t>Existente</t>
        </is>
      </c>
      <c r="C135" s="6" t="inlineStr">
        <is>
          <t>São Pedro do Sul</t>
        </is>
      </c>
      <c r="D135" s="6" t="inlineStr">
        <is>
          <t>RS</t>
        </is>
      </c>
      <c r="E135" s="6" t="n">
        <v>-29.6453</v>
      </c>
      <c r="F135" s="6" t="n">
        <v>-54.39119</v>
      </c>
      <c r="G135" s="6" t="inlineStr">
        <is>
          <t>FELICE - INDUSTRIA DE ARROZ LTDA</t>
        </is>
      </c>
      <c r="H135" s="6" t="inlineStr">
        <is>
          <t>Bateria de Silos</t>
        </is>
      </c>
      <c r="I135" s="11" t="n">
        <v>55400</v>
      </c>
      <c r="J135" s="11" t="n">
        <v>120</v>
      </c>
      <c r="K135" s="11" t="n">
        <v>120</v>
      </c>
      <c r="L135" s="11" t="n">
        <v>0</v>
      </c>
      <c r="M135" s="11" t="n">
        <v>0</v>
      </c>
      <c r="N135" s="11" t="n">
        <v>0</v>
      </c>
      <c r="O135" s="11">
        <f>IF($B135="Candidato",IF($L135&gt;0,$M135/$L135,0),0)</f>
        <v/>
      </c>
      <c r="P135" s="11" t="inlineStr">
        <is>
          <t>SIM</t>
        </is>
      </c>
      <c r="Q135" s="11">
        <f>IF($P135="SIM",$I135*Parametros_Modelo!$B$9,0)</f>
        <v/>
      </c>
      <c r="R135" s="11">
        <f>IF($P135="SIM",Parametros_Modelo!$B$10,0)</f>
        <v/>
      </c>
      <c r="S135" s="11" t="inlineStr">
        <is>
          <t>NAO</t>
        </is>
      </c>
      <c r="T135" s="11">
        <f>IF($S135="SIM",Parametros_Modelo!$B$11,0)</f>
        <v/>
      </c>
      <c r="U135" s="11">
        <f>Parametros_Modelo!$B$5</f>
        <v/>
      </c>
      <c r="V135" s="11">
        <f>Parametros_Modelo!$B$6</f>
        <v/>
      </c>
      <c r="W135" s="6" t="inlineStr">
        <is>
          <t>Sintético/Derivado_de_Custo_Invest para expansão, granelização e penalidades</t>
        </is>
      </c>
      <c r="X135" s="6" t="inlineStr">
        <is>
          <t>Colunas adicionadas para separar parâmetros do modelo matemático dos dados originais do CDA.</t>
        </is>
      </c>
      <c r="Y135" s="6" t="inlineStr">
        <is>
          <t>Opcional agora; necessária se ativar expansão, granelização ou custos candidatos explícitos.</t>
        </is>
      </c>
    </row>
    <row r="136">
      <c r="A136" s="6" t="inlineStr">
        <is>
          <t>76.8855.0001-6</t>
        </is>
      </c>
      <c r="B136" s="6" t="inlineStr">
        <is>
          <t>Existente</t>
        </is>
      </c>
      <c r="C136" s="6" t="inlineStr">
        <is>
          <t>São Vicente do Sul</t>
        </is>
      </c>
      <c r="D136" s="6" t="inlineStr">
        <is>
          <t>RS</t>
        </is>
      </c>
      <c r="E136" s="6" t="n">
        <v>-29.74776</v>
      </c>
      <c r="F136" s="6" t="n">
        <v>-54.566</v>
      </c>
      <c r="G136" s="6" t="inlineStr">
        <is>
          <t>CAUDURO AGRONEGOCIOS LTDA</t>
        </is>
      </c>
      <c r="H136" s="6" t="inlineStr">
        <is>
          <t>Bateria de Silos</t>
        </is>
      </c>
      <c r="I136" s="11" t="n">
        <v>16390</v>
      </c>
      <c r="J136" s="11" t="n">
        <v>80</v>
      </c>
      <c r="K136" s="11" t="n">
        <v>80</v>
      </c>
      <c r="L136" s="11" t="n">
        <v>0</v>
      </c>
      <c r="M136" s="11" t="n">
        <v>0</v>
      </c>
      <c r="N136" s="11" t="n">
        <v>0</v>
      </c>
      <c r="O136" s="11">
        <f>IF($B136="Candidato",IF($L136&gt;0,$M136/$L136,0),0)</f>
        <v/>
      </c>
      <c r="P136" s="11" t="inlineStr">
        <is>
          <t>SIM</t>
        </is>
      </c>
      <c r="Q136" s="11">
        <f>IF($P136="SIM",$I136*Parametros_Modelo!$B$9,0)</f>
        <v/>
      </c>
      <c r="R136" s="11">
        <f>IF($P136="SIM",Parametros_Modelo!$B$10,0)</f>
        <v/>
      </c>
      <c r="S136" s="11" t="inlineStr">
        <is>
          <t>NAO</t>
        </is>
      </c>
      <c r="T136" s="11">
        <f>IF($S136="SIM",Parametros_Modelo!$B$11,0)</f>
        <v/>
      </c>
      <c r="U136" s="11">
        <f>Parametros_Modelo!$B$5</f>
        <v/>
      </c>
      <c r="V136" s="11">
        <f>Parametros_Modelo!$B$6</f>
        <v/>
      </c>
      <c r="W136" s="6" t="inlineStr">
        <is>
          <t>Sintético/Derivado_de_Custo_Invest para expansão, granelização e penalidades</t>
        </is>
      </c>
      <c r="X136" s="6" t="inlineStr">
        <is>
          <t>Colunas adicionadas para separar parâmetros do modelo matemático dos dados originais do CDA.</t>
        </is>
      </c>
      <c r="Y136" s="6" t="inlineStr">
        <is>
          <t>Opcional agora; necessária se ativar expansão, granelização ou custos candidatos explícitos.</t>
        </is>
      </c>
    </row>
    <row r="137">
      <c r="A137" s="6" t="inlineStr">
        <is>
          <t>76.8855.0002-4</t>
        </is>
      </c>
      <c r="B137" s="6" t="inlineStr">
        <is>
          <t>Existente</t>
        </is>
      </c>
      <c r="C137" s="6" t="inlineStr">
        <is>
          <t>São Vicente do Sul</t>
        </is>
      </c>
      <c r="D137" s="6" t="inlineStr">
        <is>
          <t>RS</t>
        </is>
      </c>
      <c r="E137" s="6" t="n">
        <v>-29.74776</v>
      </c>
      <c r="F137" s="6" t="n">
        <v>-54.566</v>
      </c>
      <c r="G137" s="6" t="inlineStr">
        <is>
          <t>CAUDURO AGRONEGOCIOS LTDA</t>
        </is>
      </c>
      <c r="H137" s="6" t="inlineStr">
        <is>
          <t>Convencional</t>
        </is>
      </c>
      <c r="I137" s="11" t="n">
        <v>1960</v>
      </c>
      <c r="J137" s="11" t="n">
        <v>50</v>
      </c>
      <c r="K137" s="11" t="n">
        <v>30</v>
      </c>
      <c r="L137" s="11" t="n">
        <v>0</v>
      </c>
      <c r="M137" s="11" t="n">
        <v>0</v>
      </c>
      <c r="N137" s="11" t="n">
        <v>0</v>
      </c>
      <c r="O137" s="11">
        <f>IF($B137="Candidato",IF($L137&gt;0,$M137/$L137,0),0)</f>
        <v/>
      </c>
      <c r="P137" s="11" t="inlineStr">
        <is>
          <t>SIM</t>
        </is>
      </c>
      <c r="Q137" s="11">
        <f>IF($P137="SIM",$I137*Parametros_Modelo!$B$9,0)</f>
        <v/>
      </c>
      <c r="R137" s="11">
        <f>IF($P137="SIM",Parametros_Modelo!$B$10,0)</f>
        <v/>
      </c>
      <c r="S137" s="11" t="inlineStr">
        <is>
          <t>SIM</t>
        </is>
      </c>
      <c r="T137" s="11">
        <f>IF($S137="SIM",Parametros_Modelo!$B$11,0)</f>
        <v/>
      </c>
      <c r="U137" s="11">
        <f>Parametros_Modelo!$B$5</f>
        <v/>
      </c>
      <c r="V137" s="11">
        <f>Parametros_Modelo!$B$6</f>
        <v/>
      </c>
      <c r="W137" s="6" t="inlineStr">
        <is>
          <t>Sintético/Derivado_de_Custo_Invest para expansão, granelização e penalidades</t>
        </is>
      </c>
      <c r="X137" s="6" t="inlineStr">
        <is>
          <t>Colunas adicionadas para separar parâmetros do modelo matemático dos dados originais do CDA.</t>
        </is>
      </c>
      <c r="Y137" s="6" t="inlineStr">
        <is>
          <t>Opcional agora; necessária se ativar expansão, granelização ou custos candidatos explícitos.</t>
        </is>
      </c>
    </row>
    <row r="138">
      <c r="A138" s="6" t="inlineStr">
        <is>
          <t>76.6026.0001-4</t>
        </is>
      </c>
      <c r="B138" s="6" t="inlineStr">
        <is>
          <t>Existente</t>
        </is>
      </c>
      <c r="C138" s="6" t="inlineStr">
        <is>
          <t>Uruguaiana</t>
        </is>
      </c>
      <c r="D138" s="6" t="inlineStr">
        <is>
          <t>RS</t>
        </is>
      </c>
      <c r="E138" s="6" t="n">
        <v>-29.79714</v>
      </c>
      <c r="F138" s="6" t="n">
        <v>-57.09479</v>
      </c>
      <c r="G138" s="6" t="inlineStr">
        <is>
          <t>PICININ ALIMENTOS LTDA</t>
        </is>
      </c>
      <c r="H138" s="6" t="inlineStr">
        <is>
          <t>Bateria de Silos</t>
        </is>
      </c>
      <c r="I138" s="11" t="n">
        <v>8031</v>
      </c>
      <c r="J138" s="11" t="n">
        <v>60</v>
      </c>
      <c r="K138" s="11" t="n">
        <v>40</v>
      </c>
      <c r="L138" s="11" t="n">
        <v>0</v>
      </c>
      <c r="M138" s="11" t="n">
        <v>0</v>
      </c>
      <c r="N138" s="11" t="n">
        <v>0</v>
      </c>
      <c r="O138" s="11">
        <f>IF($B138="Candidato",IF($L138&gt;0,$M138/$L138,0),0)</f>
        <v/>
      </c>
      <c r="P138" s="11" t="inlineStr">
        <is>
          <t>SIM</t>
        </is>
      </c>
      <c r="Q138" s="11">
        <f>IF($P138="SIM",$I138*Parametros_Modelo!$B$9,0)</f>
        <v/>
      </c>
      <c r="R138" s="11">
        <f>IF($P138="SIM",Parametros_Modelo!$B$10,0)</f>
        <v/>
      </c>
      <c r="S138" s="11" t="inlineStr">
        <is>
          <t>NAO</t>
        </is>
      </c>
      <c r="T138" s="11">
        <f>IF($S138="SIM",Parametros_Modelo!$B$11,0)</f>
        <v/>
      </c>
      <c r="U138" s="11">
        <f>Parametros_Modelo!$B$5</f>
        <v/>
      </c>
      <c r="V138" s="11">
        <f>Parametros_Modelo!$B$6</f>
        <v/>
      </c>
      <c r="W138" s="6" t="inlineStr">
        <is>
          <t>Sintético/Derivado_de_Custo_Invest para expansão, granelização e penalidades</t>
        </is>
      </c>
      <c r="X138" s="6" t="inlineStr">
        <is>
          <t>Colunas adicionadas para separar parâmetros do modelo matemático dos dados originais do CDA.</t>
        </is>
      </c>
      <c r="Y138" s="6" t="inlineStr">
        <is>
          <t>Opcional agora; necessária se ativar expansão, granelização ou custos candidatos explícitos.</t>
        </is>
      </c>
    </row>
    <row r="139">
      <c r="A139" s="6" t="inlineStr">
        <is>
          <t>76.6026.0002-2</t>
        </is>
      </c>
      <c r="B139" s="6" t="inlineStr">
        <is>
          <t>Existente</t>
        </is>
      </c>
      <c r="C139" s="6" t="inlineStr">
        <is>
          <t>Uruguaiana</t>
        </is>
      </c>
      <c r="D139" s="6" t="inlineStr">
        <is>
          <t>RS</t>
        </is>
      </c>
      <c r="E139" s="6" t="n">
        <v>-29.79665</v>
      </c>
      <c r="F139" s="6" t="n">
        <v>-57.0946</v>
      </c>
      <c r="G139" s="6" t="inlineStr">
        <is>
          <t>PICININ ALIMENTOS LTDA</t>
        </is>
      </c>
      <c r="H139" s="6" t="inlineStr">
        <is>
          <t>Graneleiro</t>
        </is>
      </c>
      <c r="I139" s="11" t="n">
        <v>4094</v>
      </c>
      <c r="J139" s="11" t="n">
        <v>25</v>
      </c>
      <c r="K139" s="11" t="n">
        <v>25</v>
      </c>
      <c r="L139" s="11" t="n">
        <v>0</v>
      </c>
      <c r="M139" s="11" t="n">
        <v>0</v>
      </c>
      <c r="N139" s="11" t="n">
        <v>0</v>
      </c>
      <c r="O139" s="11">
        <f>IF($B139="Candidato",IF($L139&gt;0,$M139/$L139,0),0)</f>
        <v/>
      </c>
      <c r="P139" s="11" t="inlineStr">
        <is>
          <t>SIM</t>
        </is>
      </c>
      <c r="Q139" s="11">
        <f>IF($P139="SIM",$I139*Parametros_Modelo!$B$9,0)</f>
        <v/>
      </c>
      <c r="R139" s="11">
        <f>IF($P139="SIM",Parametros_Modelo!$B$10,0)</f>
        <v/>
      </c>
      <c r="S139" s="11" t="inlineStr">
        <is>
          <t>NAO</t>
        </is>
      </c>
      <c r="T139" s="11">
        <f>IF($S139="SIM",Parametros_Modelo!$B$11,0)</f>
        <v/>
      </c>
      <c r="U139" s="11">
        <f>Parametros_Modelo!$B$5</f>
        <v/>
      </c>
      <c r="V139" s="11">
        <f>Parametros_Modelo!$B$6</f>
        <v/>
      </c>
      <c r="W139" s="6" t="inlineStr">
        <is>
          <t>Sintético/Derivado_de_Custo_Invest para expansão, granelização e penalidades</t>
        </is>
      </c>
      <c r="X139" s="6" t="inlineStr">
        <is>
          <t>Colunas adicionadas para separar parâmetros do modelo matemático dos dados originais do CDA.</t>
        </is>
      </c>
      <c r="Y139" s="6" t="inlineStr">
        <is>
          <t>Opcional agora; necessária se ativar expansão, granelização ou custos candidatos explícitos.</t>
        </is>
      </c>
    </row>
    <row r="140">
      <c r="A140" s="6" t="inlineStr">
        <is>
          <t>77.0287.0008-0</t>
        </is>
      </c>
      <c r="B140" s="6" t="inlineStr">
        <is>
          <t>Existente</t>
        </is>
      </c>
      <c r="C140" s="6" t="inlineStr">
        <is>
          <t>São José</t>
        </is>
      </c>
      <c r="D140" s="6" t="inlineStr">
        <is>
          <t>SC</t>
        </is>
      </c>
      <c r="E140" s="6" t="n">
        <v>-27.173533</v>
      </c>
      <c r="F140" s="6" t="n">
        <v>-51.499002</v>
      </c>
      <c r="G140" s="6" t="inlineStr">
        <is>
          <t>COMPANHIA NACIONAL DE ABASTECIMENTO</t>
        </is>
      </c>
      <c r="H140" s="6" t="inlineStr">
        <is>
          <t>Bateria de Silos</t>
        </is>
      </c>
      <c r="I140" s="11" t="n">
        <v>4870</v>
      </c>
      <c r="J140" s="11" t="n">
        <v>35</v>
      </c>
      <c r="K140" s="11" t="n">
        <v>35</v>
      </c>
      <c r="L140" s="11" t="n">
        <v>0</v>
      </c>
      <c r="M140" s="11" t="n">
        <v>0</v>
      </c>
      <c r="N140" s="11" t="n">
        <v>0</v>
      </c>
      <c r="O140" s="11">
        <f>IF($B140="Candidato",IF($L140&gt;0,$M140/$L140,0),0)</f>
        <v/>
      </c>
      <c r="P140" s="11" t="inlineStr">
        <is>
          <t>SIM</t>
        </is>
      </c>
      <c r="Q140" s="11">
        <f>IF($P140="SIM",$I140*Parametros_Modelo!$B$9,0)</f>
        <v/>
      </c>
      <c r="R140" s="11">
        <f>IF($P140="SIM",Parametros_Modelo!$B$10,0)</f>
        <v/>
      </c>
      <c r="S140" s="11" t="inlineStr">
        <is>
          <t>NAO</t>
        </is>
      </c>
      <c r="T140" s="11">
        <f>IF($S140="SIM",Parametros_Modelo!$B$11,0)</f>
        <v/>
      </c>
      <c r="U140" s="11">
        <f>Parametros_Modelo!$B$5</f>
        <v/>
      </c>
      <c r="V140" s="11">
        <f>Parametros_Modelo!$B$6</f>
        <v/>
      </c>
      <c r="W140" s="6" t="inlineStr">
        <is>
          <t>Sintético/Derivado_de_Custo_Invest para expansão, granelização e penalidades</t>
        </is>
      </c>
      <c r="X140" s="6" t="inlineStr">
        <is>
          <t>Colunas adicionadas para separar parâmetros do modelo matemático dos dados originais do CDA.</t>
        </is>
      </c>
      <c r="Y140" s="6" t="inlineStr">
        <is>
          <t>Opcional agora; necessária se ativar expansão, granelização ou custos candidatos explícitos.</t>
        </is>
      </c>
    </row>
    <row r="141">
      <c r="A141" s="6" t="inlineStr">
        <is>
          <t>77.0287.0009-9</t>
        </is>
      </c>
      <c r="B141" s="6" t="inlineStr">
        <is>
          <t>Existente</t>
        </is>
      </c>
      <c r="C141" s="6" t="inlineStr">
        <is>
          <t>São José</t>
        </is>
      </c>
      <c r="D141" s="6" t="inlineStr">
        <is>
          <t>SC</t>
        </is>
      </c>
      <c r="E141" s="6" t="n">
        <v>-27.173533</v>
      </c>
      <c r="F141" s="6" t="n">
        <v>-51.499002</v>
      </c>
      <c r="G141" s="6" t="inlineStr">
        <is>
          <t>COMPANHIA NACIONAL DE ABASTECIMENTO</t>
        </is>
      </c>
      <c r="H141" s="6" t="inlineStr">
        <is>
          <t>Convencional</t>
        </is>
      </c>
      <c r="I141" s="11" t="n">
        <v>1400</v>
      </c>
      <c r="J141" s="11" t="n">
        <v>30</v>
      </c>
      <c r="K141" s="11" t="n">
        <v>30</v>
      </c>
      <c r="L141" s="11" t="n">
        <v>0</v>
      </c>
      <c r="M141" s="11" t="n">
        <v>0</v>
      </c>
      <c r="N141" s="11" t="n">
        <v>0</v>
      </c>
      <c r="O141" s="11">
        <f>IF($B141="Candidato",IF($L141&gt;0,$M141/$L141,0),0)</f>
        <v/>
      </c>
      <c r="P141" s="11" t="inlineStr">
        <is>
          <t>SIM</t>
        </is>
      </c>
      <c r="Q141" s="11">
        <f>IF($P141="SIM",$I141*Parametros_Modelo!$B$9,0)</f>
        <v/>
      </c>
      <c r="R141" s="11">
        <f>IF($P141="SIM",Parametros_Modelo!$B$10,0)</f>
        <v/>
      </c>
      <c r="S141" s="11" t="inlineStr">
        <is>
          <t>SIM</t>
        </is>
      </c>
      <c r="T141" s="11">
        <f>IF($S141="SIM",Parametros_Modelo!$B$11,0)</f>
        <v/>
      </c>
      <c r="U141" s="11">
        <f>Parametros_Modelo!$B$5</f>
        <v/>
      </c>
      <c r="V141" s="11">
        <f>Parametros_Modelo!$B$6</f>
        <v/>
      </c>
      <c r="W141" s="6" t="inlineStr">
        <is>
          <t>Sintético/Derivado_de_Custo_Invest para expansão, granelização e penalidades</t>
        </is>
      </c>
      <c r="X141" s="6" t="inlineStr">
        <is>
          <t>Colunas adicionadas para separar parâmetros do modelo matemático dos dados originais do CDA.</t>
        </is>
      </c>
      <c r="Y141" s="6" t="inlineStr">
        <is>
          <t>Opcional agora; necessária se ativar expansão, granelização ou custos candidatos explícitos.</t>
        </is>
      </c>
    </row>
    <row r="142">
      <c r="A142" s="6" t="inlineStr">
        <is>
          <t>77.0287.0010-2</t>
        </is>
      </c>
      <c r="B142" s="6" t="inlineStr">
        <is>
          <t>Existente</t>
        </is>
      </c>
      <c r="C142" s="6" t="inlineStr">
        <is>
          <t>São José</t>
        </is>
      </c>
      <c r="D142" s="6" t="inlineStr">
        <is>
          <t>SC</t>
        </is>
      </c>
      <c r="E142" s="6" t="n">
        <v>-27.173533</v>
      </c>
      <c r="F142" s="6" t="n">
        <v>-51.499002</v>
      </c>
      <c r="G142" s="6" t="inlineStr">
        <is>
          <t>COMPANHIA NACIONAL DE ABASTECIMENTO</t>
        </is>
      </c>
      <c r="H142" s="6" t="inlineStr">
        <is>
          <t>Convencional</t>
        </is>
      </c>
      <c r="I142" s="11" t="n">
        <v>900</v>
      </c>
      <c r="J142" s="11" t="n">
        <v>30</v>
      </c>
      <c r="K142" s="11" t="n">
        <v>60</v>
      </c>
      <c r="L142" s="11" t="n">
        <v>0</v>
      </c>
      <c r="M142" s="11" t="n">
        <v>0</v>
      </c>
      <c r="N142" s="11" t="n">
        <v>0</v>
      </c>
      <c r="O142" s="11">
        <f>IF($B142="Candidato",IF($L142&gt;0,$M142/$L142,0),0)</f>
        <v/>
      </c>
      <c r="P142" s="11" t="inlineStr">
        <is>
          <t>SIM</t>
        </is>
      </c>
      <c r="Q142" s="11">
        <f>IF($P142="SIM",$I142*Parametros_Modelo!$B$9,0)</f>
        <v/>
      </c>
      <c r="R142" s="11">
        <f>IF($P142="SIM",Parametros_Modelo!$B$10,0)</f>
        <v/>
      </c>
      <c r="S142" s="11" t="inlineStr">
        <is>
          <t>SIM</t>
        </is>
      </c>
      <c r="T142" s="11">
        <f>IF($S142="SIM",Parametros_Modelo!$B$11,0)</f>
        <v/>
      </c>
      <c r="U142" s="11">
        <f>Parametros_Modelo!$B$5</f>
        <v/>
      </c>
      <c r="V142" s="11">
        <f>Parametros_Modelo!$B$6</f>
        <v/>
      </c>
      <c r="W142" s="6" t="inlineStr">
        <is>
          <t>Sintético/Derivado_de_Custo_Invest para expansão, granelização e penalidades</t>
        </is>
      </c>
      <c r="X142" s="6" t="inlineStr">
        <is>
          <t>Colunas adicionadas para separar parâmetros do modelo matemático dos dados originais do CDA.</t>
        </is>
      </c>
      <c r="Y142" s="6" t="inlineStr">
        <is>
          <t>Opcional agora; necessária se ativar expansão, granelização ou custos candidatos explícitos.</t>
        </is>
      </c>
    </row>
    <row r="143">
      <c r="A143" s="6" t="inlineStr">
        <is>
          <t>78.0287.0002-0</t>
        </is>
      </c>
      <c r="B143" s="6" t="inlineStr">
        <is>
          <t>Existente</t>
        </is>
      </c>
      <c r="C143" s="6" t="inlineStr">
        <is>
          <t>Itabaiana</t>
        </is>
      </c>
      <c r="D143" s="6" t="inlineStr">
        <is>
          <t>SE</t>
        </is>
      </c>
      <c r="E143" s="6" t="n">
        <v>-10.685195</v>
      </c>
      <c r="F143" s="6" t="n">
        <v>-37.434928</v>
      </c>
      <c r="G143" s="6" t="inlineStr">
        <is>
          <t>COMPANHIA NACIONAL DE ABASTECIMENTO</t>
        </is>
      </c>
      <c r="H143" s="6" t="inlineStr">
        <is>
          <t>Convencional</t>
        </is>
      </c>
      <c r="I143" s="11" t="n">
        <v>3200</v>
      </c>
      <c r="J143" s="11" t="n">
        <v>6</v>
      </c>
      <c r="K143" s="11" t="n">
        <v>6</v>
      </c>
      <c r="L143" s="11" t="n">
        <v>0</v>
      </c>
      <c r="M143" s="11" t="n">
        <v>0</v>
      </c>
      <c r="N143" s="11" t="n">
        <v>0</v>
      </c>
      <c r="O143" s="11">
        <f>IF($B143="Candidato",IF($L143&gt;0,$M143/$L143,0),0)</f>
        <v/>
      </c>
      <c r="P143" s="11" t="inlineStr">
        <is>
          <t>SIM</t>
        </is>
      </c>
      <c r="Q143" s="11">
        <f>IF($P143="SIM",$I143*Parametros_Modelo!$B$9,0)</f>
        <v/>
      </c>
      <c r="R143" s="11">
        <f>IF($P143="SIM",Parametros_Modelo!$B$10,0)</f>
        <v/>
      </c>
      <c r="S143" s="11" t="inlineStr">
        <is>
          <t>SIM</t>
        </is>
      </c>
      <c r="T143" s="11">
        <f>IF($S143="SIM",Parametros_Modelo!$B$11,0)</f>
        <v/>
      </c>
      <c r="U143" s="11">
        <f>Parametros_Modelo!$B$5</f>
        <v/>
      </c>
      <c r="V143" s="11">
        <f>Parametros_Modelo!$B$6</f>
        <v/>
      </c>
      <c r="W143" s="6" t="inlineStr">
        <is>
          <t>Sintético/Derivado_de_Custo_Invest para expansão, granelização e penalidades</t>
        </is>
      </c>
      <c r="X143" s="6" t="inlineStr">
        <is>
          <t>Colunas adicionadas para separar parâmetros do modelo matemático dos dados originais do CDA.</t>
        </is>
      </c>
      <c r="Y143" s="6" t="inlineStr">
        <is>
          <t>Opcional agora; necessária se ativar expansão, granelização ou custos candidatos explícitos.</t>
        </is>
      </c>
    </row>
    <row r="144">
      <c r="A144" s="6" t="inlineStr">
        <is>
          <t>79.0287.0020-6</t>
        </is>
      </c>
      <c r="B144" s="6" t="inlineStr">
        <is>
          <t>Existente</t>
        </is>
      </c>
      <c r="C144" s="6" t="inlineStr">
        <is>
          <t>Bernardino de Campos</t>
        </is>
      </c>
      <c r="D144" s="6" t="inlineStr">
        <is>
          <t>SP</t>
        </is>
      </c>
      <c r="E144" s="6" t="n">
        <v>-23.008908</v>
      </c>
      <c r="F144" s="6" t="n">
        <v>-49.483221</v>
      </c>
      <c r="G144" s="6" t="inlineStr">
        <is>
          <t>COMPANHIA NACIONAL DE ABASTECIMENTO</t>
        </is>
      </c>
      <c r="H144" s="6" t="inlineStr">
        <is>
          <t>Convencional</t>
        </is>
      </c>
      <c r="I144" s="11" t="n">
        <v>33900</v>
      </c>
      <c r="J144" s="11" t="n">
        <v>90</v>
      </c>
      <c r="K144" s="11" t="n">
        <v>90</v>
      </c>
      <c r="L144" s="11" t="n">
        <v>0</v>
      </c>
      <c r="M144" s="11" t="n">
        <v>0</v>
      </c>
      <c r="N144" s="11" t="n">
        <v>0</v>
      </c>
      <c r="O144" s="11">
        <f>IF($B144="Candidato",IF($L144&gt;0,$M144/$L144,0),0)</f>
        <v/>
      </c>
      <c r="P144" s="11" t="inlineStr">
        <is>
          <t>SIM</t>
        </is>
      </c>
      <c r="Q144" s="11">
        <f>IF($P144="SIM",$I144*Parametros_Modelo!$B$9,0)</f>
        <v/>
      </c>
      <c r="R144" s="11">
        <f>IF($P144="SIM",Parametros_Modelo!$B$10,0)</f>
        <v/>
      </c>
      <c r="S144" s="11" t="inlineStr">
        <is>
          <t>SIM</t>
        </is>
      </c>
      <c r="T144" s="11">
        <f>IF($S144="SIM",Parametros_Modelo!$B$11,0)</f>
        <v/>
      </c>
      <c r="U144" s="11">
        <f>Parametros_Modelo!$B$5</f>
        <v/>
      </c>
      <c r="V144" s="11">
        <f>Parametros_Modelo!$B$6</f>
        <v/>
      </c>
      <c r="W144" s="6" t="inlineStr">
        <is>
          <t>Sintético/Derivado_de_Custo_Invest para expansão, granelização e penalidades</t>
        </is>
      </c>
      <c r="X144" s="6" t="inlineStr">
        <is>
          <t>Colunas adicionadas para separar parâmetros do modelo matemático dos dados originais do CDA.</t>
        </is>
      </c>
      <c r="Y144" s="6" t="inlineStr">
        <is>
          <t>Opcional agora; necessária se ativar expansão, granelização ou custos candidatos explícitos.</t>
        </is>
      </c>
    </row>
    <row r="145">
      <c r="A145" s="6" t="inlineStr">
        <is>
          <t>79.0287.0012-5</t>
        </is>
      </c>
      <c r="B145" s="6" t="inlineStr">
        <is>
          <t>Existente</t>
        </is>
      </c>
      <c r="C145" s="6" t="inlineStr">
        <is>
          <t>Garça</t>
        </is>
      </c>
      <c r="D145" s="6" t="inlineStr">
        <is>
          <t>SP</t>
        </is>
      </c>
      <c r="E145" s="6" t="n">
        <v>-22.223811</v>
      </c>
      <c r="F145" s="6" t="n">
        <v>-49.647068</v>
      </c>
      <c r="G145" s="6" t="inlineStr">
        <is>
          <t>COMPANHIA NACIONAL DE ABASTECIMENTO</t>
        </is>
      </c>
      <c r="H145" s="6" t="inlineStr">
        <is>
          <t>Convencional</t>
        </is>
      </c>
      <c r="I145" s="11" t="n">
        <v>16200</v>
      </c>
      <c r="J145" s="11" t="n">
        <v>30</v>
      </c>
      <c r="K145" s="11" t="n">
        <v>30</v>
      </c>
      <c r="L145" s="11" t="n">
        <v>0</v>
      </c>
      <c r="M145" s="11" t="n">
        <v>0</v>
      </c>
      <c r="N145" s="11" t="n">
        <v>0</v>
      </c>
      <c r="O145" s="11">
        <f>IF($B145="Candidato",IF($L145&gt;0,$M145/$L145,0),0)</f>
        <v/>
      </c>
      <c r="P145" s="11" t="inlineStr">
        <is>
          <t>SIM</t>
        </is>
      </c>
      <c r="Q145" s="11">
        <f>IF($P145="SIM",$I145*Parametros_Modelo!$B$9,0)</f>
        <v/>
      </c>
      <c r="R145" s="11">
        <f>IF($P145="SIM",Parametros_Modelo!$B$10,0)</f>
        <v/>
      </c>
      <c r="S145" s="11" t="inlineStr">
        <is>
          <t>SIM</t>
        </is>
      </c>
      <c r="T145" s="11">
        <f>IF($S145="SIM",Parametros_Modelo!$B$11,0)</f>
        <v/>
      </c>
      <c r="U145" s="11">
        <f>Parametros_Modelo!$B$5</f>
        <v/>
      </c>
      <c r="V145" s="11">
        <f>Parametros_Modelo!$B$6</f>
        <v/>
      </c>
      <c r="W145" s="6" t="inlineStr">
        <is>
          <t>Sintético/Derivado_de_Custo_Invest para expansão, granelização e penalidades</t>
        </is>
      </c>
      <c r="X145" s="6" t="inlineStr">
        <is>
          <t>Colunas adicionadas para separar parâmetros do modelo matemático dos dados originais do CDA.</t>
        </is>
      </c>
      <c r="Y145" s="6" t="inlineStr">
        <is>
          <t>Opcional agora; necessária se ativar expansão, granelização ou custos candidatos explícitos.</t>
        </is>
      </c>
    </row>
    <row r="146">
      <c r="A146" s="6" t="inlineStr">
        <is>
          <t>80.0287.0013-7</t>
        </is>
      </c>
      <c r="B146" s="6" t="inlineStr">
        <is>
          <t>Existente</t>
        </is>
      </c>
      <c r="C146" s="6" t="inlineStr">
        <is>
          <t>Formoso do Araguaia</t>
        </is>
      </c>
      <c r="D146" s="6" t="inlineStr">
        <is>
          <t>TO</t>
        </is>
      </c>
      <c r="E146" s="6" t="n">
        <v>-11.88694</v>
      </c>
      <c r="F146" s="6" t="n">
        <v>-49.61026</v>
      </c>
      <c r="G146" s="6" t="inlineStr">
        <is>
          <t>COMPANHIA NACIONAL DE ABASTECIMENTO</t>
        </is>
      </c>
      <c r="H146" s="6" t="inlineStr">
        <is>
          <t>Convencional</t>
        </is>
      </c>
      <c r="I146" s="11" t="n">
        <v>4000</v>
      </c>
      <c r="J146" s="11" t="n">
        <v>25</v>
      </c>
      <c r="K146" s="11" t="n">
        <v>25</v>
      </c>
      <c r="L146" s="11" t="n">
        <v>0</v>
      </c>
      <c r="M146" s="11" t="n">
        <v>0</v>
      </c>
      <c r="N146" s="11" t="n">
        <v>0</v>
      </c>
      <c r="O146" s="11">
        <f>IF($B146="Candidato",IF($L146&gt;0,$M146/$L146,0),0)</f>
        <v/>
      </c>
      <c r="P146" s="11" t="inlineStr">
        <is>
          <t>SIM</t>
        </is>
      </c>
      <c r="Q146" s="11">
        <f>IF($P146="SIM",$I146*Parametros_Modelo!$B$9,0)</f>
        <v/>
      </c>
      <c r="R146" s="11">
        <f>IF($P146="SIM",Parametros_Modelo!$B$10,0)</f>
        <v/>
      </c>
      <c r="S146" s="11" t="inlineStr">
        <is>
          <t>SIM</t>
        </is>
      </c>
      <c r="T146" s="11">
        <f>IF($S146="SIM",Parametros_Modelo!$B$11,0)</f>
        <v/>
      </c>
      <c r="U146" s="11">
        <f>Parametros_Modelo!$B$5</f>
        <v/>
      </c>
      <c r="V146" s="11">
        <f>Parametros_Modelo!$B$6</f>
        <v/>
      </c>
      <c r="W146" s="6" t="inlineStr">
        <is>
          <t>Sintético/Derivado_de_Custo_Invest para expansão, granelização e penalidades</t>
        </is>
      </c>
      <c r="X146" s="6" t="inlineStr">
        <is>
          <t>Colunas adicionadas para separar parâmetros do modelo matemático dos dados originais do CDA.</t>
        </is>
      </c>
      <c r="Y146" s="6" t="inlineStr">
        <is>
          <t>Opcional agora; necessária se ativar expansão, granelização ou custos candidatos explícitos.</t>
        </is>
      </c>
    </row>
    <row r="147">
      <c r="A147" s="6" t="inlineStr">
        <is>
          <t>80.0287.0017-0</t>
        </is>
      </c>
      <c r="B147" s="6" t="inlineStr">
        <is>
          <t>Existente</t>
        </is>
      </c>
      <c r="C147" s="6" t="inlineStr">
        <is>
          <t>Formoso do Araguaia</t>
        </is>
      </c>
      <c r="D147" s="6" t="inlineStr">
        <is>
          <t>TO</t>
        </is>
      </c>
      <c r="E147" s="6" t="n">
        <v>-11.88624</v>
      </c>
      <c r="F147" s="6" t="n">
        <v>-49.610012</v>
      </c>
      <c r="G147" s="6" t="inlineStr">
        <is>
          <t>COMPANHIA NACIONAL DE ABASTECIMENTO</t>
        </is>
      </c>
      <c r="H147" s="6" t="inlineStr">
        <is>
          <t>Bateria de Silos</t>
        </is>
      </c>
      <c r="I147" s="11" t="n">
        <v>28000</v>
      </c>
      <c r="J147" s="11" t="n">
        <v>60</v>
      </c>
      <c r="K147" s="11" t="n">
        <v>60</v>
      </c>
      <c r="L147" s="11" t="n">
        <v>0</v>
      </c>
      <c r="M147" s="11" t="n">
        <v>0</v>
      </c>
      <c r="N147" s="11" t="n">
        <v>0</v>
      </c>
      <c r="O147" s="11">
        <f>IF($B147="Candidato",IF($L147&gt;0,$M147/$L147,0),0)</f>
        <v/>
      </c>
      <c r="P147" s="11" t="inlineStr">
        <is>
          <t>SIM</t>
        </is>
      </c>
      <c r="Q147" s="11">
        <f>IF($P147="SIM",$I147*Parametros_Modelo!$B$9,0)</f>
        <v/>
      </c>
      <c r="R147" s="11">
        <f>IF($P147="SIM",Parametros_Modelo!$B$10,0)</f>
        <v/>
      </c>
      <c r="S147" s="11" t="inlineStr">
        <is>
          <t>NAO</t>
        </is>
      </c>
      <c r="T147" s="11">
        <f>IF($S147="SIM",Parametros_Modelo!$B$11,0)</f>
        <v/>
      </c>
      <c r="U147" s="11">
        <f>Parametros_Modelo!$B$5</f>
        <v/>
      </c>
      <c r="V147" s="11">
        <f>Parametros_Modelo!$B$6</f>
        <v/>
      </c>
      <c r="W147" s="6" t="inlineStr">
        <is>
          <t>Sintético/Derivado_de_Custo_Invest para expansão, granelização e penalidades</t>
        </is>
      </c>
      <c r="X147" s="6" t="inlineStr">
        <is>
          <t>Colunas adicionadas para separar parâmetros do modelo matemático dos dados originais do CDA.</t>
        </is>
      </c>
      <c r="Y147" s="6" t="inlineStr">
        <is>
          <t>Opcional agora; necessária se ativar expansão, granelização ou custos candidatos explícitos.</t>
        </is>
      </c>
    </row>
    <row r="148">
      <c r="A148" s="6" t="inlineStr">
        <is>
          <t>79.G590.0003-9</t>
        </is>
      </c>
      <c r="B148" s="6" t="inlineStr">
        <is>
          <t>Candidato</t>
        </is>
      </c>
      <c r="C148" s="6" t="inlineStr">
        <is>
          <t>Santos-Sp</t>
        </is>
      </c>
      <c r="D148" s="6" t="inlineStr">
        <is>
          <t>SP</t>
        </is>
      </c>
      <c r="E148" s="6" t="n">
        <v>-23.56131</v>
      </c>
      <c r="F148" s="6" t="n">
        <v>-46.31454</v>
      </c>
      <c r="G148" s="6" t="inlineStr">
        <is>
          <t>TEC - TERMINAL EXPORT COFCO LTDA</t>
        </is>
      </c>
      <c r="H148" s="6" t="inlineStr">
        <is>
          <t>Graneleiro</t>
        </is>
      </c>
      <c r="I148" s="11" t="n">
        <v>0</v>
      </c>
      <c r="J148" s="11" t="n">
        <v>0</v>
      </c>
      <c r="K148" s="11" t="n">
        <v>0</v>
      </c>
      <c r="L148" s="11" t="n">
        <v>307079</v>
      </c>
      <c r="M148" s="11">
        <f>L148*AVERAGE(Custo_Invest!$B$2:$C$2)</f>
        <v/>
      </c>
      <c r="N148" s="11" t="n">
        <v>0</v>
      </c>
      <c r="O148" s="11">
        <f>IF($B148="Candidato",IF($L148&gt;0,$M148/$L148,0),0)</f>
        <v/>
      </c>
      <c r="P148" s="11" t="inlineStr">
        <is>
          <t>NAO</t>
        </is>
      </c>
      <c r="Q148" s="11">
        <f>IF($P148="SIM",$I148*Parametros_Modelo!$B$9,0)</f>
        <v/>
      </c>
      <c r="R148" s="11">
        <f>IF($P148="SIM",Parametros_Modelo!$B$10,0)</f>
        <v/>
      </c>
      <c r="S148" s="11" t="inlineStr">
        <is>
          <t>NAO</t>
        </is>
      </c>
      <c r="T148" s="11">
        <f>IF($S148="SIM",Parametros_Modelo!$B$11,0)</f>
        <v/>
      </c>
      <c r="U148" s="11">
        <f>Parametros_Modelo!$B$5</f>
        <v/>
      </c>
      <c r="V148" s="11">
        <f>Parametros_Modelo!$B$6</f>
        <v/>
      </c>
      <c r="W148" s="6" t="inlineStr">
        <is>
          <t>Derivado: custo candidato = Custo de Abertura / Cap. Estática Máxima; penalidades sintéticas</t>
        </is>
      </c>
      <c r="X148" s="6" t="inlineStr">
        <is>
          <t>Colunas adicionadas para separar parâmetros do modelo matemático dos dados originais do CDA.</t>
        </is>
      </c>
      <c r="Y148" s="6" t="inlineStr">
        <is>
          <t>Opcional agora; necessária se ativar expansão, granelização ou custos candidatos explícitos.</t>
        </is>
      </c>
    </row>
    <row r="149">
      <c r="A149" s="6" t="inlineStr">
        <is>
          <t>56.F194.0007-8</t>
        </is>
      </c>
      <c r="B149" s="6" t="inlineStr">
        <is>
          <t>Candidato</t>
        </is>
      </c>
      <c r="C149" s="6" t="inlineStr">
        <is>
          <t>Sorriso-Mt</t>
        </is>
      </c>
      <c r="D149" s="6" t="inlineStr">
        <is>
          <t>MT</t>
        </is>
      </c>
      <c r="E149" s="6" t="n">
        <v>-12.41281</v>
      </c>
      <c r="F149" s="6" t="n">
        <v>-55.64872</v>
      </c>
      <c r="G149" s="6" t="inlineStr">
        <is>
          <t>FS INDÚSTRIA DE BIOCOMBUSTÍVEIS LTDA</t>
        </is>
      </c>
      <c r="H149" s="6" t="inlineStr">
        <is>
          <t>Graneleiro</t>
        </is>
      </c>
      <c r="I149" s="11" t="n">
        <v>0</v>
      </c>
      <c r="J149" s="11" t="n">
        <v>0</v>
      </c>
      <c r="K149" s="11" t="n">
        <v>0</v>
      </c>
      <c r="L149" s="11" t="n">
        <v>300000</v>
      </c>
      <c r="M149" s="11">
        <f>L149*AVERAGE(Custo_Invest!$B$2:$C$2)</f>
        <v/>
      </c>
      <c r="N149" s="11" t="n">
        <v>0</v>
      </c>
      <c r="O149" s="11">
        <f>IF($B149="Candidato",IF($L149&gt;0,$M149/$L149,0),0)</f>
        <v/>
      </c>
      <c r="P149" s="11" t="inlineStr">
        <is>
          <t>NAO</t>
        </is>
      </c>
      <c r="Q149" s="11">
        <f>IF($P149="SIM",$I149*Parametros_Modelo!$B$9,0)</f>
        <v/>
      </c>
      <c r="R149" s="11">
        <f>IF($P149="SIM",Parametros_Modelo!$B$10,0)</f>
        <v/>
      </c>
      <c r="S149" s="11" t="inlineStr">
        <is>
          <t>NAO</t>
        </is>
      </c>
      <c r="T149" s="11">
        <f>IF($S149="SIM",Parametros_Modelo!$B$11,0)</f>
        <v/>
      </c>
      <c r="U149" s="11">
        <f>Parametros_Modelo!$B$5</f>
        <v/>
      </c>
      <c r="V149" s="11">
        <f>Parametros_Modelo!$B$6</f>
        <v/>
      </c>
      <c r="W149" s="6" t="inlineStr">
        <is>
          <t>Derivado: custo candidato = Custo de Abertura / Cap. Estática Máxima; penalidades sintéticas</t>
        </is>
      </c>
      <c r="X149" s="6" t="inlineStr">
        <is>
          <t>Colunas adicionadas para separar parâmetros do modelo matemático dos dados originais do CDA.</t>
        </is>
      </c>
      <c r="Y149" s="6" t="inlineStr">
        <is>
          <t>Opcional agora; necessária se ativar expansão, granelização ou custos candidatos explícitos.</t>
        </is>
      </c>
    </row>
    <row r="150">
      <c r="A150" s="6" t="inlineStr">
        <is>
          <t>76.1685.0023-0</t>
        </is>
      </c>
      <c r="B150" s="6" t="inlineStr">
        <is>
          <t>Candidato</t>
        </is>
      </c>
      <c r="C150" s="6" t="inlineStr">
        <is>
          <t>Rio grande-Rs</t>
        </is>
      </c>
      <c r="D150" s="6" t="inlineStr">
        <is>
          <t>RS</t>
        </is>
      </c>
      <c r="E150" s="6" t="n">
        <v>-32.10111</v>
      </c>
      <c r="F150" s="6" t="n">
        <v>-52.1143</v>
      </c>
      <c r="G150" s="6" t="inlineStr">
        <is>
          <t>BIANCHINI SA INDUSTRIA COMERCIO E AGRICULTURA</t>
        </is>
      </c>
      <c r="H150" s="6" t="inlineStr">
        <is>
          <t>Graneleiro</t>
        </is>
      </c>
      <c r="I150" s="11" t="n">
        <v>0</v>
      </c>
      <c r="J150" s="11" t="n">
        <v>0</v>
      </c>
      <c r="K150" s="11" t="n">
        <v>0</v>
      </c>
      <c r="L150" s="11" t="n">
        <v>284280</v>
      </c>
      <c r="M150" s="11">
        <f>L150*AVERAGE(Custo_Invest!$B$2:$C$2)</f>
        <v/>
      </c>
      <c r="N150" s="11" t="n">
        <v>0</v>
      </c>
      <c r="O150" s="11">
        <f>IF($B150="Candidato",IF($L150&gt;0,$M150/$L150,0),0)</f>
        <v/>
      </c>
      <c r="P150" s="11" t="inlineStr">
        <is>
          <t>NAO</t>
        </is>
      </c>
      <c r="Q150" s="11">
        <f>IF($P150="SIM",$I150*Parametros_Modelo!$B$9,0)</f>
        <v/>
      </c>
      <c r="R150" s="11">
        <f>IF($P150="SIM",Parametros_Modelo!$B$10,0)</f>
        <v/>
      </c>
      <c r="S150" s="11" t="inlineStr">
        <is>
          <t>NAO</t>
        </is>
      </c>
      <c r="T150" s="11">
        <f>IF($S150="SIM",Parametros_Modelo!$B$11,0)</f>
        <v/>
      </c>
      <c r="U150" s="11">
        <f>Parametros_Modelo!$B$5</f>
        <v/>
      </c>
      <c r="V150" s="11">
        <f>Parametros_Modelo!$B$6</f>
        <v/>
      </c>
      <c r="W150" s="6" t="inlineStr">
        <is>
          <t>Derivado: custo candidato = Custo de Abertura / Cap. Estática Máxima; penalidades sintéticas</t>
        </is>
      </c>
      <c r="X150" s="6" t="inlineStr">
        <is>
          <t>Colunas adicionadas para separar parâmetros do modelo matemático dos dados originais do CDA.</t>
        </is>
      </c>
      <c r="Y150" s="6" t="inlineStr">
        <is>
          <t>Opcional agora; necessária se ativar expansão, granelização ou custos candidatos explícitos.</t>
        </is>
      </c>
    </row>
    <row r="151">
      <c r="A151" s="6" t="inlineStr">
        <is>
          <t>66.0333.0108-8</t>
        </is>
      </c>
      <c r="B151" s="6" t="inlineStr">
        <is>
          <t>Candidato</t>
        </is>
      </c>
      <c r="C151" s="6" t="inlineStr">
        <is>
          <t>Guarapuava-Pr</t>
        </is>
      </c>
      <c r="D151" s="6" t="inlineStr">
        <is>
          <t>PR</t>
        </is>
      </c>
      <c r="E151" s="6" t="n">
        <v>-25.41544</v>
      </c>
      <c r="F151" s="6" t="n">
        <v>-51.56981</v>
      </c>
      <c r="G151" s="6" t="inlineStr">
        <is>
          <t>COOPERATIVA AGRÁRIA AGROINDUSTRIAL</t>
        </is>
      </c>
      <c r="H151" s="6" t="inlineStr">
        <is>
          <t>Graneleiro</t>
        </is>
      </c>
      <c r="I151" s="11" t="n">
        <v>0</v>
      </c>
      <c r="J151" s="11" t="n">
        <v>0</v>
      </c>
      <c r="K151" s="11" t="n">
        <v>0</v>
      </c>
      <c r="L151" s="11" t="n">
        <v>265800</v>
      </c>
      <c r="M151" s="11">
        <f>L151*AVERAGE(Custo_Invest!$B$2:$C$2)</f>
        <v/>
      </c>
      <c r="N151" s="11" t="n">
        <v>0</v>
      </c>
      <c r="O151" s="11">
        <f>IF($B151="Candidato",IF($L151&gt;0,$M151/$L151,0),0)</f>
        <v/>
      </c>
      <c r="P151" s="11" t="inlineStr">
        <is>
          <t>NAO</t>
        </is>
      </c>
      <c r="Q151" s="11">
        <f>IF($P151="SIM",$I151*Parametros_Modelo!$B$9,0)</f>
        <v/>
      </c>
      <c r="R151" s="11">
        <f>IF($P151="SIM",Parametros_Modelo!$B$10,0)</f>
        <v/>
      </c>
      <c r="S151" s="11" t="inlineStr">
        <is>
          <t>NAO</t>
        </is>
      </c>
      <c r="T151" s="11">
        <f>IF($S151="SIM",Parametros_Modelo!$B$11,0)</f>
        <v/>
      </c>
      <c r="U151" s="11">
        <f>Parametros_Modelo!$B$5</f>
        <v/>
      </c>
      <c r="V151" s="11">
        <f>Parametros_Modelo!$B$6</f>
        <v/>
      </c>
      <c r="W151" s="6" t="inlineStr">
        <is>
          <t>Derivado: custo candidato = Custo de Abertura / Cap. Estática Máxima; penalidades sintéticas</t>
        </is>
      </c>
      <c r="X151" s="6" t="inlineStr">
        <is>
          <t>Colunas adicionadas para separar parâmetros do modelo matemático dos dados originais do CDA.</t>
        </is>
      </c>
      <c r="Y151" s="6" t="inlineStr">
        <is>
          <t>Opcional agora; necessária se ativar expansão, granelização ou custos candidatos explícitos.</t>
        </is>
      </c>
    </row>
    <row r="152">
      <c r="A152" s="6" t="inlineStr">
        <is>
          <t>56.F194.0012-4</t>
        </is>
      </c>
      <c r="B152" s="6" t="inlineStr">
        <is>
          <t>Candidato</t>
        </is>
      </c>
      <c r="C152" s="6" t="inlineStr">
        <is>
          <t>Nova ubiratã-Mt</t>
        </is>
      </c>
      <c r="D152" s="6" t="inlineStr">
        <is>
          <t>MT</t>
        </is>
      </c>
      <c r="E152" s="6" t="n">
        <v>-13.03734</v>
      </c>
      <c r="F152" s="6" t="n">
        <v>-55.2975</v>
      </c>
      <c r="G152" s="6" t="inlineStr">
        <is>
          <t>FS INDÚSTRIA DE BIOCOMBUSTÍVEIS LTDA</t>
        </is>
      </c>
      <c r="H152" s="6" t="inlineStr">
        <is>
          <t>Graneleiro</t>
        </is>
      </c>
      <c r="I152" s="11" t="n">
        <v>0</v>
      </c>
      <c r="J152" s="11" t="n">
        <v>0</v>
      </c>
      <c r="K152" s="11" t="n">
        <v>0</v>
      </c>
      <c r="L152" s="11" t="n">
        <v>260000</v>
      </c>
      <c r="M152" s="11">
        <f>L152*AVERAGE(Custo_Invest!$B$2:$C$2)</f>
        <v/>
      </c>
      <c r="N152" s="11" t="n">
        <v>0</v>
      </c>
      <c r="O152" s="11">
        <f>IF($B152="Candidato",IF($L152&gt;0,$M152/$L152,0),0)</f>
        <v/>
      </c>
      <c r="P152" s="11" t="inlineStr">
        <is>
          <t>NAO</t>
        </is>
      </c>
      <c r="Q152" s="11">
        <f>IF($P152="SIM",$I152*Parametros_Modelo!$B$9,0)</f>
        <v/>
      </c>
      <c r="R152" s="11">
        <f>IF($P152="SIM",Parametros_Modelo!$B$10,0)</f>
        <v/>
      </c>
      <c r="S152" s="11" t="inlineStr">
        <is>
          <t>NAO</t>
        </is>
      </c>
      <c r="T152" s="11">
        <f>IF($S152="SIM",Parametros_Modelo!$B$11,0)</f>
        <v/>
      </c>
      <c r="U152" s="11">
        <f>Parametros_Modelo!$B$5</f>
        <v/>
      </c>
      <c r="V152" s="11">
        <f>Parametros_Modelo!$B$6</f>
        <v/>
      </c>
      <c r="W152" s="6" t="inlineStr">
        <is>
          <t>Derivado: custo candidato = Custo de Abertura / Cap. Estática Máxima; penalidades sintéticas</t>
        </is>
      </c>
      <c r="X152" s="6" t="inlineStr">
        <is>
          <t>Colunas adicionadas para separar parâmetros do modelo matemático dos dados originais do CDA.</t>
        </is>
      </c>
      <c r="Y152" s="6" t="inlineStr">
        <is>
          <t>Opcional agora; necessária se ativar expansão, granelização ou custos candidatos explícitos.</t>
        </is>
      </c>
    </row>
    <row r="153">
      <c r="A153" s="6" t="inlineStr">
        <is>
          <t>54.C642.0006-4</t>
        </is>
      </c>
      <c r="B153" s="6" t="inlineStr">
        <is>
          <t>Candidato</t>
        </is>
      </c>
      <c r="C153" s="6" t="inlineStr">
        <is>
          <t>Uberlândia-Mg</t>
        </is>
      </c>
      <c r="D153" s="6" t="inlineStr">
        <is>
          <t>MG</t>
        </is>
      </c>
      <c r="E153" s="6" t="n">
        <v>-18.84195</v>
      </c>
      <c r="F153" s="6" t="n">
        <v>-48.28959</v>
      </c>
      <c r="G153" s="6" t="inlineStr">
        <is>
          <t>INTERFAST SERVICOS E ARMAZENAMENTO LTDA</t>
        </is>
      </c>
      <c r="H153" s="6" t="inlineStr">
        <is>
          <t>Graneleiro</t>
        </is>
      </c>
      <c r="I153" s="11" t="n">
        <v>0</v>
      </c>
      <c r="J153" s="11" t="n">
        <v>0</v>
      </c>
      <c r="K153" s="11" t="n">
        <v>0</v>
      </c>
      <c r="L153" s="11" t="n">
        <v>231360</v>
      </c>
      <c r="M153" s="11">
        <f>L153*AVERAGE(Custo_Invest!$B$2:$C$2)</f>
        <v/>
      </c>
      <c r="N153" s="11" t="n">
        <v>0</v>
      </c>
      <c r="O153" s="11">
        <f>IF($B153="Candidato",IF($L153&gt;0,$M153/$L153,0),0)</f>
        <v/>
      </c>
      <c r="P153" s="11" t="inlineStr">
        <is>
          <t>NAO</t>
        </is>
      </c>
      <c r="Q153" s="11">
        <f>IF($P153="SIM",$I153*Parametros_Modelo!$B$9,0)</f>
        <v/>
      </c>
      <c r="R153" s="11">
        <f>IF($P153="SIM",Parametros_Modelo!$B$10,0)</f>
        <v/>
      </c>
      <c r="S153" s="11" t="inlineStr">
        <is>
          <t>NAO</t>
        </is>
      </c>
      <c r="T153" s="11">
        <f>IF($S153="SIM",Parametros_Modelo!$B$11,0)</f>
        <v/>
      </c>
      <c r="U153" s="11">
        <f>Parametros_Modelo!$B$5</f>
        <v/>
      </c>
      <c r="V153" s="11">
        <f>Parametros_Modelo!$B$6</f>
        <v/>
      </c>
      <c r="W153" s="6" t="inlineStr">
        <is>
          <t>Derivado: custo candidato = Custo de Abertura / Cap. Estática Máxima; penalidades sintéticas</t>
        </is>
      </c>
      <c r="X153" s="6" t="inlineStr">
        <is>
          <t>Colunas adicionadas para separar parâmetros do modelo matemático dos dados originais do CDA.</t>
        </is>
      </c>
      <c r="Y153" s="6" t="inlineStr">
        <is>
          <t>Opcional agora; necessária se ativar expansão, granelização ou custos candidatos explícitos.</t>
        </is>
      </c>
    </row>
    <row r="154">
      <c r="A154" s="6" t="inlineStr">
        <is>
          <t>55.F764.0001-6</t>
        </is>
      </c>
      <c r="B154" s="6" t="inlineStr">
        <is>
          <t>Candidato</t>
        </is>
      </c>
      <c r="C154" s="6" t="inlineStr">
        <is>
          <t>Dourados-Ms</t>
        </is>
      </c>
      <c r="D154" s="6" t="inlineStr">
        <is>
          <t>MS</t>
        </is>
      </c>
      <c r="E154" s="6" t="n">
        <v>-22.36885</v>
      </c>
      <c r="F154" s="6" t="n">
        <v>-54.80108</v>
      </c>
      <c r="G154" s="6" t="inlineStr">
        <is>
          <t>INPASA AGROINDUSTRIAL S/A</t>
        </is>
      </c>
      <c r="H154" s="6" t="inlineStr">
        <is>
          <t>Graneleiro</t>
        </is>
      </c>
      <c r="I154" s="11" t="n">
        <v>0</v>
      </c>
      <c r="J154" s="11" t="n">
        <v>0</v>
      </c>
      <c r="K154" s="11" t="n">
        <v>0</v>
      </c>
      <c r="L154" s="11" t="n">
        <v>218780</v>
      </c>
      <c r="M154" s="11">
        <f>L154*AVERAGE(Custo_Invest!$B$2:$C$2)</f>
        <v/>
      </c>
      <c r="N154" s="11" t="n">
        <v>0</v>
      </c>
      <c r="O154" s="11">
        <f>IF($B154="Candidato",IF($L154&gt;0,$M154/$L154,0),0)</f>
        <v/>
      </c>
      <c r="P154" s="11" t="inlineStr">
        <is>
          <t>NAO</t>
        </is>
      </c>
      <c r="Q154" s="11">
        <f>IF($P154="SIM",$I154*Parametros_Modelo!$B$9,0)</f>
        <v/>
      </c>
      <c r="R154" s="11">
        <f>IF($P154="SIM",Parametros_Modelo!$B$10,0)</f>
        <v/>
      </c>
      <c r="S154" s="11" t="inlineStr">
        <is>
          <t>NAO</t>
        </is>
      </c>
      <c r="T154" s="11">
        <f>IF($S154="SIM",Parametros_Modelo!$B$11,0)</f>
        <v/>
      </c>
      <c r="U154" s="11">
        <f>Parametros_Modelo!$B$5</f>
        <v/>
      </c>
      <c r="V154" s="11">
        <f>Parametros_Modelo!$B$6</f>
        <v/>
      </c>
      <c r="W154" s="6" t="inlineStr">
        <is>
          <t>Derivado: custo candidato = Custo de Abertura / Cap. Estática Máxima; penalidades sintéticas</t>
        </is>
      </c>
      <c r="X154" s="6" t="inlineStr">
        <is>
          <t>Colunas adicionadas para separar parâmetros do modelo matemático dos dados originais do CDA.</t>
        </is>
      </c>
      <c r="Y154" s="6" t="inlineStr">
        <is>
          <t>Opcional agora; necessária se ativar expansão, granelização ou custos candidatos explícitos.</t>
        </is>
      </c>
    </row>
    <row r="155">
      <c r="A155" s="6" t="inlineStr">
        <is>
          <t>79.C376.0001-0</t>
        </is>
      </c>
      <c r="B155" s="6" t="inlineStr">
        <is>
          <t>Candidato</t>
        </is>
      </c>
      <c r="C155" s="6" t="inlineStr">
        <is>
          <t>Guarujá-Sp</t>
        </is>
      </c>
      <c r="D155" s="6" t="inlineStr">
        <is>
          <t>SP</t>
        </is>
      </c>
      <c r="E155" s="6" t="n">
        <v>-23.96813</v>
      </c>
      <c r="F155" s="6" t="n">
        <v>-46.288015</v>
      </c>
      <c r="G155" s="6" t="inlineStr">
        <is>
          <t>TERMINAL DE GRANÉIS DO GUARUJÁ - TGG</t>
        </is>
      </c>
      <c r="H155" s="6" t="inlineStr">
        <is>
          <t>Graneleiro</t>
        </is>
      </c>
      <c r="I155" s="11" t="n">
        <v>0</v>
      </c>
      <c r="J155" s="11" t="n">
        <v>0</v>
      </c>
      <c r="K155" s="11" t="n">
        <v>0</v>
      </c>
      <c r="L155" s="11" t="n">
        <v>216000</v>
      </c>
      <c r="M155" s="11">
        <f>L155*AVERAGE(Custo_Invest!$B$2:$C$2)</f>
        <v/>
      </c>
      <c r="N155" s="11" t="n">
        <v>0</v>
      </c>
      <c r="O155" s="11">
        <f>IF($B155="Candidato",IF($L155&gt;0,$M155/$L155,0),0)</f>
        <v/>
      </c>
      <c r="P155" s="11" t="inlineStr">
        <is>
          <t>NAO</t>
        </is>
      </c>
      <c r="Q155" s="11">
        <f>IF($P155="SIM",$I155*Parametros_Modelo!$B$9,0)</f>
        <v/>
      </c>
      <c r="R155" s="11">
        <f>IF($P155="SIM",Parametros_Modelo!$B$10,0)</f>
        <v/>
      </c>
      <c r="S155" s="11" t="inlineStr">
        <is>
          <t>NAO</t>
        </is>
      </c>
      <c r="T155" s="11">
        <f>IF($S155="SIM",Parametros_Modelo!$B$11,0)</f>
        <v/>
      </c>
      <c r="U155" s="11">
        <f>Parametros_Modelo!$B$5</f>
        <v/>
      </c>
      <c r="V155" s="11">
        <f>Parametros_Modelo!$B$6</f>
        <v/>
      </c>
      <c r="W155" s="6" t="inlineStr">
        <is>
          <t>Derivado: custo candidato = Custo de Abertura / Cap. Estática Máxima; penalidades sintéticas</t>
        </is>
      </c>
      <c r="X155" s="6" t="inlineStr">
        <is>
          <t>Colunas adicionadas para separar parâmetros do modelo matemático dos dados originais do CDA.</t>
        </is>
      </c>
      <c r="Y155" s="6" t="inlineStr">
        <is>
          <t>Opcional agora; necessária se ativar expansão, granelização ou custos candidatos explícitos.</t>
        </is>
      </c>
    </row>
    <row r="156">
      <c r="A156" s="6" t="inlineStr">
        <is>
          <t>55.6751.0001-9</t>
        </is>
      </c>
      <c r="B156" s="6" t="inlineStr">
        <is>
          <t>Candidato</t>
        </is>
      </c>
      <c r="C156" s="6" t="inlineStr">
        <is>
          <t>Maracaju-Ms</t>
        </is>
      </c>
      <c r="D156" s="6" t="inlineStr">
        <is>
          <t>MS</t>
        </is>
      </c>
      <c r="E156" s="6" t="n">
        <v>-21.77366</v>
      </c>
      <c r="F156" s="6" t="n">
        <v>-54.95869</v>
      </c>
      <c r="G156" s="6" t="inlineStr">
        <is>
          <t>NEOMILLE S.A.</t>
        </is>
      </c>
      <c r="H156" s="6" t="inlineStr">
        <is>
          <t>Graneleiro</t>
        </is>
      </c>
      <c r="I156" s="11" t="n">
        <v>0</v>
      </c>
      <c r="J156" s="11" t="n">
        <v>0</v>
      </c>
      <c r="K156" s="11" t="n">
        <v>0</v>
      </c>
      <c r="L156" s="11" t="n">
        <v>214910</v>
      </c>
      <c r="M156" s="11">
        <f>L156*AVERAGE(Custo_Invest!$B$2:$C$2)</f>
        <v/>
      </c>
      <c r="N156" s="11" t="n">
        <v>0</v>
      </c>
      <c r="O156" s="11">
        <f>IF($B156="Candidato",IF($L156&gt;0,$M156/$L156,0),0)</f>
        <v/>
      </c>
      <c r="P156" s="11" t="inlineStr">
        <is>
          <t>NAO</t>
        </is>
      </c>
      <c r="Q156" s="11">
        <f>IF($P156="SIM",$I156*Parametros_Modelo!$B$9,0)</f>
        <v/>
      </c>
      <c r="R156" s="11">
        <f>IF($P156="SIM",Parametros_Modelo!$B$10,0)</f>
        <v/>
      </c>
      <c r="S156" s="11" t="inlineStr">
        <is>
          <t>NAO</t>
        </is>
      </c>
      <c r="T156" s="11">
        <f>IF($S156="SIM",Parametros_Modelo!$B$11,0)</f>
        <v/>
      </c>
      <c r="U156" s="11">
        <f>Parametros_Modelo!$B$5</f>
        <v/>
      </c>
      <c r="V156" s="11">
        <f>Parametros_Modelo!$B$6</f>
        <v/>
      </c>
      <c r="W156" s="6" t="inlineStr">
        <is>
          <t>Derivado: custo candidato = Custo de Abertura / Cap. Estática Máxima; penalidades sintéticas</t>
        </is>
      </c>
      <c r="X156" s="6" t="inlineStr">
        <is>
          <t>Colunas adicionadas para separar parâmetros do modelo matemático dos dados originais do CDA.</t>
        </is>
      </c>
      <c r="Y156" s="6" t="inlineStr">
        <is>
          <t>Opcional agora; necessária se ativar expansão, granelização ou custos candidatos explícitos.</t>
        </is>
      </c>
    </row>
    <row r="157">
      <c r="A157" s="6" t="inlineStr">
        <is>
          <t>56.F764.0001-4</t>
        </is>
      </c>
      <c r="B157" s="6" t="inlineStr">
        <is>
          <t>Candidato</t>
        </is>
      </c>
      <c r="C157" s="6" t="inlineStr">
        <is>
          <t>Nova mutum-Mt</t>
        </is>
      </c>
      <c r="D157" s="6" t="inlineStr">
        <is>
          <t>MT</t>
        </is>
      </c>
      <c r="E157" s="6" t="n">
        <v>-13.77923</v>
      </c>
      <c r="F157" s="6" t="n">
        <v>-56.0531</v>
      </c>
      <c r="G157" s="6" t="inlineStr">
        <is>
          <t>INPASA AGROINDUSTRIAL S/A</t>
        </is>
      </c>
      <c r="H157" s="6" t="inlineStr">
        <is>
          <t>Graneleiro</t>
        </is>
      </c>
      <c r="I157" s="11" t="n">
        <v>0</v>
      </c>
      <c r="J157" s="11" t="n">
        <v>0</v>
      </c>
      <c r="K157" s="11" t="n">
        <v>0</v>
      </c>
      <c r="L157" s="11" t="n">
        <v>208070</v>
      </c>
      <c r="M157" s="11">
        <f>L157*AVERAGE(Custo_Invest!$B$2:$C$2)</f>
        <v/>
      </c>
      <c r="N157" s="11" t="n">
        <v>0</v>
      </c>
      <c r="O157" s="11">
        <f>IF($B157="Candidato",IF($L157&gt;0,$M157/$L157,0),0)</f>
        <v/>
      </c>
      <c r="P157" s="11" t="inlineStr">
        <is>
          <t>NAO</t>
        </is>
      </c>
      <c r="Q157" s="11">
        <f>IF($P157="SIM",$I157*Parametros_Modelo!$B$9,0)</f>
        <v/>
      </c>
      <c r="R157" s="11">
        <f>IF($P157="SIM",Parametros_Modelo!$B$10,0)</f>
        <v/>
      </c>
      <c r="S157" s="11" t="inlineStr">
        <is>
          <t>NAO</t>
        </is>
      </c>
      <c r="T157" s="11">
        <f>IF($S157="SIM",Parametros_Modelo!$B$11,0)</f>
        <v/>
      </c>
      <c r="U157" s="11">
        <f>Parametros_Modelo!$B$5</f>
        <v/>
      </c>
      <c r="V157" s="11">
        <f>Parametros_Modelo!$B$6</f>
        <v/>
      </c>
      <c r="W157" s="6" t="inlineStr">
        <is>
          <t>Derivado: custo candidato = Custo de Abertura / Cap. Estática Máxima; penalidades sintéticas</t>
        </is>
      </c>
      <c r="X157" s="6" t="inlineStr">
        <is>
          <t>Colunas adicionadas para separar parâmetros do modelo matemático dos dados originais do CDA.</t>
        </is>
      </c>
      <c r="Y157" s="6" t="inlineStr">
        <is>
          <t>Opcional agora; necessária se ativar expansão, granelização ou custos candidatos explícitos.</t>
        </is>
      </c>
    </row>
    <row r="158">
      <c r="A158" s="6" t="inlineStr">
        <is>
          <t>79.G140.0001-3</t>
        </is>
      </c>
      <c r="B158" s="6" t="inlineStr">
        <is>
          <t>Candidato</t>
        </is>
      </c>
      <c r="C158" s="6" t="inlineStr">
        <is>
          <t>Itaberá-Sp</t>
        </is>
      </c>
      <c r="D158" s="6" t="inlineStr">
        <is>
          <t>SP</t>
        </is>
      </c>
      <c r="E158" s="6" t="n">
        <v>-23.83752</v>
      </c>
      <c r="F158" s="6" t="n">
        <v>-49.19994</v>
      </c>
      <c r="G158" s="6" t="inlineStr">
        <is>
          <t>CELSO RICARDO GOMES DE LIMA E OUTROS</t>
        </is>
      </c>
      <c r="H158" s="6" t="inlineStr">
        <is>
          <t>Convencional</t>
        </is>
      </c>
      <c r="I158" s="11" t="n">
        <v>0</v>
      </c>
      <c r="J158" s="11" t="n">
        <v>0</v>
      </c>
      <c r="K158" s="11" t="n">
        <v>0</v>
      </c>
      <c r="L158" s="11" t="n">
        <v>300000</v>
      </c>
      <c r="M158" s="11">
        <f>L158*AVERAGE(Custo_Invest!$B$2:$C$2)</f>
        <v/>
      </c>
      <c r="N158" s="11" t="n">
        <v>0</v>
      </c>
      <c r="O158" s="11">
        <f>IF($B158="Candidato",IF($L158&gt;0,$M158/$L158,0),0)</f>
        <v/>
      </c>
      <c r="P158" s="11" t="inlineStr">
        <is>
          <t>NAO</t>
        </is>
      </c>
      <c r="Q158" s="11">
        <f>IF($P158="SIM",$I158*Parametros_Modelo!$B$9,0)</f>
        <v/>
      </c>
      <c r="R158" s="11">
        <f>IF($P158="SIM",Parametros_Modelo!$B$10,0)</f>
        <v/>
      </c>
      <c r="S158" s="11" t="inlineStr">
        <is>
          <t>SIM</t>
        </is>
      </c>
      <c r="T158" s="11">
        <f>IF($S158="SIM",Parametros_Modelo!$B$11,0)</f>
        <v/>
      </c>
      <c r="U158" s="11">
        <f>Parametros_Modelo!$B$5</f>
        <v/>
      </c>
      <c r="V158" s="11">
        <f>Parametros_Modelo!$B$6</f>
        <v/>
      </c>
      <c r="W158" s="6" t="inlineStr">
        <is>
          <t>Derivado: custo candidato = Custo de Abertura / Cap. Estática Máxima; penalidades sintéticas</t>
        </is>
      </c>
      <c r="X158" s="6" t="inlineStr">
        <is>
          <t>Colunas adicionadas para separar parâmetros do modelo matemático dos dados originais do CDA.</t>
        </is>
      </c>
      <c r="Y158" s="6" t="inlineStr">
        <is>
          <t>Opcional agora; necessária se ativar expansão, granelização ou custos candidatos explícitos.</t>
        </is>
      </c>
    </row>
    <row r="159">
      <c r="A159" s="6" t="inlineStr">
        <is>
          <t>79.6690.0001-3</t>
        </is>
      </c>
      <c r="B159" s="6" t="inlineStr">
        <is>
          <t>Candidato</t>
        </is>
      </c>
      <c r="C159" s="6" t="inlineStr">
        <is>
          <t>Barueri-Sp</t>
        </is>
      </c>
      <c r="D159" s="6" t="inlineStr">
        <is>
          <t>SP</t>
        </is>
      </c>
      <c r="E159" s="6" t="n">
        <v>-23.5108</v>
      </c>
      <c r="F159" s="6" t="n">
        <v>-46.82231</v>
      </c>
      <c r="G159" s="6" t="inlineStr">
        <is>
          <t>APOIO LOGISTICA E SERVICOS LTDA</t>
        </is>
      </c>
      <c r="H159" s="6" t="inlineStr">
        <is>
          <t>Convencional</t>
        </is>
      </c>
      <c r="I159" s="11" t="n">
        <v>0</v>
      </c>
      <c r="J159" s="11" t="n">
        <v>0</v>
      </c>
      <c r="K159" s="11" t="n">
        <v>0</v>
      </c>
      <c r="L159" s="11" t="n">
        <v>133340</v>
      </c>
      <c r="M159" s="11">
        <f>L159*AVERAGE(Custo_Invest!$B$2:$C$2)</f>
        <v/>
      </c>
      <c r="N159" s="11" t="n">
        <v>0</v>
      </c>
      <c r="O159" s="11">
        <f>IF($B159="Candidato",IF($L159&gt;0,$M159/$L159,0),0)</f>
        <v/>
      </c>
      <c r="P159" s="11" t="inlineStr">
        <is>
          <t>NAO</t>
        </is>
      </c>
      <c r="Q159" s="11">
        <f>IF($P159="SIM",$I159*Parametros_Modelo!$B$9,0)</f>
        <v/>
      </c>
      <c r="R159" s="11">
        <f>IF($P159="SIM",Parametros_Modelo!$B$10,0)</f>
        <v/>
      </c>
      <c r="S159" s="11" t="inlineStr">
        <is>
          <t>SIM</t>
        </is>
      </c>
      <c r="T159" s="11">
        <f>IF($S159="SIM",Parametros_Modelo!$B$11,0)</f>
        <v/>
      </c>
      <c r="U159" s="11">
        <f>Parametros_Modelo!$B$5</f>
        <v/>
      </c>
      <c r="V159" s="11">
        <f>Parametros_Modelo!$B$6</f>
        <v/>
      </c>
      <c r="W159" s="6" t="inlineStr">
        <is>
          <t>Derivado: custo candidato = Custo de Abertura / Cap. Estática Máxima; penalidades sintéticas</t>
        </is>
      </c>
      <c r="X159" s="6" t="inlineStr">
        <is>
          <t>Colunas adicionadas para separar parâmetros do modelo matemático dos dados originais do CDA.</t>
        </is>
      </c>
      <c r="Y159" s="6" t="inlineStr">
        <is>
          <t>Opcional agora; necessária se ativar expansão, granelização ou custos candidatos explícitos.</t>
        </is>
      </c>
    </row>
    <row r="160">
      <c r="A160" s="6" t="inlineStr">
        <is>
          <t>76.D598.0001-9</t>
        </is>
      </c>
      <c r="B160" s="6" t="inlineStr">
        <is>
          <t>Candidato</t>
        </is>
      </c>
      <c r="C160" s="6" t="inlineStr">
        <is>
          <t>Santa cruz do sul-Rs</t>
        </is>
      </c>
      <c r="D160" s="6" t="inlineStr">
        <is>
          <t>RS</t>
        </is>
      </c>
      <c r="E160" s="6" t="n">
        <v>-29.79668</v>
      </c>
      <c r="F160" s="6" t="n">
        <v>-52.39522</v>
      </c>
      <c r="G160" s="6" t="inlineStr">
        <is>
          <t>PREMIUM TABACOS DO BRASIL S/A</t>
        </is>
      </c>
      <c r="H160" s="6" t="inlineStr">
        <is>
          <t>Convencional</t>
        </is>
      </c>
      <c r="I160" s="11" t="n">
        <v>0</v>
      </c>
      <c r="J160" s="11" t="n">
        <v>0</v>
      </c>
      <c r="K160" s="11" t="n">
        <v>0</v>
      </c>
      <c r="L160" s="11" t="n">
        <v>115360</v>
      </c>
      <c r="M160" s="11">
        <f>L160*AVERAGE(Custo_Invest!$B$2:$C$2)</f>
        <v/>
      </c>
      <c r="N160" s="11" t="n">
        <v>0</v>
      </c>
      <c r="O160" s="11">
        <f>IF($B160="Candidato",IF($L160&gt;0,$M160/$L160,0),0)</f>
        <v/>
      </c>
      <c r="P160" s="11" t="inlineStr">
        <is>
          <t>NAO</t>
        </is>
      </c>
      <c r="Q160" s="11">
        <f>IF($P160="SIM",$I160*Parametros_Modelo!$B$9,0)</f>
        <v/>
      </c>
      <c r="R160" s="11">
        <f>IF($P160="SIM",Parametros_Modelo!$B$10,0)</f>
        <v/>
      </c>
      <c r="S160" s="11" t="inlineStr">
        <is>
          <t>SIM</t>
        </is>
      </c>
      <c r="T160" s="11">
        <f>IF($S160="SIM",Parametros_Modelo!$B$11,0)</f>
        <v/>
      </c>
      <c r="U160" s="11">
        <f>Parametros_Modelo!$B$5</f>
        <v/>
      </c>
      <c r="V160" s="11">
        <f>Parametros_Modelo!$B$6</f>
        <v/>
      </c>
      <c r="W160" s="6" t="inlineStr">
        <is>
          <t>Derivado: custo candidato = Custo de Abertura / Cap. Estática Máxima; penalidades sintéticas</t>
        </is>
      </c>
      <c r="X160" s="6" t="inlineStr">
        <is>
          <t>Colunas adicionadas para separar parâmetros do modelo matemático dos dados originais do CDA.</t>
        </is>
      </c>
      <c r="Y160" s="6" t="inlineStr">
        <is>
          <t>Opcional agora; necessária se ativar expansão, granelização ou custos candidatos explícitos.</t>
        </is>
      </c>
    </row>
    <row r="161">
      <c r="A161" s="6" t="inlineStr">
        <is>
          <t>56.F091.0002-0</t>
        </is>
      </c>
      <c r="B161" s="6" t="inlineStr">
        <is>
          <t>Candidato</t>
        </is>
      </c>
      <c r="C161" s="6" t="inlineStr">
        <is>
          <t>Alto garças-Mt</t>
        </is>
      </c>
      <c r="D161" s="6" t="inlineStr">
        <is>
          <t>MT</t>
        </is>
      </c>
      <c r="E161" s="6" t="n">
        <v>-16.84481</v>
      </c>
      <c r="F161" s="6" t="n">
        <v>-53.73696</v>
      </c>
      <c r="G161" s="6" t="inlineStr">
        <is>
          <t>ADRIANA AGRÍCOLA LTDA</t>
        </is>
      </c>
      <c r="H161" s="6" t="inlineStr">
        <is>
          <t>Convencional</t>
        </is>
      </c>
      <c r="I161" s="11" t="n">
        <v>0</v>
      </c>
      <c r="J161" s="11" t="n">
        <v>0</v>
      </c>
      <c r="K161" s="11" t="n">
        <v>0</v>
      </c>
      <c r="L161" s="11" t="n">
        <v>80620</v>
      </c>
      <c r="M161" s="11">
        <f>L161*AVERAGE(Custo_Invest!$B$2:$C$2)</f>
        <v/>
      </c>
      <c r="N161" s="11" t="n">
        <v>0</v>
      </c>
      <c r="O161" s="11">
        <f>IF($B161="Candidato",IF($L161&gt;0,$M161/$L161,0),0)</f>
        <v/>
      </c>
      <c r="P161" s="11" t="inlineStr">
        <is>
          <t>NAO</t>
        </is>
      </c>
      <c r="Q161" s="11">
        <f>IF($P161="SIM",$I161*Parametros_Modelo!$B$9,0)</f>
        <v/>
      </c>
      <c r="R161" s="11">
        <f>IF($P161="SIM",Parametros_Modelo!$B$10,0)</f>
        <v/>
      </c>
      <c r="S161" s="11" t="inlineStr">
        <is>
          <t>SIM</t>
        </is>
      </c>
      <c r="T161" s="11">
        <f>IF($S161="SIM",Parametros_Modelo!$B$11,0)</f>
        <v/>
      </c>
      <c r="U161" s="11">
        <f>Parametros_Modelo!$B$5</f>
        <v/>
      </c>
      <c r="V161" s="11">
        <f>Parametros_Modelo!$B$6</f>
        <v/>
      </c>
      <c r="W161" s="6" t="inlineStr">
        <is>
          <t>Derivado: custo candidato = Custo de Abertura / Cap. Estática Máxima; penalidades sintéticas</t>
        </is>
      </c>
      <c r="X161" s="6" t="inlineStr">
        <is>
          <t>Colunas adicionadas para separar parâmetros do modelo matemático dos dados originais do CDA.</t>
        </is>
      </c>
      <c r="Y161" s="6" t="inlineStr">
        <is>
          <t>Opcional agora; necessária se ativar expansão, granelização ou custos candidatos explícitos.</t>
        </is>
      </c>
    </row>
    <row r="162">
      <c r="A162" s="6" t="inlineStr">
        <is>
          <t>79.G239.0002-1</t>
        </is>
      </c>
      <c r="B162" s="6" t="inlineStr">
        <is>
          <t>Candidato</t>
        </is>
      </c>
      <c r="C162" s="6" t="inlineStr">
        <is>
          <t>Cajamar-Sp</t>
        </is>
      </c>
      <c r="D162" s="6" t="inlineStr">
        <is>
          <t>SP</t>
        </is>
      </c>
      <c r="E162" s="6" t="n">
        <v>-23.21168</v>
      </c>
      <c r="F162" s="6" t="n">
        <v>-46.5117</v>
      </c>
      <c r="G162" s="6" t="inlineStr">
        <is>
          <t>UPS SCS LOGISTICA BRASIL LTDA.</t>
        </is>
      </c>
      <c r="H162" s="6" t="inlineStr">
        <is>
          <t>Convencional</t>
        </is>
      </c>
      <c r="I162" s="11" t="n">
        <v>0</v>
      </c>
      <c r="J162" s="11" t="n">
        <v>0</v>
      </c>
      <c r="K162" s="11" t="n">
        <v>0</v>
      </c>
      <c r="L162" s="11" t="n">
        <v>75000</v>
      </c>
      <c r="M162" s="11">
        <f>L162*AVERAGE(Custo_Invest!$B$2:$C$2)</f>
        <v/>
      </c>
      <c r="N162" s="11" t="n">
        <v>0</v>
      </c>
      <c r="O162" s="11">
        <f>IF($B162="Candidato",IF($L162&gt;0,$M162/$L162,0),0)</f>
        <v/>
      </c>
      <c r="P162" s="11" t="inlineStr">
        <is>
          <t>NAO</t>
        </is>
      </c>
      <c r="Q162" s="11">
        <f>IF($P162="SIM",$I162*Parametros_Modelo!$B$9,0)</f>
        <v/>
      </c>
      <c r="R162" s="11">
        <f>IF($P162="SIM",Parametros_Modelo!$B$10,0)</f>
        <v/>
      </c>
      <c r="S162" s="11" t="inlineStr">
        <is>
          <t>SIM</t>
        </is>
      </c>
      <c r="T162" s="11">
        <f>IF($S162="SIM",Parametros_Modelo!$B$11,0)</f>
        <v/>
      </c>
      <c r="U162" s="11">
        <f>Parametros_Modelo!$B$5</f>
        <v/>
      </c>
      <c r="V162" s="11">
        <f>Parametros_Modelo!$B$6</f>
        <v/>
      </c>
      <c r="W162" s="6" t="inlineStr">
        <is>
          <t>Derivado: custo candidato = Custo de Abertura / Cap. Estática Máxima; penalidades sintéticas</t>
        </is>
      </c>
      <c r="X162" s="6" t="inlineStr">
        <is>
          <t>Colunas adicionadas para separar parâmetros do modelo matemático dos dados originais do CDA.</t>
        </is>
      </c>
      <c r="Y162" s="6" t="inlineStr">
        <is>
          <t>Opcional agora; necessária se ativar expansão, granelização ou custos candidatos explícitos.</t>
        </is>
      </c>
    </row>
    <row r="163">
      <c r="A163" s="6" t="inlineStr">
        <is>
          <t>56.9691.0002-2</t>
        </is>
      </c>
      <c r="B163" s="6" t="inlineStr">
        <is>
          <t>Candidato</t>
        </is>
      </c>
      <c r="C163" s="6" t="inlineStr">
        <is>
          <t>Barra do bugres-Mt</t>
        </is>
      </c>
      <c r="D163" s="6" t="inlineStr">
        <is>
          <t>MT</t>
        </is>
      </c>
      <c r="E163" s="6" t="n">
        <v>-14.86747</v>
      </c>
      <c r="F163" s="6" t="n">
        <v>-57.17555</v>
      </c>
      <c r="G163" s="6" t="inlineStr">
        <is>
          <t>CONTROL UNION WARRANTS LTDA</t>
        </is>
      </c>
      <c r="H163" s="6" t="inlineStr">
        <is>
          <t>Convencional</t>
        </is>
      </c>
      <c r="I163" s="11" t="n">
        <v>0</v>
      </c>
      <c r="J163" s="11" t="n">
        <v>0</v>
      </c>
      <c r="K163" s="11" t="n">
        <v>0</v>
      </c>
      <c r="L163" s="11" t="n">
        <v>63202</v>
      </c>
      <c r="M163" s="11">
        <f>L163*AVERAGE(Custo_Invest!$B$2:$C$2)</f>
        <v/>
      </c>
      <c r="N163" s="11" t="n">
        <v>0</v>
      </c>
      <c r="O163" s="11">
        <f>IF($B163="Candidato",IF($L163&gt;0,$M163/$L163,0),0)</f>
        <v/>
      </c>
      <c r="P163" s="11" t="inlineStr">
        <is>
          <t>NAO</t>
        </is>
      </c>
      <c r="Q163" s="11">
        <f>IF($P163="SIM",$I163*Parametros_Modelo!$B$9,0)</f>
        <v/>
      </c>
      <c r="R163" s="11">
        <f>IF($P163="SIM",Parametros_Modelo!$B$10,0)</f>
        <v/>
      </c>
      <c r="S163" s="11" t="inlineStr">
        <is>
          <t>SIM</t>
        </is>
      </c>
      <c r="T163" s="11">
        <f>IF($S163="SIM",Parametros_Modelo!$B$11,0)</f>
        <v/>
      </c>
      <c r="U163" s="11">
        <f>Parametros_Modelo!$B$5</f>
        <v/>
      </c>
      <c r="V163" s="11">
        <f>Parametros_Modelo!$B$6</f>
        <v/>
      </c>
      <c r="W163" s="6" t="inlineStr">
        <is>
          <t>Derivado: custo candidato = Custo de Abertura / Cap. Estática Máxima; penalidades sintéticas</t>
        </is>
      </c>
      <c r="X163" s="6" t="inlineStr">
        <is>
          <t>Colunas adicionadas para separar parâmetros do modelo matemático dos dados originais do CDA.</t>
        </is>
      </c>
      <c r="Y163" s="6" t="inlineStr">
        <is>
          <t>Opcional agora; necessária se ativar expansão, granelização ou custos candidatos explícitos.</t>
        </is>
      </c>
    </row>
    <row r="164">
      <c r="A164" s="6" t="inlineStr">
        <is>
          <t>54.8634.0003-4</t>
        </is>
      </c>
      <c r="B164" s="6" t="inlineStr">
        <is>
          <t>Candidato</t>
        </is>
      </c>
      <c r="C164" s="6" t="inlineStr">
        <is>
          <t>Machado-Mg</t>
        </is>
      </c>
      <c r="D164" s="6" t="inlineStr">
        <is>
          <t>MG</t>
        </is>
      </c>
      <c r="E164" s="6" t="n">
        <v>-21.68305</v>
      </c>
      <c r="F164" s="6" t="n">
        <v>-45.85389</v>
      </c>
      <c r="G164" s="6" t="inlineStr">
        <is>
          <t>EISA - EMPRESA INTERAGRICOLA S/A</t>
        </is>
      </c>
      <c r="H164" s="6" t="inlineStr">
        <is>
          <t>Convencional</t>
        </is>
      </c>
      <c r="I164" s="11" t="n">
        <v>0</v>
      </c>
      <c r="J164" s="11" t="n">
        <v>0</v>
      </c>
      <c r="K164" s="11" t="n">
        <v>0</v>
      </c>
      <c r="L164" s="11" t="n">
        <v>60300</v>
      </c>
      <c r="M164" s="11">
        <f>L164*AVERAGE(Custo_Invest!$B$2:$C$2)</f>
        <v/>
      </c>
      <c r="N164" s="11" t="n">
        <v>0</v>
      </c>
      <c r="O164" s="11">
        <f>IF($B164="Candidato",IF($L164&gt;0,$M164/$L164,0),0)</f>
        <v/>
      </c>
      <c r="P164" s="11" t="inlineStr">
        <is>
          <t>NAO</t>
        </is>
      </c>
      <c r="Q164" s="11">
        <f>IF($P164="SIM",$I164*Parametros_Modelo!$B$9,0)</f>
        <v/>
      </c>
      <c r="R164" s="11">
        <f>IF($P164="SIM",Parametros_Modelo!$B$10,0)</f>
        <v/>
      </c>
      <c r="S164" s="11" t="inlineStr">
        <is>
          <t>SIM</t>
        </is>
      </c>
      <c r="T164" s="11">
        <f>IF($S164="SIM",Parametros_Modelo!$B$11,0)</f>
        <v/>
      </c>
      <c r="U164" s="11">
        <f>Parametros_Modelo!$B$5</f>
        <v/>
      </c>
      <c r="V164" s="11">
        <f>Parametros_Modelo!$B$6</f>
        <v/>
      </c>
      <c r="W164" s="6" t="inlineStr">
        <is>
          <t>Derivado: custo candidato = Custo de Abertura / Cap. Estática Máxima; penalidades sintéticas</t>
        </is>
      </c>
      <c r="X164" s="6" t="inlineStr">
        <is>
          <t>Colunas adicionadas para separar parâmetros do modelo matemático dos dados originais do CDA.</t>
        </is>
      </c>
      <c r="Y164" s="6" t="inlineStr">
        <is>
          <t>Opcional agora; necessária se ativar expansão, granelização ou custos candidatos explícitos.</t>
        </is>
      </c>
    </row>
    <row r="165">
      <c r="A165" s="6" t="inlineStr">
        <is>
          <t>48.G253.0002-1</t>
        </is>
      </c>
      <c r="B165" s="6" t="inlineStr">
        <is>
          <t>Candidato</t>
        </is>
      </c>
      <c r="C165" s="6" t="inlineStr">
        <is>
          <t>Cabeceiras-Go</t>
        </is>
      </c>
      <c r="D165" s="6" t="inlineStr">
        <is>
          <t>GO</t>
        </is>
      </c>
      <c r="E165" s="6" t="n">
        <v>-15.60493</v>
      </c>
      <c r="F165" s="6" t="n">
        <v>-47.14207</v>
      </c>
      <c r="G165" s="6" t="inlineStr">
        <is>
          <t>BOA SAFRA SEMENTES SA</t>
        </is>
      </c>
      <c r="H165" s="6" t="inlineStr">
        <is>
          <t>Convencional</t>
        </is>
      </c>
      <c r="I165" s="11" t="n">
        <v>0</v>
      </c>
      <c r="J165" s="11" t="n">
        <v>0</v>
      </c>
      <c r="K165" s="11" t="n">
        <v>0</v>
      </c>
      <c r="L165" s="11" t="n">
        <v>60240</v>
      </c>
      <c r="M165" s="11">
        <f>L165*AVERAGE(Custo_Invest!$B$2:$C$2)</f>
        <v/>
      </c>
      <c r="N165" s="11" t="n">
        <v>0</v>
      </c>
      <c r="O165" s="11">
        <f>IF($B165="Candidato",IF($L165&gt;0,$M165/$L165,0),0)</f>
        <v/>
      </c>
      <c r="P165" s="11" t="inlineStr">
        <is>
          <t>NAO</t>
        </is>
      </c>
      <c r="Q165" s="11">
        <f>IF($P165="SIM",$I165*Parametros_Modelo!$B$9,0)</f>
        <v/>
      </c>
      <c r="R165" s="11">
        <f>IF($P165="SIM",Parametros_Modelo!$B$10,0)</f>
        <v/>
      </c>
      <c r="S165" s="11" t="inlineStr">
        <is>
          <t>SIM</t>
        </is>
      </c>
      <c r="T165" s="11">
        <f>IF($S165="SIM",Parametros_Modelo!$B$11,0)</f>
        <v/>
      </c>
      <c r="U165" s="11">
        <f>Parametros_Modelo!$B$5</f>
        <v/>
      </c>
      <c r="V165" s="11">
        <f>Parametros_Modelo!$B$6</f>
        <v/>
      </c>
      <c r="W165" s="6" t="inlineStr">
        <is>
          <t>Derivado: custo candidato = Custo de Abertura / Cap. Estática Máxima; penalidades sintéticas</t>
        </is>
      </c>
      <c r="X165" s="6" t="inlineStr">
        <is>
          <t>Colunas adicionadas para separar parâmetros do modelo matemático dos dados originais do CDA.</t>
        </is>
      </c>
      <c r="Y165" s="6" t="inlineStr">
        <is>
          <t>Opcional agora; necessária se ativar expansão, granelização ou custos candidatos explícitos.</t>
        </is>
      </c>
    </row>
    <row r="166">
      <c r="A166" s="6" t="inlineStr">
        <is>
          <t>79.0300.0255-3</t>
        </is>
      </c>
      <c r="B166" s="6" t="inlineStr">
        <is>
          <t>Candidato</t>
        </is>
      </c>
      <c r="C166" s="6" t="inlineStr">
        <is>
          <t>Araraquara-Sp</t>
        </is>
      </c>
      <c r="D166" s="6" t="inlineStr">
        <is>
          <t>SP</t>
        </is>
      </c>
      <c r="E166" s="6" t="n">
        <v>-21.45317</v>
      </c>
      <c r="F166" s="6" t="n">
        <v>-48.7909</v>
      </c>
      <c r="G166" s="6" t="inlineStr">
        <is>
          <t>CEAGESP - COMPANHIA DE ENTREPOSTOS E ARMAZENS GERAIS DE SAO PAULO</t>
        </is>
      </c>
      <c r="H166" s="6" t="inlineStr">
        <is>
          <t>Convencional</t>
        </is>
      </c>
      <c r="I166" s="11" t="n">
        <v>0</v>
      </c>
      <c r="J166" s="11" t="n">
        <v>0</v>
      </c>
      <c r="K166" s="11" t="n">
        <v>0</v>
      </c>
      <c r="L166" s="11" t="n">
        <v>58320</v>
      </c>
      <c r="M166" s="11">
        <f>L166*AVERAGE(Custo_Invest!$B$2:$C$2)</f>
        <v/>
      </c>
      <c r="N166" s="11" t="n">
        <v>0</v>
      </c>
      <c r="O166" s="11">
        <f>IF($B166="Candidato",IF($L166&gt;0,$M166/$L166,0),0)</f>
        <v/>
      </c>
      <c r="P166" s="11" t="inlineStr">
        <is>
          <t>NAO</t>
        </is>
      </c>
      <c r="Q166" s="11">
        <f>IF($P166="SIM",$I166*Parametros_Modelo!$B$9,0)</f>
        <v/>
      </c>
      <c r="R166" s="11">
        <f>IF($P166="SIM",Parametros_Modelo!$B$10,0)</f>
        <v/>
      </c>
      <c r="S166" s="11" t="inlineStr">
        <is>
          <t>SIM</t>
        </is>
      </c>
      <c r="T166" s="11">
        <f>IF($S166="SIM",Parametros_Modelo!$B$11,0)</f>
        <v/>
      </c>
      <c r="U166" s="11">
        <f>Parametros_Modelo!$B$5</f>
        <v/>
      </c>
      <c r="V166" s="11">
        <f>Parametros_Modelo!$B$6</f>
        <v/>
      </c>
      <c r="W166" s="6" t="inlineStr">
        <is>
          <t>Derivado: custo candidato = Custo de Abertura / Cap. Estática Máxima; penalidades sintéticas</t>
        </is>
      </c>
      <c r="X166" s="6" t="inlineStr">
        <is>
          <t>Colunas adicionadas para separar parâmetros do modelo matemático dos dados originais do CDA.</t>
        </is>
      </c>
      <c r="Y166" s="6" t="inlineStr">
        <is>
          <t>Opcional agora; necessária se ativar expansão, granelização ou custos candidatos explícitos.</t>
        </is>
      </c>
    </row>
    <row r="167">
      <c r="A167" s="6" t="inlineStr">
        <is>
          <t>79.0300.0254-5</t>
        </is>
      </c>
      <c r="B167" s="6" t="inlineStr">
        <is>
          <t>Candidato</t>
        </is>
      </c>
      <c r="C167" s="6" t="inlineStr">
        <is>
          <t>São paulo-Sp</t>
        </is>
      </c>
      <c r="D167" s="6" t="inlineStr">
        <is>
          <t>SP</t>
        </is>
      </c>
      <c r="E167" s="6" t="n">
        <v>-21.75487</v>
      </c>
      <c r="F167" s="6" t="n">
        <v>-48.13136</v>
      </c>
      <c r="G167" s="6" t="inlineStr">
        <is>
          <t>CEAGESP - COMPANHIA DE ENTREPOSTOS E ARMAZENS GERAIS DE SAO PAULO</t>
        </is>
      </c>
      <c r="H167" s="6" t="inlineStr">
        <is>
          <t>Convencional</t>
        </is>
      </c>
      <c r="I167" s="11" t="n">
        <v>0</v>
      </c>
      <c r="J167" s="11" t="n">
        <v>0</v>
      </c>
      <c r="K167" s="11" t="n">
        <v>0</v>
      </c>
      <c r="L167" s="11" t="n">
        <v>57240</v>
      </c>
      <c r="M167" s="11">
        <f>L167*AVERAGE(Custo_Invest!$B$2:$C$2)</f>
        <v/>
      </c>
      <c r="N167" s="11" t="n">
        <v>0</v>
      </c>
      <c r="O167" s="11">
        <f>IF($B167="Candidato",IF($L167&gt;0,$M167/$L167,0),0)</f>
        <v/>
      </c>
      <c r="P167" s="11" t="inlineStr">
        <is>
          <t>NAO</t>
        </is>
      </c>
      <c r="Q167" s="11">
        <f>IF($P167="SIM",$I167*Parametros_Modelo!$B$9,0)</f>
        <v/>
      </c>
      <c r="R167" s="11">
        <f>IF($P167="SIM",Parametros_Modelo!$B$10,0)</f>
        <v/>
      </c>
      <c r="S167" s="11" t="inlineStr">
        <is>
          <t>SIM</t>
        </is>
      </c>
      <c r="T167" s="11">
        <f>IF($S167="SIM",Parametros_Modelo!$B$11,0)</f>
        <v/>
      </c>
      <c r="U167" s="11">
        <f>Parametros_Modelo!$B$5</f>
        <v/>
      </c>
      <c r="V167" s="11">
        <f>Parametros_Modelo!$B$6</f>
        <v/>
      </c>
      <c r="W167" s="6" t="inlineStr">
        <is>
          <t>Derivado: custo candidato = Custo de Abertura / Cap. Estática Máxima; penalidades sintéticas</t>
        </is>
      </c>
      <c r="X167" s="6" t="inlineStr">
        <is>
          <t>Colunas adicionadas para separar parâmetros do modelo matemático dos dados originais do CDA.</t>
        </is>
      </c>
      <c r="Y167" s="6" t="inlineStr">
        <is>
          <t>Opcional agora; necessária se ativar expansão, granelização ou custos candidatos explícitos.</t>
        </is>
      </c>
    </row>
    <row r="168">
      <c r="A168" s="6" t="inlineStr">
        <is>
          <t>76.1812.0005-8</t>
        </is>
      </c>
      <c r="B168" s="6" t="inlineStr">
        <is>
          <t>Candidato</t>
        </is>
      </c>
      <c r="C168" s="6" t="inlineStr">
        <is>
          <t>São borja-Rs</t>
        </is>
      </c>
      <c r="D168" s="6" t="inlineStr">
        <is>
          <t>RS</t>
        </is>
      </c>
      <c r="E168" s="6" t="n">
        <v>-28.68753</v>
      </c>
      <c r="F168" s="6" t="n">
        <v>-55.92431</v>
      </c>
      <c r="G168" s="6" t="inlineStr">
        <is>
          <t>PIRAHY ALIMENTOS LTDA</t>
        </is>
      </c>
      <c r="H168" s="6" t="inlineStr">
        <is>
          <t>Silo</t>
        </is>
      </c>
      <c r="I168" s="11" t="n">
        <v>0</v>
      </c>
      <c r="J168" s="11" t="n">
        <v>0</v>
      </c>
      <c r="K168" s="11" t="n">
        <v>0</v>
      </c>
      <c r="L168" s="11" t="n">
        <v>232820</v>
      </c>
      <c r="M168" s="11">
        <f>L168*AVERAGE(Custo_Invest!$B$2:$C$2)</f>
        <v/>
      </c>
      <c r="N168" s="11" t="n">
        <v>0</v>
      </c>
      <c r="O168" s="11">
        <f>IF($B168="Candidato",IF($L168&gt;0,$M168/$L168,0),0)</f>
        <v/>
      </c>
      <c r="P168" s="11" t="inlineStr">
        <is>
          <t>NAO</t>
        </is>
      </c>
      <c r="Q168" s="11">
        <f>IF($P168="SIM",$I168*Parametros_Modelo!$B$9,0)</f>
        <v/>
      </c>
      <c r="R168" s="11">
        <f>IF($P168="SIM",Parametros_Modelo!$B$10,0)</f>
        <v/>
      </c>
      <c r="S168" s="11" t="inlineStr">
        <is>
          <t>NAO</t>
        </is>
      </c>
      <c r="T168" s="11">
        <f>IF($S168="SIM",Parametros_Modelo!$B$11,0)</f>
        <v/>
      </c>
      <c r="U168" s="11">
        <f>Parametros_Modelo!$B$5</f>
        <v/>
      </c>
      <c r="V168" s="11">
        <f>Parametros_Modelo!$B$6</f>
        <v/>
      </c>
      <c r="W168" s="6" t="inlineStr">
        <is>
          <t>Derivado: custo candidato = Custo de Abertura / Cap. Estática Máxima; penalidades sintéticas</t>
        </is>
      </c>
      <c r="X168" s="6" t="inlineStr">
        <is>
          <t>Colunas adicionadas para separar parâmetros do modelo matemático dos dados originais do CDA.</t>
        </is>
      </c>
      <c r="Y168" s="6" t="inlineStr">
        <is>
          <t>Opcional agora; necessária se ativar expansão, granelização ou custos candidatos explícitos.</t>
        </is>
      </c>
    </row>
    <row r="169">
      <c r="A169" s="6" t="inlineStr">
        <is>
          <t>66.0461.0181-3</t>
        </is>
      </c>
      <c r="B169" s="6" t="inlineStr">
        <is>
          <t>Candidato</t>
        </is>
      </c>
      <c r="C169" s="6" t="inlineStr">
        <is>
          <t>Maringá-Pr</t>
        </is>
      </c>
      <c r="D169" s="6" t="inlineStr">
        <is>
          <t>PR</t>
        </is>
      </c>
      <c r="E169" s="6" t="n">
        <v>-23.4334</v>
      </c>
      <c r="F169" s="6" t="n">
        <v>-51.99015</v>
      </c>
      <c r="G169" s="6" t="inlineStr">
        <is>
          <t>COCAMAR COOPERATIVA AGROINDUSTRIAL</t>
        </is>
      </c>
      <c r="H169" s="6" t="inlineStr">
        <is>
          <t>Silo</t>
        </is>
      </c>
      <c r="I169" s="11" t="n">
        <v>0</v>
      </c>
      <c r="J169" s="11" t="n">
        <v>0</v>
      </c>
      <c r="K169" s="11" t="n">
        <v>0</v>
      </c>
      <c r="L169" s="11" t="n">
        <v>195000</v>
      </c>
      <c r="M169" s="11">
        <f>L169*AVERAGE(Custo_Invest!$B$2:$C$2)</f>
        <v/>
      </c>
      <c r="N169" s="11" t="n">
        <v>0</v>
      </c>
      <c r="O169" s="11">
        <f>IF($B169="Candidato",IF($L169&gt;0,$M169/$L169,0),0)</f>
        <v/>
      </c>
      <c r="P169" s="11" t="inlineStr">
        <is>
          <t>NAO</t>
        </is>
      </c>
      <c r="Q169" s="11">
        <f>IF($P169="SIM",$I169*Parametros_Modelo!$B$9,0)</f>
        <v/>
      </c>
      <c r="R169" s="11">
        <f>IF($P169="SIM",Parametros_Modelo!$B$10,0)</f>
        <v/>
      </c>
      <c r="S169" s="11" t="inlineStr">
        <is>
          <t>NAO</t>
        </is>
      </c>
      <c r="T169" s="11">
        <f>IF($S169="SIM",Parametros_Modelo!$B$11,0)</f>
        <v/>
      </c>
      <c r="U169" s="11">
        <f>Parametros_Modelo!$B$5</f>
        <v/>
      </c>
      <c r="V169" s="11">
        <f>Parametros_Modelo!$B$6</f>
        <v/>
      </c>
      <c r="W169" s="6" t="inlineStr">
        <is>
          <t>Derivado: custo candidato = Custo de Abertura / Cap. Estática Máxima; penalidades sintéticas</t>
        </is>
      </c>
      <c r="X169" s="6" t="inlineStr">
        <is>
          <t>Colunas adicionadas para separar parâmetros do modelo matemático dos dados originais do CDA.</t>
        </is>
      </c>
      <c r="Y169" s="6" t="inlineStr">
        <is>
          <t>Opcional agora; necessária se ativar expansão, granelização ou custos candidatos explícitos.</t>
        </is>
      </c>
    </row>
    <row r="170">
      <c r="A170" s="6" t="inlineStr">
        <is>
          <t>76.1685.0037-0</t>
        </is>
      </c>
      <c r="B170" s="6" t="inlineStr">
        <is>
          <t>Candidato</t>
        </is>
      </c>
      <c r="C170" s="6" t="inlineStr">
        <is>
          <t>Rio grande-Rs</t>
        </is>
      </c>
      <c r="D170" s="6" t="inlineStr">
        <is>
          <t>RS</t>
        </is>
      </c>
      <c r="E170" s="6" t="n">
        <v>-32.10078</v>
      </c>
      <c r="F170" s="6" t="n">
        <v>-52.11645</v>
      </c>
      <c r="G170" s="6" t="inlineStr">
        <is>
          <t>BIANCHINI SA INDUSTRIA COMERCIO E AGRICULTURA</t>
        </is>
      </c>
      <c r="H170" s="6" t="inlineStr">
        <is>
          <t>Silo</t>
        </is>
      </c>
      <c r="I170" s="11" t="n">
        <v>0</v>
      </c>
      <c r="J170" s="11" t="n">
        <v>0</v>
      </c>
      <c r="K170" s="11" t="n">
        <v>0</v>
      </c>
      <c r="L170" s="11" t="n">
        <v>178050</v>
      </c>
      <c r="M170" s="11">
        <f>L170*AVERAGE(Custo_Invest!$B$2:$C$2)</f>
        <v/>
      </c>
      <c r="N170" s="11" t="n">
        <v>0</v>
      </c>
      <c r="O170" s="11">
        <f>IF($B170="Candidato",IF($L170&gt;0,$M170/$L170,0),0)</f>
        <v/>
      </c>
      <c r="P170" s="11" t="inlineStr">
        <is>
          <t>NAO</t>
        </is>
      </c>
      <c r="Q170" s="11">
        <f>IF($P170="SIM",$I170*Parametros_Modelo!$B$9,0)</f>
        <v/>
      </c>
      <c r="R170" s="11">
        <f>IF($P170="SIM",Parametros_Modelo!$B$10,0)</f>
        <v/>
      </c>
      <c r="S170" s="11" t="inlineStr">
        <is>
          <t>NAO</t>
        </is>
      </c>
      <c r="T170" s="11">
        <f>IF($S170="SIM",Parametros_Modelo!$B$11,0)</f>
        <v/>
      </c>
      <c r="U170" s="11">
        <f>Parametros_Modelo!$B$5</f>
        <v/>
      </c>
      <c r="V170" s="11">
        <f>Parametros_Modelo!$B$6</f>
        <v/>
      </c>
      <c r="W170" s="6" t="inlineStr">
        <is>
          <t>Derivado: custo candidato = Custo de Abertura / Cap. Estática Máxima; penalidades sintéticas</t>
        </is>
      </c>
      <c r="X170" s="6" t="inlineStr">
        <is>
          <t>Colunas adicionadas para separar parâmetros do modelo matemático dos dados originais do CDA.</t>
        </is>
      </c>
      <c r="Y170" s="6" t="inlineStr">
        <is>
          <t>Opcional agora; necessária se ativar expansão, granelização ou custos candidatos explícitos.</t>
        </is>
      </c>
    </row>
    <row r="171">
      <c r="A171" s="6" t="inlineStr">
        <is>
          <t>66.0446.0091-0</t>
        </is>
      </c>
      <c r="B171" s="6" t="inlineStr">
        <is>
          <t>Candidato</t>
        </is>
      </c>
      <c r="C171" s="6" t="inlineStr">
        <is>
          <t>Medianeira-Pr</t>
        </is>
      </c>
      <c r="D171" s="6" t="inlineStr">
        <is>
          <t>PR</t>
        </is>
      </c>
      <c r="E171" s="6" t="n">
        <v>-25.31556</v>
      </c>
      <c r="F171" s="6" t="n">
        <v>-54.15853</v>
      </c>
      <c r="G171" s="6" t="inlineStr">
        <is>
          <t>LAR COOPERATIVA AGROINDUSTRIAL</t>
        </is>
      </c>
      <c r="H171" s="6" t="inlineStr">
        <is>
          <t>Silo</t>
        </is>
      </c>
      <c r="I171" s="11" t="n">
        <v>0</v>
      </c>
      <c r="J171" s="11" t="n">
        <v>0</v>
      </c>
      <c r="K171" s="11" t="n">
        <v>0</v>
      </c>
      <c r="L171" s="11" t="n">
        <v>177930</v>
      </c>
      <c r="M171" s="11">
        <f>L171*AVERAGE(Custo_Invest!$B$2:$C$2)</f>
        <v/>
      </c>
      <c r="N171" s="11" t="n">
        <v>0</v>
      </c>
      <c r="O171" s="11">
        <f>IF($B171="Candidato",IF($L171&gt;0,$M171/$L171,0),0)</f>
        <v/>
      </c>
      <c r="P171" s="11" t="inlineStr">
        <is>
          <t>NAO</t>
        </is>
      </c>
      <c r="Q171" s="11">
        <f>IF($P171="SIM",$I171*Parametros_Modelo!$B$9,0)</f>
        <v/>
      </c>
      <c r="R171" s="11">
        <f>IF($P171="SIM",Parametros_Modelo!$B$10,0)</f>
        <v/>
      </c>
      <c r="S171" s="11" t="inlineStr">
        <is>
          <t>NAO</t>
        </is>
      </c>
      <c r="T171" s="11">
        <f>IF($S171="SIM",Parametros_Modelo!$B$11,0)</f>
        <v/>
      </c>
      <c r="U171" s="11">
        <f>Parametros_Modelo!$B$5</f>
        <v/>
      </c>
      <c r="V171" s="11">
        <f>Parametros_Modelo!$B$6</f>
        <v/>
      </c>
      <c r="W171" s="6" t="inlineStr">
        <is>
          <t>Derivado: custo candidato = Custo de Abertura / Cap. Estática Máxima; penalidades sintéticas</t>
        </is>
      </c>
      <c r="X171" s="6" t="inlineStr">
        <is>
          <t>Colunas adicionadas para separar parâmetros do modelo matemático dos dados originais do CDA.</t>
        </is>
      </c>
      <c r="Y171" s="6" t="inlineStr">
        <is>
          <t>Opcional agora; necessária se ativar expansão, granelização ou custos candidatos explícitos.</t>
        </is>
      </c>
    </row>
    <row r="172">
      <c r="A172" s="6" t="inlineStr">
        <is>
          <t>76.6628.0006-0</t>
        </is>
      </c>
      <c r="B172" s="6" t="inlineStr">
        <is>
          <t>Candidato</t>
        </is>
      </c>
      <c r="C172" s="6" t="inlineStr">
        <is>
          <t>Itaqui-Rs</t>
        </is>
      </c>
      <c r="D172" s="6" t="inlineStr">
        <is>
          <t>RS</t>
        </is>
      </c>
      <c r="E172" s="6" t="n">
        <v>-29.16682</v>
      </c>
      <c r="F172" s="6" t="n">
        <v>-56.48884</v>
      </c>
      <c r="G172" s="6" t="inlineStr">
        <is>
          <t>CAMIL ALIMENTOS S/A</t>
        </is>
      </c>
      <c r="H172" s="6" t="inlineStr">
        <is>
          <t>Silo</t>
        </is>
      </c>
      <c r="I172" s="11" t="n">
        <v>0</v>
      </c>
      <c r="J172" s="11" t="n">
        <v>0</v>
      </c>
      <c r="K172" s="11" t="n">
        <v>0</v>
      </c>
      <c r="L172" s="11" t="n">
        <v>175838</v>
      </c>
      <c r="M172" s="11">
        <f>L172*AVERAGE(Custo_Invest!$B$2:$C$2)</f>
        <v/>
      </c>
      <c r="N172" s="11" t="n">
        <v>0</v>
      </c>
      <c r="O172" s="11">
        <f>IF($B172="Candidato",IF($L172&gt;0,$M172/$L172,0),0)</f>
        <v/>
      </c>
      <c r="P172" s="11" t="inlineStr">
        <is>
          <t>NAO</t>
        </is>
      </c>
      <c r="Q172" s="11">
        <f>IF($P172="SIM",$I172*Parametros_Modelo!$B$9,0)</f>
        <v/>
      </c>
      <c r="R172" s="11">
        <f>IF($P172="SIM",Parametros_Modelo!$B$10,0)</f>
        <v/>
      </c>
      <c r="S172" s="11" t="inlineStr">
        <is>
          <t>NAO</t>
        </is>
      </c>
      <c r="T172" s="11">
        <f>IF($S172="SIM",Parametros_Modelo!$B$11,0)</f>
        <v/>
      </c>
      <c r="U172" s="11">
        <f>Parametros_Modelo!$B$5</f>
        <v/>
      </c>
      <c r="V172" s="11">
        <f>Parametros_Modelo!$B$6</f>
        <v/>
      </c>
      <c r="W172" s="6" t="inlineStr">
        <is>
          <t>Derivado: custo candidato = Custo de Abertura / Cap. Estática Máxima; penalidades sintéticas</t>
        </is>
      </c>
      <c r="X172" s="6" t="inlineStr">
        <is>
          <t>Colunas adicionadas para separar parâmetros do modelo matemático dos dados originais do CDA.</t>
        </is>
      </c>
      <c r="Y172" s="6" t="inlineStr">
        <is>
          <t>Opcional agora; necessária se ativar expansão, granelização ou custos candidatos explícitos.</t>
        </is>
      </c>
    </row>
    <row r="173">
      <c r="A173" s="6" t="inlineStr">
        <is>
          <t>55.8684.0004-9</t>
        </is>
      </c>
      <c r="B173" s="6" t="inlineStr">
        <is>
          <t>Candidato</t>
        </is>
      </c>
      <c r="C173" s="6" t="inlineStr">
        <is>
          <t>Dourados-Ms</t>
        </is>
      </c>
      <c r="D173" s="6" t="inlineStr">
        <is>
          <t>MS</t>
        </is>
      </c>
      <c r="E173" s="6" t="n">
        <v>-22.22069</v>
      </c>
      <c r="F173" s="6" t="n">
        <v>-54.71833</v>
      </c>
      <c r="G173" s="6" t="inlineStr">
        <is>
          <t>SEARA ALIMENTOS LTDA</t>
        </is>
      </c>
      <c r="H173" s="6" t="inlineStr">
        <is>
          <t>Silo</t>
        </is>
      </c>
      <c r="I173" s="11" t="n">
        <v>0</v>
      </c>
      <c r="J173" s="11" t="n">
        <v>0</v>
      </c>
      <c r="K173" s="11" t="n">
        <v>0</v>
      </c>
      <c r="L173" s="11" t="n">
        <v>162740</v>
      </c>
      <c r="M173" s="11">
        <f>L173*AVERAGE(Custo_Invest!$B$2:$C$2)</f>
        <v/>
      </c>
      <c r="N173" s="11" t="n">
        <v>0</v>
      </c>
      <c r="O173" s="11">
        <f>IF($B173="Candidato",IF($L173&gt;0,$M173/$L173,0),0)</f>
        <v/>
      </c>
      <c r="P173" s="11" t="inlineStr">
        <is>
          <t>NAO</t>
        </is>
      </c>
      <c r="Q173" s="11">
        <f>IF($P173="SIM",$I173*Parametros_Modelo!$B$9,0)</f>
        <v/>
      </c>
      <c r="R173" s="11">
        <f>IF($P173="SIM",Parametros_Modelo!$B$10,0)</f>
        <v/>
      </c>
      <c r="S173" s="11" t="inlineStr">
        <is>
          <t>NAO</t>
        </is>
      </c>
      <c r="T173" s="11">
        <f>IF($S173="SIM",Parametros_Modelo!$B$11,0)</f>
        <v/>
      </c>
      <c r="U173" s="11">
        <f>Parametros_Modelo!$B$5</f>
        <v/>
      </c>
      <c r="V173" s="11">
        <f>Parametros_Modelo!$B$6</f>
        <v/>
      </c>
      <c r="W173" s="6" t="inlineStr">
        <is>
          <t>Derivado: custo candidato = Custo de Abertura / Cap. Estática Máxima; penalidades sintéticas</t>
        </is>
      </c>
      <c r="X173" s="6" t="inlineStr">
        <is>
          <t>Colunas adicionadas para separar parâmetros do modelo matemático dos dados originais do CDA.</t>
        </is>
      </c>
      <c r="Y173" s="6" t="inlineStr">
        <is>
          <t>Opcional agora; necessária se ativar expansão, granelização ou custos candidatos explícitos.</t>
        </is>
      </c>
    </row>
    <row r="174">
      <c r="A174" s="6" t="inlineStr">
        <is>
          <t>56.D757.0002-9</t>
        </is>
      </c>
      <c r="B174" s="6" t="inlineStr">
        <is>
          <t>Candidato</t>
        </is>
      </c>
      <c r="C174" s="6" t="inlineStr">
        <is>
          <t>Campo novo do parecis-Mt</t>
        </is>
      </c>
      <c r="D174" s="6" t="inlineStr">
        <is>
          <t>MT</t>
        </is>
      </c>
      <c r="E174" s="6" t="n">
        <v>-14.317222</v>
      </c>
      <c r="F174" s="6" t="n">
        <v>-57.956111</v>
      </c>
      <c r="G174" s="6" t="inlineStr">
        <is>
          <t>AGROPECUÁRIA MAGGI LTDA</t>
        </is>
      </c>
      <c r="H174" s="6" t="inlineStr">
        <is>
          <t>Silo</t>
        </is>
      </c>
      <c r="I174" s="11" t="n">
        <v>0</v>
      </c>
      <c r="J174" s="11" t="n">
        <v>0</v>
      </c>
      <c r="K174" s="11" t="n">
        <v>0</v>
      </c>
      <c r="L174" s="11" t="n">
        <v>153860</v>
      </c>
      <c r="M174" s="11">
        <f>L174*AVERAGE(Custo_Invest!$B$2:$C$2)</f>
        <v/>
      </c>
      <c r="N174" s="11" t="n">
        <v>0</v>
      </c>
      <c r="O174" s="11">
        <f>IF($B174="Candidato",IF($L174&gt;0,$M174/$L174,0),0)</f>
        <v/>
      </c>
      <c r="P174" s="11" t="inlineStr">
        <is>
          <t>NAO</t>
        </is>
      </c>
      <c r="Q174" s="11">
        <f>IF($P174="SIM",$I174*Parametros_Modelo!$B$9,0)</f>
        <v/>
      </c>
      <c r="R174" s="11">
        <f>IF($P174="SIM",Parametros_Modelo!$B$10,0)</f>
        <v/>
      </c>
      <c r="S174" s="11" t="inlineStr">
        <is>
          <t>NAO</t>
        </is>
      </c>
      <c r="T174" s="11">
        <f>IF($S174="SIM",Parametros_Modelo!$B$11,0)</f>
        <v/>
      </c>
      <c r="U174" s="11">
        <f>Parametros_Modelo!$B$5</f>
        <v/>
      </c>
      <c r="V174" s="11">
        <f>Parametros_Modelo!$B$6</f>
        <v/>
      </c>
      <c r="W174" s="6" t="inlineStr">
        <is>
          <t>Derivado: custo candidato = Custo de Abertura / Cap. Estática Máxima; penalidades sintéticas</t>
        </is>
      </c>
      <c r="X174" s="6" t="inlineStr">
        <is>
          <t>Colunas adicionadas para separar parâmetros do modelo matemático dos dados originais do CDA.</t>
        </is>
      </c>
      <c r="Y174" s="6" t="inlineStr">
        <is>
          <t>Opcional agora; necessária se ativar expansão, granelização ou custos candidatos explícitos.</t>
        </is>
      </c>
    </row>
    <row r="175">
      <c r="A175" s="6" t="inlineStr">
        <is>
          <t>76.9474.0002-8</t>
        </is>
      </c>
      <c r="B175" s="6" t="inlineStr">
        <is>
          <t>Candidato</t>
        </is>
      </c>
      <c r="C175" s="6" t="inlineStr">
        <is>
          <t>Passo fundo-Rs</t>
        </is>
      </c>
      <c r="D175" s="6" t="inlineStr">
        <is>
          <t>RS</t>
        </is>
      </c>
      <c r="E175" s="6" t="n">
        <v>-28.22657</v>
      </c>
      <c r="F175" s="6" t="n">
        <v>-52.46196</v>
      </c>
      <c r="G175" s="6" t="inlineStr">
        <is>
          <t>PRADOZEM-COMÉRCIO, SERVIÇOS E TRANSPORTE LTDA</t>
        </is>
      </c>
      <c r="H175" s="6" t="inlineStr">
        <is>
          <t>Silo</t>
        </is>
      </c>
      <c r="I175" s="11" t="n">
        <v>0</v>
      </c>
      <c r="J175" s="11" t="n">
        <v>0</v>
      </c>
      <c r="K175" s="11" t="n">
        <v>0</v>
      </c>
      <c r="L175" s="11" t="n">
        <v>142790</v>
      </c>
      <c r="M175" s="11">
        <f>L175*AVERAGE(Custo_Invest!$B$2:$C$2)</f>
        <v/>
      </c>
      <c r="N175" s="11" t="n">
        <v>0</v>
      </c>
      <c r="O175" s="11">
        <f>IF($B175="Candidato",IF($L175&gt;0,$M175/$L175,0),0)</f>
        <v/>
      </c>
      <c r="P175" s="11" t="inlineStr">
        <is>
          <t>NAO</t>
        </is>
      </c>
      <c r="Q175" s="11">
        <f>IF($P175="SIM",$I175*Parametros_Modelo!$B$9,0)</f>
        <v/>
      </c>
      <c r="R175" s="11">
        <f>IF($P175="SIM",Parametros_Modelo!$B$10,0)</f>
        <v/>
      </c>
      <c r="S175" s="11" t="inlineStr">
        <is>
          <t>NAO</t>
        </is>
      </c>
      <c r="T175" s="11">
        <f>IF($S175="SIM",Parametros_Modelo!$B$11,0)</f>
        <v/>
      </c>
      <c r="U175" s="11">
        <f>Parametros_Modelo!$B$5</f>
        <v/>
      </c>
      <c r="V175" s="11">
        <f>Parametros_Modelo!$B$6</f>
        <v/>
      </c>
      <c r="W175" s="6" t="inlineStr">
        <is>
          <t>Derivado: custo candidato = Custo de Abertura / Cap. Estática Máxima; penalidades sintéticas</t>
        </is>
      </c>
      <c r="X175" s="6" t="inlineStr">
        <is>
          <t>Colunas adicionadas para separar parâmetros do modelo matemático dos dados originais do CDA.</t>
        </is>
      </c>
      <c r="Y175" s="6" t="inlineStr">
        <is>
          <t>Opcional agora; necessária se ativar expansão, granelização ou custos candidatos explícitos.</t>
        </is>
      </c>
    </row>
    <row r="176">
      <c r="A176" s="6" t="inlineStr">
        <is>
          <t>39.G015.0003-0</t>
        </is>
      </c>
      <c r="B176" s="6" t="inlineStr">
        <is>
          <t>Candidato</t>
        </is>
      </c>
      <c r="C176" s="6" t="inlineStr">
        <is>
          <t>Salvador-Ba</t>
        </is>
      </c>
      <c r="D176" s="6" t="inlineStr">
        <is>
          <t>BA</t>
        </is>
      </c>
      <c r="E176" s="6" t="n">
        <v>-12.78833</v>
      </c>
      <c r="F176" s="6" t="n">
        <v>-38.47739</v>
      </c>
      <c r="G176" s="6" t="inlineStr">
        <is>
          <t>TERMINAL PORTUARIO COTEGIPE S/A</t>
        </is>
      </c>
      <c r="H176" s="6" t="inlineStr">
        <is>
          <t>Silo</t>
        </is>
      </c>
      <c r="I176" s="11" t="n">
        <v>0</v>
      </c>
      <c r="J176" s="11" t="n">
        <v>0</v>
      </c>
      <c r="K176" s="11" t="n">
        <v>0</v>
      </c>
      <c r="L176" s="11" t="n">
        <v>141380</v>
      </c>
      <c r="M176" s="11">
        <f>L176*AVERAGE(Custo_Invest!$B$2:$C$2)</f>
        <v/>
      </c>
      <c r="N176" s="11" t="n">
        <v>0</v>
      </c>
      <c r="O176" s="11">
        <f>IF($B176="Candidato",IF($L176&gt;0,$M176/$L176,0),0)</f>
        <v/>
      </c>
      <c r="P176" s="11" t="inlineStr">
        <is>
          <t>NAO</t>
        </is>
      </c>
      <c r="Q176" s="11">
        <f>IF($P176="SIM",$I176*Parametros_Modelo!$B$9,0)</f>
        <v/>
      </c>
      <c r="R176" s="11">
        <f>IF($P176="SIM",Parametros_Modelo!$B$10,0)</f>
        <v/>
      </c>
      <c r="S176" s="11" t="inlineStr">
        <is>
          <t>NAO</t>
        </is>
      </c>
      <c r="T176" s="11">
        <f>IF($S176="SIM",Parametros_Modelo!$B$11,0)</f>
        <v/>
      </c>
      <c r="U176" s="11">
        <f>Parametros_Modelo!$B$5</f>
        <v/>
      </c>
      <c r="V176" s="11">
        <f>Parametros_Modelo!$B$6</f>
        <v/>
      </c>
      <c r="W176" s="6" t="inlineStr">
        <is>
          <t>Derivado: custo candidato = Custo de Abertura / Cap. Estática Máxima; penalidades sintéticas</t>
        </is>
      </c>
      <c r="X176" s="6" t="inlineStr">
        <is>
          <t>Colunas adicionadas para separar parâmetros do modelo matemático dos dados originais do CDA.</t>
        </is>
      </c>
      <c r="Y176" s="6" t="inlineStr">
        <is>
          <t>Opcional agora; necessária se ativar expansão, granelização ou custos candidatos explícitos.</t>
        </is>
      </c>
    </row>
    <row r="177">
      <c r="A177" s="6" t="inlineStr">
        <is>
          <t>39.E052.0002-9</t>
        </is>
      </c>
      <c r="B177" s="6" t="inlineStr">
        <is>
          <t>Candidato</t>
        </is>
      </c>
      <c r="C177" s="6" t="inlineStr">
        <is>
          <t>Jaborandi-Ba</t>
        </is>
      </c>
      <c r="D177" s="6" t="inlineStr">
        <is>
          <t>BA</t>
        </is>
      </c>
      <c r="E177" s="6" t="n">
        <v>-14.0749</v>
      </c>
      <c r="F177" s="6" t="n">
        <v>-45.73489</v>
      </c>
      <c r="G177" s="6" t="inlineStr">
        <is>
          <t>HARALD KUDIESS</t>
        </is>
      </c>
      <c r="H177" s="6" t="inlineStr">
        <is>
          <t>Silo</t>
        </is>
      </c>
      <c r="I177" s="11" t="n">
        <v>0</v>
      </c>
      <c r="J177" s="11" t="n">
        <v>0</v>
      </c>
      <c r="K177" s="11" t="n">
        <v>0</v>
      </c>
      <c r="L177" s="11" t="n">
        <v>134450</v>
      </c>
      <c r="M177" s="11">
        <f>L177*AVERAGE(Custo_Invest!$B$2:$C$2)</f>
        <v/>
      </c>
      <c r="N177" s="11" t="n">
        <v>0</v>
      </c>
      <c r="O177" s="11">
        <f>IF($B177="Candidato",IF($L177&gt;0,$M177/$L177,0),0)</f>
        <v/>
      </c>
      <c r="P177" s="11" t="inlineStr">
        <is>
          <t>NAO</t>
        </is>
      </c>
      <c r="Q177" s="11">
        <f>IF($P177="SIM",$I177*Parametros_Modelo!$B$9,0)</f>
        <v/>
      </c>
      <c r="R177" s="11">
        <f>IF($P177="SIM",Parametros_Modelo!$B$10,0)</f>
        <v/>
      </c>
      <c r="S177" s="11" t="inlineStr">
        <is>
          <t>NAO</t>
        </is>
      </c>
      <c r="T177" s="11">
        <f>IF($S177="SIM",Parametros_Modelo!$B$11,0)</f>
        <v/>
      </c>
      <c r="U177" s="11">
        <f>Parametros_Modelo!$B$5</f>
        <v/>
      </c>
      <c r="V177" s="11">
        <f>Parametros_Modelo!$B$6</f>
        <v/>
      </c>
      <c r="W177" s="6" t="inlineStr">
        <is>
          <t>Derivado: custo candidato = Custo de Abertura / Cap. Estática Máxima; penalidades sintéticas</t>
        </is>
      </c>
      <c r="X177" s="6" t="inlineStr">
        <is>
          <t>Colunas adicionadas para separar parâmetros do modelo matemático dos dados originais do CDA.</t>
        </is>
      </c>
      <c r="Y177" s="6" t="inlineStr">
        <is>
          <t>Opcional agora; necessária se ativar expansão, granelização ou custos candidatos explícitos.</t>
        </is>
      </c>
    </row>
    <row r="178">
      <c r="A178" s="6" t="inlineStr">
        <is>
          <t>38.F781.0001-0</t>
        </is>
      </c>
      <c r="B178" s="6" t="inlineStr">
        <is>
          <t>Candidato</t>
        </is>
      </c>
      <c r="C178" s="6" t="inlineStr">
        <is>
          <t>Santana-Ap</t>
        </is>
      </c>
      <c r="D178" s="6" t="inlineStr">
        <is>
          <t>AP</t>
        </is>
      </c>
      <c r="E178" s="6" t="n">
        <v>-0.051943</v>
      </c>
      <c r="F178" s="6" t="n">
        <v>-51.16694</v>
      </c>
      <c r="G178" s="6" t="inlineStr">
        <is>
          <t>CIANPORT - CIA NORTE DE NAVEGAÇÃO E PORTOS</t>
        </is>
      </c>
      <c r="H178" s="6" t="inlineStr">
        <is>
          <t>Silo</t>
        </is>
      </c>
      <c r="I178" s="11" t="n">
        <v>0</v>
      </c>
      <c r="J178" s="11" t="n">
        <v>0</v>
      </c>
      <c r="K178" s="11" t="n">
        <v>0</v>
      </c>
      <c r="L178" s="11" t="n">
        <v>190610</v>
      </c>
      <c r="M178" s="11">
        <f>L178*AVERAGE(Custo_Invest!$B$2:$C$2)</f>
        <v/>
      </c>
      <c r="N178" s="11" t="n">
        <v>0</v>
      </c>
      <c r="O178" s="11">
        <f>IF($B178="Candidato",IF($L178&gt;0,$M178/$L178,0),0)</f>
        <v/>
      </c>
      <c r="P178" s="11" t="inlineStr">
        <is>
          <t>NAO</t>
        </is>
      </c>
      <c r="Q178" s="11">
        <f>IF($P178="SIM",$I178*Parametros_Modelo!$B$9,0)</f>
        <v/>
      </c>
      <c r="R178" s="11">
        <f>IF($P178="SIM",Parametros_Modelo!$B$10,0)</f>
        <v/>
      </c>
      <c r="S178" s="11" t="inlineStr">
        <is>
          <t>NAO</t>
        </is>
      </c>
      <c r="T178" s="11">
        <f>IF($S178="SIM",Parametros_Modelo!$B$11,0)</f>
        <v/>
      </c>
      <c r="U178" s="11">
        <f>Parametros_Modelo!$B$5</f>
        <v/>
      </c>
      <c r="V178" s="11">
        <f>Parametros_Modelo!$B$6</f>
        <v/>
      </c>
      <c r="W178" s="6" t="inlineStr">
        <is>
          <t>Derivado: custo candidato = Custo de Abertura / Cap. Estática Máxima; penalidades sintéticas</t>
        </is>
      </c>
      <c r="X178" s="6" t="inlineStr">
        <is>
          <t>Colunas adicionadas para separar parâmetros do modelo matemático dos dados originais do CDA.</t>
        </is>
      </c>
      <c r="Y178" s="6" t="inlineStr">
        <is>
          <t>Opcional agora; necessária se ativar expansão, granelização ou custos candidatos explícitos.</t>
        </is>
      </c>
    </row>
    <row r="179">
      <c r="A179" s="6" t="inlineStr">
        <is>
          <t>66.6923.0006-9</t>
        </is>
      </c>
      <c r="B179" s="6" t="inlineStr">
        <is>
          <t>Candidato</t>
        </is>
      </c>
      <c r="C179" s="6" t="inlineStr">
        <is>
          <t>Paranaguá-Pr</t>
        </is>
      </c>
      <c r="D179" s="6" t="inlineStr">
        <is>
          <t>PR</t>
        </is>
      </c>
      <c r="E179" s="6" t="n">
        <v>-25.505441</v>
      </c>
      <c r="F179" s="6" t="n">
        <v>-48.507776</v>
      </c>
      <c r="G179" s="6" t="inlineStr">
        <is>
          <t>ADMINISTRACAO DOS PORTOS DE PARANAGUA E ANTONINA</t>
        </is>
      </c>
      <c r="H179" s="6" t="inlineStr">
        <is>
          <t>Silo</t>
        </is>
      </c>
      <c r="I179" s="11" t="n">
        <v>0</v>
      </c>
      <c r="J179" s="11" t="n">
        <v>0</v>
      </c>
      <c r="K179" s="11" t="n">
        <v>0</v>
      </c>
      <c r="L179" s="11" t="n">
        <v>98350</v>
      </c>
      <c r="M179" s="11">
        <f>L179*AVERAGE(Custo_Invest!$B$2:$C$2)</f>
        <v/>
      </c>
      <c r="N179" s="11" t="n">
        <v>0</v>
      </c>
      <c r="O179" s="11">
        <f>IF($B179="Candidato",IF($L179&gt;0,$M179/$L179,0),0)</f>
        <v/>
      </c>
      <c r="P179" s="11" t="inlineStr">
        <is>
          <t>NAO</t>
        </is>
      </c>
      <c r="Q179" s="11">
        <f>IF($P179="SIM",$I179*Parametros_Modelo!$B$9,0)</f>
        <v/>
      </c>
      <c r="R179" s="11">
        <f>IF($P179="SIM",Parametros_Modelo!$B$10,0)</f>
        <v/>
      </c>
      <c r="S179" s="11" t="inlineStr">
        <is>
          <t>NAO</t>
        </is>
      </c>
      <c r="T179" s="11">
        <f>IF($S179="SIM",Parametros_Modelo!$B$11,0)</f>
        <v/>
      </c>
      <c r="U179" s="11">
        <f>Parametros_Modelo!$B$5</f>
        <v/>
      </c>
      <c r="V179" s="11">
        <f>Parametros_Modelo!$B$6</f>
        <v/>
      </c>
      <c r="W179" s="6" t="inlineStr">
        <is>
          <t>Derivado: custo candidato = Custo de Abertura / Cap. Estática Máxima; penalidades sintéticas</t>
        </is>
      </c>
      <c r="X179" s="6" t="inlineStr">
        <is>
          <t>Colunas adicionadas para separar parâmetros do modelo matemático dos dados originais do CDA.</t>
        </is>
      </c>
      <c r="Y179" s="6" t="inlineStr">
        <is>
          <t>Opcional agora; necessária se ativar expansão, granelização ou custos candidatos explícitos.</t>
        </is>
      </c>
    </row>
    <row r="180">
      <c r="A180" s="6" t="inlineStr">
        <is>
          <t>76.0399.0006-1</t>
        </is>
      </c>
      <c r="B180" s="6" t="inlineStr">
        <is>
          <t>Candidato</t>
        </is>
      </c>
      <c r="C180" s="6" t="inlineStr">
        <is>
          <t>Alegrete-Rs</t>
        </is>
      </c>
      <c r="D180" s="6" t="inlineStr">
        <is>
          <t>RS</t>
        </is>
      </c>
      <c r="E180" s="6" t="n">
        <v>-29.8485872</v>
      </c>
      <c r="F180" s="6" t="n">
        <v>-55.6551076</v>
      </c>
      <c r="G180" s="6" t="inlineStr">
        <is>
          <t>CAAL-COOP AGROINDL ALEGRETE LTDA</t>
        </is>
      </c>
      <c r="H180" s="6" t="inlineStr">
        <is>
          <t>Silo</t>
        </is>
      </c>
      <c r="I180" s="11" t="n">
        <v>0</v>
      </c>
      <c r="J180" s="11" t="n">
        <v>0</v>
      </c>
      <c r="K180" s="11" t="n">
        <v>0</v>
      </c>
      <c r="L180" s="11" t="n">
        <v>87200</v>
      </c>
      <c r="M180" s="11">
        <f>L180*AVERAGE(Custo_Invest!$B$2:$C$2)</f>
        <v/>
      </c>
      <c r="N180" s="11" t="n">
        <v>0</v>
      </c>
      <c r="O180" s="11">
        <f>IF($B180="Candidato",IF($L180&gt;0,$M180/$L180,0),0)</f>
        <v/>
      </c>
      <c r="P180" s="11" t="inlineStr">
        <is>
          <t>NAO</t>
        </is>
      </c>
      <c r="Q180" s="11">
        <f>IF($P180="SIM",$I180*Parametros_Modelo!$B$9,0)</f>
        <v/>
      </c>
      <c r="R180" s="11">
        <f>IF($P180="SIM",Parametros_Modelo!$B$10,0)</f>
        <v/>
      </c>
      <c r="S180" s="11" t="inlineStr">
        <is>
          <t>NAO</t>
        </is>
      </c>
      <c r="T180" s="11">
        <f>IF($S180="SIM",Parametros_Modelo!$B$11,0)</f>
        <v/>
      </c>
      <c r="U180" s="11">
        <f>Parametros_Modelo!$B$5</f>
        <v/>
      </c>
      <c r="V180" s="11">
        <f>Parametros_Modelo!$B$6</f>
        <v/>
      </c>
      <c r="W180" s="6" t="inlineStr">
        <is>
          <t>Derivado: custo candidato = Custo de Abertura / Cap. Estática Máxima; penalidades sintéticas</t>
        </is>
      </c>
      <c r="X180" s="6" t="inlineStr">
        <is>
          <t>Colunas adicionadas para separar parâmetros do modelo matemático dos dados originais do CDA.</t>
        </is>
      </c>
      <c r="Y180" s="6" t="inlineStr">
        <is>
          <t>Opcional agora; necessária se ativar expansão, granelização ou custos candidatos explícitos.</t>
        </is>
      </c>
    </row>
    <row r="181">
      <c r="A181" s="6" t="inlineStr">
        <is>
          <t>56.7681.0005-0</t>
        </is>
      </c>
      <c r="B181" s="6" t="inlineStr">
        <is>
          <t>Candidato</t>
        </is>
      </c>
      <c r="C181" s="6" t="inlineStr">
        <is>
          <t>Cuiabá-Mt</t>
        </is>
      </c>
      <c r="D181" s="6" t="inlineStr">
        <is>
          <t>MT</t>
        </is>
      </c>
      <c r="E181" s="6" t="n">
        <v>-15.668737</v>
      </c>
      <c r="F181" s="6" t="n">
        <v>-56.008295</v>
      </c>
      <c r="G181" s="6" t="inlineStr">
        <is>
          <t>SPERAFICO DA AMAZONIA SA</t>
        </is>
      </c>
      <c r="H181" s="6" t="inlineStr">
        <is>
          <t>Silo</t>
        </is>
      </c>
      <c r="I181" s="11" t="n">
        <v>0</v>
      </c>
      <c r="J181" s="11" t="n">
        <v>0</v>
      </c>
      <c r="K181" s="11" t="n">
        <v>0</v>
      </c>
      <c r="L181" s="11" t="n">
        <v>73430</v>
      </c>
      <c r="M181" s="11">
        <f>L181*AVERAGE(Custo_Invest!$B$2:$C$2)</f>
        <v/>
      </c>
      <c r="N181" s="11" t="n">
        <v>0</v>
      </c>
      <c r="O181" s="11">
        <f>IF($B181="Candidato",IF($L181&gt;0,$M181/$L181,0),0)</f>
        <v/>
      </c>
      <c r="P181" s="11" t="inlineStr">
        <is>
          <t>NAO</t>
        </is>
      </c>
      <c r="Q181" s="11">
        <f>IF($P181="SIM",$I181*Parametros_Modelo!$B$9,0)</f>
        <v/>
      </c>
      <c r="R181" s="11">
        <f>IF($P181="SIM",Parametros_Modelo!$B$10,0)</f>
        <v/>
      </c>
      <c r="S181" s="11" t="inlineStr">
        <is>
          <t>NAO</t>
        </is>
      </c>
      <c r="T181" s="11">
        <f>IF($S181="SIM",Parametros_Modelo!$B$11,0)</f>
        <v/>
      </c>
      <c r="U181" s="11">
        <f>Parametros_Modelo!$B$5</f>
        <v/>
      </c>
      <c r="V181" s="11">
        <f>Parametros_Modelo!$B$6</f>
        <v/>
      </c>
      <c r="W181" s="6" t="inlineStr">
        <is>
          <t>Derivado: custo candidato = Custo de Abertura / Cap. Estática Máxima; penalidades sintéticas</t>
        </is>
      </c>
      <c r="X181" s="6" t="inlineStr">
        <is>
          <t>Colunas adicionadas para separar parâmetros do modelo matemático dos dados originais do CDA.</t>
        </is>
      </c>
      <c r="Y181" s="6" t="inlineStr">
        <is>
          <t>Opcional agora; necessária se ativar expansão, granelização ou custos candidatos explícitos.</t>
        </is>
      </c>
    </row>
    <row r="182">
      <c r="A182" s="6" t="inlineStr">
        <is>
          <t>48.7963.0012-1</t>
        </is>
      </c>
      <c r="B182" s="6" t="inlineStr">
        <is>
          <t>Candidato</t>
        </is>
      </c>
      <c r="C182" s="6" t="inlineStr">
        <is>
          <t>Caiapônia-Go</t>
        </is>
      </c>
      <c r="D182" s="6" t="inlineStr">
        <is>
          <t>GO</t>
        </is>
      </c>
      <c r="E182" s="6" t="n">
        <v>-16.93441</v>
      </c>
      <c r="F182" s="6" t="n">
        <v>-51.79655</v>
      </c>
      <c r="G182" s="6" t="inlineStr">
        <is>
          <t>CEREAL COMÉRCIO EXPORTAÇÃO E REPRESENTAÇÃO AGROPECUÁRIA S/A</t>
        </is>
      </c>
      <c r="H182" s="6" t="inlineStr">
        <is>
          <t>Silo</t>
        </is>
      </c>
      <c r="I182" s="11" t="n">
        <v>0</v>
      </c>
      <c r="J182" s="11" t="n">
        <v>0</v>
      </c>
      <c r="K182" s="11" t="n">
        <v>0</v>
      </c>
      <c r="L182" s="11" t="n">
        <v>50390</v>
      </c>
      <c r="M182" s="11">
        <f>L182*AVERAGE(Custo_Invest!$B$2:$C$2)</f>
        <v/>
      </c>
      <c r="N182" s="11" t="n">
        <v>0</v>
      </c>
      <c r="O182" s="11">
        <f>IF($B182="Candidato",IF($L182&gt;0,$M182/$L182,0),0)</f>
        <v/>
      </c>
      <c r="P182" s="11" t="inlineStr">
        <is>
          <t>NAO</t>
        </is>
      </c>
      <c r="Q182" s="11">
        <f>IF($P182="SIM",$I182*Parametros_Modelo!$B$9,0)</f>
        <v/>
      </c>
      <c r="R182" s="11">
        <f>IF($P182="SIM",Parametros_Modelo!$B$10,0)</f>
        <v/>
      </c>
      <c r="S182" s="11" t="inlineStr">
        <is>
          <t>NAO</t>
        </is>
      </c>
      <c r="T182" s="11">
        <f>IF($S182="SIM",Parametros_Modelo!$B$11,0)</f>
        <v/>
      </c>
      <c r="U182" s="11">
        <f>Parametros_Modelo!$B$5</f>
        <v/>
      </c>
      <c r="V182" s="11">
        <f>Parametros_Modelo!$B$6</f>
        <v/>
      </c>
      <c r="W182" s="6" t="inlineStr">
        <is>
          <t>Derivado: custo candidato = Custo de Abertura / Cap. Estática Máxima; penalidades sintéticas</t>
        </is>
      </c>
      <c r="X182" s="6" t="inlineStr">
        <is>
          <t>Colunas adicionadas para separar parâmetros do modelo matemático dos dados originais do CDA.</t>
        </is>
      </c>
      <c r="Y182" s="6" t="inlineStr">
        <is>
          <t>Opcional agora; necessária se ativar expansão, granelização ou custos candidatos explícitos.</t>
        </is>
      </c>
    </row>
    <row r="183">
      <c r="A183" s="6" t="inlineStr">
        <is>
          <t>47.9481.0001-6</t>
        </is>
      </c>
      <c r="B183" s="6" t="inlineStr">
        <is>
          <t>Candidato</t>
        </is>
      </c>
      <c r="C183" s="6" t="inlineStr">
        <is>
          <t>Vitória-Es</t>
        </is>
      </c>
      <c r="D183" s="6" t="inlineStr">
        <is>
          <t>ES</t>
        </is>
      </c>
      <c r="E183" s="6" t="n">
        <v>-20.28691</v>
      </c>
      <c r="F183" s="6" t="n">
        <v>-40.24001</v>
      </c>
      <c r="G183" s="6" t="inlineStr">
        <is>
          <t>ADM DO BRASIL LTDA</t>
        </is>
      </c>
      <c r="H183" s="6" t="inlineStr">
        <is>
          <t>Silo</t>
        </is>
      </c>
      <c r="I183" s="11" t="n">
        <v>0</v>
      </c>
      <c r="J183" s="11" t="n">
        <v>0</v>
      </c>
      <c r="K183" s="11" t="n">
        <v>0</v>
      </c>
      <c r="L183" s="11" t="n">
        <v>43280</v>
      </c>
      <c r="M183" s="11">
        <f>L183*AVERAGE(Custo_Invest!$B$2:$C$2)</f>
        <v/>
      </c>
      <c r="N183" s="11" t="n">
        <v>0</v>
      </c>
      <c r="O183" s="11">
        <f>IF($B183="Candidato",IF($L183&gt;0,$M183/$L183,0),0)</f>
        <v/>
      </c>
      <c r="P183" s="11" t="inlineStr">
        <is>
          <t>NAO</t>
        </is>
      </c>
      <c r="Q183" s="11">
        <f>IF($P183="SIM",$I183*Parametros_Modelo!$B$9,0)</f>
        <v/>
      </c>
      <c r="R183" s="11">
        <f>IF($P183="SIM",Parametros_Modelo!$B$10,0)</f>
        <v/>
      </c>
      <c r="S183" s="11" t="inlineStr">
        <is>
          <t>NAO</t>
        </is>
      </c>
      <c r="T183" s="11">
        <f>IF($S183="SIM",Parametros_Modelo!$B$11,0)</f>
        <v/>
      </c>
      <c r="U183" s="11">
        <f>Parametros_Modelo!$B$5</f>
        <v/>
      </c>
      <c r="V183" s="11">
        <f>Parametros_Modelo!$B$6</f>
        <v/>
      </c>
      <c r="W183" s="6" t="inlineStr">
        <is>
          <t>Derivado: custo candidato = Custo de Abertura / Cap. Estática Máxima; penalidades sintéticas</t>
        </is>
      </c>
      <c r="X183" s="6" t="inlineStr">
        <is>
          <t>Colunas adicionadas para separar parâmetros do modelo matemático dos dados originais do CDA.</t>
        </is>
      </c>
      <c r="Y183" s="6" t="inlineStr">
        <is>
          <t>Opcional agora; necessária se ativar expansão, granelização ou custos candidatos explícitos.</t>
        </is>
      </c>
    </row>
    <row r="184">
      <c r="A184" s="6" t="inlineStr">
        <is>
          <t>66.4902.0002-0</t>
        </is>
      </c>
      <c r="B184" s="6" t="inlineStr">
        <is>
          <t>Candidato</t>
        </is>
      </c>
      <c r="C184" s="6" t="inlineStr">
        <is>
          <t>Clevelândia-Pr</t>
        </is>
      </c>
      <c r="D184" s="6" t="inlineStr">
        <is>
          <t>PR</t>
        </is>
      </c>
      <c r="E184" s="6" t="n">
        <v>-26.41402</v>
      </c>
      <c r="F184" s="6" t="n">
        <v>-52.36924</v>
      </c>
      <c r="G184" s="6" t="inlineStr">
        <is>
          <t>SIVIERO CEREAIS, INSUMOS AGRICOLAS E TRANSPORTES LTDA</t>
        </is>
      </c>
      <c r="H184" s="6" t="inlineStr">
        <is>
          <t>Silo</t>
        </is>
      </c>
      <c r="I184" s="11" t="n">
        <v>0</v>
      </c>
      <c r="J184" s="11" t="n">
        <v>0</v>
      </c>
      <c r="K184" s="11" t="n">
        <v>0</v>
      </c>
      <c r="L184" s="11" t="n">
        <v>41680</v>
      </c>
      <c r="M184" s="11">
        <f>L184*AVERAGE(Custo_Invest!$B$2:$C$2)</f>
        <v/>
      </c>
      <c r="N184" s="11" t="n">
        <v>0</v>
      </c>
      <c r="O184" s="11">
        <f>IF($B184="Candidato",IF($L184&gt;0,$M184/$L184,0),0)</f>
        <v/>
      </c>
      <c r="P184" s="11" t="inlineStr">
        <is>
          <t>NAO</t>
        </is>
      </c>
      <c r="Q184" s="11">
        <f>IF($P184="SIM",$I184*Parametros_Modelo!$B$9,0)</f>
        <v/>
      </c>
      <c r="R184" s="11">
        <f>IF($P184="SIM",Parametros_Modelo!$B$10,0)</f>
        <v/>
      </c>
      <c r="S184" s="11" t="inlineStr">
        <is>
          <t>NAO</t>
        </is>
      </c>
      <c r="T184" s="11">
        <f>IF($S184="SIM",Parametros_Modelo!$B$11,0)</f>
        <v/>
      </c>
      <c r="U184" s="11">
        <f>Parametros_Modelo!$B$5</f>
        <v/>
      </c>
      <c r="V184" s="11">
        <f>Parametros_Modelo!$B$6</f>
        <v/>
      </c>
      <c r="W184" s="6" t="inlineStr">
        <is>
          <t>Derivado: custo candidato = Custo de Abertura / Cap. Estática Máxima; penalidades sintéticas</t>
        </is>
      </c>
      <c r="X184" s="6" t="inlineStr">
        <is>
          <t>Colunas adicionadas para separar parâmetros do modelo matemático dos dados originais do CDA.</t>
        </is>
      </c>
      <c r="Y184" s="6" t="inlineStr">
        <is>
          <t>Opcional agora; necessária se ativar expansão, granelização ou custos candidatos explícitos.</t>
        </is>
      </c>
    </row>
    <row r="185">
      <c r="A185" s="6" t="inlineStr">
        <is>
          <t>49.7195.0008-0</t>
        </is>
      </c>
      <c r="B185" s="6" t="inlineStr">
        <is>
          <t>Candidato</t>
        </is>
      </c>
      <c r="C185" s="6" t="inlineStr">
        <is>
          <t>São luís-Ma</t>
        </is>
      </c>
      <c r="D185" s="6" t="inlineStr">
        <is>
          <t>MA</t>
        </is>
      </c>
      <c r="E185" s="6" t="n">
        <v>-2.567105</v>
      </c>
      <c r="F185" s="6" t="n">
        <v>-44.37601</v>
      </c>
      <c r="G185" s="6" t="inlineStr">
        <is>
          <t>VALE S.A.</t>
        </is>
      </c>
      <c r="H185" s="6" t="inlineStr">
        <is>
          <t>Silo</t>
        </is>
      </c>
      <c r="I185" s="11" t="n">
        <v>0</v>
      </c>
      <c r="J185" s="11" t="n">
        <v>0</v>
      </c>
      <c r="K185" s="11" t="n">
        <v>0</v>
      </c>
      <c r="L185" s="11" t="n">
        <v>40473</v>
      </c>
      <c r="M185" s="11">
        <f>L185*AVERAGE(Custo_Invest!$B$2:$C$2)</f>
        <v/>
      </c>
      <c r="N185" s="11" t="n">
        <v>0</v>
      </c>
      <c r="O185" s="11">
        <f>IF($B185="Candidato",IF($L185&gt;0,$M185/$L185,0),0)</f>
        <v/>
      </c>
      <c r="P185" s="11" t="inlineStr">
        <is>
          <t>NAO</t>
        </is>
      </c>
      <c r="Q185" s="11">
        <f>IF($P185="SIM",$I185*Parametros_Modelo!$B$9,0)</f>
        <v/>
      </c>
      <c r="R185" s="11">
        <f>IF($P185="SIM",Parametros_Modelo!$B$10,0)</f>
        <v/>
      </c>
      <c r="S185" s="11" t="inlineStr">
        <is>
          <t>NAO</t>
        </is>
      </c>
      <c r="T185" s="11">
        <f>IF($S185="SIM",Parametros_Modelo!$B$11,0)</f>
        <v/>
      </c>
      <c r="U185" s="11">
        <f>Parametros_Modelo!$B$5</f>
        <v/>
      </c>
      <c r="V185" s="11">
        <f>Parametros_Modelo!$B$6</f>
        <v/>
      </c>
      <c r="W185" s="6" t="inlineStr">
        <is>
          <t>Derivado: custo candidato = Custo de Abertura / Cap. Estática Máxima; penalidades sintéticas</t>
        </is>
      </c>
      <c r="X185" s="6" t="inlineStr">
        <is>
          <t>Colunas adicionadas para separar parâmetros do modelo matemático dos dados originais do CDA.</t>
        </is>
      </c>
      <c r="Y185" s="6" t="inlineStr">
        <is>
          <t>Opcional agora; necessária se ativar expansão, granelização ou custos candidatos explícitos.</t>
        </is>
      </c>
    </row>
    <row r="186">
      <c r="A186" s="6" t="inlineStr">
        <is>
          <t>65.D826.0001-7</t>
        </is>
      </c>
      <c r="B186" s="6" t="inlineStr">
        <is>
          <t>Candidato</t>
        </is>
      </c>
      <c r="C186" s="6" t="inlineStr">
        <is>
          <t>Baixa grande do ribeiro-Pi</t>
        </is>
      </c>
      <c r="D186" s="6" t="inlineStr">
        <is>
          <t>PI</t>
        </is>
      </c>
      <c r="E186" s="6" t="n">
        <v>-9.051299999999999</v>
      </c>
      <c r="F186" s="6" t="n">
        <v>-45.3394</v>
      </c>
      <c r="G186" s="6" t="inlineStr">
        <is>
          <t>GALILEIA AGROINDUSTRIA LTDA</t>
        </is>
      </c>
      <c r="H186" s="6" t="inlineStr">
        <is>
          <t>Silo</t>
        </is>
      </c>
      <c r="I186" s="11" t="n">
        <v>0</v>
      </c>
      <c r="J186" s="11" t="n">
        <v>0</v>
      </c>
      <c r="K186" s="11" t="n">
        <v>0</v>
      </c>
      <c r="L186" s="11" t="n">
        <v>38230</v>
      </c>
      <c r="M186" s="11">
        <f>L186*AVERAGE(Custo_Invest!$B$2:$C$2)</f>
        <v/>
      </c>
      <c r="N186" s="11" t="n">
        <v>0</v>
      </c>
      <c r="O186" s="11">
        <f>IF($B186="Candidato",IF($L186&gt;0,$M186/$L186,0),0)</f>
        <v/>
      </c>
      <c r="P186" s="11" t="inlineStr">
        <is>
          <t>NAO</t>
        </is>
      </c>
      <c r="Q186" s="11">
        <f>IF($P186="SIM",$I186*Parametros_Modelo!$B$9,0)</f>
        <v/>
      </c>
      <c r="R186" s="11">
        <f>IF($P186="SIM",Parametros_Modelo!$B$10,0)</f>
        <v/>
      </c>
      <c r="S186" s="11" t="inlineStr">
        <is>
          <t>NAO</t>
        </is>
      </c>
      <c r="T186" s="11">
        <f>IF($S186="SIM",Parametros_Modelo!$B$11,0)</f>
        <v/>
      </c>
      <c r="U186" s="11">
        <f>Parametros_Modelo!$B$5</f>
        <v/>
      </c>
      <c r="V186" s="11">
        <f>Parametros_Modelo!$B$6</f>
        <v/>
      </c>
      <c r="W186" s="6" t="inlineStr">
        <is>
          <t>Derivado: custo candidato = Custo de Abertura / Cap. Estática Máxima; penalidades sintéticas</t>
        </is>
      </c>
      <c r="X186" s="6" t="inlineStr">
        <is>
          <t>Colunas adicionadas para separar parâmetros do modelo matemático dos dados originais do CDA.</t>
        </is>
      </c>
      <c r="Y186" s="6" t="inlineStr">
        <is>
          <t>Opcional agora; necessária se ativar expansão, granelização ou custos candidatos explícitos.</t>
        </is>
      </c>
    </row>
    <row r="187">
      <c r="A187" s="6" t="inlineStr">
        <is>
          <t>55.F764.0005-9</t>
        </is>
      </c>
      <c r="B187" s="6" t="inlineStr">
        <is>
          <t>Candidato</t>
        </is>
      </c>
      <c r="C187" s="6" t="inlineStr">
        <is>
          <t>Dourados-Ms</t>
        </is>
      </c>
      <c r="D187" s="6" t="inlineStr">
        <is>
          <t>MS</t>
        </is>
      </c>
      <c r="E187" s="6" t="n">
        <v>-22.36885</v>
      </c>
      <c r="F187" s="6" t="n">
        <v>-54.80108</v>
      </c>
      <c r="G187" s="6" t="inlineStr">
        <is>
          <t>INPASA AGROINDUSTRIAL S/A</t>
        </is>
      </c>
      <c r="H187" s="6" t="inlineStr">
        <is>
          <t>Chapéu Chines</t>
        </is>
      </c>
      <c r="I187" s="11" t="n">
        <v>0</v>
      </c>
      <c r="J187" s="11" t="n">
        <v>0</v>
      </c>
      <c r="K187" s="11" t="n">
        <v>0</v>
      </c>
      <c r="L187" s="11" t="n">
        <v>161880</v>
      </c>
      <c r="M187" s="11">
        <f>L187*AVERAGE(Custo_Invest!$B$2:$C$2)</f>
        <v/>
      </c>
      <c r="N187" s="11" t="n">
        <v>0</v>
      </c>
      <c r="O187" s="11">
        <f>IF($B187="Candidato",IF($L187&gt;0,$M187/$L187,0),0)</f>
        <v/>
      </c>
      <c r="P187" s="11" t="inlineStr">
        <is>
          <t>NAO</t>
        </is>
      </c>
      <c r="Q187" s="11">
        <f>IF($P187="SIM",$I187*Parametros_Modelo!$B$9,0)</f>
        <v/>
      </c>
      <c r="R187" s="11">
        <f>IF($P187="SIM",Parametros_Modelo!$B$10,0)</f>
        <v/>
      </c>
      <c r="S187" s="11" t="inlineStr">
        <is>
          <t>NAO</t>
        </is>
      </c>
      <c r="T187" s="11">
        <f>IF($S187="SIM",Parametros_Modelo!$B$11,0)</f>
        <v/>
      </c>
      <c r="U187" s="11">
        <f>Parametros_Modelo!$B$5</f>
        <v/>
      </c>
      <c r="V187" s="11">
        <f>Parametros_Modelo!$B$6</f>
        <v/>
      </c>
      <c r="W187" s="6" t="inlineStr">
        <is>
          <t>Derivado: custo candidato = Custo de Abertura / Cap. Estática Máxima; penalidades sintéticas</t>
        </is>
      </c>
      <c r="X187" s="6" t="inlineStr">
        <is>
          <t>Colunas adicionadas para separar parâmetros do modelo matemático dos dados originais do CDA.</t>
        </is>
      </c>
      <c r="Y187" s="6" t="inlineStr">
        <is>
          <t>Opcional agora; necessária se ativar expansão, granelização ou custos candidatos explícitos.</t>
        </is>
      </c>
    </row>
    <row r="188">
      <c r="A188" s="6" t="inlineStr">
        <is>
          <t>56.8643.0032-3</t>
        </is>
      </c>
      <c r="B188" s="6" t="inlineStr">
        <is>
          <t>Candidato</t>
        </is>
      </c>
      <c r="C188" s="6" t="inlineStr">
        <is>
          <t>Sorriso-Mt</t>
        </is>
      </c>
      <c r="D188" s="6" t="inlineStr">
        <is>
          <t>MT</t>
        </is>
      </c>
      <c r="E188" s="6" t="n">
        <v>-12.5397395</v>
      </c>
      <c r="F188" s="6" t="n">
        <v>-55.7066591</v>
      </c>
      <c r="G188" s="6" t="inlineStr">
        <is>
          <t>SIPAL INDUSTRIA E COMERCIO LTDA</t>
        </is>
      </c>
      <c r="H188" s="6" t="inlineStr">
        <is>
          <t>Chapéu Chines</t>
        </is>
      </c>
      <c r="I188" s="11" t="n">
        <v>0</v>
      </c>
      <c r="J188" s="11" t="n">
        <v>0</v>
      </c>
      <c r="K188" s="11" t="n">
        <v>0</v>
      </c>
      <c r="L188" s="11" t="n">
        <v>105190</v>
      </c>
      <c r="M188" s="11">
        <f>L188*AVERAGE(Custo_Invest!$B$2:$C$2)</f>
        <v/>
      </c>
      <c r="N188" s="11" t="n">
        <v>0</v>
      </c>
      <c r="O188" s="11">
        <f>IF($B188="Candidato",IF($L188&gt;0,$M188/$L188,0),0)</f>
        <v/>
      </c>
      <c r="P188" s="11" t="inlineStr">
        <is>
          <t>NAO</t>
        </is>
      </c>
      <c r="Q188" s="11">
        <f>IF($P188="SIM",$I188*Parametros_Modelo!$B$9,0)</f>
        <v/>
      </c>
      <c r="R188" s="11">
        <f>IF($P188="SIM",Parametros_Modelo!$B$10,0)</f>
        <v/>
      </c>
      <c r="S188" s="11" t="inlineStr">
        <is>
          <t>NAO</t>
        </is>
      </c>
      <c r="T188" s="11">
        <f>IF($S188="SIM",Parametros_Modelo!$B$11,0)</f>
        <v/>
      </c>
      <c r="U188" s="11">
        <f>Parametros_Modelo!$B$5</f>
        <v/>
      </c>
      <c r="V188" s="11">
        <f>Parametros_Modelo!$B$6</f>
        <v/>
      </c>
      <c r="W188" s="6" t="inlineStr">
        <is>
          <t>Derivado: custo candidato = Custo de Abertura / Cap. Estática Máxima; penalidades sintéticas</t>
        </is>
      </c>
      <c r="X188" s="6" t="inlineStr">
        <is>
          <t>Colunas adicionadas para separar parâmetros do modelo matemático dos dados originais do CDA.</t>
        </is>
      </c>
      <c r="Y188" s="6" t="inlineStr">
        <is>
          <t>Opcional agora; necessária se ativar expansão, granelização ou custos candidatos explícitos.</t>
        </is>
      </c>
    </row>
    <row r="189">
      <c r="A189" s="6" t="inlineStr">
        <is>
          <t>66.3566.0009-5</t>
        </is>
      </c>
      <c r="B189" s="6" t="inlineStr">
        <is>
          <t>Candidato</t>
        </is>
      </c>
      <c r="C189" s="6" t="inlineStr">
        <is>
          <t>Ponta grossa-Pr</t>
        </is>
      </c>
      <c r="D189" s="6" t="inlineStr">
        <is>
          <t>PR</t>
        </is>
      </c>
      <c r="E189" s="6" t="n">
        <v>-25.22339</v>
      </c>
      <c r="F189" s="6" t="n">
        <v>-50.05945</v>
      </c>
      <c r="G189" s="6" t="inlineStr">
        <is>
          <t>LOUIS DREYFUS COMPANY BRASIL S.A.</t>
        </is>
      </c>
      <c r="H189" s="6" t="inlineStr">
        <is>
          <t>Chapéu Chines</t>
        </is>
      </c>
      <c r="I189" s="11" t="n">
        <v>0</v>
      </c>
      <c r="J189" s="11" t="n">
        <v>0</v>
      </c>
      <c r="K189" s="11" t="n">
        <v>0</v>
      </c>
      <c r="L189" s="11" t="n">
        <v>99180</v>
      </c>
      <c r="M189" s="11">
        <f>L189*AVERAGE(Custo_Invest!$B$2:$C$2)</f>
        <v/>
      </c>
      <c r="N189" s="11" t="n">
        <v>0</v>
      </c>
      <c r="O189" s="11">
        <f>IF($B189="Candidato",IF($L189&gt;0,$M189/$L189,0),0)</f>
        <v/>
      </c>
      <c r="P189" s="11" t="inlineStr">
        <is>
          <t>NAO</t>
        </is>
      </c>
      <c r="Q189" s="11">
        <f>IF($P189="SIM",$I189*Parametros_Modelo!$B$9,0)</f>
        <v/>
      </c>
      <c r="R189" s="11">
        <f>IF($P189="SIM",Parametros_Modelo!$B$10,0)</f>
        <v/>
      </c>
      <c r="S189" s="11" t="inlineStr">
        <is>
          <t>NAO</t>
        </is>
      </c>
      <c r="T189" s="11">
        <f>IF($S189="SIM",Parametros_Modelo!$B$11,0)</f>
        <v/>
      </c>
      <c r="U189" s="11">
        <f>Parametros_Modelo!$B$5</f>
        <v/>
      </c>
      <c r="V189" s="11">
        <f>Parametros_Modelo!$B$6</f>
        <v/>
      </c>
      <c r="W189" s="6" t="inlineStr">
        <is>
          <t>Derivado: custo candidato = Custo de Abertura / Cap. Estática Máxima; penalidades sintéticas</t>
        </is>
      </c>
      <c r="X189" s="6" t="inlineStr">
        <is>
          <t>Colunas adicionadas para separar parâmetros do modelo matemático dos dados originais do CDA.</t>
        </is>
      </c>
      <c r="Y189" s="6" t="inlineStr">
        <is>
          <t>Opcional agora; necessária se ativar expansão, granelização ou custos candidatos explícitos.</t>
        </is>
      </c>
    </row>
    <row r="190">
      <c r="A190" s="6" t="inlineStr">
        <is>
          <t>56.8643.0051-0</t>
        </is>
      </c>
      <c r="B190" s="6" t="inlineStr">
        <is>
          <t>Candidato</t>
        </is>
      </c>
      <c r="C190" s="6" t="inlineStr">
        <is>
          <t>Feliz natal-Mt</t>
        </is>
      </c>
      <c r="D190" s="6" t="inlineStr">
        <is>
          <t>MT</t>
        </is>
      </c>
      <c r="E190" s="6" t="n">
        <v>-12.36539</v>
      </c>
      <c r="F190" s="6" t="n">
        <v>-54.9547</v>
      </c>
      <c r="G190" s="6" t="inlineStr">
        <is>
          <t>SIPAL INDUSTRIA E COMERCIO LTDA</t>
        </is>
      </c>
      <c r="H190" s="6" t="inlineStr">
        <is>
          <t>Chapéu Chines</t>
        </is>
      </c>
      <c r="I190" s="11" t="n">
        <v>0</v>
      </c>
      <c r="J190" s="11" t="n">
        <v>0</v>
      </c>
      <c r="K190" s="11" t="n">
        <v>0</v>
      </c>
      <c r="L190" s="11" t="n">
        <v>69850</v>
      </c>
      <c r="M190" s="11">
        <f>L190*AVERAGE(Custo_Invest!$B$2:$C$2)</f>
        <v/>
      </c>
      <c r="N190" s="11" t="n">
        <v>0</v>
      </c>
      <c r="O190" s="11">
        <f>IF($B190="Candidato",IF($L190&gt;0,$M190/$L190,0),0)</f>
        <v/>
      </c>
      <c r="P190" s="11" t="inlineStr">
        <is>
          <t>NAO</t>
        </is>
      </c>
      <c r="Q190" s="11">
        <f>IF($P190="SIM",$I190*Parametros_Modelo!$B$9,0)</f>
        <v/>
      </c>
      <c r="R190" s="11">
        <f>IF($P190="SIM",Parametros_Modelo!$B$10,0)</f>
        <v/>
      </c>
      <c r="S190" s="11" t="inlineStr">
        <is>
          <t>NAO</t>
        </is>
      </c>
      <c r="T190" s="11">
        <f>IF($S190="SIM",Parametros_Modelo!$B$11,0)</f>
        <v/>
      </c>
      <c r="U190" s="11">
        <f>Parametros_Modelo!$B$5</f>
        <v/>
      </c>
      <c r="V190" s="11">
        <f>Parametros_Modelo!$B$6</f>
        <v/>
      </c>
      <c r="W190" s="6" t="inlineStr">
        <is>
          <t>Derivado: custo candidato = Custo de Abertura / Cap. Estática Máxima; penalidades sintéticas</t>
        </is>
      </c>
      <c r="X190" s="6" t="inlineStr">
        <is>
          <t>Colunas adicionadas para separar parâmetros do modelo matemático dos dados originais do CDA.</t>
        </is>
      </c>
      <c r="Y190" s="6" t="inlineStr">
        <is>
          <t>Opcional agora; necessária se ativar expansão, granelização ou custos candidatos explícitos.</t>
        </is>
      </c>
    </row>
    <row r="191">
      <c r="A191" s="6" t="inlineStr">
        <is>
          <t>56.9180.0007-1</t>
        </is>
      </c>
      <c r="B191" s="6" t="inlineStr">
        <is>
          <t>Candidato</t>
        </is>
      </c>
      <c r="C191" s="6" t="inlineStr">
        <is>
          <t>Itanhangá-Mt</t>
        </is>
      </c>
      <c r="D191" s="6" t="inlineStr">
        <is>
          <t>MT</t>
        </is>
      </c>
      <c r="E191" s="6" t="n">
        <v>-12.28121</v>
      </c>
      <c r="F191" s="6" t="n">
        <v>-56.66032</v>
      </c>
      <c r="G191" s="6" t="inlineStr">
        <is>
          <t>BINOTTI ARMAZENS GERAIS LTDA</t>
        </is>
      </c>
      <c r="H191" s="6" t="inlineStr">
        <is>
          <t>Chapéu Chines</t>
        </is>
      </c>
      <c r="I191" s="11" t="n">
        <v>0</v>
      </c>
      <c r="J191" s="11" t="n">
        <v>0</v>
      </c>
      <c r="K191" s="11" t="n">
        <v>0</v>
      </c>
      <c r="L191" s="11" t="n">
        <v>69410</v>
      </c>
      <c r="M191" s="11">
        <f>L191*AVERAGE(Custo_Invest!$B$2:$C$2)</f>
        <v/>
      </c>
      <c r="N191" s="11" t="n">
        <v>0</v>
      </c>
      <c r="O191" s="11">
        <f>IF($B191="Candidato",IF($L191&gt;0,$M191/$L191,0),0)</f>
        <v/>
      </c>
      <c r="P191" s="11" t="inlineStr">
        <is>
          <t>NAO</t>
        </is>
      </c>
      <c r="Q191" s="11">
        <f>IF($P191="SIM",$I191*Parametros_Modelo!$B$9,0)</f>
        <v/>
      </c>
      <c r="R191" s="11">
        <f>IF($P191="SIM",Parametros_Modelo!$B$10,0)</f>
        <v/>
      </c>
      <c r="S191" s="11" t="inlineStr">
        <is>
          <t>NAO</t>
        </is>
      </c>
      <c r="T191" s="11">
        <f>IF($S191="SIM",Parametros_Modelo!$B$11,0)</f>
        <v/>
      </c>
      <c r="U191" s="11">
        <f>Parametros_Modelo!$B$5</f>
        <v/>
      </c>
      <c r="V191" s="11">
        <f>Parametros_Modelo!$B$6</f>
        <v/>
      </c>
      <c r="W191" s="6" t="inlineStr">
        <is>
          <t>Derivado: custo candidato = Custo de Abertura / Cap. Estática Máxima; penalidades sintéticas</t>
        </is>
      </c>
      <c r="X191" s="6" t="inlineStr">
        <is>
          <t>Colunas adicionadas para separar parâmetros do modelo matemático dos dados originais do CDA.</t>
        </is>
      </c>
      <c r="Y191" s="6" t="inlineStr">
        <is>
          <t>Opcional agora; necessária se ativar expansão, granelização ou custos candidatos explícitos.</t>
        </is>
      </c>
    </row>
    <row r="192">
      <c r="A192" s="6" t="inlineStr">
        <is>
          <t>56.8643.0044-7</t>
        </is>
      </c>
      <c r="B192" s="6" t="inlineStr">
        <is>
          <t>Candidato</t>
        </is>
      </c>
      <c r="C192" s="6" t="inlineStr">
        <is>
          <t>Brasnorte-Mt</t>
        </is>
      </c>
      <c r="D192" s="6" t="inlineStr">
        <is>
          <t>MT</t>
        </is>
      </c>
      <c r="E192" s="6" t="n">
        <v>-12.8681</v>
      </c>
      <c r="F192" s="6" t="n">
        <v>-58.0712</v>
      </c>
      <c r="G192" s="6" t="inlineStr">
        <is>
          <t>SIPAL INDUSTRIA E COMERCIO LTDA</t>
        </is>
      </c>
      <c r="H192" s="6" t="inlineStr">
        <is>
          <t>Chapéu Chines</t>
        </is>
      </c>
      <c r="I192" s="11" t="n">
        <v>0</v>
      </c>
      <c r="J192" s="11" t="n">
        <v>0</v>
      </c>
      <c r="K192" s="11" t="n">
        <v>0</v>
      </c>
      <c r="L192" s="11" t="n">
        <v>67920</v>
      </c>
      <c r="M192" s="11">
        <f>L192*AVERAGE(Custo_Invest!$B$2:$C$2)</f>
        <v/>
      </c>
      <c r="N192" s="11" t="n">
        <v>0</v>
      </c>
      <c r="O192" s="11">
        <f>IF($B192="Candidato",IF($L192&gt;0,$M192/$L192,0),0)</f>
        <v/>
      </c>
      <c r="P192" s="11" t="inlineStr">
        <is>
          <t>NAO</t>
        </is>
      </c>
      <c r="Q192" s="11">
        <f>IF($P192="SIM",$I192*Parametros_Modelo!$B$9,0)</f>
        <v/>
      </c>
      <c r="R192" s="11">
        <f>IF($P192="SIM",Parametros_Modelo!$B$10,0)</f>
        <v/>
      </c>
      <c r="S192" s="11" t="inlineStr">
        <is>
          <t>NAO</t>
        </is>
      </c>
      <c r="T192" s="11">
        <f>IF($S192="SIM",Parametros_Modelo!$B$11,0)</f>
        <v/>
      </c>
      <c r="U192" s="11">
        <f>Parametros_Modelo!$B$5</f>
        <v/>
      </c>
      <c r="V192" s="11">
        <f>Parametros_Modelo!$B$6</f>
        <v/>
      </c>
      <c r="W192" s="6" t="inlineStr">
        <is>
          <t>Derivado: custo candidato = Custo de Abertura / Cap. Estática Máxima; penalidades sintéticas</t>
        </is>
      </c>
      <c r="X192" s="6" t="inlineStr">
        <is>
          <t>Colunas adicionadas para separar parâmetros do modelo matemático dos dados originais do CDA.</t>
        </is>
      </c>
      <c r="Y192" s="6" t="inlineStr">
        <is>
          <t>Opcional agora; necessária se ativar expansão, granelização ou custos candidatos explícitos.</t>
        </is>
      </c>
    </row>
    <row r="193">
      <c r="A193" s="6" t="inlineStr">
        <is>
          <t>56.8643.0053-6</t>
        </is>
      </c>
      <c r="B193" s="6" t="inlineStr">
        <is>
          <t>Candidato</t>
        </is>
      </c>
      <c r="C193" s="6" t="inlineStr">
        <is>
          <t>Sinop-Mt</t>
        </is>
      </c>
      <c r="D193" s="6" t="inlineStr">
        <is>
          <t>MT</t>
        </is>
      </c>
      <c r="E193" s="6" t="n">
        <v>-11.94647</v>
      </c>
      <c r="F193" s="6" t="n">
        <v>-55.51885</v>
      </c>
      <c r="G193" s="6" t="inlineStr">
        <is>
          <t>SIPAL INDUSTRIA E COMERCIO LTDA</t>
        </is>
      </c>
      <c r="H193" s="6" t="inlineStr">
        <is>
          <t>Chapéu Chines</t>
        </is>
      </c>
      <c r="I193" s="11" t="n">
        <v>0</v>
      </c>
      <c r="J193" s="11" t="n">
        <v>0</v>
      </c>
      <c r="K193" s="11" t="n">
        <v>0</v>
      </c>
      <c r="L193" s="11" t="n">
        <v>67880</v>
      </c>
      <c r="M193" s="11">
        <f>L193*AVERAGE(Custo_Invest!$B$2:$C$2)</f>
        <v/>
      </c>
      <c r="N193" s="11" t="n">
        <v>0</v>
      </c>
      <c r="O193" s="11">
        <f>IF($B193="Candidato",IF($L193&gt;0,$M193/$L193,0),0)</f>
        <v/>
      </c>
      <c r="P193" s="11" t="inlineStr">
        <is>
          <t>NAO</t>
        </is>
      </c>
      <c r="Q193" s="11">
        <f>IF($P193="SIM",$I193*Parametros_Modelo!$B$9,0)</f>
        <v/>
      </c>
      <c r="R193" s="11">
        <f>IF($P193="SIM",Parametros_Modelo!$B$10,0)</f>
        <v/>
      </c>
      <c r="S193" s="11" t="inlineStr">
        <is>
          <t>NAO</t>
        </is>
      </c>
      <c r="T193" s="11">
        <f>IF($S193="SIM",Parametros_Modelo!$B$11,0)</f>
        <v/>
      </c>
      <c r="U193" s="11">
        <f>Parametros_Modelo!$B$5</f>
        <v/>
      </c>
      <c r="V193" s="11">
        <f>Parametros_Modelo!$B$6</f>
        <v/>
      </c>
      <c r="W193" s="6" t="inlineStr">
        <is>
          <t>Derivado: custo candidato = Custo de Abertura / Cap. Estática Máxima; penalidades sintéticas</t>
        </is>
      </c>
      <c r="X193" s="6" t="inlineStr">
        <is>
          <t>Colunas adicionadas para separar parâmetros do modelo matemático dos dados originais do CDA.</t>
        </is>
      </c>
      <c r="Y193" s="6" t="inlineStr">
        <is>
          <t>Opcional agora; necessária se ativar expansão, granelização ou custos candidatos explícitos.</t>
        </is>
      </c>
    </row>
    <row r="194">
      <c r="A194" s="6" t="inlineStr">
        <is>
          <t>56.5104.0097-9</t>
        </is>
      </c>
      <c r="B194" s="6" t="inlineStr">
        <is>
          <t>Candidato</t>
        </is>
      </c>
      <c r="C194" s="6" t="inlineStr">
        <is>
          <t>Alta floresta-Mt</t>
        </is>
      </c>
      <c r="D194" s="6" t="inlineStr">
        <is>
          <t>MT</t>
        </is>
      </c>
      <c r="E194" s="6" t="n">
        <v>-9.82217</v>
      </c>
      <c r="F194" s="6" t="n">
        <v>-55.9844</v>
      </c>
      <c r="G194" s="6" t="inlineStr">
        <is>
          <t>BUNGE ALIMENTOS S/A</t>
        </is>
      </c>
      <c r="H194" s="6" t="inlineStr">
        <is>
          <t>Chapéu Chines</t>
        </is>
      </c>
      <c r="I194" s="11" t="n">
        <v>0</v>
      </c>
      <c r="J194" s="11" t="n">
        <v>0</v>
      </c>
      <c r="K194" s="11" t="n">
        <v>0</v>
      </c>
      <c r="L194" s="11" t="n">
        <v>67550</v>
      </c>
      <c r="M194" s="11">
        <f>L194*AVERAGE(Custo_Invest!$B$2:$C$2)</f>
        <v/>
      </c>
      <c r="N194" s="11" t="n">
        <v>0</v>
      </c>
      <c r="O194" s="11">
        <f>IF($B194="Candidato",IF($L194&gt;0,$M194/$L194,0),0)</f>
        <v/>
      </c>
      <c r="P194" s="11" t="inlineStr">
        <is>
          <t>NAO</t>
        </is>
      </c>
      <c r="Q194" s="11">
        <f>IF($P194="SIM",$I194*Parametros_Modelo!$B$9,0)</f>
        <v/>
      </c>
      <c r="R194" s="11">
        <f>IF($P194="SIM",Parametros_Modelo!$B$10,0)</f>
        <v/>
      </c>
      <c r="S194" s="11" t="inlineStr">
        <is>
          <t>NAO</t>
        </is>
      </c>
      <c r="T194" s="11">
        <f>IF($S194="SIM",Parametros_Modelo!$B$11,0)</f>
        <v/>
      </c>
      <c r="U194" s="11">
        <f>Parametros_Modelo!$B$5</f>
        <v/>
      </c>
      <c r="V194" s="11">
        <f>Parametros_Modelo!$B$6</f>
        <v/>
      </c>
      <c r="W194" s="6" t="inlineStr">
        <is>
          <t>Derivado: custo candidato = Custo de Abertura / Cap. Estática Máxima; penalidades sintéticas</t>
        </is>
      </c>
      <c r="X194" s="6" t="inlineStr">
        <is>
          <t>Colunas adicionadas para separar parâmetros do modelo matemático dos dados originais do CDA.</t>
        </is>
      </c>
      <c r="Y194" s="6" t="inlineStr">
        <is>
          <t>Opcional agora; necessária se ativar expansão, granelização ou custos candidatos explícitos.</t>
        </is>
      </c>
    </row>
    <row r="195">
      <c r="A195" s="6" t="inlineStr">
        <is>
          <t>56.A873.0015-7</t>
        </is>
      </c>
      <c r="B195" s="6" t="inlineStr">
        <is>
          <t>Candidato</t>
        </is>
      </c>
      <c r="C195" s="6" t="inlineStr">
        <is>
          <t>Nova ubiratã-Mt</t>
        </is>
      </c>
      <c r="D195" s="6" t="inlineStr">
        <is>
          <t>MT</t>
        </is>
      </c>
      <c r="E195" s="6" t="n">
        <v>-13.03815</v>
      </c>
      <c r="F195" s="6" t="n">
        <v>-55.2942</v>
      </c>
      <c r="G195" s="6" t="inlineStr">
        <is>
          <t>COFCO INTERNATIONAL BRASIL S.A</t>
        </is>
      </c>
      <c r="H195" s="6" t="inlineStr">
        <is>
          <t>Chapéu Chines</t>
        </is>
      </c>
      <c r="I195" s="11" t="n">
        <v>0</v>
      </c>
      <c r="J195" s="11" t="n">
        <v>0</v>
      </c>
      <c r="K195" s="11" t="n">
        <v>0</v>
      </c>
      <c r="L195" s="11" t="n">
        <v>66800</v>
      </c>
      <c r="M195" s="11">
        <f>L195*AVERAGE(Custo_Invest!$B$2:$C$2)</f>
        <v/>
      </c>
      <c r="N195" s="11" t="n">
        <v>0</v>
      </c>
      <c r="O195" s="11">
        <f>IF($B195="Candidato",IF($L195&gt;0,$M195/$L195,0),0)</f>
        <v/>
      </c>
      <c r="P195" s="11" t="inlineStr">
        <is>
          <t>NAO</t>
        </is>
      </c>
      <c r="Q195" s="11">
        <f>IF($P195="SIM",$I195*Parametros_Modelo!$B$9,0)</f>
        <v/>
      </c>
      <c r="R195" s="11">
        <f>IF($P195="SIM",Parametros_Modelo!$B$10,0)</f>
        <v/>
      </c>
      <c r="S195" s="11" t="inlineStr">
        <is>
          <t>NAO</t>
        </is>
      </c>
      <c r="T195" s="11">
        <f>IF($S195="SIM",Parametros_Modelo!$B$11,0)</f>
        <v/>
      </c>
      <c r="U195" s="11">
        <f>Parametros_Modelo!$B$5</f>
        <v/>
      </c>
      <c r="V195" s="11">
        <f>Parametros_Modelo!$B$6</f>
        <v/>
      </c>
      <c r="W195" s="6" t="inlineStr">
        <is>
          <t>Derivado: custo candidato = Custo de Abertura / Cap. Estática Máxima; penalidades sintéticas</t>
        </is>
      </c>
      <c r="X195" s="6" t="inlineStr">
        <is>
          <t>Colunas adicionadas para separar parâmetros do modelo matemático dos dados originais do CDA.</t>
        </is>
      </c>
      <c r="Y195" s="6" t="inlineStr">
        <is>
          <t>Opcional agora; necessária se ativar expansão, granelização ou custos candidatos explícitos.</t>
        </is>
      </c>
    </row>
    <row r="196">
      <c r="A196" s="6" t="inlineStr">
        <is>
          <t>65.7651.0004-0</t>
        </is>
      </c>
      <c r="B196" s="6" t="inlineStr">
        <is>
          <t>Candidato</t>
        </is>
      </c>
      <c r="C196" s="6" t="inlineStr">
        <is>
          <t>Baixa grande do ribeiro-Pi</t>
        </is>
      </c>
      <c r="D196" s="6" t="inlineStr">
        <is>
          <t>PI</t>
        </is>
      </c>
      <c r="E196" s="6" t="n">
        <v>-7.98406</v>
      </c>
      <c r="F196" s="6" t="n">
        <v>-45.23855</v>
      </c>
      <c r="G196" s="6" t="inlineStr">
        <is>
          <t>GEES S/A</t>
        </is>
      </c>
      <c r="H196" s="6" t="inlineStr">
        <is>
          <t>Chapéu Chines</t>
        </is>
      </c>
      <c r="I196" s="11" t="n">
        <v>0</v>
      </c>
      <c r="J196" s="11" t="n">
        <v>0</v>
      </c>
      <c r="K196" s="11" t="n">
        <v>0</v>
      </c>
      <c r="L196" s="11" t="n">
        <v>63420</v>
      </c>
      <c r="M196" s="11">
        <f>L196*AVERAGE(Custo_Invest!$B$2:$C$2)</f>
        <v/>
      </c>
      <c r="N196" s="11" t="n">
        <v>0</v>
      </c>
      <c r="O196" s="11">
        <f>IF($B196="Candidato",IF($L196&gt;0,$M196/$L196,0),0)</f>
        <v/>
      </c>
      <c r="P196" s="11" t="inlineStr">
        <is>
          <t>NAO</t>
        </is>
      </c>
      <c r="Q196" s="11">
        <f>IF($P196="SIM",$I196*Parametros_Modelo!$B$9,0)</f>
        <v/>
      </c>
      <c r="R196" s="11">
        <f>IF($P196="SIM",Parametros_Modelo!$B$10,0)</f>
        <v/>
      </c>
      <c r="S196" s="11" t="inlineStr">
        <is>
          <t>NAO</t>
        </is>
      </c>
      <c r="T196" s="11">
        <f>IF($S196="SIM",Parametros_Modelo!$B$11,0)</f>
        <v/>
      </c>
      <c r="U196" s="11">
        <f>Parametros_Modelo!$B$5</f>
        <v/>
      </c>
      <c r="V196" s="11">
        <f>Parametros_Modelo!$B$6</f>
        <v/>
      </c>
      <c r="W196" s="6" t="inlineStr">
        <is>
          <t>Derivado: custo candidato = Custo de Abertura / Cap. Estática Máxima; penalidades sintéticas</t>
        </is>
      </c>
      <c r="X196" s="6" t="inlineStr">
        <is>
          <t>Colunas adicionadas para separar parâmetros do modelo matemático dos dados originais do CDA.</t>
        </is>
      </c>
      <c r="Y196" s="6" t="inlineStr">
        <is>
          <t>Opcional agora; necessária se ativar expansão, granelização ou custos candidatos explícitos.</t>
        </is>
      </c>
    </row>
    <row r="197">
      <c r="A197" s="6" t="inlineStr">
        <is>
          <t>79.G438.0001-4</t>
        </is>
      </c>
      <c r="B197" s="6" t="inlineStr">
        <is>
          <t>Candidato</t>
        </is>
      </c>
      <c r="C197" s="6" t="inlineStr">
        <is>
          <t>Guarulhos-Sp</t>
        </is>
      </c>
      <c r="D197" s="6" t="inlineStr">
        <is>
          <t>SP</t>
        </is>
      </c>
      <c r="E197" s="6" t="n">
        <v>-23.43669</v>
      </c>
      <c r="F197" s="6" t="n">
        <v>-46.44194</v>
      </c>
      <c r="G197" s="6" t="inlineStr">
        <is>
          <t>ARMAZÉNS GERAI TRIÃNGULOMLTDA</t>
        </is>
      </c>
      <c r="H197" s="6" t="inlineStr">
        <is>
          <t>Estrutural</t>
        </is>
      </c>
      <c r="I197" s="11" t="n">
        <v>0</v>
      </c>
      <c r="J197" s="11" t="n">
        <v>0</v>
      </c>
      <c r="K197" s="11" t="n">
        <v>0</v>
      </c>
      <c r="L197" s="11" t="n">
        <v>90000</v>
      </c>
      <c r="M197" s="11">
        <f>L197*AVERAGE(Custo_Invest!$B$2:$C$2)</f>
        <v/>
      </c>
      <c r="N197" s="11" t="n">
        <v>0</v>
      </c>
      <c r="O197" s="11">
        <f>IF($B197="Candidato",IF($L197&gt;0,$M197/$L197,0),0)</f>
        <v/>
      </c>
      <c r="P197" s="11" t="inlineStr">
        <is>
          <t>NAO</t>
        </is>
      </c>
      <c r="Q197" s="11">
        <f>IF($P197="SIM",$I197*Parametros_Modelo!$B$9,0)</f>
        <v/>
      </c>
      <c r="R197" s="11">
        <f>IF($P197="SIM",Parametros_Modelo!$B$10,0)</f>
        <v/>
      </c>
      <c r="S197" s="11" t="inlineStr">
        <is>
          <t>SIM</t>
        </is>
      </c>
      <c r="T197" s="11">
        <f>IF($S197="SIM",Parametros_Modelo!$B$11,0)</f>
        <v/>
      </c>
      <c r="U197" s="11">
        <f>Parametros_Modelo!$B$5</f>
        <v/>
      </c>
      <c r="V197" s="11">
        <f>Parametros_Modelo!$B$6</f>
        <v/>
      </c>
      <c r="W197" s="6" t="inlineStr">
        <is>
          <t>Derivado: custo candidato = Custo de Abertura / Cap. Estática Máxima; penalidades sintéticas</t>
        </is>
      </c>
      <c r="X197" s="6" t="inlineStr">
        <is>
          <t>Colunas adicionadas para separar parâmetros do modelo matemático dos dados originais do CDA.</t>
        </is>
      </c>
      <c r="Y197" s="6" t="inlineStr">
        <is>
          <t>Opcional agora; necessária se ativar expansão, granelização ou custos candidatos explícitos.</t>
        </is>
      </c>
    </row>
    <row r="198">
      <c r="A198" s="6" t="inlineStr">
        <is>
          <t>39.G811.0001-7</t>
        </is>
      </c>
      <c r="B198" s="6" t="inlineStr">
        <is>
          <t>Candidato</t>
        </is>
      </c>
      <c r="C198" s="6" t="inlineStr">
        <is>
          <t>Luís eduardo magalhães-Ba</t>
        </is>
      </c>
      <c r="D198" s="6" t="inlineStr">
        <is>
          <t>BA</t>
        </is>
      </c>
      <c r="E198" s="6" t="n">
        <v>-12.0945</v>
      </c>
      <c r="F198" s="6" t="n">
        <v>-45.8792</v>
      </c>
      <c r="G198" s="6" t="inlineStr">
        <is>
          <t>FERTINATIVA AGRICOLA LTDA</t>
        </is>
      </c>
      <c r="H198" s="6" t="inlineStr">
        <is>
          <t>Estrutural</t>
        </is>
      </c>
      <c r="I198" s="11" t="n">
        <v>0</v>
      </c>
      <c r="J198" s="11" t="n">
        <v>0</v>
      </c>
      <c r="K198" s="11" t="n">
        <v>0</v>
      </c>
      <c r="L198" s="11" t="n">
        <v>80480</v>
      </c>
      <c r="M198" s="11">
        <f>L198*AVERAGE(Custo_Invest!$B$2:$C$2)</f>
        <v/>
      </c>
      <c r="N198" s="11" t="n">
        <v>0</v>
      </c>
      <c r="O198" s="11">
        <f>IF($B198="Candidato",IF($L198&gt;0,$M198/$L198,0),0)</f>
        <v/>
      </c>
      <c r="P198" s="11" t="inlineStr">
        <is>
          <t>NAO</t>
        </is>
      </c>
      <c r="Q198" s="11">
        <f>IF($P198="SIM",$I198*Parametros_Modelo!$B$9,0)</f>
        <v/>
      </c>
      <c r="R198" s="11">
        <f>IF($P198="SIM",Parametros_Modelo!$B$10,0)</f>
        <v/>
      </c>
      <c r="S198" s="11" t="inlineStr">
        <is>
          <t>SIM</t>
        </is>
      </c>
      <c r="T198" s="11">
        <f>IF($S198="SIM",Parametros_Modelo!$B$11,0)</f>
        <v/>
      </c>
      <c r="U198" s="11">
        <f>Parametros_Modelo!$B$5</f>
        <v/>
      </c>
      <c r="V198" s="11">
        <f>Parametros_Modelo!$B$6</f>
        <v/>
      </c>
      <c r="W198" s="6" t="inlineStr">
        <is>
          <t>Derivado: custo candidato = Custo de Abertura / Cap. Estática Máxima; penalidades sintéticas</t>
        </is>
      </c>
      <c r="X198" s="6" t="inlineStr">
        <is>
          <t>Colunas adicionadas para separar parâmetros do modelo matemático dos dados originais do CDA.</t>
        </is>
      </c>
      <c r="Y198" s="6" t="inlineStr">
        <is>
          <t>Opcional agora; necessária se ativar expansão, granelização ou custos candidatos explícitos.</t>
        </is>
      </c>
    </row>
    <row r="199">
      <c r="A199" s="6" t="inlineStr">
        <is>
          <t>56.6158.0003-9</t>
        </is>
      </c>
      <c r="B199" s="6" t="inlineStr">
        <is>
          <t>Candidato</t>
        </is>
      </c>
      <c r="C199" s="6" t="inlineStr">
        <is>
          <t>Campo verde-Mt</t>
        </is>
      </c>
      <c r="D199" s="6" t="inlineStr">
        <is>
          <t>MT</t>
        </is>
      </c>
      <c r="E199" s="6" t="n">
        <v>-15.357</v>
      </c>
      <c r="F199" s="6" t="n">
        <v>-55.1405</v>
      </c>
      <c r="G199" s="6" t="inlineStr">
        <is>
          <t>AGROINDUSTRIAL PRINCESA LTDA</t>
        </is>
      </c>
      <c r="H199" s="6" t="inlineStr">
        <is>
          <t>Estrutural</t>
        </is>
      </c>
      <c r="I199" s="11" t="n">
        <v>0</v>
      </c>
      <c r="J199" s="11" t="n">
        <v>0</v>
      </c>
      <c r="K199" s="11" t="n">
        <v>0</v>
      </c>
      <c r="L199" s="11" t="n">
        <v>61490</v>
      </c>
      <c r="M199" s="11">
        <f>L199*AVERAGE(Custo_Invest!$B$2:$C$2)</f>
        <v/>
      </c>
      <c r="N199" s="11" t="n">
        <v>0</v>
      </c>
      <c r="O199" s="11">
        <f>IF($B199="Candidato",IF($L199&gt;0,$M199/$L199,0),0)</f>
        <v/>
      </c>
      <c r="P199" s="11" t="inlineStr">
        <is>
          <t>NAO</t>
        </is>
      </c>
      <c r="Q199" s="11">
        <f>IF($P199="SIM",$I199*Parametros_Modelo!$B$9,0)</f>
        <v/>
      </c>
      <c r="R199" s="11">
        <f>IF($P199="SIM",Parametros_Modelo!$B$10,0)</f>
        <v/>
      </c>
      <c r="S199" s="11" t="inlineStr">
        <is>
          <t>SIM</t>
        </is>
      </c>
      <c r="T199" s="11">
        <f>IF($S199="SIM",Parametros_Modelo!$B$11,0)</f>
        <v/>
      </c>
      <c r="U199" s="11">
        <f>Parametros_Modelo!$B$5</f>
        <v/>
      </c>
      <c r="V199" s="11">
        <f>Parametros_Modelo!$B$6</f>
        <v/>
      </c>
      <c r="W199" s="6" t="inlineStr">
        <is>
          <t>Derivado: custo candidato = Custo de Abertura / Cap. Estática Máxima; penalidades sintéticas</t>
        </is>
      </c>
      <c r="X199" s="6" t="inlineStr">
        <is>
          <t>Colunas adicionadas para separar parâmetros do modelo matemático dos dados originais do CDA.</t>
        </is>
      </c>
      <c r="Y199" s="6" t="inlineStr">
        <is>
          <t>Opcional agora; necessária se ativar expansão, granelização ou custos candidatos explícitos.</t>
        </is>
      </c>
    </row>
    <row r="200">
      <c r="A200" s="6" t="inlineStr">
        <is>
          <t>56.0000.1622-0</t>
        </is>
      </c>
      <c r="B200" s="6" t="inlineStr">
        <is>
          <t>Candidato</t>
        </is>
      </c>
      <c r="C200" s="6" t="inlineStr">
        <is>
          <t>Rondonópolis-Mt</t>
        </is>
      </c>
      <c r="D200" s="6" t="inlineStr">
        <is>
          <t>MT</t>
        </is>
      </c>
      <c r="E200" s="6" t="n">
        <v>-16.84372</v>
      </c>
      <c r="F200" s="6" t="n">
        <v>-54.05586</v>
      </c>
      <c r="G200" s="6" t="inlineStr">
        <is>
          <t>CARLOS ERNESTO AUGUSTIN</t>
        </is>
      </c>
      <c r="H200" s="6" t="inlineStr">
        <is>
          <t>Estrutural</t>
        </is>
      </c>
      <c r="I200" s="11" t="n">
        <v>0</v>
      </c>
      <c r="J200" s="11" t="n">
        <v>0</v>
      </c>
      <c r="K200" s="11" t="n">
        <v>0</v>
      </c>
      <c r="L200" s="11" t="n">
        <v>60000</v>
      </c>
      <c r="M200" s="11">
        <f>L200*AVERAGE(Custo_Invest!$B$2:$C$2)</f>
        <v/>
      </c>
      <c r="N200" s="11" t="n">
        <v>0</v>
      </c>
      <c r="O200" s="11">
        <f>IF($B200="Candidato",IF($L200&gt;0,$M200/$L200,0),0)</f>
        <v/>
      </c>
      <c r="P200" s="11" t="inlineStr">
        <is>
          <t>NAO</t>
        </is>
      </c>
      <c r="Q200" s="11">
        <f>IF($P200="SIM",$I200*Parametros_Modelo!$B$9,0)</f>
        <v/>
      </c>
      <c r="R200" s="11">
        <f>IF($P200="SIM",Parametros_Modelo!$B$10,0)</f>
        <v/>
      </c>
      <c r="S200" s="11" t="inlineStr">
        <is>
          <t>SIM</t>
        </is>
      </c>
      <c r="T200" s="11">
        <f>IF($S200="SIM",Parametros_Modelo!$B$11,0)</f>
        <v/>
      </c>
      <c r="U200" s="11">
        <f>Parametros_Modelo!$B$5</f>
        <v/>
      </c>
      <c r="V200" s="11">
        <f>Parametros_Modelo!$B$6</f>
        <v/>
      </c>
      <c r="W200" s="6" t="inlineStr">
        <is>
          <t>Derivado: custo candidato = Custo de Abertura / Cap. Estática Máxima; penalidades sintéticas</t>
        </is>
      </c>
      <c r="X200" s="6" t="inlineStr">
        <is>
          <t>Colunas adicionadas para separar parâmetros do modelo matemático dos dados originais do CDA.</t>
        </is>
      </c>
      <c r="Y200" s="6" t="inlineStr">
        <is>
          <t>Opcional agora; necessária se ativar expansão, granelização ou custos candidatos explícitos.</t>
        </is>
      </c>
    </row>
    <row r="201">
      <c r="A201" s="6" t="inlineStr">
        <is>
          <t>56.8634.0002-2</t>
        </is>
      </c>
      <c r="B201" s="6" t="inlineStr">
        <is>
          <t>Candidato</t>
        </is>
      </c>
      <c r="C201" s="6" t="inlineStr">
        <is>
          <t>Sorriso-Mt</t>
        </is>
      </c>
      <c r="D201" s="6" t="inlineStr">
        <is>
          <t>MT</t>
        </is>
      </c>
      <c r="E201" s="6" t="n">
        <v>-12.61159</v>
      </c>
      <c r="F201" s="6" t="n">
        <v>-55.77089</v>
      </c>
      <c r="G201" s="6" t="inlineStr">
        <is>
          <t>EISA - EMPRESA INTERAGRICOLA S/A</t>
        </is>
      </c>
      <c r="H201" s="6" t="inlineStr">
        <is>
          <t>Estrutural</t>
        </is>
      </c>
      <c r="I201" s="11" t="n">
        <v>0</v>
      </c>
      <c r="J201" s="11" t="n">
        <v>0</v>
      </c>
      <c r="K201" s="11" t="n">
        <v>0</v>
      </c>
      <c r="L201" s="11" t="n">
        <v>58320</v>
      </c>
      <c r="M201" s="11">
        <f>L201*AVERAGE(Custo_Invest!$B$2:$C$2)</f>
        <v/>
      </c>
      <c r="N201" s="11" t="n">
        <v>0</v>
      </c>
      <c r="O201" s="11">
        <f>IF($B201="Candidato",IF($L201&gt;0,$M201/$L201,0),0)</f>
        <v/>
      </c>
      <c r="P201" s="11" t="inlineStr">
        <is>
          <t>NAO</t>
        </is>
      </c>
      <c r="Q201" s="11">
        <f>IF($P201="SIM",$I201*Parametros_Modelo!$B$9,0)</f>
        <v/>
      </c>
      <c r="R201" s="11">
        <f>IF($P201="SIM",Parametros_Modelo!$B$10,0)</f>
        <v/>
      </c>
      <c r="S201" s="11" t="inlineStr">
        <is>
          <t>SIM</t>
        </is>
      </c>
      <c r="T201" s="11">
        <f>IF($S201="SIM",Parametros_Modelo!$B$11,0)</f>
        <v/>
      </c>
      <c r="U201" s="11">
        <f>Parametros_Modelo!$B$5</f>
        <v/>
      </c>
      <c r="V201" s="11">
        <f>Parametros_Modelo!$B$6</f>
        <v/>
      </c>
      <c r="W201" s="6" t="inlineStr">
        <is>
          <t>Derivado: custo candidato = Custo de Abertura / Cap. Estática Máxima; penalidades sintéticas</t>
        </is>
      </c>
      <c r="X201" s="6" t="inlineStr">
        <is>
          <t>Colunas adicionadas para separar parâmetros do modelo matemático dos dados originais do CDA.</t>
        </is>
      </c>
      <c r="Y201" s="6" t="inlineStr">
        <is>
          <t>Opcional agora; necessária se ativar expansão, granelização ou custos candidatos explícitos.</t>
        </is>
      </c>
    </row>
    <row r="202">
      <c r="A202" s="6" t="inlineStr">
        <is>
          <t>48.8790.0004-4</t>
        </is>
      </c>
      <c r="B202" s="6" t="inlineStr">
        <is>
          <t>Candidato</t>
        </is>
      </c>
      <c r="C202" s="6" t="inlineStr">
        <is>
          <t>Anápolis-Go</t>
        </is>
      </c>
      <c r="D202" s="6" t="inlineStr">
        <is>
          <t>GO</t>
        </is>
      </c>
      <c r="E202" s="6" t="n">
        <v>-16.40026</v>
      </c>
      <c r="F202" s="6" t="n">
        <v>-48.92995</v>
      </c>
      <c r="G202" s="6" t="inlineStr">
        <is>
          <t>PORTO SECO CENTROESTE S/A</t>
        </is>
      </c>
      <c r="H202" s="6" t="inlineStr">
        <is>
          <t>Estrutural</t>
        </is>
      </c>
      <c r="I202" s="11" t="n">
        <v>0</v>
      </c>
      <c r="J202" s="11" t="n">
        <v>0</v>
      </c>
      <c r="K202" s="11" t="n">
        <v>0</v>
      </c>
      <c r="L202" s="11" t="n">
        <v>42000</v>
      </c>
      <c r="M202" s="11">
        <f>L202*AVERAGE(Custo_Invest!$B$2:$C$2)</f>
        <v/>
      </c>
      <c r="N202" s="11" t="n">
        <v>0</v>
      </c>
      <c r="O202" s="11">
        <f>IF($B202="Candidato",IF($L202&gt;0,$M202/$L202,0),0)</f>
        <v/>
      </c>
      <c r="P202" s="11" t="inlineStr">
        <is>
          <t>NAO</t>
        </is>
      </c>
      <c r="Q202" s="11">
        <f>IF($P202="SIM",$I202*Parametros_Modelo!$B$9,0)</f>
        <v/>
      </c>
      <c r="R202" s="11">
        <f>IF($P202="SIM",Parametros_Modelo!$B$10,0)</f>
        <v/>
      </c>
      <c r="S202" s="11" t="inlineStr">
        <is>
          <t>SIM</t>
        </is>
      </c>
      <c r="T202" s="11">
        <f>IF($S202="SIM",Parametros_Modelo!$B$11,0)</f>
        <v/>
      </c>
      <c r="U202" s="11">
        <f>Parametros_Modelo!$B$5</f>
        <v/>
      </c>
      <c r="V202" s="11">
        <f>Parametros_Modelo!$B$6</f>
        <v/>
      </c>
      <c r="W202" s="6" t="inlineStr">
        <is>
          <t>Derivado: custo candidato = Custo de Abertura / Cap. Estática Máxima; penalidades sintéticas</t>
        </is>
      </c>
      <c r="X202" s="6" t="inlineStr">
        <is>
          <t>Colunas adicionadas para separar parâmetros do modelo matemático dos dados originais do CDA.</t>
        </is>
      </c>
      <c r="Y202" s="6" t="inlineStr">
        <is>
          <t>Opcional agora; necessária se ativar expansão, granelização ou custos candidatos explícitos.</t>
        </is>
      </c>
    </row>
    <row r="203">
      <c r="A203" s="6" t="inlineStr">
        <is>
          <t>39.0000.0997-6</t>
        </is>
      </c>
      <c r="B203" s="6" t="inlineStr">
        <is>
          <t>Candidato</t>
        </is>
      </c>
      <c r="C203" s="6" t="inlineStr">
        <is>
          <t>São desidério-Ba</t>
        </is>
      </c>
      <c r="D203" s="6" t="inlineStr">
        <is>
          <t>BA</t>
        </is>
      </c>
      <c r="E203" s="6" t="n">
        <v>-12.64233</v>
      </c>
      <c r="F203" s="6" t="n">
        <v>-45.9369</v>
      </c>
      <c r="G203" s="6" t="inlineStr">
        <is>
          <t>MARCOS ANTONIO BUSATO</t>
        </is>
      </c>
      <c r="H203" s="6" t="inlineStr">
        <is>
          <t>Estrutural</t>
        </is>
      </c>
      <c r="I203" s="11" t="n">
        <v>0</v>
      </c>
      <c r="J203" s="11" t="n">
        <v>0</v>
      </c>
      <c r="K203" s="11" t="n">
        <v>0</v>
      </c>
      <c r="L203" s="11" t="n">
        <v>30000</v>
      </c>
      <c r="M203" s="11">
        <f>L203*AVERAGE(Custo_Invest!$B$2:$C$2)</f>
        <v/>
      </c>
      <c r="N203" s="11" t="n">
        <v>0</v>
      </c>
      <c r="O203" s="11">
        <f>IF($B203="Candidato",IF($L203&gt;0,$M203/$L203,0),0)</f>
        <v/>
      </c>
      <c r="P203" s="11" t="inlineStr">
        <is>
          <t>NAO</t>
        </is>
      </c>
      <c r="Q203" s="11">
        <f>IF($P203="SIM",$I203*Parametros_Modelo!$B$9,0)</f>
        <v/>
      </c>
      <c r="R203" s="11">
        <f>IF($P203="SIM",Parametros_Modelo!$B$10,0)</f>
        <v/>
      </c>
      <c r="S203" s="11" t="inlineStr">
        <is>
          <t>SIM</t>
        </is>
      </c>
      <c r="T203" s="11">
        <f>IF($S203="SIM",Parametros_Modelo!$B$11,0)</f>
        <v/>
      </c>
      <c r="U203" s="11">
        <f>Parametros_Modelo!$B$5</f>
        <v/>
      </c>
      <c r="V203" s="11">
        <f>Parametros_Modelo!$B$6</f>
        <v/>
      </c>
      <c r="W203" s="6" t="inlineStr">
        <is>
          <t>Derivado: custo candidato = Custo de Abertura / Cap. Estática Máxima; penalidades sintéticas</t>
        </is>
      </c>
      <c r="X203" s="6" t="inlineStr">
        <is>
          <t>Colunas adicionadas para separar parâmetros do modelo matemático dos dados originais do CDA.</t>
        </is>
      </c>
      <c r="Y203" s="6" t="inlineStr">
        <is>
          <t>Opcional agora; necessária se ativar expansão, granelização ou custos candidatos explícitos.</t>
        </is>
      </c>
    </row>
    <row r="204">
      <c r="A204" s="6" t="inlineStr">
        <is>
          <t>79.6753.0015-5</t>
        </is>
      </c>
      <c r="B204" s="6" t="inlineStr">
        <is>
          <t>Candidato</t>
        </is>
      </c>
      <c r="C204" s="6" t="inlineStr">
        <is>
          <t>Tarumã-Sp</t>
        </is>
      </c>
      <c r="D204" s="6" t="inlineStr">
        <is>
          <t>SP</t>
        </is>
      </c>
      <c r="E204" s="6" t="n">
        <v>-22.784984</v>
      </c>
      <c r="F204" s="6" t="n">
        <v>-50.549435</v>
      </c>
      <c r="G204" s="6" t="inlineStr">
        <is>
          <t>USINA NOVA AMERICA S/A</t>
        </is>
      </c>
      <c r="H204" s="6" t="inlineStr">
        <is>
          <t>Estrutural</t>
        </is>
      </c>
      <c r="I204" s="11" t="n">
        <v>0</v>
      </c>
      <c r="J204" s="11" t="n">
        <v>0</v>
      </c>
      <c r="K204" s="11" t="n">
        <v>0</v>
      </c>
      <c r="L204" s="11" t="n">
        <v>16310</v>
      </c>
      <c r="M204" s="11">
        <f>L204*AVERAGE(Custo_Invest!$B$2:$C$2)</f>
        <v/>
      </c>
      <c r="N204" s="11" t="n">
        <v>0</v>
      </c>
      <c r="O204" s="11">
        <f>IF($B204="Candidato",IF($L204&gt;0,$M204/$L204,0),0)</f>
        <v/>
      </c>
      <c r="P204" s="11" t="inlineStr">
        <is>
          <t>NAO</t>
        </is>
      </c>
      <c r="Q204" s="11">
        <f>IF($P204="SIM",$I204*Parametros_Modelo!$B$9,0)</f>
        <v/>
      </c>
      <c r="R204" s="11">
        <f>IF($P204="SIM",Parametros_Modelo!$B$10,0)</f>
        <v/>
      </c>
      <c r="S204" s="11" t="inlineStr">
        <is>
          <t>SIM</t>
        </is>
      </c>
      <c r="T204" s="11">
        <f>IF($S204="SIM",Parametros_Modelo!$B$11,0)</f>
        <v/>
      </c>
      <c r="U204" s="11">
        <f>Parametros_Modelo!$B$5</f>
        <v/>
      </c>
      <c r="V204" s="11">
        <f>Parametros_Modelo!$B$6</f>
        <v/>
      </c>
      <c r="W204" s="6" t="inlineStr">
        <is>
          <t>Derivado: custo candidato = Custo de Abertura / Cap. Estática Máxima; penalidades sintéticas</t>
        </is>
      </c>
      <c r="X204" s="6" t="inlineStr">
        <is>
          <t>Colunas adicionadas para separar parâmetros do modelo matemático dos dados originais do CDA.</t>
        </is>
      </c>
      <c r="Y204" s="6" t="inlineStr">
        <is>
          <t>Opcional agora; necessária se ativar expansão, granelização ou custos candidatos explícitos.</t>
        </is>
      </c>
    </row>
    <row r="205">
      <c r="A205" s="6" t="inlineStr">
        <is>
          <t>39.E386.0004-2</t>
        </is>
      </c>
      <c r="B205" s="6" t="inlineStr">
        <is>
          <t>Candidato</t>
        </is>
      </c>
      <c r="C205" s="6" t="inlineStr">
        <is>
          <t>Correntina-Ba</t>
        </is>
      </c>
      <c r="D205" s="6" t="inlineStr">
        <is>
          <t>BA</t>
        </is>
      </c>
      <c r="E205" s="6" t="n">
        <v>-13.92783</v>
      </c>
      <c r="F205" s="6" t="n">
        <v>-46.19491</v>
      </c>
      <c r="G205" s="6" t="inlineStr">
        <is>
          <t>LAERTE BAECHTOLD</t>
        </is>
      </c>
      <c r="H205" s="6" t="inlineStr">
        <is>
          <t>Estrutural</t>
        </is>
      </c>
      <c r="I205" s="11" t="n">
        <v>0</v>
      </c>
      <c r="J205" s="11" t="n">
        <v>0</v>
      </c>
      <c r="K205" s="11" t="n">
        <v>0</v>
      </c>
      <c r="L205" s="11" t="n">
        <v>14450</v>
      </c>
      <c r="M205" s="11">
        <f>L205*AVERAGE(Custo_Invest!$B$2:$C$2)</f>
        <v/>
      </c>
      <c r="N205" s="11" t="n">
        <v>0</v>
      </c>
      <c r="O205" s="11">
        <f>IF($B205="Candidato",IF($L205&gt;0,$M205/$L205,0),0)</f>
        <v/>
      </c>
      <c r="P205" s="11" t="inlineStr">
        <is>
          <t>NAO</t>
        </is>
      </c>
      <c r="Q205" s="11">
        <f>IF($P205="SIM",$I205*Parametros_Modelo!$B$9,0)</f>
        <v/>
      </c>
      <c r="R205" s="11">
        <f>IF($P205="SIM",Parametros_Modelo!$B$10,0)</f>
        <v/>
      </c>
      <c r="S205" s="11" t="inlineStr">
        <is>
          <t>SIM</t>
        </is>
      </c>
      <c r="T205" s="11">
        <f>IF($S205="SIM",Parametros_Modelo!$B$11,0)</f>
        <v/>
      </c>
      <c r="U205" s="11">
        <f>Parametros_Modelo!$B$5</f>
        <v/>
      </c>
      <c r="V205" s="11">
        <f>Parametros_Modelo!$B$6</f>
        <v/>
      </c>
      <c r="W205" s="6" t="inlineStr">
        <is>
          <t>Derivado: custo candidato = Custo de Abertura / Cap. Estática Máxima; penalidades sintéticas</t>
        </is>
      </c>
      <c r="X205" s="6" t="inlineStr">
        <is>
          <t>Colunas adicionadas para separar parâmetros do modelo matemático dos dados originais do CDA.</t>
        </is>
      </c>
      <c r="Y205" s="6" t="inlineStr">
        <is>
          <t>Opcional agora; necessária se ativar expansão, granelização ou custos candidatos explícitos.</t>
        </is>
      </c>
    </row>
    <row r="206">
      <c r="A206" s="6" t="inlineStr">
        <is>
          <t>39.G730.0005-0</t>
        </is>
      </c>
      <c r="B206" s="6" t="inlineStr">
        <is>
          <t>Candidato</t>
        </is>
      </c>
      <c r="C206" s="6" t="inlineStr">
        <is>
          <t>Barreiras-Ba</t>
        </is>
      </c>
      <c r="D206" s="6" t="inlineStr">
        <is>
          <t>BA</t>
        </is>
      </c>
      <c r="E206" s="6" t="n">
        <v>-11.71299</v>
      </c>
      <c r="F206" s="6" t="n">
        <v>-45.97292</v>
      </c>
      <c r="G206" s="6" t="inlineStr">
        <is>
          <t>ROMEU FRANCIOSI</t>
        </is>
      </c>
      <c r="H206" s="6" t="inlineStr">
        <is>
          <t>Estrutural</t>
        </is>
      </c>
      <c r="I206" s="11" t="n">
        <v>0</v>
      </c>
      <c r="J206" s="11" t="n">
        <v>0</v>
      </c>
      <c r="K206" s="11" t="n">
        <v>0</v>
      </c>
      <c r="L206" s="11" t="n">
        <v>9240</v>
      </c>
      <c r="M206" s="11">
        <f>L206*AVERAGE(Custo_Invest!$B$2:$C$2)</f>
        <v/>
      </c>
      <c r="N206" s="11" t="n">
        <v>0</v>
      </c>
      <c r="O206" s="11">
        <f>IF($B206="Candidato",IF($L206&gt;0,$M206/$L206,0),0)</f>
        <v/>
      </c>
      <c r="P206" s="11" t="inlineStr">
        <is>
          <t>NAO</t>
        </is>
      </c>
      <c r="Q206" s="11">
        <f>IF($P206="SIM",$I206*Parametros_Modelo!$B$9,0)</f>
        <v/>
      </c>
      <c r="R206" s="11">
        <f>IF($P206="SIM",Parametros_Modelo!$B$10,0)</f>
        <v/>
      </c>
      <c r="S206" s="11" t="inlineStr">
        <is>
          <t>SIM</t>
        </is>
      </c>
      <c r="T206" s="11">
        <f>IF($S206="SIM",Parametros_Modelo!$B$11,0)</f>
        <v/>
      </c>
      <c r="U206" s="11">
        <f>Parametros_Modelo!$B$5</f>
        <v/>
      </c>
      <c r="V206" s="11">
        <f>Parametros_Modelo!$B$6</f>
        <v/>
      </c>
      <c r="W206" s="6" t="inlineStr">
        <is>
          <t>Derivado: custo candidato = Custo de Abertura / Cap. Estática Máxima; penalidades sintéticas</t>
        </is>
      </c>
      <c r="X206" s="6" t="inlineStr">
        <is>
          <t>Colunas adicionadas para separar parâmetros do modelo matemático dos dados originais do CDA.</t>
        </is>
      </c>
      <c r="Y206" s="6" t="inlineStr">
        <is>
          <t>Opcional agora; necessária se ativar expansão, granelização ou custos candidatos explícitos.</t>
        </is>
      </c>
    </row>
    <row r="207">
      <c r="A207" s="6" t="inlineStr">
        <is>
          <t>79.G448.0001-8</t>
        </is>
      </c>
      <c r="B207" s="6" t="inlineStr">
        <is>
          <t>Candidato</t>
        </is>
      </c>
      <c r="C207" s="6" t="inlineStr">
        <is>
          <t>Arujá-Sp</t>
        </is>
      </c>
      <c r="D207" s="6" t="inlineStr">
        <is>
          <t>SP</t>
        </is>
      </c>
      <c r="E207" s="6" t="n">
        <v>-23.40985</v>
      </c>
      <c r="F207" s="6" t="n">
        <v>-46.35137</v>
      </c>
      <c r="G207" s="6" t="inlineStr">
        <is>
          <t>MOOV MAX SOLUÇÕES E LOGISTICA LTDA</t>
        </is>
      </c>
      <c r="H207" s="6" t="inlineStr">
        <is>
          <t>Depósito</t>
        </is>
      </c>
      <c r="I207" s="11" t="n">
        <v>0</v>
      </c>
      <c r="J207" s="11" t="n">
        <v>0</v>
      </c>
      <c r="K207" s="11" t="n">
        <v>0</v>
      </c>
      <c r="L207" s="11" t="n">
        <v>60750</v>
      </c>
      <c r="M207" s="11">
        <f>L207*AVERAGE(Custo_Invest!$B$2:$C$2)</f>
        <v/>
      </c>
      <c r="N207" s="11" t="n">
        <v>0</v>
      </c>
      <c r="O207" s="11">
        <f>IF($B207="Candidato",IF($L207&gt;0,$M207/$L207,0),0)</f>
        <v/>
      </c>
      <c r="P207" s="11" t="inlineStr">
        <is>
          <t>NAO</t>
        </is>
      </c>
      <c r="Q207" s="11">
        <f>IF($P207="SIM",$I207*Parametros_Modelo!$B$9,0)</f>
        <v/>
      </c>
      <c r="R207" s="11">
        <f>IF($P207="SIM",Parametros_Modelo!$B$10,0)</f>
        <v/>
      </c>
      <c r="S207" s="11" t="inlineStr">
        <is>
          <t>SIM</t>
        </is>
      </c>
      <c r="T207" s="11">
        <f>IF($S207="SIM",Parametros_Modelo!$B$11,0)</f>
        <v/>
      </c>
      <c r="U207" s="11">
        <f>Parametros_Modelo!$B$5</f>
        <v/>
      </c>
      <c r="V207" s="11">
        <f>Parametros_Modelo!$B$6</f>
        <v/>
      </c>
      <c r="W207" s="6" t="inlineStr">
        <is>
          <t>Derivado: custo candidato = Custo de Abertura / Cap. Estática Máxima; penalidades sintéticas</t>
        </is>
      </c>
      <c r="X207" s="6" t="inlineStr">
        <is>
          <t>Colunas adicionadas para separar parâmetros do modelo matemático dos dados originais do CDA.</t>
        </is>
      </c>
      <c r="Y207" s="6" t="inlineStr">
        <is>
          <t>Opcional agora; necessária se ativar expansão, granelização ou custos candidatos explícitos.</t>
        </is>
      </c>
    </row>
    <row r="208">
      <c r="A208" s="6" t="inlineStr">
        <is>
          <t>76.B753.0001-3</t>
        </is>
      </c>
      <c r="B208" s="6" t="inlineStr">
        <is>
          <t>Candidato</t>
        </is>
      </c>
      <c r="C208" s="6" t="inlineStr">
        <is>
          <t>Santa cruz do sul-Rs</t>
        </is>
      </c>
      <c r="D208" s="6" t="inlineStr">
        <is>
          <t>RS</t>
        </is>
      </c>
      <c r="E208" s="6" t="n">
        <v>-29.781066</v>
      </c>
      <c r="F208" s="6" t="n">
        <v>-52.415479</v>
      </c>
      <c r="G208" s="6" t="inlineStr">
        <is>
          <t>A.T.C-ASSOCIATED TOBACCO COMPANY BRASIL LTDA</t>
        </is>
      </c>
      <c r="H208" s="6" t="inlineStr">
        <is>
          <t>Depósito</t>
        </is>
      </c>
      <c r="I208" s="11" t="n">
        <v>0</v>
      </c>
      <c r="J208" s="11" t="n">
        <v>0</v>
      </c>
      <c r="K208" s="11" t="n">
        <v>0</v>
      </c>
      <c r="L208" s="11" t="n">
        <v>34640</v>
      </c>
      <c r="M208" s="11">
        <f>L208*AVERAGE(Custo_Invest!$B$2:$C$2)</f>
        <v/>
      </c>
      <c r="N208" s="11" t="n">
        <v>0</v>
      </c>
      <c r="O208" s="11">
        <f>IF($B208="Candidato",IF($L208&gt;0,$M208/$L208,0),0)</f>
        <v/>
      </c>
      <c r="P208" s="11" t="inlineStr">
        <is>
          <t>NAO</t>
        </is>
      </c>
      <c r="Q208" s="11">
        <f>IF($P208="SIM",$I208*Parametros_Modelo!$B$9,0)</f>
        <v/>
      </c>
      <c r="R208" s="11">
        <f>IF($P208="SIM",Parametros_Modelo!$B$10,0)</f>
        <v/>
      </c>
      <c r="S208" s="11" t="inlineStr">
        <is>
          <t>SIM</t>
        </is>
      </c>
      <c r="T208" s="11">
        <f>IF($S208="SIM",Parametros_Modelo!$B$11,0)</f>
        <v/>
      </c>
      <c r="U208" s="11">
        <f>Parametros_Modelo!$B$5</f>
        <v/>
      </c>
      <c r="V208" s="11">
        <f>Parametros_Modelo!$B$6</f>
        <v/>
      </c>
      <c r="W208" s="6" t="inlineStr">
        <is>
          <t>Derivado: custo candidato = Custo de Abertura / Cap. Estática Máxima; penalidades sintéticas</t>
        </is>
      </c>
      <c r="X208" s="6" t="inlineStr">
        <is>
          <t>Colunas adicionadas para separar parâmetros do modelo matemático dos dados originais do CDA.</t>
        </is>
      </c>
      <c r="Y208" s="6" t="inlineStr">
        <is>
          <t>Opcional agora; necessária se ativar expansão, granelização ou custos candidatos explícitos.</t>
        </is>
      </c>
    </row>
    <row r="209">
      <c r="A209" s="6" t="inlineStr">
        <is>
          <t>79.6753.0009-0</t>
        </is>
      </c>
      <c r="B209" s="6" t="inlineStr">
        <is>
          <t>Candidato</t>
        </is>
      </c>
      <c r="C209" s="6" t="inlineStr">
        <is>
          <t>Tarumã-Sp</t>
        </is>
      </c>
      <c r="D209" s="6" t="inlineStr">
        <is>
          <t>SP</t>
        </is>
      </c>
      <c r="E209" s="6" t="n">
        <v>-22.784974</v>
      </c>
      <c r="F209" s="6" t="n">
        <v>-50.551591</v>
      </c>
      <c r="G209" s="6" t="inlineStr">
        <is>
          <t>USINA NOVA AMERICA S/A</t>
        </is>
      </c>
      <c r="H209" s="6" t="inlineStr">
        <is>
          <t>Depósito</t>
        </is>
      </c>
      <c r="I209" s="11" t="n">
        <v>0</v>
      </c>
      <c r="J209" s="11" t="n">
        <v>0</v>
      </c>
      <c r="K209" s="11" t="n">
        <v>0</v>
      </c>
      <c r="L209" s="11" t="n">
        <v>26870</v>
      </c>
      <c r="M209" s="11">
        <f>L209*AVERAGE(Custo_Invest!$B$2:$C$2)</f>
        <v/>
      </c>
      <c r="N209" s="11" t="n">
        <v>0</v>
      </c>
      <c r="O209" s="11">
        <f>IF($B209="Candidato",IF($L209&gt;0,$M209/$L209,0),0)</f>
        <v/>
      </c>
      <c r="P209" s="11" t="inlineStr">
        <is>
          <t>NAO</t>
        </is>
      </c>
      <c r="Q209" s="11">
        <f>IF($P209="SIM",$I209*Parametros_Modelo!$B$9,0)</f>
        <v/>
      </c>
      <c r="R209" s="11">
        <f>IF($P209="SIM",Parametros_Modelo!$B$10,0)</f>
        <v/>
      </c>
      <c r="S209" s="11" t="inlineStr">
        <is>
          <t>SIM</t>
        </is>
      </c>
      <c r="T209" s="11">
        <f>IF($S209="SIM",Parametros_Modelo!$B$11,0)</f>
        <v/>
      </c>
      <c r="U209" s="11">
        <f>Parametros_Modelo!$B$5</f>
        <v/>
      </c>
      <c r="V209" s="11">
        <f>Parametros_Modelo!$B$6</f>
        <v/>
      </c>
      <c r="W209" s="6" t="inlineStr">
        <is>
          <t>Derivado: custo candidato = Custo de Abertura / Cap. Estática Máxima; penalidades sintéticas</t>
        </is>
      </c>
      <c r="X209" s="6" t="inlineStr">
        <is>
          <t>Colunas adicionadas para separar parâmetros do modelo matemático dos dados originais do CDA.</t>
        </is>
      </c>
      <c r="Y209" s="6" t="inlineStr">
        <is>
          <t>Opcional agora; necessária se ativar expansão, granelização ou custos candidatos explícitos.</t>
        </is>
      </c>
    </row>
    <row r="210">
      <c r="A210" s="6" t="inlineStr">
        <is>
          <t>79.6753.0006-6</t>
        </is>
      </c>
      <c r="B210" s="6" t="inlineStr">
        <is>
          <t>Candidato</t>
        </is>
      </c>
      <c r="C210" s="6" t="inlineStr">
        <is>
          <t>Maracaí-Sp</t>
        </is>
      </c>
      <c r="D210" s="6" t="inlineStr">
        <is>
          <t>SP</t>
        </is>
      </c>
      <c r="E210" s="6" t="n">
        <v>-22.3433</v>
      </c>
      <c r="F210" s="6" t="n">
        <v>-50.3911</v>
      </c>
      <c r="G210" s="6" t="inlineStr">
        <is>
          <t>USINA NOVA AMERICA S/A</t>
        </is>
      </c>
      <c r="H210" s="6" t="inlineStr">
        <is>
          <t>Depósito</t>
        </is>
      </c>
      <c r="I210" s="11" t="n">
        <v>0</v>
      </c>
      <c r="J210" s="11" t="n">
        <v>0</v>
      </c>
      <c r="K210" s="11" t="n">
        <v>0</v>
      </c>
      <c r="L210" s="11" t="n">
        <v>23330</v>
      </c>
      <c r="M210" s="11">
        <f>L210*AVERAGE(Custo_Invest!$B$2:$C$2)</f>
        <v/>
      </c>
      <c r="N210" s="11" t="n">
        <v>0</v>
      </c>
      <c r="O210" s="11">
        <f>IF($B210="Candidato",IF($L210&gt;0,$M210/$L210,0),0)</f>
        <v/>
      </c>
      <c r="P210" s="11" t="inlineStr">
        <is>
          <t>NAO</t>
        </is>
      </c>
      <c r="Q210" s="11">
        <f>IF($P210="SIM",$I210*Parametros_Modelo!$B$9,0)</f>
        <v/>
      </c>
      <c r="R210" s="11">
        <f>IF($P210="SIM",Parametros_Modelo!$B$10,0)</f>
        <v/>
      </c>
      <c r="S210" s="11" t="inlineStr">
        <is>
          <t>SIM</t>
        </is>
      </c>
      <c r="T210" s="11">
        <f>IF($S210="SIM",Parametros_Modelo!$B$11,0)</f>
        <v/>
      </c>
      <c r="U210" s="11">
        <f>Parametros_Modelo!$B$5</f>
        <v/>
      </c>
      <c r="V210" s="11">
        <f>Parametros_Modelo!$B$6</f>
        <v/>
      </c>
      <c r="W210" s="6" t="inlineStr">
        <is>
          <t>Derivado: custo candidato = Custo de Abertura / Cap. Estática Máxima; penalidades sintéticas</t>
        </is>
      </c>
      <c r="X210" s="6" t="inlineStr">
        <is>
          <t>Colunas adicionadas para separar parâmetros do modelo matemático dos dados originais do CDA.</t>
        </is>
      </c>
      <c r="Y210" s="6" t="inlineStr">
        <is>
          <t>Opcional agora; necessária se ativar expansão, granelização ou custos candidatos explícitos.</t>
        </is>
      </c>
    </row>
    <row r="211">
      <c r="A211" s="6" t="inlineStr">
        <is>
          <t>79.F828.0001-0</t>
        </is>
      </c>
      <c r="B211" s="6" t="inlineStr">
        <is>
          <t>Candidato</t>
        </is>
      </c>
      <c r="C211" s="6" t="inlineStr">
        <is>
          <t>Mogi guaçu-Sp</t>
        </is>
      </c>
      <c r="D211" s="6" t="inlineStr">
        <is>
          <t>SP</t>
        </is>
      </c>
      <c r="E211" s="6" t="n">
        <v>-22.29735</v>
      </c>
      <c r="F211" s="6" t="n">
        <v>-46.972299</v>
      </c>
      <c r="G211" s="6" t="inlineStr">
        <is>
          <t>HFM ARMAZÉNS GERAIS, LOGÍSTICA E TRANSPORTE LTDA</t>
        </is>
      </c>
      <c r="H211" s="6" t="inlineStr">
        <is>
          <t>Depósito</t>
        </is>
      </c>
      <c r="I211" s="11" t="n">
        <v>0</v>
      </c>
      <c r="J211" s="11" t="n">
        <v>0</v>
      </c>
      <c r="K211" s="11" t="n">
        <v>0</v>
      </c>
      <c r="L211" s="11" t="n">
        <v>18000</v>
      </c>
      <c r="M211" s="11">
        <f>L211*AVERAGE(Custo_Invest!$B$2:$C$2)</f>
        <v/>
      </c>
      <c r="N211" s="11" t="n">
        <v>0</v>
      </c>
      <c r="O211" s="11">
        <f>IF($B211="Candidato",IF($L211&gt;0,$M211/$L211,0),0)</f>
        <v/>
      </c>
      <c r="P211" s="11" t="inlineStr">
        <is>
          <t>NAO</t>
        </is>
      </c>
      <c r="Q211" s="11">
        <f>IF($P211="SIM",$I211*Parametros_Modelo!$B$9,0)</f>
        <v/>
      </c>
      <c r="R211" s="11">
        <f>IF($P211="SIM",Parametros_Modelo!$B$10,0)</f>
        <v/>
      </c>
      <c r="S211" s="11" t="inlineStr">
        <is>
          <t>SIM</t>
        </is>
      </c>
      <c r="T211" s="11">
        <f>IF($S211="SIM",Parametros_Modelo!$B$11,0)</f>
        <v/>
      </c>
      <c r="U211" s="11">
        <f>Parametros_Modelo!$B$5</f>
        <v/>
      </c>
      <c r="V211" s="11">
        <f>Parametros_Modelo!$B$6</f>
        <v/>
      </c>
      <c r="W211" s="6" t="inlineStr">
        <is>
          <t>Derivado: custo candidato = Custo de Abertura / Cap. Estática Máxima; penalidades sintéticas</t>
        </is>
      </c>
      <c r="X211" s="6" t="inlineStr">
        <is>
          <t>Colunas adicionadas para separar parâmetros do modelo matemático dos dados originais do CDA.</t>
        </is>
      </c>
      <c r="Y211" s="6" t="inlineStr">
        <is>
          <t>Opcional agora; necessária se ativar expansão, granelização ou custos candidatos explícitos.</t>
        </is>
      </c>
    </row>
    <row r="212">
      <c r="A212" s="6" t="inlineStr">
        <is>
          <t>79.6296.0003-6</t>
        </is>
      </c>
      <c r="B212" s="6" t="inlineStr">
        <is>
          <t>Candidato</t>
        </is>
      </c>
      <c r="C212" s="6" t="inlineStr">
        <is>
          <t>Paraguaçu paulista-Sp</t>
        </is>
      </c>
      <c r="D212" s="6" t="inlineStr">
        <is>
          <t>SP</t>
        </is>
      </c>
      <c r="E212" s="6" t="n">
        <v>-22.474463</v>
      </c>
      <c r="F212" s="6" t="n">
        <v>-50.791077</v>
      </c>
      <c r="G212" s="6" t="inlineStr">
        <is>
          <t>COCAL-COM IND CANA ACUCAR ALCOOL LTDA</t>
        </is>
      </c>
      <c r="H212" s="6" t="inlineStr">
        <is>
          <t>Depósito</t>
        </is>
      </c>
      <c r="I212" s="11" t="n">
        <v>0</v>
      </c>
      <c r="J212" s="11" t="n">
        <v>0</v>
      </c>
      <c r="K212" s="11" t="n">
        <v>0</v>
      </c>
      <c r="L212" s="11" t="n">
        <v>16200</v>
      </c>
      <c r="M212" s="11">
        <f>L212*AVERAGE(Custo_Invest!$B$2:$C$2)</f>
        <v/>
      </c>
      <c r="N212" s="11" t="n">
        <v>0</v>
      </c>
      <c r="O212" s="11">
        <f>IF($B212="Candidato",IF($L212&gt;0,$M212/$L212,0),0)</f>
        <v/>
      </c>
      <c r="P212" s="11" t="inlineStr">
        <is>
          <t>NAO</t>
        </is>
      </c>
      <c r="Q212" s="11">
        <f>IF($P212="SIM",$I212*Parametros_Modelo!$B$9,0)</f>
        <v/>
      </c>
      <c r="R212" s="11">
        <f>IF($P212="SIM",Parametros_Modelo!$B$10,0)</f>
        <v/>
      </c>
      <c r="S212" s="11" t="inlineStr">
        <is>
          <t>SIM</t>
        </is>
      </c>
      <c r="T212" s="11">
        <f>IF($S212="SIM",Parametros_Modelo!$B$11,0)</f>
        <v/>
      </c>
      <c r="U212" s="11">
        <f>Parametros_Modelo!$B$5</f>
        <v/>
      </c>
      <c r="V212" s="11">
        <f>Parametros_Modelo!$B$6</f>
        <v/>
      </c>
      <c r="W212" s="6" t="inlineStr">
        <is>
          <t>Derivado: custo candidato = Custo de Abertura / Cap. Estática Máxima; penalidades sintéticas</t>
        </is>
      </c>
      <c r="X212" s="6" t="inlineStr">
        <is>
          <t>Colunas adicionadas para separar parâmetros do modelo matemático dos dados originais do CDA.</t>
        </is>
      </c>
      <c r="Y212" s="6" t="inlineStr">
        <is>
          <t>Opcional agora; necessária se ativar expansão, granelização ou custos candidatos explícitos.</t>
        </is>
      </c>
    </row>
    <row r="213">
      <c r="A213" s="6" t="inlineStr">
        <is>
          <t>39.A473.0003-2</t>
        </is>
      </c>
      <c r="B213" s="6" t="inlineStr">
        <is>
          <t>Candidato</t>
        </is>
      </c>
      <c r="C213" s="6" t="inlineStr">
        <is>
          <t>São desidério-Ba</t>
        </is>
      </c>
      <c r="D213" s="6" t="inlineStr">
        <is>
          <t>BA</t>
        </is>
      </c>
      <c r="E213" s="6" t="n">
        <v>-12.74457</v>
      </c>
      <c r="F213" s="6" t="n">
        <v>-45.93863</v>
      </c>
      <c r="G213" s="6" t="inlineStr">
        <is>
          <t>PW ARMAZÉNS GERAIS LTDA</t>
        </is>
      </c>
      <c r="H213" s="6" t="inlineStr">
        <is>
          <t>Depósito</t>
        </is>
      </c>
      <c r="I213" s="11" t="n">
        <v>0</v>
      </c>
      <c r="J213" s="11" t="n">
        <v>0</v>
      </c>
      <c r="K213" s="11" t="n">
        <v>0</v>
      </c>
      <c r="L213" s="11" t="n">
        <v>15300</v>
      </c>
      <c r="M213" s="11">
        <f>L213*AVERAGE(Custo_Invest!$B$2:$C$2)</f>
        <v/>
      </c>
      <c r="N213" s="11" t="n">
        <v>0</v>
      </c>
      <c r="O213" s="11">
        <f>IF($B213="Candidato",IF($L213&gt;0,$M213/$L213,0),0)</f>
        <v/>
      </c>
      <c r="P213" s="11" t="inlineStr">
        <is>
          <t>NAO</t>
        </is>
      </c>
      <c r="Q213" s="11">
        <f>IF($P213="SIM",$I213*Parametros_Modelo!$B$9,0)</f>
        <v/>
      </c>
      <c r="R213" s="11">
        <f>IF($P213="SIM",Parametros_Modelo!$B$10,0)</f>
        <v/>
      </c>
      <c r="S213" s="11" t="inlineStr">
        <is>
          <t>SIM</t>
        </is>
      </c>
      <c r="T213" s="11">
        <f>IF($S213="SIM",Parametros_Modelo!$B$11,0)</f>
        <v/>
      </c>
      <c r="U213" s="11">
        <f>Parametros_Modelo!$B$5</f>
        <v/>
      </c>
      <c r="V213" s="11">
        <f>Parametros_Modelo!$B$6</f>
        <v/>
      </c>
      <c r="W213" s="6" t="inlineStr">
        <is>
          <t>Derivado: custo candidato = Custo de Abertura / Cap. Estática Máxima; penalidades sintéticas</t>
        </is>
      </c>
      <c r="X213" s="6" t="inlineStr">
        <is>
          <t>Colunas adicionadas para separar parâmetros do modelo matemático dos dados originais do CDA.</t>
        </is>
      </c>
      <c r="Y213" s="6" t="inlineStr">
        <is>
          <t>Opcional agora; necessária se ativar expansão, granelização ou custos candidatos explícitos.</t>
        </is>
      </c>
    </row>
    <row r="214">
      <c r="A214" s="6" t="inlineStr">
        <is>
          <t>48.F619.0001-5</t>
        </is>
      </c>
      <c r="B214" s="6" t="inlineStr">
        <is>
          <t>Candidato</t>
        </is>
      </c>
      <c r="C214" s="6" t="inlineStr">
        <is>
          <t>Aparecida de goiânia-Go</t>
        </is>
      </c>
      <c r="D214" s="6" t="inlineStr">
        <is>
          <t>GO</t>
        </is>
      </c>
      <c r="E214" s="6" t="n">
        <v>-16.820667</v>
      </c>
      <c r="F214" s="6" t="n">
        <v>-49.220444</v>
      </c>
      <c r="G214" s="6" t="inlineStr">
        <is>
          <t>VERDELOG LOGISTICA E TRANSPORTES S/A</t>
        </is>
      </c>
      <c r="H214" s="6" t="inlineStr">
        <is>
          <t>Depósito</t>
        </is>
      </c>
      <c r="I214" s="11" t="n">
        <v>0</v>
      </c>
      <c r="J214" s="11" t="n">
        <v>0</v>
      </c>
      <c r="K214" s="11" t="n">
        <v>0</v>
      </c>
      <c r="L214" s="11" t="n">
        <v>15140</v>
      </c>
      <c r="M214" s="11">
        <f>L214*AVERAGE(Custo_Invest!$B$2:$C$2)</f>
        <v/>
      </c>
      <c r="N214" s="11" t="n">
        <v>0</v>
      </c>
      <c r="O214" s="11">
        <f>IF($B214="Candidato",IF($L214&gt;0,$M214/$L214,0),0)</f>
        <v/>
      </c>
      <c r="P214" s="11" t="inlineStr">
        <is>
          <t>NAO</t>
        </is>
      </c>
      <c r="Q214" s="11">
        <f>IF($P214="SIM",$I214*Parametros_Modelo!$B$9,0)</f>
        <v/>
      </c>
      <c r="R214" s="11">
        <f>IF($P214="SIM",Parametros_Modelo!$B$10,0)</f>
        <v/>
      </c>
      <c r="S214" s="11" t="inlineStr">
        <is>
          <t>SIM</t>
        </is>
      </c>
      <c r="T214" s="11">
        <f>IF($S214="SIM",Parametros_Modelo!$B$11,0)</f>
        <v/>
      </c>
      <c r="U214" s="11">
        <f>Parametros_Modelo!$B$5</f>
        <v/>
      </c>
      <c r="V214" s="11">
        <f>Parametros_Modelo!$B$6</f>
        <v/>
      </c>
      <c r="W214" s="6" t="inlineStr">
        <is>
          <t>Derivado: custo candidato = Custo de Abertura / Cap. Estática Máxima; penalidades sintéticas</t>
        </is>
      </c>
      <c r="X214" s="6" t="inlineStr">
        <is>
          <t>Colunas adicionadas para separar parâmetros do modelo matemático dos dados originais do CDA.</t>
        </is>
      </c>
      <c r="Y214" s="6" t="inlineStr">
        <is>
          <t>Opcional agora; necessária se ativar expansão, granelização ou custos candidatos explícitos.</t>
        </is>
      </c>
    </row>
    <row r="215">
      <c r="A215" s="6" t="inlineStr">
        <is>
          <t>79.0466.0007-2</t>
        </is>
      </c>
      <c r="B215" s="6" t="inlineStr">
        <is>
          <t>Candidato</t>
        </is>
      </c>
      <c r="C215" s="6" t="inlineStr">
        <is>
          <t>Itaberá-Sp</t>
        </is>
      </c>
      <c r="D215" s="6" t="inlineStr">
        <is>
          <t>SP</t>
        </is>
      </c>
      <c r="E215" s="6" t="n">
        <v>-23.8782</v>
      </c>
      <c r="F215" s="6" t="n">
        <v>-49.08462</v>
      </c>
      <c r="G215" s="6" t="inlineStr">
        <is>
          <t>CASTROLANDA - COOPERATIVA AGROINDUSTRIAL LTDA</t>
        </is>
      </c>
      <c r="H215" s="6" t="inlineStr">
        <is>
          <t>Depósito</t>
        </is>
      </c>
      <c r="I215" s="11" t="n">
        <v>0</v>
      </c>
      <c r="J215" s="11" t="n">
        <v>0</v>
      </c>
      <c r="K215" s="11" t="n">
        <v>0</v>
      </c>
      <c r="L215" s="11" t="n">
        <v>14432</v>
      </c>
      <c r="M215" s="11">
        <f>L215*AVERAGE(Custo_Invest!$B$2:$C$2)</f>
        <v/>
      </c>
      <c r="N215" s="11" t="n">
        <v>0</v>
      </c>
      <c r="O215" s="11">
        <f>IF($B215="Candidato",IF($L215&gt;0,$M215/$L215,0),0)</f>
        <v/>
      </c>
      <c r="P215" s="11" t="inlineStr">
        <is>
          <t>NAO</t>
        </is>
      </c>
      <c r="Q215" s="11">
        <f>IF($P215="SIM",$I215*Parametros_Modelo!$B$9,0)</f>
        <v/>
      </c>
      <c r="R215" s="11">
        <f>IF($P215="SIM",Parametros_Modelo!$B$10,0)</f>
        <v/>
      </c>
      <c r="S215" s="11" t="inlineStr">
        <is>
          <t>SIM</t>
        </is>
      </c>
      <c r="T215" s="11">
        <f>IF($S215="SIM",Parametros_Modelo!$B$11,0)</f>
        <v/>
      </c>
      <c r="U215" s="11">
        <f>Parametros_Modelo!$B$5</f>
        <v/>
      </c>
      <c r="V215" s="11">
        <f>Parametros_Modelo!$B$6</f>
        <v/>
      </c>
      <c r="W215" s="6" t="inlineStr">
        <is>
          <t>Derivado: custo candidato = Custo de Abertura / Cap. Estática Máxima; penalidades sintéticas</t>
        </is>
      </c>
      <c r="X215" s="6" t="inlineStr">
        <is>
          <t>Colunas adicionadas para separar parâmetros do modelo matemático dos dados originais do CDA.</t>
        </is>
      </c>
      <c r="Y215" s="6" t="inlineStr">
        <is>
          <t>Opcional agora; necessária se ativar expansão, granelização ou custos candidatos explícitos.</t>
        </is>
      </c>
    </row>
    <row r="216">
      <c r="A216" s="6" t="inlineStr">
        <is>
          <t>48.F852.0001-3</t>
        </is>
      </c>
      <c r="B216" s="6" t="inlineStr">
        <is>
          <t>Candidato</t>
        </is>
      </c>
      <c r="C216" s="6" t="inlineStr">
        <is>
          <t>Indiara-Go</t>
        </is>
      </c>
      <c r="D216" s="6" t="inlineStr">
        <is>
          <t>GO</t>
        </is>
      </c>
      <c r="E216" s="6" t="n">
        <v>-17.12398</v>
      </c>
      <c r="F216" s="6" t="n">
        <v>-49.9625</v>
      </c>
      <c r="G216" s="6" t="inlineStr">
        <is>
          <t>SEMENTES MANÁ</t>
        </is>
      </c>
      <c r="H216" s="6" t="inlineStr">
        <is>
          <t>Depósito</t>
        </is>
      </c>
      <c r="I216" s="11" t="n">
        <v>0</v>
      </c>
      <c r="J216" s="11" t="n">
        <v>0</v>
      </c>
      <c r="K216" s="11" t="n">
        <v>0</v>
      </c>
      <c r="L216" s="11" t="n">
        <v>14010</v>
      </c>
      <c r="M216" s="11">
        <f>L216*AVERAGE(Custo_Invest!$B$2:$C$2)</f>
        <v/>
      </c>
      <c r="N216" s="11" t="n">
        <v>0</v>
      </c>
      <c r="O216" s="11">
        <f>IF($B216="Candidato",IF($L216&gt;0,$M216/$L216,0),0)</f>
        <v/>
      </c>
      <c r="P216" s="11" t="inlineStr">
        <is>
          <t>NAO</t>
        </is>
      </c>
      <c r="Q216" s="11">
        <f>IF($P216="SIM",$I216*Parametros_Modelo!$B$9,0)</f>
        <v/>
      </c>
      <c r="R216" s="11">
        <f>IF($P216="SIM",Parametros_Modelo!$B$10,0)</f>
        <v/>
      </c>
      <c r="S216" s="11" t="inlineStr">
        <is>
          <t>SIM</t>
        </is>
      </c>
      <c r="T216" s="11">
        <f>IF($S216="SIM",Parametros_Modelo!$B$11,0)</f>
        <v/>
      </c>
      <c r="U216" s="11">
        <f>Parametros_Modelo!$B$5</f>
        <v/>
      </c>
      <c r="V216" s="11">
        <f>Parametros_Modelo!$B$6</f>
        <v/>
      </c>
      <c r="W216" s="6" t="inlineStr">
        <is>
          <t>Derivado: custo candidato = Custo de Abertura / Cap. Estática Máxima; penalidades sintéticas</t>
        </is>
      </c>
      <c r="X216" s="6" t="inlineStr">
        <is>
          <t>Colunas adicionadas para separar parâmetros do modelo matemático dos dados originais do CDA.</t>
        </is>
      </c>
      <c r="Y216" s="6" t="inlineStr">
        <is>
          <t>Opcional agora; necessária se ativar expansão, granelização ou custos candidatos explícitos.</t>
        </is>
      </c>
    </row>
  </sheetData>
  <autoFilter ref="A1:Y216"/>
  <dataValidations count="1">
    <dataValidation sqref="P2:P216 S2:S216" showDropDown="0" showInputMessage="0" showErrorMessage="0" allowBlank="0" type="list">
      <formula1>=Listas!$C$2:$C$3</formula1>
    </dataValidation>
  </dataValidations>
  <pageMargins left="0.511811024" right="0.511811024" top="0.787401575" bottom="0.787401575" header="0.31496062" footer="0.31496062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28"/>
  <sheetViews>
    <sheetView showGridLines="1" workbookViewId="0">
      <selection activeCell="A1" sqref="A1:XFD1048576"/>
    </sheetView>
  </sheetViews>
  <sheetFormatPr baseColWidth="8" defaultRowHeight="15"/>
  <cols>
    <col width="18" customWidth="1" min="1" max="1"/>
    <col width="24" customWidth="1" min="2" max="2"/>
    <col width="24" customWidth="1" min="3" max="3"/>
    <col width="24" customWidth="1" min="4" max="4"/>
  </cols>
  <sheetData>
    <row r="1" ht="28" customHeight="1">
      <c r="A1" s="5" t="inlineStr">
        <is>
          <t>Estado</t>
        </is>
      </c>
      <c r="B1" s="5" t="inlineStr">
        <is>
          <t>Frete Tonelada Km</t>
        </is>
      </c>
      <c r="C1" s="5" t="inlineStr">
        <is>
          <t>Fonte_Parametro</t>
        </is>
      </c>
      <c r="D1" s="5" t="inlineStr">
        <is>
          <t>Observacao</t>
        </is>
      </c>
    </row>
    <row r="2">
      <c r="A2" s="4" t="inlineStr">
        <is>
          <t>AC</t>
        </is>
      </c>
      <c r="B2" s="4" t="n">
        <v>0.2648</v>
      </c>
      <c r="C2" s="4" t="inlineStr">
        <is>
          <t>Informado</t>
        </is>
      </c>
      <c r="D2" s="4" t="inlineStr">
        <is>
          <t>Mantido do arquivo original; revisar fonte e unidade se necessário.</t>
        </is>
      </c>
    </row>
    <row r="3">
      <c r="A3" s="6" t="inlineStr">
        <is>
          <t>AL</t>
        </is>
      </c>
      <c r="B3" s="6" t="n">
        <v>0.2648</v>
      </c>
      <c r="C3" s="6" t="inlineStr">
        <is>
          <t>Informado</t>
        </is>
      </c>
      <c r="D3" s="6" t="inlineStr">
        <is>
          <t>Mantido do arquivo original; revisar fonte e unidade se necessário.</t>
        </is>
      </c>
    </row>
    <row r="4">
      <c r="A4" s="6" t="inlineStr">
        <is>
          <t>AP</t>
        </is>
      </c>
      <c r="B4" s="6" t="n">
        <v>0.2648</v>
      </c>
      <c r="C4" s="6" t="inlineStr">
        <is>
          <t>Informado</t>
        </is>
      </c>
      <c r="D4" s="6" t="inlineStr">
        <is>
          <t>Mantido do arquivo original; revisar fonte e unidade se necessário.</t>
        </is>
      </c>
    </row>
    <row r="5">
      <c r="A5" s="6" t="inlineStr">
        <is>
          <t>AM</t>
        </is>
      </c>
      <c r="B5" s="6" t="n">
        <v>0.1969</v>
      </c>
      <c r="C5" s="6" t="inlineStr">
        <is>
          <t>Informado</t>
        </is>
      </c>
      <c r="D5" s="6" t="inlineStr">
        <is>
          <t>Mantido do arquivo original; revisar fonte e unidade se necessário.</t>
        </is>
      </c>
    </row>
    <row r="6">
      <c r="A6" s="6" t="inlineStr">
        <is>
          <t>BA</t>
        </is>
      </c>
      <c r="B6" s="6" t="n">
        <v>0.2584</v>
      </c>
      <c r="C6" s="6" t="inlineStr">
        <is>
          <t>Informado</t>
        </is>
      </c>
      <c r="D6" s="6" t="inlineStr">
        <is>
          <t>Mantido do arquivo original; revisar fonte e unidade se necessário.</t>
        </is>
      </c>
    </row>
    <row r="7">
      <c r="A7" s="6" t="inlineStr">
        <is>
          <t>CE</t>
        </is>
      </c>
      <c r="B7" s="6" t="n">
        <v>0.2648</v>
      </c>
      <c r="C7" s="6" t="inlineStr">
        <is>
          <t>Informado</t>
        </is>
      </c>
      <c r="D7" s="6" t="inlineStr">
        <is>
          <t>Mantido do arquivo original; revisar fonte e unidade se necessário.</t>
        </is>
      </c>
    </row>
    <row r="8">
      <c r="A8" s="6" t="inlineStr">
        <is>
          <t>DF</t>
        </is>
      </c>
      <c r="B8" s="6" t="n">
        <v>0.294</v>
      </c>
      <c r="C8" s="6" t="inlineStr">
        <is>
          <t>Informado</t>
        </is>
      </c>
      <c r="D8" s="6" t="inlineStr">
        <is>
          <t>Mantido do arquivo original; revisar fonte e unidade se necessário.</t>
        </is>
      </c>
    </row>
    <row r="9">
      <c r="A9" s="6" t="inlineStr">
        <is>
          <t>ES</t>
        </is>
      </c>
      <c r="B9" s="6" t="n">
        <v>0.2648</v>
      </c>
      <c r="C9" s="6" t="inlineStr">
        <is>
          <t>Informado</t>
        </is>
      </c>
      <c r="D9" s="6" t="inlineStr">
        <is>
          <t>Mantido do arquivo original; revisar fonte e unidade se necessário.</t>
        </is>
      </c>
    </row>
    <row r="10">
      <c r="A10" s="6" t="inlineStr">
        <is>
          <t>GO</t>
        </is>
      </c>
      <c r="B10" s="6" t="n">
        <v>0.3682</v>
      </c>
      <c r="C10" s="6" t="inlineStr">
        <is>
          <t>Informado</t>
        </is>
      </c>
      <c r="D10" s="6" t="inlineStr">
        <is>
          <t>Mantido do arquivo original; revisar fonte e unidade se necessário.</t>
        </is>
      </c>
    </row>
    <row r="11">
      <c r="A11" s="6" t="inlineStr">
        <is>
          <t>MA</t>
        </is>
      </c>
      <c r="B11" s="6" t="n">
        <v>0.2943</v>
      </c>
      <c r="C11" s="6" t="inlineStr">
        <is>
          <t>Informado</t>
        </is>
      </c>
      <c r="D11" s="6" t="inlineStr">
        <is>
          <t>Mantido do arquivo original; revisar fonte e unidade se necessário.</t>
        </is>
      </c>
    </row>
    <row r="12">
      <c r="A12" s="6" t="inlineStr">
        <is>
          <t>MT</t>
        </is>
      </c>
      <c r="B12" s="6" t="n">
        <v>0.1842</v>
      </c>
      <c r="C12" s="6" t="inlineStr">
        <is>
          <t>Informado</t>
        </is>
      </c>
      <c r="D12" s="6" t="inlineStr">
        <is>
          <t>Mantido do arquivo original; revisar fonte e unidade se necessário.</t>
        </is>
      </c>
    </row>
    <row r="13">
      <c r="A13" s="6" t="inlineStr">
        <is>
          <t>MS</t>
        </is>
      </c>
      <c r="B13" s="6" t="n">
        <v>0.2174</v>
      </c>
      <c r="C13" s="6" t="inlineStr">
        <is>
          <t>Informado</t>
        </is>
      </c>
      <c r="D13" s="6" t="inlineStr">
        <is>
          <t>Mantido do arquivo original; revisar fonte e unidade se necessário.</t>
        </is>
      </c>
    </row>
    <row r="14">
      <c r="A14" s="6" t="inlineStr">
        <is>
          <t>MG</t>
        </is>
      </c>
      <c r="B14" s="6" t="n">
        <v>0.3971</v>
      </c>
      <c r="C14" s="6" t="inlineStr">
        <is>
          <t>Informado</t>
        </is>
      </c>
      <c r="D14" s="6" t="inlineStr">
        <is>
          <t>Mantido do arquivo original; revisar fonte e unidade se necessário.</t>
        </is>
      </c>
    </row>
    <row r="15">
      <c r="A15" s="6" t="inlineStr">
        <is>
          <t>PA</t>
        </is>
      </c>
      <c r="B15" s="6" t="n">
        <v>0.2648</v>
      </c>
      <c r="C15" s="6" t="inlineStr">
        <is>
          <t>Informado</t>
        </is>
      </c>
      <c r="D15" s="6" t="inlineStr">
        <is>
          <t>Mantido do arquivo original; revisar fonte e unidade se necessário.</t>
        </is>
      </c>
    </row>
    <row r="16">
      <c r="A16" s="6" t="inlineStr">
        <is>
          <t>PB</t>
        </is>
      </c>
      <c r="B16" s="6" t="n">
        <v>0.2648</v>
      </c>
      <c r="C16" s="6" t="inlineStr">
        <is>
          <t>Informado</t>
        </is>
      </c>
      <c r="D16" s="6" t="inlineStr">
        <is>
          <t>Mantido do arquivo original; revisar fonte e unidade se necessário.</t>
        </is>
      </c>
    </row>
    <row r="17">
      <c r="A17" s="6" t="inlineStr">
        <is>
          <t>PR</t>
        </is>
      </c>
      <c r="B17" s="6" t="n">
        <v>0.312</v>
      </c>
      <c r="C17" s="6" t="inlineStr">
        <is>
          <t>Informado</t>
        </is>
      </c>
      <c r="D17" s="6" t="inlineStr">
        <is>
          <t>Mantido do arquivo original; revisar fonte e unidade se necessário.</t>
        </is>
      </c>
    </row>
    <row r="18">
      <c r="A18" s="6" t="inlineStr">
        <is>
          <t>PE</t>
        </is>
      </c>
      <c r="B18" s="6" t="n">
        <v>0.2004</v>
      </c>
      <c r="C18" s="6" t="inlineStr">
        <is>
          <t>Informado</t>
        </is>
      </c>
      <c r="D18" s="6" t="inlineStr">
        <is>
          <t>Mantido do arquivo original; revisar fonte e unidade se necessário.</t>
        </is>
      </c>
    </row>
    <row r="19">
      <c r="A19" s="6" t="inlineStr">
        <is>
          <t>PI</t>
        </is>
      </c>
      <c r="B19" s="6" t="n">
        <v>0.2979</v>
      </c>
      <c r="C19" s="6" t="inlineStr">
        <is>
          <t>Informado</t>
        </is>
      </c>
      <c r="D19" s="6" t="inlineStr">
        <is>
          <t>Mantido do arquivo original; revisar fonte e unidade se necessário.</t>
        </is>
      </c>
    </row>
    <row r="20">
      <c r="A20" s="6" t="inlineStr">
        <is>
          <t>RJ</t>
        </is>
      </c>
      <c r="B20" s="6" t="n">
        <v>0.2648</v>
      </c>
      <c r="C20" s="6" t="inlineStr">
        <is>
          <t>Informado</t>
        </is>
      </c>
      <c r="D20" s="6" t="inlineStr">
        <is>
          <t>Mantido do arquivo original; revisar fonte e unidade se necessário.</t>
        </is>
      </c>
    </row>
    <row r="21">
      <c r="A21" s="6" t="inlineStr">
        <is>
          <t>RN</t>
        </is>
      </c>
      <c r="B21" s="6" t="n">
        <v>0.2648</v>
      </c>
      <c r="C21" s="6" t="inlineStr">
        <is>
          <t>Informado</t>
        </is>
      </c>
      <c r="D21" s="6" t="inlineStr">
        <is>
          <t>Mantido do arquivo original; revisar fonte e unidade se necessário.</t>
        </is>
      </c>
    </row>
    <row r="22">
      <c r="A22" s="6" t="inlineStr">
        <is>
          <t>RS</t>
        </is>
      </c>
      <c r="B22" s="6" t="n">
        <v>0.3408</v>
      </c>
      <c r="C22" s="6" t="inlineStr">
        <is>
          <t>Informado</t>
        </is>
      </c>
      <c r="D22" s="6" t="inlineStr">
        <is>
          <t>Mantido do arquivo original; revisar fonte e unidade se necessário.</t>
        </is>
      </c>
    </row>
    <row r="23">
      <c r="A23" s="6" t="inlineStr">
        <is>
          <t>RO</t>
        </is>
      </c>
      <c r="B23" s="6" t="n">
        <v>0.3346</v>
      </c>
      <c r="C23" s="6" t="inlineStr">
        <is>
          <t>Informado</t>
        </is>
      </c>
      <c r="D23" s="6" t="inlineStr">
        <is>
          <t>Mantido do arquivo original; revisar fonte e unidade se necessário.</t>
        </is>
      </c>
    </row>
    <row r="24">
      <c r="A24" s="6" t="inlineStr">
        <is>
          <t>RR</t>
        </is>
      </c>
      <c r="B24" s="6" t="n">
        <v>0.2648</v>
      </c>
      <c r="C24" s="6" t="inlineStr">
        <is>
          <t>Informado</t>
        </is>
      </c>
      <c r="D24" s="6" t="inlineStr">
        <is>
          <t>Mantido do arquivo original; revisar fonte e unidade se necessário.</t>
        </is>
      </c>
    </row>
    <row r="25">
      <c r="A25" s="6" t="inlineStr">
        <is>
          <t>SC</t>
        </is>
      </c>
      <c r="B25" s="6" t="n">
        <v>0.4014</v>
      </c>
      <c r="C25" s="6" t="inlineStr">
        <is>
          <t>Informado</t>
        </is>
      </c>
      <c r="D25" s="6" t="inlineStr">
        <is>
          <t>Mantido do arquivo original; revisar fonte e unidade se necessário.</t>
        </is>
      </c>
    </row>
    <row r="26">
      <c r="A26" s="6" t="inlineStr">
        <is>
          <t>SP</t>
        </is>
      </c>
      <c r="B26" s="6" t="n">
        <v>0.3279</v>
      </c>
      <c r="C26" s="6" t="inlineStr">
        <is>
          <t>Informado</t>
        </is>
      </c>
      <c r="D26" s="6" t="inlineStr">
        <is>
          <t>Mantido do arquivo original; revisar fonte e unidade se necessário.</t>
        </is>
      </c>
    </row>
    <row r="27">
      <c r="A27" s="6" t="inlineStr">
        <is>
          <t>SE</t>
        </is>
      </c>
      <c r="B27" s="6" t="n">
        <v>0.2648</v>
      </c>
      <c r="C27" s="6" t="inlineStr">
        <is>
          <t>Informado</t>
        </is>
      </c>
      <c r="D27" s="6" t="inlineStr">
        <is>
          <t>Mantido do arquivo original; revisar fonte e unidade se necessário.</t>
        </is>
      </c>
    </row>
    <row r="28">
      <c r="A28" s="6" t="inlineStr">
        <is>
          <t>TO</t>
        </is>
      </c>
      <c r="B28" s="6" t="n">
        <v>0.3826</v>
      </c>
      <c r="C28" s="6" t="inlineStr">
        <is>
          <t>Informado</t>
        </is>
      </c>
      <c r="D28" s="6" t="inlineStr">
        <is>
          <t>Mantido do arquivo original; revisar fonte e unidade se necessário.</t>
        </is>
      </c>
    </row>
  </sheetData>
  <autoFilter ref="A1:D28"/>
  <pageMargins left="0.511811024" right="0.511811024" top="0.787401575" bottom="0.787401575" header="0.31496062" footer="0.31496062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1" workbookViewId="0">
      <selection activeCell="A5" sqref="A5"/>
    </sheetView>
  </sheetViews>
  <sheetFormatPr baseColWidth="8" defaultRowHeight="15"/>
  <cols>
    <col width="18" customWidth="1" min="1" max="1"/>
    <col width="24" customWidth="1" min="2" max="2"/>
    <col width="24" customWidth="1" min="3" max="3"/>
    <col width="24" customWidth="1" min="4" max="4"/>
    <col width="24" customWidth="1" min="5" max="5"/>
  </cols>
  <sheetData>
    <row r="1" ht="28" customHeight="1">
      <c r="A1" s="5" t="inlineStr">
        <is>
          <t>Produto</t>
        </is>
      </c>
      <c r="B1" s="5" t="inlineStr">
        <is>
          <t>Armazenar_Publico</t>
        </is>
      </c>
      <c r="C1" s="5" t="inlineStr">
        <is>
          <t>Armazenar_Privado</t>
        </is>
      </c>
      <c r="D1" s="5" t="inlineStr">
        <is>
          <t>Fonte_Parametro</t>
        </is>
      </c>
      <c r="E1" s="5" t="inlineStr">
        <is>
          <t>Observacao</t>
        </is>
      </c>
    </row>
    <row r="2">
      <c r="A2" s="4" t="inlineStr">
        <is>
          <t>Outros</t>
        </is>
      </c>
      <c r="B2" s="4" t="n">
        <v>50</v>
      </c>
      <c r="C2" s="4" t="n">
        <v>50</v>
      </c>
      <c r="D2" s="4" t="inlineStr">
        <is>
          <t>Informado</t>
        </is>
      </c>
      <c r="E2" s="4" t="inlineStr">
        <is>
          <t>Mantido do arquivo original; revisar fonte e unidade se necessário.</t>
        </is>
      </c>
    </row>
    <row r="3">
      <c r="A3" s="6" t="inlineStr">
        <is>
          <t>Soja</t>
        </is>
      </c>
      <c r="B3" s="6" t="n">
        <v>45</v>
      </c>
      <c r="C3" s="6" t="n">
        <v>45</v>
      </c>
      <c r="D3" s="6" t="inlineStr">
        <is>
          <t>Informado</t>
        </is>
      </c>
      <c r="E3" s="6" t="inlineStr">
        <is>
          <t>Mantido do arquivo original; revisar fonte e unidade se necessário.</t>
        </is>
      </c>
    </row>
    <row r="4">
      <c r="A4" s="6" t="inlineStr">
        <is>
          <t>Milho</t>
        </is>
      </c>
      <c r="B4" s="6" t="n">
        <v>48</v>
      </c>
      <c r="C4" s="6" t="n">
        <v>48</v>
      </c>
      <c r="D4" s="6" t="inlineStr">
        <is>
          <t>Informado</t>
        </is>
      </c>
      <c r="E4" s="6" t="inlineStr">
        <is>
          <t>Mantido do arquivo original; revisar fonte e unidade se necessário.</t>
        </is>
      </c>
    </row>
  </sheetData>
  <autoFilter ref="A1:E4"/>
  <pageMargins left="0.511811024" right="0.511811024" top="0.787401575" bottom="0.787401575" header="0.31496062" footer="0.31496062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5"/>
  <sheetViews>
    <sheetView showGridLines="1" tabSelected="1" workbookViewId="0">
      <selection activeCell="B1" sqref="B1"/>
    </sheetView>
  </sheetViews>
  <sheetFormatPr baseColWidth="8" defaultRowHeight="15"/>
  <cols>
    <col width="30" customWidth="1" min="1" max="1"/>
    <col width="18" bestFit="1" customWidth="1" min="2" max="2"/>
    <col width="18" bestFit="1" customWidth="1" min="3" max="3"/>
    <col width="20" customWidth="1" min="4" max="4"/>
    <col width="20" customWidth="1" min="5" max="5"/>
    <col width="70" customWidth="1" min="6" max="6"/>
  </cols>
  <sheetData>
    <row r="1" ht="28" customHeight="1">
      <c r="A1" s="5" t="inlineStr">
        <is>
          <t>Tipo</t>
        </is>
      </c>
      <c r="B1" s="5" t="inlineStr">
        <is>
          <t>Custo Baixo (R$/t)</t>
        </is>
      </c>
      <c r="C1" s="5" t="inlineStr">
        <is>
          <t>Custo Alto (R$/t)</t>
        </is>
      </c>
      <c r="D1" s="5" t="inlineStr">
        <is>
          <t>Custo Médio (R$/t)</t>
        </is>
      </c>
      <c r="E1" s="5" t="inlineStr">
        <is>
          <t>Fonte_Parametro</t>
        </is>
      </c>
      <c r="F1" s="5" t="inlineStr">
        <is>
          <t>Observacao</t>
        </is>
      </c>
    </row>
    <row r="2">
      <c r="A2" s="4" t="inlineStr">
        <is>
          <t>Novo Armazém Convencional</t>
        </is>
      </c>
      <c r="B2" s="10" t="n">
        <v>1000</v>
      </c>
      <c r="C2" s="10" t="n">
        <v>1500</v>
      </c>
      <c r="D2" s="10">
        <f>AVERAGE(B2:C2)</f>
        <v/>
      </c>
      <c r="E2" s="4" t="inlineStr">
        <is>
          <t>Informado</t>
        </is>
      </c>
      <c r="F2" s="4" t="inlineStr">
        <is>
          <t>Custo médio usado como valor sintético inicial quando o modelo exigir parâmetro único.</t>
        </is>
      </c>
    </row>
    <row r="3">
      <c r="A3" s="6" t="inlineStr">
        <is>
          <t>Novo Silo Metálico</t>
        </is>
      </c>
      <c r="B3" s="11" t="n">
        <v>785</v>
      </c>
      <c r="C3" s="11" t="n">
        <v>1310</v>
      </c>
      <c r="D3" s="11">
        <f>AVERAGE(B3:C3)</f>
        <v/>
      </c>
      <c r="E3" s="6" t="inlineStr">
        <is>
          <t>Informado</t>
        </is>
      </c>
      <c r="F3" s="6" t="inlineStr">
        <is>
          <t>Custo médio usado como valor sintético inicial quando o modelo exigir parâmetro único.</t>
        </is>
      </c>
    </row>
    <row r="4">
      <c r="A4" s="6" t="inlineStr">
        <is>
          <t>Expansão</t>
        </is>
      </c>
      <c r="B4" s="11" t="n">
        <v>600</v>
      </c>
      <c r="C4" s="11" t="n">
        <v>1200</v>
      </c>
      <c r="D4" s="11">
        <f>AVERAGE(B4:C4)</f>
        <v/>
      </c>
      <c r="E4" s="6" t="inlineStr">
        <is>
          <t>Informado</t>
        </is>
      </c>
      <c r="F4" s="6" t="inlineStr">
        <is>
          <t>Custo médio usado como valor sintético inicial quando o modelo exigir parâmetro único.</t>
        </is>
      </c>
    </row>
    <row r="5">
      <c r="A5" s="6" t="inlineStr">
        <is>
          <t>Granelização</t>
        </is>
      </c>
      <c r="B5" s="11" t="n">
        <v>380</v>
      </c>
      <c r="C5" s="11" t="n">
        <v>660</v>
      </c>
      <c r="D5" s="11">
        <f>AVERAGE(B5:C5)</f>
        <v/>
      </c>
      <c r="E5" s="6" t="inlineStr">
        <is>
          <t>Informado</t>
        </is>
      </c>
      <c r="F5" s="6" t="inlineStr">
        <is>
          <t>Custo médio usado como valor sintético inicial quando o modelo exigir parâmetro único.</t>
        </is>
      </c>
    </row>
  </sheetData>
  <autoFilter ref="A1:F5"/>
  <pageMargins left="0.511811024" right="0.511811024" top="0.787401575" bottom="0.787401575" header="0.31496062" footer="0.31496062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Artur Guerra Rosa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2026-08-25T15:51:21Z</dcterms:modified>
  <cp:lastModifiedBy>Artur Guerra Rosa</cp:lastModifiedBy>
</cp:coreProperties>
</file>